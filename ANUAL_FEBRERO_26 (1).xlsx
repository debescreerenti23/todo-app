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drawings/drawing1.xml" ContentType="application/vnd.openxmlformats-officedocument.drawing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ownLoad\todo-app\"/>
    </mc:Choice>
  </mc:AlternateContent>
  <xr:revisionPtr revIDLastSave="0" documentId="13_ncr:1_{18AED364-5E39-4FB1-A44C-EE836886B74F}" xr6:coauthVersionLast="47" xr6:coauthVersionMax="47" xr10:uidLastSave="{00000000-0000-0000-0000-000000000000}"/>
  <workbookProtection workbookAlgorithmName="SHA-512" workbookHashValue="qWJC3F4TdN7SfQQy7OBgWZEBQyqALjjshu+vYL2NhBiLkKy25U2jaEru+ZbpHH8p4pO/f0/At+KuALK/2/rCMQ==" workbookSaltValue="4N+WH0w9n166lCYKn2GCTA==" workbookSpinCount="100000" lockStructure="1"/>
  <bookViews>
    <workbookView xWindow="-120" yWindow="-120" windowWidth="24240" windowHeight="13140" tabRatio="871" activeTab="3" xr2:uid="{00000000-000D-0000-FFFF-FFFF00000000}"/>
  </bookViews>
  <sheets>
    <sheet name="ENERO" sheetId="1" r:id="rId1"/>
    <sheet name="FEBRERO" sheetId="14" r:id="rId2"/>
    <sheet name="MARZO" sheetId="15" r:id="rId3"/>
    <sheet name="ABRIL" sheetId="16" r:id="rId4"/>
    <sheet name="MAYO" sheetId="17" r:id="rId5"/>
    <sheet name="JUNIO" sheetId="18" r:id="rId6"/>
    <sheet name="JULIO" sheetId="19" r:id="rId7"/>
    <sheet name="AGOSTO" sheetId="20" r:id="rId8"/>
    <sheet name="SEPTIEMBRE" sheetId="21" r:id="rId9"/>
    <sheet name="OCTUBRE" sheetId="22" r:id="rId10"/>
    <sheet name="NOVIEMBRE" sheetId="23" r:id="rId11"/>
    <sheet name="DICIEMBRE" sheetId="24" r:id="rId12"/>
    <sheet name="CONTROL" sheetId="13" r:id="rId13"/>
  </sheets>
  <definedNames>
    <definedName name="_xlnm.Print_Area" localSheetId="3">ABRIL!$A$1:$AL$30</definedName>
    <definedName name="_xlnm.Print_Area" localSheetId="7">AGOSTO!$A$1:$AL$30</definedName>
    <definedName name="_xlnm.Print_Area" localSheetId="12">CONTROL!$A$1:$M$30</definedName>
    <definedName name="_xlnm.Print_Area" localSheetId="11">DICIEMBRE!$A$1:$AL$30</definedName>
    <definedName name="_xlnm.Print_Area" localSheetId="0">ENERO!$A$1:$AL$30</definedName>
    <definedName name="_xlnm.Print_Area" localSheetId="1">FEBRERO!$A$1:$AL$30</definedName>
    <definedName name="_xlnm.Print_Area" localSheetId="6">JULIO!$A$1:$AL$30</definedName>
    <definedName name="_xlnm.Print_Area" localSheetId="5">JUNIO!$A$1:$AL$30</definedName>
    <definedName name="_xlnm.Print_Area" localSheetId="2">MARZO!$A$1:$AL$30</definedName>
    <definedName name="_xlnm.Print_Area" localSheetId="4">MAYO!$A$1:$AL$30</definedName>
    <definedName name="_xlnm.Print_Area" localSheetId="10">NOVIEMBRE!$A$1:$AL$30</definedName>
    <definedName name="_xlnm.Print_Area" localSheetId="9">OCTUBRE!$A$1:$AL$30</definedName>
    <definedName name="_xlnm.Print_Area" localSheetId="8">SEPTIEMBRE!$A$1:$AL$30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1" i="1" l="1"/>
  <c r="F19" i="13" l="1"/>
  <c r="F20" i="13"/>
  <c r="A6" i="13"/>
  <c r="A7" i="13"/>
  <c r="A8" i="13"/>
  <c r="A9" i="13"/>
  <c r="A10" i="13"/>
  <c r="A11" i="13"/>
  <c r="A12" i="13"/>
  <c r="A13" i="13"/>
  <c r="A14" i="13"/>
  <c r="A15" i="13"/>
  <c r="A16" i="13"/>
  <c r="C45" i="13"/>
  <c r="R38" i="24" l="1"/>
  <c r="R38" i="23"/>
  <c r="R38" i="22"/>
  <c r="R38" i="21"/>
  <c r="R38" i="20"/>
  <c r="R38" i="19"/>
  <c r="R38" i="18"/>
  <c r="R38" i="17"/>
  <c r="R38" i="16"/>
  <c r="R38" i="15"/>
  <c r="R38" i="14"/>
  <c r="R38" i="1"/>
  <c r="AP33" i="1" l="1"/>
  <c r="AQ32" i="1"/>
  <c r="AP32" i="1"/>
  <c r="C24" i="1" l="1"/>
  <c r="D24" i="1"/>
  <c r="G24" i="1"/>
  <c r="Q24" i="1"/>
  <c r="D25" i="1"/>
  <c r="C24" i="15"/>
  <c r="D24" i="15"/>
  <c r="G24" i="15"/>
  <c r="Q24" i="15"/>
  <c r="F27" i="13" l="1"/>
  <c r="F28" i="13"/>
  <c r="F29" i="13"/>
  <c r="F30" i="13"/>
  <c r="B4" i="24"/>
  <c r="AR48" i="24"/>
  <c r="AZ48" i="24" s="1"/>
  <c r="C32" i="24"/>
  <c r="B3" i="24" s="1"/>
  <c r="C33" i="23"/>
  <c r="B4" i="23" s="1"/>
  <c r="Q4" i="23"/>
  <c r="BS51" i="23" s="1"/>
  <c r="BS52" i="23" s="1"/>
  <c r="C32" i="23"/>
  <c r="B3" i="23" s="1"/>
  <c r="C33" i="22"/>
  <c r="B4" i="22" s="1"/>
  <c r="Q4" i="22"/>
  <c r="BR51" i="22" s="1"/>
  <c r="BR52" i="22" s="1"/>
  <c r="C32" i="22"/>
  <c r="Q4" i="21"/>
  <c r="BH51" i="21" s="1"/>
  <c r="C33" i="20"/>
  <c r="C32" i="20"/>
  <c r="B3" i="20" s="1"/>
  <c r="B4" i="19"/>
  <c r="AR48" i="19"/>
  <c r="AX48" i="19" s="1"/>
  <c r="C33" i="18"/>
  <c r="C32" i="18"/>
  <c r="C33" i="17"/>
  <c r="AR48" i="17"/>
  <c r="AX48" i="17" s="1"/>
  <c r="C32" i="17"/>
  <c r="C33" i="16"/>
  <c r="C32" i="16"/>
  <c r="B3" i="16" s="1"/>
  <c r="C33" i="15"/>
  <c r="B4" i="15" s="1"/>
  <c r="Q4" i="15"/>
  <c r="BT51" i="15" s="1"/>
  <c r="BT52" i="15" s="1"/>
  <c r="C32" i="15"/>
  <c r="C33" i="14"/>
  <c r="C32" i="14"/>
  <c r="E27" i="13"/>
  <c r="E28" i="13"/>
  <c r="E29" i="13"/>
  <c r="E30" i="13"/>
  <c r="C27" i="13"/>
  <c r="C28" i="13"/>
  <c r="C29" i="13"/>
  <c r="C30" i="13"/>
  <c r="AG178" i="24"/>
  <c r="AF178" i="24"/>
  <c r="AE178" i="24"/>
  <c r="AD178" i="24"/>
  <c r="AC178" i="24"/>
  <c r="AB178" i="24"/>
  <c r="AA178" i="24"/>
  <c r="Z178" i="24"/>
  <c r="Y178" i="24"/>
  <c r="X178" i="24"/>
  <c r="W178" i="24"/>
  <c r="V178" i="24"/>
  <c r="U178" i="24"/>
  <c r="T178" i="24"/>
  <c r="S178" i="24"/>
  <c r="R178" i="24"/>
  <c r="Q178" i="24"/>
  <c r="P178" i="24"/>
  <c r="O178" i="24"/>
  <c r="N178" i="24"/>
  <c r="M178" i="24"/>
  <c r="L178" i="24"/>
  <c r="K178" i="24"/>
  <c r="J178" i="24"/>
  <c r="I178" i="24"/>
  <c r="H178" i="24"/>
  <c r="G178" i="24"/>
  <c r="F178" i="24"/>
  <c r="E178" i="24"/>
  <c r="D178" i="24"/>
  <c r="C178" i="24"/>
  <c r="AG177" i="24"/>
  <c r="AF177" i="24"/>
  <c r="AE177" i="24"/>
  <c r="AD177" i="24"/>
  <c r="AC177" i="24"/>
  <c r="AB177" i="24"/>
  <c r="AA177" i="24"/>
  <c r="Z177" i="24"/>
  <c r="Y177" i="24"/>
  <c r="X177" i="24"/>
  <c r="W177" i="24"/>
  <c r="V177" i="24"/>
  <c r="U177" i="24"/>
  <c r="T177" i="24"/>
  <c r="S177" i="24"/>
  <c r="R177" i="24"/>
  <c r="Q177" i="24"/>
  <c r="P177" i="24"/>
  <c r="O177" i="24"/>
  <c r="N177" i="24"/>
  <c r="M177" i="24"/>
  <c r="L177" i="24"/>
  <c r="K177" i="24"/>
  <c r="J177" i="24"/>
  <c r="I177" i="24"/>
  <c r="H177" i="24"/>
  <c r="G177" i="24"/>
  <c r="F177" i="24"/>
  <c r="E177" i="24"/>
  <c r="D177" i="24"/>
  <c r="C177" i="24"/>
  <c r="AG171" i="24"/>
  <c r="AF171" i="24"/>
  <c r="AE171" i="24"/>
  <c r="AD171" i="24"/>
  <c r="AC171" i="24"/>
  <c r="AB171" i="24"/>
  <c r="AA171" i="24"/>
  <c r="Z171" i="24"/>
  <c r="Y171" i="24"/>
  <c r="X171" i="24"/>
  <c r="W171" i="24"/>
  <c r="V171" i="24"/>
  <c r="U171" i="24"/>
  <c r="T171" i="24"/>
  <c r="S171" i="24"/>
  <c r="R171" i="24"/>
  <c r="Q171" i="24"/>
  <c r="P171" i="24"/>
  <c r="O171" i="24"/>
  <c r="N171" i="24"/>
  <c r="M171" i="24"/>
  <c r="L171" i="24"/>
  <c r="K171" i="24"/>
  <c r="J171" i="24"/>
  <c r="I171" i="24"/>
  <c r="H171" i="24"/>
  <c r="G171" i="24"/>
  <c r="F171" i="24"/>
  <c r="E171" i="24"/>
  <c r="D171" i="24"/>
  <c r="C171" i="24"/>
  <c r="AG167" i="24"/>
  <c r="AF167" i="24"/>
  <c r="AE167" i="24"/>
  <c r="AD167" i="24"/>
  <c r="AC167" i="24"/>
  <c r="AB167" i="24"/>
  <c r="AA167" i="24"/>
  <c r="Z167" i="24"/>
  <c r="Y167" i="24"/>
  <c r="X167" i="24"/>
  <c r="W167" i="24"/>
  <c r="V167" i="24"/>
  <c r="U167" i="24"/>
  <c r="T167" i="24"/>
  <c r="S167" i="24"/>
  <c r="R167" i="24"/>
  <c r="Q167" i="24"/>
  <c r="P167" i="24"/>
  <c r="O167" i="24"/>
  <c r="N167" i="24"/>
  <c r="M167" i="24"/>
  <c r="L167" i="24"/>
  <c r="K167" i="24"/>
  <c r="J167" i="24"/>
  <c r="I167" i="24"/>
  <c r="H167" i="24"/>
  <c r="G167" i="24"/>
  <c r="F167" i="24"/>
  <c r="E167" i="24"/>
  <c r="D167" i="24"/>
  <c r="C167" i="24"/>
  <c r="AG166" i="24"/>
  <c r="AF166" i="24"/>
  <c r="AE166" i="24"/>
  <c r="AD166" i="24"/>
  <c r="AC166" i="24"/>
  <c r="AB166" i="24"/>
  <c r="AA166" i="24"/>
  <c r="Z166" i="24"/>
  <c r="Y166" i="24"/>
  <c r="X166" i="24"/>
  <c r="W166" i="24"/>
  <c r="V166" i="24"/>
  <c r="U166" i="24"/>
  <c r="T166" i="24"/>
  <c r="S166" i="24"/>
  <c r="R166" i="24"/>
  <c r="Q166" i="24"/>
  <c r="P166" i="24"/>
  <c r="O166" i="24"/>
  <c r="N166" i="24"/>
  <c r="M166" i="24"/>
  <c r="L166" i="24"/>
  <c r="K166" i="24"/>
  <c r="J166" i="24"/>
  <c r="I166" i="24"/>
  <c r="H166" i="24"/>
  <c r="G166" i="24"/>
  <c r="F166" i="24"/>
  <c r="E166" i="24"/>
  <c r="D166" i="24"/>
  <c r="C166" i="24"/>
  <c r="AG160" i="24"/>
  <c r="AF160" i="24"/>
  <c r="AE160" i="24"/>
  <c r="AD160" i="24"/>
  <c r="AC160" i="24"/>
  <c r="AB160" i="24"/>
  <c r="AA160" i="24"/>
  <c r="Z160" i="24"/>
  <c r="Y160" i="24"/>
  <c r="X160" i="24"/>
  <c r="W160" i="24"/>
  <c r="V160" i="24"/>
  <c r="U160" i="24"/>
  <c r="T160" i="24"/>
  <c r="S160" i="24"/>
  <c r="R160" i="24"/>
  <c r="Q160" i="24"/>
  <c r="P160" i="24"/>
  <c r="O160" i="24"/>
  <c r="N160" i="24"/>
  <c r="M160" i="24"/>
  <c r="L160" i="24"/>
  <c r="K160" i="24"/>
  <c r="J160" i="24"/>
  <c r="I160" i="24"/>
  <c r="H160" i="24"/>
  <c r="G160" i="24"/>
  <c r="F160" i="24"/>
  <c r="E160" i="24"/>
  <c r="D160" i="24"/>
  <c r="C160" i="24"/>
  <c r="AG156" i="24"/>
  <c r="AF156" i="24"/>
  <c r="AE156" i="24"/>
  <c r="AD156" i="24"/>
  <c r="AC156" i="24"/>
  <c r="AB156" i="24"/>
  <c r="AA156" i="24"/>
  <c r="Z156" i="24"/>
  <c r="Y156" i="24"/>
  <c r="X156" i="24"/>
  <c r="W156" i="24"/>
  <c r="V156" i="24"/>
  <c r="U156" i="24"/>
  <c r="T156" i="24"/>
  <c r="S156" i="24"/>
  <c r="R156" i="24"/>
  <c r="Q156" i="24"/>
  <c r="P156" i="24"/>
  <c r="O156" i="24"/>
  <c r="N156" i="24"/>
  <c r="M156" i="24"/>
  <c r="L156" i="24"/>
  <c r="K156" i="24"/>
  <c r="J156" i="24"/>
  <c r="I156" i="24"/>
  <c r="H156" i="24"/>
  <c r="G156" i="24"/>
  <c r="F156" i="24"/>
  <c r="E156" i="24"/>
  <c r="D156" i="24"/>
  <c r="C156" i="24"/>
  <c r="AG155" i="24"/>
  <c r="AF155" i="24"/>
  <c r="AE155" i="24"/>
  <c r="AD155" i="24"/>
  <c r="AC155" i="24"/>
  <c r="AB155" i="24"/>
  <c r="AA155" i="24"/>
  <c r="Z155" i="24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AG149" i="24"/>
  <c r="AF149" i="24"/>
  <c r="AE149" i="24"/>
  <c r="AD149" i="24"/>
  <c r="AC149" i="24"/>
  <c r="AB149" i="24"/>
  <c r="AA149" i="24"/>
  <c r="Z149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AG145" i="24"/>
  <c r="AF145" i="24"/>
  <c r="AE145" i="24"/>
  <c r="AD145" i="24"/>
  <c r="AC145" i="24"/>
  <c r="AB145" i="24"/>
  <c r="AA145" i="24"/>
  <c r="Z145" i="24"/>
  <c r="Y145" i="24"/>
  <c r="X145" i="24"/>
  <c r="W145" i="24"/>
  <c r="V145" i="24"/>
  <c r="U145" i="24"/>
  <c r="T145" i="24"/>
  <c r="S145" i="24"/>
  <c r="R145" i="24"/>
  <c r="Q145" i="24"/>
  <c r="P145" i="24"/>
  <c r="O145" i="24"/>
  <c r="N145" i="24"/>
  <c r="M145" i="24"/>
  <c r="L145" i="24"/>
  <c r="K145" i="24"/>
  <c r="J145" i="24"/>
  <c r="I145" i="24"/>
  <c r="H145" i="24"/>
  <c r="G145" i="24"/>
  <c r="F145" i="24"/>
  <c r="E145" i="24"/>
  <c r="D145" i="24"/>
  <c r="C145" i="24"/>
  <c r="AG144" i="24"/>
  <c r="AF144" i="24"/>
  <c r="AE144" i="24"/>
  <c r="AD144" i="24"/>
  <c r="AC144" i="24"/>
  <c r="AB144" i="24"/>
  <c r="AA144" i="24"/>
  <c r="Z144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AG138" i="24"/>
  <c r="AF138" i="24"/>
  <c r="AE138" i="24"/>
  <c r="AD138" i="24"/>
  <c r="AC138" i="24"/>
  <c r="AB138" i="24"/>
  <c r="AA138" i="24"/>
  <c r="Z138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AG134" i="24"/>
  <c r="AF134" i="24"/>
  <c r="AE134" i="24"/>
  <c r="AD134" i="24"/>
  <c r="AC134" i="24"/>
  <c r="AB134" i="24"/>
  <c r="AA134" i="24"/>
  <c r="Z134" i="24"/>
  <c r="Y134" i="24"/>
  <c r="X134" i="24"/>
  <c r="W134" i="24"/>
  <c r="V134" i="24"/>
  <c r="U134" i="24"/>
  <c r="T134" i="24"/>
  <c r="S134" i="24"/>
  <c r="R134" i="24"/>
  <c r="Q134" i="24"/>
  <c r="P134" i="24"/>
  <c r="O134" i="24"/>
  <c r="N134" i="24"/>
  <c r="M134" i="24"/>
  <c r="L134" i="24"/>
  <c r="K134" i="24"/>
  <c r="J134" i="24"/>
  <c r="I134" i="24"/>
  <c r="H134" i="24"/>
  <c r="G134" i="24"/>
  <c r="F134" i="24"/>
  <c r="E134" i="24"/>
  <c r="D134" i="24"/>
  <c r="C134" i="24"/>
  <c r="AG133" i="24"/>
  <c r="AF133" i="24"/>
  <c r="AE133" i="24"/>
  <c r="AD133" i="24"/>
  <c r="AC133" i="24"/>
  <c r="AB133" i="24"/>
  <c r="AA133" i="24"/>
  <c r="Z133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AG127" i="24"/>
  <c r="AF127" i="24"/>
  <c r="AE127" i="24"/>
  <c r="AD127" i="24"/>
  <c r="AC127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AG123" i="24"/>
  <c r="AF123" i="24"/>
  <c r="AE123" i="24"/>
  <c r="AD123" i="24"/>
  <c r="AC123" i="24"/>
  <c r="AB123" i="24"/>
  <c r="AA123" i="24"/>
  <c r="Z123" i="24"/>
  <c r="Y123" i="24"/>
  <c r="X123" i="24"/>
  <c r="W123" i="24"/>
  <c r="V123" i="24"/>
  <c r="U123" i="24"/>
  <c r="T123" i="24"/>
  <c r="S123" i="24"/>
  <c r="R123" i="24"/>
  <c r="Q123" i="24"/>
  <c r="P123" i="24"/>
  <c r="O123" i="24"/>
  <c r="N123" i="24"/>
  <c r="M123" i="24"/>
  <c r="L123" i="24"/>
  <c r="K123" i="24"/>
  <c r="J123" i="24"/>
  <c r="I123" i="24"/>
  <c r="H123" i="24"/>
  <c r="G123" i="24"/>
  <c r="F123" i="24"/>
  <c r="E123" i="24"/>
  <c r="D123" i="24"/>
  <c r="C123" i="24"/>
  <c r="AG122" i="24"/>
  <c r="AF122" i="24"/>
  <c r="AE122" i="24"/>
  <c r="AD122" i="24"/>
  <c r="AC122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AG116" i="24"/>
  <c r="AF116" i="24"/>
  <c r="AE116" i="24"/>
  <c r="AD116" i="24"/>
  <c r="AC116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AG112" i="24"/>
  <c r="AF112" i="24"/>
  <c r="AE112" i="24"/>
  <c r="AD112" i="24"/>
  <c r="AC112" i="24"/>
  <c r="AB112" i="24"/>
  <c r="AA112" i="24"/>
  <c r="Z112" i="24"/>
  <c r="Y112" i="24"/>
  <c r="X112" i="24"/>
  <c r="W112" i="24"/>
  <c r="V112" i="24"/>
  <c r="U112" i="24"/>
  <c r="T112" i="24"/>
  <c r="S112" i="24"/>
  <c r="R112" i="24"/>
  <c r="Q112" i="24"/>
  <c r="P112" i="24"/>
  <c r="O112" i="24"/>
  <c r="N112" i="24"/>
  <c r="M112" i="24"/>
  <c r="L112" i="24"/>
  <c r="K112" i="24"/>
  <c r="J112" i="24"/>
  <c r="I112" i="24"/>
  <c r="H112" i="24"/>
  <c r="G112" i="24"/>
  <c r="F112" i="24"/>
  <c r="E112" i="24"/>
  <c r="D112" i="24"/>
  <c r="C112" i="24"/>
  <c r="AG111" i="24"/>
  <c r="AF111" i="24"/>
  <c r="AE111" i="24"/>
  <c r="AD111" i="24"/>
  <c r="AC111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AG105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AG101" i="24"/>
  <c r="AF101" i="24"/>
  <c r="AE101" i="24"/>
  <c r="AD101" i="24"/>
  <c r="AC101" i="24"/>
  <c r="AB101" i="24"/>
  <c r="AA101" i="24"/>
  <c r="Z101" i="24"/>
  <c r="Y101" i="24"/>
  <c r="X101" i="24"/>
  <c r="W101" i="24"/>
  <c r="V101" i="24"/>
  <c r="U101" i="24"/>
  <c r="T101" i="24"/>
  <c r="S101" i="24"/>
  <c r="R101" i="24"/>
  <c r="Q101" i="24"/>
  <c r="P101" i="24"/>
  <c r="O101" i="24"/>
  <c r="N101" i="24"/>
  <c r="M101" i="24"/>
  <c r="L101" i="24"/>
  <c r="K101" i="24"/>
  <c r="J101" i="24"/>
  <c r="I101" i="24"/>
  <c r="H101" i="24"/>
  <c r="G101" i="24"/>
  <c r="F101" i="24"/>
  <c r="E101" i="24"/>
  <c r="D101" i="24"/>
  <c r="C101" i="24"/>
  <c r="AG100" i="24"/>
  <c r="AF100" i="24"/>
  <c r="AE100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AG94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AG90" i="24"/>
  <c r="AF90" i="24"/>
  <c r="AE90" i="24"/>
  <c r="AD90" i="24"/>
  <c r="AC90" i="24"/>
  <c r="AB90" i="24"/>
  <c r="AA90" i="24"/>
  <c r="Z90" i="24"/>
  <c r="Y90" i="24"/>
  <c r="X90" i="24"/>
  <c r="W90" i="24"/>
  <c r="V90" i="24"/>
  <c r="U90" i="24"/>
  <c r="T90" i="24"/>
  <c r="S90" i="24"/>
  <c r="R90" i="24"/>
  <c r="Q90" i="24"/>
  <c r="P90" i="24"/>
  <c r="O90" i="24"/>
  <c r="N90" i="24"/>
  <c r="M90" i="24"/>
  <c r="L90" i="24"/>
  <c r="K90" i="24"/>
  <c r="J90" i="24"/>
  <c r="I90" i="24"/>
  <c r="H90" i="24"/>
  <c r="G90" i="24"/>
  <c r="F90" i="24"/>
  <c r="E90" i="24"/>
  <c r="D90" i="24"/>
  <c r="C90" i="24"/>
  <c r="AG89" i="24"/>
  <c r="AF89" i="24"/>
  <c r="AE89" i="24"/>
  <c r="AD89" i="24"/>
  <c r="AC89" i="24"/>
  <c r="AB89" i="24"/>
  <c r="AA89" i="24"/>
  <c r="Z89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AG83" i="24"/>
  <c r="AF83" i="24"/>
  <c r="AE83" i="24"/>
  <c r="AD83" i="24"/>
  <c r="AC83" i="24"/>
  <c r="AB83" i="24"/>
  <c r="AA83" i="24"/>
  <c r="Z83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AG79" i="24"/>
  <c r="AF79" i="24"/>
  <c r="AE79" i="24"/>
  <c r="AD79" i="24"/>
  <c r="AC79" i="24"/>
  <c r="AB79" i="24"/>
  <c r="AA79" i="24"/>
  <c r="Z79" i="24"/>
  <c r="Y79" i="24"/>
  <c r="X79" i="24"/>
  <c r="W79" i="24"/>
  <c r="V79" i="24"/>
  <c r="U79" i="24"/>
  <c r="T79" i="24"/>
  <c r="S79" i="24"/>
  <c r="R79" i="24"/>
  <c r="Q79" i="24"/>
  <c r="P79" i="24"/>
  <c r="O79" i="24"/>
  <c r="N79" i="24"/>
  <c r="M79" i="24"/>
  <c r="L79" i="24"/>
  <c r="K79" i="24"/>
  <c r="J79" i="24"/>
  <c r="I79" i="24"/>
  <c r="H79" i="24"/>
  <c r="G79" i="24"/>
  <c r="F79" i="24"/>
  <c r="E79" i="24"/>
  <c r="D79" i="24"/>
  <c r="C79" i="24"/>
  <c r="AG78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AG68" i="24"/>
  <c r="AF68" i="24"/>
  <c r="AE68" i="24"/>
  <c r="AD68" i="24"/>
  <c r="AC68" i="24"/>
  <c r="AB68" i="24"/>
  <c r="AA68" i="24"/>
  <c r="Z68" i="24"/>
  <c r="Y68" i="24"/>
  <c r="X68" i="24"/>
  <c r="W68" i="24"/>
  <c r="V68" i="24"/>
  <c r="U68" i="24"/>
  <c r="T68" i="24"/>
  <c r="S68" i="24"/>
  <c r="R68" i="24"/>
  <c r="Q68" i="24"/>
  <c r="P68" i="24"/>
  <c r="O68" i="24"/>
  <c r="N68" i="24"/>
  <c r="M68" i="24"/>
  <c r="L68" i="24"/>
  <c r="K68" i="24"/>
  <c r="J68" i="24"/>
  <c r="I68" i="24"/>
  <c r="H68" i="24"/>
  <c r="G68" i="24"/>
  <c r="F68" i="24"/>
  <c r="E68" i="24"/>
  <c r="D68" i="24"/>
  <c r="C68" i="24"/>
  <c r="AG67" i="24"/>
  <c r="AF67" i="24"/>
  <c r="AE67" i="24"/>
  <c r="AD67" i="24"/>
  <c r="AC67" i="24"/>
  <c r="AB67" i="24"/>
  <c r="AA67" i="24"/>
  <c r="Z67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Y66" i="24"/>
  <c r="BY67" i="24" s="1"/>
  <c r="BX66" i="24"/>
  <c r="BX67" i="24" s="1"/>
  <c r="BW66" i="24"/>
  <c r="BW67" i="24" s="1"/>
  <c r="BV66" i="24"/>
  <c r="BV67" i="24" s="1"/>
  <c r="AG61" i="24"/>
  <c r="AF61" i="24"/>
  <c r="AE61" i="24"/>
  <c r="AD61" i="24"/>
  <c r="AC61" i="24"/>
  <c r="AB61" i="24"/>
  <c r="AA61" i="24"/>
  <c r="Z61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AG57" i="24"/>
  <c r="AF57" i="24"/>
  <c r="AE57" i="24"/>
  <c r="AD57" i="24"/>
  <c r="AC57" i="24"/>
  <c r="AB57" i="24"/>
  <c r="AA57" i="24"/>
  <c r="Z57" i="24"/>
  <c r="Y57" i="24"/>
  <c r="X57" i="24"/>
  <c r="W57" i="24"/>
  <c r="V57" i="24"/>
  <c r="U57" i="24"/>
  <c r="T57" i="24"/>
  <c r="S57" i="24"/>
  <c r="R57" i="24"/>
  <c r="Q57" i="24"/>
  <c r="P57" i="24"/>
  <c r="O57" i="24"/>
  <c r="N57" i="24"/>
  <c r="M57" i="24"/>
  <c r="L57" i="24"/>
  <c r="K57" i="24"/>
  <c r="J57" i="24"/>
  <c r="I57" i="24"/>
  <c r="H57" i="24"/>
  <c r="G57" i="24"/>
  <c r="F57" i="24"/>
  <c r="E57" i="24"/>
  <c r="D57" i="24"/>
  <c r="C57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X50" i="24"/>
  <c r="BW50" i="24"/>
  <c r="BY61" i="24" s="1"/>
  <c r="BY64" i="24" s="1"/>
  <c r="BV50" i="24"/>
  <c r="BX61" i="24" s="1"/>
  <c r="BX64" i="24" s="1"/>
  <c r="BU50" i="24"/>
  <c r="BW61" i="24" s="1"/>
  <c r="BW64" i="24" s="1"/>
  <c r="BT50" i="24"/>
  <c r="BV61" i="24" s="1"/>
  <c r="BV64" i="24" s="1"/>
  <c r="BS50" i="24"/>
  <c r="BU61" i="24" s="1"/>
  <c r="BR50" i="24"/>
  <c r="BQ50" i="24"/>
  <c r="BP50" i="24"/>
  <c r="BO50" i="24"/>
  <c r="BN50" i="24"/>
  <c r="BM50" i="24"/>
  <c r="BL50" i="24"/>
  <c r="BK50" i="24"/>
  <c r="BJ50" i="24"/>
  <c r="BI50" i="24"/>
  <c r="BH50" i="24"/>
  <c r="BG50" i="24"/>
  <c r="BF50" i="24"/>
  <c r="BD50" i="24"/>
  <c r="BC50" i="24"/>
  <c r="BB50" i="24"/>
  <c r="BA50" i="24"/>
  <c r="AZ50" i="24"/>
  <c r="AY50" i="24"/>
  <c r="AX50" i="24"/>
  <c r="AW50" i="24"/>
  <c r="AV50" i="24"/>
  <c r="AU50" i="24"/>
  <c r="AT50" i="24"/>
  <c r="AS50" i="24"/>
  <c r="AR50" i="24"/>
  <c r="AQ50" i="24"/>
  <c r="AP50" i="24"/>
  <c r="AO50" i="24"/>
  <c r="AN50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AI49" i="24"/>
  <c r="AH46" i="24"/>
  <c r="AG54" i="24" s="1"/>
  <c r="AH45" i="24"/>
  <c r="BE44" i="24"/>
  <c r="W42" i="24"/>
  <c r="AP41" i="24"/>
  <c r="V40" i="24"/>
  <c r="AQ40" i="24" s="1"/>
  <c r="S40" i="24"/>
  <c r="AP40" i="24" s="1"/>
  <c r="R40" i="24"/>
  <c r="Q26" i="24" s="1"/>
  <c r="V39" i="24"/>
  <c r="AQ39" i="24" s="1"/>
  <c r="S39" i="24"/>
  <c r="AP39" i="24" s="1"/>
  <c r="R39" i="24"/>
  <c r="Q25" i="24" s="1"/>
  <c r="V38" i="24"/>
  <c r="AQ38" i="24" s="1"/>
  <c r="S38" i="24"/>
  <c r="V37" i="24"/>
  <c r="N26" i="24" s="1"/>
  <c r="S37" i="24"/>
  <c r="AP37" i="24" s="1"/>
  <c r="R37" i="24"/>
  <c r="J26" i="24" s="1"/>
  <c r="AQ36" i="24"/>
  <c r="AP36" i="24"/>
  <c r="J25" i="24"/>
  <c r="AQ35" i="24"/>
  <c r="K24" i="24"/>
  <c r="J24" i="24"/>
  <c r="AQ34" i="24"/>
  <c r="AP34" i="24"/>
  <c r="C26" i="24"/>
  <c r="AQ33" i="24"/>
  <c r="D25" i="24"/>
  <c r="C25" i="24"/>
  <c r="BA32" i="24"/>
  <c r="AO32" i="24" s="1"/>
  <c r="BB32" i="24" s="1"/>
  <c r="BC32" i="24" s="1"/>
  <c r="AQ32" i="24"/>
  <c r="AP32" i="24"/>
  <c r="AI32" i="24"/>
  <c r="C29" i="24"/>
  <c r="G26" i="24"/>
  <c r="Q24" i="24"/>
  <c r="G24" i="24"/>
  <c r="D24" i="24"/>
  <c r="C24" i="24"/>
  <c r="Q4" i="24"/>
  <c r="BI51" i="24" s="1"/>
  <c r="AG178" i="23"/>
  <c r="AF178" i="23"/>
  <c r="AE178" i="23"/>
  <c r="AD178" i="23"/>
  <c r="AC178" i="23"/>
  <c r="AB178" i="23"/>
  <c r="AA178" i="23"/>
  <c r="Z178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AG177" i="23"/>
  <c r="AF177" i="23"/>
  <c r="AE177" i="23"/>
  <c r="AD177" i="23"/>
  <c r="AC177" i="23"/>
  <c r="AB177" i="23"/>
  <c r="AA177" i="23"/>
  <c r="Z177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AG171" i="23"/>
  <c r="AF171" i="23"/>
  <c r="AE171" i="23"/>
  <c r="AD171" i="23"/>
  <c r="AC171" i="23"/>
  <c r="AB171" i="23"/>
  <c r="AA171" i="23"/>
  <c r="Z171" i="23"/>
  <c r="Y171" i="23"/>
  <c r="X171" i="23"/>
  <c r="W171" i="23"/>
  <c r="V171" i="23"/>
  <c r="U171" i="23"/>
  <c r="T171" i="23"/>
  <c r="S171" i="23"/>
  <c r="R171" i="23"/>
  <c r="Q171" i="23"/>
  <c r="P171" i="23"/>
  <c r="O171" i="23"/>
  <c r="N171" i="23"/>
  <c r="M171" i="23"/>
  <c r="L171" i="23"/>
  <c r="K171" i="23"/>
  <c r="J171" i="23"/>
  <c r="I171" i="23"/>
  <c r="H171" i="23"/>
  <c r="G171" i="23"/>
  <c r="F171" i="23"/>
  <c r="E171" i="23"/>
  <c r="D171" i="23"/>
  <c r="C171" i="23"/>
  <c r="AG167" i="23"/>
  <c r="AF167" i="23"/>
  <c r="AE167" i="23"/>
  <c r="AD167" i="23"/>
  <c r="AC167" i="23"/>
  <c r="AB167" i="23"/>
  <c r="AA167" i="23"/>
  <c r="Z167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AG166" i="23"/>
  <c r="AF166" i="23"/>
  <c r="AE166" i="23"/>
  <c r="AD166" i="23"/>
  <c r="AC166" i="23"/>
  <c r="AB166" i="23"/>
  <c r="AA166" i="23"/>
  <c r="Z166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AG160" i="23"/>
  <c r="AF160" i="23"/>
  <c r="AE160" i="23"/>
  <c r="AD160" i="23"/>
  <c r="AC160" i="23"/>
  <c r="AB160" i="23"/>
  <c r="AA160" i="23"/>
  <c r="Z160" i="23"/>
  <c r="Y160" i="23"/>
  <c r="X160" i="23"/>
  <c r="W160" i="23"/>
  <c r="V160" i="23"/>
  <c r="U160" i="23"/>
  <c r="T160" i="23"/>
  <c r="S160" i="23"/>
  <c r="R160" i="23"/>
  <c r="Q160" i="23"/>
  <c r="P160" i="23"/>
  <c r="O160" i="23"/>
  <c r="N160" i="23"/>
  <c r="M160" i="23"/>
  <c r="L160" i="23"/>
  <c r="K160" i="23"/>
  <c r="J160" i="23"/>
  <c r="I160" i="23"/>
  <c r="H160" i="23"/>
  <c r="G160" i="23"/>
  <c r="F160" i="23"/>
  <c r="E160" i="23"/>
  <c r="D160" i="23"/>
  <c r="C160" i="23"/>
  <c r="AG156" i="23"/>
  <c r="AF156" i="23"/>
  <c r="AE156" i="23"/>
  <c r="AD156" i="23"/>
  <c r="AC156" i="23"/>
  <c r="AB156" i="23"/>
  <c r="AA156" i="23"/>
  <c r="Z156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AG155" i="23"/>
  <c r="AF155" i="23"/>
  <c r="AE155" i="23"/>
  <c r="AD155" i="23"/>
  <c r="AC155" i="23"/>
  <c r="AB155" i="23"/>
  <c r="AA155" i="23"/>
  <c r="Z155" i="23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AG149" i="23"/>
  <c r="AF149" i="23"/>
  <c r="AE149" i="23"/>
  <c r="AD149" i="23"/>
  <c r="AC149" i="23"/>
  <c r="AB149" i="23"/>
  <c r="AA149" i="23"/>
  <c r="Z149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AG145" i="23"/>
  <c r="AF145" i="23"/>
  <c r="AE145" i="23"/>
  <c r="AD145" i="23"/>
  <c r="AC145" i="23"/>
  <c r="AB145" i="23"/>
  <c r="AA145" i="23"/>
  <c r="Z145" i="23"/>
  <c r="Y145" i="23"/>
  <c r="X145" i="23"/>
  <c r="W145" i="23"/>
  <c r="V145" i="23"/>
  <c r="U145" i="23"/>
  <c r="T145" i="23"/>
  <c r="S145" i="23"/>
  <c r="R145" i="23"/>
  <c r="Q145" i="23"/>
  <c r="P145" i="23"/>
  <c r="O145" i="23"/>
  <c r="N145" i="23"/>
  <c r="M145" i="23"/>
  <c r="L145" i="23"/>
  <c r="K145" i="23"/>
  <c r="J145" i="23"/>
  <c r="I145" i="23"/>
  <c r="H145" i="23"/>
  <c r="G145" i="23"/>
  <c r="F145" i="23"/>
  <c r="E145" i="23"/>
  <c r="D145" i="23"/>
  <c r="C145" i="23"/>
  <c r="AG144" i="23"/>
  <c r="AF144" i="23"/>
  <c r="AE144" i="23"/>
  <c r="AD144" i="23"/>
  <c r="AC144" i="23"/>
  <c r="AB144" i="23"/>
  <c r="AA144" i="23"/>
  <c r="Z144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AG138" i="23"/>
  <c r="AF138" i="23"/>
  <c r="AE138" i="23"/>
  <c r="AD138" i="23"/>
  <c r="AC138" i="23"/>
  <c r="AB138" i="23"/>
  <c r="AA138" i="23"/>
  <c r="Z138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AG134" i="23"/>
  <c r="AF134" i="23"/>
  <c r="AE134" i="23"/>
  <c r="AD134" i="23"/>
  <c r="AC134" i="23"/>
  <c r="AB134" i="23"/>
  <c r="AA134" i="23"/>
  <c r="Z134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AG133" i="23"/>
  <c r="AF133" i="23"/>
  <c r="AE133" i="23"/>
  <c r="AD133" i="23"/>
  <c r="AC133" i="23"/>
  <c r="AB133" i="23"/>
  <c r="AA133" i="23"/>
  <c r="Z133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AG127" i="23"/>
  <c r="AF127" i="23"/>
  <c r="AE127" i="23"/>
  <c r="AD127" i="23"/>
  <c r="AC127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AG123" i="23"/>
  <c r="AF123" i="23"/>
  <c r="AE123" i="23"/>
  <c r="AD123" i="23"/>
  <c r="AC123" i="23"/>
  <c r="AB123" i="23"/>
  <c r="AA123" i="23"/>
  <c r="Z123" i="23"/>
  <c r="Y123" i="23"/>
  <c r="X123" i="23"/>
  <c r="W123" i="23"/>
  <c r="V123" i="23"/>
  <c r="U123" i="23"/>
  <c r="T123" i="23"/>
  <c r="S123" i="23"/>
  <c r="R123" i="23"/>
  <c r="Q123" i="23"/>
  <c r="P123" i="23"/>
  <c r="O123" i="23"/>
  <c r="N123" i="23"/>
  <c r="M123" i="23"/>
  <c r="L123" i="23"/>
  <c r="K123" i="23"/>
  <c r="J123" i="23"/>
  <c r="I123" i="23"/>
  <c r="H123" i="23"/>
  <c r="G123" i="23"/>
  <c r="F123" i="23"/>
  <c r="E123" i="23"/>
  <c r="D123" i="23"/>
  <c r="C123" i="23"/>
  <c r="AG122" i="23"/>
  <c r="AF122" i="23"/>
  <c r="AE122" i="23"/>
  <c r="AD122" i="23"/>
  <c r="AC122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AG116" i="23"/>
  <c r="AF116" i="23"/>
  <c r="AE116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AG112" i="23"/>
  <c r="AF112" i="23"/>
  <c r="AE112" i="23"/>
  <c r="AD112" i="23"/>
  <c r="AC112" i="23"/>
  <c r="AB112" i="23"/>
  <c r="AA112" i="23"/>
  <c r="Z112" i="23"/>
  <c r="Y112" i="23"/>
  <c r="X112" i="23"/>
  <c r="W112" i="23"/>
  <c r="V112" i="23"/>
  <c r="U112" i="23"/>
  <c r="T112" i="23"/>
  <c r="S112" i="23"/>
  <c r="R112" i="23"/>
  <c r="Q112" i="23"/>
  <c r="P112" i="23"/>
  <c r="O112" i="23"/>
  <c r="N112" i="23"/>
  <c r="M112" i="23"/>
  <c r="L112" i="23"/>
  <c r="K112" i="23"/>
  <c r="J112" i="23"/>
  <c r="I112" i="23"/>
  <c r="H112" i="23"/>
  <c r="G112" i="23"/>
  <c r="F112" i="23"/>
  <c r="E112" i="23"/>
  <c r="D112" i="23"/>
  <c r="C112" i="23"/>
  <c r="AG111" i="23"/>
  <c r="AF111" i="23"/>
  <c r="AE111" i="23"/>
  <c r="AD111" i="23"/>
  <c r="AC111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AG105" i="23"/>
  <c r="AF105" i="23"/>
  <c r="AE105" i="23"/>
  <c r="AD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AG101" i="23"/>
  <c r="AF101" i="23"/>
  <c r="AE101" i="23"/>
  <c r="AD101" i="23"/>
  <c r="AC101" i="23"/>
  <c r="AB101" i="23"/>
  <c r="AA101" i="23"/>
  <c r="Z101" i="23"/>
  <c r="Y101" i="23"/>
  <c r="X101" i="23"/>
  <c r="W101" i="23"/>
  <c r="V101" i="23"/>
  <c r="U101" i="23"/>
  <c r="T101" i="23"/>
  <c r="S101" i="23"/>
  <c r="R101" i="23"/>
  <c r="Q101" i="23"/>
  <c r="P101" i="23"/>
  <c r="O101" i="23"/>
  <c r="N101" i="23"/>
  <c r="M101" i="23"/>
  <c r="L101" i="23"/>
  <c r="K101" i="23"/>
  <c r="J101" i="23"/>
  <c r="I101" i="23"/>
  <c r="H101" i="23"/>
  <c r="G101" i="23"/>
  <c r="F101" i="23"/>
  <c r="E101" i="23"/>
  <c r="D101" i="23"/>
  <c r="C101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AG90" i="23"/>
  <c r="AF90" i="23"/>
  <c r="AE90" i="23"/>
  <c r="AD90" i="23"/>
  <c r="AC90" i="23"/>
  <c r="AB90" i="23"/>
  <c r="AA90" i="23"/>
  <c r="Z90" i="23"/>
  <c r="Y90" i="23"/>
  <c r="X90" i="23"/>
  <c r="W90" i="23"/>
  <c r="V90" i="23"/>
  <c r="U90" i="23"/>
  <c r="T90" i="23"/>
  <c r="S90" i="23"/>
  <c r="R90" i="23"/>
  <c r="Q90" i="23"/>
  <c r="P90" i="23"/>
  <c r="O90" i="23"/>
  <c r="N90" i="23"/>
  <c r="M90" i="23"/>
  <c r="L90" i="23"/>
  <c r="K90" i="23"/>
  <c r="J90" i="23"/>
  <c r="I90" i="23"/>
  <c r="H90" i="23"/>
  <c r="G90" i="23"/>
  <c r="F90" i="23"/>
  <c r="E90" i="23"/>
  <c r="D90" i="23"/>
  <c r="C90" i="23"/>
  <c r="AG89" i="23"/>
  <c r="AF89" i="23"/>
  <c r="AE89" i="23"/>
  <c r="AD89" i="23"/>
  <c r="AC89" i="23"/>
  <c r="AB89" i="23"/>
  <c r="AA89" i="23"/>
  <c r="Z8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AG83" i="23"/>
  <c r="AF83" i="23"/>
  <c r="AE83" i="23"/>
  <c r="AD83" i="23"/>
  <c r="AC83" i="23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AG79" i="23"/>
  <c r="AF79" i="23"/>
  <c r="AE79" i="23"/>
  <c r="AD79" i="23"/>
  <c r="AC79" i="23"/>
  <c r="AB79" i="23"/>
  <c r="AA79" i="23"/>
  <c r="Z79" i="23"/>
  <c r="Y79" i="23"/>
  <c r="X79" i="23"/>
  <c r="W79" i="23"/>
  <c r="V79" i="23"/>
  <c r="U79" i="23"/>
  <c r="T79" i="23"/>
  <c r="S79" i="23"/>
  <c r="R79" i="23"/>
  <c r="Q79" i="23"/>
  <c r="P79" i="23"/>
  <c r="O79" i="23"/>
  <c r="N79" i="23"/>
  <c r="M79" i="23"/>
  <c r="L79" i="23"/>
  <c r="K79" i="23"/>
  <c r="J79" i="23"/>
  <c r="I79" i="23"/>
  <c r="H79" i="23"/>
  <c r="G79" i="23"/>
  <c r="F79" i="23"/>
  <c r="E79" i="23"/>
  <c r="D79" i="23"/>
  <c r="C79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AG68" i="23"/>
  <c r="AF68" i="23"/>
  <c r="AE68" i="23"/>
  <c r="AD68" i="23"/>
  <c r="AC68" i="23"/>
  <c r="AB68" i="23"/>
  <c r="AA68" i="23"/>
  <c r="Z68" i="23"/>
  <c r="Y68" i="23"/>
  <c r="X68" i="23"/>
  <c r="W68" i="23"/>
  <c r="V68" i="23"/>
  <c r="U68" i="23"/>
  <c r="T68" i="23"/>
  <c r="S68" i="23"/>
  <c r="R68" i="23"/>
  <c r="Q68" i="23"/>
  <c r="P68" i="23"/>
  <c r="O68" i="23"/>
  <c r="N68" i="23"/>
  <c r="M68" i="23"/>
  <c r="L68" i="23"/>
  <c r="K68" i="23"/>
  <c r="J68" i="23"/>
  <c r="I68" i="23"/>
  <c r="H68" i="23"/>
  <c r="G68" i="23"/>
  <c r="F68" i="23"/>
  <c r="E68" i="23"/>
  <c r="D68" i="23"/>
  <c r="C68" i="23"/>
  <c r="AG67" i="23"/>
  <c r="AF67" i="23"/>
  <c r="AE67" i="23"/>
  <c r="AD67" i="23"/>
  <c r="AC67" i="23"/>
  <c r="AB67" i="23"/>
  <c r="AA67" i="23"/>
  <c r="Z67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Y66" i="23"/>
  <c r="BY67" i="23" s="1"/>
  <c r="BX66" i="23"/>
  <c r="BX67" i="23" s="1"/>
  <c r="BW66" i="23"/>
  <c r="BW67" i="23" s="1"/>
  <c r="BV66" i="23"/>
  <c r="BV67" i="23" s="1"/>
  <c r="AG61" i="23"/>
  <c r="AF61" i="23"/>
  <c r="AE61" i="23"/>
  <c r="AD61" i="23"/>
  <c r="AC61" i="23"/>
  <c r="AB61" i="23"/>
  <c r="AA61" i="23"/>
  <c r="Z61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AG57" i="23"/>
  <c r="AF57" i="23"/>
  <c r="AE57" i="23"/>
  <c r="AD57" i="23"/>
  <c r="AC57" i="23"/>
  <c r="AB57" i="23"/>
  <c r="AA57" i="23"/>
  <c r="Z57" i="23"/>
  <c r="Y57" i="23"/>
  <c r="X57" i="23"/>
  <c r="W57" i="23"/>
  <c r="V57" i="23"/>
  <c r="U57" i="23"/>
  <c r="T57" i="23"/>
  <c r="S57" i="23"/>
  <c r="R57" i="23"/>
  <c r="Q57" i="23"/>
  <c r="P57" i="23"/>
  <c r="O57" i="23"/>
  <c r="N57" i="23"/>
  <c r="M57" i="23"/>
  <c r="L57" i="23"/>
  <c r="K57" i="23"/>
  <c r="J57" i="23"/>
  <c r="I57" i="23"/>
  <c r="H57" i="23"/>
  <c r="G57" i="23"/>
  <c r="F57" i="23"/>
  <c r="E57" i="23"/>
  <c r="D57" i="23"/>
  <c r="C57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X50" i="23"/>
  <c r="BW50" i="23"/>
  <c r="BY61" i="23" s="1"/>
  <c r="BY64" i="23" s="1"/>
  <c r="BV50" i="23"/>
  <c r="BX61" i="23" s="1"/>
  <c r="BX64" i="23" s="1"/>
  <c r="BU50" i="23"/>
  <c r="BW61" i="23" s="1"/>
  <c r="BW64" i="23" s="1"/>
  <c r="BT50" i="23"/>
  <c r="BV61" i="23" s="1"/>
  <c r="BV64" i="23" s="1"/>
  <c r="BS50" i="23"/>
  <c r="BU61" i="23" s="1"/>
  <c r="BR50" i="23"/>
  <c r="BQ50" i="23"/>
  <c r="BP50" i="23"/>
  <c r="BO50" i="23"/>
  <c r="BN50" i="23"/>
  <c r="BM50" i="23"/>
  <c r="BL50" i="23"/>
  <c r="BK50" i="23"/>
  <c r="BJ50" i="23"/>
  <c r="BI50" i="23"/>
  <c r="BH50" i="23"/>
  <c r="BG50" i="23"/>
  <c r="BF50" i="23"/>
  <c r="BD50" i="23"/>
  <c r="BC50" i="23"/>
  <c r="BB50" i="23"/>
  <c r="BA50" i="23"/>
  <c r="AZ50" i="23"/>
  <c r="AY50" i="23"/>
  <c r="AX50" i="23"/>
  <c r="AW50" i="23"/>
  <c r="AV50" i="23"/>
  <c r="AU50" i="23"/>
  <c r="AT50" i="23"/>
  <c r="AS50" i="23"/>
  <c r="AR50" i="23"/>
  <c r="AQ50" i="23"/>
  <c r="AP50" i="23"/>
  <c r="AO50" i="23"/>
  <c r="AN50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AI49" i="23"/>
  <c r="AH46" i="23"/>
  <c r="AG76" i="23" s="1"/>
  <c r="AH45" i="23"/>
  <c r="BE44" i="23"/>
  <c r="W42" i="23"/>
  <c r="AP41" i="23"/>
  <c r="V40" i="23"/>
  <c r="AQ40" i="23" s="1"/>
  <c r="S40" i="23"/>
  <c r="R40" i="23"/>
  <c r="Q26" i="23" s="1"/>
  <c r="V39" i="23"/>
  <c r="S39" i="23"/>
  <c r="AP39" i="23" s="1"/>
  <c r="R39" i="23"/>
  <c r="Q25" i="23" s="1"/>
  <c r="V38" i="23"/>
  <c r="AQ38" i="23" s="1"/>
  <c r="S38" i="23"/>
  <c r="AP38" i="23" s="1"/>
  <c r="V37" i="23"/>
  <c r="N26" i="23" s="1"/>
  <c r="S37" i="23"/>
  <c r="AP37" i="23" s="1"/>
  <c r="R37" i="23"/>
  <c r="N25" i="23"/>
  <c r="K25" i="23"/>
  <c r="J25" i="23"/>
  <c r="AQ35" i="23"/>
  <c r="AP35" i="23"/>
  <c r="J24" i="23"/>
  <c r="AQ34" i="23"/>
  <c r="AP34" i="23"/>
  <c r="C26" i="23"/>
  <c r="AQ33" i="23"/>
  <c r="AP33" i="23"/>
  <c r="BA32" i="23"/>
  <c r="AO32" i="23" s="1"/>
  <c r="BB32" i="23" s="1"/>
  <c r="BC32" i="23" s="1"/>
  <c r="AQ32" i="23"/>
  <c r="AP32" i="23"/>
  <c r="AI32" i="23"/>
  <c r="C29" i="23"/>
  <c r="Q24" i="23"/>
  <c r="G24" i="23"/>
  <c r="D24" i="23"/>
  <c r="C24" i="23"/>
  <c r="AG178" i="22"/>
  <c r="AF178" i="22"/>
  <c r="AE178" i="22"/>
  <c r="AD178" i="22"/>
  <c r="AC178" i="22"/>
  <c r="AB178" i="22"/>
  <c r="AA178" i="22"/>
  <c r="Z178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AG177" i="22"/>
  <c r="AF177" i="22"/>
  <c r="AE177" i="22"/>
  <c r="AD177" i="22"/>
  <c r="AC177" i="22"/>
  <c r="AB177" i="22"/>
  <c r="AA177" i="22"/>
  <c r="Z177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AG171" i="22"/>
  <c r="AF171" i="22"/>
  <c r="AE171" i="22"/>
  <c r="AD171" i="22"/>
  <c r="AC171" i="22"/>
  <c r="AB171" i="22"/>
  <c r="AA171" i="22"/>
  <c r="Z171" i="22"/>
  <c r="Y171" i="22"/>
  <c r="X171" i="22"/>
  <c r="W171" i="22"/>
  <c r="V171" i="22"/>
  <c r="U171" i="22"/>
  <c r="T171" i="22"/>
  <c r="S171" i="22"/>
  <c r="R171" i="22"/>
  <c r="Q171" i="22"/>
  <c r="P171" i="22"/>
  <c r="O171" i="22"/>
  <c r="N171" i="22"/>
  <c r="M171" i="22"/>
  <c r="L171" i="22"/>
  <c r="K171" i="22"/>
  <c r="J171" i="22"/>
  <c r="I171" i="22"/>
  <c r="H171" i="22"/>
  <c r="G171" i="22"/>
  <c r="F171" i="22"/>
  <c r="E171" i="22"/>
  <c r="D171" i="22"/>
  <c r="C171" i="22"/>
  <c r="AG167" i="22"/>
  <c r="AF167" i="22"/>
  <c r="AE167" i="22"/>
  <c r="AD167" i="22"/>
  <c r="AC167" i="22"/>
  <c r="AB167" i="22"/>
  <c r="AA167" i="22"/>
  <c r="Z167" i="22"/>
  <c r="Y167" i="22"/>
  <c r="X167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AG166" i="22"/>
  <c r="AF166" i="22"/>
  <c r="AE166" i="22"/>
  <c r="AD166" i="22"/>
  <c r="AC166" i="22"/>
  <c r="AB166" i="22"/>
  <c r="AA166" i="22"/>
  <c r="Z166" i="22"/>
  <c r="Y166" i="22"/>
  <c r="X166" i="22"/>
  <c r="W166" i="22"/>
  <c r="V166" i="22"/>
  <c r="U166" i="22"/>
  <c r="T166" i="22"/>
  <c r="S166" i="22"/>
  <c r="R166" i="22"/>
  <c r="Q166" i="22"/>
  <c r="P166" i="22"/>
  <c r="O166" i="22"/>
  <c r="N166" i="22"/>
  <c r="M166" i="22"/>
  <c r="L166" i="22"/>
  <c r="K166" i="22"/>
  <c r="J166" i="22"/>
  <c r="I166" i="22"/>
  <c r="H166" i="22"/>
  <c r="G166" i="22"/>
  <c r="F166" i="22"/>
  <c r="E166" i="22"/>
  <c r="D166" i="22"/>
  <c r="C166" i="22"/>
  <c r="AG160" i="22"/>
  <c r="AF160" i="22"/>
  <c r="AE160" i="22"/>
  <c r="AD160" i="22"/>
  <c r="AC160" i="22"/>
  <c r="AB160" i="22"/>
  <c r="AA160" i="22"/>
  <c r="Z160" i="22"/>
  <c r="Y160" i="22"/>
  <c r="X160" i="22"/>
  <c r="W160" i="22"/>
  <c r="V160" i="22"/>
  <c r="U160" i="22"/>
  <c r="T160" i="22"/>
  <c r="S160" i="22"/>
  <c r="R160" i="22"/>
  <c r="Q160" i="22"/>
  <c r="P160" i="22"/>
  <c r="O160" i="22"/>
  <c r="N160" i="22"/>
  <c r="M160" i="22"/>
  <c r="L160" i="22"/>
  <c r="K160" i="22"/>
  <c r="J160" i="22"/>
  <c r="I160" i="22"/>
  <c r="H160" i="22"/>
  <c r="G160" i="22"/>
  <c r="F160" i="22"/>
  <c r="E160" i="22"/>
  <c r="D160" i="22"/>
  <c r="C160" i="22"/>
  <c r="AG156" i="22"/>
  <c r="AF156" i="22"/>
  <c r="AE156" i="22"/>
  <c r="AD156" i="22"/>
  <c r="AC156" i="22"/>
  <c r="AB156" i="22"/>
  <c r="AA156" i="22"/>
  <c r="Z156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AG155" i="22"/>
  <c r="AF155" i="22"/>
  <c r="AE155" i="22"/>
  <c r="AD155" i="22"/>
  <c r="AC155" i="22"/>
  <c r="AB155" i="22"/>
  <c r="AA155" i="22"/>
  <c r="Z155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AG149" i="22"/>
  <c r="AF149" i="22"/>
  <c r="AE149" i="22"/>
  <c r="AD149" i="22"/>
  <c r="AC149" i="22"/>
  <c r="AB149" i="22"/>
  <c r="AA149" i="22"/>
  <c r="Z149" i="22"/>
  <c r="Y149" i="22"/>
  <c r="X149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AG145" i="22"/>
  <c r="AF145" i="22"/>
  <c r="AE145" i="22"/>
  <c r="AD145" i="22"/>
  <c r="AC145" i="22"/>
  <c r="AB145" i="22"/>
  <c r="AA145" i="22"/>
  <c r="Z145" i="22"/>
  <c r="Y145" i="22"/>
  <c r="X145" i="22"/>
  <c r="W145" i="22"/>
  <c r="V145" i="22"/>
  <c r="U145" i="22"/>
  <c r="T145" i="22"/>
  <c r="S145" i="22"/>
  <c r="R145" i="22"/>
  <c r="Q145" i="22"/>
  <c r="P145" i="22"/>
  <c r="O145" i="22"/>
  <c r="N145" i="22"/>
  <c r="M145" i="22"/>
  <c r="L145" i="22"/>
  <c r="K145" i="22"/>
  <c r="J145" i="22"/>
  <c r="I145" i="22"/>
  <c r="H145" i="22"/>
  <c r="G145" i="22"/>
  <c r="F145" i="22"/>
  <c r="E145" i="22"/>
  <c r="D145" i="22"/>
  <c r="C145" i="22"/>
  <c r="AG144" i="22"/>
  <c r="AF144" i="22"/>
  <c r="AE144" i="22"/>
  <c r="AD144" i="22"/>
  <c r="AC144" i="22"/>
  <c r="AB144" i="22"/>
  <c r="AA144" i="22"/>
  <c r="Z144" i="22"/>
  <c r="Y144" i="22"/>
  <c r="X144" i="22"/>
  <c r="W144" i="22"/>
  <c r="V144" i="22"/>
  <c r="U144" i="22"/>
  <c r="T144" i="22"/>
  <c r="S144" i="22"/>
  <c r="R144" i="22"/>
  <c r="Q144" i="22"/>
  <c r="P144" i="22"/>
  <c r="O144" i="22"/>
  <c r="N144" i="22"/>
  <c r="M144" i="22"/>
  <c r="L144" i="22"/>
  <c r="K144" i="22"/>
  <c r="J144" i="22"/>
  <c r="I144" i="22"/>
  <c r="H144" i="22"/>
  <c r="G144" i="22"/>
  <c r="F144" i="22"/>
  <c r="E144" i="22"/>
  <c r="D144" i="22"/>
  <c r="C144" i="22"/>
  <c r="AG138" i="22"/>
  <c r="AF138" i="22"/>
  <c r="AE138" i="22"/>
  <c r="AD138" i="22"/>
  <c r="AC138" i="22"/>
  <c r="AB138" i="22"/>
  <c r="AA138" i="22"/>
  <c r="Z138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AG134" i="22"/>
  <c r="AF134" i="22"/>
  <c r="AE134" i="22"/>
  <c r="AD134" i="22"/>
  <c r="AC134" i="22"/>
  <c r="AB134" i="22"/>
  <c r="AA134" i="22"/>
  <c r="Z134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AG133" i="22"/>
  <c r="AF133" i="22"/>
  <c r="AE133" i="22"/>
  <c r="AD133" i="22"/>
  <c r="AC133" i="22"/>
  <c r="AB133" i="22"/>
  <c r="AA133" i="22"/>
  <c r="Z133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AG123" i="22"/>
  <c r="AF123" i="22"/>
  <c r="AE123" i="22"/>
  <c r="AD123" i="22"/>
  <c r="AC123" i="22"/>
  <c r="AB123" i="22"/>
  <c r="AA123" i="22"/>
  <c r="Z123" i="22"/>
  <c r="Y123" i="22"/>
  <c r="X123" i="22"/>
  <c r="W123" i="22"/>
  <c r="V123" i="22"/>
  <c r="U123" i="22"/>
  <c r="T123" i="22"/>
  <c r="S123" i="22"/>
  <c r="R123" i="22"/>
  <c r="Q123" i="22"/>
  <c r="P123" i="22"/>
  <c r="O123" i="22"/>
  <c r="N123" i="22"/>
  <c r="M123" i="22"/>
  <c r="L123" i="22"/>
  <c r="K123" i="22"/>
  <c r="J123" i="22"/>
  <c r="I123" i="22"/>
  <c r="H123" i="22"/>
  <c r="G123" i="22"/>
  <c r="F123" i="22"/>
  <c r="E123" i="22"/>
  <c r="D123" i="22"/>
  <c r="C123" i="22"/>
  <c r="AG122" i="22"/>
  <c r="AF122" i="22"/>
  <c r="AE122" i="22"/>
  <c r="AD122" i="22"/>
  <c r="AC122" i="22"/>
  <c r="AB122" i="22"/>
  <c r="AA122" i="22"/>
  <c r="Z122" i="22"/>
  <c r="Y122" i="22"/>
  <c r="X122" i="22"/>
  <c r="W122" i="22"/>
  <c r="V122" i="22"/>
  <c r="U122" i="22"/>
  <c r="T122" i="22"/>
  <c r="S122" i="22"/>
  <c r="R122" i="22"/>
  <c r="Q122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AG116" i="22"/>
  <c r="AF116" i="22"/>
  <c r="AE116" i="22"/>
  <c r="AD116" i="22"/>
  <c r="AC116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C116" i="22"/>
  <c r="AG112" i="22"/>
  <c r="AF112" i="22"/>
  <c r="AE112" i="22"/>
  <c r="AD112" i="22"/>
  <c r="AC112" i="22"/>
  <c r="AB112" i="22"/>
  <c r="AA112" i="22"/>
  <c r="Z112" i="22"/>
  <c r="Y112" i="22"/>
  <c r="X112" i="22"/>
  <c r="W112" i="22"/>
  <c r="V112" i="22"/>
  <c r="U112" i="22"/>
  <c r="T112" i="22"/>
  <c r="S112" i="22"/>
  <c r="R112" i="22"/>
  <c r="Q112" i="22"/>
  <c r="P112" i="22"/>
  <c r="O112" i="22"/>
  <c r="N112" i="22"/>
  <c r="M112" i="22"/>
  <c r="L112" i="22"/>
  <c r="K112" i="22"/>
  <c r="J112" i="22"/>
  <c r="I112" i="22"/>
  <c r="H112" i="22"/>
  <c r="G112" i="22"/>
  <c r="F112" i="22"/>
  <c r="E112" i="22"/>
  <c r="D112" i="22"/>
  <c r="C112" i="22"/>
  <c r="AG111" i="22"/>
  <c r="AF111" i="22"/>
  <c r="AE111" i="22"/>
  <c r="AD111" i="22"/>
  <c r="AC111" i="22"/>
  <c r="AB111" i="22"/>
  <c r="AA111" i="22"/>
  <c r="Z111" i="22"/>
  <c r="Y111" i="22"/>
  <c r="X111" i="22"/>
  <c r="W111" i="22"/>
  <c r="V111" i="22"/>
  <c r="U111" i="22"/>
  <c r="T111" i="22"/>
  <c r="S111" i="22"/>
  <c r="R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AG105" i="22"/>
  <c r="AF105" i="22"/>
  <c r="AE105" i="22"/>
  <c r="AD105" i="22"/>
  <c r="AC105" i="22"/>
  <c r="AB105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AG101" i="22"/>
  <c r="AF101" i="22"/>
  <c r="AE101" i="22"/>
  <c r="AD101" i="22"/>
  <c r="AC101" i="22"/>
  <c r="AB101" i="22"/>
  <c r="AA101" i="22"/>
  <c r="Z101" i="22"/>
  <c r="Y101" i="22"/>
  <c r="X101" i="22"/>
  <c r="W101" i="22"/>
  <c r="V101" i="22"/>
  <c r="U101" i="22"/>
  <c r="T101" i="22"/>
  <c r="S101" i="22"/>
  <c r="R101" i="22"/>
  <c r="Q101" i="22"/>
  <c r="P101" i="22"/>
  <c r="O101" i="22"/>
  <c r="N101" i="22"/>
  <c r="M101" i="22"/>
  <c r="L101" i="22"/>
  <c r="K101" i="22"/>
  <c r="J101" i="22"/>
  <c r="I101" i="22"/>
  <c r="H101" i="22"/>
  <c r="G101" i="22"/>
  <c r="F101" i="22"/>
  <c r="E101" i="22"/>
  <c r="D101" i="22"/>
  <c r="C101" i="22"/>
  <c r="AG100" i="22"/>
  <c r="AF100" i="22"/>
  <c r="AE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AG94" i="22"/>
  <c r="AF94" i="22"/>
  <c r="AE94" i="22"/>
  <c r="AD94" i="22"/>
  <c r="AC94" i="22"/>
  <c r="AB94" i="22"/>
  <c r="AA94" i="22"/>
  <c r="Z94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AG90" i="22"/>
  <c r="AF90" i="22"/>
  <c r="AE90" i="22"/>
  <c r="AD90" i="22"/>
  <c r="AC90" i="22"/>
  <c r="AB90" i="22"/>
  <c r="AA90" i="22"/>
  <c r="Z90" i="22"/>
  <c r="Y90" i="22"/>
  <c r="X90" i="22"/>
  <c r="W90" i="22"/>
  <c r="V90" i="22"/>
  <c r="U90" i="22"/>
  <c r="T90" i="22"/>
  <c r="S90" i="22"/>
  <c r="R90" i="22"/>
  <c r="Q90" i="22"/>
  <c r="P90" i="22"/>
  <c r="O90" i="22"/>
  <c r="N90" i="22"/>
  <c r="M90" i="22"/>
  <c r="L90" i="22"/>
  <c r="K90" i="22"/>
  <c r="J90" i="22"/>
  <c r="I90" i="22"/>
  <c r="H90" i="22"/>
  <c r="G90" i="22"/>
  <c r="F90" i="22"/>
  <c r="E90" i="22"/>
  <c r="D90" i="22"/>
  <c r="C90" i="22"/>
  <c r="AG89" i="22"/>
  <c r="AF89" i="22"/>
  <c r="AE89" i="22"/>
  <c r="AD89" i="22"/>
  <c r="AC89" i="22"/>
  <c r="AB89" i="22"/>
  <c r="AA89" i="22"/>
  <c r="Z89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AG83" i="22"/>
  <c r="AF83" i="22"/>
  <c r="AE83" i="22"/>
  <c r="AD83" i="22"/>
  <c r="AC83" i="22"/>
  <c r="AB83" i="22"/>
  <c r="AA83" i="22"/>
  <c r="Z83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AG79" i="22"/>
  <c r="AF79" i="22"/>
  <c r="AE79" i="22"/>
  <c r="AD79" i="22"/>
  <c r="AC79" i="22"/>
  <c r="AB79" i="22"/>
  <c r="AA79" i="22"/>
  <c r="Z79" i="22"/>
  <c r="Y79" i="22"/>
  <c r="X79" i="22"/>
  <c r="W79" i="22"/>
  <c r="V79" i="22"/>
  <c r="U79" i="22"/>
  <c r="T79" i="22"/>
  <c r="S79" i="22"/>
  <c r="R79" i="22"/>
  <c r="Q79" i="22"/>
  <c r="P79" i="22"/>
  <c r="O79" i="22"/>
  <c r="N79" i="22"/>
  <c r="M79" i="22"/>
  <c r="L79" i="22"/>
  <c r="K79" i="22"/>
  <c r="J79" i="22"/>
  <c r="I79" i="22"/>
  <c r="H79" i="22"/>
  <c r="G79" i="22"/>
  <c r="F79" i="22"/>
  <c r="E79" i="22"/>
  <c r="D79" i="22"/>
  <c r="C79" i="22"/>
  <c r="AG78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AG68" i="22"/>
  <c r="AF68" i="22"/>
  <c r="AE68" i="22"/>
  <c r="AD68" i="22"/>
  <c r="AC68" i="22"/>
  <c r="AB68" i="22"/>
  <c r="AA68" i="22"/>
  <c r="Z68" i="22"/>
  <c r="Y68" i="22"/>
  <c r="X68" i="22"/>
  <c r="W68" i="22"/>
  <c r="V68" i="22"/>
  <c r="U68" i="22"/>
  <c r="T68" i="22"/>
  <c r="S68" i="22"/>
  <c r="R68" i="22"/>
  <c r="Q68" i="22"/>
  <c r="P68" i="22"/>
  <c r="O68" i="22"/>
  <c r="N68" i="22"/>
  <c r="M68" i="22"/>
  <c r="L68" i="22"/>
  <c r="K68" i="22"/>
  <c r="J68" i="22"/>
  <c r="I68" i="22"/>
  <c r="H68" i="22"/>
  <c r="G68" i="22"/>
  <c r="F68" i="22"/>
  <c r="E68" i="22"/>
  <c r="D68" i="22"/>
  <c r="C68" i="22"/>
  <c r="AG67" i="22"/>
  <c r="AF67" i="22"/>
  <c r="AE67" i="22"/>
  <c r="AD67" i="22"/>
  <c r="AC67" i="22"/>
  <c r="AB67" i="22"/>
  <c r="AA67" i="22"/>
  <c r="Z67" i="22"/>
  <c r="Y67" i="22"/>
  <c r="X67" i="22"/>
  <c r="W67" i="22"/>
  <c r="V67" i="22"/>
  <c r="U67" i="22"/>
  <c r="T67" i="22"/>
  <c r="S67" i="22"/>
  <c r="R67" i="22"/>
  <c r="Q67" i="22"/>
  <c r="P67" i="22"/>
  <c r="O67" i="22"/>
  <c r="N67" i="22"/>
  <c r="M67" i="22"/>
  <c r="L67" i="22"/>
  <c r="K67" i="22"/>
  <c r="J67" i="22"/>
  <c r="I67" i="22"/>
  <c r="H67" i="22"/>
  <c r="G67" i="22"/>
  <c r="F67" i="22"/>
  <c r="E67" i="22"/>
  <c r="D67" i="22"/>
  <c r="C67" i="22"/>
  <c r="BY66" i="22"/>
  <c r="BY67" i="22" s="1"/>
  <c r="BX66" i="22"/>
  <c r="BX67" i="22" s="1"/>
  <c r="BW66" i="22"/>
  <c r="BW67" i="22" s="1"/>
  <c r="BV66" i="22"/>
  <c r="BV67" i="22" s="1"/>
  <c r="AG61" i="22"/>
  <c r="AF61" i="22"/>
  <c r="AE61" i="22"/>
  <c r="AD61" i="22"/>
  <c r="AC61" i="22"/>
  <c r="AB61" i="22"/>
  <c r="AA61" i="22"/>
  <c r="Z61" i="22"/>
  <c r="Y61" i="22"/>
  <c r="X61" i="22"/>
  <c r="W61" i="22"/>
  <c r="V61" i="22"/>
  <c r="U61" i="22"/>
  <c r="T61" i="22"/>
  <c r="S61" i="22"/>
  <c r="R61" i="22"/>
  <c r="Q61" i="22"/>
  <c r="P61" i="22"/>
  <c r="O61" i="22"/>
  <c r="N61" i="22"/>
  <c r="M61" i="22"/>
  <c r="L61" i="22"/>
  <c r="K61" i="22"/>
  <c r="J61" i="22"/>
  <c r="I61" i="22"/>
  <c r="H61" i="22"/>
  <c r="G61" i="22"/>
  <c r="F61" i="22"/>
  <c r="E61" i="22"/>
  <c r="D61" i="22"/>
  <c r="C61" i="22"/>
  <c r="AG57" i="22"/>
  <c r="AF57" i="22"/>
  <c r="AE57" i="22"/>
  <c r="AD57" i="22"/>
  <c r="AC57" i="22"/>
  <c r="AB57" i="22"/>
  <c r="AA57" i="22"/>
  <c r="Z57" i="22"/>
  <c r="Y57" i="22"/>
  <c r="X57" i="22"/>
  <c r="W57" i="22"/>
  <c r="V57" i="22"/>
  <c r="U57" i="22"/>
  <c r="T57" i="22"/>
  <c r="S57" i="22"/>
  <c r="R57" i="22"/>
  <c r="Q57" i="22"/>
  <c r="P57" i="22"/>
  <c r="O57" i="22"/>
  <c r="N57" i="22"/>
  <c r="M57" i="22"/>
  <c r="L57" i="22"/>
  <c r="K57" i="22"/>
  <c r="J57" i="22"/>
  <c r="I57" i="22"/>
  <c r="H57" i="22"/>
  <c r="G57" i="22"/>
  <c r="F57" i="22"/>
  <c r="E57" i="22"/>
  <c r="D57" i="22"/>
  <c r="C57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X50" i="22"/>
  <c r="BW50" i="22"/>
  <c r="BY61" i="22" s="1"/>
  <c r="BY64" i="22" s="1"/>
  <c r="BV50" i="22"/>
  <c r="BX61" i="22" s="1"/>
  <c r="BX64" i="22" s="1"/>
  <c r="BU50" i="22"/>
  <c r="BW61" i="22" s="1"/>
  <c r="BW64" i="22" s="1"/>
  <c r="BT50" i="22"/>
  <c r="BV61" i="22" s="1"/>
  <c r="BV64" i="22" s="1"/>
  <c r="BS50" i="22"/>
  <c r="BU61" i="22" s="1"/>
  <c r="BR50" i="22"/>
  <c r="BQ50" i="22"/>
  <c r="BP50" i="22"/>
  <c r="BO50" i="22"/>
  <c r="BN50" i="22"/>
  <c r="BM50" i="22"/>
  <c r="BL50" i="22"/>
  <c r="BK50" i="22"/>
  <c r="BJ50" i="22"/>
  <c r="BI50" i="22"/>
  <c r="BH50" i="22"/>
  <c r="BG50" i="22"/>
  <c r="BF50" i="22"/>
  <c r="BD50" i="22"/>
  <c r="BC50" i="22"/>
  <c r="BB50" i="22"/>
  <c r="BA50" i="22"/>
  <c r="AZ50" i="22"/>
  <c r="AY50" i="22"/>
  <c r="AX50" i="22"/>
  <c r="AW50" i="22"/>
  <c r="AV50" i="22"/>
  <c r="AU50" i="22"/>
  <c r="AT50" i="22"/>
  <c r="AS50" i="22"/>
  <c r="AR50" i="22"/>
  <c r="AQ50" i="22"/>
  <c r="AP50" i="22"/>
  <c r="AO50" i="22"/>
  <c r="AN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AI49" i="22"/>
  <c r="AR48" i="22"/>
  <c r="AZ47" i="22" s="1"/>
  <c r="AH46" i="22"/>
  <c r="AG109" i="22" s="1"/>
  <c r="AH45" i="22"/>
  <c r="BE44" i="22"/>
  <c r="W42" i="22"/>
  <c r="AP41" i="22"/>
  <c r="V40" i="22"/>
  <c r="AQ40" i="22" s="1"/>
  <c r="S40" i="22"/>
  <c r="AP40" i="22" s="1"/>
  <c r="R40" i="22"/>
  <c r="Q26" i="22" s="1"/>
  <c r="V39" i="22"/>
  <c r="AQ39" i="22" s="1"/>
  <c r="S39" i="22"/>
  <c r="AP39" i="22" s="1"/>
  <c r="R39" i="22"/>
  <c r="Q25" i="22" s="1"/>
  <c r="V38" i="22"/>
  <c r="AQ38" i="22" s="1"/>
  <c r="S38" i="22"/>
  <c r="V37" i="22"/>
  <c r="AQ37" i="22" s="1"/>
  <c r="S37" i="22"/>
  <c r="R37" i="22"/>
  <c r="N25" i="22"/>
  <c r="K25" i="22"/>
  <c r="J25" i="22"/>
  <c r="AQ35" i="22"/>
  <c r="K24" i="22"/>
  <c r="J24" i="22"/>
  <c r="AQ34" i="22"/>
  <c r="AP34" i="22"/>
  <c r="C26" i="22"/>
  <c r="AQ33" i="22"/>
  <c r="AP33" i="22"/>
  <c r="C25" i="22"/>
  <c r="BA32" i="22"/>
  <c r="AO32" i="22" s="1"/>
  <c r="BB32" i="22" s="1"/>
  <c r="BC32" i="22" s="1"/>
  <c r="AQ32" i="22"/>
  <c r="AP32" i="22"/>
  <c r="AI32" i="22"/>
  <c r="C29" i="22"/>
  <c r="Q24" i="22"/>
  <c r="G24" i="22"/>
  <c r="D24" i="22"/>
  <c r="C24" i="22"/>
  <c r="B3" i="22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Y66" i="21"/>
  <c r="BY67" i="21" s="1"/>
  <c r="BX66" i="21"/>
  <c r="BX67" i="21" s="1"/>
  <c r="BW66" i="21"/>
  <c r="BW67" i="21" s="1"/>
  <c r="BV66" i="21"/>
  <c r="BV67" i="21" s="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X50" i="21"/>
  <c r="BW50" i="21"/>
  <c r="BY61" i="21" s="1"/>
  <c r="BY64" i="21" s="1"/>
  <c r="BV50" i="21"/>
  <c r="BX61" i="21" s="1"/>
  <c r="BX64" i="21" s="1"/>
  <c r="BU50" i="21"/>
  <c r="BW61" i="21" s="1"/>
  <c r="BW64" i="21" s="1"/>
  <c r="BT50" i="21"/>
  <c r="BV61" i="21" s="1"/>
  <c r="BV64" i="21" s="1"/>
  <c r="BS50" i="21"/>
  <c r="BU61" i="21" s="1"/>
  <c r="BR50" i="21"/>
  <c r="BQ50" i="21"/>
  <c r="BP50" i="21"/>
  <c r="BO50" i="21"/>
  <c r="BN50" i="21"/>
  <c r="BM50" i="21"/>
  <c r="BL50" i="21"/>
  <c r="BK50" i="21"/>
  <c r="BJ50" i="21"/>
  <c r="BI50" i="21"/>
  <c r="BH50" i="21"/>
  <c r="BG50" i="21"/>
  <c r="BF50" i="21"/>
  <c r="BD50" i="21"/>
  <c r="BC50" i="21"/>
  <c r="BB50" i="21"/>
  <c r="BA50" i="21"/>
  <c r="AZ50" i="21"/>
  <c r="AY50" i="21"/>
  <c r="AX50" i="21"/>
  <c r="AW50" i="21"/>
  <c r="AV50" i="21"/>
  <c r="AU50" i="21"/>
  <c r="AT50" i="21"/>
  <c r="AS50" i="21"/>
  <c r="AR50" i="21"/>
  <c r="AQ50" i="21"/>
  <c r="AP50" i="21"/>
  <c r="AO50" i="21"/>
  <c r="AN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AI49" i="21"/>
  <c r="AH46" i="21"/>
  <c r="AG76" i="21" s="1"/>
  <c r="AH45" i="21"/>
  <c r="BE44" i="21"/>
  <c r="W42" i="21"/>
  <c r="AP41" i="21"/>
  <c r="V40" i="21"/>
  <c r="AQ40" i="21" s="1"/>
  <c r="S40" i="21"/>
  <c r="AP40" i="21" s="1"/>
  <c r="R40" i="21"/>
  <c r="Q26" i="21" s="1"/>
  <c r="V39" i="21"/>
  <c r="AQ39" i="21" s="1"/>
  <c r="S39" i="21"/>
  <c r="AP39" i="21" s="1"/>
  <c r="R39" i="21"/>
  <c r="Q25" i="21" s="1"/>
  <c r="V38" i="21"/>
  <c r="AQ38" i="21" s="1"/>
  <c r="S38" i="21"/>
  <c r="V37" i="21"/>
  <c r="S37" i="21"/>
  <c r="K26" i="21" s="1"/>
  <c r="R37" i="21"/>
  <c r="J26" i="21" s="1"/>
  <c r="AQ36" i="21"/>
  <c r="AP36" i="21"/>
  <c r="J25" i="21"/>
  <c r="AQ35" i="21"/>
  <c r="AP35" i="21"/>
  <c r="J24" i="21"/>
  <c r="AQ34" i="21"/>
  <c r="D26" i="21"/>
  <c r="C26" i="21"/>
  <c r="AQ33" i="21"/>
  <c r="AP33" i="21"/>
  <c r="C25" i="21"/>
  <c r="B4" i="21"/>
  <c r="BA32" i="21"/>
  <c r="AO32" i="21" s="1"/>
  <c r="BB32" i="21" s="1"/>
  <c r="BC32" i="21" s="1"/>
  <c r="AQ32" i="21"/>
  <c r="AP32" i="21"/>
  <c r="AI32" i="21"/>
  <c r="C29" i="21"/>
  <c r="G26" i="21"/>
  <c r="Q24" i="21"/>
  <c r="G24" i="21"/>
  <c r="D24" i="21"/>
  <c r="C24" i="21"/>
  <c r="B3" i="21"/>
  <c r="AG178" i="20"/>
  <c r="AF178" i="20"/>
  <c r="AE178" i="20"/>
  <c r="AD178" i="20"/>
  <c r="AC178" i="20"/>
  <c r="AB178" i="20"/>
  <c r="AA178" i="20"/>
  <c r="Z178" i="20"/>
  <c r="Y178" i="20"/>
  <c r="X178" i="20"/>
  <c r="W178" i="20"/>
  <c r="V178" i="20"/>
  <c r="U178" i="20"/>
  <c r="T178" i="20"/>
  <c r="S178" i="20"/>
  <c r="R178" i="20"/>
  <c r="Q178" i="20"/>
  <c r="P178" i="20"/>
  <c r="O178" i="20"/>
  <c r="N178" i="20"/>
  <c r="M178" i="20"/>
  <c r="L178" i="20"/>
  <c r="K178" i="20"/>
  <c r="J178" i="20"/>
  <c r="I178" i="20"/>
  <c r="H178" i="20"/>
  <c r="G178" i="20"/>
  <c r="F178" i="20"/>
  <c r="E178" i="20"/>
  <c r="D178" i="20"/>
  <c r="C178" i="20"/>
  <c r="AG177" i="20"/>
  <c r="AF177" i="20"/>
  <c r="AE177" i="20"/>
  <c r="AD177" i="20"/>
  <c r="AC177" i="20"/>
  <c r="AB177" i="20"/>
  <c r="AA177" i="20"/>
  <c r="Z177" i="20"/>
  <c r="Y177" i="20"/>
  <c r="X177" i="20"/>
  <c r="W177" i="20"/>
  <c r="V177" i="20"/>
  <c r="U177" i="20"/>
  <c r="T177" i="20"/>
  <c r="S177" i="20"/>
  <c r="R177" i="20"/>
  <c r="Q177" i="20"/>
  <c r="P177" i="20"/>
  <c r="O177" i="20"/>
  <c r="N177" i="20"/>
  <c r="M177" i="20"/>
  <c r="L177" i="20"/>
  <c r="K177" i="20"/>
  <c r="J177" i="20"/>
  <c r="I177" i="20"/>
  <c r="H177" i="20"/>
  <c r="G177" i="20"/>
  <c r="F177" i="20"/>
  <c r="E177" i="20"/>
  <c r="D177" i="20"/>
  <c r="C177" i="20"/>
  <c r="AG171" i="20"/>
  <c r="AF171" i="20"/>
  <c r="AE171" i="20"/>
  <c r="AD171" i="20"/>
  <c r="AC171" i="20"/>
  <c r="AB171" i="20"/>
  <c r="AA171" i="20"/>
  <c r="Z171" i="20"/>
  <c r="Y171" i="20"/>
  <c r="X171" i="20"/>
  <c r="W171" i="20"/>
  <c r="V171" i="20"/>
  <c r="U171" i="20"/>
  <c r="T171" i="20"/>
  <c r="S171" i="20"/>
  <c r="R171" i="20"/>
  <c r="Q171" i="20"/>
  <c r="P171" i="20"/>
  <c r="O171" i="20"/>
  <c r="N171" i="20"/>
  <c r="M171" i="20"/>
  <c r="L171" i="20"/>
  <c r="K171" i="20"/>
  <c r="J171" i="20"/>
  <c r="I171" i="20"/>
  <c r="H171" i="20"/>
  <c r="G171" i="20"/>
  <c r="F171" i="20"/>
  <c r="E171" i="20"/>
  <c r="D171" i="20"/>
  <c r="C171" i="20"/>
  <c r="AG167" i="20"/>
  <c r="AF167" i="20"/>
  <c r="AE167" i="20"/>
  <c r="AD167" i="20"/>
  <c r="AC167" i="20"/>
  <c r="AB167" i="20"/>
  <c r="AA167" i="20"/>
  <c r="Z167" i="20"/>
  <c r="Y167" i="20"/>
  <c r="X167" i="20"/>
  <c r="W167" i="20"/>
  <c r="V167" i="20"/>
  <c r="U167" i="20"/>
  <c r="T167" i="20"/>
  <c r="S167" i="20"/>
  <c r="R167" i="20"/>
  <c r="Q167" i="20"/>
  <c r="P167" i="20"/>
  <c r="O167" i="20"/>
  <c r="N167" i="20"/>
  <c r="M167" i="20"/>
  <c r="L167" i="20"/>
  <c r="K167" i="20"/>
  <c r="J167" i="20"/>
  <c r="I167" i="20"/>
  <c r="H167" i="20"/>
  <c r="G167" i="20"/>
  <c r="F167" i="20"/>
  <c r="E167" i="20"/>
  <c r="D167" i="20"/>
  <c r="C167" i="20"/>
  <c r="AG166" i="20"/>
  <c r="AF166" i="20"/>
  <c r="AE166" i="20"/>
  <c r="AD166" i="20"/>
  <c r="AC166" i="20"/>
  <c r="AB166" i="20"/>
  <c r="AA166" i="20"/>
  <c r="Z166" i="20"/>
  <c r="Y166" i="20"/>
  <c r="X166" i="20"/>
  <c r="W166" i="20"/>
  <c r="V166" i="20"/>
  <c r="U166" i="20"/>
  <c r="T166" i="20"/>
  <c r="S166" i="20"/>
  <c r="R166" i="20"/>
  <c r="Q166" i="20"/>
  <c r="P166" i="20"/>
  <c r="O166" i="20"/>
  <c r="N166" i="20"/>
  <c r="M166" i="20"/>
  <c r="L166" i="20"/>
  <c r="K166" i="20"/>
  <c r="J166" i="20"/>
  <c r="I166" i="20"/>
  <c r="H166" i="20"/>
  <c r="G166" i="20"/>
  <c r="F166" i="20"/>
  <c r="E166" i="20"/>
  <c r="D166" i="20"/>
  <c r="C166" i="20"/>
  <c r="AG160" i="20"/>
  <c r="AF160" i="20"/>
  <c r="AE160" i="20"/>
  <c r="AD160" i="20"/>
  <c r="AC160" i="20"/>
  <c r="AB160" i="20"/>
  <c r="AA160" i="20"/>
  <c r="Z160" i="20"/>
  <c r="Y160" i="20"/>
  <c r="X160" i="20"/>
  <c r="W160" i="20"/>
  <c r="V160" i="20"/>
  <c r="U160" i="20"/>
  <c r="T160" i="20"/>
  <c r="S160" i="20"/>
  <c r="R160" i="20"/>
  <c r="Q160" i="20"/>
  <c r="P160" i="20"/>
  <c r="O160" i="20"/>
  <c r="N160" i="20"/>
  <c r="M160" i="20"/>
  <c r="L160" i="20"/>
  <c r="K160" i="20"/>
  <c r="J160" i="20"/>
  <c r="I160" i="20"/>
  <c r="H160" i="20"/>
  <c r="G160" i="20"/>
  <c r="F160" i="20"/>
  <c r="E160" i="20"/>
  <c r="D160" i="20"/>
  <c r="C160" i="20"/>
  <c r="AG156" i="20"/>
  <c r="AF156" i="20"/>
  <c r="AE156" i="20"/>
  <c r="AD156" i="20"/>
  <c r="AC156" i="20"/>
  <c r="AB156" i="20"/>
  <c r="AA156" i="20"/>
  <c r="Z156" i="20"/>
  <c r="Y156" i="20"/>
  <c r="X156" i="20"/>
  <c r="W156" i="20"/>
  <c r="V156" i="20"/>
  <c r="U156" i="20"/>
  <c r="T156" i="20"/>
  <c r="S156" i="20"/>
  <c r="R156" i="20"/>
  <c r="Q156" i="20"/>
  <c r="P156" i="20"/>
  <c r="O156" i="20"/>
  <c r="N156" i="20"/>
  <c r="M156" i="20"/>
  <c r="L156" i="20"/>
  <c r="K156" i="20"/>
  <c r="J156" i="20"/>
  <c r="I156" i="20"/>
  <c r="H156" i="20"/>
  <c r="G156" i="20"/>
  <c r="F156" i="20"/>
  <c r="E156" i="20"/>
  <c r="D156" i="20"/>
  <c r="C156" i="20"/>
  <c r="AG155" i="20"/>
  <c r="AF155" i="20"/>
  <c r="AE155" i="20"/>
  <c r="AD155" i="20"/>
  <c r="AC155" i="20"/>
  <c r="AB155" i="20"/>
  <c r="AA155" i="20"/>
  <c r="Z155" i="20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AG149" i="20"/>
  <c r="AF149" i="20"/>
  <c r="AE149" i="20"/>
  <c r="AD149" i="20"/>
  <c r="AC149" i="20"/>
  <c r="AB149" i="20"/>
  <c r="AA149" i="20"/>
  <c r="Z149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AG145" i="20"/>
  <c r="AF145" i="20"/>
  <c r="AE145" i="20"/>
  <c r="AD145" i="20"/>
  <c r="AC145" i="20"/>
  <c r="AB145" i="20"/>
  <c r="AA145" i="20"/>
  <c r="Z145" i="20"/>
  <c r="Y145" i="20"/>
  <c r="X145" i="20"/>
  <c r="W145" i="20"/>
  <c r="V145" i="20"/>
  <c r="U145" i="20"/>
  <c r="T145" i="20"/>
  <c r="S145" i="20"/>
  <c r="R145" i="20"/>
  <c r="Q145" i="20"/>
  <c r="P145" i="20"/>
  <c r="O145" i="20"/>
  <c r="N145" i="20"/>
  <c r="M145" i="20"/>
  <c r="L145" i="20"/>
  <c r="K145" i="20"/>
  <c r="J145" i="20"/>
  <c r="I145" i="20"/>
  <c r="H145" i="20"/>
  <c r="G145" i="20"/>
  <c r="F145" i="20"/>
  <c r="E145" i="20"/>
  <c r="D145" i="20"/>
  <c r="C145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AG134" i="20"/>
  <c r="AF134" i="20"/>
  <c r="AE134" i="20"/>
  <c r="AD134" i="20"/>
  <c r="AC134" i="20"/>
  <c r="AB134" i="20"/>
  <c r="AA134" i="20"/>
  <c r="Z134" i="20"/>
  <c r="Y134" i="20"/>
  <c r="X134" i="20"/>
  <c r="W134" i="20"/>
  <c r="V134" i="20"/>
  <c r="U134" i="20"/>
  <c r="T134" i="20"/>
  <c r="S134" i="20"/>
  <c r="R134" i="20"/>
  <c r="Q134" i="20"/>
  <c r="P134" i="20"/>
  <c r="O134" i="20"/>
  <c r="N134" i="20"/>
  <c r="M134" i="20"/>
  <c r="L134" i="20"/>
  <c r="K134" i="20"/>
  <c r="J134" i="20"/>
  <c r="I134" i="20"/>
  <c r="H134" i="20"/>
  <c r="G134" i="20"/>
  <c r="F134" i="20"/>
  <c r="E134" i="20"/>
  <c r="D134" i="20"/>
  <c r="C134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AG123" i="20"/>
  <c r="AF123" i="20"/>
  <c r="AE123" i="20"/>
  <c r="AD123" i="20"/>
  <c r="AC123" i="20"/>
  <c r="AB123" i="20"/>
  <c r="AA123" i="20"/>
  <c r="Z123" i="20"/>
  <c r="Y123" i="20"/>
  <c r="X123" i="20"/>
  <c r="W123" i="20"/>
  <c r="V123" i="20"/>
  <c r="U123" i="20"/>
  <c r="T123" i="20"/>
  <c r="S123" i="20"/>
  <c r="R123" i="20"/>
  <c r="Q123" i="20"/>
  <c r="P123" i="20"/>
  <c r="O123" i="20"/>
  <c r="N123" i="20"/>
  <c r="M123" i="20"/>
  <c r="L123" i="20"/>
  <c r="K123" i="20"/>
  <c r="J123" i="20"/>
  <c r="I123" i="20"/>
  <c r="H123" i="20"/>
  <c r="G123" i="20"/>
  <c r="F123" i="20"/>
  <c r="E123" i="20"/>
  <c r="D123" i="20"/>
  <c r="C123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AG112" i="20"/>
  <c r="AF112" i="20"/>
  <c r="AE112" i="20"/>
  <c r="AD112" i="20"/>
  <c r="AC112" i="20"/>
  <c r="AB112" i="20"/>
  <c r="AA112" i="20"/>
  <c r="Z112" i="20"/>
  <c r="Y112" i="20"/>
  <c r="X112" i="20"/>
  <c r="W112" i="20"/>
  <c r="V112" i="20"/>
  <c r="U112" i="20"/>
  <c r="T112" i="20"/>
  <c r="S112" i="20"/>
  <c r="R112" i="20"/>
  <c r="Q112" i="20"/>
  <c r="P112" i="20"/>
  <c r="O112" i="20"/>
  <c r="N112" i="20"/>
  <c r="M112" i="20"/>
  <c r="L112" i="20"/>
  <c r="K112" i="20"/>
  <c r="J112" i="20"/>
  <c r="I112" i="20"/>
  <c r="H112" i="20"/>
  <c r="G112" i="20"/>
  <c r="F112" i="20"/>
  <c r="E112" i="20"/>
  <c r="D112" i="20"/>
  <c r="C112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AG101" i="20"/>
  <c r="AF101" i="20"/>
  <c r="AE101" i="20"/>
  <c r="AD101" i="20"/>
  <c r="AC101" i="20"/>
  <c r="AB101" i="20"/>
  <c r="AA101" i="20"/>
  <c r="Z101" i="20"/>
  <c r="Y101" i="20"/>
  <c r="X101" i="20"/>
  <c r="W101" i="20"/>
  <c r="V101" i="20"/>
  <c r="U101" i="20"/>
  <c r="T101" i="20"/>
  <c r="S101" i="20"/>
  <c r="R101" i="20"/>
  <c r="Q101" i="20"/>
  <c r="P101" i="20"/>
  <c r="O101" i="20"/>
  <c r="N101" i="20"/>
  <c r="M101" i="20"/>
  <c r="L101" i="20"/>
  <c r="K101" i="20"/>
  <c r="J101" i="20"/>
  <c r="I101" i="20"/>
  <c r="H101" i="20"/>
  <c r="G101" i="20"/>
  <c r="F101" i="20"/>
  <c r="E101" i="20"/>
  <c r="D101" i="20"/>
  <c r="C101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AG90" i="20"/>
  <c r="AF90" i="20"/>
  <c r="AE90" i="20"/>
  <c r="AD90" i="20"/>
  <c r="AC90" i="20"/>
  <c r="AB90" i="20"/>
  <c r="AA90" i="20"/>
  <c r="Z90" i="20"/>
  <c r="Y90" i="20"/>
  <c r="X90" i="20"/>
  <c r="W90" i="20"/>
  <c r="V90" i="20"/>
  <c r="U90" i="20"/>
  <c r="T90" i="20"/>
  <c r="S90" i="20"/>
  <c r="R90" i="20"/>
  <c r="Q90" i="20"/>
  <c r="P90" i="20"/>
  <c r="O90" i="20"/>
  <c r="N90" i="20"/>
  <c r="M90" i="20"/>
  <c r="L90" i="20"/>
  <c r="K90" i="20"/>
  <c r="J90" i="20"/>
  <c r="I90" i="20"/>
  <c r="H90" i="20"/>
  <c r="G90" i="20"/>
  <c r="F90" i="20"/>
  <c r="E90" i="20"/>
  <c r="D90" i="20"/>
  <c r="C90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AG79" i="20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D79" i="20"/>
  <c r="C79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AG68" i="20"/>
  <c r="AF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R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AG67" i="20"/>
  <c r="AF67" i="20"/>
  <c r="AE67" i="20"/>
  <c r="AD67" i="20"/>
  <c r="AC67" i="20"/>
  <c r="AB67" i="20"/>
  <c r="AA67" i="20"/>
  <c r="Z67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Y66" i="20"/>
  <c r="BY67" i="20" s="1"/>
  <c r="BX66" i="20"/>
  <c r="BX67" i="20" s="1"/>
  <c r="BW66" i="20"/>
  <c r="BW67" i="20" s="1"/>
  <c r="BV66" i="20"/>
  <c r="BV67" i="20" s="1"/>
  <c r="AG61" i="20"/>
  <c r="AF61" i="20"/>
  <c r="AE61" i="20"/>
  <c r="AD61" i="20"/>
  <c r="AC61" i="20"/>
  <c r="AB61" i="20"/>
  <c r="AA61" i="20"/>
  <c r="Z61" i="20"/>
  <c r="Y61" i="20"/>
  <c r="X61" i="20"/>
  <c r="W61" i="20"/>
  <c r="V61" i="20"/>
  <c r="U61" i="20"/>
  <c r="T61" i="20"/>
  <c r="S61" i="20"/>
  <c r="R61" i="20"/>
  <c r="Q61" i="20"/>
  <c r="P61" i="20"/>
  <c r="O61" i="20"/>
  <c r="N61" i="20"/>
  <c r="M61" i="20"/>
  <c r="L61" i="20"/>
  <c r="K61" i="20"/>
  <c r="J61" i="20"/>
  <c r="I61" i="20"/>
  <c r="H61" i="20"/>
  <c r="G61" i="20"/>
  <c r="F61" i="20"/>
  <c r="E61" i="20"/>
  <c r="D61" i="20"/>
  <c r="C61" i="20"/>
  <c r="AG57" i="20"/>
  <c r="AF57" i="20"/>
  <c r="AE57" i="20"/>
  <c r="AD57" i="20"/>
  <c r="AC57" i="20"/>
  <c r="AB57" i="20"/>
  <c r="AA57" i="20"/>
  <c r="Z57" i="20"/>
  <c r="Y57" i="20"/>
  <c r="X57" i="20"/>
  <c r="W57" i="20"/>
  <c r="V57" i="20"/>
  <c r="U57" i="20"/>
  <c r="T57" i="20"/>
  <c r="S57" i="20"/>
  <c r="R57" i="20"/>
  <c r="Q57" i="20"/>
  <c r="P57" i="20"/>
  <c r="O57" i="20"/>
  <c r="N57" i="20"/>
  <c r="M57" i="20"/>
  <c r="L57" i="20"/>
  <c r="K57" i="20"/>
  <c r="J57" i="20"/>
  <c r="I57" i="20"/>
  <c r="H57" i="20"/>
  <c r="G57" i="20"/>
  <c r="F57" i="20"/>
  <c r="E57" i="20"/>
  <c r="D57" i="20"/>
  <c r="C57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X50" i="20"/>
  <c r="BW50" i="20"/>
  <c r="BY61" i="20" s="1"/>
  <c r="BY64" i="20" s="1"/>
  <c r="BV50" i="20"/>
  <c r="BX61" i="20" s="1"/>
  <c r="BX64" i="20" s="1"/>
  <c r="BU50" i="20"/>
  <c r="BW61" i="20" s="1"/>
  <c r="BW64" i="20" s="1"/>
  <c r="BT50" i="20"/>
  <c r="BV61" i="20" s="1"/>
  <c r="BV64" i="20" s="1"/>
  <c r="BS50" i="20"/>
  <c r="BU61" i="20" s="1"/>
  <c r="BR50" i="20"/>
  <c r="BQ50" i="20"/>
  <c r="BP50" i="20"/>
  <c r="BO50" i="20"/>
  <c r="BN50" i="20"/>
  <c r="BM50" i="20"/>
  <c r="BL50" i="20"/>
  <c r="BK50" i="20"/>
  <c r="BJ50" i="20"/>
  <c r="BI50" i="20"/>
  <c r="BH50" i="20"/>
  <c r="BG50" i="20"/>
  <c r="BF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AI49" i="20"/>
  <c r="AR48" i="20"/>
  <c r="AX48" i="20" s="1"/>
  <c r="AH46" i="20"/>
  <c r="AH45" i="20"/>
  <c r="BE44" i="20"/>
  <c r="W42" i="20"/>
  <c r="AP41" i="20"/>
  <c r="V40" i="20"/>
  <c r="S40" i="20"/>
  <c r="AP40" i="20" s="1"/>
  <c r="R40" i="20"/>
  <c r="Q26" i="20" s="1"/>
  <c r="V39" i="20"/>
  <c r="S39" i="20"/>
  <c r="AP39" i="20" s="1"/>
  <c r="R39" i="20"/>
  <c r="V38" i="20"/>
  <c r="S38" i="20"/>
  <c r="AP38" i="20" s="1"/>
  <c r="AP37" i="20"/>
  <c r="J26" i="20"/>
  <c r="N25" i="20"/>
  <c r="AP36" i="20"/>
  <c r="J25" i="20"/>
  <c r="AQ35" i="20"/>
  <c r="J24" i="20"/>
  <c r="G26" i="20"/>
  <c r="AP34" i="20"/>
  <c r="C26" i="20"/>
  <c r="AQ33" i="20"/>
  <c r="AP33" i="20"/>
  <c r="C25" i="20"/>
  <c r="B4" i="20"/>
  <c r="BA32" i="20"/>
  <c r="AO32" i="20" s="1"/>
  <c r="BB32" i="20" s="1"/>
  <c r="BC32" i="20" s="1"/>
  <c r="AQ32" i="20"/>
  <c r="AP32" i="20"/>
  <c r="AI32" i="20"/>
  <c r="C29" i="20"/>
  <c r="Q24" i="20"/>
  <c r="G24" i="20"/>
  <c r="D24" i="20"/>
  <c r="C24" i="20"/>
  <c r="Q4" i="20"/>
  <c r="BW51" i="20" s="1"/>
  <c r="BW52" i="20" s="1"/>
  <c r="AG178" i="19"/>
  <c r="AF178" i="19"/>
  <c r="AE178" i="19"/>
  <c r="AD178" i="19"/>
  <c r="AC178" i="19"/>
  <c r="AB178" i="19"/>
  <c r="AA178" i="19"/>
  <c r="Z178" i="19"/>
  <c r="Y178" i="19"/>
  <c r="X178" i="19"/>
  <c r="W178" i="19"/>
  <c r="V178" i="19"/>
  <c r="U178" i="19"/>
  <c r="T178" i="19"/>
  <c r="S178" i="19"/>
  <c r="R178" i="19"/>
  <c r="Q178" i="19"/>
  <c r="P178" i="19"/>
  <c r="O178" i="19"/>
  <c r="N178" i="19"/>
  <c r="M178" i="19"/>
  <c r="L178" i="19"/>
  <c r="K178" i="19"/>
  <c r="J178" i="19"/>
  <c r="I178" i="19"/>
  <c r="H178" i="19"/>
  <c r="G178" i="19"/>
  <c r="F178" i="19"/>
  <c r="E178" i="19"/>
  <c r="D178" i="19"/>
  <c r="C178" i="19"/>
  <c r="AG177" i="19"/>
  <c r="AF177" i="19"/>
  <c r="AE177" i="19"/>
  <c r="AD177" i="19"/>
  <c r="AC177" i="19"/>
  <c r="AB177" i="19"/>
  <c r="AA177" i="19"/>
  <c r="Z177" i="19"/>
  <c r="Y177" i="19"/>
  <c r="X177" i="19"/>
  <c r="W177" i="19"/>
  <c r="V177" i="19"/>
  <c r="U177" i="19"/>
  <c r="T177" i="19"/>
  <c r="S177" i="19"/>
  <c r="R177" i="19"/>
  <c r="Q177" i="19"/>
  <c r="P177" i="19"/>
  <c r="O177" i="19"/>
  <c r="N177" i="19"/>
  <c r="M177" i="19"/>
  <c r="L177" i="19"/>
  <c r="K177" i="19"/>
  <c r="J177" i="19"/>
  <c r="I177" i="19"/>
  <c r="H177" i="19"/>
  <c r="G177" i="19"/>
  <c r="F177" i="19"/>
  <c r="E177" i="19"/>
  <c r="D177" i="19"/>
  <c r="C177" i="19"/>
  <c r="AG171" i="19"/>
  <c r="AF171" i="19"/>
  <c r="AE171" i="19"/>
  <c r="AD171" i="19"/>
  <c r="AC171" i="19"/>
  <c r="AB171" i="19"/>
  <c r="AA171" i="19"/>
  <c r="Z171" i="19"/>
  <c r="Y171" i="19"/>
  <c r="X171" i="19"/>
  <c r="W171" i="19"/>
  <c r="V171" i="19"/>
  <c r="U171" i="19"/>
  <c r="T171" i="19"/>
  <c r="S171" i="19"/>
  <c r="R171" i="19"/>
  <c r="Q171" i="19"/>
  <c r="P171" i="19"/>
  <c r="O171" i="19"/>
  <c r="N171" i="19"/>
  <c r="M171" i="19"/>
  <c r="L171" i="19"/>
  <c r="K171" i="19"/>
  <c r="J171" i="19"/>
  <c r="I171" i="19"/>
  <c r="H171" i="19"/>
  <c r="G171" i="19"/>
  <c r="F171" i="19"/>
  <c r="E171" i="19"/>
  <c r="D171" i="19"/>
  <c r="C171" i="19"/>
  <c r="AG167" i="19"/>
  <c r="AF167" i="19"/>
  <c r="AE167" i="19"/>
  <c r="AD167" i="19"/>
  <c r="AC167" i="19"/>
  <c r="AB167" i="19"/>
  <c r="AA167" i="19"/>
  <c r="Z167" i="19"/>
  <c r="Y167" i="19"/>
  <c r="X167" i="19"/>
  <c r="W167" i="19"/>
  <c r="V167" i="19"/>
  <c r="U167" i="19"/>
  <c r="T167" i="19"/>
  <c r="S167" i="19"/>
  <c r="R167" i="19"/>
  <c r="Q167" i="19"/>
  <c r="P167" i="19"/>
  <c r="O167" i="19"/>
  <c r="N167" i="19"/>
  <c r="M167" i="19"/>
  <c r="L167" i="19"/>
  <c r="K167" i="19"/>
  <c r="J167" i="19"/>
  <c r="I167" i="19"/>
  <c r="H167" i="19"/>
  <c r="G167" i="19"/>
  <c r="F167" i="19"/>
  <c r="E167" i="19"/>
  <c r="D167" i="19"/>
  <c r="C167" i="19"/>
  <c r="AG166" i="19"/>
  <c r="AF166" i="19"/>
  <c r="AE166" i="19"/>
  <c r="AD166" i="19"/>
  <c r="AC166" i="19"/>
  <c r="AB166" i="19"/>
  <c r="AA166" i="19"/>
  <c r="Z166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AG160" i="19"/>
  <c r="AF160" i="19"/>
  <c r="AE160" i="19"/>
  <c r="AD160" i="19"/>
  <c r="AC160" i="19"/>
  <c r="AB160" i="19"/>
  <c r="AA160" i="19"/>
  <c r="Z160" i="19"/>
  <c r="Y160" i="19"/>
  <c r="X160" i="19"/>
  <c r="W160" i="19"/>
  <c r="V160" i="19"/>
  <c r="U160" i="19"/>
  <c r="T160" i="19"/>
  <c r="S160" i="19"/>
  <c r="R160" i="19"/>
  <c r="Q160" i="19"/>
  <c r="P160" i="19"/>
  <c r="O160" i="19"/>
  <c r="N160" i="19"/>
  <c r="M160" i="19"/>
  <c r="L160" i="19"/>
  <c r="K160" i="19"/>
  <c r="J160" i="19"/>
  <c r="I160" i="19"/>
  <c r="H160" i="19"/>
  <c r="G160" i="19"/>
  <c r="F160" i="19"/>
  <c r="E160" i="19"/>
  <c r="D160" i="19"/>
  <c r="C160" i="19"/>
  <c r="AG156" i="19"/>
  <c r="AF156" i="19"/>
  <c r="AE156" i="19"/>
  <c r="AD156" i="19"/>
  <c r="AC156" i="19"/>
  <c r="AB156" i="19"/>
  <c r="AA156" i="19"/>
  <c r="Z156" i="19"/>
  <c r="Y156" i="19"/>
  <c r="X156" i="19"/>
  <c r="W156" i="19"/>
  <c r="V156" i="19"/>
  <c r="U156" i="19"/>
  <c r="T156" i="19"/>
  <c r="S156" i="19"/>
  <c r="R156" i="19"/>
  <c r="Q156" i="19"/>
  <c r="P156" i="19"/>
  <c r="O156" i="19"/>
  <c r="N156" i="19"/>
  <c r="M156" i="19"/>
  <c r="L156" i="19"/>
  <c r="K156" i="19"/>
  <c r="J156" i="19"/>
  <c r="I156" i="19"/>
  <c r="H156" i="19"/>
  <c r="G156" i="19"/>
  <c r="F156" i="19"/>
  <c r="E156" i="19"/>
  <c r="D156" i="19"/>
  <c r="C156" i="19"/>
  <c r="AG155" i="19"/>
  <c r="AF155" i="19"/>
  <c r="AE155" i="19"/>
  <c r="AD155" i="19"/>
  <c r="AC155" i="19"/>
  <c r="AB155" i="19"/>
  <c r="AA155" i="19"/>
  <c r="Z155" i="19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AG149" i="19"/>
  <c r="AF149" i="19"/>
  <c r="AE149" i="19"/>
  <c r="AD149" i="19"/>
  <c r="AC149" i="19"/>
  <c r="AB149" i="19"/>
  <c r="AA149" i="19"/>
  <c r="Z149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AG145" i="19"/>
  <c r="AF145" i="19"/>
  <c r="AE145" i="19"/>
  <c r="AD145" i="19"/>
  <c r="AC145" i="19"/>
  <c r="AB145" i="19"/>
  <c r="AA145" i="19"/>
  <c r="Z145" i="19"/>
  <c r="Y145" i="19"/>
  <c r="X145" i="19"/>
  <c r="W145" i="19"/>
  <c r="V145" i="19"/>
  <c r="U145" i="19"/>
  <c r="T145" i="19"/>
  <c r="S145" i="19"/>
  <c r="R145" i="19"/>
  <c r="Q145" i="19"/>
  <c r="P145" i="19"/>
  <c r="O145" i="19"/>
  <c r="N145" i="19"/>
  <c r="M145" i="19"/>
  <c r="L145" i="19"/>
  <c r="K145" i="19"/>
  <c r="J145" i="19"/>
  <c r="I145" i="19"/>
  <c r="H145" i="19"/>
  <c r="G145" i="19"/>
  <c r="F145" i="19"/>
  <c r="E145" i="19"/>
  <c r="D145" i="19"/>
  <c r="C145" i="19"/>
  <c r="AG144" i="19"/>
  <c r="AF144" i="19"/>
  <c r="AE144" i="19"/>
  <c r="AD144" i="19"/>
  <c r="AC144" i="19"/>
  <c r="AB144" i="19"/>
  <c r="AA144" i="19"/>
  <c r="Z144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AG138" i="19"/>
  <c r="AF138" i="19"/>
  <c r="AE138" i="19"/>
  <c r="AD138" i="19"/>
  <c r="AC138" i="19"/>
  <c r="AB138" i="19"/>
  <c r="AA138" i="19"/>
  <c r="Z138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AG134" i="19"/>
  <c r="AF134" i="19"/>
  <c r="AE134" i="19"/>
  <c r="AD134" i="19"/>
  <c r="AC134" i="19"/>
  <c r="AB134" i="19"/>
  <c r="AA134" i="19"/>
  <c r="Z134" i="19"/>
  <c r="Y134" i="19"/>
  <c r="X134" i="19"/>
  <c r="W134" i="19"/>
  <c r="V134" i="19"/>
  <c r="U134" i="19"/>
  <c r="T134" i="19"/>
  <c r="S134" i="19"/>
  <c r="R134" i="19"/>
  <c r="Q134" i="19"/>
  <c r="P134" i="19"/>
  <c r="O134" i="19"/>
  <c r="N134" i="19"/>
  <c r="M134" i="19"/>
  <c r="L134" i="19"/>
  <c r="K134" i="19"/>
  <c r="J134" i="19"/>
  <c r="I134" i="19"/>
  <c r="H134" i="19"/>
  <c r="G134" i="19"/>
  <c r="F134" i="19"/>
  <c r="E134" i="19"/>
  <c r="D134" i="19"/>
  <c r="C134" i="19"/>
  <c r="AG133" i="19"/>
  <c r="AF133" i="19"/>
  <c r="AE133" i="19"/>
  <c r="AD133" i="19"/>
  <c r="AC133" i="19"/>
  <c r="AB133" i="19"/>
  <c r="AA133" i="19"/>
  <c r="Z133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AG123" i="19"/>
  <c r="AF123" i="19"/>
  <c r="AE123" i="19"/>
  <c r="AD123" i="19"/>
  <c r="AC123" i="19"/>
  <c r="AB123" i="19"/>
  <c r="AA123" i="19"/>
  <c r="Z123" i="19"/>
  <c r="Y123" i="19"/>
  <c r="X123" i="19"/>
  <c r="W123" i="19"/>
  <c r="V123" i="19"/>
  <c r="U123" i="19"/>
  <c r="T123" i="19"/>
  <c r="S123" i="19"/>
  <c r="R123" i="19"/>
  <c r="Q123" i="19"/>
  <c r="P123" i="19"/>
  <c r="O123" i="19"/>
  <c r="N123" i="19"/>
  <c r="M123" i="19"/>
  <c r="L123" i="19"/>
  <c r="K123" i="19"/>
  <c r="J123" i="19"/>
  <c r="I123" i="19"/>
  <c r="H123" i="19"/>
  <c r="G123" i="19"/>
  <c r="F123" i="19"/>
  <c r="E123" i="19"/>
  <c r="D123" i="19"/>
  <c r="C123" i="19"/>
  <c r="AG122" i="19"/>
  <c r="AF122" i="19"/>
  <c r="AE122" i="19"/>
  <c r="AD122" i="19"/>
  <c r="AC122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AG116" i="19"/>
  <c r="AF116" i="19"/>
  <c r="AE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AG112" i="19"/>
  <c r="AF112" i="19"/>
  <c r="AE112" i="19"/>
  <c r="AD112" i="19"/>
  <c r="AC112" i="19"/>
  <c r="AB112" i="19"/>
  <c r="AA112" i="19"/>
  <c r="Z112" i="19"/>
  <c r="Y112" i="19"/>
  <c r="X112" i="19"/>
  <c r="W112" i="19"/>
  <c r="V112" i="19"/>
  <c r="U112" i="19"/>
  <c r="T112" i="19"/>
  <c r="S112" i="19"/>
  <c r="R112" i="19"/>
  <c r="Q112" i="19"/>
  <c r="P112" i="19"/>
  <c r="O112" i="19"/>
  <c r="N112" i="19"/>
  <c r="M112" i="19"/>
  <c r="L112" i="19"/>
  <c r="K112" i="19"/>
  <c r="J112" i="19"/>
  <c r="I112" i="19"/>
  <c r="H112" i="19"/>
  <c r="G112" i="19"/>
  <c r="F112" i="19"/>
  <c r="E112" i="19"/>
  <c r="D112" i="19"/>
  <c r="C112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AG101" i="19"/>
  <c r="AF101" i="19"/>
  <c r="AE101" i="19"/>
  <c r="AD101" i="19"/>
  <c r="AC101" i="19"/>
  <c r="AB101" i="19"/>
  <c r="AA101" i="19"/>
  <c r="Z101" i="19"/>
  <c r="Y101" i="19"/>
  <c r="X101" i="19"/>
  <c r="W101" i="19"/>
  <c r="V101" i="19"/>
  <c r="U101" i="19"/>
  <c r="T101" i="19"/>
  <c r="S101" i="19"/>
  <c r="R101" i="19"/>
  <c r="Q101" i="19"/>
  <c r="P101" i="19"/>
  <c r="O101" i="19"/>
  <c r="N101" i="19"/>
  <c r="M101" i="19"/>
  <c r="L101" i="19"/>
  <c r="K101" i="19"/>
  <c r="J101" i="19"/>
  <c r="I101" i="19"/>
  <c r="H101" i="19"/>
  <c r="G101" i="19"/>
  <c r="F101" i="19"/>
  <c r="E101" i="19"/>
  <c r="D101" i="19"/>
  <c r="C101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AG90" i="19"/>
  <c r="AF90" i="19"/>
  <c r="AE90" i="19"/>
  <c r="AD90" i="19"/>
  <c r="AC90" i="19"/>
  <c r="AB90" i="19"/>
  <c r="AA90" i="19"/>
  <c r="Z90" i="19"/>
  <c r="Y90" i="19"/>
  <c r="X90" i="19"/>
  <c r="W90" i="19"/>
  <c r="V90" i="19"/>
  <c r="U90" i="19"/>
  <c r="T90" i="19"/>
  <c r="S90" i="19"/>
  <c r="R90" i="19"/>
  <c r="Q90" i="19"/>
  <c r="P90" i="19"/>
  <c r="O90" i="19"/>
  <c r="N90" i="19"/>
  <c r="M90" i="19"/>
  <c r="L90" i="19"/>
  <c r="K90" i="19"/>
  <c r="J90" i="19"/>
  <c r="I90" i="19"/>
  <c r="H90" i="19"/>
  <c r="G90" i="19"/>
  <c r="F90" i="19"/>
  <c r="E90" i="19"/>
  <c r="D90" i="19"/>
  <c r="C90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AG79" i="19"/>
  <c r="AF79" i="19"/>
  <c r="AE79" i="19"/>
  <c r="AD79" i="19"/>
  <c r="AC79" i="19"/>
  <c r="AB79" i="19"/>
  <c r="AA79" i="19"/>
  <c r="Z79" i="19"/>
  <c r="Y79" i="19"/>
  <c r="X79" i="19"/>
  <c r="W79" i="19"/>
  <c r="V79" i="19"/>
  <c r="U79" i="19"/>
  <c r="T79" i="19"/>
  <c r="S79" i="19"/>
  <c r="R79" i="19"/>
  <c r="Q79" i="19"/>
  <c r="P79" i="19"/>
  <c r="O79" i="19"/>
  <c r="N79" i="19"/>
  <c r="M79" i="19"/>
  <c r="L79" i="19"/>
  <c r="K79" i="19"/>
  <c r="J79" i="19"/>
  <c r="I79" i="19"/>
  <c r="H79" i="19"/>
  <c r="G79" i="19"/>
  <c r="F79" i="19"/>
  <c r="E79" i="19"/>
  <c r="D79" i="19"/>
  <c r="C79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AG68" i="19"/>
  <c r="AF68" i="19"/>
  <c r="AE68" i="19"/>
  <c r="AD68" i="19"/>
  <c r="AC68" i="19"/>
  <c r="AB68" i="19"/>
  <c r="AA68" i="19"/>
  <c r="Z68" i="19"/>
  <c r="Y68" i="19"/>
  <c r="X68" i="19"/>
  <c r="W68" i="19"/>
  <c r="V68" i="19"/>
  <c r="U68" i="19"/>
  <c r="T68" i="19"/>
  <c r="S68" i="19"/>
  <c r="R68" i="19"/>
  <c r="Q68" i="19"/>
  <c r="P68" i="19"/>
  <c r="O68" i="19"/>
  <c r="N68" i="19"/>
  <c r="M68" i="19"/>
  <c r="L68" i="19"/>
  <c r="K68" i="19"/>
  <c r="J68" i="19"/>
  <c r="I68" i="19"/>
  <c r="H68" i="19"/>
  <c r="G68" i="19"/>
  <c r="F68" i="19"/>
  <c r="E68" i="19"/>
  <c r="D68" i="19"/>
  <c r="C68" i="19"/>
  <c r="AG67" i="19"/>
  <c r="AF67" i="19"/>
  <c r="AE67" i="19"/>
  <c r="AD67" i="19"/>
  <c r="AC67" i="19"/>
  <c r="AB67" i="19"/>
  <c r="AA67" i="19"/>
  <c r="Z67" i="19"/>
  <c r="Y67" i="19"/>
  <c r="X67" i="19"/>
  <c r="W67" i="19"/>
  <c r="V67" i="19"/>
  <c r="U67" i="19"/>
  <c r="T67" i="19"/>
  <c r="S67" i="19"/>
  <c r="R67" i="19"/>
  <c r="Q67" i="19"/>
  <c r="P67" i="19"/>
  <c r="O67" i="19"/>
  <c r="N67" i="19"/>
  <c r="M67" i="19"/>
  <c r="L67" i="19"/>
  <c r="K67" i="19"/>
  <c r="J67" i="19"/>
  <c r="I67" i="19"/>
  <c r="H67" i="19"/>
  <c r="G67" i="19"/>
  <c r="F67" i="19"/>
  <c r="E67" i="19"/>
  <c r="D67" i="19"/>
  <c r="C67" i="19"/>
  <c r="BY66" i="19"/>
  <c r="BY67" i="19" s="1"/>
  <c r="BX66" i="19"/>
  <c r="BX67" i="19" s="1"/>
  <c r="BW66" i="19"/>
  <c r="BW67" i="19" s="1"/>
  <c r="BV66" i="19"/>
  <c r="BV67" i="19" s="1"/>
  <c r="AG61" i="19"/>
  <c r="AF61" i="19"/>
  <c r="AE61" i="19"/>
  <c r="AD61" i="19"/>
  <c r="AC61" i="19"/>
  <c r="AB61" i="19"/>
  <c r="AA61" i="19"/>
  <c r="Z61" i="19"/>
  <c r="Y61" i="19"/>
  <c r="X61" i="19"/>
  <c r="W61" i="19"/>
  <c r="V61" i="19"/>
  <c r="U61" i="19"/>
  <c r="T61" i="19"/>
  <c r="S61" i="19"/>
  <c r="R61" i="19"/>
  <c r="Q61" i="19"/>
  <c r="P61" i="19"/>
  <c r="O61" i="19"/>
  <c r="N61" i="19"/>
  <c r="M61" i="19"/>
  <c r="L61" i="19"/>
  <c r="K61" i="19"/>
  <c r="J61" i="19"/>
  <c r="I61" i="19"/>
  <c r="H61" i="19"/>
  <c r="G61" i="19"/>
  <c r="F61" i="19"/>
  <c r="E61" i="19"/>
  <c r="D61" i="19"/>
  <c r="C61" i="19"/>
  <c r="AG57" i="19"/>
  <c r="AF57" i="19"/>
  <c r="AE57" i="19"/>
  <c r="AD57" i="19"/>
  <c r="AC57" i="19"/>
  <c r="AB57" i="19"/>
  <c r="AA57" i="19"/>
  <c r="Z57" i="19"/>
  <c r="Y57" i="19"/>
  <c r="X57" i="19"/>
  <c r="W57" i="19"/>
  <c r="V57" i="19"/>
  <c r="U57" i="19"/>
  <c r="T57" i="19"/>
  <c r="S57" i="19"/>
  <c r="R57" i="19"/>
  <c r="Q57" i="19"/>
  <c r="P57" i="19"/>
  <c r="O57" i="19"/>
  <c r="N57" i="19"/>
  <c r="M57" i="19"/>
  <c r="L57" i="19"/>
  <c r="K57" i="19"/>
  <c r="J57" i="19"/>
  <c r="I57" i="19"/>
  <c r="H57" i="19"/>
  <c r="G57" i="19"/>
  <c r="F57" i="19"/>
  <c r="E57" i="19"/>
  <c r="D57" i="19"/>
  <c r="C57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X50" i="19"/>
  <c r="BW50" i="19"/>
  <c r="BY61" i="19" s="1"/>
  <c r="BY64" i="19" s="1"/>
  <c r="BV50" i="19"/>
  <c r="BX61" i="19" s="1"/>
  <c r="BX64" i="19" s="1"/>
  <c r="BU50" i="19"/>
  <c r="BW61" i="19" s="1"/>
  <c r="BW64" i="19" s="1"/>
  <c r="BT50" i="19"/>
  <c r="BV61" i="19" s="1"/>
  <c r="BV64" i="19" s="1"/>
  <c r="BS50" i="19"/>
  <c r="BU61" i="19" s="1"/>
  <c r="BR50" i="19"/>
  <c r="BQ50" i="19"/>
  <c r="BP50" i="19"/>
  <c r="BO50" i="19"/>
  <c r="BN50" i="19"/>
  <c r="BM50" i="19"/>
  <c r="BL50" i="19"/>
  <c r="BK50" i="19"/>
  <c r="BJ50" i="19"/>
  <c r="BI50" i="19"/>
  <c r="BH50" i="19"/>
  <c r="BG50" i="19"/>
  <c r="BF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AI49" i="19"/>
  <c r="AH46" i="19"/>
  <c r="AG54" i="19" s="1"/>
  <c r="AH45" i="19"/>
  <c r="BE44" i="19"/>
  <c r="W42" i="19"/>
  <c r="AP41" i="19"/>
  <c r="V40" i="19"/>
  <c r="AQ40" i="19" s="1"/>
  <c r="S40" i="19"/>
  <c r="AP40" i="19" s="1"/>
  <c r="R40" i="19"/>
  <c r="Q26" i="19" s="1"/>
  <c r="V39" i="19"/>
  <c r="AQ39" i="19" s="1"/>
  <c r="S39" i="19"/>
  <c r="R39" i="19"/>
  <c r="Q25" i="19" s="1"/>
  <c r="V38" i="19"/>
  <c r="S38" i="19"/>
  <c r="AP38" i="19" s="1"/>
  <c r="AQ37" i="19"/>
  <c r="AP37" i="19"/>
  <c r="J26" i="19"/>
  <c r="N25" i="19"/>
  <c r="AP36" i="19"/>
  <c r="N24" i="19"/>
  <c r="AP35" i="19"/>
  <c r="J24" i="19"/>
  <c r="G26" i="19"/>
  <c r="AP34" i="19"/>
  <c r="C26" i="19"/>
  <c r="AQ33" i="19"/>
  <c r="AP33" i="19"/>
  <c r="C25" i="19"/>
  <c r="BA32" i="19"/>
  <c r="AO32" i="19" s="1"/>
  <c r="BB32" i="19" s="1"/>
  <c r="BC32" i="19" s="1"/>
  <c r="AQ32" i="19"/>
  <c r="AP32" i="19"/>
  <c r="AI32" i="19"/>
  <c r="C29" i="19"/>
  <c r="Q24" i="19"/>
  <c r="G24" i="19"/>
  <c r="D24" i="19"/>
  <c r="C24" i="19"/>
  <c r="Q4" i="19"/>
  <c r="AN49" i="19" s="1"/>
  <c r="B3" i="19"/>
  <c r="AG178" i="18"/>
  <c r="AF178" i="18"/>
  <c r="AE178" i="18"/>
  <c r="AD178" i="18"/>
  <c r="AC178" i="18"/>
  <c r="AB178" i="18"/>
  <c r="AA178" i="18"/>
  <c r="Z178" i="18"/>
  <c r="Y178" i="18"/>
  <c r="X178" i="18"/>
  <c r="W178" i="18"/>
  <c r="V178" i="18"/>
  <c r="U178" i="18"/>
  <c r="T178" i="18"/>
  <c r="S178" i="18"/>
  <c r="R178" i="18"/>
  <c r="Q178" i="18"/>
  <c r="P178" i="18"/>
  <c r="O178" i="18"/>
  <c r="N178" i="18"/>
  <c r="M178" i="18"/>
  <c r="L178" i="18"/>
  <c r="K178" i="18"/>
  <c r="J178" i="18"/>
  <c r="I178" i="18"/>
  <c r="H178" i="18"/>
  <c r="G178" i="18"/>
  <c r="F178" i="18"/>
  <c r="E178" i="18"/>
  <c r="D178" i="18"/>
  <c r="C178" i="18"/>
  <c r="AG177" i="18"/>
  <c r="AF177" i="18"/>
  <c r="AE177" i="18"/>
  <c r="AD177" i="18"/>
  <c r="AC177" i="18"/>
  <c r="AB177" i="18"/>
  <c r="AA177" i="18"/>
  <c r="Z177" i="18"/>
  <c r="Y177" i="18"/>
  <c r="X177" i="18"/>
  <c r="W177" i="18"/>
  <c r="V177" i="18"/>
  <c r="U177" i="18"/>
  <c r="T177" i="18"/>
  <c r="S177" i="18"/>
  <c r="R177" i="18"/>
  <c r="Q177" i="18"/>
  <c r="P177" i="18"/>
  <c r="O177" i="18"/>
  <c r="N177" i="18"/>
  <c r="M177" i="18"/>
  <c r="L177" i="18"/>
  <c r="K177" i="18"/>
  <c r="J177" i="18"/>
  <c r="I177" i="18"/>
  <c r="H177" i="18"/>
  <c r="G177" i="18"/>
  <c r="F177" i="18"/>
  <c r="E177" i="18"/>
  <c r="D177" i="18"/>
  <c r="C177" i="18"/>
  <c r="AG171" i="18"/>
  <c r="AF171" i="18"/>
  <c r="AE171" i="18"/>
  <c r="AD171" i="18"/>
  <c r="AC171" i="18"/>
  <c r="AB171" i="18"/>
  <c r="AA171" i="18"/>
  <c r="Z171" i="18"/>
  <c r="Y171" i="18"/>
  <c r="X171" i="18"/>
  <c r="W171" i="18"/>
  <c r="V171" i="18"/>
  <c r="U171" i="18"/>
  <c r="T171" i="18"/>
  <c r="S171" i="18"/>
  <c r="R171" i="18"/>
  <c r="Q171" i="18"/>
  <c r="P171" i="18"/>
  <c r="O171" i="18"/>
  <c r="N171" i="18"/>
  <c r="M171" i="18"/>
  <c r="L171" i="18"/>
  <c r="K171" i="18"/>
  <c r="J171" i="18"/>
  <c r="I171" i="18"/>
  <c r="H171" i="18"/>
  <c r="G171" i="18"/>
  <c r="F171" i="18"/>
  <c r="E171" i="18"/>
  <c r="D171" i="18"/>
  <c r="C171" i="18"/>
  <c r="AG167" i="18"/>
  <c r="AF167" i="18"/>
  <c r="AE167" i="18"/>
  <c r="AD167" i="18"/>
  <c r="AC167" i="18"/>
  <c r="AB167" i="18"/>
  <c r="AA167" i="18"/>
  <c r="Z167" i="18"/>
  <c r="Y167" i="18"/>
  <c r="X167" i="18"/>
  <c r="W167" i="18"/>
  <c r="V167" i="18"/>
  <c r="U167" i="18"/>
  <c r="T167" i="18"/>
  <c r="S167" i="18"/>
  <c r="R167" i="18"/>
  <c r="Q167" i="18"/>
  <c r="P167" i="18"/>
  <c r="O167" i="18"/>
  <c r="N167" i="18"/>
  <c r="M167" i="18"/>
  <c r="L167" i="18"/>
  <c r="K167" i="18"/>
  <c r="J167" i="18"/>
  <c r="I167" i="18"/>
  <c r="H167" i="18"/>
  <c r="G167" i="18"/>
  <c r="F167" i="18"/>
  <c r="E167" i="18"/>
  <c r="D167" i="18"/>
  <c r="C167" i="18"/>
  <c r="AG166" i="18"/>
  <c r="AF166" i="18"/>
  <c r="AE166" i="18"/>
  <c r="AD166" i="18"/>
  <c r="AC166" i="18"/>
  <c r="AB166" i="18"/>
  <c r="AA166" i="18"/>
  <c r="Z166" i="18"/>
  <c r="Y166" i="18"/>
  <c r="X166" i="18"/>
  <c r="W166" i="18"/>
  <c r="V166" i="18"/>
  <c r="U166" i="18"/>
  <c r="T166" i="18"/>
  <c r="S166" i="18"/>
  <c r="R166" i="18"/>
  <c r="Q166" i="18"/>
  <c r="P166" i="18"/>
  <c r="O166" i="18"/>
  <c r="N166" i="18"/>
  <c r="M166" i="18"/>
  <c r="L166" i="18"/>
  <c r="K166" i="18"/>
  <c r="J166" i="18"/>
  <c r="I166" i="18"/>
  <c r="H166" i="18"/>
  <c r="G166" i="18"/>
  <c r="F166" i="18"/>
  <c r="E166" i="18"/>
  <c r="D166" i="18"/>
  <c r="C166" i="18"/>
  <c r="AG160" i="18"/>
  <c r="AF160" i="18"/>
  <c r="AE160" i="18"/>
  <c r="AD160" i="18"/>
  <c r="AC160" i="18"/>
  <c r="AB160" i="18"/>
  <c r="AA160" i="18"/>
  <c r="Z160" i="18"/>
  <c r="Y160" i="18"/>
  <c r="X160" i="18"/>
  <c r="W160" i="18"/>
  <c r="V160" i="18"/>
  <c r="U160" i="18"/>
  <c r="T160" i="18"/>
  <c r="S160" i="18"/>
  <c r="R160" i="18"/>
  <c r="Q160" i="18"/>
  <c r="P160" i="18"/>
  <c r="O160" i="18"/>
  <c r="N160" i="18"/>
  <c r="M160" i="18"/>
  <c r="L160" i="18"/>
  <c r="K160" i="18"/>
  <c r="J160" i="18"/>
  <c r="I160" i="18"/>
  <c r="H160" i="18"/>
  <c r="G160" i="18"/>
  <c r="F160" i="18"/>
  <c r="E160" i="18"/>
  <c r="D160" i="18"/>
  <c r="C160" i="18"/>
  <c r="AG156" i="18"/>
  <c r="AF156" i="18"/>
  <c r="AE156" i="18"/>
  <c r="AD156" i="18"/>
  <c r="AC156" i="18"/>
  <c r="AB156" i="18"/>
  <c r="AA156" i="18"/>
  <c r="Z156" i="18"/>
  <c r="Y156" i="18"/>
  <c r="X156" i="18"/>
  <c r="W156" i="18"/>
  <c r="V156" i="18"/>
  <c r="U156" i="18"/>
  <c r="T156" i="18"/>
  <c r="S156" i="18"/>
  <c r="R156" i="18"/>
  <c r="Q156" i="18"/>
  <c r="P156" i="18"/>
  <c r="O156" i="18"/>
  <c r="N156" i="18"/>
  <c r="M156" i="18"/>
  <c r="L156" i="18"/>
  <c r="K156" i="18"/>
  <c r="J156" i="18"/>
  <c r="I156" i="18"/>
  <c r="H156" i="18"/>
  <c r="G156" i="18"/>
  <c r="F156" i="18"/>
  <c r="E156" i="18"/>
  <c r="D156" i="18"/>
  <c r="C156" i="18"/>
  <c r="AG155" i="18"/>
  <c r="AF155" i="18"/>
  <c r="AE155" i="18"/>
  <c r="AD155" i="18"/>
  <c r="AC155" i="18"/>
  <c r="AB155" i="18"/>
  <c r="AA155" i="18"/>
  <c r="Z155" i="18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AG149" i="18"/>
  <c r="AF149" i="18"/>
  <c r="AE149" i="18"/>
  <c r="AD149" i="18"/>
  <c r="AC149" i="18"/>
  <c r="AB149" i="18"/>
  <c r="AA149" i="18"/>
  <c r="Z149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AG145" i="18"/>
  <c r="AF145" i="18"/>
  <c r="AE145" i="18"/>
  <c r="AD145" i="18"/>
  <c r="AC145" i="18"/>
  <c r="AB145" i="18"/>
  <c r="AA145" i="18"/>
  <c r="Z145" i="18"/>
  <c r="Y145" i="18"/>
  <c r="X145" i="18"/>
  <c r="W145" i="18"/>
  <c r="V145" i="18"/>
  <c r="U145" i="18"/>
  <c r="T145" i="18"/>
  <c r="S145" i="18"/>
  <c r="R145" i="18"/>
  <c r="Q145" i="18"/>
  <c r="P145" i="18"/>
  <c r="O145" i="18"/>
  <c r="N145" i="18"/>
  <c r="M145" i="18"/>
  <c r="L145" i="18"/>
  <c r="K145" i="18"/>
  <c r="J145" i="18"/>
  <c r="I145" i="18"/>
  <c r="H145" i="18"/>
  <c r="G145" i="18"/>
  <c r="F145" i="18"/>
  <c r="E145" i="18"/>
  <c r="D145" i="18"/>
  <c r="C145" i="18"/>
  <c r="AG144" i="18"/>
  <c r="AF144" i="18"/>
  <c r="AE144" i="18"/>
  <c r="AD144" i="18"/>
  <c r="AC144" i="18"/>
  <c r="AB144" i="18"/>
  <c r="AA144" i="18"/>
  <c r="Z144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AG138" i="18"/>
  <c r="AF138" i="18"/>
  <c r="AE138" i="18"/>
  <c r="AD138" i="18"/>
  <c r="AC138" i="18"/>
  <c r="AB138" i="18"/>
  <c r="AA138" i="18"/>
  <c r="Z138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AG134" i="18"/>
  <c r="AF134" i="18"/>
  <c r="AE134" i="18"/>
  <c r="AD134" i="18"/>
  <c r="AC134" i="18"/>
  <c r="AB134" i="18"/>
  <c r="AA134" i="18"/>
  <c r="Z134" i="18"/>
  <c r="Y134" i="18"/>
  <c r="X134" i="18"/>
  <c r="W134" i="18"/>
  <c r="V134" i="18"/>
  <c r="U134" i="18"/>
  <c r="T134" i="18"/>
  <c r="S134" i="18"/>
  <c r="R134" i="18"/>
  <c r="Q134" i="18"/>
  <c r="P134" i="18"/>
  <c r="O134" i="18"/>
  <c r="N134" i="18"/>
  <c r="M134" i="18"/>
  <c r="L134" i="18"/>
  <c r="K134" i="18"/>
  <c r="J134" i="18"/>
  <c r="I134" i="18"/>
  <c r="H134" i="18"/>
  <c r="G134" i="18"/>
  <c r="F134" i="18"/>
  <c r="E134" i="18"/>
  <c r="D134" i="18"/>
  <c r="C134" i="18"/>
  <c r="AG133" i="18"/>
  <c r="AF133" i="18"/>
  <c r="AE133" i="18"/>
  <c r="AD133" i="18"/>
  <c r="AC133" i="18"/>
  <c r="AB133" i="18"/>
  <c r="AA133" i="18"/>
  <c r="Z133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AG127" i="18"/>
  <c r="AF127" i="18"/>
  <c r="AE127" i="18"/>
  <c r="AD127" i="18"/>
  <c r="AC127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AG123" i="18"/>
  <c r="AF123" i="18"/>
  <c r="AE123" i="18"/>
  <c r="AD123" i="18"/>
  <c r="AC123" i="18"/>
  <c r="AB123" i="18"/>
  <c r="AA123" i="18"/>
  <c r="Z123" i="18"/>
  <c r="Y123" i="18"/>
  <c r="X123" i="18"/>
  <c r="W123" i="18"/>
  <c r="V123" i="18"/>
  <c r="U123" i="18"/>
  <c r="T123" i="18"/>
  <c r="S123" i="18"/>
  <c r="R123" i="18"/>
  <c r="Q123" i="18"/>
  <c r="P123" i="18"/>
  <c r="O123" i="18"/>
  <c r="N123" i="18"/>
  <c r="M123" i="18"/>
  <c r="L123" i="18"/>
  <c r="K123" i="18"/>
  <c r="J123" i="18"/>
  <c r="I123" i="18"/>
  <c r="H123" i="18"/>
  <c r="G123" i="18"/>
  <c r="F123" i="18"/>
  <c r="E123" i="18"/>
  <c r="D123" i="18"/>
  <c r="C123" i="18"/>
  <c r="AG122" i="18"/>
  <c r="AF122" i="18"/>
  <c r="AE122" i="18"/>
  <c r="AD122" i="18"/>
  <c r="AC122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AG116" i="18"/>
  <c r="AF116" i="18"/>
  <c r="AE116" i="18"/>
  <c r="AD116" i="18"/>
  <c r="AC116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AG112" i="18"/>
  <c r="AF112" i="18"/>
  <c r="AE112" i="18"/>
  <c r="AD112" i="18"/>
  <c r="AC112" i="18"/>
  <c r="AB112" i="18"/>
  <c r="AA112" i="18"/>
  <c r="Z112" i="18"/>
  <c r="Y112" i="18"/>
  <c r="X112" i="18"/>
  <c r="W112" i="18"/>
  <c r="V112" i="18"/>
  <c r="U112" i="18"/>
  <c r="T112" i="18"/>
  <c r="S112" i="18"/>
  <c r="R112" i="18"/>
  <c r="Q112" i="18"/>
  <c r="P112" i="18"/>
  <c r="O112" i="18"/>
  <c r="N112" i="18"/>
  <c r="M112" i="18"/>
  <c r="L112" i="18"/>
  <c r="K112" i="18"/>
  <c r="J112" i="18"/>
  <c r="I112" i="18"/>
  <c r="H112" i="18"/>
  <c r="G112" i="18"/>
  <c r="F112" i="18"/>
  <c r="E112" i="18"/>
  <c r="D112" i="18"/>
  <c r="C112" i="18"/>
  <c r="AG111" i="18"/>
  <c r="AF111" i="18"/>
  <c r="AE111" i="18"/>
  <c r="AD111" i="18"/>
  <c r="AC111" i="18"/>
  <c r="AB111" i="18"/>
  <c r="AA111" i="18"/>
  <c r="Z111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AG105" i="18"/>
  <c r="AF105" i="18"/>
  <c r="AE105" i="18"/>
  <c r="AD105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AG101" i="18"/>
  <c r="AF101" i="18"/>
  <c r="AE101" i="18"/>
  <c r="AD101" i="18"/>
  <c r="AC101" i="18"/>
  <c r="AB101" i="18"/>
  <c r="AA101" i="18"/>
  <c r="Z101" i="18"/>
  <c r="Y101" i="18"/>
  <c r="X101" i="18"/>
  <c r="W101" i="18"/>
  <c r="V101" i="18"/>
  <c r="U101" i="18"/>
  <c r="T101" i="18"/>
  <c r="S101" i="18"/>
  <c r="R101" i="18"/>
  <c r="Q101" i="18"/>
  <c r="P101" i="18"/>
  <c r="O101" i="18"/>
  <c r="N101" i="18"/>
  <c r="M101" i="18"/>
  <c r="L101" i="18"/>
  <c r="K101" i="18"/>
  <c r="J101" i="18"/>
  <c r="I101" i="18"/>
  <c r="H101" i="18"/>
  <c r="G101" i="18"/>
  <c r="F101" i="18"/>
  <c r="E101" i="18"/>
  <c r="D101" i="18"/>
  <c r="C101" i="18"/>
  <c r="AG100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AG94" i="18"/>
  <c r="AF94" i="18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AG90" i="18"/>
  <c r="AF90" i="18"/>
  <c r="AE90" i="18"/>
  <c r="AD90" i="18"/>
  <c r="AC90" i="18"/>
  <c r="AB90" i="18"/>
  <c r="AA90" i="18"/>
  <c r="Z90" i="18"/>
  <c r="Y90" i="18"/>
  <c r="X90" i="18"/>
  <c r="W90" i="18"/>
  <c r="V90" i="18"/>
  <c r="U90" i="18"/>
  <c r="T90" i="18"/>
  <c r="S90" i="18"/>
  <c r="R90" i="18"/>
  <c r="Q90" i="18"/>
  <c r="P90" i="18"/>
  <c r="O90" i="18"/>
  <c r="N90" i="18"/>
  <c r="M90" i="18"/>
  <c r="L90" i="18"/>
  <c r="K90" i="18"/>
  <c r="J90" i="18"/>
  <c r="I90" i="18"/>
  <c r="H90" i="18"/>
  <c r="G90" i="18"/>
  <c r="F90" i="18"/>
  <c r="E90" i="18"/>
  <c r="D90" i="18"/>
  <c r="C90" i="18"/>
  <c r="AG89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AG83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AG79" i="18"/>
  <c r="AF79" i="18"/>
  <c r="AE79" i="18"/>
  <c r="AD79" i="18"/>
  <c r="AC79" i="18"/>
  <c r="AB79" i="18"/>
  <c r="AA79" i="18"/>
  <c r="Z79" i="18"/>
  <c r="Y79" i="18"/>
  <c r="X79" i="18"/>
  <c r="W79" i="18"/>
  <c r="V79" i="18"/>
  <c r="U79" i="18"/>
  <c r="T79" i="18"/>
  <c r="S79" i="18"/>
  <c r="R79" i="18"/>
  <c r="Q79" i="18"/>
  <c r="P79" i="18"/>
  <c r="O79" i="18"/>
  <c r="N79" i="18"/>
  <c r="M79" i="18"/>
  <c r="L79" i="18"/>
  <c r="K79" i="18"/>
  <c r="J79" i="18"/>
  <c r="I79" i="18"/>
  <c r="H79" i="18"/>
  <c r="G79" i="18"/>
  <c r="F79" i="18"/>
  <c r="E79" i="18"/>
  <c r="D79" i="18"/>
  <c r="C79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AG68" i="18"/>
  <c r="AF68" i="18"/>
  <c r="AE68" i="18"/>
  <c r="AD68" i="18"/>
  <c r="AC68" i="18"/>
  <c r="AB68" i="18"/>
  <c r="AA68" i="18"/>
  <c r="Z68" i="18"/>
  <c r="Y68" i="18"/>
  <c r="X68" i="18"/>
  <c r="W68" i="18"/>
  <c r="V68" i="18"/>
  <c r="U68" i="18"/>
  <c r="T68" i="18"/>
  <c r="S68" i="18"/>
  <c r="R68" i="18"/>
  <c r="Q68" i="18"/>
  <c r="P68" i="18"/>
  <c r="O68" i="18"/>
  <c r="N68" i="18"/>
  <c r="M68" i="18"/>
  <c r="L68" i="18"/>
  <c r="K68" i="18"/>
  <c r="J68" i="18"/>
  <c r="I68" i="18"/>
  <c r="H68" i="18"/>
  <c r="G68" i="18"/>
  <c r="F68" i="18"/>
  <c r="E68" i="18"/>
  <c r="D68" i="18"/>
  <c r="C68" i="18"/>
  <c r="AG67" i="18"/>
  <c r="AF67" i="18"/>
  <c r="AE67" i="18"/>
  <c r="AD67" i="18"/>
  <c r="AC67" i="18"/>
  <c r="AB67" i="18"/>
  <c r="AA67" i="18"/>
  <c r="Z67" i="18"/>
  <c r="Y67" i="18"/>
  <c r="X67" i="18"/>
  <c r="W67" i="18"/>
  <c r="V67" i="18"/>
  <c r="U67" i="18"/>
  <c r="T67" i="18"/>
  <c r="S67" i="18"/>
  <c r="R67" i="18"/>
  <c r="Q67" i="18"/>
  <c r="P67" i="18"/>
  <c r="O67" i="18"/>
  <c r="N67" i="18"/>
  <c r="M67" i="18"/>
  <c r="L67" i="18"/>
  <c r="K67" i="18"/>
  <c r="J67" i="18"/>
  <c r="I67" i="18"/>
  <c r="H67" i="18"/>
  <c r="G67" i="18"/>
  <c r="F67" i="18"/>
  <c r="E67" i="18"/>
  <c r="D67" i="18"/>
  <c r="C67" i="18"/>
  <c r="BY66" i="18"/>
  <c r="BY67" i="18" s="1"/>
  <c r="BX66" i="18"/>
  <c r="BX67" i="18" s="1"/>
  <c r="BW66" i="18"/>
  <c r="BW67" i="18" s="1"/>
  <c r="BV66" i="18"/>
  <c r="BV67" i="18" s="1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AG57" i="18"/>
  <c r="AF57" i="18"/>
  <c r="AE57" i="18"/>
  <c r="AD57" i="18"/>
  <c r="AC57" i="18"/>
  <c r="AB57" i="18"/>
  <c r="AA57" i="18"/>
  <c r="Z57" i="18"/>
  <c r="Y57" i="18"/>
  <c r="X57" i="18"/>
  <c r="W57" i="18"/>
  <c r="V57" i="18"/>
  <c r="U57" i="18"/>
  <c r="T57" i="18"/>
  <c r="S57" i="18"/>
  <c r="R57" i="18"/>
  <c r="Q57" i="18"/>
  <c r="P57" i="18"/>
  <c r="O57" i="18"/>
  <c r="N57" i="18"/>
  <c r="M57" i="18"/>
  <c r="L57" i="18"/>
  <c r="K57" i="18"/>
  <c r="J57" i="18"/>
  <c r="I57" i="18"/>
  <c r="H57" i="18"/>
  <c r="G57" i="18"/>
  <c r="F57" i="18"/>
  <c r="E57" i="18"/>
  <c r="D57" i="18"/>
  <c r="C57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X50" i="18"/>
  <c r="BW50" i="18"/>
  <c r="BY61" i="18" s="1"/>
  <c r="BY64" i="18" s="1"/>
  <c r="BV50" i="18"/>
  <c r="BX61" i="18" s="1"/>
  <c r="BX64" i="18" s="1"/>
  <c r="BU50" i="18"/>
  <c r="BW61" i="18" s="1"/>
  <c r="BW64" i="18" s="1"/>
  <c r="BT50" i="18"/>
  <c r="BV61" i="18" s="1"/>
  <c r="BV64" i="18" s="1"/>
  <c r="BS50" i="18"/>
  <c r="BU61" i="18" s="1"/>
  <c r="BR50" i="18"/>
  <c r="BQ50" i="18"/>
  <c r="BP50" i="18"/>
  <c r="BO50" i="18"/>
  <c r="BN50" i="18"/>
  <c r="BM50" i="18"/>
  <c r="BL50" i="18"/>
  <c r="BK50" i="18"/>
  <c r="BJ50" i="18"/>
  <c r="BI50" i="18"/>
  <c r="BH50" i="18"/>
  <c r="BG50" i="18"/>
  <c r="BF50" i="18"/>
  <c r="BD50" i="18"/>
  <c r="BC50" i="18"/>
  <c r="BB50" i="18"/>
  <c r="BA50" i="18"/>
  <c r="AZ50" i="18"/>
  <c r="AY50" i="18"/>
  <c r="AX50" i="18"/>
  <c r="AW50" i="18"/>
  <c r="AV50" i="18"/>
  <c r="AU50" i="18"/>
  <c r="AT50" i="18"/>
  <c r="AS50" i="18"/>
  <c r="AR50" i="18"/>
  <c r="AQ50" i="18"/>
  <c r="AP50" i="18"/>
  <c r="AO50" i="18"/>
  <c r="AN50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AI49" i="18"/>
  <c r="AR48" i="18"/>
  <c r="AZ47" i="18" s="1"/>
  <c r="AH46" i="18"/>
  <c r="AH45" i="18"/>
  <c r="BE44" i="18"/>
  <c r="W42" i="18"/>
  <c r="AP41" i="18"/>
  <c r="V40" i="18"/>
  <c r="AQ40" i="18" s="1"/>
  <c r="S40" i="18"/>
  <c r="AP40" i="18" s="1"/>
  <c r="R40" i="18"/>
  <c r="Q26" i="18" s="1"/>
  <c r="V39" i="18"/>
  <c r="AQ39" i="18" s="1"/>
  <c r="S39" i="18"/>
  <c r="AP39" i="18" s="1"/>
  <c r="R39" i="18"/>
  <c r="Q25" i="18" s="1"/>
  <c r="V38" i="18"/>
  <c r="AQ38" i="18" s="1"/>
  <c r="S38" i="18"/>
  <c r="V37" i="18"/>
  <c r="AQ37" i="18" s="1"/>
  <c r="S37" i="18"/>
  <c r="K26" i="18" s="1"/>
  <c r="R37" i="18"/>
  <c r="J26" i="18" s="1"/>
  <c r="AQ36" i="18"/>
  <c r="AP36" i="18"/>
  <c r="J25" i="18"/>
  <c r="AP35" i="18"/>
  <c r="J24" i="18"/>
  <c r="G26" i="18"/>
  <c r="AP34" i="18"/>
  <c r="AQ33" i="18"/>
  <c r="AP33" i="18"/>
  <c r="B4" i="18"/>
  <c r="BA32" i="18"/>
  <c r="AO32" i="18" s="1"/>
  <c r="BB32" i="18" s="1"/>
  <c r="BC32" i="18" s="1"/>
  <c r="AQ32" i="18"/>
  <c r="AP32" i="18"/>
  <c r="AI32" i="18"/>
  <c r="B3" i="18"/>
  <c r="C29" i="18"/>
  <c r="Q24" i="18"/>
  <c r="G24" i="18"/>
  <c r="D24" i="18"/>
  <c r="C24" i="18"/>
  <c r="Q4" i="18"/>
  <c r="BP51" i="18" s="1"/>
  <c r="BP52" i="18" s="1"/>
  <c r="AG178" i="17"/>
  <c r="AF178" i="17"/>
  <c r="AE178" i="17"/>
  <c r="AD178" i="17"/>
  <c r="AC178" i="17"/>
  <c r="AB178" i="17"/>
  <c r="AA178" i="17"/>
  <c r="Z178" i="17"/>
  <c r="Y178" i="17"/>
  <c r="X178" i="17"/>
  <c r="W178" i="17"/>
  <c r="V178" i="17"/>
  <c r="U178" i="17"/>
  <c r="T178" i="17"/>
  <c r="S178" i="17"/>
  <c r="R178" i="17"/>
  <c r="Q178" i="17"/>
  <c r="P178" i="17"/>
  <c r="O178" i="17"/>
  <c r="N178" i="17"/>
  <c r="M178" i="17"/>
  <c r="L178" i="17"/>
  <c r="K178" i="17"/>
  <c r="J178" i="17"/>
  <c r="I178" i="17"/>
  <c r="H178" i="17"/>
  <c r="G178" i="17"/>
  <c r="F178" i="17"/>
  <c r="E178" i="17"/>
  <c r="D178" i="17"/>
  <c r="C178" i="17"/>
  <c r="AG177" i="17"/>
  <c r="AF177" i="17"/>
  <c r="AE177" i="17"/>
  <c r="AD177" i="17"/>
  <c r="AC177" i="17"/>
  <c r="AB177" i="17"/>
  <c r="AA177" i="17"/>
  <c r="Z177" i="17"/>
  <c r="Y177" i="17"/>
  <c r="X177" i="17"/>
  <c r="W177" i="17"/>
  <c r="V177" i="17"/>
  <c r="U177" i="17"/>
  <c r="T177" i="17"/>
  <c r="S177" i="17"/>
  <c r="R177" i="17"/>
  <c r="Q177" i="17"/>
  <c r="P177" i="17"/>
  <c r="O177" i="17"/>
  <c r="N177" i="17"/>
  <c r="M177" i="17"/>
  <c r="L177" i="17"/>
  <c r="K177" i="17"/>
  <c r="J177" i="17"/>
  <c r="I177" i="17"/>
  <c r="H177" i="17"/>
  <c r="G177" i="17"/>
  <c r="F177" i="17"/>
  <c r="E177" i="17"/>
  <c r="D177" i="17"/>
  <c r="C177" i="17"/>
  <c r="AG171" i="17"/>
  <c r="AF171" i="17"/>
  <c r="AE171" i="17"/>
  <c r="AD171" i="17"/>
  <c r="AC171" i="17"/>
  <c r="AB171" i="17"/>
  <c r="AA171" i="17"/>
  <c r="Z171" i="17"/>
  <c r="Y171" i="17"/>
  <c r="X171" i="17"/>
  <c r="W171" i="17"/>
  <c r="V171" i="17"/>
  <c r="U171" i="17"/>
  <c r="T171" i="17"/>
  <c r="S171" i="17"/>
  <c r="R171" i="17"/>
  <c r="Q171" i="17"/>
  <c r="P171" i="17"/>
  <c r="O171" i="17"/>
  <c r="N171" i="17"/>
  <c r="M171" i="17"/>
  <c r="L171" i="17"/>
  <c r="K171" i="17"/>
  <c r="J171" i="17"/>
  <c r="I171" i="17"/>
  <c r="H171" i="17"/>
  <c r="G171" i="17"/>
  <c r="F171" i="17"/>
  <c r="E171" i="17"/>
  <c r="D171" i="17"/>
  <c r="C171" i="17"/>
  <c r="AG167" i="17"/>
  <c r="AF167" i="17"/>
  <c r="AE167" i="17"/>
  <c r="AD167" i="17"/>
  <c r="AC167" i="17"/>
  <c r="AB167" i="17"/>
  <c r="AA167" i="17"/>
  <c r="Z167" i="17"/>
  <c r="Y167" i="17"/>
  <c r="X167" i="17"/>
  <c r="W167" i="17"/>
  <c r="V167" i="17"/>
  <c r="U167" i="17"/>
  <c r="T167" i="17"/>
  <c r="S167" i="17"/>
  <c r="R167" i="17"/>
  <c r="Q167" i="17"/>
  <c r="P167" i="17"/>
  <c r="O167" i="17"/>
  <c r="N167" i="17"/>
  <c r="M167" i="17"/>
  <c r="L167" i="17"/>
  <c r="K167" i="17"/>
  <c r="J167" i="17"/>
  <c r="I167" i="17"/>
  <c r="H167" i="17"/>
  <c r="G167" i="17"/>
  <c r="F167" i="17"/>
  <c r="E167" i="17"/>
  <c r="D167" i="17"/>
  <c r="C167" i="17"/>
  <c r="AG166" i="17"/>
  <c r="AF166" i="17"/>
  <c r="AE166" i="17"/>
  <c r="AD166" i="17"/>
  <c r="AC166" i="17"/>
  <c r="AB166" i="17"/>
  <c r="AA166" i="17"/>
  <c r="Z166" i="17"/>
  <c r="Y166" i="17"/>
  <c r="X166" i="17"/>
  <c r="W166" i="17"/>
  <c r="V166" i="17"/>
  <c r="U166" i="17"/>
  <c r="T166" i="17"/>
  <c r="S166" i="17"/>
  <c r="R166" i="17"/>
  <c r="Q166" i="17"/>
  <c r="P166" i="17"/>
  <c r="O166" i="17"/>
  <c r="N166" i="17"/>
  <c r="M166" i="17"/>
  <c r="L166" i="17"/>
  <c r="K166" i="17"/>
  <c r="J166" i="17"/>
  <c r="I166" i="17"/>
  <c r="H166" i="17"/>
  <c r="G166" i="17"/>
  <c r="F166" i="17"/>
  <c r="E166" i="17"/>
  <c r="D166" i="17"/>
  <c r="C166" i="17"/>
  <c r="AG160" i="17"/>
  <c r="AF160" i="17"/>
  <c r="AE160" i="17"/>
  <c r="AD160" i="17"/>
  <c r="AC160" i="17"/>
  <c r="AB160" i="17"/>
  <c r="AA160" i="17"/>
  <c r="Z160" i="17"/>
  <c r="Y160" i="17"/>
  <c r="X160" i="17"/>
  <c r="W160" i="17"/>
  <c r="V160" i="17"/>
  <c r="U160" i="17"/>
  <c r="T160" i="17"/>
  <c r="S160" i="17"/>
  <c r="R160" i="17"/>
  <c r="Q160" i="17"/>
  <c r="P160" i="17"/>
  <c r="O160" i="17"/>
  <c r="N160" i="17"/>
  <c r="M160" i="17"/>
  <c r="L160" i="17"/>
  <c r="K160" i="17"/>
  <c r="J160" i="17"/>
  <c r="I160" i="17"/>
  <c r="H160" i="17"/>
  <c r="G160" i="17"/>
  <c r="F160" i="17"/>
  <c r="E160" i="17"/>
  <c r="D160" i="17"/>
  <c r="C160" i="17"/>
  <c r="AG156" i="17"/>
  <c r="AF156" i="17"/>
  <c r="AE156" i="17"/>
  <c r="AD156" i="17"/>
  <c r="AC156" i="17"/>
  <c r="AB156" i="17"/>
  <c r="AA156" i="17"/>
  <c r="Z156" i="17"/>
  <c r="Y156" i="17"/>
  <c r="X156" i="17"/>
  <c r="W156" i="17"/>
  <c r="V156" i="17"/>
  <c r="U156" i="17"/>
  <c r="T156" i="17"/>
  <c r="S156" i="17"/>
  <c r="R156" i="17"/>
  <c r="Q156" i="17"/>
  <c r="P156" i="17"/>
  <c r="O156" i="17"/>
  <c r="N156" i="17"/>
  <c r="M156" i="17"/>
  <c r="L156" i="17"/>
  <c r="K156" i="17"/>
  <c r="J156" i="17"/>
  <c r="I156" i="17"/>
  <c r="H156" i="17"/>
  <c r="G156" i="17"/>
  <c r="F156" i="17"/>
  <c r="E156" i="17"/>
  <c r="D156" i="17"/>
  <c r="C156" i="17"/>
  <c r="AG155" i="17"/>
  <c r="AF155" i="17"/>
  <c r="AE155" i="17"/>
  <c r="AD155" i="17"/>
  <c r="AC155" i="17"/>
  <c r="AB155" i="17"/>
  <c r="AA155" i="17"/>
  <c r="Z155" i="17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AG149" i="17"/>
  <c r="AF149" i="17"/>
  <c r="AE149" i="17"/>
  <c r="AD149" i="17"/>
  <c r="AC149" i="17"/>
  <c r="AB149" i="17"/>
  <c r="AA149" i="17"/>
  <c r="Z149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AG145" i="17"/>
  <c r="AF145" i="17"/>
  <c r="AE145" i="17"/>
  <c r="AD145" i="17"/>
  <c r="AC145" i="17"/>
  <c r="AB145" i="17"/>
  <c r="AA145" i="17"/>
  <c r="Z145" i="17"/>
  <c r="Y145" i="17"/>
  <c r="X145" i="17"/>
  <c r="W145" i="17"/>
  <c r="V145" i="17"/>
  <c r="U145" i="17"/>
  <c r="T145" i="17"/>
  <c r="S145" i="17"/>
  <c r="R145" i="17"/>
  <c r="Q145" i="17"/>
  <c r="P145" i="17"/>
  <c r="O145" i="17"/>
  <c r="N145" i="17"/>
  <c r="M145" i="17"/>
  <c r="L145" i="17"/>
  <c r="K145" i="17"/>
  <c r="J145" i="17"/>
  <c r="I145" i="17"/>
  <c r="H145" i="17"/>
  <c r="G145" i="17"/>
  <c r="F145" i="17"/>
  <c r="E145" i="17"/>
  <c r="D145" i="17"/>
  <c r="C145" i="17"/>
  <c r="AG144" i="17"/>
  <c r="AF144" i="17"/>
  <c r="AE144" i="17"/>
  <c r="AD144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AG134" i="17"/>
  <c r="AF134" i="17"/>
  <c r="AE134" i="17"/>
  <c r="AD134" i="17"/>
  <c r="AC134" i="17"/>
  <c r="AB134" i="17"/>
  <c r="AA134" i="17"/>
  <c r="Z134" i="17"/>
  <c r="Y134" i="17"/>
  <c r="X134" i="17"/>
  <c r="W134" i="17"/>
  <c r="V134" i="17"/>
  <c r="U134" i="17"/>
  <c r="T134" i="17"/>
  <c r="S134" i="17"/>
  <c r="R134" i="17"/>
  <c r="Q134" i="17"/>
  <c r="P134" i="17"/>
  <c r="O134" i="17"/>
  <c r="N134" i="17"/>
  <c r="M134" i="17"/>
  <c r="L134" i="17"/>
  <c r="K134" i="17"/>
  <c r="J134" i="17"/>
  <c r="I134" i="17"/>
  <c r="H134" i="17"/>
  <c r="G134" i="17"/>
  <c r="F134" i="17"/>
  <c r="E134" i="17"/>
  <c r="D134" i="17"/>
  <c r="C134" i="17"/>
  <c r="AG133" i="17"/>
  <c r="AF133" i="17"/>
  <c r="AE133" i="17"/>
  <c r="AD133" i="17"/>
  <c r="AC133" i="17"/>
  <c r="AB133" i="17"/>
  <c r="AA133" i="17"/>
  <c r="Z133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AG127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AG123" i="17"/>
  <c r="AF123" i="17"/>
  <c r="AE123" i="17"/>
  <c r="AD123" i="17"/>
  <c r="AC123" i="17"/>
  <c r="AB123" i="17"/>
  <c r="AA123" i="17"/>
  <c r="Z123" i="17"/>
  <c r="Y123" i="17"/>
  <c r="X123" i="17"/>
  <c r="W123" i="17"/>
  <c r="V123" i="17"/>
  <c r="U123" i="17"/>
  <c r="T123" i="17"/>
  <c r="S123" i="17"/>
  <c r="R123" i="17"/>
  <c r="Q123" i="17"/>
  <c r="P123" i="17"/>
  <c r="O123" i="17"/>
  <c r="N123" i="17"/>
  <c r="M123" i="17"/>
  <c r="L123" i="17"/>
  <c r="K123" i="17"/>
  <c r="J123" i="17"/>
  <c r="I123" i="17"/>
  <c r="H123" i="17"/>
  <c r="G123" i="17"/>
  <c r="F123" i="17"/>
  <c r="E123" i="17"/>
  <c r="D123" i="17"/>
  <c r="C123" i="17"/>
  <c r="AG122" i="17"/>
  <c r="AF122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AG116" i="17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AG112" i="17"/>
  <c r="AF112" i="17"/>
  <c r="AE112" i="17"/>
  <c r="AD112" i="17"/>
  <c r="AC112" i="17"/>
  <c r="AB112" i="17"/>
  <c r="AA112" i="17"/>
  <c r="Z112" i="17"/>
  <c r="Y112" i="17"/>
  <c r="X112" i="17"/>
  <c r="W112" i="17"/>
  <c r="V112" i="17"/>
  <c r="U112" i="17"/>
  <c r="T112" i="17"/>
  <c r="S112" i="17"/>
  <c r="R112" i="17"/>
  <c r="Q112" i="17"/>
  <c r="P112" i="17"/>
  <c r="O112" i="17"/>
  <c r="N112" i="17"/>
  <c r="M112" i="17"/>
  <c r="L112" i="17"/>
  <c r="K112" i="17"/>
  <c r="J112" i="17"/>
  <c r="I112" i="17"/>
  <c r="H112" i="17"/>
  <c r="G112" i="17"/>
  <c r="F112" i="17"/>
  <c r="E112" i="17"/>
  <c r="D112" i="17"/>
  <c r="C112" i="17"/>
  <c r="AG111" i="17"/>
  <c r="AF111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AG105" i="17"/>
  <c r="AF105" i="17"/>
  <c r="AE105" i="17"/>
  <c r="AD105" i="17"/>
  <c r="AC105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AG101" i="17"/>
  <c r="AF101" i="17"/>
  <c r="AE101" i="17"/>
  <c r="AD101" i="17"/>
  <c r="AC101" i="17"/>
  <c r="AB101" i="17"/>
  <c r="AA101" i="17"/>
  <c r="Z101" i="17"/>
  <c r="Y101" i="17"/>
  <c r="X101" i="17"/>
  <c r="W101" i="17"/>
  <c r="V101" i="17"/>
  <c r="U101" i="17"/>
  <c r="T101" i="17"/>
  <c r="S101" i="17"/>
  <c r="R101" i="17"/>
  <c r="Q101" i="17"/>
  <c r="P101" i="17"/>
  <c r="O101" i="17"/>
  <c r="N101" i="17"/>
  <c r="M101" i="17"/>
  <c r="L101" i="17"/>
  <c r="K101" i="17"/>
  <c r="J101" i="17"/>
  <c r="I101" i="17"/>
  <c r="H101" i="17"/>
  <c r="G101" i="17"/>
  <c r="F101" i="17"/>
  <c r="E101" i="17"/>
  <c r="D101" i="17"/>
  <c r="C101" i="17"/>
  <c r="AG100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AG94" i="17"/>
  <c r="AF94" i="17"/>
  <c r="AE94" i="17"/>
  <c r="AD94" i="17"/>
  <c r="AC94" i="17"/>
  <c r="AB94" i="17"/>
  <c r="AA94" i="17"/>
  <c r="Z94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AG90" i="17"/>
  <c r="AF90" i="17"/>
  <c r="AE90" i="17"/>
  <c r="AD90" i="17"/>
  <c r="AC90" i="17"/>
  <c r="AB90" i="17"/>
  <c r="AA90" i="17"/>
  <c r="Z90" i="17"/>
  <c r="Y90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AG89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AG83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AG79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AG68" i="17"/>
  <c r="AF68" i="17"/>
  <c r="AE68" i="17"/>
  <c r="AD68" i="17"/>
  <c r="AC68" i="17"/>
  <c r="AB68" i="17"/>
  <c r="AA68" i="17"/>
  <c r="Z68" i="17"/>
  <c r="Y68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AG67" i="17"/>
  <c r="AF67" i="17"/>
  <c r="AE67" i="17"/>
  <c r="AD67" i="17"/>
  <c r="AC67" i="17"/>
  <c r="AB67" i="17"/>
  <c r="AA67" i="17"/>
  <c r="Z67" i="17"/>
  <c r="Y67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Y66" i="17"/>
  <c r="BY67" i="17" s="1"/>
  <c r="BX66" i="17"/>
  <c r="BX67" i="17" s="1"/>
  <c r="BW66" i="17"/>
  <c r="BW67" i="17" s="1"/>
  <c r="BV66" i="17"/>
  <c r="BV67" i="17" s="1"/>
  <c r="AG61" i="17"/>
  <c r="AF61" i="17"/>
  <c r="AE61" i="17"/>
  <c r="AD61" i="17"/>
  <c r="AC61" i="17"/>
  <c r="AB61" i="17"/>
  <c r="AA61" i="17"/>
  <c r="Z61" i="17"/>
  <c r="Y61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AG57" i="17"/>
  <c r="AF57" i="17"/>
  <c r="AE57" i="17"/>
  <c r="AD57" i="17"/>
  <c r="AC57" i="17"/>
  <c r="AB57" i="17"/>
  <c r="AA57" i="17"/>
  <c r="Z57" i="17"/>
  <c r="Y57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X50" i="17"/>
  <c r="BW50" i="17"/>
  <c r="BY61" i="17" s="1"/>
  <c r="BY64" i="17" s="1"/>
  <c r="BV50" i="17"/>
  <c r="BX61" i="17" s="1"/>
  <c r="BX64" i="17" s="1"/>
  <c r="BU50" i="17"/>
  <c r="BW61" i="17" s="1"/>
  <c r="BW64" i="17" s="1"/>
  <c r="BT50" i="17"/>
  <c r="BV61" i="17" s="1"/>
  <c r="BV64" i="17" s="1"/>
  <c r="BS50" i="17"/>
  <c r="BU61" i="17" s="1"/>
  <c r="BR50" i="17"/>
  <c r="BQ50" i="17"/>
  <c r="BP50" i="17"/>
  <c r="BO50" i="17"/>
  <c r="BN50" i="17"/>
  <c r="BM50" i="17"/>
  <c r="BL50" i="17"/>
  <c r="BK50" i="17"/>
  <c r="BJ50" i="17"/>
  <c r="BI50" i="17"/>
  <c r="BH50" i="17"/>
  <c r="BG50" i="17"/>
  <c r="BF50" i="17"/>
  <c r="BD50" i="17"/>
  <c r="BC50" i="17"/>
  <c r="BB50" i="17"/>
  <c r="BA50" i="17"/>
  <c r="AZ50" i="17"/>
  <c r="AY50" i="17"/>
  <c r="AX50" i="17"/>
  <c r="AW50" i="17"/>
  <c r="AV50" i="17"/>
  <c r="AU50" i="17"/>
  <c r="AT50" i="17"/>
  <c r="AS50" i="17"/>
  <c r="AR50" i="17"/>
  <c r="AQ50" i="17"/>
  <c r="AP50" i="17"/>
  <c r="AO50" i="17"/>
  <c r="AN50" i="17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AI49" i="17"/>
  <c r="AH46" i="17"/>
  <c r="AG54" i="17" s="1"/>
  <c r="AH45" i="17"/>
  <c r="BE44" i="17"/>
  <c r="W42" i="17"/>
  <c r="AP41" i="17"/>
  <c r="V40" i="17"/>
  <c r="S40" i="17"/>
  <c r="AP40" i="17" s="1"/>
  <c r="R40" i="17"/>
  <c r="Q26" i="17" s="1"/>
  <c r="V39" i="17"/>
  <c r="AQ39" i="17" s="1"/>
  <c r="S39" i="17"/>
  <c r="AP39" i="17" s="1"/>
  <c r="R39" i="17"/>
  <c r="Q25" i="17" s="1"/>
  <c r="V38" i="17"/>
  <c r="AQ38" i="17" s="1"/>
  <c r="S38" i="17"/>
  <c r="AP38" i="17" s="1"/>
  <c r="V37" i="17"/>
  <c r="AQ37" i="17" s="1"/>
  <c r="S37" i="17"/>
  <c r="K26" i="17" s="1"/>
  <c r="R37" i="17"/>
  <c r="AQ36" i="17"/>
  <c r="J25" i="17"/>
  <c r="AQ35" i="17"/>
  <c r="K24" i="17"/>
  <c r="J24" i="17"/>
  <c r="AQ34" i="17"/>
  <c r="D26" i="17"/>
  <c r="AQ33" i="17"/>
  <c r="D25" i="17"/>
  <c r="C25" i="17"/>
  <c r="B4" i="17"/>
  <c r="BA32" i="17"/>
  <c r="AO32" i="17" s="1"/>
  <c r="BB32" i="17" s="1"/>
  <c r="BC32" i="17" s="1"/>
  <c r="AQ32" i="17"/>
  <c r="AP32" i="17"/>
  <c r="AI32" i="17"/>
  <c r="B3" i="17"/>
  <c r="C29" i="17"/>
  <c r="Q24" i="17"/>
  <c r="G24" i="17"/>
  <c r="D24" i="17"/>
  <c r="C24" i="17"/>
  <c r="Q4" i="17"/>
  <c r="BS51" i="17" s="1"/>
  <c r="BS52" i="17" s="1"/>
  <c r="AG178" i="16"/>
  <c r="AF178" i="16"/>
  <c r="AE178" i="16"/>
  <c r="AD178" i="16"/>
  <c r="AC178" i="16"/>
  <c r="AB178" i="16"/>
  <c r="AA178" i="16"/>
  <c r="Z178" i="16"/>
  <c r="Y178" i="16"/>
  <c r="X178" i="16"/>
  <c r="W178" i="16"/>
  <c r="V178" i="16"/>
  <c r="U178" i="16"/>
  <c r="T178" i="16"/>
  <c r="S178" i="16"/>
  <c r="R178" i="16"/>
  <c r="Q178" i="16"/>
  <c r="P178" i="16"/>
  <c r="O178" i="16"/>
  <c r="N178" i="16"/>
  <c r="M178" i="16"/>
  <c r="L178" i="16"/>
  <c r="K178" i="16"/>
  <c r="J178" i="16"/>
  <c r="I178" i="16"/>
  <c r="H178" i="16"/>
  <c r="G178" i="16"/>
  <c r="F178" i="16"/>
  <c r="E178" i="16"/>
  <c r="D178" i="16"/>
  <c r="C178" i="16"/>
  <c r="AG177" i="16"/>
  <c r="AF177" i="16"/>
  <c r="AE177" i="16"/>
  <c r="AD177" i="16"/>
  <c r="AC177" i="16"/>
  <c r="AB177" i="16"/>
  <c r="AA177" i="16"/>
  <c r="Z177" i="16"/>
  <c r="Y177" i="16"/>
  <c r="X177" i="16"/>
  <c r="W177" i="16"/>
  <c r="V177" i="16"/>
  <c r="U177" i="16"/>
  <c r="T177" i="16"/>
  <c r="S177" i="16"/>
  <c r="R177" i="16"/>
  <c r="Q177" i="16"/>
  <c r="P177" i="16"/>
  <c r="O177" i="16"/>
  <c r="N177" i="16"/>
  <c r="M177" i="16"/>
  <c r="L177" i="16"/>
  <c r="K177" i="16"/>
  <c r="J177" i="16"/>
  <c r="I177" i="16"/>
  <c r="H177" i="16"/>
  <c r="G177" i="16"/>
  <c r="F177" i="16"/>
  <c r="E177" i="16"/>
  <c r="D177" i="16"/>
  <c r="C177" i="16"/>
  <c r="AG171" i="16"/>
  <c r="AF171" i="16"/>
  <c r="AE171" i="16"/>
  <c r="AD171" i="16"/>
  <c r="AC171" i="16"/>
  <c r="AB171" i="16"/>
  <c r="AA171" i="16"/>
  <c r="Z171" i="16"/>
  <c r="Y171" i="16"/>
  <c r="X171" i="16"/>
  <c r="W171" i="16"/>
  <c r="V171" i="16"/>
  <c r="U171" i="16"/>
  <c r="T171" i="16"/>
  <c r="S171" i="16"/>
  <c r="R171" i="16"/>
  <c r="Q171" i="16"/>
  <c r="P171" i="16"/>
  <c r="O171" i="16"/>
  <c r="N171" i="16"/>
  <c r="M171" i="16"/>
  <c r="L171" i="16"/>
  <c r="K171" i="16"/>
  <c r="J171" i="16"/>
  <c r="I171" i="16"/>
  <c r="H171" i="16"/>
  <c r="G171" i="16"/>
  <c r="F171" i="16"/>
  <c r="E171" i="16"/>
  <c r="D171" i="16"/>
  <c r="C171" i="16"/>
  <c r="AG167" i="16"/>
  <c r="AF167" i="16"/>
  <c r="AE167" i="16"/>
  <c r="AD167" i="16"/>
  <c r="AC167" i="16"/>
  <c r="AB167" i="16"/>
  <c r="AA167" i="16"/>
  <c r="Z167" i="16"/>
  <c r="Y167" i="16"/>
  <c r="X167" i="16"/>
  <c r="W167" i="16"/>
  <c r="V167" i="16"/>
  <c r="U167" i="16"/>
  <c r="T167" i="16"/>
  <c r="S167" i="16"/>
  <c r="R167" i="16"/>
  <c r="Q167" i="16"/>
  <c r="P167" i="16"/>
  <c r="O167" i="16"/>
  <c r="N167" i="16"/>
  <c r="M167" i="16"/>
  <c r="L167" i="16"/>
  <c r="K167" i="16"/>
  <c r="J167" i="16"/>
  <c r="I167" i="16"/>
  <c r="H167" i="16"/>
  <c r="G167" i="16"/>
  <c r="F167" i="16"/>
  <c r="E167" i="16"/>
  <c r="D167" i="16"/>
  <c r="C167" i="16"/>
  <c r="AG166" i="16"/>
  <c r="AF166" i="16"/>
  <c r="AE166" i="16"/>
  <c r="AD166" i="16"/>
  <c r="AC166" i="16"/>
  <c r="AB166" i="16"/>
  <c r="AA166" i="16"/>
  <c r="Z166" i="16"/>
  <c r="Y166" i="16"/>
  <c r="X166" i="16"/>
  <c r="W166" i="16"/>
  <c r="V166" i="16"/>
  <c r="U166" i="16"/>
  <c r="T166" i="16"/>
  <c r="S166" i="16"/>
  <c r="R166" i="16"/>
  <c r="Q166" i="16"/>
  <c r="P166" i="16"/>
  <c r="O166" i="16"/>
  <c r="N166" i="16"/>
  <c r="M166" i="16"/>
  <c r="L166" i="16"/>
  <c r="K166" i="16"/>
  <c r="J166" i="16"/>
  <c r="I166" i="16"/>
  <c r="H166" i="16"/>
  <c r="G166" i="16"/>
  <c r="F166" i="16"/>
  <c r="E166" i="16"/>
  <c r="D166" i="16"/>
  <c r="C166" i="16"/>
  <c r="AG160" i="16"/>
  <c r="AF160" i="16"/>
  <c r="AE160" i="16"/>
  <c r="AD160" i="16"/>
  <c r="AC160" i="16"/>
  <c r="AB160" i="16"/>
  <c r="AA160" i="16"/>
  <c r="Z160" i="16"/>
  <c r="Y160" i="16"/>
  <c r="X160" i="16"/>
  <c r="W160" i="16"/>
  <c r="V160" i="16"/>
  <c r="U160" i="16"/>
  <c r="T160" i="16"/>
  <c r="S160" i="16"/>
  <c r="R160" i="16"/>
  <c r="Q160" i="16"/>
  <c r="P160" i="16"/>
  <c r="O160" i="16"/>
  <c r="N160" i="16"/>
  <c r="M160" i="16"/>
  <c r="L160" i="16"/>
  <c r="K160" i="16"/>
  <c r="J160" i="16"/>
  <c r="I160" i="16"/>
  <c r="H160" i="16"/>
  <c r="G160" i="16"/>
  <c r="F160" i="16"/>
  <c r="E160" i="16"/>
  <c r="D160" i="16"/>
  <c r="C160" i="16"/>
  <c r="AG156" i="16"/>
  <c r="AF156" i="16"/>
  <c r="AE156" i="16"/>
  <c r="AD156" i="16"/>
  <c r="AC156" i="16"/>
  <c r="AB156" i="16"/>
  <c r="AA156" i="16"/>
  <c r="Z156" i="16"/>
  <c r="Y156" i="16"/>
  <c r="X156" i="16"/>
  <c r="W156" i="16"/>
  <c r="V156" i="16"/>
  <c r="U156" i="16"/>
  <c r="T156" i="16"/>
  <c r="S156" i="16"/>
  <c r="R156" i="16"/>
  <c r="Q156" i="16"/>
  <c r="P156" i="16"/>
  <c r="O156" i="16"/>
  <c r="N156" i="16"/>
  <c r="M156" i="16"/>
  <c r="L156" i="16"/>
  <c r="K156" i="16"/>
  <c r="J156" i="16"/>
  <c r="I156" i="16"/>
  <c r="H156" i="16"/>
  <c r="G156" i="16"/>
  <c r="F156" i="16"/>
  <c r="E156" i="16"/>
  <c r="D156" i="16"/>
  <c r="C156" i="16"/>
  <c r="AG155" i="16"/>
  <c r="AF155" i="16"/>
  <c r="AE155" i="16"/>
  <c r="AD155" i="16"/>
  <c r="AC155" i="16"/>
  <c r="AB155" i="16"/>
  <c r="AA155" i="16"/>
  <c r="Z155" i="16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AG149" i="16"/>
  <c r="AF149" i="16"/>
  <c r="AE149" i="16"/>
  <c r="AD149" i="16"/>
  <c r="AC149" i="16"/>
  <c r="AB149" i="16"/>
  <c r="AA149" i="16"/>
  <c r="Z149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AG145" i="16"/>
  <c r="AF145" i="16"/>
  <c r="AE145" i="16"/>
  <c r="AD145" i="16"/>
  <c r="AC145" i="16"/>
  <c r="AB145" i="16"/>
  <c r="AA145" i="16"/>
  <c r="Z145" i="16"/>
  <c r="Y145" i="16"/>
  <c r="X145" i="16"/>
  <c r="W145" i="16"/>
  <c r="V145" i="16"/>
  <c r="U145" i="16"/>
  <c r="T145" i="16"/>
  <c r="S145" i="16"/>
  <c r="R145" i="16"/>
  <c r="Q145" i="16"/>
  <c r="P145" i="16"/>
  <c r="O145" i="16"/>
  <c r="N145" i="16"/>
  <c r="M145" i="16"/>
  <c r="L145" i="16"/>
  <c r="K145" i="16"/>
  <c r="J145" i="16"/>
  <c r="I145" i="16"/>
  <c r="H145" i="16"/>
  <c r="G145" i="16"/>
  <c r="F145" i="16"/>
  <c r="E145" i="16"/>
  <c r="D145" i="16"/>
  <c r="C145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AG138" i="16"/>
  <c r="AF138" i="16"/>
  <c r="AE138" i="16"/>
  <c r="AD138" i="16"/>
  <c r="AC138" i="16"/>
  <c r="AB138" i="16"/>
  <c r="AA138" i="16"/>
  <c r="Z138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AG134" i="16"/>
  <c r="AF134" i="16"/>
  <c r="AE134" i="16"/>
  <c r="AD134" i="16"/>
  <c r="AC134" i="16"/>
  <c r="AB134" i="16"/>
  <c r="AA134" i="16"/>
  <c r="Z134" i="16"/>
  <c r="Y134" i="16"/>
  <c r="X134" i="16"/>
  <c r="W134" i="16"/>
  <c r="V134" i="16"/>
  <c r="U134" i="16"/>
  <c r="T134" i="16"/>
  <c r="S134" i="16"/>
  <c r="R134" i="16"/>
  <c r="Q134" i="16"/>
  <c r="P134" i="16"/>
  <c r="O134" i="16"/>
  <c r="N134" i="16"/>
  <c r="M134" i="16"/>
  <c r="L134" i="16"/>
  <c r="K134" i="16"/>
  <c r="J134" i="16"/>
  <c r="I134" i="16"/>
  <c r="H134" i="16"/>
  <c r="G134" i="16"/>
  <c r="F134" i="16"/>
  <c r="E134" i="16"/>
  <c r="D134" i="16"/>
  <c r="C134" i="16"/>
  <c r="AG133" i="16"/>
  <c r="AF133" i="16"/>
  <c r="AE133" i="16"/>
  <c r="AD133" i="16"/>
  <c r="AC133" i="16"/>
  <c r="AB133" i="16"/>
  <c r="AA133" i="16"/>
  <c r="Z133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AG127" i="16"/>
  <c r="AF127" i="16"/>
  <c r="AE127" i="16"/>
  <c r="AD127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AG123" i="16"/>
  <c r="AF123" i="16"/>
  <c r="AE123" i="16"/>
  <c r="AD123" i="16"/>
  <c r="AC123" i="16"/>
  <c r="AB123" i="16"/>
  <c r="AA123" i="16"/>
  <c r="Z123" i="16"/>
  <c r="Y123" i="16"/>
  <c r="X123" i="16"/>
  <c r="W123" i="16"/>
  <c r="V123" i="16"/>
  <c r="U123" i="16"/>
  <c r="T123" i="16"/>
  <c r="S123" i="16"/>
  <c r="R123" i="16"/>
  <c r="Q123" i="16"/>
  <c r="P123" i="16"/>
  <c r="O123" i="16"/>
  <c r="N123" i="16"/>
  <c r="M123" i="16"/>
  <c r="L123" i="16"/>
  <c r="K123" i="16"/>
  <c r="J123" i="16"/>
  <c r="I123" i="16"/>
  <c r="H123" i="16"/>
  <c r="G123" i="16"/>
  <c r="F123" i="16"/>
  <c r="E123" i="16"/>
  <c r="D123" i="16"/>
  <c r="C123" i="16"/>
  <c r="AG122" i="16"/>
  <c r="AF122" i="16"/>
  <c r="AE122" i="16"/>
  <c r="AD122" i="16"/>
  <c r="AC122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AG116" i="16"/>
  <c r="AF116" i="16"/>
  <c r="AE116" i="16"/>
  <c r="AD116" i="16"/>
  <c r="AC116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AG112" i="16"/>
  <c r="AF112" i="16"/>
  <c r="AE112" i="16"/>
  <c r="AD112" i="16"/>
  <c r="AC112" i="16"/>
  <c r="AB112" i="16"/>
  <c r="AA112" i="16"/>
  <c r="Z112" i="16"/>
  <c r="Y112" i="16"/>
  <c r="X112" i="16"/>
  <c r="W112" i="16"/>
  <c r="V112" i="16"/>
  <c r="U112" i="16"/>
  <c r="T112" i="16"/>
  <c r="S112" i="16"/>
  <c r="R112" i="16"/>
  <c r="Q112" i="16"/>
  <c r="P112" i="16"/>
  <c r="O112" i="16"/>
  <c r="N112" i="16"/>
  <c r="M112" i="16"/>
  <c r="L112" i="16"/>
  <c r="K112" i="16"/>
  <c r="J112" i="16"/>
  <c r="I112" i="16"/>
  <c r="H112" i="16"/>
  <c r="G112" i="16"/>
  <c r="F112" i="16"/>
  <c r="E112" i="16"/>
  <c r="D112" i="16"/>
  <c r="C112" i="16"/>
  <c r="AG111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AG105" i="16"/>
  <c r="AF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AG101" i="16"/>
  <c r="AF101" i="16"/>
  <c r="AE101" i="16"/>
  <c r="AD101" i="16"/>
  <c r="AC101" i="16"/>
  <c r="AB101" i="16"/>
  <c r="AA101" i="16"/>
  <c r="Z101" i="16"/>
  <c r="Y101" i="16"/>
  <c r="X101" i="16"/>
  <c r="W101" i="16"/>
  <c r="V101" i="16"/>
  <c r="U101" i="16"/>
  <c r="T101" i="16"/>
  <c r="S101" i="16"/>
  <c r="R101" i="16"/>
  <c r="Q101" i="16"/>
  <c r="P101" i="16"/>
  <c r="O101" i="16"/>
  <c r="N101" i="16"/>
  <c r="M101" i="16"/>
  <c r="L101" i="16"/>
  <c r="K101" i="16"/>
  <c r="J101" i="16"/>
  <c r="I101" i="16"/>
  <c r="H101" i="16"/>
  <c r="G101" i="16"/>
  <c r="F101" i="16"/>
  <c r="E101" i="16"/>
  <c r="D101" i="16"/>
  <c r="C101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AG90" i="16"/>
  <c r="AF90" i="16"/>
  <c r="AE90" i="16"/>
  <c r="AD90" i="16"/>
  <c r="AC90" i="16"/>
  <c r="AB90" i="16"/>
  <c r="AA90" i="16"/>
  <c r="Z90" i="16"/>
  <c r="Y90" i="16"/>
  <c r="X90" i="16"/>
  <c r="W90" i="16"/>
  <c r="V90" i="16"/>
  <c r="U90" i="16"/>
  <c r="T90" i="16"/>
  <c r="S90" i="16"/>
  <c r="R90" i="16"/>
  <c r="Q90" i="16"/>
  <c r="P90" i="16"/>
  <c r="O90" i="16"/>
  <c r="N90" i="16"/>
  <c r="M90" i="16"/>
  <c r="L90" i="16"/>
  <c r="K90" i="16"/>
  <c r="J90" i="16"/>
  <c r="I90" i="16"/>
  <c r="H90" i="16"/>
  <c r="G90" i="16"/>
  <c r="F90" i="16"/>
  <c r="E90" i="16"/>
  <c r="D90" i="16"/>
  <c r="C90" i="16"/>
  <c r="AG89" i="16"/>
  <c r="AF89" i="16"/>
  <c r="AE89" i="16"/>
  <c r="AD89" i="16"/>
  <c r="AC89" i="16"/>
  <c r="AB89" i="16"/>
  <c r="AA89" i="16"/>
  <c r="Z89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AG79" i="16"/>
  <c r="AF79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AG68" i="16"/>
  <c r="AF68" i="16"/>
  <c r="AE68" i="16"/>
  <c r="AD68" i="16"/>
  <c r="AC68" i="16"/>
  <c r="AB68" i="16"/>
  <c r="AA68" i="16"/>
  <c r="Z68" i="16"/>
  <c r="Y68" i="16"/>
  <c r="X68" i="16"/>
  <c r="W68" i="16"/>
  <c r="V68" i="16"/>
  <c r="U68" i="16"/>
  <c r="T68" i="16"/>
  <c r="S68" i="16"/>
  <c r="R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68" i="16"/>
  <c r="C68" i="16"/>
  <c r="AG67" i="16"/>
  <c r="AF67" i="16"/>
  <c r="AE67" i="16"/>
  <c r="AD67" i="16"/>
  <c r="AC67" i="16"/>
  <c r="AB67" i="16"/>
  <c r="AA67" i="16"/>
  <c r="Z67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Y66" i="16"/>
  <c r="BY67" i="16" s="1"/>
  <c r="BX66" i="16"/>
  <c r="BX67" i="16" s="1"/>
  <c r="BW66" i="16"/>
  <c r="BW67" i="16" s="1"/>
  <c r="BV66" i="16"/>
  <c r="BV67" i="16" s="1"/>
  <c r="AG61" i="16"/>
  <c r="AF61" i="16"/>
  <c r="AE61" i="16"/>
  <c r="AD61" i="16"/>
  <c r="AC61" i="16"/>
  <c r="AB61" i="16"/>
  <c r="AA61" i="16"/>
  <c r="Z61" i="16"/>
  <c r="Y61" i="16"/>
  <c r="X61" i="16"/>
  <c r="W61" i="16"/>
  <c r="V61" i="16"/>
  <c r="U61" i="16"/>
  <c r="T61" i="16"/>
  <c r="S61" i="16"/>
  <c r="R61" i="16"/>
  <c r="Q61" i="16"/>
  <c r="P61" i="16"/>
  <c r="O61" i="16"/>
  <c r="N61" i="16"/>
  <c r="M61" i="16"/>
  <c r="L61" i="16"/>
  <c r="K61" i="16"/>
  <c r="J61" i="16"/>
  <c r="I61" i="16"/>
  <c r="H61" i="16"/>
  <c r="G61" i="16"/>
  <c r="F61" i="16"/>
  <c r="E61" i="16"/>
  <c r="D61" i="16"/>
  <c r="C61" i="16"/>
  <c r="AG57" i="16"/>
  <c r="AF57" i="16"/>
  <c r="AE57" i="16"/>
  <c r="AD57" i="16"/>
  <c r="AC57" i="16"/>
  <c r="AB57" i="16"/>
  <c r="AA57" i="16"/>
  <c r="Z57" i="16"/>
  <c r="Y57" i="16"/>
  <c r="X57" i="16"/>
  <c r="W57" i="16"/>
  <c r="V57" i="16"/>
  <c r="U57" i="16"/>
  <c r="T57" i="16"/>
  <c r="S57" i="16"/>
  <c r="R57" i="16"/>
  <c r="Q57" i="16"/>
  <c r="P57" i="16"/>
  <c r="O57" i="16"/>
  <c r="N57" i="16"/>
  <c r="M57" i="16"/>
  <c r="L57" i="16"/>
  <c r="K57" i="16"/>
  <c r="J57" i="16"/>
  <c r="I57" i="16"/>
  <c r="H57" i="16"/>
  <c r="G57" i="16"/>
  <c r="F57" i="16"/>
  <c r="E57" i="16"/>
  <c r="D57" i="16"/>
  <c r="C57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X50" i="16"/>
  <c r="BW50" i="16"/>
  <c r="BY61" i="16" s="1"/>
  <c r="BY64" i="16" s="1"/>
  <c r="BV50" i="16"/>
  <c r="BX61" i="16" s="1"/>
  <c r="BX64" i="16" s="1"/>
  <c r="BU50" i="16"/>
  <c r="BW61" i="16" s="1"/>
  <c r="BW64" i="16" s="1"/>
  <c r="BT50" i="16"/>
  <c r="BV61" i="16" s="1"/>
  <c r="BV64" i="16" s="1"/>
  <c r="BS50" i="16"/>
  <c r="BU61" i="16" s="1"/>
  <c r="BR50" i="16"/>
  <c r="BQ50" i="16"/>
  <c r="BP50" i="16"/>
  <c r="BO50" i="16"/>
  <c r="BN50" i="16"/>
  <c r="BM50" i="16"/>
  <c r="BL50" i="16"/>
  <c r="BK50" i="16"/>
  <c r="BJ50" i="16"/>
  <c r="BI50" i="16"/>
  <c r="BH50" i="16"/>
  <c r="BG50" i="16"/>
  <c r="BF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AI49" i="16"/>
  <c r="AR48" i="16"/>
  <c r="AZ47" i="16" s="1"/>
  <c r="AH46" i="16"/>
  <c r="AG65" i="16" s="1"/>
  <c r="AH45" i="16"/>
  <c r="BE44" i="16"/>
  <c r="W42" i="16"/>
  <c r="AP41" i="16"/>
  <c r="V40" i="16"/>
  <c r="AQ40" i="16" s="1"/>
  <c r="S40" i="16"/>
  <c r="AP40" i="16" s="1"/>
  <c r="R40" i="16"/>
  <c r="Q26" i="16" s="1"/>
  <c r="V39" i="16"/>
  <c r="AQ39" i="16" s="1"/>
  <c r="S39" i="16"/>
  <c r="AP39" i="16" s="1"/>
  <c r="R39" i="16"/>
  <c r="Q25" i="16" s="1"/>
  <c r="V38" i="16"/>
  <c r="AQ38" i="16" s="1"/>
  <c r="S38" i="16"/>
  <c r="AP38" i="16" s="1"/>
  <c r="S37" i="16"/>
  <c r="AP37" i="16" s="1"/>
  <c r="J26" i="16"/>
  <c r="AQ36" i="16"/>
  <c r="AP36" i="16"/>
  <c r="AQ35" i="16"/>
  <c r="AP35" i="16"/>
  <c r="AQ34" i="16"/>
  <c r="D26" i="16"/>
  <c r="C26" i="16"/>
  <c r="AQ33" i="16"/>
  <c r="AP33" i="16"/>
  <c r="C25" i="16"/>
  <c r="B4" i="16"/>
  <c r="BA32" i="16"/>
  <c r="AO32" i="16" s="1"/>
  <c r="BB32" i="16" s="1"/>
  <c r="BC32" i="16" s="1"/>
  <c r="AQ32" i="16"/>
  <c r="AP32" i="16"/>
  <c r="AI32" i="16"/>
  <c r="C29" i="16"/>
  <c r="G26" i="16"/>
  <c r="Q24" i="16"/>
  <c r="G24" i="16"/>
  <c r="D24" i="16"/>
  <c r="C24" i="16"/>
  <c r="Q4" i="16"/>
  <c r="BJ51" i="16" s="1"/>
  <c r="AG178" i="15"/>
  <c r="AF178" i="15"/>
  <c r="AE178" i="15"/>
  <c r="AD178" i="15"/>
  <c r="AC178" i="15"/>
  <c r="AB178" i="15"/>
  <c r="AA178" i="15"/>
  <c r="Z178" i="15"/>
  <c r="Y178" i="15"/>
  <c r="X178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AG177" i="15"/>
  <c r="AF177" i="15"/>
  <c r="AE177" i="15"/>
  <c r="AD177" i="15"/>
  <c r="AC177" i="15"/>
  <c r="AB177" i="15"/>
  <c r="AA177" i="15"/>
  <c r="Z177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AG171" i="15"/>
  <c r="AF171" i="15"/>
  <c r="AE171" i="15"/>
  <c r="AD171" i="15"/>
  <c r="AC171" i="15"/>
  <c r="AB171" i="15"/>
  <c r="AA171" i="15"/>
  <c r="Z171" i="15"/>
  <c r="Y171" i="15"/>
  <c r="X171" i="15"/>
  <c r="W171" i="15"/>
  <c r="V171" i="15"/>
  <c r="U171" i="15"/>
  <c r="T171" i="15"/>
  <c r="S171" i="15"/>
  <c r="R171" i="15"/>
  <c r="Q171" i="15"/>
  <c r="P171" i="15"/>
  <c r="O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AG167" i="15"/>
  <c r="AF167" i="15"/>
  <c r="AE167" i="15"/>
  <c r="AD167" i="15"/>
  <c r="AC167" i="15"/>
  <c r="AB167" i="15"/>
  <c r="AA167" i="15"/>
  <c r="Z167" i="15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AG166" i="15"/>
  <c r="AF166" i="15"/>
  <c r="AE166" i="15"/>
  <c r="AD166" i="15"/>
  <c r="AC166" i="15"/>
  <c r="AB166" i="15"/>
  <c r="AA166" i="15"/>
  <c r="Z166" i="15"/>
  <c r="Y166" i="15"/>
  <c r="X166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AG160" i="15"/>
  <c r="AF160" i="15"/>
  <c r="AE160" i="15"/>
  <c r="AD160" i="15"/>
  <c r="AC160" i="15"/>
  <c r="AB160" i="15"/>
  <c r="AA160" i="15"/>
  <c r="Z160" i="15"/>
  <c r="Y160" i="15"/>
  <c r="X160" i="15"/>
  <c r="W160" i="15"/>
  <c r="V160" i="15"/>
  <c r="U160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AG156" i="15"/>
  <c r="AF156" i="15"/>
  <c r="AE156" i="15"/>
  <c r="AD156" i="15"/>
  <c r="AC156" i="15"/>
  <c r="AB156" i="15"/>
  <c r="AA156" i="15"/>
  <c r="Z156" i="15"/>
  <c r="Y156" i="15"/>
  <c r="X156" i="15"/>
  <c r="W156" i="15"/>
  <c r="V156" i="15"/>
  <c r="U156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AG155" i="15"/>
  <c r="AF155" i="15"/>
  <c r="AE155" i="15"/>
  <c r="AD155" i="15"/>
  <c r="AC155" i="15"/>
  <c r="AB155" i="15"/>
  <c r="AA155" i="15"/>
  <c r="Z155" i="15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AG149" i="15"/>
  <c r="AF149" i="15"/>
  <c r="AE149" i="15"/>
  <c r="AD149" i="15"/>
  <c r="AC149" i="15"/>
  <c r="AB149" i="15"/>
  <c r="AA149" i="15"/>
  <c r="Z149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AG145" i="15"/>
  <c r="AF145" i="15"/>
  <c r="AE145" i="15"/>
  <c r="AD145" i="15"/>
  <c r="AC145" i="15"/>
  <c r="AB145" i="15"/>
  <c r="AA145" i="15"/>
  <c r="Z145" i="15"/>
  <c r="Y145" i="15"/>
  <c r="X145" i="15"/>
  <c r="W145" i="15"/>
  <c r="V145" i="15"/>
  <c r="U145" i="15"/>
  <c r="T145" i="15"/>
  <c r="S145" i="15"/>
  <c r="R145" i="15"/>
  <c r="Q145" i="15"/>
  <c r="P145" i="15"/>
  <c r="O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AG134" i="15"/>
  <c r="AF134" i="15"/>
  <c r="AE134" i="15"/>
  <c r="AD134" i="15"/>
  <c r="AC134" i="15"/>
  <c r="AB134" i="15"/>
  <c r="AA134" i="15"/>
  <c r="Z134" i="15"/>
  <c r="Y134" i="15"/>
  <c r="X134" i="15"/>
  <c r="W134" i="15"/>
  <c r="V134" i="15"/>
  <c r="U134" i="15"/>
  <c r="T134" i="15"/>
  <c r="S134" i="15"/>
  <c r="R134" i="15"/>
  <c r="Q134" i="15"/>
  <c r="P134" i="15"/>
  <c r="O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AG123" i="15"/>
  <c r="AF123" i="15"/>
  <c r="AE123" i="15"/>
  <c r="AD123" i="15"/>
  <c r="AC123" i="15"/>
  <c r="AB123" i="15"/>
  <c r="AA123" i="15"/>
  <c r="Z123" i="15"/>
  <c r="Y123" i="15"/>
  <c r="X123" i="15"/>
  <c r="W123" i="15"/>
  <c r="V123" i="15"/>
  <c r="U123" i="15"/>
  <c r="T123" i="15"/>
  <c r="S123" i="15"/>
  <c r="R123" i="15"/>
  <c r="Q123" i="15"/>
  <c r="P123" i="15"/>
  <c r="O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AG101" i="15"/>
  <c r="AF101" i="15"/>
  <c r="AE101" i="15"/>
  <c r="AD101" i="15"/>
  <c r="AC101" i="15"/>
  <c r="AB101" i="15"/>
  <c r="AA101" i="15"/>
  <c r="Z101" i="15"/>
  <c r="Y101" i="15"/>
  <c r="X101" i="15"/>
  <c r="W101" i="15"/>
  <c r="V101" i="15"/>
  <c r="U101" i="15"/>
  <c r="T101" i="15"/>
  <c r="S101" i="15"/>
  <c r="R101" i="15"/>
  <c r="Q101" i="15"/>
  <c r="P101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AG90" i="15"/>
  <c r="AF90" i="15"/>
  <c r="AE90" i="15"/>
  <c r="AD90" i="15"/>
  <c r="AC90" i="15"/>
  <c r="AB90" i="15"/>
  <c r="AA90" i="15"/>
  <c r="Z90" i="15"/>
  <c r="Y90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AG68" i="15"/>
  <c r="AF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AG67" i="15"/>
  <c r="AF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Y66" i="15"/>
  <c r="BY67" i="15" s="1"/>
  <c r="BX66" i="15"/>
  <c r="BX67" i="15" s="1"/>
  <c r="BW66" i="15"/>
  <c r="BW67" i="15" s="1"/>
  <c r="BV66" i="15"/>
  <c r="BV67" i="15" s="1"/>
  <c r="AG61" i="15"/>
  <c r="AF61" i="15"/>
  <c r="AE61" i="15"/>
  <c r="AD61" i="15"/>
  <c r="AC61" i="15"/>
  <c r="AB61" i="15"/>
  <c r="AA61" i="15"/>
  <c r="Z61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X50" i="15"/>
  <c r="BW50" i="15"/>
  <c r="BY61" i="15" s="1"/>
  <c r="BY64" i="15" s="1"/>
  <c r="BV50" i="15"/>
  <c r="BX61" i="15" s="1"/>
  <c r="BX64" i="15" s="1"/>
  <c r="BU50" i="15"/>
  <c r="BW61" i="15" s="1"/>
  <c r="BW64" i="15" s="1"/>
  <c r="BT50" i="15"/>
  <c r="BV61" i="15" s="1"/>
  <c r="BV64" i="15" s="1"/>
  <c r="BS50" i="15"/>
  <c r="BU61" i="15" s="1"/>
  <c r="BR50" i="15"/>
  <c r="BQ50" i="15"/>
  <c r="BP50" i="15"/>
  <c r="BO50" i="15"/>
  <c r="BN50" i="15"/>
  <c r="BM50" i="15"/>
  <c r="BL50" i="15"/>
  <c r="BK50" i="15"/>
  <c r="BJ50" i="15"/>
  <c r="BI50" i="15"/>
  <c r="BH50" i="15"/>
  <c r="BG50" i="15"/>
  <c r="BF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AI49" i="15"/>
  <c r="AH46" i="15"/>
  <c r="AG54" i="15" s="1"/>
  <c r="AH45" i="15"/>
  <c r="BE44" i="15"/>
  <c r="W42" i="15"/>
  <c r="AP41" i="15"/>
  <c r="V40" i="15"/>
  <c r="AQ40" i="15" s="1"/>
  <c r="S40" i="15"/>
  <c r="AP40" i="15" s="1"/>
  <c r="R40" i="15"/>
  <c r="Q26" i="15" s="1"/>
  <c r="V39" i="15"/>
  <c r="S39" i="15"/>
  <c r="AP39" i="15" s="1"/>
  <c r="R39" i="15"/>
  <c r="Q25" i="15" s="1"/>
  <c r="V38" i="15"/>
  <c r="S38" i="15"/>
  <c r="AP38" i="15" s="1"/>
  <c r="V37" i="15"/>
  <c r="S37" i="15"/>
  <c r="R37" i="15"/>
  <c r="J26" i="15" s="1"/>
  <c r="N25" i="15"/>
  <c r="K25" i="15"/>
  <c r="J25" i="15"/>
  <c r="N24" i="15"/>
  <c r="K24" i="15"/>
  <c r="J24" i="15"/>
  <c r="G26" i="15"/>
  <c r="D26" i="15"/>
  <c r="C26" i="15"/>
  <c r="G25" i="15"/>
  <c r="D25" i="15"/>
  <c r="C25" i="15"/>
  <c r="BA32" i="15"/>
  <c r="AO32" i="15" s="1"/>
  <c r="BB32" i="15" s="1"/>
  <c r="BC32" i="15" s="1"/>
  <c r="AQ32" i="15"/>
  <c r="AP32" i="15"/>
  <c r="AI32" i="15"/>
  <c r="C29" i="15"/>
  <c r="B3" i="15"/>
  <c r="AG178" i="14"/>
  <c r="AF178" i="14"/>
  <c r="AE178" i="14"/>
  <c r="AD178" i="14"/>
  <c r="AC178" i="14"/>
  <c r="AB178" i="14"/>
  <c r="AA178" i="14"/>
  <c r="Z178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AG177" i="14"/>
  <c r="AF177" i="14"/>
  <c r="AE177" i="14"/>
  <c r="AD177" i="14"/>
  <c r="AC177" i="14"/>
  <c r="AB177" i="14"/>
  <c r="AA177" i="14"/>
  <c r="Z177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AG171" i="14"/>
  <c r="AF171" i="14"/>
  <c r="AE171" i="14"/>
  <c r="AD171" i="14"/>
  <c r="AC171" i="14"/>
  <c r="AB171" i="14"/>
  <c r="AA171" i="14"/>
  <c r="Z171" i="14"/>
  <c r="Y171" i="14"/>
  <c r="X171" i="14"/>
  <c r="W171" i="14"/>
  <c r="V171" i="14"/>
  <c r="U171" i="14"/>
  <c r="T171" i="14"/>
  <c r="S171" i="14"/>
  <c r="R171" i="14"/>
  <c r="Q171" i="14"/>
  <c r="P171" i="14"/>
  <c r="O171" i="14"/>
  <c r="N171" i="14"/>
  <c r="M171" i="14"/>
  <c r="L171" i="14"/>
  <c r="K171" i="14"/>
  <c r="J171" i="14"/>
  <c r="I171" i="14"/>
  <c r="H171" i="14"/>
  <c r="G171" i="14"/>
  <c r="F171" i="14"/>
  <c r="E171" i="14"/>
  <c r="D171" i="14"/>
  <c r="C171" i="14"/>
  <c r="AG167" i="14"/>
  <c r="AF167" i="14"/>
  <c r="AE167" i="14"/>
  <c r="AD167" i="14"/>
  <c r="AC167" i="14"/>
  <c r="AB167" i="14"/>
  <c r="AA167" i="14"/>
  <c r="Z167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AG166" i="14"/>
  <c r="AF166" i="14"/>
  <c r="AE166" i="14"/>
  <c r="AD166" i="14"/>
  <c r="AC166" i="14"/>
  <c r="AB166" i="14"/>
  <c r="AA166" i="14"/>
  <c r="Z166" i="14"/>
  <c r="Y166" i="14"/>
  <c r="X166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AG160" i="14"/>
  <c r="AF160" i="14"/>
  <c r="AE160" i="14"/>
  <c r="AD160" i="14"/>
  <c r="AC160" i="14"/>
  <c r="AB160" i="14"/>
  <c r="AA160" i="14"/>
  <c r="Z160" i="14"/>
  <c r="Y160" i="14"/>
  <c r="X160" i="14"/>
  <c r="W160" i="14"/>
  <c r="V160" i="14"/>
  <c r="U160" i="14"/>
  <c r="T160" i="14"/>
  <c r="S160" i="14"/>
  <c r="R160" i="14"/>
  <c r="Q160" i="14"/>
  <c r="P160" i="14"/>
  <c r="O160" i="14"/>
  <c r="N160" i="14"/>
  <c r="M160" i="14"/>
  <c r="L160" i="14"/>
  <c r="K160" i="14"/>
  <c r="J160" i="14"/>
  <c r="I160" i="14"/>
  <c r="H160" i="14"/>
  <c r="G160" i="14"/>
  <c r="F160" i="14"/>
  <c r="E160" i="14"/>
  <c r="D160" i="14"/>
  <c r="C160" i="14"/>
  <c r="AG156" i="14"/>
  <c r="AF156" i="14"/>
  <c r="AE156" i="14"/>
  <c r="AD156" i="14"/>
  <c r="AC156" i="14"/>
  <c r="AB156" i="14"/>
  <c r="AA156" i="14"/>
  <c r="Z156" i="14"/>
  <c r="Y156" i="14"/>
  <c r="X156" i="14"/>
  <c r="W156" i="14"/>
  <c r="V156" i="14"/>
  <c r="U156" i="14"/>
  <c r="T156" i="14"/>
  <c r="S156" i="14"/>
  <c r="R156" i="14"/>
  <c r="Q156" i="14"/>
  <c r="P156" i="14"/>
  <c r="O156" i="14"/>
  <c r="N156" i="14"/>
  <c r="M156" i="14"/>
  <c r="L156" i="14"/>
  <c r="K156" i="14"/>
  <c r="J156" i="14"/>
  <c r="I156" i="14"/>
  <c r="H156" i="14"/>
  <c r="G156" i="14"/>
  <c r="F156" i="14"/>
  <c r="E156" i="14"/>
  <c r="D156" i="14"/>
  <c r="C156" i="14"/>
  <c r="AG155" i="14"/>
  <c r="AF155" i="14"/>
  <c r="AE155" i="14"/>
  <c r="AD155" i="14"/>
  <c r="AC155" i="14"/>
  <c r="AB155" i="14"/>
  <c r="AA155" i="14"/>
  <c r="Z155" i="14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AG149" i="14"/>
  <c r="AF149" i="14"/>
  <c r="AE149" i="14"/>
  <c r="AD149" i="14"/>
  <c r="AC149" i="14"/>
  <c r="AB149" i="14"/>
  <c r="AA149" i="14"/>
  <c r="Z149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AG145" i="14"/>
  <c r="AF145" i="14"/>
  <c r="AE145" i="14"/>
  <c r="AD145" i="14"/>
  <c r="AC145" i="14"/>
  <c r="AB145" i="14"/>
  <c r="AA145" i="14"/>
  <c r="Z145" i="14"/>
  <c r="Y145" i="14"/>
  <c r="X145" i="14"/>
  <c r="W145" i="14"/>
  <c r="V145" i="14"/>
  <c r="U145" i="14"/>
  <c r="T145" i="14"/>
  <c r="S145" i="14"/>
  <c r="R145" i="14"/>
  <c r="Q145" i="14"/>
  <c r="P145" i="14"/>
  <c r="O145" i="14"/>
  <c r="N145" i="14"/>
  <c r="M145" i="14"/>
  <c r="L145" i="14"/>
  <c r="K145" i="14"/>
  <c r="J145" i="14"/>
  <c r="I145" i="14"/>
  <c r="H145" i="14"/>
  <c r="G145" i="14"/>
  <c r="F145" i="14"/>
  <c r="E145" i="14"/>
  <c r="D145" i="14"/>
  <c r="C145" i="14"/>
  <c r="AG144" i="14"/>
  <c r="AF144" i="14"/>
  <c r="AE144" i="14"/>
  <c r="AD144" i="14"/>
  <c r="AC144" i="14"/>
  <c r="AB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AG138" i="14"/>
  <c r="AF138" i="14"/>
  <c r="AE138" i="14"/>
  <c r="AD138" i="14"/>
  <c r="AC138" i="14"/>
  <c r="AB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AG134" i="14"/>
  <c r="AF134" i="14"/>
  <c r="AE134" i="14"/>
  <c r="AD134" i="14"/>
  <c r="AC134" i="14"/>
  <c r="AB134" i="14"/>
  <c r="AA134" i="14"/>
  <c r="Z134" i="14"/>
  <c r="Y134" i="14"/>
  <c r="X134" i="14"/>
  <c r="W134" i="14"/>
  <c r="V134" i="14"/>
  <c r="U134" i="14"/>
  <c r="T134" i="14"/>
  <c r="S134" i="14"/>
  <c r="R134" i="14"/>
  <c r="Q134" i="14"/>
  <c r="P134" i="14"/>
  <c r="O134" i="14"/>
  <c r="N134" i="14"/>
  <c r="M134" i="14"/>
  <c r="L134" i="14"/>
  <c r="K134" i="14"/>
  <c r="J134" i="14"/>
  <c r="I134" i="14"/>
  <c r="H134" i="14"/>
  <c r="G134" i="14"/>
  <c r="F134" i="14"/>
  <c r="E134" i="14"/>
  <c r="D134" i="14"/>
  <c r="C134" i="14"/>
  <c r="AG133" i="14"/>
  <c r="AF133" i="14"/>
  <c r="AE133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AG127" i="14"/>
  <c r="AF127" i="14"/>
  <c r="AE127" i="14"/>
  <c r="AD127" i="14"/>
  <c r="AC127" i="14"/>
  <c r="AB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AG123" i="14"/>
  <c r="AF123" i="14"/>
  <c r="AE123" i="14"/>
  <c r="AD123" i="14"/>
  <c r="AC123" i="14"/>
  <c r="AB123" i="14"/>
  <c r="AA123" i="14"/>
  <c r="Z123" i="14"/>
  <c r="Y123" i="14"/>
  <c r="X123" i="14"/>
  <c r="W123" i="14"/>
  <c r="V123" i="14"/>
  <c r="U123" i="14"/>
  <c r="T123" i="14"/>
  <c r="S123" i="14"/>
  <c r="R123" i="14"/>
  <c r="Q123" i="14"/>
  <c r="P123" i="14"/>
  <c r="O123" i="14"/>
  <c r="N123" i="14"/>
  <c r="M123" i="14"/>
  <c r="L123" i="14"/>
  <c r="K123" i="14"/>
  <c r="J123" i="14"/>
  <c r="I123" i="14"/>
  <c r="H123" i="14"/>
  <c r="G123" i="14"/>
  <c r="F123" i="14"/>
  <c r="E123" i="14"/>
  <c r="D123" i="14"/>
  <c r="C123" i="14"/>
  <c r="AG122" i="14"/>
  <c r="AF122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AG116" i="14"/>
  <c r="AF116" i="14"/>
  <c r="AE116" i="14"/>
  <c r="AD116" i="14"/>
  <c r="AC116" i="14"/>
  <c r="AB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AG112" i="14"/>
  <c r="AF112" i="14"/>
  <c r="AE112" i="14"/>
  <c r="AD112" i="14"/>
  <c r="AC112" i="14"/>
  <c r="AB112" i="14"/>
  <c r="AA112" i="14"/>
  <c r="Z112" i="14"/>
  <c r="Y112" i="14"/>
  <c r="X112" i="14"/>
  <c r="W112" i="14"/>
  <c r="V112" i="14"/>
  <c r="U112" i="14"/>
  <c r="T112" i="14"/>
  <c r="S112" i="14"/>
  <c r="R112" i="14"/>
  <c r="Q112" i="14"/>
  <c r="P112" i="14"/>
  <c r="O112" i="14"/>
  <c r="N112" i="14"/>
  <c r="M112" i="14"/>
  <c r="L112" i="14"/>
  <c r="K112" i="14"/>
  <c r="J112" i="14"/>
  <c r="I112" i="14"/>
  <c r="H112" i="14"/>
  <c r="G112" i="14"/>
  <c r="F112" i="14"/>
  <c r="E112" i="14"/>
  <c r="D112" i="14"/>
  <c r="C112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AG105" i="14"/>
  <c r="AF105" i="14"/>
  <c r="AE105" i="14"/>
  <c r="AD105" i="14"/>
  <c r="AC105" i="14"/>
  <c r="AB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AG101" i="14"/>
  <c r="AF101" i="14"/>
  <c r="AE101" i="14"/>
  <c r="AD101" i="14"/>
  <c r="AC101" i="14"/>
  <c r="AB101" i="14"/>
  <c r="AA101" i="14"/>
  <c r="Z101" i="14"/>
  <c r="Y101" i="14"/>
  <c r="X101" i="14"/>
  <c r="W101" i="14"/>
  <c r="V101" i="14"/>
  <c r="U101" i="14"/>
  <c r="T101" i="14"/>
  <c r="S101" i="14"/>
  <c r="R101" i="14"/>
  <c r="Q101" i="14"/>
  <c r="P101" i="14"/>
  <c r="O101" i="14"/>
  <c r="N101" i="14"/>
  <c r="M101" i="14"/>
  <c r="L101" i="14"/>
  <c r="K101" i="14"/>
  <c r="J101" i="14"/>
  <c r="I101" i="14"/>
  <c r="H101" i="14"/>
  <c r="G101" i="14"/>
  <c r="F101" i="14"/>
  <c r="E101" i="14"/>
  <c r="D101" i="14"/>
  <c r="C101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AG90" i="14"/>
  <c r="AF90" i="14"/>
  <c r="AE90" i="14"/>
  <c r="AD90" i="14"/>
  <c r="AC90" i="14"/>
  <c r="AB90" i="14"/>
  <c r="AA90" i="14"/>
  <c r="Z90" i="14"/>
  <c r="Y90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AG79" i="14"/>
  <c r="AF79" i="14"/>
  <c r="AE79" i="14"/>
  <c r="AD79" i="14"/>
  <c r="AC79" i="14"/>
  <c r="AB79" i="14"/>
  <c r="AA79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AG68" i="14"/>
  <c r="AF68" i="14"/>
  <c r="AE68" i="14"/>
  <c r="AD68" i="14"/>
  <c r="AC68" i="14"/>
  <c r="AB68" i="14"/>
  <c r="AA68" i="14"/>
  <c r="Z68" i="14"/>
  <c r="Y68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AG67" i="14"/>
  <c r="AF67" i="14"/>
  <c r="AE67" i="14"/>
  <c r="AD67" i="14"/>
  <c r="AC67" i="14"/>
  <c r="AB67" i="14"/>
  <c r="AA67" i="14"/>
  <c r="Z67" i="14"/>
  <c r="Y67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Y66" i="14"/>
  <c r="BY67" i="14" s="1"/>
  <c r="BX66" i="14"/>
  <c r="BX67" i="14" s="1"/>
  <c r="BW66" i="14"/>
  <c r="BW67" i="14" s="1"/>
  <c r="BV66" i="14"/>
  <c r="BV67" i="14" s="1"/>
  <c r="AG61" i="14"/>
  <c r="AF61" i="14"/>
  <c r="AE61" i="14"/>
  <c r="AD61" i="14"/>
  <c r="AC61" i="14"/>
  <c r="AB61" i="14"/>
  <c r="AA61" i="14"/>
  <c r="Z61" i="14"/>
  <c r="Y61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AG57" i="14"/>
  <c r="AF57" i="14"/>
  <c r="AE57" i="14"/>
  <c r="AD57" i="14"/>
  <c r="AC57" i="14"/>
  <c r="AB57" i="14"/>
  <c r="AA57" i="14"/>
  <c r="Z57" i="14"/>
  <c r="Y57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X50" i="14"/>
  <c r="BW50" i="14"/>
  <c r="BY61" i="14" s="1"/>
  <c r="BY64" i="14" s="1"/>
  <c r="BV50" i="14"/>
  <c r="BX61" i="14" s="1"/>
  <c r="BX64" i="14" s="1"/>
  <c r="BU50" i="14"/>
  <c r="BW61" i="14" s="1"/>
  <c r="BW64" i="14" s="1"/>
  <c r="BT50" i="14"/>
  <c r="BV61" i="14" s="1"/>
  <c r="BV64" i="14" s="1"/>
  <c r="BS50" i="14"/>
  <c r="BU61" i="14" s="1"/>
  <c r="BR50" i="14"/>
  <c r="BQ50" i="14"/>
  <c r="BP50" i="14"/>
  <c r="BO50" i="14"/>
  <c r="BN50" i="14"/>
  <c r="BM50" i="14"/>
  <c r="BL50" i="14"/>
  <c r="BK50" i="14"/>
  <c r="BJ50" i="14"/>
  <c r="BI50" i="14"/>
  <c r="BH50" i="14"/>
  <c r="BG50" i="14"/>
  <c r="BF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AI49" i="14"/>
  <c r="AR48" i="14"/>
  <c r="AZ47" i="14" s="1"/>
  <c r="AH46" i="14"/>
  <c r="AH45" i="14"/>
  <c r="BE44" i="14"/>
  <c r="W42" i="14"/>
  <c r="AP41" i="14"/>
  <c r="V40" i="14"/>
  <c r="AQ40" i="14" s="1"/>
  <c r="S40" i="14"/>
  <c r="AP40" i="14" s="1"/>
  <c r="R40" i="14"/>
  <c r="V39" i="14"/>
  <c r="AQ39" i="14" s="1"/>
  <c r="S39" i="14"/>
  <c r="AP39" i="14" s="1"/>
  <c r="R39" i="14"/>
  <c r="Q25" i="14" s="1"/>
  <c r="V38" i="14"/>
  <c r="S38" i="14"/>
  <c r="AP38" i="14" s="1"/>
  <c r="V37" i="14"/>
  <c r="N26" i="14" s="1"/>
  <c r="S37" i="14"/>
  <c r="K26" i="14" s="1"/>
  <c r="R37" i="14"/>
  <c r="J26" i="14" s="1"/>
  <c r="N25" i="14"/>
  <c r="AP36" i="14"/>
  <c r="J25" i="14"/>
  <c r="J24" i="14"/>
  <c r="G26" i="14"/>
  <c r="AP34" i="14"/>
  <c r="C26" i="14"/>
  <c r="G25" i="14"/>
  <c r="AP33" i="14"/>
  <c r="C25" i="14"/>
  <c r="B4" i="14"/>
  <c r="BA32" i="14"/>
  <c r="AO32" i="14" s="1"/>
  <c r="BB32" i="14" s="1"/>
  <c r="BC32" i="14" s="1"/>
  <c r="AQ32" i="14"/>
  <c r="AP32" i="14"/>
  <c r="AI32" i="14"/>
  <c r="B3" i="14"/>
  <c r="C29" i="14"/>
  <c r="Q24" i="14"/>
  <c r="G24" i="14"/>
  <c r="D24" i="14"/>
  <c r="C24" i="14"/>
  <c r="Q4" i="14"/>
  <c r="K26" i="16" l="1"/>
  <c r="AW39" i="21"/>
  <c r="AL19" i="14"/>
  <c r="AL12" i="20"/>
  <c r="AL16" i="18"/>
  <c r="AL10" i="18"/>
  <c r="AL16" i="16"/>
  <c r="AY35" i="21"/>
  <c r="AL19" i="19"/>
  <c r="AL11" i="19"/>
  <c r="AL10" i="14"/>
  <c r="AL17" i="14"/>
  <c r="AG76" i="22"/>
  <c r="AL17" i="15"/>
  <c r="AG54" i="22"/>
  <c r="AG120" i="22"/>
  <c r="BA37" i="16"/>
  <c r="AO37" i="16" s="1"/>
  <c r="BB37" i="16" s="1"/>
  <c r="BC37" i="16" s="1"/>
  <c r="C128" i="16" s="1"/>
  <c r="AY40" i="22"/>
  <c r="AL20" i="16"/>
  <c r="AL11" i="23"/>
  <c r="AL17" i="23"/>
  <c r="AL20" i="24"/>
  <c r="BA38" i="14"/>
  <c r="AO38" i="14" s="1"/>
  <c r="BB38" i="14" s="1"/>
  <c r="BC38" i="14" s="1"/>
  <c r="AL15" i="17"/>
  <c r="AL17" i="18"/>
  <c r="D26" i="19"/>
  <c r="AH68" i="20"/>
  <c r="AL17" i="20"/>
  <c r="AL13" i="21"/>
  <c r="AG65" i="22"/>
  <c r="AL16" i="17"/>
  <c r="AL14" i="18"/>
  <c r="AL17" i="19"/>
  <c r="N24" i="21"/>
  <c r="AH94" i="21"/>
  <c r="AL16" i="22"/>
  <c r="AL20" i="22"/>
  <c r="AL18" i="16"/>
  <c r="AL12" i="17"/>
  <c r="AL20" i="17"/>
  <c r="AL18" i="18"/>
  <c r="AL14" i="20"/>
  <c r="AL12" i="16"/>
  <c r="AL15" i="16"/>
  <c r="AL14" i="19"/>
  <c r="AL18" i="19"/>
  <c r="AQ34" i="20"/>
  <c r="AY34" i="20" s="1"/>
  <c r="BA38" i="21"/>
  <c r="AO38" i="21" s="1"/>
  <c r="BB38" i="21" s="1"/>
  <c r="BC38" i="21" s="1"/>
  <c r="AL12" i="23"/>
  <c r="AL16" i="23"/>
  <c r="AL20" i="23"/>
  <c r="AX36" i="24"/>
  <c r="AL12" i="24"/>
  <c r="AL16" i="24"/>
  <c r="AH160" i="24"/>
  <c r="AR48" i="21"/>
  <c r="AZ48" i="21" s="1"/>
  <c r="AR48" i="23"/>
  <c r="AZ48" i="23" s="1"/>
  <c r="AR48" i="15"/>
  <c r="AZ48" i="15" s="1"/>
  <c r="G25" i="17"/>
  <c r="D25" i="18"/>
  <c r="AL14" i="24"/>
  <c r="AL17" i="22"/>
  <c r="AL16" i="21"/>
  <c r="AL16" i="19"/>
  <c r="AL13" i="19"/>
  <c r="AL20" i="14"/>
  <c r="AL14" i="14"/>
  <c r="AL19" i="24"/>
  <c r="AH149" i="24"/>
  <c r="AL18" i="24"/>
  <c r="AL17" i="24"/>
  <c r="AL15" i="24"/>
  <c r="AL13" i="24"/>
  <c r="AL19" i="23"/>
  <c r="AL15" i="23"/>
  <c r="AL14" i="23"/>
  <c r="AL13" i="23"/>
  <c r="AL10" i="23"/>
  <c r="AL19" i="22"/>
  <c r="AL15" i="22"/>
  <c r="AL14" i="22"/>
  <c r="AL13" i="22"/>
  <c r="AL12" i="22"/>
  <c r="AL20" i="21"/>
  <c r="AL19" i="21"/>
  <c r="AL18" i="21"/>
  <c r="AL17" i="21"/>
  <c r="AL14" i="21"/>
  <c r="AL12" i="21"/>
  <c r="AL11" i="21"/>
  <c r="AL20" i="20"/>
  <c r="AL19" i="20"/>
  <c r="AL18" i="20"/>
  <c r="AL16" i="20"/>
  <c r="AL15" i="20"/>
  <c r="AL11" i="20"/>
  <c r="AL15" i="19"/>
  <c r="AL12" i="19"/>
  <c r="AL19" i="18"/>
  <c r="AL15" i="18"/>
  <c r="AL12" i="18"/>
  <c r="AL19" i="17"/>
  <c r="AL18" i="17"/>
  <c r="AH127" i="17"/>
  <c r="AH134" i="17"/>
  <c r="AL14" i="17"/>
  <c r="AL11" i="17"/>
  <c r="AL19" i="16"/>
  <c r="AL17" i="16"/>
  <c r="AL13" i="16"/>
  <c r="AL11" i="15"/>
  <c r="AL16" i="14"/>
  <c r="AL15" i="14"/>
  <c r="AL12" i="14"/>
  <c r="G25" i="23"/>
  <c r="AH90" i="14"/>
  <c r="AH72" i="15"/>
  <c r="AL14" i="16"/>
  <c r="N25" i="17"/>
  <c r="AH123" i="18"/>
  <c r="AH167" i="18"/>
  <c r="AH79" i="19"/>
  <c r="AH72" i="20"/>
  <c r="AH160" i="21"/>
  <c r="AH83" i="22"/>
  <c r="AL18" i="22"/>
  <c r="AH112" i="23"/>
  <c r="AL18" i="23"/>
  <c r="AH145" i="21"/>
  <c r="AH90" i="22"/>
  <c r="AH112" i="22"/>
  <c r="AH134" i="22"/>
  <c r="AH134" i="23"/>
  <c r="AH156" i="17"/>
  <c r="AH156" i="19"/>
  <c r="G25" i="20"/>
  <c r="AH90" i="21"/>
  <c r="AH167" i="21"/>
  <c r="AH101" i="22"/>
  <c r="AH138" i="23"/>
  <c r="AH145" i="23"/>
  <c r="AQ36" i="14"/>
  <c r="AX36" i="14" s="1"/>
  <c r="AH105" i="14"/>
  <c r="AH149" i="14"/>
  <c r="AY32" i="16"/>
  <c r="AP34" i="17"/>
  <c r="AH156" i="18"/>
  <c r="AH127" i="19"/>
  <c r="AH160" i="19"/>
  <c r="AH94" i="23"/>
  <c r="AH138" i="24"/>
  <c r="AH123" i="14"/>
  <c r="AL10" i="17"/>
  <c r="AH138" i="18"/>
  <c r="K26" i="20"/>
  <c r="K24" i="21"/>
  <c r="AH68" i="22"/>
  <c r="AH79" i="16"/>
  <c r="AH149" i="16"/>
  <c r="AL11" i="18"/>
  <c r="AH167" i="19"/>
  <c r="AH156" i="21"/>
  <c r="AH149" i="22"/>
  <c r="AH94" i="14"/>
  <c r="AH105" i="24"/>
  <c r="AH83" i="16"/>
  <c r="AH105" i="16"/>
  <c r="G25" i="18"/>
  <c r="G25" i="21"/>
  <c r="AL10" i="21"/>
  <c r="AH72" i="21"/>
  <c r="AL15" i="21"/>
  <c r="N24" i="22"/>
  <c r="BA38" i="22"/>
  <c r="AO38" i="22" s="1"/>
  <c r="BB38" i="22" s="1"/>
  <c r="BC38" i="22" s="1"/>
  <c r="AH61" i="14"/>
  <c r="AL11" i="16"/>
  <c r="AH90" i="20"/>
  <c r="AH123" i="21"/>
  <c r="AH61" i="22"/>
  <c r="AH160" i="22"/>
  <c r="AH138" i="14"/>
  <c r="AH72" i="16"/>
  <c r="AH72" i="17"/>
  <c r="AH83" i="17"/>
  <c r="AH160" i="17"/>
  <c r="AH90" i="18"/>
  <c r="AH90" i="19"/>
  <c r="AH94" i="19"/>
  <c r="AH112" i="19"/>
  <c r="AH94" i="20"/>
  <c r="AL13" i="20"/>
  <c r="AH127" i="21"/>
  <c r="G25" i="22"/>
  <c r="AY34" i="22"/>
  <c r="AL10" i="22"/>
  <c r="AH160" i="23"/>
  <c r="AH127" i="14"/>
  <c r="AL18" i="14"/>
  <c r="AP34" i="15"/>
  <c r="AL18" i="15"/>
  <c r="AL17" i="17"/>
  <c r="AH160" i="18"/>
  <c r="AH116" i="19"/>
  <c r="AH167" i="20"/>
  <c r="AL10" i="24"/>
  <c r="AH167" i="17"/>
  <c r="AH123" i="20"/>
  <c r="AH72" i="22"/>
  <c r="AH127" i="22"/>
  <c r="AH101" i="24"/>
  <c r="C47" i="18"/>
  <c r="X91" i="16"/>
  <c r="C103" i="16"/>
  <c r="C125" i="18"/>
  <c r="C92" i="17"/>
  <c r="P49" i="20"/>
  <c r="P187" i="20" s="1"/>
  <c r="C47" i="15"/>
  <c r="C47" i="14"/>
  <c r="C70" i="19"/>
  <c r="C81" i="17"/>
  <c r="C147" i="15"/>
  <c r="Q26" i="14"/>
  <c r="C125" i="21"/>
  <c r="C48" i="24"/>
  <c r="C48" i="15"/>
  <c r="C114" i="18"/>
  <c r="C69" i="17"/>
  <c r="C113" i="21"/>
  <c r="U49" i="22"/>
  <c r="U187" i="22" s="1"/>
  <c r="C102" i="18"/>
  <c r="C158" i="18"/>
  <c r="Q25" i="20"/>
  <c r="C158" i="24"/>
  <c r="C70" i="20"/>
  <c r="C147" i="24"/>
  <c r="K47" i="14"/>
  <c r="C48" i="18"/>
  <c r="C58" i="18"/>
  <c r="C146" i="18"/>
  <c r="AF48" i="14"/>
  <c r="C59" i="14"/>
  <c r="C136" i="14"/>
  <c r="C47" i="17"/>
  <c r="C48" i="22"/>
  <c r="C114" i="23"/>
  <c r="C135" i="24"/>
  <c r="C92" i="16"/>
  <c r="C103" i="20"/>
  <c r="C92" i="21"/>
  <c r="C146" i="21"/>
  <c r="C58" i="22"/>
  <c r="C58" i="24"/>
  <c r="C124" i="14"/>
  <c r="C81" i="18"/>
  <c r="C91" i="20"/>
  <c r="C47" i="21"/>
  <c r="Q58" i="22"/>
  <c r="C102" i="23"/>
  <c r="C80" i="16"/>
  <c r="C136" i="16"/>
  <c r="C47" i="20"/>
  <c r="C92" i="20"/>
  <c r="C80" i="21"/>
  <c r="G48" i="14"/>
  <c r="C168" i="14"/>
  <c r="L47" i="16"/>
  <c r="C69" i="18"/>
  <c r="AB49" i="20"/>
  <c r="AB187" i="20" s="1"/>
  <c r="C80" i="20"/>
  <c r="C125" i="23"/>
  <c r="C147" i="14"/>
  <c r="C135" i="15"/>
  <c r="C124" i="16"/>
  <c r="C113" i="14"/>
  <c r="C125" i="14"/>
  <c r="C58" i="15"/>
  <c r="C124" i="15"/>
  <c r="C136" i="15"/>
  <c r="C69" i="16"/>
  <c r="C81" i="16"/>
  <c r="AE47" i="17"/>
  <c r="C70" i="17"/>
  <c r="C91" i="18"/>
  <c r="C103" i="18"/>
  <c r="C47" i="19"/>
  <c r="C168" i="20"/>
  <c r="C102" i="21"/>
  <c r="C114" i="21"/>
  <c r="C47" i="22"/>
  <c r="C91" i="23"/>
  <c r="C103" i="23"/>
  <c r="C59" i="24"/>
  <c r="C124" i="24"/>
  <c r="C136" i="24"/>
  <c r="C102" i="14"/>
  <c r="C114" i="14"/>
  <c r="C59" i="15"/>
  <c r="C113" i="15"/>
  <c r="C125" i="15"/>
  <c r="AG49" i="16"/>
  <c r="AG187" i="16" s="1"/>
  <c r="C70" i="16"/>
  <c r="C48" i="17"/>
  <c r="C80" i="18"/>
  <c r="C92" i="18"/>
  <c r="C48" i="19"/>
  <c r="C168" i="19"/>
  <c r="C157" i="20"/>
  <c r="C169" i="20"/>
  <c r="C91" i="21"/>
  <c r="C103" i="21"/>
  <c r="C168" i="22"/>
  <c r="C80" i="23"/>
  <c r="C92" i="23"/>
  <c r="C113" i="24"/>
  <c r="C125" i="24"/>
  <c r="C91" i="14"/>
  <c r="C103" i="14"/>
  <c r="C102" i="15"/>
  <c r="C114" i="15"/>
  <c r="C47" i="16"/>
  <c r="C58" i="17"/>
  <c r="C168" i="17"/>
  <c r="C58" i="19"/>
  <c r="C157" i="19"/>
  <c r="C169" i="19"/>
  <c r="C146" i="20"/>
  <c r="C158" i="20"/>
  <c r="C157" i="22"/>
  <c r="C169" i="22"/>
  <c r="C69" i="23"/>
  <c r="C81" i="23"/>
  <c r="C102" i="24"/>
  <c r="C114" i="24"/>
  <c r="C80" i="14"/>
  <c r="C92" i="14"/>
  <c r="C91" i="15"/>
  <c r="C103" i="15"/>
  <c r="T47" i="16"/>
  <c r="C168" i="16"/>
  <c r="C59" i="17"/>
  <c r="C157" i="17"/>
  <c r="C169" i="17"/>
  <c r="C70" i="18"/>
  <c r="C59" i="19"/>
  <c r="C146" i="19"/>
  <c r="C158" i="19"/>
  <c r="C48" i="20"/>
  <c r="C58" i="20"/>
  <c r="C135" i="20"/>
  <c r="C147" i="20"/>
  <c r="C69" i="21"/>
  <c r="C81" i="21"/>
  <c r="C59" i="22"/>
  <c r="C146" i="22"/>
  <c r="C158" i="22"/>
  <c r="C70" i="23"/>
  <c r="C91" i="24"/>
  <c r="C103" i="24"/>
  <c r="C69" i="14"/>
  <c r="C81" i="14"/>
  <c r="C80" i="15"/>
  <c r="C92" i="15"/>
  <c r="C48" i="16"/>
  <c r="C157" i="16"/>
  <c r="C169" i="16"/>
  <c r="C146" i="17"/>
  <c r="C158" i="17"/>
  <c r="C135" i="19"/>
  <c r="C147" i="19"/>
  <c r="C59" i="20"/>
  <c r="C124" i="20"/>
  <c r="C136" i="20"/>
  <c r="C70" i="21"/>
  <c r="C135" i="22"/>
  <c r="C147" i="22"/>
  <c r="C80" i="24"/>
  <c r="C92" i="24"/>
  <c r="C70" i="14"/>
  <c r="L47" i="15"/>
  <c r="C69" i="15"/>
  <c r="C81" i="15"/>
  <c r="C58" i="16"/>
  <c r="C146" i="16"/>
  <c r="C158" i="16"/>
  <c r="C135" i="17"/>
  <c r="C147" i="17"/>
  <c r="C168" i="18"/>
  <c r="C124" i="19"/>
  <c r="C136" i="19"/>
  <c r="C113" i="20"/>
  <c r="C125" i="20"/>
  <c r="C102" i="22"/>
  <c r="C113" i="22"/>
  <c r="C124" i="22"/>
  <c r="C136" i="22"/>
  <c r="C168" i="23"/>
  <c r="C69" i="24"/>
  <c r="C81" i="24"/>
  <c r="C70" i="15"/>
  <c r="C59" i="16"/>
  <c r="C135" i="16"/>
  <c r="C147" i="16"/>
  <c r="C124" i="17"/>
  <c r="C136" i="17"/>
  <c r="C157" i="18"/>
  <c r="C169" i="18"/>
  <c r="C113" i="19"/>
  <c r="C125" i="19"/>
  <c r="C102" i="20"/>
  <c r="C114" i="20"/>
  <c r="C168" i="21"/>
  <c r="C91" i="22"/>
  <c r="C103" i="22"/>
  <c r="C114" i="22"/>
  <c r="C125" i="22"/>
  <c r="C157" i="23"/>
  <c r="C169" i="23"/>
  <c r="C70" i="24"/>
  <c r="C113" i="17"/>
  <c r="C125" i="17"/>
  <c r="C102" i="19"/>
  <c r="C114" i="19"/>
  <c r="C157" i="21"/>
  <c r="C169" i="21"/>
  <c r="C69" i="22"/>
  <c r="C80" i="22"/>
  <c r="C92" i="22"/>
  <c r="C47" i="23"/>
  <c r="C146" i="23"/>
  <c r="C158" i="23"/>
  <c r="C157" i="14"/>
  <c r="C169" i="14"/>
  <c r="C168" i="15"/>
  <c r="C113" i="16"/>
  <c r="C125" i="16"/>
  <c r="C102" i="17"/>
  <c r="C114" i="17"/>
  <c r="C135" i="18"/>
  <c r="C147" i="18"/>
  <c r="C91" i="19"/>
  <c r="C103" i="19"/>
  <c r="C158" i="21"/>
  <c r="C70" i="22"/>
  <c r="C81" i="22"/>
  <c r="J26" i="23"/>
  <c r="C48" i="23"/>
  <c r="C58" i="23"/>
  <c r="C135" i="23"/>
  <c r="C147" i="23"/>
  <c r="C168" i="24"/>
  <c r="C48" i="14"/>
  <c r="C146" i="14"/>
  <c r="C158" i="14"/>
  <c r="C157" i="15"/>
  <c r="C169" i="15"/>
  <c r="C102" i="16"/>
  <c r="C114" i="16"/>
  <c r="J26" i="17"/>
  <c r="E51" i="17"/>
  <c r="C91" i="17"/>
  <c r="C103" i="17"/>
  <c r="C59" i="18"/>
  <c r="C124" i="18"/>
  <c r="C136" i="18"/>
  <c r="C80" i="19"/>
  <c r="C92" i="19"/>
  <c r="C69" i="20"/>
  <c r="C81" i="20"/>
  <c r="C48" i="21"/>
  <c r="C58" i="21"/>
  <c r="C135" i="21"/>
  <c r="C147" i="21"/>
  <c r="C59" i="23"/>
  <c r="C124" i="23"/>
  <c r="C136" i="23"/>
  <c r="C157" i="24"/>
  <c r="C169" i="24"/>
  <c r="C58" i="14"/>
  <c r="C135" i="14"/>
  <c r="C146" i="15"/>
  <c r="C158" i="15"/>
  <c r="C91" i="16"/>
  <c r="C80" i="17"/>
  <c r="C113" i="18"/>
  <c r="C69" i="19"/>
  <c r="C81" i="19"/>
  <c r="C59" i="21"/>
  <c r="C124" i="21"/>
  <c r="C136" i="21"/>
  <c r="C113" i="23"/>
  <c r="C47" i="24"/>
  <c r="C146" i="24"/>
  <c r="AY32" i="20"/>
  <c r="BE45" i="23"/>
  <c r="BR53" i="22"/>
  <c r="BR54" i="22" s="1"/>
  <c r="BR56" i="22" s="1"/>
  <c r="AH178" i="22"/>
  <c r="AH178" i="21"/>
  <c r="AL9" i="21"/>
  <c r="AH178" i="20"/>
  <c r="AH50" i="20"/>
  <c r="AL9" i="20"/>
  <c r="AH57" i="20"/>
  <c r="AH171" i="19"/>
  <c r="AL20" i="19"/>
  <c r="AL9" i="19"/>
  <c r="AH57" i="19"/>
  <c r="AH178" i="18"/>
  <c r="AL20" i="18"/>
  <c r="AL9" i="18"/>
  <c r="AH50" i="18"/>
  <c r="AH178" i="17"/>
  <c r="AH50" i="17"/>
  <c r="AL9" i="17"/>
  <c r="AH50" i="16"/>
  <c r="AL9" i="16"/>
  <c r="AL9" i="15"/>
  <c r="AH178" i="14"/>
  <c r="AL9" i="14"/>
  <c r="AH50" i="14"/>
  <c r="AY40" i="14"/>
  <c r="BA40" i="20"/>
  <c r="AO40" i="20" s="1"/>
  <c r="BB40" i="20" s="1"/>
  <c r="BC40" i="20" s="1"/>
  <c r="BA40" i="22"/>
  <c r="AO40" i="22" s="1"/>
  <c r="BB40" i="22" s="1"/>
  <c r="BC40" i="22" s="1"/>
  <c r="AX39" i="14"/>
  <c r="AP38" i="21"/>
  <c r="K26" i="19"/>
  <c r="BA37" i="20"/>
  <c r="AO37" i="20" s="1"/>
  <c r="BB37" i="20" s="1"/>
  <c r="BC37" i="20" s="1"/>
  <c r="BA37" i="21"/>
  <c r="AO37" i="21" s="1"/>
  <c r="BB37" i="21" s="1"/>
  <c r="BC37" i="21" s="1"/>
  <c r="AQ36" i="22"/>
  <c r="N25" i="18"/>
  <c r="K25" i="18"/>
  <c r="BA36" i="19"/>
  <c r="AO36" i="19" s="1"/>
  <c r="BB36" i="19" s="1"/>
  <c r="BC36" i="19" s="1"/>
  <c r="BA35" i="21"/>
  <c r="AO35" i="21" s="1"/>
  <c r="BB35" i="21" s="1"/>
  <c r="BC35" i="21" s="1"/>
  <c r="AP35" i="24"/>
  <c r="BA35" i="18"/>
  <c r="AO35" i="18" s="1"/>
  <c r="BB35" i="18" s="1"/>
  <c r="BC35" i="18" s="1"/>
  <c r="K24" i="19"/>
  <c r="AP35" i="17"/>
  <c r="AY35" i="17" s="1"/>
  <c r="G25" i="16"/>
  <c r="AP33" i="24"/>
  <c r="AY33" i="24" s="1"/>
  <c r="AX32" i="22"/>
  <c r="AZ32" i="15"/>
  <c r="AZ40" i="16"/>
  <c r="BA40" i="14"/>
  <c r="AO40" i="14" s="1"/>
  <c r="BB40" i="14" s="1"/>
  <c r="BC40" i="14" s="1"/>
  <c r="AQ40" i="20"/>
  <c r="BA40" i="23"/>
  <c r="AO40" i="23" s="1"/>
  <c r="BB40" i="23" s="1"/>
  <c r="BC40" i="23" s="1"/>
  <c r="BA40" i="16"/>
  <c r="AO40" i="16" s="1"/>
  <c r="BB40" i="16" s="1"/>
  <c r="BC40" i="16" s="1"/>
  <c r="AX40" i="14"/>
  <c r="BA39" i="22"/>
  <c r="AO39" i="22" s="1"/>
  <c r="BB39" i="22" s="1"/>
  <c r="BC39" i="22" s="1"/>
  <c r="AZ38" i="21"/>
  <c r="BA38" i="24"/>
  <c r="AO38" i="24" s="1"/>
  <c r="BB38" i="24" s="1"/>
  <c r="BC38" i="24" s="1"/>
  <c r="AQ37" i="16"/>
  <c r="AZ37" i="16" s="1"/>
  <c r="N26" i="16"/>
  <c r="N26" i="18"/>
  <c r="N26" i="19"/>
  <c r="N26" i="22"/>
  <c r="BA37" i="22"/>
  <c r="AO37" i="22" s="1"/>
  <c r="BB37" i="22" s="1"/>
  <c r="BC37" i="22" s="1"/>
  <c r="AQ37" i="15"/>
  <c r="N26" i="15"/>
  <c r="AQ37" i="20"/>
  <c r="AX37" i="20" s="1"/>
  <c r="N26" i="21"/>
  <c r="AQ37" i="21"/>
  <c r="AY36" i="18"/>
  <c r="AW36" i="18" s="1"/>
  <c r="AV36" i="18" s="1"/>
  <c r="AX36" i="18"/>
  <c r="AQ36" i="23"/>
  <c r="N25" i="24"/>
  <c r="BA35" i="19"/>
  <c r="AO35" i="19" s="1"/>
  <c r="BB35" i="19" s="1"/>
  <c r="BC35" i="19" s="1"/>
  <c r="AC73" i="19" s="1"/>
  <c r="N24" i="23"/>
  <c r="N24" i="20"/>
  <c r="BA35" i="20"/>
  <c r="AO35" i="20" s="1"/>
  <c r="BB35" i="20" s="1"/>
  <c r="BC35" i="20" s="1"/>
  <c r="N24" i="18"/>
  <c r="AQ35" i="18"/>
  <c r="AX35" i="18" s="1"/>
  <c r="AQ34" i="18"/>
  <c r="AZ34" i="18" s="1"/>
  <c r="AQ34" i="14"/>
  <c r="AW34" i="14" s="1"/>
  <c r="G26" i="23"/>
  <c r="AZ34" i="23"/>
  <c r="AW34" i="20"/>
  <c r="AZ33" i="20"/>
  <c r="G25" i="24"/>
  <c r="AZ33" i="19"/>
  <c r="AX32" i="16"/>
  <c r="AV32" i="16" s="1"/>
  <c r="AU32" i="16" s="1"/>
  <c r="AT32" i="16" s="1"/>
  <c r="AS32" i="16" s="1"/>
  <c r="AW32" i="23"/>
  <c r="AY40" i="16"/>
  <c r="AP40" i="23"/>
  <c r="AY40" i="23" s="1"/>
  <c r="AW40" i="23" s="1"/>
  <c r="AV40" i="23" s="1"/>
  <c r="BA40" i="17"/>
  <c r="AO40" i="17" s="1"/>
  <c r="BB40" i="17" s="1"/>
  <c r="BC40" i="17" s="1"/>
  <c r="BA40" i="21"/>
  <c r="AO40" i="21" s="1"/>
  <c r="BB40" i="21" s="1"/>
  <c r="BC40" i="21" s="1"/>
  <c r="BA40" i="18"/>
  <c r="AO40" i="18" s="1"/>
  <c r="BB40" i="18" s="1"/>
  <c r="BC40" i="18" s="1"/>
  <c r="BA39" i="15"/>
  <c r="AO39" i="15" s="1"/>
  <c r="BB39" i="15" s="1"/>
  <c r="BC39" i="15" s="1"/>
  <c r="BA39" i="24"/>
  <c r="AO39" i="24" s="1"/>
  <c r="BB39" i="24" s="1"/>
  <c r="BC39" i="24" s="1"/>
  <c r="BA39" i="20"/>
  <c r="AO39" i="20" s="1"/>
  <c r="BB39" i="20" s="1"/>
  <c r="BC39" i="20" s="1"/>
  <c r="BA39" i="23"/>
  <c r="AO39" i="23" s="1"/>
  <c r="BB39" i="23" s="1"/>
  <c r="BC39" i="23" s="1"/>
  <c r="AZ38" i="23"/>
  <c r="AY38" i="23"/>
  <c r="AP38" i="24"/>
  <c r="AY38" i="24" s="1"/>
  <c r="BA38" i="23"/>
  <c r="AO38" i="23" s="1"/>
  <c r="BB38" i="23" s="1"/>
  <c r="BC38" i="23" s="1"/>
  <c r="BA38" i="19"/>
  <c r="AO38" i="19" s="1"/>
  <c r="BB38" i="19" s="1"/>
  <c r="BC38" i="19" s="1"/>
  <c r="AX38" i="23"/>
  <c r="AP38" i="22"/>
  <c r="K26" i="24"/>
  <c r="AP37" i="21"/>
  <c r="K26" i="22"/>
  <c r="BA37" i="24"/>
  <c r="AO37" i="24" s="1"/>
  <c r="BB37" i="24" s="1"/>
  <c r="BC37" i="24" s="1"/>
  <c r="BA37" i="18"/>
  <c r="AO37" i="18" s="1"/>
  <c r="BB37" i="18" s="1"/>
  <c r="BC37" i="18" s="1"/>
  <c r="AP37" i="18"/>
  <c r="AV37" i="18" s="1"/>
  <c r="AP37" i="17"/>
  <c r="AY37" i="17" s="1"/>
  <c r="AP37" i="15"/>
  <c r="K26" i="15"/>
  <c r="AY37" i="16"/>
  <c r="BA36" i="15"/>
  <c r="AO36" i="15" s="1"/>
  <c r="BB36" i="15" s="1"/>
  <c r="BC36" i="15" s="1"/>
  <c r="AC139" i="15" s="1"/>
  <c r="K25" i="19"/>
  <c r="AP36" i="15"/>
  <c r="K25" i="14"/>
  <c r="BA36" i="18"/>
  <c r="AO36" i="18" s="1"/>
  <c r="BB36" i="18" s="1"/>
  <c r="BC36" i="18" s="1"/>
  <c r="AE139" i="18" s="1"/>
  <c r="BA36" i="24"/>
  <c r="AO36" i="24" s="1"/>
  <c r="BB36" i="24" s="1"/>
  <c r="BC36" i="24" s="1"/>
  <c r="C139" i="24" s="1"/>
  <c r="AP36" i="22"/>
  <c r="K24" i="18"/>
  <c r="AP35" i="22"/>
  <c r="AW35" i="22" s="1"/>
  <c r="K24" i="23"/>
  <c r="BA34" i="23"/>
  <c r="AO34" i="23" s="1"/>
  <c r="BB34" i="23" s="1"/>
  <c r="BC34" i="23" s="1"/>
  <c r="AP34" i="16"/>
  <c r="AZ34" i="16" s="1"/>
  <c r="D26" i="20"/>
  <c r="AY34" i="23"/>
  <c r="BA34" i="16"/>
  <c r="AO34" i="16" s="1"/>
  <c r="BB34" i="16" s="1"/>
  <c r="BC34" i="16" s="1"/>
  <c r="D51" i="16" s="1"/>
  <c r="D26" i="24"/>
  <c r="BA34" i="19"/>
  <c r="AO34" i="19" s="1"/>
  <c r="BB34" i="19" s="1"/>
  <c r="BC34" i="19" s="1"/>
  <c r="BA34" i="15"/>
  <c r="AO34" i="15" s="1"/>
  <c r="BB34" i="15" s="1"/>
  <c r="BC34" i="15" s="1"/>
  <c r="BA34" i="20"/>
  <c r="AO34" i="20" s="1"/>
  <c r="BB34" i="20" s="1"/>
  <c r="BC34" i="20" s="1"/>
  <c r="D25" i="21"/>
  <c r="AX32" i="24"/>
  <c r="AZ32" i="21"/>
  <c r="AW32" i="21"/>
  <c r="AX32" i="21"/>
  <c r="AV32" i="21" s="1"/>
  <c r="AY32" i="21"/>
  <c r="AZ32" i="18"/>
  <c r="AY32" i="18"/>
  <c r="AW32" i="17"/>
  <c r="AX32" i="17"/>
  <c r="AV32" i="17" s="1"/>
  <c r="AU32" i="17" s="1"/>
  <c r="AT32" i="17" s="1"/>
  <c r="AS32" i="17" s="1"/>
  <c r="AZ32" i="17"/>
  <c r="AW32" i="16"/>
  <c r="AY32" i="14"/>
  <c r="D25" i="20"/>
  <c r="BA33" i="21"/>
  <c r="AO33" i="21" s="1"/>
  <c r="BB33" i="21" s="1"/>
  <c r="BC33" i="21" s="1"/>
  <c r="D25" i="16"/>
  <c r="D25" i="19"/>
  <c r="AP33" i="17"/>
  <c r="AZ33" i="17" s="1"/>
  <c r="BA33" i="18"/>
  <c r="AO33" i="18" s="1"/>
  <c r="BB33" i="18" s="1"/>
  <c r="BC33" i="18" s="1"/>
  <c r="BA33" i="15"/>
  <c r="AO33" i="15" s="1"/>
  <c r="BB33" i="15" s="1"/>
  <c r="BC33" i="15" s="1"/>
  <c r="BA33" i="19"/>
  <c r="AO33" i="19" s="1"/>
  <c r="BB33" i="19" s="1"/>
  <c r="BC33" i="19" s="1"/>
  <c r="AX33" i="20"/>
  <c r="BA33" i="23"/>
  <c r="AO33" i="23" s="1"/>
  <c r="BB33" i="23" s="1"/>
  <c r="BC33" i="23" s="1"/>
  <c r="AH68" i="16"/>
  <c r="AH94" i="24"/>
  <c r="AH83" i="24"/>
  <c r="AH57" i="24"/>
  <c r="AH116" i="24"/>
  <c r="AH145" i="24"/>
  <c r="AH57" i="23"/>
  <c r="AH127" i="23"/>
  <c r="AH167" i="23"/>
  <c r="AH178" i="23"/>
  <c r="AH105" i="23"/>
  <c r="AH167" i="22"/>
  <c r="AH145" i="22"/>
  <c r="AL11" i="22"/>
  <c r="AL9" i="22"/>
  <c r="AH105" i="22"/>
  <c r="AH50" i="21"/>
  <c r="AH61" i="20"/>
  <c r="AL10" i="20"/>
  <c r="AH50" i="19"/>
  <c r="AH72" i="19"/>
  <c r="AH101" i="19"/>
  <c r="AL10" i="19"/>
  <c r="AH149" i="19"/>
  <c r="AH178" i="19"/>
  <c r="AL13" i="18"/>
  <c r="AH79" i="17"/>
  <c r="AH138" i="17"/>
  <c r="AH145" i="17"/>
  <c r="AL13" i="17"/>
  <c r="AH167" i="16"/>
  <c r="AH178" i="16"/>
  <c r="AH160" i="16"/>
  <c r="AH94" i="16"/>
  <c r="AH61" i="16"/>
  <c r="AL10" i="16"/>
  <c r="AL12" i="15"/>
  <c r="AL13" i="15"/>
  <c r="AL14" i="15"/>
  <c r="AL15" i="15"/>
  <c r="AL16" i="15"/>
  <c r="AL19" i="15"/>
  <c r="AL20" i="15"/>
  <c r="AL10" i="15"/>
  <c r="AH57" i="14"/>
  <c r="AH72" i="14"/>
  <c r="AL11" i="14"/>
  <c r="AL13" i="14"/>
  <c r="AH101" i="14"/>
  <c r="AH160" i="14"/>
  <c r="AH167" i="14"/>
  <c r="AH145" i="14"/>
  <c r="AH134" i="14"/>
  <c r="BP53" i="18"/>
  <c r="BP54" i="18" s="1"/>
  <c r="BG51" i="21"/>
  <c r="BW53" i="20"/>
  <c r="BW54" i="20" s="1"/>
  <c r="BA51" i="17"/>
  <c r="BN51" i="17"/>
  <c r="AQ36" i="15"/>
  <c r="AX36" i="15" s="1"/>
  <c r="AQ39" i="15"/>
  <c r="AZ39" i="15" s="1"/>
  <c r="AH134" i="15"/>
  <c r="AH90" i="15"/>
  <c r="AH160" i="15"/>
  <c r="AX40" i="15"/>
  <c r="AH50" i="15"/>
  <c r="AH61" i="15"/>
  <c r="AH178" i="15"/>
  <c r="BA38" i="15"/>
  <c r="AO38" i="15" s="1"/>
  <c r="BB38" i="15" s="1"/>
  <c r="BC38" i="15" s="1"/>
  <c r="AH127" i="15"/>
  <c r="AH167" i="15"/>
  <c r="AH94" i="15"/>
  <c r="AH83" i="15"/>
  <c r="AH138" i="15"/>
  <c r="AL9" i="24"/>
  <c r="AH50" i="24"/>
  <c r="AH178" i="24"/>
  <c r="AH167" i="24"/>
  <c r="AH156" i="24"/>
  <c r="AH134" i="24"/>
  <c r="AH127" i="24"/>
  <c r="AH112" i="24"/>
  <c r="AH90" i="24"/>
  <c r="AH72" i="24"/>
  <c r="AL11" i="24"/>
  <c r="AH61" i="24"/>
  <c r="Q51" i="19"/>
  <c r="P47" i="20"/>
  <c r="X48" i="21"/>
  <c r="O47" i="22"/>
  <c r="S47" i="22"/>
  <c r="AF47" i="22"/>
  <c r="AB70" i="24"/>
  <c r="J70" i="20"/>
  <c r="R51" i="20"/>
  <c r="K48" i="15"/>
  <c r="E69" i="18"/>
  <c r="O48" i="20"/>
  <c r="AC80" i="20"/>
  <c r="AB47" i="18"/>
  <c r="AA49" i="18"/>
  <c r="AA187" i="18" s="1"/>
  <c r="R58" i="18"/>
  <c r="AZ36" i="24"/>
  <c r="AW39" i="24"/>
  <c r="AZ39" i="24"/>
  <c r="AY39" i="24"/>
  <c r="AX39" i="24"/>
  <c r="AV39" i="24" s="1"/>
  <c r="AZ34" i="24"/>
  <c r="AW34" i="24"/>
  <c r="AV34" i="24" s="1"/>
  <c r="AY34" i="24"/>
  <c r="AX34" i="24"/>
  <c r="AZ40" i="24"/>
  <c r="AX35" i="24"/>
  <c r="AY40" i="24"/>
  <c r="AW40" i="24" s="1"/>
  <c r="AV40" i="24" s="1"/>
  <c r="AX40" i="24"/>
  <c r="K25" i="24"/>
  <c r="AY32" i="24"/>
  <c r="BA33" i="24"/>
  <c r="AO33" i="24" s="1"/>
  <c r="BB33" i="24" s="1"/>
  <c r="BC33" i="24" s="1"/>
  <c r="Z51" i="24" s="1"/>
  <c r="AY36" i="24"/>
  <c r="AW36" i="24" s="1"/>
  <c r="AV36" i="24" s="1"/>
  <c r="AQ37" i="24"/>
  <c r="AZ37" i="24" s="1"/>
  <c r="K47" i="24"/>
  <c r="X47" i="24"/>
  <c r="AX47" i="24"/>
  <c r="O48" i="24"/>
  <c r="AD48" i="24"/>
  <c r="H49" i="24"/>
  <c r="H187" i="24" s="1"/>
  <c r="I51" i="24"/>
  <c r="Y51" i="24"/>
  <c r="AS51" i="24"/>
  <c r="AS52" i="24" s="1"/>
  <c r="AS53" i="24" s="1"/>
  <c r="P58" i="24"/>
  <c r="AF58" i="24"/>
  <c r="E59" i="24"/>
  <c r="U59" i="24"/>
  <c r="S60" i="24"/>
  <c r="R69" i="24"/>
  <c r="L70" i="24"/>
  <c r="U73" i="24"/>
  <c r="BV51" i="24"/>
  <c r="BV52" i="24" s="1"/>
  <c r="BV53" i="24" s="1"/>
  <c r="BV54" i="24" s="1"/>
  <c r="BJ51" i="24"/>
  <c r="AW51" i="24"/>
  <c r="BQ51" i="24"/>
  <c r="BQ52" i="24" s="1"/>
  <c r="BQ53" i="24" s="1"/>
  <c r="BQ54" i="24" s="1"/>
  <c r="BC51" i="24"/>
  <c r="AP51" i="24"/>
  <c r="AP52" i="24" s="1"/>
  <c r="AP53" i="24" s="1"/>
  <c r="BE45" i="24"/>
  <c r="BX51" i="24"/>
  <c r="BX52" i="24" s="1"/>
  <c r="BX53" i="24" s="1"/>
  <c r="BX54" i="24" s="1"/>
  <c r="BK51" i="24"/>
  <c r="AV51" i="24"/>
  <c r="AZ32" i="24"/>
  <c r="L47" i="24"/>
  <c r="Y47" i="24"/>
  <c r="AZ47" i="24"/>
  <c r="Q48" i="24"/>
  <c r="AE48" i="24"/>
  <c r="J51" i="24"/>
  <c r="AT51" i="24"/>
  <c r="AT52" i="24" s="1"/>
  <c r="AT53" i="24" s="1"/>
  <c r="BL51" i="24"/>
  <c r="R58" i="24"/>
  <c r="F59" i="24"/>
  <c r="V59" i="24"/>
  <c r="D60" i="24"/>
  <c r="T69" i="24"/>
  <c r="M70" i="24"/>
  <c r="AG153" i="24"/>
  <c r="AG142" i="24"/>
  <c r="AG131" i="24"/>
  <c r="AG87" i="24"/>
  <c r="AG120" i="24"/>
  <c r="AG109" i="24"/>
  <c r="AG98" i="24"/>
  <c r="AG76" i="24"/>
  <c r="M47" i="24"/>
  <c r="Z47" i="24"/>
  <c r="R48" i="24"/>
  <c r="AF48" i="24"/>
  <c r="L51" i="24"/>
  <c r="AA51" i="24"/>
  <c r="AU51" i="24"/>
  <c r="BM51" i="24"/>
  <c r="S58" i="24"/>
  <c r="H59" i="24"/>
  <c r="W59" i="24"/>
  <c r="D62" i="24"/>
  <c r="U69" i="24"/>
  <c r="O70" i="24"/>
  <c r="N47" i="24"/>
  <c r="AA47" i="24"/>
  <c r="E48" i="24"/>
  <c r="S48" i="24"/>
  <c r="AG48" i="24"/>
  <c r="M51" i="24"/>
  <c r="AB51" i="24"/>
  <c r="AX51" i="24"/>
  <c r="BN51" i="24"/>
  <c r="E58" i="24"/>
  <c r="T58" i="24"/>
  <c r="I59" i="24"/>
  <c r="X59" i="24"/>
  <c r="D69" i="24"/>
  <c r="V69" i="24"/>
  <c r="P70" i="24"/>
  <c r="C172" i="24"/>
  <c r="C150" i="24"/>
  <c r="C106" i="24"/>
  <c r="C95" i="24"/>
  <c r="C84" i="24"/>
  <c r="C73" i="24"/>
  <c r="O47" i="24"/>
  <c r="AC47" i="24"/>
  <c r="F48" i="24"/>
  <c r="T48" i="24"/>
  <c r="M49" i="24"/>
  <c r="M187" i="24" s="1"/>
  <c r="N51" i="24"/>
  <c r="AC51" i="24"/>
  <c r="AY51" i="24"/>
  <c r="BO51" i="24"/>
  <c r="BO52" i="24" s="1"/>
  <c r="BO53" i="24" s="1"/>
  <c r="BO54" i="24" s="1"/>
  <c r="F58" i="24"/>
  <c r="V58" i="24"/>
  <c r="J59" i="24"/>
  <c r="Y59" i="24"/>
  <c r="W62" i="24"/>
  <c r="E69" i="24"/>
  <c r="W69" i="24"/>
  <c r="R70" i="24"/>
  <c r="Q47" i="24"/>
  <c r="AD47" i="24"/>
  <c r="G48" i="24"/>
  <c r="U48" i="24"/>
  <c r="O51" i="24"/>
  <c r="AE51" i="24"/>
  <c r="AZ51" i="24"/>
  <c r="BP51" i="24"/>
  <c r="BP52" i="24" s="1"/>
  <c r="BP53" i="24" s="1"/>
  <c r="BP54" i="24" s="1"/>
  <c r="G58" i="24"/>
  <c r="W58" i="24"/>
  <c r="K59" i="24"/>
  <c r="AB59" i="24"/>
  <c r="J60" i="24"/>
  <c r="X62" i="24"/>
  <c r="G69" i="24"/>
  <c r="Y69" i="24"/>
  <c r="Y70" i="24"/>
  <c r="N24" i="24"/>
  <c r="BA35" i="24"/>
  <c r="AO35" i="24" s="1"/>
  <c r="BB35" i="24" s="1"/>
  <c r="BC35" i="24" s="1"/>
  <c r="V62" i="24" s="1"/>
  <c r="E47" i="24"/>
  <c r="R47" i="24"/>
  <c r="AE47" i="24"/>
  <c r="H48" i="24"/>
  <c r="W48" i="24"/>
  <c r="AX48" i="24"/>
  <c r="P51" i="24"/>
  <c r="AG51" i="24"/>
  <c r="BA51" i="24"/>
  <c r="BR51" i="24"/>
  <c r="BR52" i="24" s="1"/>
  <c r="BR53" i="24" s="1"/>
  <c r="BR54" i="24" s="1"/>
  <c r="H58" i="24"/>
  <c r="Y58" i="24"/>
  <c r="L59" i="24"/>
  <c r="AC59" i="24"/>
  <c r="J62" i="24"/>
  <c r="AG65" i="24"/>
  <c r="H69" i="24"/>
  <c r="AD69" i="24"/>
  <c r="Z70" i="24"/>
  <c r="F47" i="24"/>
  <c r="S47" i="24"/>
  <c r="AF47" i="24"/>
  <c r="I48" i="24"/>
  <c r="X48" i="24"/>
  <c r="R51" i="24"/>
  <c r="BB51" i="24"/>
  <c r="BS51" i="24"/>
  <c r="BS52" i="24" s="1"/>
  <c r="BS53" i="24" s="1"/>
  <c r="BS54" i="24" s="1"/>
  <c r="J58" i="24"/>
  <c r="Z58" i="24"/>
  <c r="O59" i="24"/>
  <c r="AD59" i="24"/>
  <c r="AH68" i="24"/>
  <c r="I69" i="24"/>
  <c r="AE69" i="24"/>
  <c r="Y172" i="24"/>
  <c r="M172" i="24"/>
  <c r="AD170" i="24"/>
  <c r="R170" i="24"/>
  <c r="F170" i="24"/>
  <c r="Y169" i="24"/>
  <c r="M169" i="24"/>
  <c r="AF168" i="24"/>
  <c r="T168" i="24"/>
  <c r="H168" i="24"/>
  <c r="K161" i="24"/>
  <c r="D159" i="24"/>
  <c r="W158" i="24"/>
  <c r="K158" i="24"/>
  <c r="AD157" i="24"/>
  <c r="R157" i="24"/>
  <c r="F157" i="24"/>
  <c r="AG150" i="24"/>
  <c r="U150" i="24"/>
  <c r="I150" i="24"/>
  <c r="X172" i="24"/>
  <c r="L172" i="24"/>
  <c r="AC170" i="24"/>
  <c r="Q170" i="24"/>
  <c r="E170" i="24"/>
  <c r="X169" i="24"/>
  <c r="L169" i="24"/>
  <c r="AE168" i="24"/>
  <c r="S168" i="24"/>
  <c r="G168" i="24"/>
  <c r="V161" i="24"/>
  <c r="V158" i="24"/>
  <c r="J158" i="24"/>
  <c r="AC157" i="24"/>
  <c r="Q157" i="24"/>
  <c r="E157" i="24"/>
  <c r="W172" i="24"/>
  <c r="K172" i="24"/>
  <c r="AB170" i="24"/>
  <c r="P170" i="24"/>
  <c r="D170" i="24"/>
  <c r="W169" i="24"/>
  <c r="K169" i="24"/>
  <c r="AD168" i="24"/>
  <c r="R168" i="24"/>
  <c r="F168" i="24"/>
  <c r="AG161" i="24"/>
  <c r="Z159" i="24"/>
  <c r="AG158" i="24"/>
  <c r="U158" i="24"/>
  <c r="I158" i="24"/>
  <c r="AB157" i="24"/>
  <c r="P157" i="24"/>
  <c r="D157" i="24"/>
  <c r="AE150" i="24"/>
  <c r="G150" i="24"/>
  <c r="V172" i="24"/>
  <c r="J172" i="24"/>
  <c r="AA170" i="24"/>
  <c r="O170" i="24"/>
  <c r="V169" i="24"/>
  <c r="J169" i="24"/>
  <c r="AC168" i="24"/>
  <c r="Q168" i="24"/>
  <c r="E168" i="24"/>
  <c r="AF161" i="24"/>
  <c r="H161" i="24"/>
  <c r="AF158" i="24"/>
  <c r="T158" i="24"/>
  <c r="H158" i="24"/>
  <c r="AA157" i="24"/>
  <c r="O157" i="24"/>
  <c r="AG172" i="24"/>
  <c r="U172" i="24"/>
  <c r="I172" i="24"/>
  <c r="Z170" i="24"/>
  <c r="N170" i="24"/>
  <c r="AG169" i="24"/>
  <c r="U169" i="24"/>
  <c r="I169" i="24"/>
  <c r="AB168" i="24"/>
  <c r="P168" i="24"/>
  <c r="D168" i="24"/>
  <c r="AE161" i="24"/>
  <c r="S161" i="24"/>
  <c r="G161" i="24"/>
  <c r="L159" i="24"/>
  <c r="AE158" i="24"/>
  <c r="S158" i="24"/>
  <c r="G158" i="24"/>
  <c r="Z157" i="24"/>
  <c r="N157" i="24"/>
  <c r="AC150" i="24"/>
  <c r="Q150" i="24"/>
  <c r="AF172" i="24"/>
  <c r="T172" i="24"/>
  <c r="H172" i="24"/>
  <c r="Y170" i="24"/>
  <c r="M170" i="24"/>
  <c r="AF169" i="24"/>
  <c r="T169" i="24"/>
  <c r="H169" i="24"/>
  <c r="AA168" i="24"/>
  <c r="O168" i="24"/>
  <c r="AD161" i="24"/>
  <c r="R161" i="24"/>
  <c r="F161" i="24"/>
  <c r="K159" i="24"/>
  <c r="AD158" i="24"/>
  <c r="R158" i="24"/>
  <c r="F158" i="24"/>
  <c r="Y157" i="24"/>
  <c r="M157" i="24"/>
  <c r="AE172" i="24"/>
  <c r="S172" i="24"/>
  <c r="G172" i="24"/>
  <c r="X170" i="24"/>
  <c r="L170" i="24"/>
  <c r="AE169" i="24"/>
  <c r="S169" i="24"/>
  <c r="G169" i="24"/>
  <c r="Z168" i="24"/>
  <c r="N168" i="24"/>
  <c r="AC161" i="24"/>
  <c r="Q161" i="24"/>
  <c r="E161" i="24"/>
  <c r="V159" i="24"/>
  <c r="AC158" i="24"/>
  <c r="Q158" i="24"/>
  <c r="E158" i="24"/>
  <c r="X157" i="24"/>
  <c r="L157" i="24"/>
  <c r="AD172" i="24"/>
  <c r="R172" i="24"/>
  <c r="F172" i="24"/>
  <c r="W170" i="24"/>
  <c r="K170" i="24"/>
  <c r="AD169" i="24"/>
  <c r="R169" i="24"/>
  <c r="F169" i="24"/>
  <c r="Y168" i="24"/>
  <c r="M168" i="24"/>
  <c r="P161" i="24"/>
  <c r="D161" i="24"/>
  <c r="AG159" i="24"/>
  <c r="AB158" i="24"/>
  <c r="P158" i="24"/>
  <c r="D158" i="24"/>
  <c r="W157" i="24"/>
  <c r="K157" i="24"/>
  <c r="AC172" i="24"/>
  <c r="Q172" i="24"/>
  <c r="E172" i="24"/>
  <c r="V170" i="24"/>
  <c r="J170" i="24"/>
  <c r="AC169" i="24"/>
  <c r="Q169" i="24"/>
  <c r="E169" i="24"/>
  <c r="X168" i="24"/>
  <c r="L168" i="24"/>
  <c r="AA161" i="24"/>
  <c r="O161" i="24"/>
  <c r="AF159" i="24"/>
  <c r="H159" i="24"/>
  <c r="AA158" i="24"/>
  <c r="O158" i="24"/>
  <c r="V157" i="24"/>
  <c r="J157" i="24"/>
  <c r="AB172" i="24"/>
  <c r="P172" i="24"/>
  <c r="D172" i="24"/>
  <c r="AG170" i="24"/>
  <c r="U170" i="24"/>
  <c r="I170" i="24"/>
  <c r="AB169" i="24"/>
  <c r="P169" i="24"/>
  <c r="D169" i="24"/>
  <c r="W168" i="24"/>
  <c r="K168" i="24"/>
  <c r="Z161" i="24"/>
  <c r="N161" i="24"/>
  <c r="AE159" i="24"/>
  <c r="S159" i="24"/>
  <c r="G159" i="24"/>
  <c r="Z158" i="24"/>
  <c r="N158" i="24"/>
  <c r="AG157" i="24"/>
  <c r="U157" i="24"/>
  <c r="I157" i="24"/>
  <c r="X150" i="24"/>
  <c r="L150" i="24"/>
  <c r="X147" i="24"/>
  <c r="L147" i="24"/>
  <c r="AE146" i="24"/>
  <c r="S146" i="24"/>
  <c r="G146" i="24"/>
  <c r="V139" i="24"/>
  <c r="J139" i="24"/>
  <c r="V136" i="24"/>
  <c r="J136" i="24"/>
  <c r="AC135" i="24"/>
  <c r="AA172" i="24"/>
  <c r="O172" i="24"/>
  <c r="AF170" i="24"/>
  <c r="T170" i="24"/>
  <c r="H170" i="24"/>
  <c r="AA169" i="24"/>
  <c r="O169" i="24"/>
  <c r="V168" i="24"/>
  <c r="J168" i="24"/>
  <c r="M161" i="24"/>
  <c r="G157" i="24"/>
  <c r="AB150" i="24"/>
  <c r="K150" i="24"/>
  <c r="AC147" i="24"/>
  <c r="P147" i="24"/>
  <c r="U146" i="24"/>
  <c r="H146" i="24"/>
  <c r="W139" i="24"/>
  <c r="I139" i="24"/>
  <c r="AD136" i="24"/>
  <c r="Q136" i="24"/>
  <c r="D136" i="24"/>
  <c r="V135" i="24"/>
  <c r="J135" i="24"/>
  <c r="Y125" i="24"/>
  <c r="M125" i="24"/>
  <c r="AF124" i="24"/>
  <c r="T124" i="24"/>
  <c r="H124" i="24"/>
  <c r="W114" i="24"/>
  <c r="AE170" i="24"/>
  <c r="L161" i="24"/>
  <c r="E159" i="24"/>
  <c r="AA150" i="24"/>
  <c r="AB147" i="24"/>
  <c r="O147" i="24"/>
  <c r="AG146" i="24"/>
  <c r="T146" i="24"/>
  <c r="F146" i="24"/>
  <c r="U139" i="24"/>
  <c r="H139" i="24"/>
  <c r="AC136" i="24"/>
  <c r="P136" i="24"/>
  <c r="U135" i="24"/>
  <c r="I135" i="24"/>
  <c r="X128" i="24"/>
  <c r="X125" i="24"/>
  <c r="L125" i="24"/>
  <c r="AE124" i="24"/>
  <c r="S124" i="24"/>
  <c r="G124" i="24"/>
  <c r="V117" i="24"/>
  <c r="J117" i="24"/>
  <c r="V114" i="24"/>
  <c r="J114" i="24"/>
  <c r="AC113" i="24"/>
  <c r="Q113" i="24"/>
  <c r="E113" i="24"/>
  <c r="S170" i="24"/>
  <c r="Y158" i="24"/>
  <c r="Z150" i="24"/>
  <c r="H150" i="24"/>
  <c r="AA147" i="24"/>
  <c r="N147" i="24"/>
  <c r="AF146" i="24"/>
  <c r="R146" i="24"/>
  <c r="E146" i="24"/>
  <c r="AG139" i="24"/>
  <c r="T139" i="24"/>
  <c r="G139" i="24"/>
  <c r="AB136" i="24"/>
  <c r="O136" i="24"/>
  <c r="AG135" i="24"/>
  <c r="T135" i="24"/>
  <c r="H135" i="24"/>
  <c r="W125" i="24"/>
  <c r="K125" i="24"/>
  <c r="AD124" i="24"/>
  <c r="R124" i="24"/>
  <c r="F124" i="24"/>
  <c r="U117" i="24"/>
  <c r="I117" i="24"/>
  <c r="Z172" i="24"/>
  <c r="G170" i="24"/>
  <c r="X158" i="24"/>
  <c r="Y150" i="24"/>
  <c r="F150" i="24"/>
  <c r="Z147" i="24"/>
  <c r="M147" i="24"/>
  <c r="AD146" i="24"/>
  <c r="Q146" i="24"/>
  <c r="D146" i="24"/>
  <c r="AF139" i="24"/>
  <c r="S139" i="24"/>
  <c r="F139" i="24"/>
  <c r="AA136" i="24"/>
  <c r="N136" i="24"/>
  <c r="AF135" i="24"/>
  <c r="S135" i="24"/>
  <c r="G135" i="24"/>
  <c r="J128" i="24"/>
  <c r="V125" i="24"/>
  <c r="J125" i="24"/>
  <c r="AC124" i="24"/>
  <c r="Q124" i="24"/>
  <c r="E124" i="24"/>
  <c r="N172" i="24"/>
  <c r="Z169" i="24"/>
  <c r="M158" i="24"/>
  <c r="W150" i="24"/>
  <c r="Y147" i="24"/>
  <c r="K147" i="24"/>
  <c r="AC146" i="24"/>
  <c r="P146" i="24"/>
  <c r="AE139" i="24"/>
  <c r="R139" i="24"/>
  <c r="E139" i="24"/>
  <c r="Z136" i="24"/>
  <c r="M136" i="24"/>
  <c r="AE135" i="24"/>
  <c r="R135" i="24"/>
  <c r="F135" i="24"/>
  <c r="AG125" i="24"/>
  <c r="U125" i="24"/>
  <c r="I125" i="24"/>
  <c r="AB124" i="24"/>
  <c r="P124" i="24"/>
  <c r="D124" i="24"/>
  <c r="N169" i="24"/>
  <c r="L158" i="24"/>
  <c r="V150" i="24"/>
  <c r="F148" i="24"/>
  <c r="W147" i="24"/>
  <c r="J147" i="24"/>
  <c r="AB146" i="24"/>
  <c r="O146" i="24"/>
  <c r="D139" i="24"/>
  <c r="AG137" i="24"/>
  <c r="Y136" i="24"/>
  <c r="L136" i="24"/>
  <c r="AD135" i="24"/>
  <c r="Q135" i="24"/>
  <c r="E135" i="24"/>
  <c r="T128" i="24"/>
  <c r="AF125" i="24"/>
  <c r="T125" i="24"/>
  <c r="H125" i="24"/>
  <c r="AA124" i="24"/>
  <c r="O124" i="24"/>
  <c r="T150" i="24"/>
  <c r="V147" i="24"/>
  <c r="I147" i="24"/>
  <c r="AA146" i="24"/>
  <c r="N146" i="24"/>
  <c r="AF137" i="24"/>
  <c r="X136" i="24"/>
  <c r="K136" i="24"/>
  <c r="AB135" i="24"/>
  <c r="P135" i="24"/>
  <c r="D135" i="24"/>
  <c r="AE125" i="24"/>
  <c r="S125" i="24"/>
  <c r="G125" i="24"/>
  <c r="Z124" i="24"/>
  <c r="N124" i="24"/>
  <c r="AC117" i="24"/>
  <c r="E117" i="24"/>
  <c r="AG168" i="24"/>
  <c r="AF157" i="24"/>
  <c r="R150" i="24"/>
  <c r="P148" i="24"/>
  <c r="U147" i="24"/>
  <c r="H147" i="24"/>
  <c r="Z146" i="24"/>
  <c r="M146" i="24"/>
  <c r="AB139" i="24"/>
  <c r="W136" i="24"/>
  <c r="I136" i="24"/>
  <c r="AA135" i="24"/>
  <c r="O135" i="24"/>
  <c r="AD125" i="24"/>
  <c r="R125" i="24"/>
  <c r="F125" i="24"/>
  <c r="Y124" i="24"/>
  <c r="U168" i="24"/>
  <c r="AE157" i="24"/>
  <c r="P150" i="24"/>
  <c r="O148" i="24"/>
  <c r="AG147" i="24"/>
  <c r="T147" i="24"/>
  <c r="G147" i="24"/>
  <c r="Y146" i="24"/>
  <c r="L146" i="24"/>
  <c r="AA139" i="24"/>
  <c r="U136" i="24"/>
  <c r="H136" i="24"/>
  <c r="Z135" i="24"/>
  <c r="N135" i="24"/>
  <c r="J126" i="24"/>
  <c r="AC125" i="24"/>
  <c r="Q125" i="24"/>
  <c r="E125" i="24"/>
  <c r="X124" i="24"/>
  <c r="L124" i="24"/>
  <c r="I168" i="24"/>
  <c r="T157" i="24"/>
  <c r="O150" i="24"/>
  <c r="AF147" i="24"/>
  <c r="S147" i="24"/>
  <c r="F147" i="24"/>
  <c r="X146" i="24"/>
  <c r="K146" i="24"/>
  <c r="Z139" i="24"/>
  <c r="M139" i="24"/>
  <c r="AG136" i="24"/>
  <c r="T136" i="24"/>
  <c r="G136" i="24"/>
  <c r="Y135" i="24"/>
  <c r="M135" i="24"/>
  <c r="AB125" i="24"/>
  <c r="P125" i="24"/>
  <c r="D125" i="24"/>
  <c r="W124" i="24"/>
  <c r="K124" i="24"/>
  <c r="Z114" i="24"/>
  <c r="N114" i="24"/>
  <c r="AG113" i="24"/>
  <c r="U113" i="24"/>
  <c r="I113" i="24"/>
  <c r="X103" i="24"/>
  <c r="L103" i="24"/>
  <c r="AE102" i="24"/>
  <c r="S102" i="24"/>
  <c r="G102" i="24"/>
  <c r="J95" i="24"/>
  <c r="Z93" i="24"/>
  <c r="AG92" i="24"/>
  <c r="U92" i="24"/>
  <c r="I92" i="24"/>
  <c r="AB91" i="24"/>
  <c r="P91" i="24"/>
  <c r="D91" i="24"/>
  <c r="AE84" i="24"/>
  <c r="S84" i="24"/>
  <c r="G84" i="24"/>
  <c r="K82" i="24"/>
  <c r="AD81" i="24"/>
  <c r="R81" i="24"/>
  <c r="F81" i="24"/>
  <c r="Y80" i="24"/>
  <c r="M80" i="24"/>
  <c r="S157" i="24"/>
  <c r="AF150" i="24"/>
  <c r="N150" i="24"/>
  <c r="AE147" i="24"/>
  <c r="R147" i="24"/>
  <c r="E147" i="24"/>
  <c r="W146" i="24"/>
  <c r="J146" i="24"/>
  <c r="Y139" i="24"/>
  <c r="L139" i="24"/>
  <c r="AF136" i="24"/>
  <c r="S136" i="24"/>
  <c r="F136" i="24"/>
  <c r="X135" i="24"/>
  <c r="L135" i="24"/>
  <c r="T126" i="24"/>
  <c r="AA125" i="24"/>
  <c r="O125" i="24"/>
  <c r="V124" i="24"/>
  <c r="J124" i="24"/>
  <c r="H157" i="24"/>
  <c r="Z125" i="24"/>
  <c r="L117" i="24"/>
  <c r="AG114" i="24"/>
  <c r="R114" i="24"/>
  <c r="D114" i="24"/>
  <c r="T113" i="24"/>
  <c r="F113" i="24"/>
  <c r="W103" i="24"/>
  <c r="J103" i="24"/>
  <c r="AB102" i="24"/>
  <c r="O102" i="24"/>
  <c r="AD95" i="24"/>
  <c r="Q95" i="24"/>
  <c r="D95" i="24"/>
  <c r="X92" i="24"/>
  <c r="K92" i="24"/>
  <c r="AC91" i="24"/>
  <c r="O91" i="24"/>
  <c r="V146" i="24"/>
  <c r="N125" i="24"/>
  <c r="H117" i="24"/>
  <c r="AF114" i="24"/>
  <c r="Q114" i="24"/>
  <c r="S113" i="24"/>
  <c r="D113" i="24"/>
  <c r="V103" i="24"/>
  <c r="I103" i="24"/>
  <c r="AA102" i="24"/>
  <c r="N102" i="24"/>
  <c r="AC95" i="24"/>
  <c r="P95" i="24"/>
  <c r="W92" i="24"/>
  <c r="J92" i="24"/>
  <c r="AA91" i="24"/>
  <c r="N91" i="24"/>
  <c r="AC84" i="24"/>
  <c r="P84" i="24"/>
  <c r="W81" i="24"/>
  <c r="J81" i="24"/>
  <c r="AB80" i="24"/>
  <c r="O80" i="24"/>
  <c r="I146" i="24"/>
  <c r="G117" i="24"/>
  <c r="AE114" i="24"/>
  <c r="P114" i="24"/>
  <c r="AF113" i="24"/>
  <c r="R113" i="24"/>
  <c r="AA106" i="24"/>
  <c r="U103" i="24"/>
  <c r="H103" i="24"/>
  <c r="Z102" i="24"/>
  <c r="M102" i="24"/>
  <c r="O95" i="24"/>
  <c r="V92" i="24"/>
  <c r="H92" i="24"/>
  <c r="Z91" i="24"/>
  <c r="M91" i="24"/>
  <c r="AE136" i="24"/>
  <c r="AG124" i="24"/>
  <c r="AA117" i="24"/>
  <c r="F117" i="24"/>
  <c r="AD114" i="24"/>
  <c r="O114" i="24"/>
  <c r="AE113" i="24"/>
  <c r="P113" i="24"/>
  <c r="AG103" i="24"/>
  <c r="T103" i="24"/>
  <c r="G103" i="24"/>
  <c r="Y102" i="24"/>
  <c r="L102" i="24"/>
  <c r="N95" i="24"/>
  <c r="T92" i="24"/>
  <c r="G92" i="24"/>
  <c r="Y91" i="24"/>
  <c r="L91" i="24"/>
  <c r="AA84" i="24"/>
  <c r="N84" i="24"/>
  <c r="X139" i="24"/>
  <c r="R136" i="24"/>
  <c r="U124" i="24"/>
  <c r="Y117" i="24"/>
  <c r="D117" i="24"/>
  <c r="AC114" i="24"/>
  <c r="M114" i="24"/>
  <c r="AD113" i="24"/>
  <c r="O113" i="24"/>
  <c r="K106" i="24"/>
  <c r="AF103" i="24"/>
  <c r="S103" i="24"/>
  <c r="F103" i="24"/>
  <c r="X102" i="24"/>
  <c r="K102" i="24"/>
  <c r="Z95" i="24"/>
  <c r="M95" i="24"/>
  <c r="AF92" i="24"/>
  <c r="S92" i="24"/>
  <c r="F92" i="24"/>
  <c r="X91" i="24"/>
  <c r="K91" i="24"/>
  <c r="Z84" i="24"/>
  <c r="K139" i="24"/>
  <c r="E136" i="24"/>
  <c r="M124" i="24"/>
  <c r="AB114" i="24"/>
  <c r="L114" i="24"/>
  <c r="AB113" i="24"/>
  <c r="N113" i="24"/>
  <c r="AE103" i="24"/>
  <c r="R103" i="24"/>
  <c r="E103" i="24"/>
  <c r="W102" i="24"/>
  <c r="J102" i="24"/>
  <c r="Y95" i="24"/>
  <c r="L95" i="24"/>
  <c r="AE92" i="24"/>
  <c r="R92" i="24"/>
  <c r="E92" i="24"/>
  <c r="W91" i="24"/>
  <c r="J91" i="24"/>
  <c r="I124" i="24"/>
  <c r="T117" i="24"/>
  <c r="AA114" i="24"/>
  <c r="K114" i="24"/>
  <c r="AA113" i="24"/>
  <c r="M113" i="24"/>
  <c r="AD103" i="24"/>
  <c r="Q103" i="24"/>
  <c r="D103" i="24"/>
  <c r="V102" i="24"/>
  <c r="I102" i="24"/>
  <c r="X95" i="24"/>
  <c r="K95" i="24"/>
  <c r="Y93" i="24"/>
  <c r="AD92" i="24"/>
  <c r="Q92" i="24"/>
  <c r="D92" i="24"/>
  <c r="V91" i="24"/>
  <c r="I91" i="24"/>
  <c r="W135" i="24"/>
  <c r="S117" i="24"/>
  <c r="Y114" i="24"/>
  <c r="I114" i="24"/>
  <c r="Z113" i="24"/>
  <c r="L113" i="24"/>
  <c r="U106" i="24"/>
  <c r="AC103" i="24"/>
  <c r="P103" i="24"/>
  <c r="U102" i="24"/>
  <c r="H102" i="24"/>
  <c r="W95" i="24"/>
  <c r="I95" i="24"/>
  <c r="AC92" i="24"/>
  <c r="P92" i="24"/>
  <c r="U91" i="24"/>
  <c r="H91" i="24"/>
  <c r="K135" i="24"/>
  <c r="R117" i="24"/>
  <c r="X114" i="24"/>
  <c r="H114" i="24"/>
  <c r="Y113" i="24"/>
  <c r="K113" i="24"/>
  <c r="AG106" i="24"/>
  <c r="G106" i="24"/>
  <c r="AB103" i="24"/>
  <c r="O103" i="24"/>
  <c r="AG102" i="24"/>
  <c r="T102" i="24"/>
  <c r="F102" i="24"/>
  <c r="U95" i="24"/>
  <c r="AB92" i="24"/>
  <c r="O92" i="24"/>
  <c r="AG91" i="24"/>
  <c r="T91" i="24"/>
  <c r="G91" i="24"/>
  <c r="AD147" i="24"/>
  <c r="P117" i="24"/>
  <c r="U114" i="24"/>
  <c r="G114" i="24"/>
  <c r="X113" i="24"/>
  <c r="J113" i="24"/>
  <c r="F106" i="24"/>
  <c r="AA103" i="24"/>
  <c r="N103" i="24"/>
  <c r="AF102" i="24"/>
  <c r="R102" i="24"/>
  <c r="E102" i="24"/>
  <c r="AA92" i="24"/>
  <c r="N92" i="24"/>
  <c r="AF91" i="24"/>
  <c r="S91" i="24"/>
  <c r="F91" i="24"/>
  <c r="U84" i="24"/>
  <c r="H84" i="24"/>
  <c r="AA81" i="24"/>
  <c r="N81" i="24"/>
  <c r="AF80" i="24"/>
  <c r="S80" i="24"/>
  <c r="F80" i="24"/>
  <c r="AD73" i="24"/>
  <c r="R73" i="24"/>
  <c r="F73" i="24"/>
  <c r="AC70" i="24"/>
  <c r="Q70" i="24"/>
  <c r="E70" i="24"/>
  <c r="X69" i="24"/>
  <c r="L69" i="24"/>
  <c r="AE62" i="24"/>
  <c r="S62" i="24"/>
  <c r="G62" i="24"/>
  <c r="E60" i="24"/>
  <c r="Z59" i="24"/>
  <c r="N59" i="24"/>
  <c r="AG58" i="24"/>
  <c r="U58" i="24"/>
  <c r="I58" i="24"/>
  <c r="AF51" i="24"/>
  <c r="T51" i="24"/>
  <c r="H51" i="24"/>
  <c r="Q159" i="24"/>
  <c r="AD150" i="24"/>
  <c r="Q147" i="24"/>
  <c r="T114" i="24"/>
  <c r="F114" i="24"/>
  <c r="W113" i="24"/>
  <c r="H113" i="24"/>
  <c r="Z103" i="24"/>
  <c r="M103" i="24"/>
  <c r="AD102" i="24"/>
  <c r="Q102" i="24"/>
  <c r="D102" i="24"/>
  <c r="F95" i="24"/>
  <c r="Z92" i="24"/>
  <c r="M92" i="24"/>
  <c r="AE91" i="24"/>
  <c r="R91" i="24"/>
  <c r="E91" i="24"/>
  <c r="M150" i="24"/>
  <c r="D147" i="24"/>
  <c r="M117" i="24"/>
  <c r="S114" i="24"/>
  <c r="E114" i="24"/>
  <c r="V113" i="24"/>
  <c r="G113" i="24"/>
  <c r="AD106" i="24"/>
  <c r="D106" i="24"/>
  <c r="Y103" i="24"/>
  <c r="K103" i="24"/>
  <c r="AC102" i="24"/>
  <c r="P102" i="24"/>
  <c r="AE95" i="24"/>
  <c r="E95" i="24"/>
  <c r="Y92" i="24"/>
  <c r="L92" i="24"/>
  <c r="AD91" i="24"/>
  <c r="Q91" i="24"/>
  <c r="AF84" i="24"/>
  <c r="R84" i="24"/>
  <c r="E84" i="24"/>
  <c r="Y81" i="24"/>
  <c r="L81" i="24"/>
  <c r="AD80" i="24"/>
  <c r="Q80" i="24"/>
  <c r="D80" i="24"/>
  <c r="X84" i="24"/>
  <c r="D84" i="24"/>
  <c r="Z81" i="24"/>
  <c r="H81" i="24"/>
  <c r="V80" i="24"/>
  <c r="E80" i="24"/>
  <c r="S73" i="24"/>
  <c r="E73" i="24"/>
  <c r="F71" i="24"/>
  <c r="X70" i="24"/>
  <c r="K70" i="24"/>
  <c r="AC69" i="24"/>
  <c r="W84" i="24"/>
  <c r="L82" i="24"/>
  <c r="X81" i="24"/>
  <c r="G81" i="24"/>
  <c r="U80" i="24"/>
  <c r="AE73" i="24"/>
  <c r="Q73" i="24"/>
  <c r="D73" i="24"/>
  <c r="W70" i="24"/>
  <c r="J70" i="24"/>
  <c r="AB69" i="24"/>
  <c r="O69" i="24"/>
  <c r="V84" i="24"/>
  <c r="V81" i="24"/>
  <c r="E81" i="24"/>
  <c r="T80" i="24"/>
  <c r="AC73" i="24"/>
  <c r="P73" i="24"/>
  <c r="V70" i="24"/>
  <c r="I70" i="24"/>
  <c r="AA69" i="24"/>
  <c r="N69" i="24"/>
  <c r="T84" i="24"/>
  <c r="U81" i="24"/>
  <c r="D81" i="24"/>
  <c r="R80" i="24"/>
  <c r="AB73" i="24"/>
  <c r="O73" i="24"/>
  <c r="U70" i="24"/>
  <c r="H70" i="24"/>
  <c r="Z69" i="24"/>
  <c r="M69" i="24"/>
  <c r="AF62" i="24"/>
  <c r="R62" i="24"/>
  <c r="E62" i="24"/>
  <c r="AG59" i="24"/>
  <c r="T59" i="24"/>
  <c r="G59" i="24"/>
  <c r="X58" i="24"/>
  <c r="K58" i="24"/>
  <c r="X51" i="24"/>
  <c r="K51" i="24"/>
  <c r="AB49" i="24"/>
  <c r="AB187" i="24" s="1"/>
  <c r="AB48" i="24"/>
  <c r="P48" i="24"/>
  <c r="D48" i="24"/>
  <c r="AB47" i="24"/>
  <c r="P47" i="24"/>
  <c r="D47" i="24"/>
  <c r="Q84" i="24"/>
  <c r="T81" i="24"/>
  <c r="P80" i="24"/>
  <c r="AA73" i="24"/>
  <c r="N73" i="24"/>
  <c r="O71" i="24"/>
  <c r="AG70" i="24"/>
  <c r="T70" i="24"/>
  <c r="O84" i="24"/>
  <c r="S81" i="24"/>
  <c r="AG80" i="24"/>
  <c r="N80" i="24"/>
  <c r="Z73" i="24"/>
  <c r="M73" i="24"/>
  <c r="AF70" i="24"/>
  <c r="S70" i="24"/>
  <c r="F70" i="24"/>
  <c r="M84" i="24"/>
  <c r="U82" i="24"/>
  <c r="Q81" i="24"/>
  <c r="AE80" i="24"/>
  <c r="L80" i="24"/>
  <c r="Y73" i="24"/>
  <c r="L73" i="24"/>
  <c r="L84" i="24"/>
  <c r="AG81" i="24"/>
  <c r="P81" i="24"/>
  <c r="AC80" i="24"/>
  <c r="K80" i="24"/>
  <c r="X73" i="24"/>
  <c r="K73" i="24"/>
  <c r="AG84" i="24"/>
  <c r="K84" i="24"/>
  <c r="Q82" i="24"/>
  <c r="AF81" i="24"/>
  <c r="O81" i="24"/>
  <c r="AA80" i="24"/>
  <c r="J80" i="24"/>
  <c r="W73" i="24"/>
  <c r="J73" i="24"/>
  <c r="AD84" i="24"/>
  <c r="J84" i="24"/>
  <c r="AE81" i="24"/>
  <c r="M81" i="24"/>
  <c r="Z80" i="24"/>
  <c r="I80" i="24"/>
  <c r="V73" i="24"/>
  <c r="I73" i="24"/>
  <c r="AA70" i="24"/>
  <c r="N70" i="24"/>
  <c r="AF69" i="24"/>
  <c r="S69" i="24"/>
  <c r="F69" i="24"/>
  <c r="Y62" i="24"/>
  <c r="L62" i="24"/>
  <c r="AA59" i="24"/>
  <c r="M59" i="24"/>
  <c r="AD58" i="24"/>
  <c r="Q58" i="24"/>
  <c r="D58" i="24"/>
  <c r="AD51" i="24"/>
  <c r="Q51" i="24"/>
  <c r="D51" i="24"/>
  <c r="V49" i="24"/>
  <c r="V187" i="24" s="1"/>
  <c r="V48" i="24"/>
  <c r="J48" i="24"/>
  <c r="AB84" i="24"/>
  <c r="I84" i="24"/>
  <c r="AC81" i="24"/>
  <c r="K81" i="24"/>
  <c r="X80" i="24"/>
  <c r="H80" i="24"/>
  <c r="Y84" i="24"/>
  <c r="F84" i="24"/>
  <c r="AB81" i="24"/>
  <c r="I81" i="24"/>
  <c r="W80" i="24"/>
  <c r="G80" i="24"/>
  <c r="T73" i="24"/>
  <c r="G73" i="24"/>
  <c r="T71" i="24"/>
  <c r="G47" i="24"/>
  <c r="T47" i="24"/>
  <c r="AG47" i="24"/>
  <c r="K48" i="24"/>
  <c r="Y48" i="24"/>
  <c r="AF49" i="24"/>
  <c r="AF187" i="24" s="1"/>
  <c r="C51" i="24"/>
  <c r="S51" i="24"/>
  <c r="AN51" i="24"/>
  <c r="AN52" i="24" s="1"/>
  <c r="AN53" i="24" s="1"/>
  <c r="BD51" i="24"/>
  <c r="BT51" i="24"/>
  <c r="BT52" i="24" s="1"/>
  <c r="BT53" i="24" s="1"/>
  <c r="BT54" i="24" s="1"/>
  <c r="L58" i="24"/>
  <c r="AA58" i="24"/>
  <c r="P59" i="24"/>
  <c r="AE59" i="24"/>
  <c r="N60" i="24"/>
  <c r="M62" i="24"/>
  <c r="AB62" i="24"/>
  <c r="J69" i="24"/>
  <c r="AG69" i="24"/>
  <c r="AD70" i="24"/>
  <c r="BA34" i="24"/>
  <c r="AO34" i="24" s="1"/>
  <c r="BB34" i="24" s="1"/>
  <c r="BC34" i="24" s="1"/>
  <c r="M128" i="24" s="1"/>
  <c r="BA40" i="24"/>
  <c r="AO40" i="24" s="1"/>
  <c r="BB40" i="24" s="1"/>
  <c r="BC40" i="24" s="1"/>
  <c r="H47" i="24"/>
  <c r="U47" i="24"/>
  <c r="L48" i="24"/>
  <c r="Z48" i="24"/>
  <c r="AG49" i="24"/>
  <c r="AG187" i="24" s="1"/>
  <c r="E51" i="24"/>
  <c r="U51" i="24"/>
  <c r="AO51" i="24"/>
  <c r="AO52" i="24" s="1"/>
  <c r="AO53" i="24" s="1"/>
  <c r="BF51" i="24"/>
  <c r="BU51" i="24"/>
  <c r="BU52" i="24" s="1"/>
  <c r="BU53" i="24" s="1"/>
  <c r="BU54" i="24" s="1"/>
  <c r="M58" i="24"/>
  <c r="AB58" i="24"/>
  <c r="Q59" i="24"/>
  <c r="AF59" i="24"/>
  <c r="N62" i="24"/>
  <c r="AC62" i="24"/>
  <c r="K69" i="24"/>
  <c r="AE70" i="24"/>
  <c r="AW32" i="24"/>
  <c r="I47" i="24"/>
  <c r="V47" i="24"/>
  <c r="M48" i="24"/>
  <c r="AA48" i="24"/>
  <c r="F51" i="24"/>
  <c r="V51" i="24"/>
  <c r="AQ51" i="24"/>
  <c r="AQ52" i="24" s="1"/>
  <c r="AQ53" i="24" s="1"/>
  <c r="BG51" i="24"/>
  <c r="BW51" i="24"/>
  <c r="BW52" i="24" s="1"/>
  <c r="BW53" i="24" s="1"/>
  <c r="BW54" i="24" s="1"/>
  <c r="N58" i="24"/>
  <c r="AC58" i="24"/>
  <c r="R59" i="24"/>
  <c r="O62" i="24"/>
  <c r="AD62" i="24"/>
  <c r="P69" i="24"/>
  <c r="D70" i="24"/>
  <c r="J47" i="24"/>
  <c r="W47" i="24"/>
  <c r="N48" i="24"/>
  <c r="AC48" i="24"/>
  <c r="AN49" i="24"/>
  <c r="G51" i="24"/>
  <c r="W51" i="24"/>
  <c r="AR51" i="24"/>
  <c r="AR52" i="24" s="1"/>
  <c r="AR53" i="24" s="1"/>
  <c r="BH51" i="24"/>
  <c r="O58" i="24"/>
  <c r="AE58" i="24"/>
  <c r="D59" i="24"/>
  <c r="S59" i="24"/>
  <c r="P62" i="24"/>
  <c r="AG62" i="24"/>
  <c r="Q69" i="24"/>
  <c r="G70" i="24"/>
  <c r="H73" i="24"/>
  <c r="AH79" i="24"/>
  <c r="AH123" i="24"/>
  <c r="AH171" i="24"/>
  <c r="C172" i="23"/>
  <c r="C161" i="23"/>
  <c r="C117" i="23"/>
  <c r="C128" i="23"/>
  <c r="C150" i="23"/>
  <c r="C84" i="23"/>
  <c r="C106" i="23"/>
  <c r="C95" i="23"/>
  <c r="C51" i="23"/>
  <c r="AW35" i="23"/>
  <c r="AV35" i="23" s="1"/>
  <c r="AZ35" i="23"/>
  <c r="AY35" i="23"/>
  <c r="AX35" i="23"/>
  <c r="AZ33" i="23"/>
  <c r="AX33" i="23"/>
  <c r="Y172" i="23"/>
  <c r="M172" i="23"/>
  <c r="AD170" i="23"/>
  <c r="R170" i="23"/>
  <c r="F170" i="23"/>
  <c r="Y169" i="23"/>
  <c r="M169" i="23"/>
  <c r="AF168" i="23"/>
  <c r="T168" i="23"/>
  <c r="H168" i="23"/>
  <c r="W161" i="23"/>
  <c r="K161" i="23"/>
  <c r="AB159" i="23"/>
  <c r="P159" i="23"/>
  <c r="D159" i="23"/>
  <c r="W158" i="23"/>
  <c r="K158" i="23"/>
  <c r="AD157" i="23"/>
  <c r="R157" i="23"/>
  <c r="F157" i="23"/>
  <c r="AG150" i="23"/>
  <c r="I150" i="23"/>
  <c r="N148" i="23"/>
  <c r="AG147" i="23"/>
  <c r="U147" i="23"/>
  <c r="I147" i="23"/>
  <c r="AB146" i="23"/>
  <c r="P146" i="23"/>
  <c r="D146" i="23"/>
  <c r="X172" i="23"/>
  <c r="L172" i="23"/>
  <c r="AC170" i="23"/>
  <c r="Q170" i="23"/>
  <c r="E170" i="23"/>
  <c r="X169" i="23"/>
  <c r="L169" i="23"/>
  <c r="AE168" i="23"/>
  <c r="S168" i="23"/>
  <c r="G168" i="23"/>
  <c r="V161" i="23"/>
  <c r="J161" i="23"/>
  <c r="AA159" i="23"/>
  <c r="O159" i="23"/>
  <c r="V158" i="23"/>
  <c r="J158" i="23"/>
  <c r="AC157" i="23"/>
  <c r="Q157" i="23"/>
  <c r="E157" i="23"/>
  <c r="AF150" i="23"/>
  <c r="H150" i="23"/>
  <c r="M148" i="23"/>
  <c r="AF147" i="23"/>
  <c r="T147" i="23"/>
  <c r="H147" i="23"/>
  <c r="AA146" i="23"/>
  <c r="O146" i="23"/>
  <c r="R139" i="23"/>
  <c r="F139" i="23"/>
  <c r="W137" i="23"/>
  <c r="AD136" i="23"/>
  <c r="R136" i="23"/>
  <c r="F136" i="23"/>
  <c r="Y135" i="23"/>
  <c r="W172" i="23"/>
  <c r="K172" i="23"/>
  <c r="AB170" i="23"/>
  <c r="P170" i="23"/>
  <c r="D170" i="23"/>
  <c r="W169" i="23"/>
  <c r="K169" i="23"/>
  <c r="AD168" i="23"/>
  <c r="R168" i="23"/>
  <c r="F168" i="23"/>
  <c r="AG161" i="23"/>
  <c r="U161" i="23"/>
  <c r="I161" i="23"/>
  <c r="Z159" i="23"/>
  <c r="N159" i="23"/>
  <c r="AG158" i="23"/>
  <c r="U158" i="23"/>
  <c r="I158" i="23"/>
  <c r="AB157" i="23"/>
  <c r="P157" i="23"/>
  <c r="D157" i="23"/>
  <c r="V172" i="23"/>
  <c r="J172" i="23"/>
  <c r="AA170" i="23"/>
  <c r="O170" i="23"/>
  <c r="V169" i="23"/>
  <c r="J169" i="23"/>
  <c r="AC168" i="23"/>
  <c r="Q168" i="23"/>
  <c r="E168" i="23"/>
  <c r="AF161" i="23"/>
  <c r="T161" i="23"/>
  <c r="H161" i="23"/>
  <c r="Y159" i="23"/>
  <c r="M159" i="23"/>
  <c r="AF158" i="23"/>
  <c r="T158" i="23"/>
  <c r="AG172" i="23"/>
  <c r="U172" i="23"/>
  <c r="I172" i="23"/>
  <c r="Z170" i="23"/>
  <c r="N170" i="23"/>
  <c r="AG169" i="23"/>
  <c r="U169" i="23"/>
  <c r="I169" i="23"/>
  <c r="AB168" i="23"/>
  <c r="P168" i="23"/>
  <c r="D168" i="23"/>
  <c r="AE161" i="23"/>
  <c r="S161" i="23"/>
  <c r="G161" i="23"/>
  <c r="X159" i="23"/>
  <c r="L159" i="23"/>
  <c r="AE158" i="23"/>
  <c r="S158" i="23"/>
  <c r="G158" i="23"/>
  <c r="Z157" i="23"/>
  <c r="N157" i="23"/>
  <c r="AF172" i="23"/>
  <c r="T172" i="23"/>
  <c r="H172" i="23"/>
  <c r="Y170" i="23"/>
  <c r="M170" i="23"/>
  <c r="AF169" i="23"/>
  <c r="T169" i="23"/>
  <c r="H169" i="23"/>
  <c r="AA168" i="23"/>
  <c r="O168" i="23"/>
  <c r="AD161" i="23"/>
  <c r="R161" i="23"/>
  <c r="F161" i="23"/>
  <c r="W159" i="23"/>
  <c r="K159" i="23"/>
  <c r="AD158" i="23"/>
  <c r="R158" i="23"/>
  <c r="F158" i="23"/>
  <c r="AE172" i="23"/>
  <c r="S172" i="23"/>
  <c r="G172" i="23"/>
  <c r="X170" i="23"/>
  <c r="L170" i="23"/>
  <c r="AE169" i="23"/>
  <c r="S169" i="23"/>
  <c r="G169" i="23"/>
  <c r="Z168" i="23"/>
  <c r="N168" i="23"/>
  <c r="AC161" i="23"/>
  <c r="Q161" i="23"/>
  <c r="E161" i="23"/>
  <c r="V159" i="23"/>
  <c r="J159" i="23"/>
  <c r="AC158" i="23"/>
  <c r="Q158" i="23"/>
  <c r="AD172" i="23"/>
  <c r="R172" i="23"/>
  <c r="F172" i="23"/>
  <c r="W170" i="23"/>
  <c r="K170" i="23"/>
  <c r="AD169" i="23"/>
  <c r="R169" i="23"/>
  <c r="F169" i="23"/>
  <c r="Y168" i="23"/>
  <c r="M168" i="23"/>
  <c r="AB161" i="23"/>
  <c r="P161" i="23"/>
  <c r="D161" i="23"/>
  <c r="AC172" i="23"/>
  <c r="Q172" i="23"/>
  <c r="E172" i="23"/>
  <c r="V170" i="23"/>
  <c r="J170" i="23"/>
  <c r="AC169" i="23"/>
  <c r="Q169" i="23"/>
  <c r="E169" i="23"/>
  <c r="X168" i="23"/>
  <c r="L168" i="23"/>
  <c r="AB172" i="23"/>
  <c r="P172" i="23"/>
  <c r="D172" i="23"/>
  <c r="AG170" i="23"/>
  <c r="U170" i="23"/>
  <c r="I170" i="23"/>
  <c r="AB169" i="23"/>
  <c r="P169" i="23"/>
  <c r="D169" i="23"/>
  <c r="W168" i="23"/>
  <c r="K168" i="23"/>
  <c r="Z161" i="23"/>
  <c r="N161" i="23"/>
  <c r="AE159" i="23"/>
  <c r="S159" i="23"/>
  <c r="G159" i="23"/>
  <c r="Z158" i="23"/>
  <c r="N158" i="23"/>
  <c r="AG157" i="23"/>
  <c r="U157" i="23"/>
  <c r="I157" i="23"/>
  <c r="L150" i="23"/>
  <c r="Q148" i="23"/>
  <c r="E148" i="23"/>
  <c r="X147" i="23"/>
  <c r="L147" i="23"/>
  <c r="AE146" i="23"/>
  <c r="S146" i="23"/>
  <c r="G146" i="23"/>
  <c r="V139" i="23"/>
  <c r="J139" i="23"/>
  <c r="AA137" i="23"/>
  <c r="V136" i="23"/>
  <c r="J136" i="23"/>
  <c r="AC135" i="23"/>
  <c r="AA172" i="23"/>
  <c r="O172" i="23"/>
  <c r="AF170" i="23"/>
  <c r="T170" i="23"/>
  <c r="H170" i="23"/>
  <c r="AA169" i="23"/>
  <c r="O169" i="23"/>
  <c r="V168" i="23"/>
  <c r="J168" i="23"/>
  <c r="I159" i="23"/>
  <c r="H158" i="23"/>
  <c r="S157" i="23"/>
  <c r="Q150" i="23"/>
  <c r="AE148" i="23"/>
  <c r="O148" i="23"/>
  <c r="AC147" i="23"/>
  <c r="N147" i="23"/>
  <c r="AC146" i="23"/>
  <c r="L146" i="23"/>
  <c r="AA139" i="23"/>
  <c r="M139" i="23"/>
  <c r="AB137" i="23"/>
  <c r="M137" i="23"/>
  <c r="AC136" i="23"/>
  <c r="O136" i="23"/>
  <c r="AF135" i="23"/>
  <c r="R135" i="23"/>
  <c r="F135" i="23"/>
  <c r="AE170" i="23"/>
  <c r="AA161" i="23"/>
  <c r="H159" i="23"/>
  <c r="E158" i="23"/>
  <c r="O157" i="23"/>
  <c r="AE150" i="23"/>
  <c r="P150" i="23"/>
  <c r="L148" i="23"/>
  <c r="AB147" i="23"/>
  <c r="M147" i="23"/>
  <c r="Z146" i="23"/>
  <c r="K146" i="23"/>
  <c r="L139" i="23"/>
  <c r="AB136" i="23"/>
  <c r="N136" i="23"/>
  <c r="AE135" i="23"/>
  <c r="Q135" i="23"/>
  <c r="E135" i="23"/>
  <c r="AF128" i="23"/>
  <c r="T128" i="23"/>
  <c r="H128" i="23"/>
  <c r="Y126" i="23"/>
  <c r="AF125" i="23"/>
  <c r="T125" i="23"/>
  <c r="H125" i="23"/>
  <c r="AA124" i="23"/>
  <c r="O124" i="23"/>
  <c r="S170" i="23"/>
  <c r="Y161" i="23"/>
  <c r="F159" i="23"/>
  <c r="D158" i="23"/>
  <c r="M157" i="23"/>
  <c r="O150" i="23"/>
  <c r="AB148" i="23"/>
  <c r="K148" i="23"/>
  <c r="AA147" i="23"/>
  <c r="K147" i="23"/>
  <c r="Y146" i="23"/>
  <c r="J146" i="23"/>
  <c r="K139" i="23"/>
  <c r="AA136" i="23"/>
  <c r="M136" i="23"/>
  <c r="AD135" i="23"/>
  <c r="P135" i="23"/>
  <c r="D135" i="23"/>
  <c r="Z172" i="23"/>
  <c r="G170" i="23"/>
  <c r="X161" i="23"/>
  <c r="E159" i="23"/>
  <c r="L157" i="23"/>
  <c r="N150" i="23"/>
  <c r="AA148" i="23"/>
  <c r="J148" i="23"/>
  <c r="Z147" i="23"/>
  <c r="J147" i="23"/>
  <c r="X146" i="23"/>
  <c r="I146" i="23"/>
  <c r="Z136" i="23"/>
  <c r="L136" i="23"/>
  <c r="AB135" i="23"/>
  <c r="O135" i="23"/>
  <c r="AD128" i="23"/>
  <c r="R128" i="23"/>
  <c r="F128" i="23"/>
  <c r="W126" i="23"/>
  <c r="K126" i="23"/>
  <c r="AD125" i="23"/>
  <c r="R125" i="23"/>
  <c r="F125" i="23"/>
  <c r="Y124" i="23"/>
  <c r="M124" i="23"/>
  <c r="AB117" i="23"/>
  <c r="P117" i="23"/>
  <c r="D117" i="23"/>
  <c r="AG115" i="23"/>
  <c r="U115" i="23"/>
  <c r="AB114" i="23"/>
  <c r="P114" i="23"/>
  <c r="D114" i="23"/>
  <c r="W113" i="23"/>
  <c r="K113" i="23"/>
  <c r="N172" i="23"/>
  <c r="Z169" i="23"/>
  <c r="O161" i="23"/>
  <c r="AG159" i="23"/>
  <c r="AB158" i="23"/>
  <c r="AF157" i="23"/>
  <c r="K157" i="23"/>
  <c r="AB150" i="23"/>
  <c r="M150" i="23"/>
  <c r="I148" i="23"/>
  <c r="Y147" i="23"/>
  <c r="G147" i="23"/>
  <c r="W146" i="23"/>
  <c r="H146" i="23"/>
  <c r="W139" i="23"/>
  <c r="H139" i="23"/>
  <c r="V137" i="23"/>
  <c r="H137" i="23"/>
  <c r="Y136" i="23"/>
  <c r="N169" i="23"/>
  <c r="M161" i="23"/>
  <c r="AF159" i="23"/>
  <c r="AA158" i="23"/>
  <c r="AE157" i="23"/>
  <c r="J157" i="23"/>
  <c r="AA150" i="23"/>
  <c r="K150" i="23"/>
  <c r="W148" i="23"/>
  <c r="H148" i="23"/>
  <c r="W147" i="23"/>
  <c r="F147" i="23"/>
  <c r="V146" i="23"/>
  <c r="F146" i="23"/>
  <c r="X136" i="23"/>
  <c r="I136" i="23"/>
  <c r="Z135" i="23"/>
  <c r="M135" i="23"/>
  <c r="L161" i="23"/>
  <c r="AD159" i="23"/>
  <c r="Y158" i="23"/>
  <c r="AA157" i="23"/>
  <c r="H157" i="23"/>
  <c r="J150" i="23"/>
  <c r="V148" i="23"/>
  <c r="G148" i="23"/>
  <c r="V147" i="23"/>
  <c r="E147" i="23"/>
  <c r="U146" i="23"/>
  <c r="E146" i="23"/>
  <c r="T139" i="23"/>
  <c r="T137" i="23"/>
  <c r="W136" i="23"/>
  <c r="H136" i="23"/>
  <c r="X135" i="23"/>
  <c r="L135" i="23"/>
  <c r="AG168" i="23"/>
  <c r="AC159" i="23"/>
  <c r="X158" i="23"/>
  <c r="Y157" i="23"/>
  <c r="G157" i="23"/>
  <c r="G150" i="23"/>
  <c r="F148" i="23"/>
  <c r="S147" i="23"/>
  <c r="D147" i="23"/>
  <c r="T146" i="23"/>
  <c r="AG139" i="23"/>
  <c r="S139" i="23"/>
  <c r="AG137" i="23"/>
  <c r="S137" i="23"/>
  <c r="U136" i="23"/>
  <c r="U168" i="23"/>
  <c r="U159" i="23"/>
  <c r="P158" i="23"/>
  <c r="X157" i="23"/>
  <c r="W150" i="23"/>
  <c r="F150" i="23"/>
  <c r="D148" i="23"/>
  <c r="R147" i="23"/>
  <c r="R146" i="23"/>
  <c r="I168" i="23"/>
  <c r="T159" i="23"/>
  <c r="O158" i="23"/>
  <c r="W157" i="23"/>
  <c r="V150" i="23"/>
  <c r="E150" i="23"/>
  <c r="Q147" i="23"/>
  <c r="AG146" i="23"/>
  <c r="Q146" i="23"/>
  <c r="AG136" i="23"/>
  <c r="S136" i="23"/>
  <c r="D136" i="23"/>
  <c r="U135" i="23"/>
  <c r="I135" i="23"/>
  <c r="X128" i="23"/>
  <c r="L128" i="23"/>
  <c r="AC126" i="23"/>
  <c r="X125" i="23"/>
  <c r="L125" i="23"/>
  <c r="AE124" i="23"/>
  <c r="S124" i="23"/>
  <c r="G124" i="23"/>
  <c r="V117" i="23"/>
  <c r="J117" i="23"/>
  <c r="O115" i="23"/>
  <c r="V114" i="23"/>
  <c r="J114" i="23"/>
  <c r="AC113" i="23"/>
  <c r="Q113" i="23"/>
  <c r="E113" i="23"/>
  <c r="AD146" i="23"/>
  <c r="AB139" i="23"/>
  <c r="K136" i="23"/>
  <c r="J135" i="23"/>
  <c r="V128" i="23"/>
  <c r="E128" i="23"/>
  <c r="Q125" i="23"/>
  <c r="AG124" i="23"/>
  <c r="Q124" i="23"/>
  <c r="AF117" i="23"/>
  <c r="R117" i="23"/>
  <c r="AG114" i="23"/>
  <c r="S114" i="23"/>
  <c r="E114" i="23"/>
  <c r="U113" i="23"/>
  <c r="N146" i="23"/>
  <c r="G136" i="23"/>
  <c r="H135" i="23"/>
  <c r="U128" i="23"/>
  <c r="D128" i="23"/>
  <c r="AG126" i="23"/>
  <c r="AG125" i="23"/>
  <c r="P125" i="23"/>
  <c r="AF124" i="23"/>
  <c r="P124" i="23"/>
  <c r="AE117" i="23"/>
  <c r="Q117" i="23"/>
  <c r="AD115" i="23"/>
  <c r="P115" i="23"/>
  <c r="AF114" i="23"/>
  <c r="R114" i="23"/>
  <c r="T113" i="23"/>
  <c r="F113" i="23"/>
  <c r="Z106" i="23"/>
  <c r="AE104" i="23"/>
  <c r="S104" i="23"/>
  <c r="Z103" i="23"/>
  <c r="N103" i="23"/>
  <c r="AG102" i="23"/>
  <c r="U102" i="23"/>
  <c r="I102" i="23"/>
  <c r="X95" i="23"/>
  <c r="L95" i="23"/>
  <c r="AB93" i="23"/>
  <c r="D93" i="23"/>
  <c r="W92" i="23"/>
  <c r="K92" i="23"/>
  <c r="AD91" i="23"/>
  <c r="R91" i="23"/>
  <c r="F91" i="23"/>
  <c r="R159" i="23"/>
  <c r="AG148" i="23"/>
  <c r="M146" i="23"/>
  <c r="N139" i="23"/>
  <c r="E136" i="23"/>
  <c r="G135" i="23"/>
  <c r="S128" i="23"/>
  <c r="P126" i="23"/>
  <c r="AE125" i="23"/>
  <c r="O125" i="23"/>
  <c r="AD124" i="23"/>
  <c r="N124" i="23"/>
  <c r="AD117" i="23"/>
  <c r="Q159" i="23"/>
  <c r="AF148" i="23"/>
  <c r="R137" i="23"/>
  <c r="Q128" i="23"/>
  <c r="O126" i="23"/>
  <c r="AC125" i="23"/>
  <c r="N125" i="23"/>
  <c r="AC124" i="23"/>
  <c r="L124" i="23"/>
  <c r="AC117" i="23"/>
  <c r="N117" i="23"/>
  <c r="AD114" i="23"/>
  <c r="O114" i="23"/>
  <c r="AF113" i="23"/>
  <c r="R113" i="23"/>
  <c r="X106" i="23"/>
  <c r="Q104" i="23"/>
  <c r="E104" i="23"/>
  <c r="X103" i="23"/>
  <c r="L103" i="23"/>
  <c r="AE102" i="23"/>
  <c r="S102" i="23"/>
  <c r="G102" i="23"/>
  <c r="J95" i="23"/>
  <c r="N93" i="23"/>
  <c r="AG92" i="23"/>
  <c r="U92" i="23"/>
  <c r="I92" i="23"/>
  <c r="M158" i="23"/>
  <c r="AG135" i="23"/>
  <c r="AG128" i="23"/>
  <c r="P128" i="23"/>
  <c r="AD126" i="23"/>
  <c r="AB125" i="23"/>
  <c r="M125" i="23"/>
  <c r="AB124" i="23"/>
  <c r="K124" i="23"/>
  <c r="L158" i="23"/>
  <c r="D150" i="23"/>
  <c r="P148" i="23"/>
  <c r="N137" i="23"/>
  <c r="AA135" i="23"/>
  <c r="AE128" i="23"/>
  <c r="O128" i="23"/>
  <c r="L126" i="23"/>
  <c r="AA125" i="23"/>
  <c r="K125" i="23"/>
  <c r="Z124" i="23"/>
  <c r="J124" i="23"/>
  <c r="AE147" i="23"/>
  <c r="W135" i="23"/>
  <c r="AC128" i="23"/>
  <c r="N128" i="23"/>
  <c r="J126" i="23"/>
  <c r="Z125" i="23"/>
  <c r="J125" i="23"/>
  <c r="X124" i="23"/>
  <c r="I124" i="23"/>
  <c r="V157" i="23"/>
  <c r="AD147" i="23"/>
  <c r="AF136" i="23"/>
  <c r="V135" i="23"/>
  <c r="AB128" i="23"/>
  <c r="M128" i="23"/>
  <c r="Z126" i="23"/>
  <c r="Y125" i="23"/>
  <c r="I125" i="23"/>
  <c r="W124" i="23"/>
  <c r="T157" i="23"/>
  <c r="P147" i="23"/>
  <c r="AE136" i="23"/>
  <c r="T135" i="23"/>
  <c r="AA128" i="23"/>
  <c r="K128" i="23"/>
  <c r="X126" i="23"/>
  <c r="W125" i="23"/>
  <c r="G125" i="23"/>
  <c r="Q136" i="23"/>
  <c r="N135" i="23"/>
  <c r="Y128" i="23"/>
  <c r="I128" i="23"/>
  <c r="U126" i="23"/>
  <c r="F126" i="23"/>
  <c r="U125" i="23"/>
  <c r="T124" i="23"/>
  <c r="W117" i="23"/>
  <c r="E117" i="23"/>
  <c r="Z115" i="23"/>
  <c r="U114" i="23"/>
  <c r="AG113" i="23"/>
  <c r="N113" i="23"/>
  <c r="V106" i="23"/>
  <c r="V104" i="23"/>
  <c r="W103" i="23"/>
  <c r="I103" i="23"/>
  <c r="Z102" i="23"/>
  <c r="L102" i="23"/>
  <c r="AB92" i="23"/>
  <c r="N92" i="23"/>
  <c r="AE91" i="23"/>
  <c r="Q91" i="23"/>
  <c r="D91" i="23"/>
  <c r="R84" i="23"/>
  <c r="V82" i="23"/>
  <c r="AC81" i="23"/>
  <c r="Q81" i="23"/>
  <c r="E81" i="23"/>
  <c r="X80" i="23"/>
  <c r="L80" i="23"/>
  <c r="V126" i="23"/>
  <c r="R124" i="23"/>
  <c r="U117" i="23"/>
  <c r="Y115" i="23"/>
  <c r="G115" i="23"/>
  <c r="T114" i="23"/>
  <c r="AE113" i="23"/>
  <c r="M113" i="23"/>
  <c r="U106" i="23"/>
  <c r="G106" i="23"/>
  <c r="V103" i="23"/>
  <c r="H103" i="23"/>
  <c r="Y102" i="23"/>
  <c r="K102" i="23"/>
  <c r="Z95" i="23"/>
  <c r="K95" i="23"/>
  <c r="AA92" i="23"/>
  <c r="M92" i="23"/>
  <c r="AC91" i="23"/>
  <c r="P91" i="23"/>
  <c r="Q84" i="23"/>
  <c r="E84" i="23"/>
  <c r="AG82" i="23"/>
  <c r="I82" i="23"/>
  <c r="AB81" i="23"/>
  <c r="P81" i="23"/>
  <c r="D81" i="23"/>
  <c r="W80" i="23"/>
  <c r="K80" i="23"/>
  <c r="Z73" i="23"/>
  <c r="N73" i="23"/>
  <c r="AD71" i="23"/>
  <c r="F71" i="23"/>
  <c r="Y70" i="23"/>
  <c r="M70" i="23"/>
  <c r="AF69" i="23"/>
  <c r="T69" i="23"/>
  <c r="H69" i="23"/>
  <c r="O62" i="23"/>
  <c r="V59" i="23"/>
  <c r="J59" i="23"/>
  <c r="AC58" i="23"/>
  <c r="Q58" i="23"/>
  <c r="E58" i="23"/>
  <c r="AB51" i="23"/>
  <c r="P51" i="23"/>
  <c r="D51" i="23"/>
  <c r="V48" i="23"/>
  <c r="J48" i="23"/>
  <c r="V47" i="23"/>
  <c r="J47" i="23"/>
  <c r="T136" i="23"/>
  <c r="Z128" i="23"/>
  <c r="T126" i="23"/>
  <c r="H124" i="23"/>
  <c r="T117" i="23"/>
  <c r="X115" i="23"/>
  <c r="F115" i="23"/>
  <c r="Q114" i="23"/>
  <c r="AD113" i="23"/>
  <c r="L113" i="23"/>
  <c r="D104" i="23"/>
  <c r="U103" i="23"/>
  <c r="G103" i="23"/>
  <c r="X102" i="23"/>
  <c r="J102" i="23"/>
  <c r="Y95" i="23"/>
  <c r="I95" i="23"/>
  <c r="W93" i="23"/>
  <c r="I93" i="23"/>
  <c r="Z92" i="23"/>
  <c r="L92" i="23"/>
  <c r="AB91" i="23"/>
  <c r="O91" i="23"/>
  <c r="AB84" i="23"/>
  <c r="D84" i="23"/>
  <c r="AF82" i="23"/>
  <c r="P136" i="23"/>
  <c r="W128" i="23"/>
  <c r="G126" i="23"/>
  <c r="F124" i="23"/>
  <c r="S117" i="23"/>
  <c r="N114" i="23"/>
  <c r="AB113" i="23"/>
  <c r="J113" i="23"/>
  <c r="AG106" i="23"/>
  <c r="S106" i="23"/>
  <c r="E106" i="23"/>
  <c r="AG104" i="23"/>
  <c r="R104" i="23"/>
  <c r="T103" i="23"/>
  <c r="F103" i="23"/>
  <c r="W102" i="23"/>
  <c r="H102" i="23"/>
  <c r="W95" i="23"/>
  <c r="H95" i="23"/>
  <c r="H93" i="23"/>
  <c r="Y92" i="23"/>
  <c r="J92" i="23"/>
  <c r="AA91" i="23"/>
  <c r="N91" i="23"/>
  <c r="AA84" i="23"/>
  <c r="AE82" i="23"/>
  <c r="S82" i="23"/>
  <c r="Z81" i="23"/>
  <c r="N81" i="23"/>
  <c r="AG80" i="23"/>
  <c r="U80" i="23"/>
  <c r="I80" i="23"/>
  <c r="X73" i="23"/>
  <c r="L73" i="23"/>
  <c r="P71" i="23"/>
  <c r="W70" i="23"/>
  <c r="K70" i="23"/>
  <c r="AD69" i="23"/>
  <c r="R69" i="23"/>
  <c r="F69" i="23"/>
  <c r="Y62" i="23"/>
  <c r="K60" i="23"/>
  <c r="AF59" i="23"/>
  <c r="T59" i="23"/>
  <c r="H59" i="23"/>
  <c r="AA58" i="23"/>
  <c r="O58" i="23"/>
  <c r="Z51" i="23"/>
  <c r="N51" i="23"/>
  <c r="J128" i="23"/>
  <c r="E124" i="23"/>
  <c r="O117" i="23"/>
  <c r="M114" i="23"/>
  <c r="AA113" i="23"/>
  <c r="I113" i="23"/>
  <c r="AF106" i="23"/>
  <c r="R106" i="23"/>
  <c r="D106" i="23"/>
  <c r="AF104" i="23"/>
  <c r="AG103" i="23"/>
  <c r="S103" i="23"/>
  <c r="E103" i="23"/>
  <c r="V102" i="23"/>
  <c r="F102" i="23"/>
  <c r="U95" i="23"/>
  <c r="G95" i="23"/>
  <c r="X92" i="23"/>
  <c r="H92" i="23"/>
  <c r="Z91" i="23"/>
  <c r="M91" i="23"/>
  <c r="R82" i="23"/>
  <c r="S135" i="23"/>
  <c r="G128" i="23"/>
  <c r="V125" i="23"/>
  <c r="D124" i="23"/>
  <c r="M117" i="23"/>
  <c r="T115" i="23"/>
  <c r="AE114" i="23"/>
  <c r="L114" i="23"/>
  <c r="Z113" i="23"/>
  <c r="H113" i="23"/>
  <c r="AE106" i="23"/>
  <c r="Q106" i="23"/>
  <c r="AF103" i="23"/>
  <c r="R103" i="23"/>
  <c r="D103" i="23"/>
  <c r="T102" i="23"/>
  <c r="E102" i="23"/>
  <c r="T95" i="23"/>
  <c r="F95" i="23"/>
  <c r="V92" i="23"/>
  <c r="G92" i="23"/>
  <c r="Y91" i="23"/>
  <c r="L91" i="23"/>
  <c r="M84" i="23"/>
  <c r="Q82" i="23"/>
  <c r="E82" i="23"/>
  <c r="K135" i="23"/>
  <c r="S125" i="23"/>
  <c r="L117" i="23"/>
  <c r="AC114" i="23"/>
  <c r="K114" i="23"/>
  <c r="Y113" i="23"/>
  <c r="G113" i="23"/>
  <c r="AD106" i="23"/>
  <c r="P106" i="23"/>
  <c r="AE103" i="23"/>
  <c r="Q103" i="23"/>
  <c r="R102" i="23"/>
  <c r="D102" i="23"/>
  <c r="AG95" i="23"/>
  <c r="S95" i="23"/>
  <c r="E95" i="23"/>
  <c r="AG93" i="23"/>
  <c r="S93" i="23"/>
  <c r="E93" i="23"/>
  <c r="T92" i="23"/>
  <c r="F92" i="23"/>
  <c r="X91" i="23"/>
  <c r="K91" i="23"/>
  <c r="AB82" i="23"/>
  <c r="D82" i="23"/>
  <c r="W81" i="23"/>
  <c r="K81" i="23"/>
  <c r="AD80" i="23"/>
  <c r="R80" i="23"/>
  <c r="F80" i="23"/>
  <c r="AG73" i="23"/>
  <c r="U73" i="23"/>
  <c r="E125" i="23"/>
  <c r="AG117" i="23"/>
  <c r="K117" i="23"/>
  <c r="AA114" i="23"/>
  <c r="I114" i="23"/>
  <c r="X113" i="23"/>
  <c r="D113" i="23"/>
  <c r="AC106" i="23"/>
  <c r="O106" i="23"/>
  <c r="AA104" i="23"/>
  <c r="M104" i="23"/>
  <c r="AD103" i="23"/>
  <c r="P103" i="23"/>
  <c r="AF102" i="23"/>
  <c r="Q102" i="23"/>
  <c r="AF95" i="23"/>
  <c r="R95" i="23"/>
  <c r="D95" i="23"/>
  <c r="AF93" i="23"/>
  <c r="R93" i="23"/>
  <c r="S92" i="23"/>
  <c r="E92" i="23"/>
  <c r="W91" i="23"/>
  <c r="J91" i="23"/>
  <c r="D125" i="23"/>
  <c r="AA117" i="23"/>
  <c r="I117" i="23"/>
  <c r="Z114" i="23"/>
  <c r="H114" i="23"/>
  <c r="V113" i="23"/>
  <c r="M106" i="23"/>
  <c r="AC103" i="23"/>
  <c r="O103" i="23"/>
  <c r="AD102" i="23"/>
  <c r="P102" i="23"/>
  <c r="AE95" i="23"/>
  <c r="Q95" i="23"/>
  <c r="AE93" i="23"/>
  <c r="Q93" i="23"/>
  <c r="AF92" i="23"/>
  <c r="R92" i="23"/>
  <c r="D92" i="23"/>
  <c r="V91" i="23"/>
  <c r="I91" i="23"/>
  <c r="V124" i="23"/>
  <c r="Y117" i="23"/>
  <c r="G117" i="23"/>
  <c r="K115" i="23"/>
  <c r="X114" i="23"/>
  <c r="F114" i="23"/>
  <c r="P113" i="23"/>
  <c r="Y106" i="23"/>
  <c r="AA103" i="23"/>
  <c r="K103" i="23"/>
  <c r="AB102" i="23"/>
  <c r="N102" i="23"/>
  <c r="AC95" i="23"/>
  <c r="O95" i="23"/>
  <c r="AD92" i="23"/>
  <c r="P92" i="23"/>
  <c r="AG91" i="23"/>
  <c r="T91" i="23"/>
  <c r="G91" i="23"/>
  <c r="AF84" i="23"/>
  <c r="H84" i="23"/>
  <c r="Y103" i="23"/>
  <c r="AE84" i="23"/>
  <c r="M82" i="23"/>
  <c r="X81" i="23"/>
  <c r="G81" i="23"/>
  <c r="S80" i="23"/>
  <c r="AD70" i="23"/>
  <c r="P70" i="23"/>
  <c r="AG69" i="23"/>
  <c r="Q69" i="23"/>
  <c r="U62" i="23"/>
  <c r="G62" i="23"/>
  <c r="J60" i="23"/>
  <c r="AC59" i="23"/>
  <c r="O59" i="23"/>
  <c r="AD58" i="23"/>
  <c r="N58" i="23"/>
  <c r="AF51" i="23"/>
  <c r="R51" i="23"/>
  <c r="S49" i="23"/>
  <c r="S187" i="23" s="1"/>
  <c r="AC48" i="23"/>
  <c r="P48" i="23"/>
  <c r="Z47" i="23"/>
  <c r="M47" i="23"/>
  <c r="M103" i="23"/>
  <c r="AF91" i="23"/>
  <c r="W84" i="23"/>
  <c r="V81" i="23"/>
  <c r="F81" i="23"/>
  <c r="Q80" i="23"/>
  <c r="P73" i="23"/>
  <c r="Z71" i="23"/>
  <c r="L71" i="23"/>
  <c r="AC70" i="23"/>
  <c r="O70" i="23"/>
  <c r="AE69" i="23"/>
  <c r="P69" i="23"/>
  <c r="F62" i="23"/>
  <c r="AB59" i="23"/>
  <c r="N59" i="23"/>
  <c r="AB58" i="23"/>
  <c r="M58" i="23"/>
  <c r="AE51" i="23"/>
  <c r="Q51" i="23"/>
  <c r="R49" i="23"/>
  <c r="R187" i="23" s="1"/>
  <c r="E49" i="23"/>
  <c r="E187" i="23" s="1"/>
  <c r="AB48" i="23"/>
  <c r="O48" i="23"/>
  <c r="Y47" i="23"/>
  <c r="L47" i="23"/>
  <c r="J103" i="23"/>
  <c r="U91" i="23"/>
  <c r="V84" i="23"/>
  <c r="U81" i="23"/>
  <c r="P80" i="23"/>
  <c r="AD73" i="23"/>
  <c r="O73" i="23"/>
  <c r="Y71" i="23"/>
  <c r="K71" i="23"/>
  <c r="AB70" i="23"/>
  <c r="N70" i="23"/>
  <c r="AC69" i="23"/>
  <c r="O69" i="23"/>
  <c r="AG62" i="23"/>
  <c r="E62" i="23"/>
  <c r="AA59" i="23"/>
  <c r="M59" i="23"/>
  <c r="Z58" i="23"/>
  <c r="L58" i="23"/>
  <c r="AD51" i="23"/>
  <c r="O51" i="23"/>
  <c r="AD49" i="23"/>
  <c r="AD187" i="23" s="1"/>
  <c r="Q49" i="23"/>
  <c r="Q187" i="23" s="1"/>
  <c r="D49" i="23"/>
  <c r="D187" i="23" s="1"/>
  <c r="AA48" i="23"/>
  <c r="N48" i="23"/>
  <c r="X47" i="23"/>
  <c r="K47" i="23"/>
  <c r="Z117" i="23"/>
  <c r="AC115" i="23"/>
  <c r="S91" i="23"/>
  <c r="H82" i="23"/>
  <c r="T81" i="23"/>
  <c r="AF80" i="23"/>
  <c r="O80" i="23"/>
  <c r="AC73" i="23"/>
  <c r="X71" i="23"/>
  <c r="J71" i="23"/>
  <c r="AA70" i="23"/>
  <c r="L70" i="23"/>
  <c r="AB69" i="23"/>
  <c r="N69" i="23"/>
  <c r="AF62" i="23"/>
  <c r="U60" i="23"/>
  <c r="G60" i="23"/>
  <c r="Z59" i="23"/>
  <c r="L59" i="23"/>
  <c r="Y58" i="23"/>
  <c r="K58" i="23"/>
  <c r="AC51" i="23"/>
  <c r="M51" i="23"/>
  <c r="AC49" i="23"/>
  <c r="AC187" i="23" s="1"/>
  <c r="Z48" i="23"/>
  <c r="M48" i="23"/>
  <c r="W47" i="23"/>
  <c r="I47" i="23"/>
  <c r="X117" i="23"/>
  <c r="L115" i="23"/>
  <c r="AC102" i="23"/>
  <c r="AD95" i="23"/>
  <c r="H91" i="23"/>
  <c r="S84" i="23"/>
  <c r="AA82" i="23"/>
  <c r="S81" i="23"/>
  <c r="AE80" i="23"/>
  <c r="N80" i="23"/>
  <c r="K73" i="23"/>
  <c r="Z70" i="23"/>
  <c r="J70" i="23"/>
  <c r="AA69" i="23"/>
  <c r="M69" i="23"/>
  <c r="F60" i="23"/>
  <c r="Y59" i="23"/>
  <c r="K59" i="23"/>
  <c r="X58" i="23"/>
  <c r="J58" i="23"/>
  <c r="AA51" i="23"/>
  <c r="L51" i="23"/>
  <c r="Y48" i="23"/>
  <c r="L48" i="23"/>
  <c r="U47" i="23"/>
  <c r="H47" i="23"/>
  <c r="H117" i="23"/>
  <c r="J115" i="23"/>
  <c r="AA102" i="23"/>
  <c r="AB95" i="23"/>
  <c r="E91" i="23"/>
  <c r="R81" i="23"/>
  <c r="AC80" i="23"/>
  <c r="M80" i="23"/>
  <c r="J73" i="23"/>
  <c r="X70" i="23"/>
  <c r="I70" i="23"/>
  <c r="Z69" i="23"/>
  <c r="L69" i="23"/>
  <c r="AD62" i="23"/>
  <c r="P62" i="23"/>
  <c r="AG60" i="23"/>
  <c r="X59" i="23"/>
  <c r="I59" i="23"/>
  <c r="W58" i="23"/>
  <c r="I58" i="23"/>
  <c r="Y51" i="23"/>
  <c r="K51" i="23"/>
  <c r="X48" i="23"/>
  <c r="F117" i="23"/>
  <c r="Y114" i="23"/>
  <c r="O102" i="23"/>
  <c r="P95" i="23"/>
  <c r="AG81" i="23"/>
  <c r="O81" i="23"/>
  <c r="AB80" i="23"/>
  <c r="J80" i="23"/>
  <c r="Y73" i="23"/>
  <c r="U71" i="23"/>
  <c r="G71" i="23"/>
  <c r="V70" i="23"/>
  <c r="H70" i="23"/>
  <c r="Y69" i="23"/>
  <c r="K69" i="23"/>
  <c r="AC62" i="23"/>
  <c r="W59" i="23"/>
  <c r="G59" i="23"/>
  <c r="V58" i="23"/>
  <c r="H58" i="23"/>
  <c r="X51" i="23"/>
  <c r="J51" i="23"/>
  <c r="Z49" i="23"/>
  <c r="Z187" i="23" s="1"/>
  <c r="M49" i="23"/>
  <c r="M187" i="23" s="1"/>
  <c r="W48" i="23"/>
  <c r="I48" i="23"/>
  <c r="AF47" i="23"/>
  <c r="S47" i="23"/>
  <c r="F47" i="23"/>
  <c r="O147" i="23"/>
  <c r="W114" i="23"/>
  <c r="M102" i="23"/>
  <c r="N95" i="23"/>
  <c r="I84" i="23"/>
  <c r="AF81" i="23"/>
  <c r="M81" i="23"/>
  <c r="AA80" i="23"/>
  <c r="H80" i="23"/>
  <c r="G73" i="23"/>
  <c r="T71" i="23"/>
  <c r="U70" i="23"/>
  <c r="G70" i="23"/>
  <c r="X69" i="23"/>
  <c r="J69" i="23"/>
  <c r="L62" i="23"/>
  <c r="U59" i="23"/>
  <c r="F59" i="23"/>
  <c r="U58" i="23"/>
  <c r="G58" i="23"/>
  <c r="I51" i="23"/>
  <c r="G114" i="23"/>
  <c r="AA106" i="23"/>
  <c r="AE92" i="23"/>
  <c r="W82" i="23"/>
  <c r="AE81" i="23"/>
  <c r="L81" i="23"/>
  <c r="Z80" i="23"/>
  <c r="G80" i="23"/>
  <c r="F73" i="23"/>
  <c r="AG71" i="23"/>
  <c r="T70" i="23"/>
  <c r="F70" i="23"/>
  <c r="W69" i="23"/>
  <c r="I69" i="23"/>
  <c r="Z62" i="23"/>
  <c r="K62" i="23"/>
  <c r="P60" i="23"/>
  <c r="S59" i="23"/>
  <c r="E59" i="23"/>
  <c r="T58" i="23"/>
  <c r="F58" i="23"/>
  <c r="H51" i="23"/>
  <c r="S113" i="23"/>
  <c r="I104" i="23"/>
  <c r="Q92" i="23"/>
  <c r="AA81" i="23"/>
  <c r="I81" i="23"/>
  <c r="V80" i="23"/>
  <c r="D80" i="23"/>
  <c r="O71" i="23"/>
  <c r="AF70" i="23"/>
  <c r="R70" i="23"/>
  <c r="D70" i="23"/>
  <c r="U69" i="23"/>
  <c r="E69" i="23"/>
  <c r="W62" i="23"/>
  <c r="I62" i="23"/>
  <c r="AE59" i="23"/>
  <c r="Q59" i="23"/>
  <c r="AF58" i="23"/>
  <c r="R58" i="23"/>
  <c r="T51" i="23"/>
  <c r="F51" i="23"/>
  <c r="E47" i="23"/>
  <c r="AE47" i="23"/>
  <c r="T48" i="23"/>
  <c r="AE58" i="23"/>
  <c r="S70" i="23"/>
  <c r="K26" i="23"/>
  <c r="BA35" i="23"/>
  <c r="AO35" i="23" s="1"/>
  <c r="BB35" i="23" s="1"/>
  <c r="BC35" i="23" s="1"/>
  <c r="AB73" i="23" s="1"/>
  <c r="AQ37" i="23"/>
  <c r="BA37" i="23"/>
  <c r="AO37" i="23" s="1"/>
  <c r="BB37" i="23" s="1"/>
  <c r="BC37" i="23" s="1"/>
  <c r="G47" i="23"/>
  <c r="AG47" i="23"/>
  <c r="U48" i="23"/>
  <c r="AG58" i="23"/>
  <c r="AE70" i="23"/>
  <c r="E80" i="23"/>
  <c r="N47" i="23"/>
  <c r="AD48" i="23"/>
  <c r="AL9" i="23"/>
  <c r="AG70" i="23"/>
  <c r="T80" i="23"/>
  <c r="O113" i="23"/>
  <c r="C25" i="23"/>
  <c r="AZ40" i="23"/>
  <c r="O47" i="23"/>
  <c r="D48" i="23"/>
  <c r="AE48" i="23"/>
  <c r="X49" i="23"/>
  <c r="X187" i="23" s="1"/>
  <c r="E51" i="23"/>
  <c r="N71" i="23"/>
  <c r="Y80" i="23"/>
  <c r="AF146" i="23"/>
  <c r="D25" i="23"/>
  <c r="AX32" i="23"/>
  <c r="AV32" i="23" s="1"/>
  <c r="AW34" i="23"/>
  <c r="P47" i="23"/>
  <c r="E48" i="23"/>
  <c r="AF48" i="23"/>
  <c r="Y49" i="23"/>
  <c r="Y187" i="23" s="1"/>
  <c r="G51" i="23"/>
  <c r="D59" i="23"/>
  <c r="R73" i="23"/>
  <c r="U124" i="23"/>
  <c r="AZ32" i="23"/>
  <c r="AY33" i="23"/>
  <c r="AW33" i="23" s="1"/>
  <c r="AV33" i="23" s="1"/>
  <c r="AX34" i="23"/>
  <c r="AV34" i="23" s="1"/>
  <c r="Q47" i="23"/>
  <c r="F48" i="23"/>
  <c r="AG48" i="23"/>
  <c r="AG49" i="23"/>
  <c r="AG187" i="23" s="1"/>
  <c r="S51" i="23"/>
  <c r="P59" i="23"/>
  <c r="AH61" i="23"/>
  <c r="D69" i="23"/>
  <c r="AC71" i="23"/>
  <c r="T73" i="23"/>
  <c r="AH79" i="23"/>
  <c r="H81" i="23"/>
  <c r="AW38" i="23"/>
  <c r="R47" i="23"/>
  <c r="G48" i="23"/>
  <c r="AX47" i="23"/>
  <c r="U51" i="23"/>
  <c r="R59" i="23"/>
  <c r="G69" i="23"/>
  <c r="J81" i="23"/>
  <c r="AG84" i="23"/>
  <c r="O92" i="23"/>
  <c r="BR51" i="23"/>
  <c r="BR52" i="23" s="1"/>
  <c r="BF51" i="23"/>
  <c r="AS51" i="23"/>
  <c r="BP51" i="23"/>
  <c r="BP52" i="23" s="1"/>
  <c r="BP53" i="23" s="1"/>
  <c r="BP54" i="23" s="1"/>
  <c r="BC51" i="23"/>
  <c r="AQ51" i="23"/>
  <c r="BN51" i="23"/>
  <c r="AY51" i="23"/>
  <c r="BM51" i="23"/>
  <c r="AX51" i="23"/>
  <c r="BL51" i="23"/>
  <c r="AW51" i="23"/>
  <c r="BK51" i="23"/>
  <c r="AV51" i="23"/>
  <c r="BX51" i="23"/>
  <c r="BX52" i="23" s="1"/>
  <c r="BJ51" i="23"/>
  <c r="AU51" i="23"/>
  <c r="BW51" i="23"/>
  <c r="BW52" i="23" s="1"/>
  <c r="BI51" i="23"/>
  <c r="AT51" i="23"/>
  <c r="AT52" i="23" s="1"/>
  <c r="AT53" i="23" s="1"/>
  <c r="BV51" i="23"/>
  <c r="BV52" i="23" s="1"/>
  <c r="BH51" i="23"/>
  <c r="AR51" i="23"/>
  <c r="BU51" i="23"/>
  <c r="BU52" i="23" s="1"/>
  <c r="BU53" i="23" s="1"/>
  <c r="BU54" i="23" s="1"/>
  <c r="BG51" i="23"/>
  <c r="AP51" i="23"/>
  <c r="BT51" i="23"/>
  <c r="BT52" i="23" s="1"/>
  <c r="BD51" i="23"/>
  <c r="AO51" i="23"/>
  <c r="BQ51" i="23"/>
  <c r="BQ52" i="23" s="1"/>
  <c r="BA51" i="23"/>
  <c r="BA36" i="23"/>
  <c r="AO36" i="23" s="1"/>
  <c r="BB36" i="23" s="1"/>
  <c r="BC36" i="23" s="1"/>
  <c r="W106" i="23" s="1"/>
  <c r="T47" i="23"/>
  <c r="H48" i="23"/>
  <c r="AN49" i="23"/>
  <c r="AG51" i="23"/>
  <c r="AD59" i="23"/>
  <c r="S69" i="23"/>
  <c r="Y81" i="23"/>
  <c r="AC92" i="23"/>
  <c r="I106" i="23"/>
  <c r="AA47" i="23"/>
  <c r="K48" i="23"/>
  <c r="H49" i="23"/>
  <c r="H187" i="23" s="1"/>
  <c r="AH50" i="23"/>
  <c r="AN51" i="23"/>
  <c r="AG59" i="23"/>
  <c r="H62" i="23"/>
  <c r="V69" i="23"/>
  <c r="AD81" i="23"/>
  <c r="AB47" i="23"/>
  <c r="Q48" i="23"/>
  <c r="I49" i="23"/>
  <c r="I187" i="23" s="1"/>
  <c r="AZ51" i="23"/>
  <c r="D58" i="23"/>
  <c r="L60" i="23"/>
  <c r="J62" i="23"/>
  <c r="AH68" i="23"/>
  <c r="D26" i="23"/>
  <c r="AY32" i="23"/>
  <c r="AP36" i="23"/>
  <c r="AQ39" i="23"/>
  <c r="AZ39" i="23" s="1"/>
  <c r="AC47" i="23"/>
  <c r="R48" i="23"/>
  <c r="BB51" i="23"/>
  <c r="P58" i="23"/>
  <c r="O60" i="23"/>
  <c r="V62" i="23"/>
  <c r="E70" i="23"/>
  <c r="AB103" i="23"/>
  <c r="D47" i="23"/>
  <c r="AD47" i="23"/>
  <c r="S48" i="23"/>
  <c r="BO51" i="23"/>
  <c r="BO52" i="23" s="1"/>
  <c r="S58" i="23"/>
  <c r="X62" i="23"/>
  <c r="Q70" i="23"/>
  <c r="AG54" i="23"/>
  <c r="AH72" i="23"/>
  <c r="AG87" i="23"/>
  <c r="AH83" i="23"/>
  <c r="AH101" i="23"/>
  <c r="AH90" i="23"/>
  <c r="AH116" i="23"/>
  <c r="AG153" i="23"/>
  <c r="AG142" i="23"/>
  <c r="AG131" i="23"/>
  <c r="AG98" i="23"/>
  <c r="AG120" i="23"/>
  <c r="AG65" i="23"/>
  <c r="AG109" i="23"/>
  <c r="AH123" i="23"/>
  <c r="AH149" i="23"/>
  <c r="AH156" i="23"/>
  <c r="AH171" i="23"/>
  <c r="BE45" i="22"/>
  <c r="BB51" i="22"/>
  <c r="BQ51" i="22"/>
  <c r="BQ52" i="22" s="1"/>
  <c r="BQ53" i="22" s="1"/>
  <c r="BQ54" i="22" s="1"/>
  <c r="BQ56" i="22" s="1"/>
  <c r="C172" i="22"/>
  <c r="C161" i="22"/>
  <c r="C128" i="22"/>
  <c r="C117" i="22"/>
  <c r="C73" i="22"/>
  <c r="C84" i="22"/>
  <c r="C95" i="22"/>
  <c r="C51" i="22"/>
  <c r="D26" i="22"/>
  <c r="AY33" i="22"/>
  <c r="AW33" i="22" s="1"/>
  <c r="AV33" i="22" s="1"/>
  <c r="BA36" i="22"/>
  <c r="AO36" i="22" s="1"/>
  <c r="BB36" i="22" s="1"/>
  <c r="BC36" i="22" s="1"/>
  <c r="C139" i="22" s="1"/>
  <c r="AB80" i="22"/>
  <c r="J26" i="22"/>
  <c r="BA35" i="22"/>
  <c r="AO35" i="22" s="1"/>
  <c r="BB35" i="22" s="1"/>
  <c r="BC35" i="22" s="1"/>
  <c r="K150" i="22" s="1"/>
  <c r="E48" i="22"/>
  <c r="AX34" i="22"/>
  <c r="AV34" i="22" s="1"/>
  <c r="I48" i="22"/>
  <c r="P69" i="22"/>
  <c r="AD102" i="22"/>
  <c r="AY38" i="22"/>
  <c r="AX38" i="22"/>
  <c r="AV38" i="22" s="1"/>
  <c r="R48" i="22"/>
  <c r="AF69" i="22"/>
  <c r="J73" i="22"/>
  <c r="R113" i="22"/>
  <c r="AX33" i="22"/>
  <c r="AW38" i="22"/>
  <c r="AZ40" i="22"/>
  <c r="AW40" i="22"/>
  <c r="AV40" i="22" s="1"/>
  <c r="AE48" i="22"/>
  <c r="AZ33" i="22"/>
  <c r="M48" i="22"/>
  <c r="V47" i="22"/>
  <c r="I47" i="22"/>
  <c r="Z49" i="22"/>
  <c r="Z187" i="22" s="1"/>
  <c r="V48" i="22"/>
  <c r="Y49" i="22"/>
  <c r="Y187" i="22" s="1"/>
  <c r="K49" i="22"/>
  <c r="K187" i="22" s="1"/>
  <c r="U48" i="22"/>
  <c r="H48" i="22"/>
  <c r="AE47" i="22"/>
  <c r="R47" i="22"/>
  <c r="AP37" i="22"/>
  <c r="AY37" i="22" s="1"/>
  <c r="AZ38" i="22"/>
  <c r="AX40" i="22"/>
  <c r="AF58" i="22"/>
  <c r="S70" i="22"/>
  <c r="E47" i="22"/>
  <c r="H49" i="22"/>
  <c r="H187" i="22" s="1"/>
  <c r="T51" i="22"/>
  <c r="E71" i="22"/>
  <c r="D25" i="22"/>
  <c r="F47" i="22"/>
  <c r="R59" i="22"/>
  <c r="I62" i="22"/>
  <c r="AA71" i="22"/>
  <c r="AF59" i="22"/>
  <c r="X62" i="22"/>
  <c r="AW32" i="22"/>
  <c r="AZ32" i="22"/>
  <c r="AZ34" i="22"/>
  <c r="AW34" i="22"/>
  <c r="AH57" i="22"/>
  <c r="M60" i="22"/>
  <c r="AY32" i="22"/>
  <c r="BA33" i="22"/>
  <c r="AO33" i="22" s="1"/>
  <c r="BB33" i="22" s="1"/>
  <c r="BC33" i="22" s="1"/>
  <c r="C106" i="22" s="1"/>
  <c r="BA34" i="22"/>
  <c r="AO34" i="22" s="1"/>
  <c r="BB34" i="22" s="1"/>
  <c r="BC34" i="22" s="1"/>
  <c r="C62" i="22" s="1"/>
  <c r="G26" i="22"/>
  <c r="AZ39" i="22"/>
  <c r="AY39" i="22"/>
  <c r="AX39" i="22"/>
  <c r="AW39" i="22"/>
  <c r="AB47" i="22"/>
  <c r="AH50" i="22"/>
  <c r="AB60" i="22"/>
  <c r="P47" i="22"/>
  <c r="AC47" i="22"/>
  <c r="F48" i="22"/>
  <c r="S48" i="22"/>
  <c r="AF48" i="22"/>
  <c r="V49" i="22"/>
  <c r="V187" i="22" s="1"/>
  <c r="G51" i="22"/>
  <c r="U51" i="22"/>
  <c r="AO51" i="22"/>
  <c r="AO52" i="22" s="1"/>
  <c r="AO53" i="22" s="1"/>
  <c r="BC51" i="22"/>
  <c r="D58" i="22"/>
  <c r="R58" i="22"/>
  <c r="AG58" i="22"/>
  <c r="D59" i="22"/>
  <c r="S59" i="22"/>
  <c r="AG59" i="22"/>
  <c r="N60" i="22"/>
  <c r="AC60" i="22"/>
  <c r="K62" i="22"/>
  <c r="Y62" i="22"/>
  <c r="Q69" i="22"/>
  <c r="AG69" i="22"/>
  <c r="U70" i="22"/>
  <c r="G71" i="22"/>
  <c r="AB71" i="22"/>
  <c r="K73" i="22"/>
  <c r="Z93" i="22"/>
  <c r="N106" i="22"/>
  <c r="BT51" i="22"/>
  <c r="BT52" i="22" s="1"/>
  <c r="BT53" i="22" s="1"/>
  <c r="BT54" i="22" s="1"/>
  <c r="BH51" i="22"/>
  <c r="AU51" i="22"/>
  <c r="AN49" i="22"/>
  <c r="BM51" i="22"/>
  <c r="AZ51" i="22"/>
  <c r="AN51" i="22"/>
  <c r="AN52" i="22" s="1"/>
  <c r="AN53" i="22" s="1"/>
  <c r="D47" i="22"/>
  <c r="Q47" i="22"/>
  <c r="AD47" i="22"/>
  <c r="G48" i="22"/>
  <c r="T48" i="22"/>
  <c r="AG48" i="22"/>
  <c r="H51" i="22"/>
  <c r="V51" i="22"/>
  <c r="AP51" i="22"/>
  <c r="AP52" i="22" s="1"/>
  <c r="AP53" i="22" s="1"/>
  <c r="BD51" i="22"/>
  <c r="BS51" i="22"/>
  <c r="BS52" i="22" s="1"/>
  <c r="BS53" i="22" s="1"/>
  <c r="BS54" i="22" s="1"/>
  <c r="E58" i="22"/>
  <c r="T58" i="22"/>
  <c r="F59" i="22"/>
  <c r="T59" i="22"/>
  <c r="L62" i="22"/>
  <c r="Z62" i="22"/>
  <c r="R69" i="22"/>
  <c r="V70" i="22"/>
  <c r="K71" i="22"/>
  <c r="AC71" i="22"/>
  <c r="L73" i="22"/>
  <c r="AH79" i="22"/>
  <c r="I81" i="22"/>
  <c r="M103" i="22"/>
  <c r="AA114" i="22"/>
  <c r="I51" i="22"/>
  <c r="X51" i="22"/>
  <c r="AQ51" i="22"/>
  <c r="AQ52" i="22" s="1"/>
  <c r="AQ53" i="22" s="1"/>
  <c r="BF51" i="22"/>
  <c r="BU51" i="22"/>
  <c r="BU52" i="22" s="1"/>
  <c r="BU53" i="22" s="1"/>
  <c r="BU54" i="22" s="1"/>
  <c r="F58" i="22"/>
  <c r="U58" i="22"/>
  <c r="G59" i="22"/>
  <c r="U59" i="22"/>
  <c r="M62" i="22"/>
  <c r="AA62" i="22"/>
  <c r="S69" i="22"/>
  <c r="F70" i="22"/>
  <c r="W70" i="22"/>
  <c r="L71" i="22"/>
  <c r="M73" i="22"/>
  <c r="U81" i="22"/>
  <c r="V84" i="22"/>
  <c r="AA103" i="22"/>
  <c r="J51" i="22"/>
  <c r="Y51" i="22"/>
  <c r="AR51" i="22"/>
  <c r="AR52" i="22" s="1"/>
  <c r="AR53" i="22" s="1"/>
  <c r="BG51" i="22"/>
  <c r="BV51" i="22"/>
  <c r="BV52" i="22" s="1"/>
  <c r="BV53" i="22" s="1"/>
  <c r="BV54" i="22" s="1"/>
  <c r="H58" i="22"/>
  <c r="V58" i="22"/>
  <c r="H59" i="22"/>
  <c r="V59" i="22"/>
  <c r="D60" i="22"/>
  <c r="R60" i="22"/>
  <c r="N62" i="22"/>
  <c r="AB62" i="22"/>
  <c r="D69" i="22"/>
  <c r="T69" i="22"/>
  <c r="G70" i="22"/>
  <c r="X70" i="22"/>
  <c r="N71" i="22"/>
  <c r="S73" i="22"/>
  <c r="AG81" i="22"/>
  <c r="G47" i="22"/>
  <c r="T47" i="22"/>
  <c r="AG47" i="22"/>
  <c r="J48" i="22"/>
  <c r="W48" i="22"/>
  <c r="AX48" i="22"/>
  <c r="L51" i="22"/>
  <c r="Z51" i="22"/>
  <c r="AS51" i="22"/>
  <c r="AS52" i="22" s="1"/>
  <c r="AS53" i="22" s="1"/>
  <c r="BI51" i="22"/>
  <c r="BW51" i="22"/>
  <c r="BW52" i="22" s="1"/>
  <c r="BW53" i="22" s="1"/>
  <c r="BW54" i="22" s="1"/>
  <c r="I58" i="22"/>
  <c r="W58" i="22"/>
  <c r="I59" i="22"/>
  <c r="W59" i="22"/>
  <c r="E60" i="22"/>
  <c r="S60" i="22"/>
  <c r="O62" i="22"/>
  <c r="AD62" i="22"/>
  <c r="E69" i="22"/>
  <c r="U69" i="22"/>
  <c r="I70" i="22"/>
  <c r="Y70" i="22"/>
  <c r="O71" i="22"/>
  <c r="T73" i="22"/>
  <c r="G136" i="22"/>
  <c r="H47" i="22"/>
  <c r="U47" i="22"/>
  <c r="K48" i="22"/>
  <c r="Y48" i="22"/>
  <c r="AZ48" i="22"/>
  <c r="AA51" i="22"/>
  <c r="AT51" i="22"/>
  <c r="AT52" i="22" s="1"/>
  <c r="AT53" i="22" s="1"/>
  <c r="BJ51" i="22"/>
  <c r="BX51" i="22"/>
  <c r="BX52" i="22" s="1"/>
  <c r="BX53" i="22" s="1"/>
  <c r="BX54" i="22" s="1"/>
  <c r="J58" i="22"/>
  <c r="Y58" i="22"/>
  <c r="J59" i="22"/>
  <c r="Y59" i="22"/>
  <c r="P62" i="22"/>
  <c r="AE62" i="22"/>
  <c r="F69" i="22"/>
  <c r="Y69" i="22"/>
  <c r="J70" i="22"/>
  <c r="Z70" i="22"/>
  <c r="P71" i="22"/>
  <c r="Z82" i="22"/>
  <c r="J91" i="22"/>
  <c r="Z48" i="22"/>
  <c r="P49" i="22"/>
  <c r="P187" i="22" s="1"/>
  <c r="N51" i="22"/>
  <c r="AB51" i="22"/>
  <c r="AV51" i="22"/>
  <c r="BK51" i="22"/>
  <c r="K58" i="22"/>
  <c r="Z58" i="22"/>
  <c r="K59" i="22"/>
  <c r="Z59" i="22"/>
  <c r="R62" i="22"/>
  <c r="AF62" i="22"/>
  <c r="G69" i="22"/>
  <c r="Z69" i="22"/>
  <c r="K70" i="22"/>
  <c r="AD70" i="22"/>
  <c r="Q71" i="22"/>
  <c r="W73" i="22"/>
  <c r="W91" i="22"/>
  <c r="J47" i="22"/>
  <c r="W47" i="22"/>
  <c r="AX47" i="22"/>
  <c r="N48" i="22"/>
  <c r="AA48" i="22"/>
  <c r="Q49" i="22"/>
  <c r="Q187" i="22" s="1"/>
  <c r="AD49" i="22"/>
  <c r="AD187" i="22" s="1"/>
  <c r="O51" i="22"/>
  <c r="AC51" i="22"/>
  <c r="AW51" i="22"/>
  <c r="BL51" i="22"/>
  <c r="M58" i="22"/>
  <c r="AA58" i="22"/>
  <c r="M59" i="22"/>
  <c r="AA59" i="22"/>
  <c r="I60" i="22"/>
  <c r="W60" i="22"/>
  <c r="D62" i="22"/>
  <c r="S62" i="22"/>
  <c r="AG62" i="22"/>
  <c r="H69" i="22"/>
  <c r="AB69" i="22"/>
  <c r="L70" i="22"/>
  <c r="AE70" i="22"/>
  <c r="S71" i="22"/>
  <c r="Y172" i="22"/>
  <c r="M172" i="22"/>
  <c r="AD170" i="22"/>
  <c r="R170" i="22"/>
  <c r="F170" i="22"/>
  <c r="Y169" i="22"/>
  <c r="M169" i="22"/>
  <c r="AF168" i="22"/>
  <c r="T168" i="22"/>
  <c r="H168" i="22"/>
  <c r="W161" i="22"/>
  <c r="K161" i="22"/>
  <c r="AB159" i="22"/>
  <c r="P159" i="22"/>
  <c r="D159" i="22"/>
  <c r="W158" i="22"/>
  <c r="K158" i="22"/>
  <c r="AD157" i="22"/>
  <c r="R157" i="22"/>
  <c r="F157" i="22"/>
  <c r="AG150" i="22"/>
  <c r="I150" i="22"/>
  <c r="Z148" i="22"/>
  <c r="AG147" i="22"/>
  <c r="U147" i="22"/>
  <c r="I147" i="22"/>
  <c r="AB146" i="22"/>
  <c r="P146" i="22"/>
  <c r="D146" i="22"/>
  <c r="X172" i="22"/>
  <c r="L172" i="22"/>
  <c r="AC170" i="22"/>
  <c r="Q170" i="22"/>
  <c r="E170" i="22"/>
  <c r="X169" i="22"/>
  <c r="L169" i="22"/>
  <c r="AE168" i="22"/>
  <c r="S168" i="22"/>
  <c r="G168" i="22"/>
  <c r="V161" i="22"/>
  <c r="J161" i="22"/>
  <c r="AA159" i="22"/>
  <c r="O159" i="22"/>
  <c r="V158" i="22"/>
  <c r="J158" i="22"/>
  <c r="AC157" i="22"/>
  <c r="Q157" i="22"/>
  <c r="E157" i="22"/>
  <c r="AF150" i="22"/>
  <c r="T150" i="22"/>
  <c r="Y148" i="22"/>
  <c r="AF147" i="22"/>
  <c r="T147" i="22"/>
  <c r="H147" i="22"/>
  <c r="AA146" i="22"/>
  <c r="O146" i="22"/>
  <c r="AD139" i="22"/>
  <c r="R139" i="22"/>
  <c r="AD136" i="22"/>
  <c r="R136" i="22"/>
  <c r="F136" i="22"/>
  <c r="Y135" i="22"/>
  <c r="M135" i="22"/>
  <c r="W172" i="22"/>
  <c r="K172" i="22"/>
  <c r="AB170" i="22"/>
  <c r="P170" i="22"/>
  <c r="D170" i="22"/>
  <c r="W169" i="22"/>
  <c r="K169" i="22"/>
  <c r="AD168" i="22"/>
  <c r="R168" i="22"/>
  <c r="F168" i="22"/>
  <c r="AG161" i="22"/>
  <c r="U161" i="22"/>
  <c r="I161" i="22"/>
  <c r="Z159" i="22"/>
  <c r="N159" i="22"/>
  <c r="AG158" i="22"/>
  <c r="U158" i="22"/>
  <c r="I158" i="22"/>
  <c r="AB157" i="22"/>
  <c r="P157" i="22"/>
  <c r="D157" i="22"/>
  <c r="V172" i="22"/>
  <c r="J172" i="22"/>
  <c r="AA170" i="22"/>
  <c r="O170" i="22"/>
  <c r="V169" i="22"/>
  <c r="J169" i="22"/>
  <c r="AC168" i="22"/>
  <c r="Q168" i="22"/>
  <c r="E168" i="22"/>
  <c r="AF161" i="22"/>
  <c r="T161" i="22"/>
  <c r="H161" i="22"/>
  <c r="Y159" i="22"/>
  <c r="M159" i="22"/>
  <c r="AF158" i="22"/>
  <c r="T158" i="22"/>
  <c r="H158" i="22"/>
  <c r="AG172" i="22"/>
  <c r="U172" i="22"/>
  <c r="I172" i="22"/>
  <c r="Z170" i="22"/>
  <c r="N170" i="22"/>
  <c r="AG169" i="22"/>
  <c r="U169" i="22"/>
  <c r="I169" i="22"/>
  <c r="AB168" i="22"/>
  <c r="P168" i="22"/>
  <c r="D168" i="22"/>
  <c r="AE161" i="22"/>
  <c r="S161" i="22"/>
  <c r="G161" i="22"/>
  <c r="X159" i="22"/>
  <c r="L159" i="22"/>
  <c r="AE158" i="22"/>
  <c r="S158" i="22"/>
  <c r="G158" i="22"/>
  <c r="Z157" i="22"/>
  <c r="N157" i="22"/>
  <c r="AF172" i="22"/>
  <c r="T172" i="22"/>
  <c r="H172" i="22"/>
  <c r="Y170" i="22"/>
  <c r="M170" i="22"/>
  <c r="AF169" i="22"/>
  <c r="T169" i="22"/>
  <c r="H169" i="22"/>
  <c r="AA168" i="22"/>
  <c r="O168" i="22"/>
  <c r="AD161" i="22"/>
  <c r="R161" i="22"/>
  <c r="F161" i="22"/>
  <c r="W159" i="22"/>
  <c r="K159" i="22"/>
  <c r="AD158" i="22"/>
  <c r="R158" i="22"/>
  <c r="F158" i="22"/>
  <c r="Y157" i="22"/>
  <c r="M157" i="22"/>
  <c r="AE172" i="22"/>
  <c r="S172" i="22"/>
  <c r="G172" i="22"/>
  <c r="X170" i="22"/>
  <c r="L170" i="22"/>
  <c r="AE169" i="22"/>
  <c r="S169" i="22"/>
  <c r="G169" i="22"/>
  <c r="Z168" i="22"/>
  <c r="N168" i="22"/>
  <c r="AC161" i="22"/>
  <c r="Q161" i="22"/>
  <c r="E161" i="22"/>
  <c r="V159" i="22"/>
  <c r="J159" i="22"/>
  <c r="AC158" i="22"/>
  <c r="Q158" i="22"/>
  <c r="E158" i="22"/>
  <c r="X157" i="22"/>
  <c r="L157" i="22"/>
  <c r="AD172" i="22"/>
  <c r="R172" i="22"/>
  <c r="F172" i="22"/>
  <c r="W170" i="22"/>
  <c r="K170" i="22"/>
  <c r="AD169" i="22"/>
  <c r="R169" i="22"/>
  <c r="F169" i="22"/>
  <c r="Y168" i="22"/>
  <c r="M168" i="22"/>
  <c r="AB161" i="22"/>
  <c r="P161" i="22"/>
  <c r="D161" i="22"/>
  <c r="AG159" i="22"/>
  <c r="U159" i="22"/>
  <c r="AC172" i="22"/>
  <c r="Q172" i="22"/>
  <c r="E172" i="22"/>
  <c r="V170" i="22"/>
  <c r="J170" i="22"/>
  <c r="AC169" i="22"/>
  <c r="Q169" i="22"/>
  <c r="E169" i="22"/>
  <c r="X168" i="22"/>
  <c r="L168" i="22"/>
  <c r="AB172" i="22"/>
  <c r="P172" i="22"/>
  <c r="D172" i="22"/>
  <c r="AG170" i="22"/>
  <c r="U170" i="22"/>
  <c r="I170" i="22"/>
  <c r="AB169" i="22"/>
  <c r="P169" i="22"/>
  <c r="D169" i="22"/>
  <c r="W168" i="22"/>
  <c r="K168" i="22"/>
  <c r="Z161" i="22"/>
  <c r="N161" i="22"/>
  <c r="AE159" i="22"/>
  <c r="S159" i="22"/>
  <c r="G159" i="22"/>
  <c r="Z158" i="22"/>
  <c r="N158" i="22"/>
  <c r="AG157" i="22"/>
  <c r="U157" i="22"/>
  <c r="I157" i="22"/>
  <c r="X150" i="22"/>
  <c r="AC148" i="22"/>
  <c r="E148" i="22"/>
  <c r="X147" i="22"/>
  <c r="L147" i="22"/>
  <c r="AE146" i="22"/>
  <c r="S146" i="22"/>
  <c r="G146" i="22"/>
  <c r="V139" i="22"/>
  <c r="O137" i="22"/>
  <c r="V136" i="22"/>
  <c r="J136" i="22"/>
  <c r="AC135" i="22"/>
  <c r="AA172" i="22"/>
  <c r="O172" i="22"/>
  <c r="AF170" i="22"/>
  <c r="T170" i="22"/>
  <c r="H170" i="22"/>
  <c r="AA169" i="22"/>
  <c r="O169" i="22"/>
  <c r="V168" i="22"/>
  <c r="J168" i="22"/>
  <c r="Y161" i="22"/>
  <c r="AB158" i="22"/>
  <c r="AA157" i="22"/>
  <c r="AC150" i="22"/>
  <c r="N150" i="22"/>
  <c r="J148" i="22"/>
  <c r="Z147" i="22"/>
  <c r="J147" i="22"/>
  <c r="X146" i="22"/>
  <c r="I146" i="22"/>
  <c r="I139" i="22"/>
  <c r="I137" i="22"/>
  <c r="Z136" i="22"/>
  <c r="L136" i="22"/>
  <c r="AB135" i="22"/>
  <c r="O135" i="22"/>
  <c r="AE170" i="22"/>
  <c r="X161" i="22"/>
  <c r="AA158" i="22"/>
  <c r="W157" i="22"/>
  <c r="AB150" i="22"/>
  <c r="X148" i="22"/>
  <c r="I148" i="22"/>
  <c r="Y147" i="22"/>
  <c r="G147" i="22"/>
  <c r="W146" i="22"/>
  <c r="H146" i="22"/>
  <c r="V137" i="22"/>
  <c r="Y136" i="22"/>
  <c r="K136" i="22"/>
  <c r="AA135" i="22"/>
  <c r="N135" i="22"/>
  <c r="AB128" i="22"/>
  <c r="P128" i="22"/>
  <c r="AG126" i="22"/>
  <c r="U126" i="22"/>
  <c r="S170" i="22"/>
  <c r="O161" i="22"/>
  <c r="AF159" i="22"/>
  <c r="Y158" i="22"/>
  <c r="V157" i="22"/>
  <c r="W148" i="22"/>
  <c r="W147" i="22"/>
  <c r="F147" i="22"/>
  <c r="V146" i="22"/>
  <c r="F146" i="22"/>
  <c r="U139" i="22"/>
  <c r="U137" i="22"/>
  <c r="X136" i="22"/>
  <c r="I136" i="22"/>
  <c r="Z135" i="22"/>
  <c r="L135" i="22"/>
  <c r="Z172" i="22"/>
  <c r="G170" i="22"/>
  <c r="M161" i="22"/>
  <c r="AD159" i="22"/>
  <c r="X158" i="22"/>
  <c r="T157" i="22"/>
  <c r="Z150" i="22"/>
  <c r="J150" i="22"/>
  <c r="V147" i="22"/>
  <c r="E147" i="22"/>
  <c r="U146" i="22"/>
  <c r="E146" i="22"/>
  <c r="T139" i="22"/>
  <c r="E139" i="22"/>
  <c r="T137" i="22"/>
  <c r="W136" i="22"/>
  <c r="H136" i="22"/>
  <c r="X135" i="22"/>
  <c r="K135" i="22"/>
  <c r="N172" i="22"/>
  <c r="Z169" i="22"/>
  <c r="L161" i="22"/>
  <c r="AC159" i="22"/>
  <c r="P158" i="22"/>
  <c r="S157" i="22"/>
  <c r="Y150" i="22"/>
  <c r="S147" i="22"/>
  <c r="D147" i="22"/>
  <c r="T146" i="22"/>
  <c r="AG139" i="22"/>
  <c r="S139" i="22"/>
  <c r="D139" i="22"/>
  <c r="AG137" i="22"/>
  <c r="E137" i="22"/>
  <c r="N169" i="22"/>
  <c r="T159" i="22"/>
  <c r="O158" i="22"/>
  <c r="O157" i="22"/>
  <c r="W150" i="22"/>
  <c r="D148" i="22"/>
  <c r="R147" i="22"/>
  <c r="R146" i="22"/>
  <c r="R159" i="22"/>
  <c r="M158" i="22"/>
  <c r="K157" i="22"/>
  <c r="V150" i="22"/>
  <c r="E150" i="22"/>
  <c r="S148" i="22"/>
  <c r="Q147" i="22"/>
  <c r="AG146" i="22"/>
  <c r="Q146" i="22"/>
  <c r="P139" i="22"/>
  <c r="Q137" i="22"/>
  <c r="AG136" i="22"/>
  <c r="AG168" i="22"/>
  <c r="Q159" i="22"/>
  <c r="L158" i="22"/>
  <c r="J157" i="22"/>
  <c r="S150" i="22"/>
  <c r="D150" i="22"/>
  <c r="AG148" i="22"/>
  <c r="R148" i="22"/>
  <c r="AE147" i="22"/>
  <c r="P147" i="22"/>
  <c r="AF146" i="22"/>
  <c r="N146" i="22"/>
  <c r="O139" i="22"/>
  <c r="AD137" i="22"/>
  <c r="U168" i="22"/>
  <c r="I159" i="22"/>
  <c r="D158" i="22"/>
  <c r="H157" i="22"/>
  <c r="R150" i="22"/>
  <c r="AF148" i="22"/>
  <c r="AD147" i="22"/>
  <c r="O147" i="22"/>
  <c r="AD146" i="22"/>
  <c r="M146" i="22"/>
  <c r="N139" i="22"/>
  <c r="I168" i="22"/>
  <c r="H159" i="22"/>
  <c r="G157" i="22"/>
  <c r="Q150" i="22"/>
  <c r="AE148" i="22"/>
  <c r="AC147" i="22"/>
  <c r="N147" i="22"/>
  <c r="AC146" i="22"/>
  <c r="L146" i="22"/>
  <c r="AC136" i="22"/>
  <c r="O136" i="22"/>
  <c r="AF135" i="22"/>
  <c r="R135" i="22"/>
  <c r="E135" i="22"/>
  <c r="AF128" i="22"/>
  <c r="T128" i="22"/>
  <c r="H128" i="22"/>
  <c r="Y126" i="22"/>
  <c r="AF125" i="22"/>
  <c r="T125" i="22"/>
  <c r="H125" i="22"/>
  <c r="AA124" i="22"/>
  <c r="O124" i="22"/>
  <c r="R117" i="22"/>
  <c r="F117" i="22"/>
  <c r="W115" i="22"/>
  <c r="AD114" i="22"/>
  <c r="R114" i="22"/>
  <c r="F114" i="22"/>
  <c r="Y113" i="22"/>
  <c r="M113" i="22"/>
  <c r="F159" i="22"/>
  <c r="AF157" i="22"/>
  <c r="AE150" i="22"/>
  <c r="AB147" i="22"/>
  <c r="M147" i="22"/>
  <c r="Z146" i="22"/>
  <c r="K146" i="22"/>
  <c r="L139" i="22"/>
  <c r="AB136" i="22"/>
  <c r="N136" i="22"/>
  <c r="AE135" i="22"/>
  <c r="Q135" i="22"/>
  <c r="D135" i="22"/>
  <c r="AE128" i="22"/>
  <c r="G128" i="22"/>
  <c r="L126" i="22"/>
  <c r="AE125" i="22"/>
  <c r="S125" i="22"/>
  <c r="G125" i="22"/>
  <c r="Z124" i="22"/>
  <c r="N124" i="22"/>
  <c r="AC117" i="22"/>
  <c r="Q117" i="22"/>
  <c r="E117" i="22"/>
  <c r="J115" i="22"/>
  <c r="AC114" i="22"/>
  <c r="Q114" i="22"/>
  <c r="E114" i="22"/>
  <c r="X113" i="22"/>
  <c r="L113" i="22"/>
  <c r="AD150" i="22"/>
  <c r="K147" i="22"/>
  <c r="E136" i="22"/>
  <c r="I135" i="22"/>
  <c r="W128" i="22"/>
  <c r="F128" i="22"/>
  <c r="U125" i="22"/>
  <c r="E125" i="22"/>
  <c r="V124" i="22"/>
  <c r="H124" i="22"/>
  <c r="X117" i="22"/>
  <c r="J117" i="22"/>
  <c r="X115" i="22"/>
  <c r="Y114" i="22"/>
  <c r="K114" i="22"/>
  <c r="AB113" i="22"/>
  <c r="N113" i="22"/>
  <c r="AD106" i="22"/>
  <c r="R106" i="22"/>
  <c r="AE157" i="22"/>
  <c r="O150" i="22"/>
  <c r="D136" i="22"/>
  <c r="H135" i="22"/>
  <c r="V128" i="22"/>
  <c r="E128" i="22"/>
  <c r="AF126" i="22"/>
  <c r="Q126" i="22"/>
  <c r="R125" i="22"/>
  <c r="D125" i="22"/>
  <c r="U124" i="22"/>
  <c r="G124" i="22"/>
  <c r="W117" i="22"/>
  <c r="I117" i="22"/>
  <c r="X114" i="22"/>
  <c r="J114" i="22"/>
  <c r="AA113" i="22"/>
  <c r="K113" i="22"/>
  <c r="AC106" i="22"/>
  <c r="Q106" i="22"/>
  <c r="E106" i="22"/>
  <c r="Y146" i="22"/>
  <c r="AF136" i="22"/>
  <c r="G135" i="22"/>
  <c r="U128" i="22"/>
  <c r="AE126" i="22"/>
  <c r="P126" i="22"/>
  <c r="AG125" i="22"/>
  <c r="Q125" i="22"/>
  <c r="T124" i="22"/>
  <c r="F124" i="22"/>
  <c r="V117" i="22"/>
  <c r="H117" i="22"/>
  <c r="W114" i="22"/>
  <c r="I114" i="22"/>
  <c r="Z113" i="22"/>
  <c r="J113" i="22"/>
  <c r="AB106" i="22"/>
  <c r="P106" i="22"/>
  <c r="D106" i="22"/>
  <c r="I104" i="22"/>
  <c r="AB103" i="22"/>
  <c r="P103" i="22"/>
  <c r="D103" i="22"/>
  <c r="W102" i="22"/>
  <c r="K102" i="22"/>
  <c r="Z95" i="22"/>
  <c r="AD93" i="22"/>
  <c r="F93" i="22"/>
  <c r="Y92" i="22"/>
  <c r="M92" i="22"/>
  <c r="AF91" i="22"/>
  <c r="T91" i="22"/>
  <c r="H91" i="22"/>
  <c r="AA161" i="22"/>
  <c r="J146" i="22"/>
  <c r="AE136" i="22"/>
  <c r="AG135" i="22"/>
  <c r="F135" i="22"/>
  <c r="R128" i="22"/>
  <c r="AD126" i="22"/>
  <c r="AD125" i="22"/>
  <c r="P125" i="22"/>
  <c r="AG124" i="22"/>
  <c r="S124" i="22"/>
  <c r="E124" i="22"/>
  <c r="U117" i="22"/>
  <c r="G117" i="22"/>
  <c r="AG115" i="22"/>
  <c r="S115" i="22"/>
  <c r="E115" i="22"/>
  <c r="V114" i="22"/>
  <c r="H114" i="22"/>
  <c r="W113" i="22"/>
  <c r="I113" i="22"/>
  <c r="AA136" i="22"/>
  <c r="AD135" i="22"/>
  <c r="Q128" i="22"/>
  <c r="AC125" i="22"/>
  <c r="O125" i="22"/>
  <c r="AF124" i="22"/>
  <c r="R124" i="22"/>
  <c r="D124" i="22"/>
  <c r="T117" i="22"/>
  <c r="D117" i="22"/>
  <c r="AF115" i="22"/>
  <c r="R115" i="22"/>
  <c r="D115" i="22"/>
  <c r="U114" i="22"/>
  <c r="G114" i="22"/>
  <c r="V113" i="22"/>
  <c r="H113" i="22"/>
  <c r="U136" i="22"/>
  <c r="W135" i="22"/>
  <c r="AG128" i="22"/>
  <c r="O128" i="22"/>
  <c r="K126" i="22"/>
  <c r="AB125" i="22"/>
  <c r="N125" i="22"/>
  <c r="AE124" i="22"/>
  <c r="Q124" i="22"/>
  <c r="AG117" i="22"/>
  <c r="S117" i="22"/>
  <c r="T114" i="22"/>
  <c r="D114" i="22"/>
  <c r="U113" i="22"/>
  <c r="G113" i="22"/>
  <c r="AF139" i="22"/>
  <c r="T136" i="22"/>
  <c r="V135" i="22"/>
  <c r="AD128" i="22"/>
  <c r="N128" i="22"/>
  <c r="AA125" i="22"/>
  <c r="M125" i="22"/>
  <c r="AD124" i="22"/>
  <c r="P124" i="22"/>
  <c r="AF117" i="22"/>
  <c r="AG114" i="22"/>
  <c r="S114" i="22"/>
  <c r="T113" i="22"/>
  <c r="F113" i="22"/>
  <c r="S136" i="22"/>
  <c r="U135" i="22"/>
  <c r="Z126" i="22"/>
  <c r="Z125" i="22"/>
  <c r="L125" i="22"/>
  <c r="AC124" i="22"/>
  <c r="M124" i="22"/>
  <c r="AE117" i="22"/>
  <c r="O117" i="22"/>
  <c r="Q139" i="22"/>
  <c r="Q136" i="22"/>
  <c r="T135" i="22"/>
  <c r="L128" i="22"/>
  <c r="H126" i="22"/>
  <c r="Y125" i="22"/>
  <c r="K125" i="22"/>
  <c r="AB124" i="22"/>
  <c r="L124" i="22"/>
  <c r="AB148" i="22"/>
  <c r="P136" i="22"/>
  <c r="S135" i="22"/>
  <c r="Z128" i="22"/>
  <c r="K128" i="22"/>
  <c r="V126" i="22"/>
  <c r="G126" i="22"/>
  <c r="X125" i="22"/>
  <c r="J125" i="22"/>
  <c r="Y124" i="22"/>
  <c r="K124" i="22"/>
  <c r="AA117" i="22"/>
  <c r="M117" i="22"/>
  <c r="AA115" i="22"/>
  <c r="M115" i="22"/>
  <c r="AB114" i="22"/>
  <c r="N114" i="22"/>
  <c r="AE113" i="22"/>
  <c r="Q113" i="22"/>
  <c r="AG106" i="22"/>
  <c r="I106" i="22"/>
  <c r="N104" i="22"/>
  <c r="AG103" i="22"/>
  <c r="U103" i="22"/>
  <c r="I103" i="22"/>
  <c r="AB102" i="22"/>
  <c r="P102" i="22"/>
  <c r="D102" i="22"/>
  <c r="P137" i="22"/>
  <c r="M136" i="22"/>
  <c r="P135" i="22"/>
  <c r="Y128" i="22"/>
  <c r="T126" i="22"/>
  <c r="F126" i="22"/>
  <c r="W125" i="22"/>
  <c r="I125" i="22"/>
  <c r="X124" i="22"/>
  <c r="J124" i="22"/>
  <c r="V125" i="22"/>
  <c r="AB117" i="22"/>
  <c r="Z114" i="22"/>
  <c r="P113" i="22"/>
  <c r="AF106" i="22"/>
  <c r="M106" i="22"/>
  <c r="X104" i="22"/>
  <c r="J104" i="22"/>
  <c r="Z103" i="22"/>
  <c r="L103" i="22"/>
  <c r="AC102" i="22"/>
  <c r="N102" i="22"/>
  <c r="X95" i="22"/>
  <c r="K95" i="22"/>
  <c r="Y93" i="22"/>
  <c r="L93" i="22"/>
  <c r="AD92" i="22"/>
  <c r="Q92" i="22"/>
  <c r="D92" i="22"/>
  <c r="V91" i="22"/>
  <c r="I91" i="22"/>
  <c r="U84" i="22"/>
  <c r="Y82" i="22"/>
  <c r="M82" i="22"/>
  <c r="AF81" i="22"/>
  <c r="T81" i="22"/>
  <c r="H81" i="22"/>
  <c r="AA80" i="22"/>
  <c r="O80" i="22"/>
  <c r="R73" i="22"/>
  <c r="F73" i="22"/>
  <c r="J71" i="22"/>
  <c r="AC70" i="22"/>
  <c r="Q70" i="22"/>
  <c r="E70" i="22"/>
  <c r="X69" i="22"/>
  <c r="L69" i="22"/>
  <c r="J135" i="22"/>
  <c r="F125" i="22"/>
  <c r="Z117" i="22"/>
  <c r="AC115" i="22"/>
  <c r="P114" i="22"/>
  <c r="O113" i="22"/>
  <c r="AE106" i="22"/>
  <c r="W104" i="22"/>
  <c r="Y103" i="22"/>
  <c r="K103" i="22"/>
  <c r="AA102" i="22"/>
  <c r="M102" i="22"/>
  <c r="W95" i="22"/>
  <c r="J95" i="22"/>
  <c r="K93" i="22"/>
  <c r="AC92" i="22"/>
  <c r="P92" i="22"/>
  <c r="U91" i="22"/>
  <c r="G91" i="22"/>
  <c r="T84" i="22"/>
  <c r="H84" i="22"/>
  <c r="L82" i="22"/>
  <c r="AE81" i="22"/>
  <c r="S81" i="22"/>
  <c r="G81" i="22"/>
  <c r="Z80" i="22"/>
  <c r="N80" i="22"/>
  <c r="AC73" i="22"/>
  <c r="Q73" i="22"/>
  <c r="E73" i="22"/>
  <c r="AG71" i="22"/>
  <c r="I71" i="22"/>
  <c r="AB70" i="22"/>
  <c r="P70" i="22"/>
  <c r="D70" i="22"/>
  <c r="W69" i="22"/>
  <c r="K69" i="22"/>
  <c r="Y117" i="22"/>
  <c r="AB115" i="22"/>
  <c r="O114" i="22"/>
  <c r="E113" i="22"/>
  <c r="AA106" i="22"/>
  <c r="K106" i="22"/>
  <c r="X103" i="22"/>
  <c r="J103" i="22"/>
  <c r="Z102" i="22"/>
  <c r="L102" i="22"/>
  <c r="V95" i="22"/>
  <c r="I95" i="22"/>
  <c r="AB92" i="22"/>
  <c r="O92" i="22"/>
  <c r="AG91" i="22"/>
  <c r="S91" i="22"/>
  <c r="F91" i="22"/>
  <c r="AE84" i="22"/>
  <c r="G84" i="22"/>
  <c r="K82" i="22"/>
  <c r="AD81" i="22"/>
  <c r="R81" i="22"/>
  <c r="F81" i="22"/>
  <c r="Y80" i="22"/>
  <c r="M80" i="22"/>
  <c r="AB73" i="22"/>
  <c r="P73" i="22"/>
  <c r="D73" i="22"/>
  <c r="AF71" i="22"/>
  <c r="H71" i="22"/>
  <c r="AA70" i="22"/>
  <c r="O70" i="22"/>
  <c r="V69" i="22"/>
  <c r="J69" i="22"/>
  <c r="AC62" i="22"/>
  <c r="Q62" i="22"/>
  <c r="E62" i="22"/>
  <c r="AA60" i="22"/>
  <c r="O60" i="22"/>
  <c r="X59" i="22"/>
  <c r="L59" i="22"/>
  <c r="AE58" i="22"/>
  <c r="S58" i="22"/>
  <c r="G58" i="22"/>
  <c r="AD51" i="22"/>
  <c r="R51" i="22"/>
  <c r="F51" i="22"/>
  <c r="L49" i="22"/>
  <c r="L187" i="22" s="1"/>
  <c r="X48" i="22"/>
  <c r="L48" i="22"/>
  <c r="X47" i="22"/>
  <c r="L47" i="22"/>
  <c r="W124" i="22"/>
  <c r="N117" i="22"/>
  <c r="M114" i="22"/>
  <c r="D113" i="22"/>
  <c r="Z106" i="22"/>
  <c r="J106" i="22"/>
  <c r="W103" i="22"/>
  <c r="H103" i="22"/>
  <c r="Y102" i="22"/>
  <c r="J102" i="22"/>
  <c r="U95" i="22"/>
  <c r="H95" i="22"/>
  <c r="V93" i="22"/>
  <c r="AA92" i="22"/>
  <c r="N92" i="22"/>
  <c r="AE91" i="22"/>
  <c r="R91" i="22"/>
  <c r="E91" i="22"/>
  <c r="AD84" i="22"/>
  <c r="F84" i="22"/>
  <c r="V82" i="22"/>
  <c r="AC81" i="22"/>
  <c r="Q81" i="22"/>
  <c r="E81" i="22"/>
  <c r="X80" i="22"/>
  <c r="L80" i="22"/>
  <c r="AA73" i="22"/>
  <c r="O73" i="22"/>
  <c r="I124" i="22"/>
  <c r="L117" i="22"/>
  <c r="L114" i="22"/>
  <c r="Y106" i="22"/>
  <c r="H106" i="22"/>
  <c r="S104" i="22"/>
  <c r="V103" i="22"/>
  <c r="G103" i="22"/>
  <c r="X102" i="22"/>
  <c r="I102" i="22"/>
  <c r="AG95" i="22"/>
  <c r="T95" i="22"/>
  <c r="G95" i="22"/>
  <c r="U93" i="22"/>
  <c r="H93" i="22"/>
  <c r="Z92" i="22"/>
  <c r="L92" i="22"/>
  <c r="AD91" i="22"/>
  <c r="Q91" i="22"/>
  <c r="D91" i="22"/>
  <c r="U82" i="22"/>
  <c r="AB81" i="22"/>
  <c r="P81" i="22"/>
  <c r="D81" i="22"/>
  <c r="W80" i="22"/>
  <c r="K80" i="22"/>
  <c r="N73" i="22"/>
  <c r="R71" i="22"/>
  <c r="F71" i="22"/>
  <c r="K117" i="22"/>
  <c r="O115" i="22"/>
  <c r="X106" i="22"/>
  <c r="G106" i="22"/>
  <c r="AF104" i="22"/>
  <c r="R104" i="22"/>
  <c r="D104" i="22"/>
  <c r="T103" i="22"/>
  <c r="F103" i="22"/>
  <c r="V102" i="22"/>
  <c r="H102" i="22"/>
  <c r="AF95" i="22"/>
  <c r="S95" i="22"/>
  <c r="F95" i="22"/>
  <c r="T93" i="22"/>
  <c r="G93" i="22"/>
  <c r="X92" i="22"/>
  <c r="K92" i="22"/>
  <c r="AC91" i="22"/>
  <c r="P91" i="22"/>
  <c r="P84" i="22"/>
  <c r="D84" i="22"/>
  <c r="T82" i="22"/>
  <c r="H82" i="22"/>
  <c r="AA81" i="22"/>
  <c r="O81" i="22"/>
  <c r="V80" i="22"/>
  <c r="J80" i="22"/>
  <c r="N115" i="22"/>
  <c r="AG113" i="22"/>
  <c r="W106" i="22"/>
  <c r="S103" i="22"/>
  <c r="E103" i="22"/>
  <c r="U102" i="22"/>
  <c r="G102" i="22"/>
  <c r="AE95" i="22"/>
  <c r="R95" i="22"/>
  <c r="E95" i="22"/>
  <c r="W92" i="22"/>
  <c r="J92" i="22"/>
  <c r="AB91" i="22"/>
  <c r="O91" i="22"/>
  <c r="AA84" i="22"/>
  <c r="AE82" i="22"/>
  <c r="G82" i="22"/>
  <c r="Z81" i="22"/>
  <c r="N81" i="22"/>
  <c r="AG80" i="22"/>
  <c r="U80" i="22"/>
  <c r="I80" i="22"/>
  <c r="X73" i="22"/>
  <c r="AF113" i="22"/>
  <c r="V106" i="22"/>
  <c r="AF103" i="22"/>
  <c r="R103" i="22"/>
  <c r="T102" i="22"/>
  <c r="F102" i="22"/>
  <c r="AD95" i="22"/>
  <c r="Q95" i="22"/>
  <c r="D95" i="22"/>
  <c r="AE93" i="22"/>
  <c r="Q93" i="22"/>
  <c r="V92" i="22"/>
  <c r="I92" i="22"/>
  <c r="AA91" i="22"/>
  <c r="N91" i="22"/>
  <c r="Z84" i="22"/>
  <c r="AD82" i="22"/>
  <c r="F82" i="22"/>
  <c r="Y81" i="22"/>
  <c r="M81" i="22"/>
  <c r="AF80" i="22"/>
  <c r="T80" i="22"/>
  <c r="H80" i="22"/>
  <c r="E159" i="22"/>
  <c r="AD113" i="22"/>
  <c r="T106" i="22"/>
  <c r="AC104" i="22"/>
  <c r="O104" i="22"/>
  <c r="AE103" i="22"/>
  <c r="Q103" i="22"/>
  <c r="AG102" i="22"/>
  <c r="S102" i="22"/>
  <c r="E102" i="22"/>
  <c r="AC95" i="22"/>
  <c r="U92" i="22"/>
  <c r="H92" i="22"/>
  <c r="Z91" i="22"/>
  <c r="M91" i="22"/>
  <c r="Y84" i="22"/>
  <c r="M84" i="22"/>
  <c r="X81" i="22"/>
  <c r="L81" i="22"/>
  <c r="AE80" i="22"/>
  <c r="S80" i="22"/>
  <c r="G80" i="22"/>
  <c r="AA147" i="22"/>
  <c r="AF114" i="22"/>
  <c r="AC113" i="22"/>
  <c r="S106" i="22"/>
  <c r="AB104" i="22"/>
  <c r="M104" i="22"/>
  <c r="AD103" i="22"/>
  <c r="O103" i="22"/>
  <c r="AF102" i="22"/>
  <c r="R102" i="22"/>
  <c r="AB95" i="22"/>
  <c r="O95" i="22"/>
  <c r="AG92" i="22"/>
  <c r="T92" i="22"/>
  <c r="G92" i="22"/>
  <c r="Y91" i="22"/>
  <c r="L91" i="22"/>
  <c r="L84" i="22"/>
  <c r="P82" i="22"/>
  <c r="W81" i="22"/>
  <c r="K81" i="22"/>
  <c r="AD80" i="22"/>
  <c r="R80" i="22"/>
  <c r="F80" i="22"/>
  <c r="AG73" i="22"/>
  <c r="U73" i="22"/>
  <c r="I73" i="22"/>
  <c r="M71" i="22"/>
  <c r="AF70" i="22"/>
  <c r="T70" i="22"/>
  <c r="H70" i="22"/>
  <c r="AA69" i="22"/>
  <c r="O69" i="22"/>
  <c r="V62" i="22"/>
  <c r="J62" i="22"/>
  <c r="AC59" i="22"/>
  <c r="Q59" i="22"/>
  <c r="E59" i="22"/>
  <c r="X58" i="22"/>
  <c r="L58" i="22"/>
  <c r="W51" i="22"/>
  <c r="K51" i="22"/>
  <c r="N137" i="22"/>
  <c r="AE114" i="22"/>
  <c r="S113" i="22"/>
  <c r="O106" i="22"/>
  <c r="AA104" i="22"/>
  <c r="AC103" i="22"/>
  <c r="N103" i="22"/>
  <c r="AE102" i="22"/>
  <c r="Q102" i="22"/>
  <c r="AF92" i="22"/>
  <c r="S92" i="22"/>
  <c r="F92" i="22"/>
  <c r="X91" i="22"/>
  <c r="K91" i="22"/>
  <c r="K84" i="22"/>
  <c r="AA82" i="22"/>
  <c r="V81" i="22"/>
  <c r="J81" i="22"/>
  <c r="AC80" i="22"/>
  <c r="Q80" i="22"/>
  <c r="E80" i="22"/>
  <c r="K47" i="22"/>
  <c r="Y47" i="22"/>
  <c r="O48" i="22"/>
  <c r="AB48" i="22"/>
  <c r="AE49" i="22"/>
  <c r="AE187" i="22" s="1"/>
  <c r="P51" i="22"/>
  <c r="AE51" i="22"/>
  <c r="AX51" i="22"/>
  <c r="BN51" i="22"/>
  <c r="N58" i="22"/>
  <c r="AB58" i="22"/>
  <c r="N59" i="22"/>
  <c r="AB59" i="22"/>
  <c r="J60" i="22"/>
  <c r="X60" i="22"/>
  <c r="F62" i="22"/>
  <c r="T62" i="22"/>
  <c r="I69" i="22"/>
  <c r="AC69" i="22"/>
  <c r="M70" i="22"/>
  <c r="AG70" i="22"/>
  <c r="W71" i="22"/>
  <c r="E92" i="22"/>
  <c r="L95" i="22"/>
  <c r="M47" i="22"/>
  <c r="Z47" i="22"/>
  <c r="P48" i="22"/>
  <c r="AC48" i="22"/>
  <c r="F49" i="22"/>
  <c r="F187" i="22" s="1"/>
  <c r="Q51" i="22"/>
  <c r="AF51" i="22"/>
  <c r="AY51" i="22"/>
  <c r="BO51" i="22"/>
  <c r="BO52" i="22" s="1"/>
  <c r="BO53" i="22" s="1"/>
  <c r="BO54" i="22" s="1"/>
  <c r="O58" i="22"/>
  <c r="AC58" i="22"/>
  <c r="O59" i="22"/>
  <c r="AD59" i="22"/>
  <c r="G62" i="22"/>
  <c r="U62" i="22"/>
  <c r="M69" i="22"/>
  <c r="AD69" i="22"/>
  <c r="N70" i="22"/>
  <c r="X71" i="22"/>
  <c r="G73" i="22"/>
  <c r="AF73" i="22"/>
  <c r="D80" i="22"/>
  <c r="R92" i="22"/>
  <c r="Y95" i="22"/>
  <c r="N47" i="22"/>
  <c r="AA47" i="22"/>
  <c r="D48" i="22"/>
  <c r="Q48" i="22"/>
  <c r="AD48" i="22"/>
  <c r="G49" i="22"/>
  <c r="G187" i="22" s="1"/>
  <c r="T49" i="22"/>
  <c r="T187" i="22" s="1"/>
  <c r="D51" i="22"/>
  <c r="S51" i="22"/>
  <c r="AG51" i="22"/>
  <c r="BA51" i="22"/>
  <c r="BP51" i="22"/>
  <c r="BP52" i="22" s="1"/>
  <c r="BP53" i="22" s="1"/>
  <c r="BP54" i="22" s="1"/>
  <c r="P58" i="22"/>
  <c r="AD58" i="22"/>
  <c r="P59" i="22"/>
  <c r="AE59" i="22"/>
  <c r="H62" i="22"/>
  <c r="W62" i="22"/>
  <c r="N69" i="22"/>
  <c r="AE69" i="22"/>
  <c r="R70" i="22"/>
  <c r="D71" i="22"/>
  <c r="H73" i="22"/>
  <c r="P80" i="22"/>
  <c r="AE92" i="22"/>
  <c r="O102" i="22"/>
  <c r="AH116" i="22"/>
  <c r="AH94" i="22"/>
  <c r="AG153" i="22"/>
  <c r="AG142" i="22"/>
  <c r="AG131" i="22"/>
  <c r="AG98" i="22"/>
  <c r="AG87" i="22"/>
  <c r="AH138" i="22"/>
  <c r="AH123" i="22"/>
  <c r="AH156" i="22"/>
  <c r="AH171" i="22"/>
  <c r="BP51" i="21"/>
  <c r="BP52" i="21" s="1"/>
  <c r="AN49" i="21"/>
  <c r="BE45" i="21"/>
  <c r="AW51" i="21"/>
  <c r="AX40" i="21"/>
  <c r="AZ40" i="21"/>
  <c r="AY40" i="21"/>
  <c r="AW40" i="21" s="1"/>
  <c r="AV40" i="21" s="1"/>
  <c r="AZ35" i="21"/>
  <c r="AW35" i="21"/>
  <c r="AV35" i="21" s="1"/>
  <c r="AZ33" i="21"/>
  <c r="AY38" i="21"/>
  <c r="AX38" i="21"/>
  <c r="C161" i="21"/>
  <c r="C172" i="21"/>
  <c r="C139" i="21"/>
  <c r="C128" i="21"/>
  <c r="C84" i="21"/>
  <c r="C95" i="21"/>
  <c r="C117" i="21"/>
  <c r="C106" i="21"/>
  <c r="C51" i="21"/>
  <c r="C73" i="21"/>
  <c r="AY33" i="21"/>
  <c r="AW33" i="21" s="1"/>
  <c r="AV33" i="21" s="1"/>
  <c r="AZ36" i="21"/>
  <c r="AY36" i="21"/>
  <c r="AW36" i="21" s="1"/>
  <c r="AX36" i="21"/>
  <c r="AZ39" i="21"/>
  <c r="AY39" i="21"/>
  <c r="AX39" i="21"/>
  <c r="G58" i="21"/>
  <c r="Q59" i="21"/>
  <c r="O47" i="21"/>
  <c r="P47" i="21"/>
  <c r="AD47" i="21"/>
  <c r="H48" i="21"/>
  <c r="Y48" i="21"/>
  <c r="E49" i="21"/>
  <c r="E187" i="21" s="1"/>
  <c r="T49" i="21"/>
  <c r="T187" i="21" s="1"/>
  <c r="AY51" i="21"/>
  <c r="BS51" i="21"/>
  <c r="BS52" i="21" s="1"/>
  <c r="H58" i="21"/>
  <c r="R59" i="21"/>
  <c r="Y172" i="21"/>
  <c r="M172" i="21"/>
  <c r="AD170" i="21"/>
  <c r="F170" i="21"/>
  <c r="Y169" i="21"/>
  <c r="M169" i="21"/>
  <c r="AF168" i="21"/>
  <c r="T168" i="21"/>
  <c r="H168" i="21"/>
  <c r="W161" i="21"/>
  <c r="K161" i="21"/>
  <c r="AB159" i="21"/>
  <c r="P159" i="21"/>
  <c r="W158" i="21"/>
  <c r="K158" i="21"/>
  <c r="AD157" i="21"/>
  <c r="R157" i="21"/>
  <c r="F157" i="21"/>
  <c r="AG150" i="21"/>
  <c r="X172" i="21"/>
  <c r="Q170" i="21"/>
  <c r="E170" i="21"/>
  <c r="X169" i="21"/>
  <c r="L169" i="21"/>
  <c r="AE168" i="21"/>
  <c r="S168" i="21"/>
  <c r="G168" i="21"/>
  <c r="V161" i="21"/>
  <c r="J161" i="21"/>
  <c r="AA159" i="21"/>
  <c r="O159" i="21"/>
  <c r="V158" i="21"/>
  <c r="J158" i="21"/>
  <c r="AC157" i="21"/>
  <c r="Q157" i="21"/>
  <c r="E157" i="21"/>
  <c r="W172" i="21"/>
  <c r="P170" i="21"/>
  <c r="D170" i="21"/>
  <c r="W169" i="21"/>
  <c r="K169" i="21"/>
  <c r="AD168" i="21"/>
  <c r="R168" i="21"/>
  <c r="F168" i="21"/>
  <c r="AG161" i="21"/>
  <c r="U161" i="21"/>
  <c r="I161" i="21"/>
  <c r="Z159" i="21"/>
  <c r="AG158" i="21"/>
  <c r="U158" i="21"/>
  <c r="I158" i="21"/>
  <c r="AB157" i="21"/>
  <c r="P157" i="21"/>
  <c r="D157" i="21"/>
  <c r="V172" i="21"/>
  <c r="J172" i="21"/>
  <c r="V169" i="21"/>
  <c r="J169" i="21"/>
  <c r="AC168" i="21"/>
  <c r="Q168" i="21"/>
  <c r="E168" i="21"/>
  <c r="AF161" i="21"/>
  <c r="T161" i="21"/>
  <c r="H161" i="21"/>
  <c r="Y159" i="21"/>
  <c r="M159" i="21"/>
  <c r="AF158" i="21"/>
  <c r="T158" i="21"/>
  <c r="H158" i="21"/>
  <c r="AA157" i="21"/>
  <c r="O157" i="21"/>
  <c r="AD150" i="21"/>
  <c r="R150" i="21"/>
  <c r="W148" i="21"/>
  <c r="AD147" i="21"/>
  <c r="R147" i="21"/>
  <c r="F147" i="21"/>
  <c r="Y146" i="21"/>
  <c r="M146" i="21"/>
  <c r="AG172" i="21"/>
  <c r="U172" i="21"/>
  <c r="I172" i="21"/>
  <c r="Z170" i="21"/>
  <c r="AG169" i="21"/>
  <c r="U169" i="21"/>
  <c r="I169" i="21"/>
  <c r="AB168" i="21"/>
  <c r="P168" i="21"/>
  <c r="D168" i="21"/>
  <c r="AE161" i="21"/>
  <c r="S161" i="21"/>
  <c r="G161" i="21"/>
  <c r="X159" i="21"/>
  <c r="AE158" i="21"/>
  <c r="S158" i="21"/>
  <c r="G158" i="21"/>
  <c r="Z157" i="21"/>
  <c r="N157" i="21"/>
  <c r="AF172" i="21"/>
  <c r="T172" i="21"/>
  <c r="H172" i="21"/>
  <c r="M170" i="21"/>
  <c r="AF169" i="21"/>
  <c r="T169" i="21"/>
  <c r="H169" i="21"/>
  <c r="AA168" i="21"/>
  <c r="O168" i="21"/>
  <c r="AD161" i="21"/>
  <c r="R161" i="21"/>
  <c r="F161" i="21"/>
  <c r="W159" i="21"/>
  <c r="AD158" i="21"/>
  <c r="R158" i="21"/>
  <c r="F158" i="21"/>
  <c r="Y157" i="21"/>
  <c r="M157" i="21"/>
  <c r="AE172" i="21"/>
  <c r="G172" i="21"/>
  <c r="AE169" i="21"/>
  <c r="S169" i="21"/>
  <c r="G169" i="21"/>
  <c r="Z168" i="21"/>
  <c r="N168" i="21"/>
  <c r="AC161" i="21"/>
  <c r="Q161" i="21"/>
  <c r="V159" i="21"/>
  <c r="J159" i="21"/>
  <c r="AC158" i="21"/>
  <c r="Q158" i="21"/>
  <c r="E158" i="21"/>
  <c r="X157" i="21"/>
  <c r="L157" i="21"/>
  <c r="AA150" i="21"/>
  <c r="O150" i="21"/>
  <c r="AF148" i="21"/>
  <c r="T148" i="21"/>
  <c r="AA147" i="21"/>
  <c r="O147" i="21"/>
  <c r="V146" i="21"/>
  <c r="J146" i="21"/>
  <c r="Y139" i="21"/>
  <c r="M139" i="21"/>
  <c r="R137" i="21"/>
  <c r="F137" i="21"/>
  <c r="Y136" i="21"/>
  <c r="M136" i="21"/>
  <c r="AF135" i="21"/>
  <c r="AD172" i="21"/>
  <c r="R172" i="21"/>
  <c r="F172" i="21"/>
  <c r="AD169" i="21"/>
  <c r="R169" i="21"/>
  <c r="F169" i="21"/>
  <c r="Y168" i="21"/>
  <c r="M168" i="21"/>
  <c r="AB161" i="21"/>
  <c r="P161" i="21"/>
  <c r="AG159" i="21"/>
  <c r="U159" i="21"/>
  <c r="I159" i="21"/>
  <c r="AB158" i="21"/>
  <c r="P158" i="21"/>
  <c r="D158" i="21"/>
  <c r="W157" i="21"/>
  <c r="K157" i="21"/>
  <c r="Z150" i="21"/>
  <c r="N150" i="21"/>
  <c r="AE148" i="21"/>
  <c r="S148" i="21"/>
  <c r="G148" i="21"/>
  <c r="Z147" i="21"/>
  <c r="N147" i="21"/>
  <c r="AG146" i="21"/>
  <c r="U146" i="21"/>
  <c r="I146" i="21"/>
  <c r="Q172" i="21"/>
  <c r="E172" i="21"/>
  <c r="J170" i="21"/>
  <c r="AC169" i="21"/>
  <c r="Q169" i="21"/>
  <c r="E169" i="21"/>
  <c r="X168" i="21"/>
  <c r="L168" i="21"/>
  <c r="AA161" i="21"/>
  <c r="O161" i="21"/>
  <c r="AF159" i="21"/>
  <c r="T159" i="21"/>
  <c r="AA158" i="21"/>
  <c r="O158" i="21"/>
  <c r="V157" i="21"/>
  <c r="J157" i="21"/>
  <c r="Y150" i="21"/>
  <c r="AD148" i="21"/>
  <c r="R148" i="21"/>
  <c r="Y147" i="21"/>
  <c r="M147" i="21"/>
  <c r="AF146" i="21"/>
  <c r="T146" i="21"/>
  <c r="H146" i="21"/>
  <c r="AB172" i="21"/>
  <c r="P172" i="21"/>
  <c r="D172" i="21"/>
  <c r="AG170" i="21"/>
  <c r="U170" i="21"/>
  <c r="I170" i="21"/>
  <c r="AB169" i="21"/>
  <c r="P169" i="21"/>
  <c r="D169" i="21"/>
  <c r="W168" i="21"/>
  <c r="K168" i="21"/>
  <c r="Z161" i="21"/>
  <c r="AE159" i="21"/>
  <c r="S159" i="21"/>
  <c r="Z158" i="21"/>
  <c r="N158" i="21"/>
  <c r="AG157" i="21"/>
  <c r="U157" i="21"/>
  <c r="I157" i="21"/>
  <c r="AA172" i="21"/>
  <c r="H170" i="21"/>
  <c r="AA169" i="21"/>
  <c r="O169" i="21"/>
  <c r="V168" i="21"/>
  <c r="J168" i="21"/>
  <c r="Y161" i="21"/>
  <c r="M161" i="21"/>
  <c r="AD159" i="21"/>
  <c r="R159" i="21"/>
  <c r="F159" i="21"/>
  <c r="Y158" i="21"/>
  <c r="M158" i="21"/>
  <c r="AF157" i="21"/>
  <c r="T157" i="21"/>
  <c r="H157" i="21"/>
  <c r="W150" i="21"/>
  <c r="AB148" i="21"/>
  <c r="P148" i="21"/>
  <c r="W147" i="21"/>
  <c r="K147" i="21"/>
  <c r="AD146" i="21"/>
  <c r="R146" i="21"/>
  <c r="F146" i="21"/>
  <c r="X161" i="21"/>
  <c r="X158" i="21"/>
  <c r="AB150" i="21"/>
  <c r="G150" i="21"/>
  <c r="AC148" i="21"/>
  <c r="T147" i="21"/>
  <c r="AE146" i="21"/>
  <c r="L146" i="21"/>
  <c r="AC139" i="21"/>
  <c r="P139" i="21"/>
  <c r="Q137" i="21"/>
  <c r="D137" i="21"/>
  <c r="V136" i="21"/>
  <c r="I136" i="21"/>
  <c r="AA135" i="21"/>
  <c r="O135" i="21"/>
  <c r="AE170" i="21"/>
  <c r="L161" i="21"/>
  <c r="L158" i="21"/>
  <c r="X150" i="21"/>
  <c r="AA148" i="21"/>
  <c r="S147" i="21"/>
  <c r="AC146" i="21"/>
  <c r="K146" i="21"/>
  <c r="O139" i="21"/>
  <c r="AC137" i="21"/>
  <c r="P137" i="21"/>
  <c r="U136" i="21"/>
  <c r="H136" i="21"/>
  <c r="Z135" i="21"/>
  <c r="N135" i="21"/>
  <c r="AC128" i="21"/>
  <c r="Q128" i="21"/>
  <c r="E128" i="21"/>
  <c r="V150" i="21"/>
  <c r="Z148" i="21"/>
  <c r="Q147" i="21"/>
  <c r="AB146" i="21"/>
  <c r="G146" i="21"/>
  <c r="N139" i="21"/>
  <c r="O137" i="21"/>
  <c r="AG136" i="21"/>
  <c r="T136" i="21"/>
  <c r="G136" i="21"/>
  <c r="Y135" i="21"/>
  <c r="M135" i="21"/>
  <c r="AB128" i="21"/>
  <c r="P128" i="21"/>
  <c r="D128" i="21"/>
  <c r="AG126" i="21"/>
  <c r="I126" i="21"/>
  <c r="Z172" i="21"/>
  <c r="G170" i="21"/>
  <c r="AE157" i="21"/>
  <c r="U150" i="21"/>
  <c r="Y148" i="21"/>
  <c r="P147" i="21"/>
  <c r="AA146" i="21"/>
  <c r="E146" i="21"/>
  <c r="Z139" i="21"/>
  <c r="L139" i="21"/>
  <c r="N137" i="21"/>
  <c r="AF136" i="21"/>
  <c r="S136" i="21"/>
  <c r="F136" i="21"/>
  <c r="X135" i="21"/>
  <c r="L135" i="21"/>
  <c r="AA128" i="21"/>
  <c r="O128" i="21"/>
  <c r="AF126" i="21"/>
  <c r="H126" i="21"/>
  <c r="AA125" i="21"/>
  <c r="O125" i="21"/>
  <c r="V124" i="21"/>
  <c r="J124" i="21"/>
  <c r="Y117" i="21"/>
  <c r="M117" i="21"/>
  <c r="Y114" i="21"/>
  <c r="M114" i="21"/>
  <c r="AF113" i="21"/>
  <c r="T113" i="21"/>
  <c r="H113" i="21"/>
  <c r="W106" i="21"/>
  <c r="N172" i="21"/>
  <c r="Z169" i="21"/>
  <c r="S157" i="21"/>
  <c r="T150" i="21"/>
  <c r="X148" i="21"/>
  <c r="AG147" i="21"/>
  <c r="L147" i="21"/>
  <c r="Z146" i="21"/>
  <c r="D146" i="21"/>
  <c r="K139" i="21"/>
  <c r="Z137" i="21"/>
  <c r="M137" i="21"/>
  <c r="AE136" i="21"/>
  <c r="R136" i="21"/>
  <c r="E136" i="21"/>
  <c r="W135" i="21"/>
  <c r="K135" i="21"/>
  <c r="Z128" i="21"/>
  <c r="N128" i="21"/>
  <c r="S126" i="21"/>
  <c r="G126" i="21"/>
  <c r="Z125" i="21"/>
  <c r="N125" i="21"/>
  <c r="AG124" i="21"/>
  <c r="U124" i="21"/>
  <c r="I124" i="21"/>
  <c r="X117" i="21"/>
  <c r="L117" i="21"/>
  <c r="N169" i="21"/>
  <c r="G157" i="21"/>
  <c r="S150" i="21"/>
  <c r="V148" i="21"/>
  <c r="AF147" i="21"/>
  <c r="J147" i="21"/>
  <c r="X146" i="21"/>
  <c r="J139" i="21"/>
  <c r="Y137" i="21"/>
  <c r="L137" i="21"/>
  <c r="AD136" i="21"/>
  <c r="Q136" i="21"/>
  <c r="D136" i="21"/>
  <c r="V135" i="21"/>
  <c r="J135" i="21"/>
  <c r="Q150" i="21"/>
  <c r="U148" i="21"/>
  <c r="AE147" i="21"/>
  <c r="I147" i="21"/>
  <c r="W146" i="21"/>
  <c r="I139" i="21"/>
  <c r="K137" i="21"/>
  <c r="AC136" i="21"/>
  <c r="P136" i="21"/>
  <c r="U135" i="21"/>
  <c r="I135" i="21"/>
  <c r="AG168" i="21"/>
  <c r="P150" i="21"/>
  <c r="Q148" i="21"/>
  <c r="AC147" i="21"/>
  <c r="H147" i="21"/>
  <c r="S146" i="21"/>
  <c r="H139" i="21"/>
  <c r="J137" i="21"/>
  <c r="AB136" i="21"/>
  <c r="O136" i="21"/>
  <c r="AG135" i="21"/>
  <c r="T135" i="21"/>
  <c r="H135" i="21"/>
  <c r="W128" i="21"/>
  <c r="K128" i="21"/>
  <c r="AB126" i="21"/>
  <c r="D126" i="21"/>
  <c r="W125" i="21"/>
  <c r="K125" i="21"/>
  <c r="AD124" i="21"/>
  <c r="R124" i="21"/>
  <c r="F124" i="21"/>
  <c r="AG117" i="21"/>
  <c r="U117" i="21"/>
  <c r="I117" i="21"/>
  <c r="N115" i="21"/>
  <c r="AG114" i="21"/>
  <c r="U114" i="21"/>
  <c r="I114" i="21"/>
  <c r="AB113" i="21"/>
  <c r="P113" i="21"/>
  <c r="D113" i="21"/>
  <c r="U168" i="21"/>
  <c r="O148" i="21"/>
  <c r="AB147" i="21"/>
  <c r="G147" i="21"/>
  <c r="Q146" i="21"/>
  <c r="AG139" i="21"/>
  <c r="G139" i="21"/>
  <c r="I137" i="21"/>
  <c r="I168" i="21"/>
  <c r="AC159" i="21"/>
  <c r="AF150" i="21"/>
  <c r="N148" i="21"/>
  <c r="X147" i="21"/>
  <c r="E147" i="21"/>
  <c r="P146" i="21"/>
  <c r="AF139" i="21"/>
  <c r="S139" i="21"/>
  <c r="F139" i="21"/>
  <c r="H137" i="21"/>
  <c r="Z136" i="21"/>
  <c r="L136" i="21"/>
  <c r="AD135" i="21"/>
  <c r="R135" i="21"/>
  <c r="F135" i="21"/>
  <c r="AG128" i="21"/>
  <c r="U128" i="21"/>
  <c r="I128" i="21"/>
  <c r="N126" i="21"/>
  <c r="AG125" i="21"/>
  <c r="U125" i="21"/>
  <c r="I125" i="21"/>
  <c r="AB124" i="21"/>
  <c r="P124" i="21"/>
  <c r="D124" i="21"/>
  <c r="AE117" i="21"/>
  <c r="S117" i="21"/>
  <c r="G117" i="21"/>
  <c r="X115" i="21"/>
  <c r="L115" i="21"/>
  <c r="AE114" i="21"/>
  <c r="S114" i="21"/>
  <c r="G114" i="21"/>
  <c r="Z113" i="21"/>
  <c r="N113" i="21"/>
  <c r="Q159" i="21"/>
  <c r="AE150" i="21"/>
  <c r="AG148" i="21"/>
  <c r="E137" i="21"/>
  <c r="Q135" i="21"/>
  <c r="AE128" i="21"/>
  <c r="G128" i="21"/>
  <c r="J126" i="21"/>
  <c r="T125" i="21"/>
  <c r="D125" i="21"/>
  <c r="Q124" i="21"/>
  <c r="O117" i="21"/>
  <c r="I115" i="21"/>
  <c r="X114" i="21"/>
  <c r="H114" i="21"/>
  <c r="W113" i="21"/>
  <c r="G113" i="21"/>
  <c r="AC150" i="21"/>
  <c r="AA136" i="21"/>
  <c r="P135" i="21"/>
  <c r="AD128" i="21"/>
  <c r="F128" i="21"/>
  <c r="AA126" i="21"/>
  <c r="S125" i="21"/>
  <c r="O124" i="21"/>
  <c r="AD117" i="21"/>
  <c r="N117" i="21"/>
  <c r="W115" i="21"/>
  <c r="H115" i="21"/>
  <c r="W114" i="21"/>
  <c r="F114" i="21"/>
  <c r="V113" i="21"/>
  <c r="F113" i="21"/>
  <c r="AG106" i="21"/>
  <c r="T106" i="21"/>
  <c r="H106" i="21"/>
  <c r="Y104" i="21"/>
  <c r="AF103" i="21"/>
  <c r="T103" i="21"/>
  <c r="H103" i="21"/>
  <c r="AA102" i="21"/>
  <c r="O102" i="21"/>
  <c r="AD95" i="21"/>
  <c r="R95" i="21"/>
  <c r="F95" i="21"/>
  <c r="AC92" i="21"/>
  <c r="Q92" i="21"/>
  <c r="E92" i="21"/>
  <c r="X91" i="21"/>
  <c r="L91" i="21"/>
  <c r="AA84" i="21"/>
  <c r="O84" i="21"/>
  <c r="S82" i="21"/>
  <c r="X136" i="21"/>
  <c r="G135" i="21"/>
  <c r="Y128" i="21"/>
  <c r="E126" i="21"/>
  <c r="R125" i="21"/>
  <c r="AF124" i="21"/>
  <c r="N124" i="21"/>
  <c r="AC117" i="21"/>
  <c r="K117" i="21"/>
  <c r="V115" i="21"/>
  <c r="V114" i="21"/>
  <c r="E114" i="21"/>
  <c r="U113" i="21"/>
  <c r="E113" i="21"/>
  <c r="AF106" i="21"/>
  <c r="S106" i="21"/>
  <c r="G106" i="21"/>
  <c r="X104" i="21"/>
  <c r="L104" i="21"/>
  <c r="AE103" i="21"/>
  <c r="S103" i="21"/>
  <c r="G103" i="21"/>
  <c r="Z102" i="21"/>
  <c r="N102" i="21"/>
  <c r="AC95" i="21"/>
  <c r="Q95" i="21"/>
  <c r="E95" i="21"/>
  <c r="AG93" i="21"/>
  <c r="U93" i="21"/>
  <c r="V147" i="21"/>
  <c r="W136" i="21"/>
  <c r="E135" i="21"/>
  <c r="X128" i="21"/>
  <c r="X126" i="21"/>
  <c r="Q125" i="21"/>
  <c r="AE124" i="21"/>
  <c r="M124" i="21"/>
  <c r="AB117" i="21"/>
  <c r="J117" i="21"/>
  <c r="E115" i="21"/>
  <c r="T114" i="21"/>
  <c r="D114" i="21"/>
  <c r="S113" i="21"/>
  <c r="U147" i="21"/>
  <c r="N136" i="21"/>
  <c r="D135" i="21"/>
  <c r="V128" i="21"/>
  <c r="W126" i="21"/>
  <c r="AF125" i="21"/>
  <c r="P125" i="21"/>
  <c r="AC124" i="21"/>
  <c r="L124" i="21"/>
  <c r="AA117" i="21"/>
  <c r="H117" i="21"/>
  <c r="T115" i="21"/>
  <c r="D115" i="21"/>
  <c r="R114" i="21"/>
  <c r="R113" i="21"/>
  <c r="AD106" i="21"/>
  <c r="E106" i="21"/>
  <c r="AC103" i="21"/>
  <c r="Q103" i="21"/>
  <c r="E103" i="21"/>
  <c r="X102" i="21"/>
  <c r="L102" i="21"/>
  <c r="AA95" i="21"/>
  <c r="O95" i="21"/>
  <c r="D147" i="21"/>
  <c r="K136" i="21"/>
  <c r="T128" i="21"/>
  <c r="V126" i="21"/>
  <c r="AE125" i="21"/>
  <c r="M125" i="21"/>
  <c r="AA124" i="21"/>
  <c r="K124" i="21"/>
  <c r="Z117" i="21"/>
  <c r="F117" i="21"/>
  <c r="S115" i="21"/>
  <c r="Q114" i="21"/>
  <c r="AG113" i="21"/>
  <c r="Q113" i="21"/>
  <c r="J136" i="21"/>
  <c r="S128" i="21"/>
  <c r="R126" i="21"/>
  <c r="AD125" i="21"/>
  <c r="L125" i="21"/>
  <c r="Z124" i="21"/>
  <c r="H124" i="21"/>
  <c r="W117" i="21"/>
  <c r="E117" i="21"/>
  <c r="AG115" i="21"/>
  <c r="AF114" i="21"/>
  <c r="P114" i="21"/>
  <c r="AE113" i="21"/>
  <c r="O113" i="21"/>
  <c r="O146" i="21"/>
  <c r="AG137" i="21"/>
  <c r="R128" i="21"/>
  <c r="AC125" i="21"/>
  <c r="J125" i="21"/>
  <c r="Y124" i="21"/>
  <c r="G124" i="21"/>
  <c r="V117" i="21"/>
  <c r="D117" i="21"/>
  <c r="AD114" i="21"/>
  <c r="O114" i="21"/>
  <c r="AD113" i="21"/>
  <c r="M113" i="21"/>
  <c r="AA106" i="21"/>
  <c r="N106" i="21"/>
  <c r="AE104" i="21"/>
  <c r="G104" i="21"/>
  <c r="Z103" i="21"/>
  <c r="N103" i="21"/>
  <c r="AG102" i="21"/>
  <c r="U102" i="21"/>
  <c r="I102" i="21"/>
  <c r="N146" i="21"/>
  <c r="R139" i="21"/>
  <c r="AF137" i="21"/>
  <c r="AE135" i="21"/>
  <c r="M128" i="21"/>
  <c r="AB125" i="21"/>
  <c r="H125" i="21"/>
  <c r="X124" i="21"/>
  <c r="E124" i="21"/>
  <c r="T117" i="21"/>
  <c r="AC114" i="21"/>
  <c r="N114" i="21"/>
  <c r="AC113" i="21"/>
  <c r="L113" i="21"/>
  <c r="M106" i="21"/>
  <c r="AD104" i="21"/>
  <c r="F104" i="21"/>
  <c r="Y103" i="21"/>
  <c r="M103" i="21"/>
  <c r="AF102" i="21"/>
  <c r="T102" i="21"/>
  <c r="H102" i="21"/>
  <c r="W95" i="21"/>
  <c r="Q139" i="21"/>
  <c r="AC135" i="21"/>
  <c r="L128" i="21"/>
  <c r="M126" i="21"/>
  <c r="Y125" i="21"/>
  <c r="G125" i="21"/>
  <c r="W124" i="21"/>
  <c r="M115" i="21"/>
  <c r="AB114" i="21"/>
  <c r="L114" i="21"/>
  <c r="AA113" i="21"/>
  <c r="K113" i="21"/>
  <c r="Y106" i="21"/>
  <c r="L106" i="21"/>
  <c r="E139" i="21"/>
  <c r="S137" i="21"/>
  <c r="AB135" i="21"/>
  <c r="J128" i="21"/>
  <c r="X125" i="21"/>
  <c r="F125" i="21"/>
  <c r="T124" i="21"/>
  <c r="Q117" i="21"/>
  <c r="S135" i="21"/>
  <c r="AE106" i="21"/>
  <c r="F106" i="21"/>
  <c r="AC104" i="21"/>
  <c r="U103" i="21"/>
  <c r="AD102" i="21"/>
  <c r="J102" i="21"/>
  <c r="I95" i="21"/>
  <c r="AF93" i="21"/>
  <c r="R93" i="21"/>
  <c r="V92" i="21"/>
  <c r="I92" i="21"/>
  <c r="AA91" i="21"/>
  <c r="N91" i="21"/>
  <c r="Y113" i="21"/>
  <c r="AC106" i="21"/>
  <c r="D106" i="21"/>
  <c r="AB104" i="21"/>
  <c r="R103" i="21"/>
  <c r="AC102" i="21"/>
  <c r="G102" i="21"/>
  <c r="X95" i="21"/>
  <c r="H95" i="21"/>
  <c r="AE93" i="21"/>
  <c r="Q93" i="21"/>
  <c r="U92" i="21"/>
  <c r="H92" i="21"/>
  <c r="Z91" i="21"/>
  <c r="M91" i="21"/>
  <c r="AC84" i="21"/>
  <c r="P84" i="21"/>
  <c r="D82" i="21"/>
  <c r="W81" i="21"/>
  <c r="K81" i="21"/>
  <c r="AD80" i="21"/>
  <c r="R80" i="21"/>
  <c r="F80" i="21"/>
  <c r="AG73" i="21"/>
  <c r="U73" i="21"/>
  <c r="I73" i="21"/>
  <c r="Y71" i="21"/>
  <c r="AF70" i="21"/>
  <c r="T70" i="21"/>
  <c r="H70" i="21"/>
  <c r="AA69" i="21"/>
  <c r="O69" i="21"/>
  <c r="V62" i="21"/>
  <c r="D139" i="21"/>
  <c r="X113" i="21"/>
  <c r="AB106" i="21"/>
  <c r="AA104" i="21"/>
  <c r="P103" i="21"/>
  <c r="AB102" i="21"/>
  <c r="F102" i="21"/>
  <c r="V95" i="21"/>
  <c r="AD93" i="21"/>
  <c r="P93" i="21"/>
  <c r="AG92" i="21"/>
  <c r="T92" i="21"/>
  <c r="G92" i="21"/>
  <c r="Y91" i="21"/>
  <c r="K91" i="21"/>
  <c r="AB84" i="21"/>
  <c r="N84" i="21"/>
  <c r="AB82" i="21"/>
  <c r="V81" i="21"/>
  <c r="J81" i="21"/>
  <c r="AC80" i="21"/>
  <c r="Q80" i="21"/>
  <c r="E80" i="21"/>
  <c r="AF73" i="21"/>
  <c r="T73" i="21"/>
  <c r="H73" i="21"/>
  <c r="J113" i="21"/>
  <c r="X106" i="21"/>
  <c r="O103" i="21"/>
  <c r="Y102" i="21"/>
  <c r="E102" i="21"/>
  <c r="U95" i="21"/>
  <c r="D95" i="21"/>
  <c r="AC93" i="21"/>
  <c r="O93" i="21"/>
  <c r="AF92" i="21"/>
  <c r="S92" i="21"/>
  <c r="F92" i="21"/>
  <c r="W91" i="21"/>
  <c r="J91" i="21"/>
  <c r="AB115" i="21"/>
  <c r="I113" i="21"/>
  <c r="V106" i="21"/>
  <c r="L103" i="21"/>
  <c r="W102" i="21"/>
  <c r="D102" i="21"/>
  <c r="T95" i="21"/>
  <c r="AE92" i="21"/>
  <c r="R92" i="21"/>
  <c r="D92" i="21"/>
  <c r="V91" i="21"/>
  <c r="I91" i="21"/>
  <c r="Y84" i="21"/>
  <c r="L84" i="21"/>
  <c r="M82" i="21"/>
  <c r="AF81" i="21"/>
  <c r="T81" i="21"/>
  <c r="H81" i="21"/>
  <c r="AA80" i="21"/>
  <c r="O80" i="21"/>
  <c r="AD73" i="21"/>
  <c r="R73" i="21"/>
  <c r="F73" i="21"/>
  <c r="V71" i="21"/>
  <c r="AC70" i="21"/>
  <c r="Q70" i="21"/>
  <c r="E70" i="21"/>
  <c r="X69" i="21"/>
  <c r="L69" i="21"/>
  <c r="S62" i="21"/>
  <c r="AA115" i="21"/>
  <c r="U106" i="21"/>
  <c r="U104" i="21"/>
  <c r="AG103" i="21"/>
  <c r="K103" i="21"/>
  <c r="V102" i="21"/>
  <c r="S95" i="21"/>
  <c r="AD92" i="21"/>
  <c r="P92" i="21"/>
  <c r="V125" i="21"/>
  <c r="K115" i="21"/>
  <c r="R106" i="21"/>
  <c r="T104" i="21"/>
  <c r="AD103" i="21"/>
  <c r="J103" i="21"/>
  <c r="S102" i="21"/>
  <c r="P95" i="21"/>
  <c r="Z93" i="21"/>
  <c r="L93" i="21"/>
  <c r="AB92" i="21"/>
  <c r="O92" i="21"/>
  <c r="AF128" i="21"/>
  <c r="E125" i="21"/>
  <c r="J115" i="21"/>
  <c r="AB103" i="21"/>
  <c r="I103" i="21"/>
  <c r="R102" i="21"/>
  <c r="AG95" i="21"/>
  <c r="N95" i="21"/>
  <c r="K93" i="21"/>
  <c r="AA92" i="21"/>
  <c r="N92" i="21"/>
  <c r="AF91" i="21"/>
  <c r="S91" i="21"/>
  <c r="F91" i="21"/>
  <c r="V84" i="21"/>
  <c r="I84" i="21"/>
  <c r="W82" i="21"/>
  <c r="J82" i="21"/>
  <c r="AC81" i="21"/>
  <c r="Q81" i="21"/>
  <c r="E81" i="21"/>
  <c r="X80" i="21"/>
  <c r="L80" i="21"/>
  <c r="H128" i="21"/>
  <c r="P117" i="21"/>
  <c r="AA114" i="21"/>
  <c r="O106" i="21"/>
  <c r="AA103" i="21"/>
  <c r="F103" i="21"/>
  <c r="Q102" i="21"/>
  <c r="AF95" i="21"/>
  <c r="M95" i="21"/>
  <c r="H93" i="21"/>
  <c r="Z92" i="21"/>
  <c r="M92" i="21"/>
  <c r="AE91" i="21"/>
  <c r="R91" i="21"/>
  <c r="E91" i="21"/>
  <c r="U84" i="21"/>
  <c r="H84" i="21"/>
  <c r="V82" i="21"/>
  <c r="I82" i="21"/>
  <c r="AB81" i="21"/>
  <c r="P81" i="21"/>
  <c r="D81" i="21"/>
  <c r="W80" i="21"/>
  <c r="K80" i="21"/>
  <c r="S124" i="21"/>
  <c r="Z114" i="21"/>
  <c r="K106" i="21"/>
  <c r="O104" i="21"/>
  <c r="X103" i="21"/>
  <c r="D103" i="21"/>
  <c r="P102" i="21"/>
  <c r="AE95" i="21"/>
  <c r="L95" i="21"/>
  <c r="G137" i="21"/>
  <c r="K114" i="21"/>
  <c r="J106" i="21"/>
  <c r="AG104" i="21"/>
  <c r="N104" i="21"/>
  <c r="W103" i="21"/>
  <c r="M102" i="21"/>
  <c r="AB95" i="21"/>
  <c r="K95" i="21"/>
  <c r="T93" i="21"/>
  <c r="F93" i="21"/>
  <c r="X92" i="21"/>
  <c r="K92" i="21"/>
  <c r="AC91" i="21"/>
  <c r="P91" i="21"/>
  <c r="AF84" i="21"/>
  <c r="S84" i="21"/>
  <c r="F84" i="21"/>
  <c r="AG82" i="21"/>
  <c r="Z81" i="21"/>
  <c r="N81" i="21"/>
  <c r="AG80" i="21"/>
  <c r="U80" i="21"/>
  <c r="I80" i="21"/>
  <c r="X73" i="21"/>
  <c r="L73" i="21"/>
  <c r="V103" i="21"/>
  <c r="Q91" i="21"/>
  <c r="Q84" i="21"/>
  <c r="S81" i="21"/>
  <c r="Z80" i="21"/>
  <c r="Q73" i="21"/>
  <c r="L71" i="21"/>
  <c r="AB70" i="21"/>
  <c r="N70" i="21"/>
  <c r="AE69" i="21"/>
  <c r="Q69" i="21"/>
  <c r="N60" i="21"/>
  <c r="W59" i="21"/>
  <c r="K59" i="21"/>
  <c r="AD58" i="21"/>
  <c r="R58" i="21"/>
  <c r="F58" i="21"/>
  <c r="O91" i="21"/>
  <c r="M84" i="21"/>
  <c r="R81" i="21"/>
  <c r="Y80" i="21"/>
  <c r="P73" i="21"/>
  <c r="Z71" i="21"/>
  <c r="K71" i="21"/>
  <c r="AA70" i="21"/>
  <c r="M70" i="21"/>
  <c r="AD69" i="21"/>
  <c r="P69" i="21"/>
  <c r="AG62" i="21"/>
  <c r="R62" i="21"/>
  <c r="D62" i="21"/>
  <c r="M60" i="21"/>
  <c r="V59" i="21"/>
  <c r="J59" i="21"/>
  <c r="AC58" i="21"/>
  <c r="Q58" i="21"/>
  <c r="E58" i="21"/>
  <c r="P51" i="21"/>
  <c r="D51" i="21"/>
  <c r="V48" i="21"/>
  <c r="J48" i="21"/>
  <c r="V47" i="21"/>
  <c r="J47" i="21"/>
  <c r="I106" i="21"/>
  <c r="AE102" i="21"/>
  <c r="Z95" i="21"/>
  <c r="Y92" i="21"/>
  <c r="H91" i="21"/>
  <c r="K84" i="21"/>
  <c r="H82" i="21"/>
  <c r="O81" i="21"/>
  <c r="V80" i="21"/>
  <c r="O73" i="21"/>
  <c r="Z70" i="21"/>
  <c r="L70" i="21"/>
  <c r="AC69" i="21"/>
  <c r="N69" i="21"/>
  <c r="AF62" i="21"/>
  <c r="L60" i="21"/>
  <c r="AG59" i="21"/>
  <c r="U59" i="21"/>
  <c r="I59" i="21"/>
  <c r="AB58" i="21"/>
  <c r="P58" i="21"/>
  <c r="D58" i="21"/>
  <c r="O51" i="21"/>
  <c r="AG49" i="21"/>
  <c r="AG187" i="21" s="1"/>
  <c r="U49" i="21"/>
  <c r="U187" i="21" s="1"/>
  <c r="AG48" i="21"/>
  <c r="U48" i="21"/>
  <c r="I48" i="21"/>
  <c r="AG47" i="21"/>
  <c r="U47" i="21"/>
  <c r="I47" i="21"/>
  <c r="K102" i="21"/>
  <c r="J95" i="21"/>
  <c r="W92" i="21"/>
  <c r="G91" i="21"/>
  <c r="J84" i="21"/>
  <c r="AF82" i="21"/>
  <c r="M81" i="21"/>
  <c r="T80" i="21"/>
  <c r="AE73" i="21"/>
  <c r="N73" i="21"/>
  <c r="W71" i="21"/>
  <c r="Y70" i="21"/>
  <c r="K70" i="21"/>
  <c r="AB69" i="21"/>
  <c r="M69" i="21"/>
  <c r="W60" i="21"/>
  <c r="AF59" i="21"/>
  <c r="T59" i="21"/>
  <c r="H59" i="21"/>
  <c r="AA58" i="21"/>
  <c r="O58" i="21"/>
  <c r="J114" i="21"/>
  <c r="L92" i="21"/>
  <c r="D91" i="21"/>
  <c r="AG84" i="21"/>
  <c r="G84" i="21"/>
  <c r="E82" i="21"/>
  <c r="L81" i="21"/>
  <c r="S80" i="21"/>
  <c r="AC73" i="21"/>
  <c r="M73" i="21"/>
  <c r="U71" i="21"/>
  <c r="G71" i="21"/>
  <c r="X70" i="21"/>
  <c r="J70" i="21"/>
  <c r="Z69" i="21"/>
  <c r="K69" i="21"/>
  <c r="V60" i="21"/>
  <c r="AE59" i="21"/>
  <c r="S59" i="21"/>
  <c r="G59" i="21"/>
  <c r="Z58" i="21"/>
  <c r="N58" i="21"/>
  <c r="Y51" i="21"/>
  <c r="J92" i="21"/>
  <c r="AE84" i="21"/>
  <c r="E84" i="21"/>
  <c r="AA82" i="21"/>
  <c r="AG81" i="21"/>
  <c r="I81" i="21"/>
  <c r="P80" i="21"/>
  <c r="AB73" i="21"/>
  <c r="K73" i="21"/>
  <c r="T71" i="21"/>
  <c r="F71" i="21"/>
  <c r="W70" i="21"/>
  <c r="I70" i="21"/>
  <c r="Y69" i="21"/>
  <c r="J69" i="21"/>
  <c r="AB62" i="21"/>
  <c r="N62" i="21"/>
  <c r="AG60" i="21"/>
  <c r="AD84" i="21"/>
  <c r="D84" i="21"/>
  <c r="Y82" i="21"/>
  <c r="AE81" i="21"/>
  <c r="G81" i="21"/>
  <c r="N80" i="21"/>
  <c r="AA73" i="21"/>
  <c r="J73" i="21"/>
  <c r="V70" i="21"/>
  <c r="G70" i="21"/>
  <c r="W69" i="21"/>
  <c r="I69" i="21"/>
  <c r="AG91" i="21"/>
  <c r="Z84" i="21"/>
  <c r="X82" i="21"/>
  <c r="AD81" i="21"/>
  <c r="F81" i="21"/>
  <c r="M80" i="21"/>
  <c r="Z73" i="21"/>
  <c r="G73" i="21"/>
  <c r="AG71" i="21"/>
  <c r="U70" i="21"/>
  <c r="F70" i="21"/>
  <c r="V69" i="21"/>
  <c r="H69" i="21"/>
  <c r="L62" i="21"/>
  <c r="AB59" i="21"/>
  <c r="P59" i="21"/>
  <c r="D59" i="21"/>
  <c r="W58" i="21"/>
  <c r="K58" i="21"/>
  <c r="AD91" i="21"/>
  <c r="X84" i="21"/>
  <c r="AA81" i="21"/>
  <c r="J80" i="21"/>
  <c r="Y73" i="21"/>
  <c r="E73" i="21"/>
  <c r="Q71" i="21"/>
  <c r="S70" i="21"/>
  <c r="D70" i="21"/>
  <c r="U69" i="21"/>
  <c r="G69" i="21"/>
  <c r="K62" i="21"/>
  <c r="R60" i="21"/>
  <c r="AA59" i="21"/>
  <c r="O59" i="21"/>
  <c r="V58" i="21"/>
  <c r="J58" i="21"/>
  <c r="AG51" i="21"/>
  <c r="U51" i="21"/>
  <c r="O49" i="21"/>
  <c r="O187" i="21" s="1"/>
  <c r="AA48" i="21"/>
  <c r="O48" i="21"/>
  <c r="AB91" i="21"/>
  <c r="W84" i="21"/>
  <c r="R82" i="21"/>
  <c r="Y81" i="21"/>
  <c r="AF80" i="21"/>
  <c r="H80" i="21"/>
  <c r="W73" i="21"/>
  <c r="D73" i="21"/>
  <c r="AE71" i="21"/>
  <c r="P71" i="21"/>
  <c r="AG70" i="21"/>
  <c r="R70" i="21"/>
  <c r="T69" i="21"/>
  <c r="F69" i="21"/>
  <c r="U91" i="21"/>
  <c r="T84" i="21"/>
  <c r="X81" i="21"/>
  <c r="AE80" i="21"/>
  <c r="G80" i="21"/>
  <c r="V73" i="21"/>
  <c r="AD71" i="21"/>
  <c r="O71" i="21"/>
  <c r="AE70" i="21"/>
  <c r="P70" i="21"/>
  <c r="AG69" i="21"/>
  <c r="S69" i="21"/>
  <c r="E69" i="21"/>
  <c r="W62" i="21"/>
  <c r="H62" i="21"/>
  <c r="AB60" i="21"/>
  <c r="AV39" i="21"/>
  <c r="Q47" i="21"/>
  <c r="AE47" i="21"/>
  <c r="K48" i="21"/>
  <c r="Z48" i="21"/>
  <c r="F49" i="21"/>
  <c r="F187" i="21" s="1"/>
  <c r="K51" i="21"/>
  <c r="AD51" i="21"/>
  <c r="AZ51" i="21"/>
  <c r="BT51" i="21"/>
  <c r="BT52" i="21" s="1"/>
  <c r="I58" i="21"/>
  <c r="X59" i="21"/>
  <c r="AC47" i="21"/>
  <c r="AG58" i="21"/>
  <c r="AX33" i="21"/>
  <c r="BA34" i="21"/>
  <c r="AO34" i="21" s="1"/>
  <c r="BB34" i="21" s="1"/>
  <c r="BC34" i="21" s="1"/>
  <c r="F62" i="21" s="1"/>
  <c r="D47" i="21"/>
  <c r="R47" i="21"/>
  <c r="AF47" i="21"/>
  <c r="L48" i="21"/>
  <c r="AB48" i="21"/>
  <c r="G49" i="21"/>
  <c r="G187" i="21" s="1"/>
  <c r="L51" i="21"/>
  <c r="AE51" i="21"/>
  <c r="BA51" i="21"/>
  <c r="BU51" i="21"/>
  <c r="BU52" i="21" s="1"/>
  <c r="L58" i="21"/>
  <c r="Y59" i="21"/>
  <c r="AP34" i="21"/>
  <c r="E47" i="21"/>
  <c r="S47" i="21"/>
  <c r="M48" i="21"/>
  <c r="AC48" i="21"/>
  <c r="Y49" i="21"/>
  <c r="Y187" i="21" s="1"/>
  <c r="N51" i="21"/>
  <c r="BC51" i="21"/>
  <c r="BV51" i="21"/>
  <c r="BV52" i="21" s="1"/>
  <c r="M58" i="21"/>
  <c r="Z59" i="21"/>
  <c r="AA60" i="21"/>
  <c r="I62" i="21"/>
  <c r="D69" i="21"/>
  <c r="T91" i="21"/>
  <c r="F47" i="21"/>
  <c r="T47" i="21"/>
  <c r="N48" i="21"/>
  <c r="AD48" i="21"/>
  <c r="K49" i="21"/>
  <c r="K187" i="21" s="1"/>
  <c r="Q51" i="21"/>
  <c r="BX51" i="21"/>
  <c r="BX52" i="21" s="1"/>
  <c r="S58" i="21"/>
  <c r="AC59" i="21"/>
  <c r="M62" i="21"/>
  <c r="R69" i="21"/>
  <c r="K25" i="21"/>
  <c r="G47" i="21"/>
  <c r="W47" i="21"/>
  <c r="P48" i="21"/>
  <c r="AE48" i="21"/>
  <c r="L49" i="21"/>
  <c r="L187" i="21" s="1"/>
  <c r="R51" i="21"/>
  <c r="AN51" i="21"/>
  <c r="T58" i="21"/>
  <c r="AD59" i="21"/>
  <c r="AF60" i="21"/>
  <c r="U62" i="21"/>
  <c r="AF69" i="21"/>
  <c r="BR51" i="21"/>
  <c r="BR52" i="21" s="1"/>
  <c r="BF51" i="21"/>
  <c r="AS51" i="21"/>
  <c r="BQ51" i="21"/>
  <c r="BQ52" i="21" s="1"/>
  <c r="BD51" i="21"/>
  <c r="AR51" i="21"/>
  <c r="BO51" i="21"/>
  <c r="BO52" i="21" s="1"/>
  <c r="BB51" i="21"/>
  <c r="AP51" i="21"/>
  <c r="BW51" i="21"/>
  <c r="BW52" i="21" s="1"/>
  <c r="BK51" i="21"/>
  <c r="AX51" i="21"/>
  <c r="N25" i="21"/>
  <c r="AW38" i="21"/>
  <c r="AV38" i="21" s="1"/>
  <c r="BA39" i="21"/>
  <c r="AO39" i="21" s="1"/>
  <c r="BB39" i="21" s="1"/>
  <c r="BC39" i="21" s="1"/>
  <c r="H47" i="21"/>
  <c r="X47" i="21"/>
  <c r="Q48" i="21"/>
  <c r="AF48" i="21"/>
  <c r="AO51" i="21"/>
  <c r="BI51" i="21"/>
  <c r="U58" i="21"/>
  <c r="E59" i="21"/>
  <c r="X62" i="21"/>
  <c r="D80" i="21"/>
  <c r="R84" i="21"/>
  <c r="K104" i="21"/>
  <c r="BA36" i="21"/>
  <c r="AO36" i="21" s="1"/>
  <c r="BB36" i="21" s="1"/>
  <c r="BC36" i="21" s="1"/>
  <c r="P106" i="21" s="1"/>
  <c r="K47" i="21"/>
  <c r="Y47" i="21"/>
  <c r="R48" i="21"/>
  <c r="AD49" i="21"/>
  <c r="AD187" i="21" s="1"/>
  <c r="T51" i="21"/>
  <c r="AQ51" i="21"/>
  <c r="BJ51" i="21"/>
  <c r="X58" i="21"/>
  <c r="F59" i="21"/>
  <c r="D60" i="21"/>
  <c r="AA62" i="21"/>
  <c r="AH68" i="21"/>
  <c r="O70" i="21"/>
  <c r="S73" i="21"/>
  <c r="AB80" i="21"/>
  <c r="G48" i="21"/>
  <c r="D49" i="21"/>
  <c r="D187" i="21" s="1"/>
  <c r="H51" i="21"/>
  <c r="AX35" i="21"/>
  <c r="L47" i="21"/>
  <c r="Z47" i="21"/>
  <c r="D48" i="21"/>
  <c r="S48" i="21"/>
  <c r="P49" i="21"/>
  <c r="P187" i="21" s="1"/>
  <c r="E51" i="21"/>
  <c r="V51" i="21"/>
  <c r="AT51" i="21"/>
  <c r="BL51" i="21"/>
  <c r="Y58" i="21"/>
  <c r="L59" i="21"/>
  <c r="AD70" i="21"/>
  <c r="M47" i="21"/>
  <c r="AA47" i="21"/>
  <c r="E48" i="21"/>
  <c r="T48" i="21"/>
  <c r="Q49" i="21"/>
  <c r="Q187" i="21" s="1"/>
  <c r="F51" i="21"/>
  <c r="W51" i="21"/>
  <c r="AU51" i="21"/>
  <c r="BM51" i="21"/>
  <c r="AH57" i="21"/>
  <c r="AE58" i="21"/>
  <c r="M59" i="21"/>
  <c r="H60" i="21"/>
  <c r="AH61" i="21"/>
  <c r="U81" i="21"/>
  <c r="AG153" i="21"/>
  <c r="AG142" i="21"/>
  <c r="AG109" i="21"/>
  <c r="AG120" i="21"/>
  <c r="AG131" i="21"/>
  <c r="AG98" i="21"/>
  <c r="AG87" i="21"/>
  <c r="AG65" i="21"/>
  <c r="AG54" i="21"/>
  <c r="N47" i="21"/>
  <c r="AB47" i="21"/>
  <c r="F48" i="21"/>
  <c r="W48" i="21"/>
  <c r="G51" i="21"/>
  <c r="X51" i="21"/>
  <c r="AV51" i="21"/>
  <c r="BN51" i="21"/>
  <c r="AF58" i="21"/>
  <c r="N59" i="21"/>
  <c r="I60" i="21"/>
  <c r="AC71" i="21"/>
  <c r="AH79" i="21"/>
  <c r="N82" i="21"/>
  <c r="AH83" i="21"/>
  <c r="AH105" i="21"/>
  <c r="AH101" i="21"/>
  <c r="AH112" i="21"/>
  <c r="AH116" i="21"/>
  <c r="AH134" i="21"/>
  <c r="AH149" i="21"/>
  <c r="AH138" i="21"/>
  <c r="AH171" i="21"/>
  <c r="AZ48" i="20"/>
  <c r="BT51" i="20"/>
  <c r="BT52" i="20" s="1"/>
  <c r="BT53" i="20" s="1"/>
  <c r="BT54" i="20" s="1"/>
  <c r="AN49" i="20"/>
  <c r="AX47" i="20"/>
  <c r="AZ47" i="20"/>
  <c r="AX47" i="19"/>
  <c r="AY51" i="19"/>
  <c r="AZ51" i="19"/>
  <c r="AZ48" i="19"/>
  <c r="AN51" i="18"/>
  <c r="AN52" i="18" s="1"/>
  <c r="AN53" i="18" s="1"/>
  <c r="AX48" i="18"/>
  <c r="BH51" i="18"/>
  <c r="AZ48" i="18"/>
  <c r="BI51" i="18"/>
  <c r="AX47" i="18"/>
  <c r="C161" i="20"/>
  <c r="C172" i="20"/>
  <c r="C150" i="20"/>
  <c r="C139" i="20"/>
  <c r="C117" i="20"/>
  <c r="C84" i="20"/>
  <c r="C95" i="20"/>
  <c r="C51" i="20"/>
  <c r="C73" i="20"/>
  <c r="C62" i="20"/>
  <c r="BW57" i="20"/>
  <c r="AX32" i="20"/>
  <c r="AY33" i="20"/>
  <c r="AW33" i="20" s="1"/>
  <c r="AV33" i="20" s="1"/>
  <c r="AG153" i="20"/>
  <c r="AG142" i="20"/>
  <c r="AG109" i="20"/>
  <c r="AG120" i="20"/>
  <c r="AG131" i="20"/>
  <c r="AG76" i="20"/>
  <c r="AG98" i="20"/>
  <c r="AG87" i="20"/>
  <c r="AG65" i="20"/>
  <c r="AG54" i="20"/>
  <c r="R47" i="20"/>
  <c r="P48" i="20"/>
  <c r="R49" i="20"/>
  <c r="R187" i="20" s="1"/>
  <c r="S51" i="20"/>
  <c r="BU51" i="20"/>
  <c r="BU52" i="20" s="1"/>
  <c r="BU53" i="20" s="1"/>
  <c r="BU54" i="20" s="1"/>
  <c r="R58" i="20"/>
  <c r="AB70" i="20"/>
  <c r="N26" i="20"/>
  <c r="S47" i="20"/>
  <c r="R48" i="20"/>
  <c r="S49" i="20"/>
  <c r="S187" i="20" s="1"/>
  <c r="U51" i="20"/>
  <c r="R71" i="20"/>
  <c r="BS51" i="20"/>
  <c r="BS52" i="20" s="1"/>
  <c r="BS53" i="20" s="1"/>
  <c r="BS54" i="20" s="1"/>
  <c r="BG51" i="20"/>
  <c r="AT51" i="20"/>
  <c r="AT52" i="20" s="1"/>
  <c r="AT53" i="20" s="1"/>
  <c r="BR51" i="20"/>
  <c r="BR52" i="20" s="1"/>
  <c r="BR53" i="20" s="1"/>
  <c r="BR54" i="20" s="1"/>
  <c r="BF51" i="20"/>
  <c r="AS51" i="20"/>
  <c r="AS52" i="20" s="1"/>
  <c r="AS53" i="20" s="1"/>
  <c r="BQ51" i="20"/>
  <c r="BQ52" i="20" s="1"/>
  <c r="BQ53" i="20" s="1"/>
  <c r="BQ54" i="20" s="1"/>
  <c r="BD51" i="20"/>
  <c r="AR51" i="20"/>
  <c r="AR52" i="20" s="1"/>
  <c r="AR53" i="20" s="1"/>
  <c r="BP51" i="20"/>
  <c r="BP52" i="20" s="1"/>
  <c r="BP53" i="20" s="1"/>
  <c r="BP54" i="20" s="1"/>
  <c r="BC51" i="20"/>
  <c r="AQ51" i="20"/>
  <c r="AQ52" i="20" s="1"/>
  <c r="AQ53" i="20" s="1"/>
  <c r="BO51" i="20"/>
  <c r="BO52" i="20" s="1"/>
  <c r="BO53" i="20" s="1"/>
  <c r="BO54" i="20" s="1"/>
  <c r="BB51" i="20"/>
  <c r="AP51" i="20"/>
  <c r="AP52" i="20" s="1"/>
  <c r="AP53" i="20" s="1"/>
  <c r="BN51" i="20"/>
  <c r="BA51" i="20"/>
  <c r="AO51" i="20"/>
  <c r="AO52" i="20" s="1"/>
  <c r="AO53" i="20" s="1"/>
  <c r="BM51" i="20"/>
  <c r="AZ51" i="20"/>
  <c r="AN51" i="20"/>
  <c r="AN52" i="20" s="1"/>
  <c r="AN53" i="20" s="1"/>
  <c r="BX51" i="20"/>
  <c r="BX52" i="20" s="1"/>
  <c r="BX53" i="20" s="1"/>
  <c r="BX54" i="20" s="1"/>
  <c r="BL51" i="20"/>
  <c r="AY51" i="20"/>
  <c r="BV51" i="20"/>
  <c r="BV52" i="20" s="1"/>
  <c r="BV53" i="20" s="1"/>
  <c r="BV54" i="20" s="1"/>
  <c r="BJ51" i="20"/>
  <c r="AW51" i="20"/>
  <c r="AQ39" i="20"/>
  <c r="T47" i="20"/>
  <c r="S48" i="20"/>
  <c r="T49" i="20"/>
  <c r="T187" i="20" s="1"/>
  <c r="AD51" i="20"/>
  <c r="AP35" i="20"/>
  <c r="K24" i="20"/>
  <c r="BA36" i="20"/>
  <c r="AO36" i="20" s="1"/>
  <c r="BB36" i="20" s="1"/>
  <c r="BC36" i="20" s="1"/>
  <c r="X128" i="20" s="1"/>
  <c r="AW37" i="20"/>
  <c r="BE45" i="20"/>
  <c r="D47" i="20"/>
  <c r="V47" i="20"/>
  <c r="T48" i="20"/>
  <c r="X49" i="20"/>
  <c r="X187" i="20" s="1"/>
  <c r="AE51" i="20"/>
  <c r="K59" i="20"/>
  <c r="S62" i="20"/>
  <c r="AY37" i="20"/>
  <c r="F47" i="20"/>
  <c r="X47" i="20"/>
  <c r="D48" i="20"/>
  <c r="X48" i="20"/>
  <c r="D49" i="20"/>
  <c r="D187" i="20" s="1"/>
  <c r="AG51" i="20"/>
  <c r="AB59" i="20"/>
  <c r="AZ37" i="20"/>
  <c r="G47" i="20"/>
  <c r="Y47" i="20"/>
  <c r="F48" i="20"/>
  <c r="Y48" i="20"/>
  <c r="F49" i="20"/>
  <c r="F187" i="20" s="1"/>
  <c r="AU51" i="20"/>
  <c r="K25" i="20"/>
  <c r="H47" i="20"/>
  <c r="AA47" i="20"/>
  <c r="G48" i="20"/>
  <c r="AA48" i="20"/>
  <c r="G49" i="20"/>
  <c r="G187" i="20" s="1"/>
  <c r="AV51" i="20"/>
  <c r="AE60" i="20"/>
  <c r="AZ32" i="20"/>
  <c r="AW32" i="20"/>
  <c r="Y172" i="20"/>
  <c r="M172" i="20"/>
  <c r="AD170" i="20"/>
  <c r="R170" i="20"/>
  <c r="F170" i="20"/>
  <c r="Y169" i="20"/>
  <c r="M169" i="20"/>
  <c r="AF168" i="20"/>
  <c r="T168" i="20"/>
  <c r="H168" i="20"/>
  <c r="W161" i="20"/>
  <c r="K161" i="20"/>
  <c r="W158" i="20"/>
  <c r="K158" i="20"/>
  <c r="AD157" i="20"/>
  <c r="R157" i="20"/>
  <c r="F157" i="20"/>
  <c r="X172" i="20"/>
  <c r="L172" i="20"/>
  <c r="AC170" i="20"/>
  <c r="E170" i="20"/>
  <c r="X169" i="20"/>
  <c r="L169" i="20"/>
  <c r="AE168" i="20"/>
  <c r="S168" i="20"/>
  <c r="G168" i="20"/>
  <c r="V161" i="20"/>
  <c r="J161" i="20"/>
  <c r="AA159" i="20"/>
  <c r="V158" i="20"/>
  <c r="J158" i="20"/>
  <c r="AC157" i="20"/>
  <c r="W172" i="20"/>
  <c r="K172" i="20"/>
  <c r="AB170" i="20"/>
  <c r="P170" i="20"/>
  <c r="D170" i="20"/>
  <c r="W169" i="20"/>
  <c r="K169" i="20"/>
  <c r="AD168" i="20"/>
  <c r="R168" i="20"/>
  <c r="F168" i="20"/>
  <c r="AG161" i="20"/>
  <c r="U161" i="20"/>
  <c r="I161" i="20"/>
  <c r="Z159" i="20"/>
  <c r="AG158" i="20"/>
  <c r="U158" i="20"/>
  <c r="I158" i="20"/>
  <c r="AB157" i="20"/>
  <c r="P157" i="20"/>
  <c r="D157" i="20"/>
  <c r="X148" i="20"/>
  <c r="L148" i="20"/>
  <c r="AE147" i="20"/>
  <c r="S147" i="20"/>
  <c r="G147" i="20"/>
  <c r="Z146" i="20"/>
  <c r="N146" i="20"/>
  <c r="AC139" i="20"/>
  <c r="Q139" i="20"/>
  <c r="V137" i="20"/>
  <c r="J137" i="20"/>
  <c r="AC136" i="20"/>
  <c r="Q136" i="20"/>
  <c r="E136" i="20"/>
  <c r="V172" i="20"/>
  <c r="J172" i="20"/>
  <c r="O170" i="20"/>
  <c r="V169" i="20"/>
  <c r="J169" i="20"/>
  <c r="AC168" i="20"/>
  <c r="Q168" i="20"/>
  <c r="E168" i="20"/>
  <c r="AF161" i="20"/>
  <c r="T161" i="20"/>
  <c r="H161" i="20"/>
  <c r="Y159" i="20"/>
  <c r="AG172" i="20"/>
  <c r="U172" i="20"/>
  <c r="I172" i="20"/>
  <c r="N170" i="20"/>
  <c r="AG169" i="20"/>
  <c r="U169" i="20"/>
  <c r="I169" i="20"/>
  <c r="AB168" i="20"/>
  <c r="P168" i="20"/>
  <c r="D168" i="20"/>
  <c r="AE161" i="20"/>
  <c r="S161" i="20"/>
  <c r="G161" i="20"/>
  <c r="L159" i="20"/>
  <c r="AE158" i="20"/>
  <c r="S158" i="20"/>
  <c r="G158" i="20"/>
  <c r="Z157" i="20"/>
  <c r="N157" i="20"/>
  <c r="E150" i="20"/>
  <c r="J148" i="20"/>
  <c r="AC147" i="20"/>
  <c r="Q147" i="20"/>
  <c r="E147" i="20"/>
  <c r="X146" i="20"/>
  <c r="L146" i="20"/>
  <c r="AF172" i="20"/>
  <c r="T172" i="20"/>
  <c r="H172" i="20"/>
  <c r="AF169" i="20"/>
  <c r="T169" i="20"/>
  <c r="H169" i="20"/>
  <c r="AA168" i="20"/>
  <c r="O168" i="20"/>
  <c r="AD161" i="20"/>
  <c r="R161" i="20"/>
  <c r="F161" i="20"/>
  <c r="AE172" i="20"/>
  <c r="S172" i="20"/>
  <c r="G172" i="20"/>
  <c r="X170" i="20"/>
  <c r="AE169" i="20"/>
  <c r="S169" i="20"/>
  <c r="G169" i="20"/>
  <c r="Z168" i="20"/>
  <c r="N168" i="20"/>
  <c r="AC161" i="20"/>
  <c r="Q161" i="20"/>
  <c r="E161" i="20"/>
  <c r="AC158" i="20"/>
  <c r="Q158" i="20"/>
  <c r="E158" i="20"/>
  <c r="X157" i="20"/>
  <c r="L157" i="20"/>
  <c r="AD172" i="20"/>
  <c r="R172" i="20"/>
  <c r="F172" i="20"/>
  <c r="W170" i="20"/>
  <c r="K170" i="20"/>
  <c r="AD169" i="20"/>
  <c r="R169" i="20"/>
  <c r="F169" i="20"/>
  <c r="Y168" i="20"/>
  <c r="M168" i="20"/>
  <c r="AB161" i="20"/>
  <c r="P161" i="20"/>
  <c r="AC172" i="20"/>
  <c r="Q172" i="20"/>
  <c r="E172" i="20"/>
  <c r="V170" i="20"/>
  <c r="J170" i="20"/>
  <c r="AC169" i="20"/>
  <c r="Q169" i="20"/>
  <c r="E169" i="20"/>
  <c r="X168" i="20"/>
  <c r="L168" i="20"/>
  <c r="AA161" i="20"/>
  <c r="O161" i="20"/>
  <c r="H159" i="20"/>
  <c r="AA158" i="20"/>
  <c r="O158" i="20"/>
  <c r="V157" i="20"/>
  <c r="J157" i="20"/>
  <c r="M150" i="20"/>
  <c r="Y147" i="20"/>
  <c r="M147" i="20"/>
  <c r="AF146" i="20"/>
  <c r="T146" i="20"/>
  <c r="H146" i="20"/>
  <c r="AB172" i="20"/>
  <c r="P172" i="20"/>
  <c r="D172" i="20"/>
  <c r="I170" i="20"/>
  <c r="AB169" i="20"/>
  <c r="P169" i="20"/>
  <c r="D169" i="20"/>
  <c r="W168" i="20"/>
  <c r="K168" i="20"/>
  <c r="Z161" i="20"/>
  <c r="N161" i="20"/>
  <c r="AA172" i="20"/>
  <c r="O172" i="20"/>
  <c r="AF170" i="20"/>
  <c r="T170" i="20"/>
  <c r="AA169" i="20"/>
  <c r="O169" i="20"/>
  <c r="V168" i="20"/>
  <c r="J168" i="20"/>
  <c r="Y161" i="20"/>
  <c r="M161" i="20"/>
  <c r="Y158" i="20"/>
  <c r="M158" i="20"/>
  <c r="AF157" i="20"/>
  <c r="T157" i="20"/>
  <c r="H157" i="20"/>
  <c r="W150" i="20"/>
  <c r="K150" i="20"/>
  <c r="X161" i="20"/>
  <c r="U159" i="20"/>
  <c r="R158" i="20"/>
  <c r="W157" i="20"/>
  <c r="U150" i="20"/>
  <c r="N148" i="20"/>
  <c r="AB147" i="20"/>
  <c r="L147" i="20"/>
  <c r="AB146" i="20"/>
  <c r="K146" i="20"/>
  <c r="J139" i="20"/>
  <c r="AD136" i="20"/>
  <c r="P136" i="20"/>
  <c r="V135" i="20"/>
  <c r="J135" i="20"/>
  <c r="Y128" i="20"/>
  <c r="AE170" i="20"/>
  <c r="L161" i="20"/>
  <c r="Q159" i="20"/>
  <c r="P158" i="20"/>
  <c r="U157" i="20"/>
  <c r="M148" i="20"/>
  <c r="AA147" i="20"/>
  <c r="K147" i="20"/>
  <c r="AA146" i="20"/>
  <c r="J146" i="20"/>
  <c r="V139" i="20"/>
  <c r="I139" i="20"/>
  <c r="AB136" i="20"/>
  <c r="O136" i="20"/>
  <c r="AG135" i="20"/>
  <c r="U135" i="20"/>
  <c r="I135" i="20"/>
  <c r="S170" i="20"/>
  <c r="D161" i="20"/>
  <c r="M159" i="20"/>
  <c r="N158" i="20"/>
  <c r="S157" i="20"/>
  <c r="K148" i="20"/>
  <c r="Z147" i="20"/>
  <c r="J147" i="20"/>
  <c r="Y146" i="20"/>
  <c r="I146" i="20"/>
  <c r="H139" i="20"/>
  <c r="I137" i="20"/>
  <c r="AA136" i="20"/>
  <c r="N136" i="20"/>
  <c r="AF135" i="20"/>
  <c r="T135" i="20"/>
  <c r="H135" i="20"/>
  <c r="AB126" i="20"/>
  <c r="W125" i="20"/>
  <c r="K125" i="20"/>
  <c r="AD124" i="20"/>
  <c r="R124" i="20"/>
  <c r="F124" i="20"/>
  <c r="AG117" i="20"/>
  <c r="U117" i="20"/>
  <c r="I117" i="20"/>
  <c r="Z115" i="20"/>
  <c r="AG114" i="20"/>
  <c r="U114" i="20"/>
  <c r="I114" i="20"/>
  <c r="AB113" i="20"/>
  <c r="P113" i="20"/>
  <c r="D113" i="20"/>
  <c r="AE106" i="20"/>
  <c r="S106" i="20"/>
  <c r="G106" i="20"/>
  <c r="AE103" i="20"/>
  <c r="S103" i="20"/>
  <c r="G103" i="20"/>
  <c r="Z102" i="20"/>
  <c r="N102" i="20"/>
  <c r="AC95" i="20"/>
  <c r="Q95" i="20"/>
  <c r="E95" i="20"/>
  <c r="Z172" i="20"/>
  <c r="G170" i="20"/>
  <c r="L158" i="20"/>
  <c r="Q157" i="20"/>
  <c r="I148" i="20"/>
  <c r="X147" i="20"/>
  <c r="I147" i="20"/>
  <c r="W146" i="20"/>
  <c r="G146" i="20"/>
  <c r="G139" i="20"/>
  <c r="H137" i="20"/>
  <c r="Z136" i="20"/>
  <c r="M136" i="20"/>
  <c r="AE135" i="20"/>
  <c r="S135" i="20"/>
  <c r="G135" i="20"/>
  <c r="N172" i="20"/>
  <c r="Z169" i="20"/>
  <c r="H158" i="20"/>
  <c r="O157" i="20"/>
  <c r="AG150" i="20"/>
  <c r="O150" i="20"/>
  <c r="W147" i="20"/>
  <c r="H147" i="20"/>
  <c r="V146" i="20"/>
  <c r="F146" i="20"/>
  <c r="G137" i="20"/>
  <c r="Y136" i="20"/>
  <c r="L136" i="20"/>
  <c r="AD135" i="20"/>
  <c r="R135" i="20"/>
  <c r="F135" i="20"/>
  <c r="I128" i="20"/>
  <c r="Z126" i="20"/>
  <c r="AG125" i="20"/>
  <c r="U125" i="20"/>
  <c r="I125" i="20"/>
  <c r="AB124" i="20"/>
  <c r="P124" i="20"/>
  <c r="D124" i="20"/>
  <c r="AE117" i="20"/>
  <c r="S117" i="20"/>
  <c r="G117" i="20"/>
  <c r="X115" i="20"/>
  <c r="L115" i="20"/>
  <c r="AE114" i="20"/>
  <c r="S114" i="20"/>
  <c r="G114" i="20"/>
  <c r="Z113" i="20"/>
  <c r="N113" i="20"/>
  <c r="N169" i="20"/>
  <c r="F158" i="20"/>
  <c r="M157" i="20"/>
  <c r="AF150" i="20"/>
  <c r="N150" i="20"/>
  <c r="W148" i="20"/>
  <c r="V147" i="20"/>
  <c r="F147" i="20"/>
  <c r="U146" i="20"/>
  <c r="E146" i="20"/>
  <c r="AE139" i="20"/>
  <c r="X136" i="20"/>
  <c r="K136" i="20"/>
  <c r="AC135" i="20"/>
  <c r="Q135" i="20"/>
  <c r="AF158" i="20"/>
  <c r="D158" i="20"/>
  <c r="K157" i="20"/>
  <c r="L150" i="20"/>
  <c r="U148" i="20"/>
  <c r="U147" i="20"/>
  <c r="D147" i="20"/>
  <c r="S146" i="20"/>
  <c r="D146" i="20"/>
  <c r="AD139" i="20"/>
  <c r="P139" i="20"/>
  <c r="AE137" i="20"/>
  <c r="W136" i="20"/>
  <c r="J136" i="20"/>
  <c r="AB135" i="20"/>
  <c r="P135" i="20"/>
  <c r="D135" i="20"/>
  <c r="S128" i="20"/>
  <c r="AG168" i="20"/>
  <c r="AD158" i="20"/>
  <c r="I157" i="20"/>
  <c r="J150" i="20"/>
  <c r="D148" i="20"/>
  <c r="T147" i="20"/>
  <c r="R146" i="20"/>
  <c r="O139" i="20"/>
  <c r="AD137" i="20"/>
  <c r="Q137" i="20"/>
  <c r="V136" i="20"/>
  <c r="I136" i="20"/>
  <c r="AA135" i="20"/>
  <c r="O135" i="20"/>
  <c r="U168" i="20"/>
  <c r="AB158" i="20"/>
  <c r="AG157" i="20"/>
  <c r="G157" i="20"/>
  <c r="I150" i="20"/>
  <c r="R147" i="20"/>
  <c r="AG146" i="20"/>
  <c r="Q146" i="20"/>
  <c r="N139" i="20"/>
  <c r="AC137" i="20"/>
  <c r="P137" i="20"/>
  <c r="U136" i="20"/>
  <c r="H136" i="20"/>
  <c r="Z135" i="20"/>
  <c r="N135" i="20"/>
  <c r="E128" i="20"/>
  <c r="AC125" i="20"/>
  <c r="Q125" i="20"/>
  <c r="E125" i="20"/>
  <c r="X124" i="20"/>
  <c r="L124" i="20"/>
  <c r="AA117" i="20"/>
  <c r="O117" i="20"/>
  <c r="AF115" i="20"/>
  <c r="T115" i="20"/>
  <c r="H115" i="20"/>
  <c r="AA114" i="20"/>
  <c r="O114" i="20"/>
  <c r="V113" i="20"/>
  <c r="J113" i="20"/>
  <c r="I168" i="20"/>
  <c r="Z158" i="20"/>
  <c r="AE157" i="20"/>
  <c r="E157" i="20"/>
  <c r="AG148" i="20"/>
  <c r="AG147" i="20"/>
  <c r="P147" i="20"/>
  <c r="AE146" i="20"/>
  <c r="P146" i="20"/>
  <c r="O137" i="20"/>
  <c r="AG136" i="20"/>
  <c r="T136" i="20"/>
  <c r="G136" i="20"/>
  <c r="Y135" i="20"/>
  <c r="M135" i="20"/>
  <c r="AG159" i="20"/>
  <c r="X158" i="20"/>
  <c r="AA157" i="20"/>
  <c r="X150" i="20"/>
  <c r="AF148" i="20"/>
  <c r="AF147" i="20"/>
  <c r="O147" i="20"/>
  <c r="AD146" i="20"/>
  <c r="O146" i="20"/>
  <c r="N137" i="20"/>
  <c r="AF136" i="20"/>
  <c r="S136" i="20"/>
  <c r="F136" i="20"/>
  <c r="X135" i="20"/>
  <c r="L135" i="20"/>
  <c r="AA128" i="20"/>
  <c r="T126" i="20"/>
  <c r="AA125" i="20"/>
  <c r="O125" i="20"/>
  <c r="V124" i="20"/>
  <c r="J124" i="20"/>
  <c r="Y117" i="20"/>
  <c r="M117" i="20"/>
  <c r="AD115" i="20"/>
  <c r="R115" i="20"/>
  <c r="Y114" i="20"/>
  <c r="D150" i="20"/>
  <c r="F128" i="20"/>
  <c r="Y125" i="20"/>
  <c r="G125" i="20"/>
  <c r="U124" i="20"/>
  <c r="T117" i="20"/>
  <c r="AB115" i="20"/>
  <c r="W114" i="20"/>
  <c r="F114" i="20"/>
  <c r="W113" i="20"/>
  <c r="G113" i="20"/>
  <c r="AB106" i="20"/>
  <c r="AE104" i="20"/>
  <c r="E104" i="20"/>
  <c r="W103" i="20"/>
  <c r="J103" i="20"/>
  <c r="AB102" i="20"/>
  <c r="O102" i="20"/>
  <c r="Y157" i="20"/>
  <c r="AC146" i="20"/>
  <c r="D128" i="20"/>
  <c r="X125" i="20"/>
  <c r="F125" i="20"/>
  <c r="T124" i="20"/>
  <c r="R117" i="20"/>
  <c r="AA115" i="20"/>
  <c r="V114" i="20"/>
  <c r="E114" i="20"/>
  <c r="U113" i="20"/>
  <c r="F113" i="20"/>
  <c r="AA106" i="20"/>
  <c r="AD104" i="20"/>
  <c r="Q104" i="20"/>
  <c r="D104" i="20"/>
  <c r="V103" i="20"/>
  <c r="I103" i="20"/>
  <c r="AA102" i="20"/>
  <c r="M102" i="20"/>
  <c r="M146" i="20"/>
  <c r="AB128" i="20"/>
  <c r="AA126" i="20"/>
  <c r="I126" i="20"/>
  <c r="V125" i="20"/>
  <c r="D125" i="20"/>
  <c r="S124" i="20"/>
  <c r="Q117" i="20"/>
  <c r="Y115" i="20"/>
  <c r="T114" i="20"/>
  <c r="D114" i="20"/>
  <c r="T113" i="20"/>
  <c r="E113" i="20"/>
  <c r="Z106" i="20"/>
  <c r="M106" i="20"/>
  <c r="P104" i="20"/>
  <c r="U103" i="20"/>
  <c r="H103" i="20"/>
  <c r="Y102" i="20"/>
  <c r="L102" i="20"/>
  <c r="AA95" i="20"/>
  <c r="N95" i="20"/>
  <c r="AC93" i="20"/>
  <c r="E93" i="20"/>
  <c r="X92" i="20"/>
  <c r="L92" i="20"/>
  <c r="AE91" i="20"/>
  <c r="S91" i="20"/>
  <c r="G91" i="20"/>
  <c r="V84" i="20"/>
  <c r="J84" i="20"/>
  <c r="Z82" i="20"/>
  <c r="AG81" i="20"/>
  <c r="U81" i="20"/>
  <c r="I81" i="20"/>
  <c r="AB80" i="20"/>
  <c r="P80" i="20"/>
  <c r="D80" i="20"/>
  <c r="AE73" i="20"/>
  <c r="S73" i="20"/>
  <c r="G73" i="20"/>
  <c r="W71" i="20"/>
  <c r="AD70" i="20"/>
  <c r="R70" i="20"/>
  <c r="F70" i="20"/>
  <c r="Y69" i="20"/>
  <c r="M69" i="20"/>
  <c r="AE136" i="20"/>
  <c r="Z128" i="20"/>
  <c r="Y126" i="20"/>
  <c r="T125" i="20"/>
  <c r="Q124" i="20"/>
  <c r="P117" i="20"/>
  <c r="W115" i="20"/>
  <c r="R114" i="20"/>
  <c r="S113" i="20"/>
  <c r="Y106" i="20"/>
  <c r="L106" i="20"/>
  <c r="AG103" i="20"/>
  <c r="T103" i="20"/>
  <c r="F103" i="20"/>
  <c r="X102" i="20"/>
  <c r="K102" i="20"/>
  <c r="R136" i="20"/>
  <c r="F126" i="20"/>
  <c r="S125" i="20"/>
  <c r="AG124" i="20"/>
  <c r="O124" i="20"/>
  <c r="AF117" i="20"/>
  <c r="N117" i="20"/>
  <c r="V115" i="20"/>
  <c r="Q114" i="20"/>
  <c r="AG113" i="20"/>
  <c r="R113" i="20"/>
  <c r="X106" i="20"/>
  <c r="K106" i="20"/>
  <c r="AA104" i="20"/>
  <c r="AF103" i="20"/>
  <c r="R103" i="20"/>
  <c r="E103" i="20"/>
  <c r="W102" i="20"/>
  <c r="J102" i="20"/>
  <c r="Y95" i="20"/>
  <c r="L95" i="20"/>
  <c r="O93" i="20"/>
  <c r="V92" i="20"/>
  <c r="J92" i="20"/>
  <c r="AC91" i="20"/>
  <c r="Q91" i="20"/>
  <c r="E91" i="20"/>
  <c r="AF84" i="20"/>
  <c r="T84" i="20"/>
  <c r="H84" i="20"/>
  <c r="L82" i="20"/>
  <c r="AE81" i="20"/>
  <c r="S81" i="20"/>
  <c r="G81" i="20"/>
  <c r="Z80" i="20"/>
  <c r="N80" i="20"/>
  <c r="D136" i="20"/>
  <c r="T128" i="20"/>
  <c r="E126" i="20"/>
  <c r="R125" i="20"/>
  <c r="AF124" i="20"/>
  <c r="N124" i="20"/>
  <c r="AD117" i="20"/>
  <c r="L117" i="20"/>
  <c r="U115" i="20"/>
  <c r="P114" i="20"/>
  <c r="AF113" i="20"/>
  <c r="Q113" i="20"/>
  <c r="W106" i="20"/>
  <c r="Z104" i="20"/>
  <c r="AD103" i="20"/>
  <c r="R128" i="20"/>
  <c r="P125" i="20"/>
  <c r="AE124" i="20"/>
  <c r="M124" i="20"/>
  <c r="AC117" i="20"/>
  <c r="K117" i="20"/>
  <c r="S115" i="20"/>
  <c r="AF114" i="20"/>
  <c r="N114" i="20"/>
  <c r="AE113" i="20"/>
  <c r="O113" i="20"/>
  <c r="V106" i="20"/>
  <c r="I106" i="20"/>
  <c r="Y104" i="20"/>
  <c r="K104" i="20"/>
  <c r="AC103" i="20"/>
  <c r="P103" i="20"/>
  <c r="U102" i="20"/>
  <c r="H102" i="20"/>
  <c r="W135" i="20"/>
  <c r="S126" i="20"/>
  <c r="AF125" i="20"/>
  <c r="N125" i="20"/>
  <c r="AC124" i="20"/>
  <c r="K124" i="20"/>
  <c r="AB117" i="20"/>
  <c r="J117" i="20"/>
  <c r="Q115" i="20"/>
  <c r="AD114" i="20"/>
  <c r="M114" i="20"/>
  <c r="AD113" i="20"/>
  <c r="M113" i="20"/>
  <c r="K135" i="20"/>
  <c r="R126" i="20"/>
  <c r="AE125" i="20"/>
  <c r="M125" i="20"/>
  <c r="AA124" i="20"/>
  <c r="I124" i="20"/>
  <c r="Z117" i="20"/>
  <c r="H117" i="20"/>
  <c r="P115" i="20"/>
  <c r="AC114" i="20"/>
  <c r="L114" i="20"/>
  <c r="AC113" i="20"/>
  <c r="L113" i="20"/>
  <c r="AG106" i="20"/>
  <c r="T106" i="20"/>
  <c r="F106" i="20"/>
  <c r="V104" i="20"/>
  <c r="AA103" i="20"/>
  <c r="N103" i="20"/>
  <c r="AF102" i="20"/>
  <c r="S102" i="20"/>
  <c r="F102" i="20"/>
  <c r="U95" i="20"/>
  <c r="H95" i="20"/>
  <c r="W93" i="20"/>
  <c r="AD92" i="20"/>
  <c r="R92" i="20"/>
  <c r="F92" i="20"/>
  <c r="Y91" i="20"/>
  <c r="M91" i="20"/>
  <c r="AB84" i="20"/>
  <c r="P84" i="20"/>
  <c r="D84" i="20"/>
  <c r="H82" i="20"/>
  <c r="AA81" i="20"/>
  <c r="O81" i="20"/>
  <c r="V80" i="20"/>
  <c r="J80" i="20"/>
  <c r="O148" i="20"/>
  <c r="E135" i="20"/>
  <c r="AD125" i="20"/>
  <c r="L125" i="20"/>
  <c r="Z124" i="20"/>
  <c r="H124" i="20"/>
  <c r="X117" i="20"/>
  <c r="F117" i="20"/>
  <c r="AG115" i="20"/>
  <c r="AB114" i="20"/>
  <c r="K114" i="20"/>
  <c r="AA113" i="20"/>
  <c r="K113" i="20"/>
  <c r="AF106" i="20"/>
  <c r="R106" i="20"/>
  <c r="E106" i="20"/>
  <c r="AD147" i="20"/>
  <c r="AB125" i="20"/>
  <c r="J125" i="20"/>
  <c r="Y124" i="20"/>
  <c r="G124" i="20"/>
  <c r="W117" i="20"/>
  <c r="E117" i="20"/>
  <c r="AE115" i="20"/>
  <c r="M115" i="20"/>
  <c r="Z114" i="20"/>
  <c r="J114" i="20"/>
  <c r="Y113" i="20"/>
  <c r="I113" i="20"/>
  <c r="AD106" i="20"/>
  <c r="Q106" i="20"/>
  <c r="D106" i="20"/>
  <c r="G104" i="20"/>
  <c r="Y103" i="20"/>
  <c r="L103" i="20"/>
  <c r="AD102" i="20"/>
  <c r="Q102" i="20"/>
  <c r="D102" i="20"/>
  <c r="AF95" i="20"/>
  <c r="S95" i="20"/>
  <c r="F95" i="20"/>
  <c r="AG93" i="20"/>
  <c r="AB92" i="20"/>
  <c r="P92" i="20"/>
  <c r="D92" i="20"/>
  <c r="W91" i="20"/>
  <c r="K91" i="20"/>
  <c r="Z84" i="20"/>
  <c r="N84" i="20"/>
  <c r="T95" i="20"/>
  <c r="U92" i="20"/>
  <c r="P91" i="20"/>
  <c r="AG84" i="20"/>
  <c r="O84" i="20"/>
  <c r="G82" i="20"/>
  <c r="W81" i="20"/>
  <c r="F81" i="20"/>
  <c r="W80" i="20"/>
  <c r="G80" i="20"/>
  <c r="U73" i="20"/>
  <c r="H73" i="20"/>
  <c r="I71" i="20"/>
  <c r="AA70" i="20"/>
  <c r="N70" i="20"/>
  <c r="AF69" i="20"/>
  <c r="S69" i="20"/>
  <c r="F69" i="20"/>
  <c r="W62" i="20"/>
  <c r="K62" i="20"/>
  <c r="U60" i="20"/>
  <c r="AD59" i="20"/>
  <c r="R59" i="20"/>
  <c r="F59" i="20"/>
  <c r="Y58" i="20"/>
  <c r="M58" i="20"/>
  <c r="AG102" i="20"/>
  <c r="R95" i="20"/>
  <c r="T92" i="20"/>
  <c r="AG91" i="20"/>
  <c r="O91" i="20"/>
  <c r="AE84" i="20"/>
  <c r="M84" i="20"/>
  <c r="V82" i="20"/>
  <c r="V81" i="20"/>
  <c r="E81" i="20"/>
  <c r="U80" i="20"/>
  <c r="F80" i="20"/>
  <c r="AG73" i="20"/>
  <c r="T73" i="20"/>
  <c r="F73" i="20"/>
  <c r="AE102" i="20"/>
  <c r="P95" i="20"/>
  <c r="X93" i="20"/>
  <c r="F93" i="20"/>
  <c r="S92" i="20"/>
  <c r="AF91" i="20"/>
  <c r="N91" i="20"/>
  <c r="AD84" i="20"/>
  <c r="L84" i="20"/>
  <c r="U82" i="20"/>
  <c r="T81" i="20"/>
  <c r="D81" i="20"/>
  <c r="T80" i="20"/>
  <c r="E80" i="20"/>
  <c r="AF73" i="20"/>
  <c r="R73" i="20"/>
  <c r="E73" i="20"/>
  <c r="AG71" i="20"/>
  <c r="F104" i="20"/>
  <c r="AC102" i="20"/>
  <c r="O95" i="20"/>
  <c r="D93" i="20"/>
  <c r="Q92" i="20"/>
  <c r="AD91" i="20"/>
  <c r="L91" i="20"/>
  <c r="AC84" i="20"/>
  <c r="K84" i="20"/>
  <c r="R81" i="20"/>
  <c r="S80" i="20"/>
  <c r="Z125" i="20"/>
  <c r="AC115" i="20"/>
  <c r="AB103" i="20"/>
  <c r="V102" i="20"/>
  <c r="AG95" i="20"/>
  <c r="M95" i="20"/>
  <c r="T93" i="20"/>
  <c r="AG92" i="20"/>
  <c r="O92" i="20"/>
  <c r="AB91" i="20"/>
  <c r="J91" i="20"/>
  <c r="AA84" i="20"/>
  <c r="Q81" i="20"/>
  <c r="AG80" i="20"/>
  <c r="R80" i="20"/>
  <c r="H125" i="20"/>
  <c r="K115" i="20"/>
  <c r="Z103" i="20"/>
  <c r="T102" i="20"/>
  <c r="AE95" i="20"/>
  <c r="K95" i="20"/>
  <c r="S93" i="20"/>
  <c r="AF92" i="20"/>
  <c r="N92" i="20"/>
  <c r="AA91" i="20"/>
  <c r="I91" i="20"/>
  <c r="Y84" i="20"/>
  <c r="G84" i="20"/>
  <c r="AF81" i="20"/>
  <c r="P81" i="20"/>
  <c r="AF80" i="20"/>
  <c r="Q80" i="20"/>
  <c r="X114" i="20"/>
  <c r="X103" i="20"/>
  <c r="R102" i="20"/>
  <c r="AD95" i="20"/>
  <c r="J95" i="20"/>
  <c r="R93" i="20"/>
  <c r="AE92" i="20"/>
  <c r="M92" i="20"/>
  <c r="Z91" i="20"/>
  <c r="H91" i="20"/>
  <c r="X84" i="20"/>
  <c r="F84" i="20"/>
  <c r="AE82" i="20"/>
  <c r="P82" i="20"/>
  <c r="AD81" i="20"/>
  <c r="N81" i="20"/>
  <c r="AE80" i="20"/>
  <c r="O80" i="20"/>
  <c r="AA73" i="20"/>
  <c r="N73" i="20"/>
  <c r="AC71" i="20"/>
  <c r="U70" i="20"/>
  <c r="H70" i="20"/>
  <c r="Z69" i="20"/>
  <c r="L69" i="20"/>
  <c r="AC62" i="20"/>
  <c r="Q62" i="20"/>
  <c r="E62" i="20"/>
  <c r="AA60" i="20"/>
  <c r="X59" i="20"/>
  <c r="L59" i="20"/>
  <c r="AE58" i="20"/>
  <c r="S58" i="20"/>
  <c r="G58" i="20"/>
  <c r="W124" i="20"/>
  <c r="V117" i="20"/>
  <c r="H114" i="20"/>
  <c r="Q103" i="20"/>
  <c r="P102" i="20"/>
  <c r="AB95" i="20"/>
  <c r="AC92" i="20"/>
  <c r="K92" i="20"/>
  <c r="X91" i="20"/>
  <c r="F91" i="20"/>
  <c r="W84" i="20"/>
  <c r="E84" i="20"/>
  <c r="AD82" i="20"/>
  <c r="T158" i="20"/>
  <c r="E124" i="20"/>
  <c r="D117" i="20"/>
  <c r="AC106" i="20"/>
  <c r="O103" i="20"/>
  <c r="I102" i="20"/>
  <c r="Z95" i="20"/>
  <c r="G95" i="20"/>
  <c r="AF93" i="20"/>
  <c r="N93" i="20"/>
  <c r="AA92" i="20"/>
  <c r="I92" i="20"/>
  <c r="V91" i="20"/>
  <c r="D91" i="20"/>
  <c r="U84" i="20"/>
  <c r="M82" i="20"/>
  <c r="AB81" i="20"/>
  <c r="N147" i="20"/>
  <c r="X113" i="20"/>
  <c r="U106" i="20"/>
  <c r="M103" i="20"/>
  <c r="G102" i="20"/>
  <c r="X95" i="20"/>
  <c r="D95" i="20"/>
  <c r="Z92" i="20"/>
  <c r="H92" i="20"/>
  <c r="U91" i="20"/>
  <c r="S84" i="20"/>
  <c r="K82" i="20"/>
  <c r="Z81" i="20"/>
  <c r="K81" i="20"/>
  <c r="AA80" i="20"/>
  <c r="K80" i="20"/>
  <c r="X73" i="20"/>
  <c r="K73" i="20"/>
  <c r="AE70" i="20"/>
  <c r="Q70" i="20"/>
  <c r="D70" i="20"/>
  <c r="V69" i="20"/>
  <c r="I69" i="20"/>
  <c r="Z62" i="20"/>
  <c r="N62" i="20"/>
  <c r="L60" i="20"/>
  <c r="AG59" i="20"/>
  <c r="U59" i="20"/>
  <c r="I59" i="20"/>
  <c r="AB58" i="20"/>
  <c r="P58" i="20"/>
  <c r="D58" i="20"/>
  <c r="H113" i="20"/>
  <c r="P106" i="20"/>
  <c r="K103" i="20"/>
  <c r="E102" i="20"/>
  <c r="W95" i="20"/>
  <c r="Y92" i="20"/>
  <c r="G92" i="20"/>
  <c r="T91" i="20"/>
  <c r="R84" i="20"/>
  <c r="AA82" i="20"/>
  <c r="Y81" i="20"/>
  <c r="J81" i="20"/>
  <c r="Y80" i="20"/>
  <c r="I80" i="20"/>
  <c r="W73" i="20"/>
  <c r="J73" i="20"/>
  <c r="AC70" i="20"/>
  <c r="P70" i="20"/>
  <c r="U69" i="20"/>
  <c r="H69" i="20"/>
  <c r="Y62" i="20"/>
  <c r="M62" i="20"/>
  <c r="W60" i="20"/>
  <c r="AF59" i="20"/>
  <c r="T59" i="20"/>
  <c r="H59" i="20"/>
  <c r="AA58" i="20"/>
  <c r="O58" i="20"/>
  <c r="X80" i="20"/>
  <c r="O73" i="20"/>
  <c r="Z70" i="20"/>
  <c r="I70" i="20"/>
  <c r="T69" i="20"/>
  <c r="R62" i="20"/>
  <c r="AD60" i="20"/>
  <c r="M60" i="20"/>
  <c r="AA59" i="20"/>
  <c r="J59" i="20"/>
  <c r="Q58" i="20"/>
  <c r="AC51" i="20"/>
  <c r="Q51" i="20"/>
  <c r="E51" i="20"/>
  <c r="K49" i="20"/>
  <c r="K187" i="20" s="1"/>
  <c r="W48" i="20"/>
  <c r="K48" i="20"/>
  <c r="W47" i="20"/>
  <c r="K47" i="20"/>
  <c r="AB93" i="20"/>
  <c r="Y82" i="20"/>
  <c r="M80" i="20"/>
  <c r="M73" i="20"/>
  <c r="O71" i="20"/>
  <c r="Y70" i="20"/>
  <c r="G70" i="20"/>
  <c r="R69" i="20"/>
  <c r="AG62" i="20"/>
  <c r="P62" i="20"/>
  <c r="AC60" i="20"/>
  <c r="Z59" i="20"/>
  <c r="G59" i="20"/>
  <c r="AG58" i="20"/>
  <c r="N58" i="20"/>
  <c r="AB51" i="20"/>
  <c r="P51" i="20"/>
  <c r="D51" i="20"/>
  <c r="J49" i="20"/>
  <c r="J187" i="20" s="1"/>
  <c r="V48" i="20"/>
  <c r="J93" i="20"/>
  <c r="L80" i="20"/>
  <c r="L73" i="20"/>
  <c r="AF71" i="20"/>
  <c r="N71" i="20"/>
  <c r="X70" i="20"/>
  <c r="E70" i="20"/>
  <c r="Q69" i="20"/>
  <c r="AF62" i="20"/>
  <c r="O62" i="20"/>
  <c r="H60" i="20"/>
  <c r="Y59" i="20"/>
  <c r="E59" i="20"/>
  <c r="AF58" i="20"/>
  <c r="L58" i="20"/>
  <c r="AA51" i="20"/>
  <c r="O51" i="20"/>
  <c r="AG49" i="20"/>
  <c r="AG187" i="20" s="1"/>
  <c r="I49" i="20"/>
  <c r="I187" i="20" s="1"/>
  <c r="AG48" i="20"/>
  <c r="U48" i="20"/>
  <c r="I48" i="20"/>
  <c r="AG47" i="20"/>
  <c r="U47" i="20"/>
  <c r="I47" i="20"/>
  <c r="W92" i="20"/>
  <c r="H80" i="20"/>
  <c r="I73" i="20"/>
  <c r="J71" i="20"/>
  <c r="W70" i="20"/>
  <c r="P69" i="20"/>
  <c r="AE62" i="20"/>
  <c r="L62" i="20"/>
  <c r="Z60" i="20"/>
  <c r="G60" i="20"/>
  <c r="W59" i="20"/>
  <c r="D59" i="20"/>
  <c r="AD58" i="20"/>
  <c r="K58" i="20"/>
  <c r="Z51" i="20"/>
  <c r="N51" i="20"/>
  <c r="V95" i="20"/>
  <c r="E92" i="20"/>
  <c r="AC81" i="20"/>
  <c r="AD73" i="20"/>
  <c r="D73" i="20"/>
  <c r="V70" i="20"/>
  <c r="AG69" i="20"/>
  <c r="O69" i="20"/>
  <c r="AD62" i="20"/>
  <c r="J62" i="20"/>
  <c r="Y60" i="20"/>
  <c r="V59" i="20"/>
  <c r="AC58" i="20"/>
  <c r="J58" i="20"/>
  <c r="Y51" i="20"/>
  <c r="M51" i="20"/>
  <c r="U104" i="20"/>
  <c r="Q84" i="20"/>
  <c r="X81" i="20"/>
  <c r="AC73" i="20"/>
  <c r="AB71" i="20"/>
  <c r="T70" i="20"/>
  <c r="AE69" i="20"/>
  <c r="N69" i="20"/>
  <c r="AB62" i="20"/>
  <c r="I62" i="20"/>
  <c r="V60" i="20"/>
  <c r="S59" i="20"/>
  <c r="Z58" i="20"/>
  <c r="I58" i="20"/>
  <c r="X51" i="20"/>
  <c r="L51" i="20"/>
  <c r="D103" i="20"/>
  <c r="R91" i="20"/>
  <c r="M81" i="20"/>
  <c r="AB73" i="20"/>
  <c r="F71" i="20"/>
  <c r="S70" i="20"/>
  <c r="AD69" i="20"/>
  <c r="K69" i="20"/>
  <c r="AA62" i="20"/>
  <c r="H62" i="20"/>
  <c r="Q59" i="20"/>
  <c r="X58" i="20"/>
  <c r="H58" i="20"/>
  <c r="W51" i="20"/>
  <c r="K51" i="20"/>
  <c r="Q49" i="20"/>
  <c r="Q187" i="20" s="1"/>
  <c r="E49" i="20"/>
  <c r="E187" i="20" s="1"/>
  <c r="AC48" i="20"/>
  <c r="Q48" i="20"/>
  <c r="E48" i="20"/>
  <c r="AC47" i="20"/>
  <c r="Q47" i="20"/>
  <c r="E47" i="20"/>
  <c r="L81" i="20"/>
  <c r="Z73" i="20"/>
  <c r="X71" i="20"/>
  <c r="E71" i="20"/>
  <c r="O70" i="20"/>
  <c r="AC69" i="20"/>
  <c r="J69" i="20"/>
  <c r="X62" i="20"/>
  <c r="G62" i="20"/>
  <c r="P59" i="20"/>
  <c r="W58" i="20"/>
  <c r="F58" i="20"/>
  <c r="V51" i="20"/>
  <c r="J51" i="20"/>
  <c r="H81" i="20"/>
  <c r="Y73" i="20"/>
  <c r="D71" i="20"/>
  <c r="M70" i="20"/>
  <c r="AB69" i="20"/>
  <c r="G69" i="20"/>
  <c r="V62" i="20"/>
  <c r="F62" i="20"/>
  <c r="O59" i="20"/>
  <c r="V58" i="20"/>
  <c r="E58" i="20"/>
  <c r="H106" i="20"/>
  <c r="V73" i="20"/>
  <c r="T71" i="20"/>
  <c r="AG70" i="20"/>
  <c r="L70" i="20"/>
  <c r="AA69" i="20"/>
  <c r="E69" i="20"/>
  <c r="U62" i="20"/>
  <c r="D62" i="20"/>
  <c r="Q60" i="20"/>
  <c r="AE59" i="20"/>
  <c r="N59" i="20"/>
  <c r="U58" i="20"/>
  <c r="AF51" i="20"/>
  <c r="T51" i="20"/>
  <c r="H51" i="20"/>
  <c r="N49" i="20"/>
  <c r="N187" i="20" s="1"/>
  <c r="Z48" i="20"/>
  <c r="N48" i="20"/>
  <c r="Z47" i="20"/>
  <c r="N47" i="20"/>
  <c r="AD80" i="20"/>
  <c r="Q73" i="20"/>
  <c r="S71" i="20"/>
  <c r="AF70" i="20"/>
  <c r="K70" i="20"/>
  <c r="X69" i="20"/>
  <c r="D69" i="20"/>
  <c r="T62" i="20"/>
  <c r="AC59" i="20"/>
  <c r="M59" i="20"/>
  <c r="T58" i="20"/>
  <c r="BA33" i="20"/>
  <c r="AO33" i="20" s="1"/>
  <c r="BB33" i="20" s="1"/>
  <c r="BC33" i="20" s="1"/>
  <c r="C106" i="20" s="1"/>
  <c r="J47" i="20"/>
  <c r="AB47" i="20"/>
  <c r="H48" i="20"/>
  <c r="AB48" i="20"/>
  <c r="H49" i="20"/>
  <c r="H187" i="20" s="1"/>
  <c r="AX51" i="20"/>
  <c r="L47" i="20"/>
  <c r="AD47" i="20"/>
  <c r="J48" i="20"/>
  <c r="AD48" i="20"/>
  <c r="L49" i="20"/>
  <c r="L187" i="20" s="1"/>
  <c r="F51" i="20"/>
  <c r="BH51" i="20"/>
  <c r="AQ36" i="20"/>
  <c r="AQ38" i="20"/>
  <c r="BA38" i="20"/>
  <c r="AO38" i="20" s="1"/>
  <c r="BB38" i="20" s="1"/>
  <c r="BC38" i="20" s="1"/>
  <c r="M47" i="20"/>
  <c r="AE47" i="20"/>
  <c r="L48" i="20"/>
  <c r="AE48" i="20"/>
  <c r="M49" i="20"/>
  <c r="M187" i="20" s="1"/>
  <c r="AF49" i="20"/>
  <c r="AF187" i="20" s="1"/>
  <c r="G51" i="20"/>
  <c r="BI51" i="20"/>
  <c r="W69" i="20"/>
  <c r="P73" i="20"/>
  <c r="AZ34" i="20"/>
  <c r="AV37" i="20"/>
  <c r="O47" i="20"/>
  <c r="AF47" i="20"/>
  <c r="M48" i="20"/>
  <c r="AF48" i="20"/>
  <c r="O49" i="20"/>
  <c r="O187" i="20" s="1"/>
  <c r="I51" i="20"/>
  <c r="BK51" i="20"/>
  <c r="AH79" i="20"/>
  <c r="AH101" i="20"/>
  <c r="AH105" i="20"/>
  <c r="AH83" i="20"/>
  <c r="AH112" i="20"/>
  <c r="AH127" i="20"/>
  <c r="AH116" i="20"/>
  <c r="AH134" i="20"/>
  <c r="AH138" i="20"/>
  <c r="AH160" i="20"/>
  <c r="AH149" i="20"/>
  <c r="AH156" i="20"/>
  <c r="AH145" i="20"/>
  <c r="AH171" i="20"/>
  <c r="C139" i="19"/>
  <c r="C128" i="19"/>
  <c r="C117" i="19"/>
  <c r="C106" i="19"/>
  <c r="C84" i="19"/>
  <c r="C73" i="19"/>
  <c r="C51" i="19"/>
  <c r="C95" i="19"/>
  <c r="C62" i="19"/>
  <c r="AY32" i="19"/>
  <c r="S47" i="19"/>
  <c r="Y48" i="19"/>
  <c r="P59" i="19"/>
  <c r="K69" i="19"/>
  <c r="D106" i="19"/>
  <c r="BQ51" i="19"/>
  <c r="BQ52" i="19" s="1"/>
  <c r="BQ53" i="19" s="1"/>
  <c r="BQ54" i="19" s="1"/>
  <c r="BD51" i="19"/>
  <c r="AR51" i="19"/>
  <c r="AR52" i="19" s="1"/>
  <c r="AR53" i="19" s="1"/>
  <c r="BW51" i="19"/>
  <c r="BW52" i="19" s="1"/>
  <c r="BW53" i="19" s="1"/>
  <c r="BW54" i="19" s="1"/>
  <c r="BK51" i="19"/>
  <c r="AX51" i="19"/>
  <c r="BM51" i="19"/>
  <c r="AW51" i="19"/>
  <c r="BL51" i="19"/>
  <c r="AV51" i="19"/>
  <c r="BJ51" i="19"/>
  <c r="AU51" i="19"/>
  <c r="BX51" i="19"/>
  <c r="BX52" i="19" s="1"/>
  <c r="BX53" i="19" s="1"/>
  <c r="BX54" i="19" s="1"/>
  <c r="BI51" i="19"/>
  <c r="AT51" i="19"/>
  <c r="AT52" i="19" s="1"/>
  <c r="AT53" i="19" s="1"/>
  <c r="BV51" i="19"/>
  <c r="BV52" i="19" s="1"/>
  <c r="BV53" i="19" s="1"/>
  <c r="BV54" i="19" s="1"/>
  <c r="BH51" i="19"/>
  <c r="AS51" i="19"/>
  <c r="AS52" i="19" s="1"/>
  <c r="AS53" i="19" s="1"/>
  <c r="BU51" i="19"/>
  <c r="BU52" i="19" s="1"/>
  <c r="BU53" i="19" s="1"/>
  <c r="BU54" i="19" s="1"/>
  <c r="BG51" i="19"/>
  <c r="AQ51" i="19"/>
  <c r="AQ52" i="19" s="1"/>
  <c r="AQ53" i="19" s="1"/>
  <c r="BT51" i="19"/>
  <c r="BT52" i="19" s="1"/>
  <c r="BT53" i="19" s="1"/>
  <c r="BT54" i="19" s="1"/>
  <c r="BF51" i="19"/>
  <c r="AP51" i="19"/>
  <c r="AP52" i="19" s="1"/>
  <c r="AP53" i="19" s="1"/>
  <c r="BE45" i="19"/>
  <c r="BS51" i="19"/>
  <c r="BS52" i="19" s="1"/>
  <c r="BS53" i="19" s="1"/>
  <c r="BS54" i="19" s="1"/>
  <c r="BC51" i="19"/>
  <c r="AO51" i="19"/>
  <c r="AO52" i="19" s="1"/>
  <c r="AO53" i="19" s="1"/>
  <c r="BR51" i="19"/>
  <c r="BR52" i="19" s="1"/>
  <c r="BR53" i="19" s="1"/>
  <c r="BR54" i="19" s="1"/>
  <c r="BB51" i="19"/>
  <c r="AN51" i="19"/>
  <c r="AN52" i="19" s="1"/>
  <c r="AN53" i="19" s="1"/>
  <c r="BP51" i="19"/>
  <c r="BP52" i="19" s="1"/>
  <c r="BP53" i="19" s="1"/>
  <c r="BP54" i="19" s="1"/>
  <c r="BA51" i="19"/>
  <c r="AP39" i="19"/>
  <c r="AX39" i="19" s="1"/>
  <c r="BA39" i="19"/>
  <c r="AO39" i="19" s="1"/>
  <c r="BB39" i="19" s="1"/>
  <c r="BC39" i="19" s="1"/>
  <c r="AZ40" i="19"/>
  <c r="AX40" i="19"/>
  <c r="V47" i="19"/>
  <c r="AC48" i="19"/>
  <c r="AF51" i="19"/>
  <c r="AC59" i="19"/>
  <c r="L69" i="19"/>
  <c r="AW32" i="19"/>
  <c r="AX33" i="19"/>
  <c r="AX37" i="19"/>
  <c r="AF47" i="19"/>
  <c r="D49" i="19"/>
  <c r="D187" i="19" s="1"/>
  <c r="BN51" i="19"/>
  <c r="O58" i="19"/>
  <c r="K60" i="19"/>
  <c r="G70" i="19"/>
  <c r="G103" i="19"/>
  <c r="L113" i="19"/>
  <c r="AX32" i="19"/>
  <c r="AQ38" i="19"/>
  <c r="AZ38" i="19" s="1"/>
  <c r="G49" i="19"/>
  <c r="G187" i="19" s="1"/>
  <c r="BO51" i="19"/>
  <c r="BO52" i="19" s="1"/>
  <c r="BO53" i="19" s="1"/>
  <c r="BO54" i="19" s="1"/>
  <c r="Q58" i="19"/>
  <c r="Y60" i="19"/>
  <c r="F62" i="19"/>
  <c r="AF70" i="19"/>
  <c r="AZ32" i="19"/>
  <c r="D47" i="19"/>
  <c r="AD58" i="19"/>
  <c r="Z60" i="19"/>
  <c r="S62" i="19"/>
  <c r="AH68" i="19"/>
  <c r="AQ34" i="19"/>
  <c r="E47" i="19"/>
  <c r="R49" i="19"/>
  <c r="R187" i="19" s="1"/>
  <c r="AE58" i="19"/>
  <c r="W47" i="19"/>
  <c r="AD59" i="19"/>
  <c r="AC47" i="19"/>
  <c r="G25" i="19"/>
  <c r="AQ35" i="19"/>
  <c r="AZ35" i="19" s="1"/>
  <c r="AQ36" i="19"/>
  <c r="AZ36" i="19" s="1"/>
  <c r="G47" i="19"/>
  <c r="J48" i="19"/>
  <c r="AH61" i="19"/>
  <c r="J25" i="19"/>
  <c r="AY33" i="19"/>
  <c r="AW33" i="19" s="1"/>
  <c r="AV33" i="19" s="1"/>
  <c r="AW37" i="19"/>
  <c r="AY40" i="19"/>
  <c r="AW40" i="19" s="1"/>
  <c r="AV40" i="19" s="1"/>
  <c r="H47" i="19"/>
  <c r="K48" i="19"/>
  <c r="D51" i="19"/>
  <c r="AY37" i="19"/>
  <c r="N47" i="19"/>
  <c r="N48" i="19"/>
  <c r="U73" i="19"/>
  <c r="E70" i="19"/>
  <c r="Y169" i="19"/>
  <c r="M169" i="19"/>
  <c r="AF168" i="19"/>
  <c r="T168" i="19"/>
  <c r="H168" i="19"/>
  <c r="AB159" i="19"/>
  <c r="W158" i="19"/>
  <c r="K158" i="19"/>
  <c r="AD157" i="19"/>
  <c r="R157" i="19"/>
  <c r="F157" i="19"/>
  <c r="L172" i="19"/>
  <c r="X169" i="19"/>
  <c r="L169" i="19"/>
  <c r="AE168" i="19"/>
  <c r="S168" i="19"/>
  <c r="G168" i="19"/>
  <c r="V158" i="19"/>
  <c r="J158" i="19"/>
  <c r="AC157" i="19"/>
  <c r="Q157" i="19"/>
  <c r="W172" i="19"/>
  <c r="W169" i="19"/>
  <c r="K169" i="19"/>
  <c r="AD168" i="19"/>
  <c r="R168" i="19"/>
  <c r="F168" i="19"/>
  <c r="AG158" i="19"/>
  <c r="U158" i="19"/>
  <c r="I158" i="19"/>
  <c r="AB157" i="19"/>
  <c r="P157" i="19"/>
  <c r="D157" i="19"/>
  <c r="AE150" i="19"/>
  <c r="S150" i="19"/>
  <c r="X148" i="19"/>
  <c r="AE147" i="19"/>
  <c r="S147" i="19"/>
  <c r="G147" i="19"/>
  <c r="Z146" i="19"/>
  <c r="N146" i="19"/>
  <c r="AC139" i="19"/>
  <c r="Q139" i="19"/>
  <c r="E139" i="19"/>
  <c r="J137" i="19"/>
  <c r="AC136" i="19"/>
  <c r="Q136" i="19"/>
  <c r="E136" i="19"/>
  <c r="V172" i="19"/>
  <c r="V169" i="19"/>
  <c r="J169" i="19"/>
  <c r="AC168" i="19"/>
  <c r="Q168" i="19"/>
  <c r="E168" i="19"/>
  <c r="AF158" i="19"/>
  <c r="T158" i="19"/>
  <c r="H158" i="19"/>
  <c r="AA157" i="19"/>
  <c r="O157" i="19"/>
  <c r="AD150" i="19"/>
  <c r="R150" i="19"/>
  <c r="AD147" i="19"/>
  <c r="R147" i="19"/>
  <c r="F147" i="19"/>
  <c r="Y146" i="19"/>
  <c r="M146" i="19"/>
  <c r="AB139" i="19"/>
  <c r="P139" i="19"/>
  <c r="AG172" i="19"/>
  <c r="I172" i="19"/>
  <c r="AG169" i="19"/>
  <c r="U169" i="19"/>
  <c r="I169" i="19"/>
  <c r="AB168" i="19"/>
  <c r="P168" i="19"/>
  <c r="D168" i="19"/>
  <c r="S161" i="19"/>
  <c r="X159" i="19"/>
  <c r="AE158" i="19"/>
  <c r="S158" i="19"/>
  <c r="G158" i="19"/>
  <c r="Z157" i="19"/>
  <c r="N157" i="19"/>
  <c r="T172" i="19"/>
  <c r="AF169" i="19"/>
  <c r="T169" i="19"/>
  <c r="H169" i="19"/>
  <c r="AA168" i="19"/>
  <c r="O168" i="19"/>
  <c r="AD161" i="19"/>
  <c r="AE172" i="19"/>
  <c r="AE169" i="19"/>
  <c r="S169" i="19"/>
  <c r="G169" i="19"/>
  <c r="Z168" i="19"/>
  <c r="N168" i="19"/>
  <c r="AC161" i="19"/>
  <c r="AC158" i="19"/>
  <c r="Q158" i="19"/>
  <c r="E158" i="19"/>
  <c r="X157" i="19"/>
  <c r="R172" i="19"/>
  <c r="AD169" i="19"/>
  <c r="R169" i="19"/>
  <c r="F169" i="19"/>
  <c r="Y168" i="19"/>
  <c r="M168" i="19"/>
  <c r="E172" i="19"/>
  <c r="AC169" i="19"/>
  <c r="Q169" i="19"/>
  <c r="E169" i="19"/>
  <c r="X168" i="19"/>
  <c r="L168" i="19"/>
  <c r="AA172" i="19"/>
  <c r="AA169" i="19"/>
  <c r="O169" i="19"/>
  <c r="V168" i="19"/>
  <c r="J168" i="19"/>
  <c r="Z172" i="19"/>
  <c r="Z169" i="19"/>
  <c r="N169" i="19"/>
  <c r="AG168" i="19"/>
  <c r="U168" i="19"/>
  <c r="I168" i="19"/>
  <c r="X161" i="19"/>
  <c r="AC159" i="19"/>
  <c r="L158" i="19"/>
  <c r="S157" i="19"/>
  <c r="AC150" i="19"/>
  <c r="O150" i="19"/>
  <c r="AD148" i="19"/>
  <c r="AG147" i="19"/>
  <c r="Q147" i="19"/>
  <c r="T146" i="19"/>
  <c r="F146" i="19"/>
  <c r="V139" i="19"/>
  <c r="AD158" i="19"/>
  <c r="F158" i="19"/>
  <c r="M157" i="19"/>
  <c r="AB150" i="19"/>
  <c r="N150" i="19"/>
  <c r="AC148" i="19"/>
  <c r="AF147" i="19"/>
  <c r="P147" i="19"/>
  <c r="AG146" i="19"/>
  <c r="S146" i="19"/>
  <c r="E146" i="19"/>
  <c r="U139" i="19"/>
  <c r="Z136" i="19"/>
  <c r="M136" i="19"/>
  <c r="AE135" i="19"/>
  <c r="S135" i="19"/>
  <c r="G135" i="19"/>
  <c r="AB158" i="19"/>
  <c r="D158" i="19"/>
  <c r="L157" i="19"/>
  <c r="AA150" i="19"/>
  <c r="M150" i="19"/>
  <c r="AB148" i="19"/>
  <c r="AC147" i="19"/>
  <c r="O147" i="19"/>
  <c r="AF146" i="19"/>
  <c r="R146" i="19"/>
  <c r="D146" i="19"/>
  <c r="T139" i="19"/>
  <c r="AG137" i="19"/>
  <c r="T137" i="19"/>
  <c r="Y136" i="19"/>
  <c r="L136" i="19"/>
  <c r="AD135" i="19"/>
  <c r="R135" i="19"/>
  <c r="AB169" i="19"/>
  <c r="AA158" i="19"/>
  <c r="K157" i="19"/>
  <c r="Z150" i="19"/>
  <c r="L150" i="19"/>
  <c r="AB147" i="19"/>
  <c r="N147" i="19"/>
  <c r="AE146" i="19"/>
  <c r="Q146" i="19"/>
  <c r="AG139" i="19"/>
  <c r="D139" i="19"/>
  <c r="AF137" i="19"/>
  <c r="X136" i="19"/>
  <c r="K136" i="19"/>
  <c r="AC135" i="19"/>
  <c r="Q135" i="19"/>
  <c r="E135" i="19"/>
  <c r="AF128" i="19"/>
  <c r="T128" i="19"/>
  <c r="H128" i="19"/>
  <c r="Y126" i="19"/>
  <c r="AF125" i="19"/>
  <c r="T125" i="19"/>
  <c r="H125" i="19"/>
  <c r="AA124" i="19"/>
  <c r="O124" i="19"/>
  <c r="AD117" i="19"/>
  <c r="R117" i="19"/>
  <c r="F117" i="19"/>
  <c r="AD114" i="19"/>
  <c r="R114" i="19"/>
  <c r="F114" i="19"/>
  <c r="Y113" i="19"/>
  <c r="M113" i="19"/>
  <c r="P169" i="19"/>
  <c r="AB161" i="19"/>
  <c r="S159" i="19"/>
  <c r="Z158" i="19"/>
  <c r="AG157" i="19"/>
  <c r="J157" i="19"/>
  <c r="Y150" i="19"/>
  <c r="AA147" i="19"/>
  <c r="M147" i="19"/>
  <c r="AD146" i="19"/>
  <c r="P146" i="19"/>
  <c r="AF139" i="19"/>
  <c r="R139" i="19"/>
  <c r="D169" i="19"/>
  <c r="Y158" i="19"/>
  <c r="AF157" i="19"/>
  <c r="I157" i="19"/>
  <c r="X150" i="19"/>
  <c r="J150" i="19"/>
  <c r="Z147" i="19"/>
  <c r="L147" i="19"/>
  <c r="AC146" i="19"/>
  <c r="O146" i="19"/>
  <c r="O139" i="19"/>
  <c r="X158" i="19"/>
  <c r="AE157" i="19"/>
  <c r="H157" i="19"/>
  <c r="W150" i="19"/>
  <c r="I150" i="19"/>
  <c r="Y147" i="19"/>
  <c r="K147" i="19"/>
  <c r="AB146" i="19"/>
  <c r="L146" i="19"/>
  <c r="N139" i="19"/>
  <c r="U136" i="19"/>
  <c r="H136" i="19"/>
  <c r="Z135" i="19"/>
  <c r="N135" i="19"/>
  <c r="W168" i="19"/>
  <c r="R158" i="19"/>
  <c r="Y157" i="19"/>
  <c r="G157" i="19"/>
  <c r="V150" i="19"/>
  <c r="X147" i="19"/>
  <c r="J147" i="19"/>
  <c r="AA146" i="19"/>
  <c r="K146" i="19"/>
  <c r="K168" i="19"/>
  <c r="P158" i="19"/>
  <c r="W157" i="19"/>
  <c r="E157" i="19"/>
  <c r="U150" i="19"/>
  <c r="E150" i="19"/>
  <c r="W147" i="19"/>
  <c r="I147" i="19"/>
  <c r="X146" i="19"/>
  <c r="J146" i="19"/>
  <c r="O158" i="19"/>
  <c r="V157" i="19"/>
  <c r="T150" i="19"/>
  <c r="D150" i="19"/>
  <c r="AG148" i="19"/>
  <c r="S148" i="19"/>
  <c r="V147" i="19"/>
  <c r="H147" i="19"/>
  <c r="W146" i="19"/>
  <c r="I146" i="19"/>
  <c r="AE136" i="19"/>
  <c r="R136" i="19"/>
  <c r="D136" i="19"/>
  <c r="W135" i="19"/>
  <c r="K135" i="19"/>
  <c r="Z128" i="19"/>
  <c r="N128" i="19"/>
  <c r="AE126" i="19"/>
  <c r="S126" i="19"/>
  <c r="G126" i="19"/>
  <c r="Z125" i="19"/>
  <c r="N125" i="19"/>
  <c r="AG124" i="19"/>
  <c r="U124" i="19"/>
  <c r="I124" i="19"/>
  <c r="X117" i="19"/>
  <c r="L117" i="19"/>
  <c r="AC115" i="19"/>
  <c r="X114" i="19"/>
  <c r="L114" i="19"/>
  <c r="N158" i="19"/>
  <c r="U157" i="19"/>
  <c r="AG150" i="19"/>
  <c r="AF148" i="19"/>
  <c r="U147" i="19"/>
  <c r="E147" i="19"/>
  <c r="V146" i="19"/>
  <c r="H146" i="19"/>
  <c r="AD159" i="19"/>
  <c r="N137" i="19"/>
  <c r="V136" i="19"/>
  <c r="AF135" i="19"/>
  <c r="J135" i="19"/>
  <c r="W128" i="19"/>
  <c r="I128" i="19"/>
  <c r="V126" i="19"/>
  <c r="H126" i="19"/>
  <c r="X125" i="19"/>
  <c r="J125" i="19"/>
  <c r="Z124" i="19"/>
  <c r="L124" i="19"/>
  <c r="AB117" i="19"/>
  <c r="N117" i="19"/>
  <c r="AB115" i="19"/>
  <c r="N115" i="19"/>
  <c r="AE114" i="19"/>
  <c r="P114" i="19"/>
  <c r="AG113" i="19"/>
  <c r="T113" i="19"/>
  <c r="G113" i="19"/>
  <c r="AG106" i="19"/>
  <c r="U106" i="19"/>
  <c r="I106" i="19"/>
  <c r="T136" i="19"/>
  <c r="AB135" i="19"/>
  <c r="I135" i="19"/>
  <c r="V128" i="19"/>
  <c r="G128" i="19"/>
  <c r="U126" i="19"/>
  <c r="F126" i="19"/>
  <c r="W125" i="19"/>
  <c r="I125" i="19"/>
  <c r="Y124" i="19"/>
  <c r="K124" i="19"/>
  <c r="AA117" i="19"/>
  <c r="M117" i="19"/>
  <c r="AC114" i="19"/>
  <c r="O114" i="19"/>
  <c r="AF113" i="19"/>
  <c r="S113" i="19"/>
  <c r="F113" i="19"/>
  <c r="M158" i="19"/>
  <c r="AE148" i="19"/>
  <c r="S136" i="19"/>
  <c r="AA135" i="19"/>
  <c r="H135" i="19"/>
  <c r="U128" i="19"/>
  <c r="F128" i="19"/>
  <c r="T126" i="19"/>
  <c r="V125" i="19"/>
  <c r="G125" i="19"/>
  <c r="X124" i="19"/>
  <c r="J124" i="19"/>
  <c r="Z117" i="19"/>
  <c r="K117" i="19"/>
  <c r="AB114" i="19"/>
  <c r="N114" i="19"/>
  <c r="AE113" i="19"/>
  <c r="R113" i="19"/>
  <c r="E113" i="19"/>
  <c r="AE106" i="19"/>
  <c r="S106" i="19"/>
  <c r="G106" i="19"/>
  <c r="P136" i="19"/>
  <c r="Y135" i="19"/>
  <c r="F135" i="19"/>
  <c r="S128" i="19"/>
  <c r="E128" i="19"/>
  <c r="AG126" i="19"/>
  <c r="R126" i="19"/>
  <c r="U125" i="19"/>
  <c r="F125" i="19"/>
  <c r="W124" i="19"/>
  <c r="H124" i="19"/>
  <c r="Y117" i="19"/>
  <c r="J117" i="19"/>
  <c r="J115" i="19"/>
  <c r="AA114" i="19"/>
  <c r="M114" i="19"/>
  <c r="AD113" i="19"/>
  <c r="Q113" i="19"/>
  <c r="D113" i="19"/>
  <c r="AD106" i="19"/>
  <c r="R106" i="19"/>
  <c r="F106" i="19"/>
  <c r="K104" i="19"/>
  <c r="AD103" i="19"/>
  <c r="R103" i="19"/>
  <c r="F103" i="19"/>
  <c r="Y102" i="19"/>
  <c r="M102" i="19"/>
  <c r="AB95" i="19"/>
  <c r="P95" i="19"/>
  <c r="D95" i="19"/>
  <c r="AA92" i="19"/>
  <c r="O92" i="19"/>
  <c r="V91" i="19"/>
  <c r="J91" i="19"/>
  <c r="Y84" i="19"/>
  <c r="M84" i="19"/>
  <c r="AC82" i="19"/>
  <c r="E82" i="19"/>
  <c r="X81" i="19"/>
  <c r="L81" i="19"/>
  <c r="AE80" i="19"/>
  <c r="S80" i="19"/>
  <c r="G80" i="19"/>
  <c r="T157" i="19"/>
  <c r="AF150" i="19"/>
  <c r="AA139" i="19"/>
  <c r="E137" i="19"/>
  <c r="O136" i="19"/>
  <c r="X135" i="19"/>
  <c r="D135" i="19"/>
  <c r="AG128" i="19"/>
  <c r="R128" i="19"/>
  <c r="D128" i="19"/>
  <c r="AF126" i="19"/>
  <c r="Q126" i="19"/>
  <c r="S125" i="19"/>
  <c r="E125" i="19"/>
  <c r="V124" i="19"/>
  <c r="G124" i="19"/>
  <c r="W117" i="19"/>
  <c r="I117" i="19"/>
  <c r="Z114" i="19"/>
  <c r="K114" i="19"/>
  <c r="AC113" i="19"/>
  <c r="P113" i="19"/>
  <c r="T147" i="19"/>
  <c r="N136" i="19"/>
  <c r="V135" i="19"/>
  <c r="AE128" i="19"/>
  <c r="Q128" i="19"/>
  <c r="AD126" i="19"/>
  <c r="P126" i="19"/>
  <c r="AG125" i="19"/>
  <c r="R125" i="19"/>
  <c r="D125" i="19"/>
  <c r="T124" i="19"/>
  <c r="F124" i="19"/>
  <c r="V117" i="19"/>
  <c r="H117" i="19"/>
  <c r="D147" i="19"/>
  <c r="AG136" i="19"/>
  <c r="J136" i="19"/>
  <c r="U135" i="19"/>
  <c r="AD128" i="19"/>
  <c r="P128" i="19"/>
  <c r="AC126" i="19"/>
  <c r="AE125" i="19"/>
  <c r="Q125" i="19"/>
  <c r="S124" i="19"/>
  <c r="E124" i="19"/>
  <c r="M139" i="19"/>
  <c r="AF136" i="19"/>
  <c r="I136" i="19"/>
  <c r="T135" i="19"/>
  <c r="AC128" i="19"/>
  <c r="O128" i="19"/>
  <c r="AB126" i="19"/>
  <c r="AD125" i="19"/>
  <c r="P125" i="19"/>
  <c r="AF124" i="19"/>
  <c r="R124" i="19"/>
  <c r="D124" i="19"/>
  <c r="T117" i="19"/>
  <c r="E117" i="19"/>
  <c r="U146" i="19"/>
  <c r="J139" i="19"/>
  <c r="AD136" i="19"/>
  <c r="G136" i="19"/>
  <c r="P135" i="19"/>
  <c r="AB128" i="19"/>
  <c r="M128" i="19"/>
  <c r="AA126" i="19"/>
  <c r="L126" i="19"/>
  <c r="AC125" i="19"/>
  <c r="O125" i="19"/>
  <c r="AE124" i="19"/>
  <c r="Q124" i="19"/>
  <c r="AG117" i="19"/>
  <c r="S117" i="19"/>
  <c r="D117" i="19"/>
  <c r="AG115" i="19"/>
  <c r="U114" i="19"/>
  <c r="G114" i="19"/>
  <c r="X113" i="19"/>
  <c r="K113" i="19"/>
  <c r="G146" i="19"/>
  <c r="I139" i="19"/>
  <c r="AB136" i="19"/>
  <c r="F136" i="19"/>
  <c r="O135" i="19"/>
  <c r="AA128" i="19"/>
  <c r="L128" i="19"/>
  <c r="Z126" i="19"/>
  <c r="K126" i="19"/>
  <c r="AB125" i="19"/>
  <c r="M125" i="19"/>
  <c r="AD124" i="19"/>
  <c r="P124" i="19"/>
  <c r="AF117" i="19"/>
  <c r="Q117" i="19"/>
  <c r="R115" i="19"/>
  <c r="T114" i="19"/>
  <c r="E114" i="19"/>
  <c r="W113" i="19"/>
  <c r="J113" i="19"/>
  <c r="X106" i="19"/>
  <c r="L106" i="19"/>
  <c r="Q104" i="19"/>
  <c r="E104" i="19"/>
  <c r="X103" i="19"/>
  <c r="L103" i="19"/>
  <c r="AE102" i="19"/>
  <c r="S102" i="19"/>
  <c r="G102" i="19"/>
  <c r="V95" i="19"/>
  <c r="J95" i="19"/>
  <c r="AG92" i="19"/>
  <c r="U92" i="19"/>
  <c r="I92" i="19"/>
  <c r="AB91" i="19"/>
  <c r="AA136" i="19"/>
  <c r="M135" i="19"/>
  <c r="Y128" i="19"/>
  <c r="K128" i="19"/>
  <c r="X126" i="19"/>
  <c r="AA125" i="19"/>
  <c r="L125" i="19"/>
  <c r="AC124" i="19"/>
  <c r="N124" i="19"/>
  <c r="AE117" i="19"/>
  <c r="P117" i="19"/>
  <c r="AG135" i="19"/>
  <c r="O115" i="19"/>
  <c r="I114" i="19"/>
  <c r="I113" i="19"/>
  <c r="V106" i="19"/>
  <c r="R104" i="19"/>
  <c r="T103" i="19"/>
  <c r="E103" i="19"/>
  <c r="V102" i="19"/>
  <c r="H102" i="19"/>
  <c r="X95" i="19"/>
  <c r="I95" i="19"/>
  <c r="V93" i="19"/>
  <c r="X92" i="19"/>
  <c r="J92" i="19"/>
  <c r="AA91" i="19"/>
  <c r="N91" i="19"/>
  <c r="AC84" i="19"/>
  <c r="P84" i="19"/>
  <c r="V81" i="19"/>
  <c r="I81" i="19"/>
  <c r="AA80" i="19"/>
  <c r="N80" i="19"/>
  <c r="AB73" i="19"/>
  <c r="P73" i="19"/>
  <c r="D73" i="19"/>
  <c r="H71" i="19"/>
  <c r="AA70" i="19"/>
  <c r="O70" i="19"/>
  <c r="V69" i="19"/>
  <c r="J69" i="19"/>
  <c r="L135" i="19"/>
  <c r="Y125" i="19"/>
  <c r="H114" i="19"/>
  <c r="H113" i="19"/>
  <c r="T106" i="19"/>
  <c r="P104" i="19"/>
  <c r="AG103" i="19"/>
  <c r="S103" i="19"/>
  <c r="D103" i="19"/>
  <c r="U102" i="19"/>
  <c r="F102" i="19"/>
  <c r="W95" i="19"/>
  <c r="H95" i="19"/>
  <c r="U93" i="19"/>
  <c r="W92" i="19"/>
  <c r="H92" i="19"/>
  <c r="Z91" i="19"/>
  <c r="M91" i="19"/>
  <c r="AB84" i="19"/>
  <c r="O84" i="19"/>
  <c r="U81" i="19"/>
  <c r="H81" i="19"/>
  <c r="Z80" i="19"/>
  <c r="M80" i="19"/>
  <c r="AA73" i="19"/>
  <c r="O73" i="19"/>
  <c r="AE71" i="19"/>
  <c r="G71" i="19"/>
  <c r="Z70" i="19"/>
  <c r="N70" i="19"/>
  <c r="AG69" i="19"/>
  <c r="U69" i="19"/>
  <c r="I69" i="19"/>
  <c r="X128" i="19"/>
  <c r="K125" i="19"/>
  <c r="D114" i="19"/>
  <c r="Q106" i="19"/>
  <c r="O104" i="19"/>
  <c r="AF103" i="19"/>
  <c r="Q103" i="19"/>
  <c r="T102" i="19"/>
  <c r="E102" i="19"/>
  <c r="U95" i="19"/>
  <c r="G95" i="19"/>
  <c r="V92" i="19"/>
  <c r="G92" i="19"/>
  <c r="Y91" i="19"/>
  <c r="L91" i="19"/>
  <c r="AA84" i="19"/>
  <c r="N84" i="19"/>
  <c r="AB82" i="19"/>
  <c r="O82" i="19"/>
  <c r="AG81" i="19"/>
  <c r="T81" i="19"/>
  <c r="G81" i="19"/>
  <c r="Y80" i="19"/>
  <c r="L80" i="19"/>
  <c r="Z73" i="19"/>
  <c r="N73" i="19"/>
  <c r="Y70" i="19"/>
  <c r="M70" i="19"/>
  <c r="AF69" i="19"/>
  <c r="T69" i="19"/>
  <c r="H69" i="19"/>
  <c r="J128" i="19"/>
  <c r="P106" i="19"/>
  <c r="N104" i="19"/>
  <c r="AE103" i="19"/>
  <c r="P103" i="19"/>
  <c r="AG102" i="19"/>
  <c r="R102" i="19"/>
  <c r="D102" i="19"/>
  <c r="T95" i="19"/>
  <c r="F95" i="19"/>
  <c r="T92" i="19"/>
  <c r="F92" i="19"/>
  <c r="X91" i="19"/>
  <c r="K91" i="19"/>
  <c r="Z84" i="19"/>
  <c r="L84" i="19"/>
  <c r="N82" i="19"/>
  <c r="AF81" i="19"/>
  <c r="S81" i="19"/>
  <c r="F81" i="19"/>
  <c r="X80" i="19"/>
  <c r="K80" i="19"/>
  <c r="Y73" i="19"/>
  <c r="M73" i="19"/>
  <c r="Q71" i="19"/>
  <c r="X70" i="19"/>
  <c r="L70" i="19"/>
  <c r="AE69" i="19"/>
  <c r="S69" i="19"/>
  <c r="G69" i="19"/>
  <c r="Z62" i="19"/>
  <c r="AG59" i="19"/>
  <c r="U59" i="19"/>
  <c r="I59" i="19"/>
  <c r="AB58" i="19"/>
  <c r="P58" i="19"/>
  <c r="D58" i="19"/>
  <c r="AA51" i="19"/>
  <c r="O51" i="19"/>
  <c r="I49" i="19"/>
  <c r="I187" i="19" s="1"/>
  <c r="AG48" i="19"/>
  <c r="U48" i="19"/>
  <c r="I48" i="19"/>
  <c r="AG47" i="19"/>
  <c r="U47" i="19"/>
  <c r="I47" i="19"/>
  <c r="AB124" i="19"/>
  <c r="AG114" i="19"/>
  <c r="AB113" i="19"/>
  <c r="O106" i="19"/>
  <c r="M104" i="19"/>
  <c r="AC103" i="19"/>
  <c r="O103" i="19"/>
  <c r="AF102" i="19"/>
  <c r="Q102" i="19"/>
  <c r="AG95" i="19"/>
  <c r="S95" i="19"/>
  <c r="E95" i="19"/>
  <c r="AE93" i="19"/>
  <c r="Q93" i="19"/>
  <c r="S92" i="19"/>
  <c r="E92" i="19"/>
  <c r="W91" i="19"/>
  <c r="I91" i="19"/>
  <c r="X84" i="19"/>
  <c r="K84" i="19"/>
  <c r="M82" i="19"/>
  <c r="AE81" i="19"/>
  <c r="R81" i="19"/>
  <c r="E81" i="19"/>
  <c r="W80" i="19"/>
  <c r="J80" i="19"/>
  <c r="X73" i="19"/>
  <c r="L73" i="19"/>
  <c r="W70" i="19"/>
  <c r="K70" i="19"/>
  <c r="AD69" i="19"/>
  <c r="R69" i="19"/>
  <c r="F69" i="19"/>
  <c r="M124" i="19"/>
  <c r="AC117" i="19"/>
  <c r="AF114" i="19"/>
  <c r="AA113" i="19"/>
  <c r="AF106" i="19"/>
  <c r="N106" i="19"/>
  <c r="L104" i="19"/>
  <c r="AB103" i="19"/>
  <c r="N103" i="19"/>
  <c r="AD102" i="19"/>
  <c r="P102" i="19"/>
  <c r="AF95" i="19"/>
  <c r="R95" i="19"/>
  <c r="AF92" i="19"/>
  <c r="R92" i="19"/>
  <c r="D92" i="19"/>
  <c r="U91" i="19"/>
  <c r="H91" i="19"/>
  <c r="W84" i="19"/>
  <c r="J84" i="19"/>
  <c r="AD81" i="19"/>
  <c r="Q81" i="19"/>
  <c r="D81" i="19"/>
  <c r="V80" i="19"/>
  <c r="I80" i="19"/>
  <c r="W73" i="19"/>
  <c r="K73" i="19"/>
  <c r="U117" i="19"/>
  <c r="Y114" i="19"/>
  <c r="Z113" i="19"/>
  <c r="M106" i="19"/>
  <c r="J104" i="19"/>
  <c r="AA103" i="19"/>
  <c r="M103" i="19"/>
  <c r="AC102" i="19"/>
  <c r="O102" i="19"/>
  <c r="AE95" i="19"/>
  <c r="Q95" i="19"/>
  <c r="AE92" i="19"/>
  <c r="Q92" i="19"/>
  <c r="T91" i="19"/>
  <c r="G91" i="19"/>
  <c r="I84" i="19"/>
  <c r="X82" i="19"/>
  <c r="AC81" i="19"/>
  <c r="P81" i="19"/>
  <c r="U80" i="19"/>
  <c r="H80" i="19"/>
  <c r="V73" i="19"/>
  <c r="J73" i="19"/>
  <c r="Z71" i="19"/>
  <c r="AG70" i="19"/>
  <c r="U70" i="19"/>
  <c r="I70" i="19"/>
  <c r="AB69" i="19"/>
  <c r="P69" i="19"/>
  <c r="D69" i="19"/>
  <c r="O117" i="19"/>
  <c r="W114" i="19"/>
  <c r="V113" i="19"/>
  <c r="K106" i="19"/>
  <c r="X104" i="19"/>
  <c r="I104" i="19"/>
  <c r="Z103" i="19"/>
  <c r="K103" i="19"/>
  <c r="AB102" i="19"/>
  <c r="N102" i="19"/>
  <c r="AD95" i="19"/>
  <c r="O95" i="19"/>
  <c r="AD92" i="19"/>
  <c r="P92" i="19"/>
  <c r="AG91" i="19"/>
  <c r="S91" i="19"/>
  <c r="F91" i="19"/>
  <c r="H84" i="19"/>
  <c r="AB81" i="19"/>
  <c r="O81" i="19"/>
  <c r="AG80" i="19"/>
  <c r="T80" i="19"/>
  <c r="F80" i="19"/>
  <c r="G117" i="19"/>
  <c r="V114" i="19"/>
  <c r="U113" i="19"/>
  <c r="AA106" i="19"/>
  <c r="J106" i="19"/>
  <c r="H104" i="19"/>
  <c r="Y103" i="19"/>
  <c r="J103" i="19"/>
  <c r="AA102" i="19"/>
  <c r="L102" i="19"/>
  <c r="AC95" i="19"/>
  <c r="N95" i="19"/>
  <c r="AC92" i="19"/>
  <c r="N92" i="19"/>
  <c r="AF91" i="19"/>
  <c r="R91" i="19"/>
  <c r="E91" i="19"/>
  <c r="AG84" i="19"/>
  <c r="G84" i="19"/>
  <c r="AA81" i="19"/>
  <c r="N81" i="19"/>
  <c r="AF80" i="19"/>
  <c r="R80" i="19"/>
  <c r="E80" i="19"/>
  <c r="O137" i="19"/>
  <c r="S114" i="19"/>
  <c r="O113" i="19"/>
  <c r="Z106" i="19"/>
  <c r="H106" i="19"/>
  <c r="G104" i="19"/>
  <c r="W103" i="19"/>
  <c r="I103" i="19"/>
  <c r="Z102" i="19"/>
  <c r="K102" i="19"/>
  <c r="AA95" i="19"/>
  <c r="M95" i="19"/>
  <c r="Y93" i="19"/>
  <c r="AB92" i="19"/>
  <c r="M92" i="19"/>
  <c r="AE91" i="19"/>
  <c r="Q91" i="19"/>
  <c r="D91" i="19"/>
  <c r="AF84" i="19"/>
  <c r="S84" i="19"/>
  <c r="F84" i="19"/>
  <c r="Z81" i="19"/>
  <c r="M81" i="19"/>
  <c r="AD80" i="19"/>
  <c r="Q80" i="19"/>
  <c r="D80" i="19"/>
  <c r="AE73" i="19"/>
  <c r="S73" i="19"/>
  <c r="G73" i="19"/>
  <c r="AD70" i="19"/>
  <c r="R70" i="19"/>
  <c r="F70" i="19"/>
  <c r="Y69" i="19"/>
  <c r="M69" i="19"/>
  <c r="H62" i="19"/>
  <c r="AD60" i="19"/>
  <c r="F60" i="19"/>
  <c r="AA59" i="19"/>
  <c r="O59" i="19"/>
  <c r="V58" i="19"/>
  <c r="J58" i="19"/>
  <c r="AG51" i="19"/>
  <c r="U51" i="19"/>
  <c r="I51" i="19"/>
  <c r="AA49" i="19"/>
  <c r="AA187" i="19" s="1"/>
  <c r="AA48" i="19"/>
  <c r="O48" i="19"/>
  <c r="AA47" i="19"/>
  <c r="O47" i="19"/>
  <c r="W136" i="19"/>
  <c r="Q114" i="19"/>
  <c r="N113" i="19"/>
  <c r="Y106" i="19"/>
  <c r="E106" i="19"/>
  <c r="F104" i="19"/>
  <c r="V103" i="19"/>
  <c r="H103" i="19"/>
  <c r="X102" i="19"/>
  <c r="J102" i="19"/>
  <c r="Z95" i="19"/>
  <c r="L95" i="19"/>
  <c r="Z92" i="19"/>
  <c r="L92" i="19"/>
  <c r="AD91" i="19"/>
  <c r="P91" i="19"/>
  <c r="AE84" i="19"/>
  <c r="R84" i="19"/>
  <c r="E84" i="19"/>
  <c r="Y81" i="19"/>
  <c r="K81" i="19"/>
  <c r="AC80" i="19"/>
  <c r="P80" i="19"/>
  <c r="AD73" i="19"/>
  <c r="R73" i="19"/>
  <c r="F73" i="19"/>
  <c r="V71" i="19"/>
  <c r="W102" i="19"/>
  <c r="I93" i="19"/>
  <c r="O80" i="19"/>
  <c r="T73" i="19"/>
  <c r="AE70" i="19"/>
  <c r="D70" i="19"/>
  <c r="E69" i="19"/>
  <c r="AB59" i="19"/>
  <c r="M59" i="19"/>
  <c r="AC58" i="19"/>
  <c r="N58" i="19"/>
  <c r="P51" i="19"/>
  <c r="W48" i="19"/>
  <c r="H48" i="19"/>
  <c r="AE47" i="19"/>
  <c r="Q47" i="19"/>
  <c r="I102" i="19"/>
  <c r="Y92" i="19"/>
  <c r="Q73" i="19"/>
  <c r="AC70" i="19"/>
  <c r="AE62" i="19"/>
  <c r="Q62" i="19"/>
  <c r="Z59" i="19"/>
  <c r="L59" i="19"/>
  <c r="AA58" i="19"/>
  <c r="M58" i="19"/>
  <c r="AC51" i="19"/>
  <c r="N51" i="19"/>
  <c r="V48" i="19"/>
  <c r="G48" i="19"/>
  <c r="AD47" i="19"/>
  <c r="P47" i="19"/>
  <c r="Y95" i="19"/>
  <c r="K92" i="19"/>
  <c r="I73" i="19"/>
  <c r="AB70" i="19"/>
  <c r="AC69" i="19"/>
  <c r="AD62" i="19"/>
  <c r="P62" i="19"/>
  <c r="Y59" i="19"/>
  <c r="K59" i="19"/>
  <c r="Z58" i="19"/>
  <c r="L58" i="19"/>
  <c r="AB51" i="19"/>
  <c r="M51" i="19"/>
  <c r="T48" i="19"/>
  <c r="F48" i="19"/>
  <c r="K95" i="19"/>
  <c r="H73" i="19"/>
  <c r="V70" i="19"/>
  <c r="AA69" i="19"/>
  <c r="X59" i="19"/>
  <c r="J59" i="19"/>
  <c r="Y58" i="19"/>
  <c r="K58" i="19"/>
  <c r="L51" i="19"/>
  <c r="L49" i="19"/>
  <c r="L187" i="19" s="1"/>
  <c r="S48" i="19"/>
  <c r="E48" i="19"/>
  <c r="AB47" i="19"/>
  <c r="M47" i="19"/>
  <c r="AC91" i="19"/>
  <c r="E73" i="19"/>
  <c r="U71" i="19"/>
  <c r="T70" i="19"/>
  <c r="Z69" i="19"/>
  <c r="S60" i="19"/>
  <c r="W59" i="19"/>
  <c r="H59" i="19"/>
  <c r="X58" i="19"/>
  <c r="I58" i="19"/>
  <c r="K51" i="19"/>
  <c r="AF48" i="19"/>
  <c r="R48" i="19"/>
  <c r="D48" i="19"/>
  <c r="Z47" i="19"/>
  <c r="L47" i="19"/>
  <c r="O91" i="19"/>
  <c r="S70" i="19"/>
  <c r="X69" i="19"/>
  <c r="Q60" i="19"/>
  <c r="V59" i="19"/>
  <c r="G59" i="19"/>
  <c r="W58" i="19"/>
  <c r="H58" i="19"/>
  <c r="J51" i="19"/>
  <c r="AE48" i="19"/>
  <c r="Q48" i="19"/>
  <c r="Y47" i="19"/>
  <c r="K47" i="19"/>
  <c r="W126" i="19"/>
  <c r="S82" i="19"/>
  <c r="Q70" i="19"/>
  <c r="W69" i="19"/>
  <c r="Y62" i="19"/>
  <c r="K62" i="19"/>
  <c r="AE60" i="19"/>
  <c r="T59" i="19"/>
  <c r="F59" i="19"/>
  <c r="U58" i="19"/>
  <c r="G58" i="19"/>
  <c r="W51" i="19"/>
  <c r="H51" i="19"/>
  <c r="W49" i="19"/>
  <c r="W187" i="19" s="1"/>
  <c r="H49" i="19"/>
  <c r="H187" i="19" s="1"/>
  <c r="AD48" i="19"/>
  <c r="P48" i="19"/>
  <c r="X47" i="19"/>
  <c r="J47" i="19"/>
  <c r="AD84" i="19"/>
  <c r="P70" i="19"/>
  <c r="Q69" i="19"/>
  <c r="X62" i="19"/>
  <c r="S59" i="19"/>
  <c r="E59" i="19"/>
  <c r="T58" i="19"/>
  <c r="F58" i="19"/>
  <c r="V51" i="19"/>
  <c r="G51" i="19"/>
  <c r="J114" i="19"/>
  <c r="D104" i="19"/>
  <c r="Q84" i="19"/>
  <c r="W81" i="19"/>
  <c r="AG73" i="19"/>
  <c r="J70" i="19"/>
  <c r="O69" i="19"/>
  <c r="AF59" i="19"/>
  <c r="R59" i="19"/>
  <c r="D59" i="19"/>
  <c r="AG58" i="19"/>
  <c r="S58" i="19"/>
  <c r="E58" i="19"/>
  <c r="T51" i="19"/>
  <c r="F51" i="19"/>
  <c r="AB48" i="19"/>
  <c r="M48" i="19"/>
  <c r="W106" i="19"/>
  <c r="U103" i="19"/>
  <c r="D84" i="19"/>
  <c r="J81" i="19"/>
  <c r="AF73" i="19"/>
  <c r="H70" i="19"/>
  <c r="N69" i="19"/>
  <c r="G62" i="19"/>
  <c r="AE59" i="19"/>
  <c r="Q59" i="19"/>
  <c r="AF58" i="19"/>
  <c r="R58" i="19"/>
  <c r="E51" i="19"/>
  <c r="Z48" i="19"/>
  <c r="L48" i="19"/>
  <c r="T47" i="19"/>
  <c r="F47" i="19"/>
  <c r="AZ37" i="19"/>
  <c r="R47" i="19"/>
  <c r="X48" i="19"/>
  <c r="R51" i="19"/>
  <c r="N59" i="19"/>
  <c r="AB80" i="19"/>
  <c r="BA37" i="19"/>
  <c r="AO37" i="19" s="1"/>
  <c r="BB37" i="19" s="1"/>
  <c r="BC37" i="19" s="1"/>
  <c r="AW38" i="19"/>
  <c r="AZ47" i="19"/>
  <c r="AH83" i="19"/>
  <c r="AH105" i="19"/>
  <c r="BA40" i="19"/>
  <c r="AO40" i="19" s="1"/>
  <c r="BB40" i="19" s="1"/>
  <c r="BC40" i="19" s="1"/>
  <c r="AG153" i="19"/>
  <c r="AG142" i="19"/>
  <c r="AG120" i="19"/>
  <c r="AG109" i="19"/>
  <c r="AG131" i="19"/>
  <c r="AG87" i="19"/>
  <c r="AG76" i="19"/>
  <c r="AG98" i="19"/>
  <c r="AG65" i="19"/>
  <c r="AH123" i="19"/>
  <c r="AH138" i="19"/>
  <c r="AH134" i="19"/>
  <c r="AH145" i="19"/>
  <c r="AY33" i="18"/>
  <c r="AW33" i="18" s="1"/>
  <c r="AV33" i="18" s="1"/>
  <c r="AX33" i="18"/>
  <c r="AW37" i="18"/>
  <c r="C26" i="18"/>
  <c r="AE102" i="18"/>
  <c r="AD70" i="18"/>
  <c r="U60" i="18"/>
  <c r="V58" i="18"/>
  <c r="V48" i="18"/>
  <c r="AC47" i="18"/>
  <c r="O47" i="18"/>
  <c r="H69" i="18"/>
  <c r="O59" i="18"/>
  <c r="H48" i="18"/>
  <c r="I48" i="18"/>
  <c r="AD47" i="18"/>
  <c r="P47" i="18"/>
  <c r="AP38" i="18"/>
  <c r="AY38" i="18" s="1"/>
  <c r="BA38" i="18"/>
  <c r="AO38" i="18" s="1"/>
  <c r="BB38" i="18" s="1"/>
  <c r="BC38" i="18" s="1"/>
  <c r="N47" i="18"/>
  <c r="N59" i="18"/>
  <c r="U70" i="18"/>
  <c r="T60" i="18"/>
  <c r="C139" i="18"/>
  <c r="C161" i="18"/>
  <c r="C172" i="18"/>
  <c r="C128" i="18"/>
  <c r="C106" i="18"/>
  <c r="C117" i="18"/>
  <c r="C95" i="18"/>
  <c r="C62" i="18"/>
  <c r="C84" i="18"/>
  <c r="AZ39" i="18"/>
  <c r="AY39" i="18"/>
  <c r="AX39" i="18"/>
  <c r="AV39" i="18" s="1"/>
  <c r="AW39" i="18"/>
  <c r="F48" i="18"/>
  <c r="D102" i="18"/>
  <c r="U48" i="18"/>
  <c r="Z91" i="18"/>
  <c r="AZ40" i="18"/>
  <c r="AF51" i="18"/>
  <c r="AZ33" i="18"/>
  <c r="AG153" i="18"/>
  <c r="AG142" i="18"/>
  <c r="AG120" i="18"/>
  <c r="AG109" i="18"/>
  <c r="AG131" i="18"/>
  <c r="AG98" i="18"/>
  <c r="AG76" i="18"/>
  <c r="AG87" i="18"/>
  <c r="AG65" i="18"/>
  <c r="AG54" i="18"/>
  <c r="BA34" i="18"/>
  <c r="AO34" i="18" s="1"/>
  <c r="BB34" i="18" s="1"/>
  <c r="BC34" i="18" s="1"/>
  <c r="N51" i="18" s="1"/>
  <c r="AZ36" i="18"/>
  <c r="X48" i="18"/>
  <c r="P51" i="18"/>
  <c r="AQ51" i="18"/>
  <c r="AQ52" i="18" s="1"/>
  <c r="AQ53" i="18" s="1"/>
  <c r="BJ51" i="18"/>
  <c r="AA58" i="18"/>
  <c r="R59" i="18"/>
  <c r="X60" i="18"/>
  <c r="I69" i="18"/>
  <c r="Q47" i="18"/>
  <c r="AF47" i="18"/>
  <c r="J48" i="18"/>
  <c r="Y48" i="18"/>
  <c r="R51" i="18"/>
  <c r="AR51" i="18"/>
  <c r="AR52" i="18" s="1"/>
  <c r="AR53" i="18" s="1"/>
  <c r="BM51" i="18"/>
  <c r="AD58" i="18"/>
  <c r="W59" i="18"/>
  <c r="AD60" i="18"/>
  <c r="I62" i="18"/>
  <c r="S69" i="18"/>
  <c r="N80" i="18"/>
  <c r="D26" i="18"/>
  <c r="AY40" i="18"/>
  <c r="AW40" i="18" s="1"/>
  <c r="AV40" i="18" s="1"/>
  <c r="D47" i="18"/>
  <c r="R47" i="18"/>
  <c r="AG47" i="18"/>
  <c r="L48" i="18"/>
  <c r="Z48" i="18"/>
  <c r="AS51" i="18"/>
  <c r="AS52" i="18" s="1"/>
  <c r="AS53" i="18" s="1"/>
  <c r="AF58" i="18"/>
  <c r="AA59" i="18"/>
  <c r="AG60" i="18"/>
  <c r="L62" i="18"/>
  <c r="AH68" i="18"/>
  <c r="W69" i="18"/>
  <c r="R80" i="18"/>
  <c r="F91" i="18"/>
  <c r="BO51" i="18"/>
  <c r="BO52" i="18" s="1"/>
  <c r="BO53" i="18" s="1"/>
  <c r="BO54" i="18" s="1"/>
  <c r="BB51" i="18"/>
  <c r="AP51" i="18"/>
  <c r="AP52" i="18" s="1"/>
  <c r="AP53" i="18" s="1"/>
  <c r="BN51" i="18"/>
  <c r="BA51" i="18"/>
  <c r="AO51" i="18"/>
  <c r="AO52" i="18" s="1"/>
  <c r="AO53" i="18" s="1"/>
  <c r="BX51" i="18"/>
  <c r="BX52" i="18" s="1"/>
  <c r="BX53" i="18" s="1"/>
  <c r="BX54" i="18" s="1"/>
  <c r="BL51" i="18"/>
  <c r="AY51" i="18"/>
  <c r="BW51" i="18"/>
  <c r="BW52" i="18" s="1"/>
  <c r="BW53" i="18" s="1"/>
  <c r="BW54" i="18" s="1"/>
  <c r="BK51" i="18"/>
  <c r="AX51" i="18"/>
  <c r="BS51" i="18"/>
  <c r="BS52" i="18" s="1"/>
  <c r="BS53" i="18" s="1"/>
  <c r="BS54" i="18" s="1"/>
  <c r="BG51" i="18"/>
  <c r="AT51" i="18"/>
  <c r="AT52" i="18" s="1"/>
  <c r="AT53" i="18" s="1"/>
  <c r="E47" i="18"/>
  <c r="T47" i="18"/>
  <c r="M48" i="18"/>
  <c r="AA48" i="18"/>
  <c r="D49" i="18"/>
  <c r="D187" i="18" s="1"/>
  <c r="R49" i="18"/>
  <c r="R187" i="18" s="1"/>
  <c r="AG49" i="18"/>
  <c r="AG187" i="18" s="1"/>
  <c r="T51" i="18"/>
  <c r="AU51" i="18"/>
  <c r="BQ51" i="18"/>
  <c r="BQ52" i="18" s="1"/>
  <c r="BQ53" i="18" s="1"/>
  <c r="BQ54" i="18" s="1"/>
  <c r="AB59" i="18"/>
  <c r="M62" i="18"/>
  <c r="X69" i="18"/>
  <c r="E73" i="18"/>
  <c r="AB80" i="18"/>
  <c r="AH83" i="18"/>
  <c r="Y172" i="18"/>
  <c r="M172" i="18"/>
  <c r="AD170" i="18"/>
  <c r="R170" i="18"/>
  <c r="F170" i="18"/>
  <c r="Y169" i="18"/>
  <c r="M169" i="18"/>
  <c r="AF168" i="18"/>
  <c r="T168" i="18"/>
  <c r="H168" i="18"/>
  <c r="W161" i="18"/>
  <c r="K161" i="18"/>
  <c r="AB159" i="18"/>
  <c r="P159" i="18"/>
  <c r="D159" i="18"/>
  <c r="W158" i="18"/>
  <c r="K158" i="18"/>
  <c r="AD157" i="18"/>
  <c r="R157" i="18"/>
  <c r="F157" i="18"/>
  <c r="AG150" i="18"/>
  <c r="U150" i="18"/>
  <c r="I150" i="18"/>
  <c r="AG147" i="18"/>
  <c r="U147" i="18"/>
  <c r="I147" i="18"/>
  <c r="AB146" i="18"/>
  <c r="P146" i="18"/>
  <c r="X172" i="18"/>
  <c r="L172" i="18"/>
  <c r="AC170" i="18"/>
  <c r="Q170" i="18"/>
  <c r="E170" i="18"/>
  <c r="X169" i="18"/>
  <c r="L169" i="18"/>
  <c r="AE168" i="18"/>
  <c r="S168" i="18"/>
  <c r="G168" i="18"/>
  <c r="V161" i="18"/>
  <c r="J161" i="18"/>
  <c r="AA159" i="18"/>
  <c r="O159" i="18"/>
  <c r="V158" i="18"/>
  <c r="J158" i="18"/>
  <c r="AC157" i="18"/>
  <c r="Q157" i="18"/>
  <c r="E157" i="18"/>
  <c r="W172" i="18"/>
  <c r="K172" i="18"/>
  <c r="AB170" i="18"/>
  <c r="P170" i="18"/>
  <c r="D170" i="18"/>
  <c r="W169" i="18"/>
  <c r="K169" i="18"/>
  <c r="AD168" i="18"/>
  <c r="R168" i="18"/>
  <c r="F168" i="18"/>
  <c r="AG161" i="18"/>
  <c r="U161" i="18"/>
  <c r="I161" i="18"/>
  <c r="Z159" i="18"/>
  <c r="N159" i="18"/>
  <c r="AG158" i="18"/>
  <c r="U158" i="18"/>
  <c r="I158" i="18"/>
  <c r="AB157" i="18"/>
  <c r="P157" i="18"/>
  <c r="D157" i="18"/>
  <c r="AE150" i="18"/>
  <c r="S150" i="18"/>
  <c r="G150" i="18"/>
  <c r="L148" i="18"/>
  <c r="AE147" i="18"/>
  <c r="S147" i="18"/>
  <c r="G147" i="18"/>
  <c r="Z146" i="18"/>
  <c r="N146" i="18"/>
  <c r="V172" i="18"/>
  <c r="J172" i="18"/>
  <c r="AA170" i="18"/>
  <c r="O170" i="18"/>
  <c r="V169" i="18"/>
  <c r="J169" i="18"/>
  <c r="AC168" i="18"/>
  <c r="Q168" i="18"/>
  <c r="E168" i="18"/>
  <c r="AF161" i="18"/>
  <c r="T161" i="18"/>
  <c r="H161" i="18"/>
  <c r="Y159" i="18"/>
  <c r="M159" i="18"/>
  <c r="AF158" i="18"/>
  <c r="T158" i="18"/>
  <c r="H158" i="18"/>
  <c r="AA157" i="18"/>
  <c r="O157" i="18"/>
  <c r="AD150" i="18"/>
  <c r="AG172" i="18"/>
  <c r="U172" i="18"/>
  <c r="I172" i="18"/>
  <c r="Z170" i="18"/>
  <c r="N170" i="18"/>
  <c r="AG169" i="18"/>
  <c r="U169" i="18"/>
  <c r="I169" i="18"/>
  <c r="AB168" i="18"/>
  <c r="P168" i="18"/>
  <c r="D168" i="18"/>
  <c r="AE161" i="18"/>
  <c r="S161" i="18"/>
  <c r="G161" i="18"/>
  <c r="X159" i="18"/>
  <c r="L159" i="18"/>
  <c r="AE158" i="18"/>
  <c r="S158" i="18"/>
  <c r="G158" i="18"/>
  <c r="Z157" i="18"/>
  <c r="N157" i="18"/>
  <c r="AC150" i="18"/>
  <c r="Q150" i="18"/>
  <c r="E150" i="18"/>
  <c r="AC147" i="18"/>
  <c r="Q147" i="18"/>
  <c r="E147" i="18"/>
  <c r="X146" i="18"/>
  <c r="L146" i="18"/>
  <c r="T137" i="18"/>
  <c r="AA136" i="18"/>
  <c r="O136" i="18"/>
  <c r="V135" i="18"/>
  <c r="AF172" i="18"/>
  <c r="T172" i="18"/>
  <c r="H172" i="18"/>
  <c r="Y170" i="18"/>
  <c r="M170" i="18"/>
  <c r="AF169" i="18"/>
  <c r="T169" i="18"/>
  <c r="H169" i="18"/>
  <c r="AA168" i="18"/>
  <c r="O168" i="18"/>
  <c r="AD161" i="18"/>
  <c r="R161" i="18"/>
  <c r="F161" i="18"/>
  <c r="W159" i="18"/>
  <c r="K159" i="18"/>
  <c r="AD158" i="18"/>
  <c r="R158" i="18"/>
  <c r="F158" i="18"/>
  <c r="Y157" i="18"/>
  <c r="M157" i="18"/>
  <c r="AB150" i="18"/>
  <c r="AE172" i="18"/>
  <c r="S172" i="18"/>
  <c r="G172" i="18"/>
  <c r="X170" i="18"/>
  <c r="L170" i="18"/>
  <c r="AE169" i="18"/>
  <c r="S169" i="18"/>
  <c r="G169" i="18"/>
  <c r="Z168" i="18"/>
  <c r="N168" i="18"/>
  <c r="AC161" i="18"/>
  <c r="Q161" i="18"/>
  <c r="E161" i="18"/>
  <c r="V159" i="18"/>
  <c r="J159" i="18"/>
  <c r="AC158" i="18"/>
  <c r="Q158" i="18"/>
  <c r="E158" i="18"/>
  <c r="X157" i="18"/>
  <c r="L157" i="18"/>
  <c r="AD172" i="18"/>
  <c r="R172" i="18"/>
  <c r="F172" i="18"/>
  <c r="W170" i="18"/>
  <c r="K170" i="18"/>
  <c r="AD169" i="18"/>
  <c r="R169" i="18"/>
  <c r="F169" i="18"/>
  <c r="Y168" i="18"/>
  <c r="M168" i="18"/>
  <c r="AB161" i="18"/>
  <c r="P161" i="18"/>
  <c r="D161" i="18"/>
  <c r="AG159" i="18"/>
  <c r="U159" i="18"/>
  <c r="I159" i="18"/>
  <c r="AB158" i="18"/>
  <c r="P158" i="18"/>
  <c r="D158" i="18"/>
  <c r="W157" i="18"/>
  <c r="K157" i="18"/>
  <c r="AC172" i="18"/>
  <c r="Q172" i="18"/>
  <c r="E172" i="18"/>
  <c r="V170" i="18"/>
  <c r="J170" i="18"/>
  <c r="AC169" i="18"/>
  <c r="Q169" i="18"/>
  <c r="E169" i="18"/>
  <c r="X168" i="18"/>
  <c r="L168" i="18"/>
  <c r="AA161" i="18"/>
  <c r="O161" i="18"/>
  <c r="AF159" i="18"/>
  <c r="T159" i="18"/>
  <c r="H159" i="18"/>
  <c r="AA158" i="18"/>
  <c r="O158" i="18"/>
  <c r="V157" i="18"/>
  <c r="J157" i="18"/>
  <c r="Y150" i="18"/>
  <c r="M150" i="18"/>
  <c r="AB172" i="18"/>
  <c r="P172" i="18"/>
  <c r="D172" i="18"/>
  <c r="AG170" i="18"/>
  <c r="U170" i="18"/>
  <c r="I170" i="18"/>
  <c r="AB169" i="18"/>
  <c r="P169" i="18"/>
  <c r="D169" i="18"/>
  <c r="W168" i="18"/>
  <c r="K168" i="18"/>
  <c r="Z161" i="18"/>
  <c r="N161" i="18"/>
  <c r="AE159" i="18"/>
  <c r="S159" i="18"/>
  <c r="G159" i="18"/>
  <c r="Z158" i="18"/>
  <c r="N158" i="18"/>
  <c r="AG157" i="18"/>
  <c r="U157" i="18"/>
  <c r="I157" i="18"/>
  <c r="X150" i="18"/>
  <c r="L150" i="18"/>
  <c r="AA172" i="18"/>
  <c r="O172" i="18"/>
  <c r="AF170" i="18"/>
  <c r="T170" i="18"/>
  <c r="H170" i="18"/>
  <c r="AA169" i="18"/>
  <c r="O169" i="18"/>
  <c r="V168" i="18"/>
  <c r="J168" i="18"/>
  <c r="Y161" i="18"/>
  <c r="M161" i="18"/>
  <c r="AD159" i="18"/>
  <c r="R159" i="18"/>
  <c r="F159" i="18"/>
  <c r="Y158" i="18"/>
  <c r="M158" i="18"/>
  <c r="AF157" i="18"/>
  <c r="T157" i="18"/>
  <c r="H157" i="18"/>
  <c r="W150" i="18"/>
  <c r="K150" i="18"/>
  <c r="P148" i="18"/>
  <c r="D148" i="18"/>
  <c r="W147" i="18"/>
  <c r="K147" i="18"/>
  <c r="AD146" i="18"/>
  <c r="R146" i="18"/>
  <c r="F146" i="18"/>
  <c r="AG139" i="18"/>
  <c r="I139" i="18"/>
  <c r="X161" i="18"/>
  <c r="X158" i="18"/>
  <c r="AA150" i="18"/>
  <c r="K148" i="18"/>
  <c r="Y147" i="18"/>
  <c r="F147" i="18"/>
  <c r="T146" i="18"/>
  <c r="AG137" i="18"/>
  <c r="V136" i="18"/>
  <c r="I136" i="18"/>
  <c r="AB135" i="18"/>
  <c r="O135" i="18"/>
  <c r="AE170" i="18"/>
  <c r="L161" i="18"/>
  <c r="L158" i="18"/>
  <c r="Z150" i="18"/>
  <c r="X147" i="18"/>
  <c r="D147" i="18"/>
  <c r="S146" i="18"/>
  <c r="U136" i="18"/>
  <c r="H136" i="18"/>
  <c r="AA135" i="18"/>
  <c r="N135" i="18"/>
  <c r="AC128" i="18"/>
  <c r="S170" i="18"/>
  <c r="V150" i="18"/>
  <c r="V147" i="18"/>
  <c r="Q146" i="18"/>
  <c r="AG136" i="18"/>
  <c r="T136" i="18"/>
  <c r="G136" i="18"/>
  <c r="Z135" i="18"/>
  <c r="M135" i="18"/>
  <c r="AB128" i="18"/>
  <c r="P128" i="18"/>
  <c r="Z172" i="18"/>
  <c r="G170" i="18"/>
  <c r="AE157" i="18"/>
  <c r="T150" i="18"/>
  <c r="G148" i="18"/>
  <c r="T147" i="18"/>
  <c r="AG146" i="18"/>
  <c r="O146" i="18"/>
  <c r="AF136" i="18"/>
  <c r="S136" i="18"/>
  <c r="F136" i="18"/>
  <c r="Y135" i="18"/>
  <c r="L135" i="18"/>
  <c r="AA128" i="18"/>
  <c r="O128" i="18"/>
  <c r="AF126" i="18"/>
  <c r="H126" i="18"/>
  <c r="AA125" i="18"/>
  <c r="O125" i="18"/>
  <c r="V124" i="18"/>
  <c r="J124" i="18"/>
  <c r="Y117" i="18"/>
  <c r="M117" i="18"/>
  <c r="AD115" i="18"/>
  <c r="Y114" i="18"/>
  <c r="M114" i="18"/>
  <c r="AF113" i="18"/>
  <c r="T113" i="18"/>
  <c r="H113" i="18"/>
  <c r="N172" i="18"/>
  <c r="Z169" i="18"/>
  <c r="S157" i="18"/>
  <c r="R150" i="18"/>
  <c r="F148" i="18"/>
  <c r="R147" i="18"/>
  <c r="AF146" i="18"/>
  <c r="M146" i="18"/>
  <c r="N139" i="18"/>
  <c r="AE136" i="18"/>
  <c r="R136" i="18"/>
  <c r="E136" i="18"/>
  <c r="X135" i="18"/>
  <c r="K135" i="18"/>
  <c r="N169" i="18"/>
  <c r="G157" i="18"/>
  <c r="P150" i="18"/>
  <c r="E148" i="18"/>
  <c r="P147" i="18"/>
  <c r="AE146" i="18"/>
  <c r="K146" i="18"/>
  <c r="AD136" i="18"/>
  <c r="Q136" i="18"/>
  <c r="D136" i="18"/>
  <c r="W135" i="18"/>
  <c r="J135" i="18"/>
  <c r="O150" i="18"/>
  <c r="O147" i="18"/>
  <c r="AC146" i="18"/>
  <c r="J146" i="18"/>
  <c r="AC136" i="18"/>
  <c r="P136" i="18"/>
  <c r="U135" i="18"/>
  <c r="I135" i="18"/>
  <c r="X128" i="18"/>
  <c r="AG168" i="18"/>
  <c r="S148" i="18"/>
  <c r="AF147" i="18"/>
  <c r="N147" i="18"/>
  <c r="AA146" i="18"/>
  <c r="I146" i="18"/>
  <c r="Y139" i="18"/>
  <c r="AB136" i="18"/>
  <c r="N136" i="18"/>
  <c r="AG135" i="18"/>
  <c r="T135" i="18"/>
  <c r="H135" i="18"/>
  <c r="W128" i="18"/>
  <c r="K128" i="18"/>
  <c r="U168" i="18"/>
  <c r="J150" i="18"/>
  <c r="R148" i="18"/>
  <c r="AD147" i="18"/>
  <c r="M147" i="18"/>
  <c r="Y146" i="18"/>
  <c r="H146" i="18"/>
  <c r="X139" i="18"/>
  <c r="J139" i="18"/>
  <c r="Z136" i="18"/>
  <c r="M136" i="18"/>
  <c r="AF135" i="18"/>
  <c r="S135" i="18"/>
  <c r="G135" i="18"/>
  <c r="I168" i="18"/>
  <c r="AC159" i="18"/>
  <c r="H150" i="18"/>
  <c r="AG148" i="18"/>
  <c r="Q148" i="18"/>
  <c r="AB147" i="18"/>
  <c r="L147" i="18"/>
  <c r="W146" i="18"/>
  <c r="G146" i="18"/>
  <c r="W139" i="18"/>
  <c r="H139" i="18"/>
  <c r="Y136" i="18"/>
  <c r="L136" i="18"/>
  <c r="AE135" i="18"/>
  <c r="R135" i="18"/>
  <c r="F135" i="18"/>
  <c r="AG128" i="18"/>
  <c r="U128" i="18"/>
  <c r="I128" i="18"/>
  <c r="AG125" i="18"/>
  <c r="U125" i="18"/>
  <c r="I125" i="18"/>
  <c r="AB124" i="18"/>
  <c r="P124" i="18"/>
  <c r="D124" i="18"/>
  <c r="AE117" i="18"/>
  <c r="S117" i="18"/>
  <c r="G117" i="18"/>
  <c r="AE114" i="18"/>
  <c r="S114" i="18"/>
  <c r="G114" i="18"/>
  <c r="Z113" i="18"/>
  <c r="N113" i="18"/>
  <c r="Q159" i="18"/>
  <c r="S128" i="18"/>
  <c r="AF125" i="18"/>
  <c r="R125" i="18"/>
  <c r="D125" i="18"/>
  <c r="U124" i="18"/>
  <c r="G124" i="18"/>
  <c r="V117" i="18"/>
  <c r="H117" i="18"/>
  <c r="U115" i="18"/>
  <c r="W114" i="18"/>
  <c r="I114" i="18"/>
  <c r="Y113" i="18"/>
  <c r="K113" i="18"/>
  <c r="AB106" i="18"/>
  <c r="P106" i="18"/>
  <c r="D106" i="18"/>
  <c r="AG104" i="18"/>
  <c r="I104" i="18"/>
  <c r="AB103" i="18"/>
  <c r="P103" i="18"/>
  <c r="D103" i="18"/>
  <c r="W102" i="18"/>
  <c r="K102" i="18"/>
  <c r="Z95" i="18"/>
  <c r="N95" i="18"/>
  <c r="Y92" i="18"/>
  <c r="M92" i="18"/>
  <c r="AF91" i="18"/>
  <c r="T91" i="18"/>
  <c r="H91" i="18"/>
  <c r="E159" i="18"/>
  <c r="AF150" i="18"/>
  <c r="O148" i="18"/>
  <c r="X136" i="18"/>
  <c r="R128" i="18"/>
  <c r="AE125" i="18"/>
  <c r="Q125" i="18"/>
  <c r="T124" i="18"/>
  <c r="F124" i="18"/>
  <c r="U117" i="18"/>
  <c r="F117" i="18"/>
  <c r="V114" i="18"/>
  <c r="H114" i="18"/>
  <c r="X113" i="18"/>
  <c r="J113" i="18"/>
  <c r="AA106" i="18"/>
  <c r="O106" i="18"/>
  <c r="F150" i="18"/>
  <c r="M148" i="18"/>
  <c r="W136" i="18"/>
  <c r="Q128" i="18"/>
  <c r="M126" i="18"/>
  <c r="AD125" i="18"/>
  <c r="P125" i="18"/>
  <c r="AG124" i="18"/>
  <c r="S124" i="18"/>
  <c r="E124" i="18"/>
  <c r="T117" i="18"/>
  <c r="E117" i="18"/>
  <c r="AG115" i="18"/>
  <c r="U114" i="18"/>
  <c r="F114" i="18"/>
  <c r="W113" i="18"/>
  <c r="I113" i="18"/>
  <c r="D150" i="18"/>
  <c r="AA147" i="18"/>
  <c r="K136" i="18"/>
  <c r="N128" i="18"/>
  <c r="AC125" i="18"/>
  <c r="N125" i="18"/>
  <c r="AF124" i="18"/>
  <c r="R124" i="18"/>
  <c r="AG117" i="18"/>
  <c r="R117" i="18"/>
  <c r="D117" i="18"/>
  <c r="T114" i="18"/>
  <c r="E114" i="18"/>
  <c r="V113" i="18"/>
  <c r="G113" i="18"/>
  <c r="Y106" i="18"/>
  <c r="M106" i="18"/>
  <c r="F104" i="18"/>
  <c r="Y103" i="18"/>
  <c r="M103" i="18"/>
  <c r="AF102" i="18"/>
  <c r="T102" i="18"/>
  <c r="H102" i="18"/>
  <c r="W95" i="18"/>
  <c r="K95" i="18"/>
  <c r="V92" i="18"/>
  <c r="J92" i="18"/>
  <c r="AC91" i="18"/>
  <c r="Q91" i="18"/>
  <c r="E91" i="18"/>
  <c r="Z147" i="18"/>
  <c r="J136" i="18"/>
  <c r="M128" i="18"/>
  <c r="AB125" i="18"/>
  <c r="M125" i="18"/>
  <c r="AE124" i="18"/>
  <c r="Q124" i="18"/>
  <c r="AF117" i="18"/>
  <c r="Q117" i="18"/>
  <c r="AE115" i="18"/>
  <c r="AG114" i="18"/>
  <c r="R114" i="18"/>
  <c r="D114" i="18"/>
  <c r="U113" i="18"/>
  <c r="F113" i="18"/>
  <c r="J147" i="18"/>
  <c r="AF128" i="18"/>
  <c r="L128" i="18"/>
  <c r="X126" i="18"/>
  <c r="Z125" i="18"/>
  <c r="L125" i="18"/>
  <c r="AD124" i="18"/>
  <c r="O124" i="18"/>
  <c r="AD117" i="18"/>
  <c r="P117" i="18"/>
  <c r="O115" i="18"/>
  <c r="AF114" i="18"/>
  <c r="Q114" i="18"/>
  <c r="S113" i="18"/>
  <c r="E113" i="18"/>
  <c r="H147" i="18"/>
  <c r="AD135" i="18"/>
  <c r="AE128" i="18"/>
  <c r="J128" i="18"/>
  <c r="W126" i="18"/>
  <c r="Y125" i="18"/>
  <c r="K125" i="18"/>
  <c r="AC124" i="18"/>
  <c r="N124" i="18"/>
  <c r="AC117" i="18"/>
  <c r="O117" i="18"/>
  <c r="AC135" i="18"/>
  <c r="AD128" i="18"/>
  <c r="H128" i="18"/>
  <c r="X125" i="18"/>
  <c r="J125" i="18"/>
  <c r="AA124" i="18"/>
  <c r="M124" i="18"/>
  <c r="V146" i="18"/>
  <c r="Q135" i="18"/>
  <c r="Z128" i="18"/>
  <c r="G128" i="18"/>
  <c r="W125" i="18"/>
  <c r="H125" i="18"/>
  <c r="Z124" i="18"/>
  <c r="L124" i="18"/>
  <c r="AA117" i="18"/>
  <c r="L117" i="18"/>
  <c r="U146" i="18"/>
  <c r="V139" i="18"/>
  <c r="P135" i="18"/>
  <c r="Y128" i="18"/>
  <c r="F128" i="18"/>
  <c r="V125" i="18"/>
  <c r="G125" i="18"/>
  <c r="Y124" i="18"/>
  <c r="K124" i="18"/>
  <c r="D146" i="18"/>
  <c r="T125" i="18"/>
  <c r="AB117" i="18"/>
  <c r="L114" i="18"/>
  <c r="P113" i="18"/>
  <c r="AF106" i="18"/>
  <c r="Q106" i="18"/>
  <c r="AC103" i="18"/>
  <c r="N103" i="18"/>
  <c r="AD102" i="18"/>
  <c r="P102" i="18"/>
  <c r="AE95" i="18"/>
  <c r="Q95" i="18"/>
  <c r="AE92" i="18"/>
  <c r="Q92" i="18"/>
  <c r="S91" i="18"/>
  <c r="D91" i="18"/>
  <c r="AE84" i="18"/>
  <c r="S84" i="18"/>
  <c r="G84" i="18"/>
  <c r="K82" i="18"/>
  <c r="AD81" i="18"/>
  <c r="R81" i="18"/>
  <c r="F81" i="18"/>
  <c r="Y80" i="18"/>
  <c r="M80" i="18"/>
  <c r="AB73" i="18"/>
  <c r="D73" i="18"/>
  <c r="T71" i="18"/>
  <c r="AA70" i="18"/>
  <c r="O70" i="18"/>
  <c r="V69" i="18"/>
  <c r="J69" i="18"/>
  <c r="AC62" i="18"/>
  <c r="Q62" i="18"/>
  <c r="E62" i="18"/>
  <c r="AA60" i="18"/>
  <c r="X59" i="18"/>
  <c r="L59" i="18"/>
  <c r="AE58" i="18"/>
  <c r="S58" i="18"/>
  <c r="G58" i="18"/>
  <c r="S125" i="18"/>
  <c r="Z117" i="18"/>
  <c r="K114" i="18"/>
  <c r="O113" i="18"/>
  <c r="AE106" i="18"/>
  <c r="N106" i="18"/>
  <c r="K104" i="18"/>
  <c r="AA103" i="18"/>
  <c r="L103" i="18"/>
  <c r="AC102" i="18"/>
  <c r="O102" i="18"/>
  <c r="AD95" i="18"/>
  <c r="P95" i="18"/>
  <c r="AD92" i="18"/>
  <c r="P92" i="18"/>
  <c r="AG91" i="18"/>
  <c r="R91" i="18"/>
  <c r="AD84" i="18"/>
  <c r="R84" i="18"/>
  <c r="F84" i="18"/>
  <c r="F125" i="18"/>
  <c r="X117" i="18"/>
  <c r="J114" i="18"/>
  <c r="M113" i="18"/>
  <c r="AD106" i="18"/>
  <c r="L106" i="18"/>
  <c r="X104" i="18"/>
  <c r="J104" i="18"/>
  <c r="Z103" i="18"/>
  <c r="K103" i="18"/>
  <c r="AB102" i="18"/>
  <c r="N102" i="18"/>
  <c r="AC95" i="18"/>
  <c r="O95" i="18"/>
  <c r="L93" i="18"/>
  <c r="AC92" i="18"/>
  <c r="O92" i="18"/>
  <c r="AE91" i="18"/>
  <c r="P91" i="18"/>
  <c r="AC84" i="18"/>
  <c r="Q84" i="18"/>
  <c r="E84" i="18"/>
  <c r="AG82" i="18"/>
  <c r="E125" i="18"/>
  <c r="W117" i="18"/>
  <c r="AD114" i="18"/>
  <c r="L113" i="18"/>
  <c r="AC106" i="18"/>
  <c r="K106" i="18"/>
  <c r="W104" i="18"/>
  <c r="X103" i="18"/>
  <c r="J103" i="18"/>
  <c r="AA102" i="18"/>
  <c r="M102" i="18"/>
  <c r="AB95" i="18"/>
  <c r="M95" i="18"/>
  <c r="AB92" i="18"/>
  <c r="N92" i="18"/>
  <c r="AD91" i="18"/>
  <c r="O91" i="18"/>
  <c r="AB84" i="18"/>
  <c r="P84" i="18"/>
  <c r="D84" i="18"/>
  <c r="N117" i="18"/>
  <c r="AA115" i="18"/>
  <c r="AC114" i="18"/>
  <c r="AG113" i="18"/>
  <c r="D113" i="18"/>
  <c r="Z106" i="18"/>
  <c r="J106" i="18"/>
  <c r="V104" i="18"/>
  <c r="W103" i="18"/>
  <c r="I103" i="18"/>
  <c r="Z102" i="18"/>
  <c r="L102" i="18"/>
  <c r="AA95" i="18"/>
  <c r="L95" i="18"/>
  <c r="AA92" i="18"/>
  <c r="L92" i="18"/>
  <c r="AB91" i="18"/>
  <c r="N91" i="18"/>
  <c r="X124" i="18"/>
  <c r="K117" i="18"/>
  <c r="Z115" i="18"/>
  <c r="AB114" i="18"/>
  <c r="AE113" i="18"/>
  <c r="X106" i="18"/>
  <c r="I106" i="18"/>
  <c r="V103" i="18"/>
  <c r="H103" i="18"/>
  <c r="Y102" i="18"/>
  <c r="J102" i="18"/>
  <c r="Y95" i="18"/>
  <c r="J95" i="18"/>
  <c r="Z92" i="18"/>
  <c r="K92" i="18"/>
  <c r="AA91" i="18"/>
  <c r="M91" i="18"/>
  <c r="T139" i="18"/>
  <c r="E135" i="18"/>
  <c r="AG126" i="18"/>
  <c r="W124" i="18"/>
  <c r="J117" i="18"/>
  <c r="AA114" i="18"/>
  <c r="AD113" i="18"/>
  <c r="W106" i="18"/>
  <c r="H106" i="18"/>
  <c r="U103" i="18"/>
  <c r="G103" i="18"/>
  <c r="X102" i="18"/>
  <c r="I102" i="18"/>
  <c r="X95" i="18"/>
  <c r="I95" i="18"/>
  <c r="X92" i="18"/>
  <c r="I92" i="18"/>
  <c r="D135" i="18"/>
  <c r="V128" i="18"/>
  <c r="I124" i="18"/>
  <c r="I117" i="18"/>
  <c r="Z114" i="18"/>
  <c r="AC113" i="18"/>
  <c r="V106" i="18"/>
  <c r="G106" i="18"/>
  <c r="T103" i="18"/>
  <c r="F103" i="18"/>
  <c r="V102" i="18"/>
  <c r="G102" i="18"/>
  <c r="T128" i="18"/>
  <c r="H124" i="18"/>
  <c r="X114" i="18"/>
  <c r="AB113" i="18"/>
  <c r="U106" i="18"/>
  <c r="F106" i="18"/>
  <c r="AG103" i="18"/>
  <c r="S103" i="18"/>
  <c r="E103" i="18"/>
  <c r="U102" i="18"/>
  <c r="F102" i="18"/>
  <c r="U95" i="18"/>
  <c r="G95" i="18"/>
  <c r="U92" i="18"/>
  <c r="G92" i="18"/>
  <c r="X91" i="18"/>
  <c r="J91" i="18"/>
  <c r="K84" i="18"/>
  <c r="V81" i="18"/>
  <c r="J81" i="18"/>
  <c r="AC80" i="18"/>
  <c r="Q80" i="18"/>
  <c r="E80" i="18"/>
  <c r="AF73" i="18"/>
  <c r="T73" i="18"/>
  <c r="H73" i="18"/>
  <c r="AE70" i="18"/>
  <c r="S70" i="18"/>
  <c r="G70" i="18"/>
  <c r="Z69" i="18"/>
  <c r="N69" i="18"/>
  <c r="E128" i="18"/>
  <c r="P114" i="18"/>
  <c r="AA113" i="18"/>
  <c r="T106" i="18"/>
  <c r="E106" i="18"/>
  <c r="O104" i="18"/>
  <c r="AF103" i="18"/>
  <c r="R103" i="18"/>
  <c r="S102" i="18"/>
  <c r="E102" i="18"/>
  <c r="T95" i="18"/>
  <c r="F95" i="18"/>
  <c r="D128" i="18"/>
  <c r="R102" i="18"/>
  <c r="P93" i="18"/>
  <c r="D92" i="18"/>
  <c r="AA84" i="18"/>
  <c r="AB81" i="18"/>
  <c r="N81" i="18"/>
  <c r="AE80" i="18"/>
  <c r="P80" i="18"/>
  <c r="AG73" i="18"/>
  <c r="R73" i="18"/>
  <c r="AG70" i="18"/>
  <c r="R70" i="18"/>
  <c r="D70" i="18"/>
  <c r="U69" i="18"/>
  <c r="G69" i="18"/>
  <c r="X62" i="18"/>
  <c r="K62" i="18"/>
  <c r="AF60" i="18"/>
  <c r="S60" i="18"/>
  <c r="Z59" i="18"/>
  <c r="M59" i="18"/>
  <c r="AC58" i="18"/>
  <c r="P58" i="18"/>
  <c r="Y51" i="18"/>
  <c r="M51" i="18"/>
  <c r="AE48" i="18"/>
  <c r="S48" i="18"/>
  <c r="G48" i="18"/>
  <c r="AE47" i="18"/>
  <c r="S47" i="18"/>
  <c r="G47" i="18"/>
  <c r="AB104" i="18"/>
  <c r="Q102" i="18"/>
  <c r="Z84" i="18"/>
  <c r="AC82" i="18"/>
  <c r="AA81" i="18"/>
  <c r="M81" i="18"/>
  <c r="AD80" i="18"/>
  <c r="O80" i="18"/>
  <c r="AE73" i="18"/>
  <c r="Q73" i="18"/>
  <c r="AC71" i="18"/>
  <c r="AF70" i="18"/>
  <c r="Q70" i="18"/>
  <c r="T69" i="18"/>
  <c r="F69" i="18"/>
  <c r="W62" i="18"/>
  <c r="J62" i="18"/>
  <c r="AE60" i="18"/>
  <c r="R60" i="18"/>
  <c r="E60" i="18"/>
  <c r="Y59" i="18"/>
  <c r="K59" i="18"/>
  <c r="AB58" i="18"/>
  <c r="O58" i="18"/>
  <c r="X51" i="18"/>
  <c r="L51" i="18"/>
  <c r="S106" i="18"/>
  <c r="N104" i="18"/>
  <c r="AG95" i="18"/>
  <c r="AG92" i="18"/>
  <c r="Y91" i="18"/>
  <c r="Y81" i="18"/>
  <c r="K81" i="18"/>
  <c r="AA80" i="18"/>
  <c r="L80" i="18"/>
  <c r="AC73" i="18"/>
  <c r="N73" i="18"/>
  <c r="AC70" i="18"/>
  <c r="N70" i="18"/>
  <c r="AF69" i="18"/>
  <c r="R69" i="18"/>
  <c r="D69" i="18"/>
  <c r="U62" i="18"/>
  <c r="H62" i="18"/>
  <c r="AC60" i="18"/>
  <c r="V59" i="18"/>
  <c r="I59" i="18"/>
  <c r="Z58" i="18"/>
  <c r="M58" i="18"/>
  <c r="V51" i="18"/>
  <c r="R106" i="18"/>
  <c r="AF95" i="18"/>
  <c r="AF92" i="18"/>
  <c r="W91" i="18"/>
  <c r="X81" i="18"/>
  <c r="I81" i="18"/>
  <c r="Z80" i="18"/>
  <c r="K80" i="18"/>
  <c r="AA73" i="18"/>
  <c r="M73" i="18"/>
  <c r="AB70" i="18"/>
  <c r="M70" i="18"/>
  <c r="AE69" i="18"/>
  <c r="Q69" i="18"/>
  <c r="AG62" i="18"/>
  <c r="T62" i="18"/>
  <c r="G62" i="18"/>
  <c r="AB60" i="18"/>
  <c r="N60" i="18"/>
  <c r="U59" i="18"/>
  <c r="H59" i="18"/>
  <c r="Y58" i="18"/>
  <c r="L58" i="18"/>
  <c r="AG51" i="18"/>
  <c r="U51" i="18"/>
  <c r="I51" i="18"/>
  <c r="O114" i="18"/>
  <c r="AE103" i="18"/>
  <c r="V95" i="18"/>
  <c r="W92" i="18"/>
  <c r="V91" i="18"/>
  <c r="U84" i="18"/>
  <c r="F82" i="18"/>
  <c r="W81" i="18"/>
  <c r="H81" i="18"/>
  <c r="X80" i="18"/>
  <c r="J80" i="18"/>
  <c r="Z73" i="18"/>
  <c r="L73" i="18"/>
  <c r="Y71" i="18"/>
  <c r="Z70" i="18"/>
  <c r="L70" i="18"/>
  <c r="AD69" i="18"/>
  <c r="P69" i="18"/>
  <c r="AF62" i="18"/>
  <c r="S62" i="18"/>
  <c r="F62" i="18"/>
  <c r="Z60" i="18"/>
  <c r="AG59" i="18"/>
  <c r="T59" i="18"/>
  <c r="G59" i="18"/>
  <c r="X58" i="18"/>
  <c r="K58" i="18"/>
  <c r="N114" i="18"/>
  <c r="AD103" i="18"/>
  <c r="S95" i="18"/>
  <c r="AG93" i="18"/>
  <c r="T92" i="18"/>
  <c r="U91" i="18"/>
  <c r="U81" i="18"/>
  <c r="G81" i="18"/>
  <c r="W80" i="18"/>
  <c r="I80" i="18"/>
  <c r="Y73" i="18"/>
  <c r="K73" i="18"/>
  <c r="Y70" i="18"/>
  <c r="K70" i="18"/>
  <c r="AC69" i="18"/>
  <c r="O69" i="18"/>
  <c r="AE62" i="18"/>
  <c r="R62" i="18"/>
  <c r="D62" i="18"/>
  <c r="Y60" i="18"/>
  <c r="AF59" i="18"/>
  <c r="S59" i="18"/>
  <c r="F59" i="18"/>
  <c r="W58" i="18"/>
  <c r="J58" i="18"/>
  <c r="Q103" i="18"/>
  <c r="R95" i="18"/>
  <c r="S92" i="18"/>
  <c r="L91" i="18"/>
  <c r="O84" i="18"/>
  <c r="T81" i="18"/>
  <c r="E81" i="18"/>
  <c r="V80" i="18"/>
  <c r="H80" i="18"/>
  <c r="X73" i="18"/>
  <c r="J73" i="18"/>
  <c r="G71" i="18"/>
  <c r="X70" i="18"/>
  <c r="J70" i="18"/>
  <c r="AB69" i="18"/>
  <c r="M69" i="18"/>
  <c r="AD62" i="18"/>
  <c r="P62" i="18"/>
  <c r="E146" i="18"/>
  <c r="D126" i="18"/>
  <c r="R113" i="18"/>
  <c r="O103" i="18"/>
  <c r="H95" i="18"/>
  <c r="AE93" i="18"/>
  <c r="R92" i="18"/>
  <c r="K91" i="18"/>
  <c r="N84" i="18"/>
  <c r="AG81" i="18"/>
  <c r="S81" i="18"/>
  <c r="D81" i="18"/>
  <c r="U80" i="18"/>
  <c r="G80" i="18"/>
  <c r="W73" i="18"/>
  <c r="I73" i="18"/>
  <c r="W70" i="18"/>
  <c r="I70" i="18"/>
  <c r="AA69" i="18"/>
  <c r="L69" i="18"/>
  <c r="AB62" i="18"/>
  <c r="O62" i="18"/>
  <c r="W60" i="18"/>
  <c r="J60" i="18"/>
  <c r="AD59" i="18"/>
  <c r="Q59" i="18"/>
  <c r="D59" i="18"/>
  <c r="U58" i="18"/>
  <c r="H58" i="18"/>
  <c r="AC51" i="18"/>
  <c r="Q51" i="18"/>
  <c r="E51" i="18"/>
  <c r="W48" i="18"/>
  <c r="K48" i="18"/>
  <c r="W47" i="18"/>
  <c r="K47" i="18"/>
  <c r="Q113" i="18"/>
  <c r="E95" i="18"/>
  <c r="U93" i="18"/>
  <c r="H92" i="18"/>
  <c r="I91" i="18"/>
  <c r="M84" i="18"/>
  <c r="AF81" i="18"/>
  <c r="Q81" i="18"/>
  <c r="T80" i="18"/>
  <c r="F80" i="18"/>
  <c r="V73" i="18"/>
  <c r="G73" i="18"/>
  <c r="V70" i="18"/>
  <c r="H70" i="18"/>
  <c r="Y69" i="18"/>
  <c r="K69" i="18"/>
  <c r="AA62" i="18"/>
  <c r="N62" i="18"/>
  <c r="V60" i="18"/>
  <c r="I60" i="18"/>
  <c r="AC59" i="18"/>
  <c r="P59" i="18"/>
  <c r="AG58" i="18"/>
  <c r="T58" i="18"/>
  <c r="F58" i="18"/>
  <c r="AG102" i="18"/>
  <c r="D95" i="18"/>
  <c r="F92" i="18"/>
  <c r="G91" i="18"/>
  <c r="AG84" i="18"/>
  <c r="L84" i="18"/>
  <c r="AE81" i="18"/>
  <c r="P81" i="18"/>
  <c r="AG80" i="18"/>
  <c r="S80" i="18"/>
  <c r="D80" i="18"/>
  <c r="F47" i="18"/>
  <c r="U47" i="18"/>
  <c r="N48" i="18"/>
  <c r="AB48" i="18"/>
  <c r="D51" i="18"/>
  <c r="W51" i="18"/>
  <c r="AV51" i="18"/>
  <c r="BR51" i="18"/>
  <c r="BR52" i="18" s="1"/>
  <c r="BR53" i="18" s="1"/>
  <c r="BR54" i="18" s="1"/>
  <c r="AE59" i="18"/>
  <c r="V62" i="18"/>
  <c r="AG69" i="18"/>
  <c r="F73" i="18"/>
  <c r="AF80" i="18"/>
  <c r="AW35" i="18"/>
  <c r="AV35" i="18" s="1"/>
  <c r="BA39" i="18"/>
  <c r="AO39" i="18" s="1"/>
  <c r="BB39" i="18" s="1"/>
  <c r="BC39" i="18" s="1"/>
  <c r="H47" i="18"/>
  <c r="V47" i="18"/>
  <c r="O48" i="18"/>
  <c r="AC48" i="18"/>
  <c r="F51" i="18"/>
  <c r="Z51" i="18"/>
  <c r="AW51" i="18"/>
  <c r="BT51" i="18"/>
  <c r="BT52" i="18" s="1"/>
  <c r="BT53" i="18" s="1"/>
  <c r="BT54" i="18" s="1"/>
  <c r="AH57" i="18"/>
  <c r="D58" i="18"/>
  <c r="AH61" i="18"/>
  <c r="Y62" i="18"/>
  <c r="O73" i="18"/>
  <c r="AH79" i="18"/>
  <c r="E92" i="18"/>
  <c r="AY35" i="18"/>
  <c r="I47" i="18"/>
  <c r="X47" i="18"/>
  <c r="P48" i="18"/>
  <c r="AD48" i="18"/>
  <c r="H49" i="18"/>
  <c r="H187" i="18" s="1"/>
  <c r="V49" i="18"/>
  <c r="V187" i="18" s="1"/>
  <c r="AN49" i="18"/>
  <c r="G51" i="18"/>
  <c r="AA51" i="18"/>
  <c r="AZ51" i="18"/>
  <c r="BU51" i="18"/>
  <c r="BU52" i="18" s="1"/>
  <c r="BU53" i="18" s="1"/>
  <c r="BU54" i="18" s="1"/>
  <c r="E58" i="18"/>
  <c r="Z62" i="18"/>
  <c r="E70" i="18"/>
  <c r="S73" i="18"/>
  <c r="L81" i="18"/>
  <c r="C25" i="18"/>
  <c r="AW32" i="18"/>
  <c r="AZ35" i="18"/>
  <c r="J47" i="18"/>
  <c r="Y47" i="18"/>
  <c r="Q48" i="18"/>
  <c r="AF48" i="18"/>
  <c r="H51" i="18"/>
  <c r="AB51" i="18"/>
  <c r="BC51" i="18"/>
  <c r="BV51" i="18"/>
  <c r="BV52" i="18" s="1"/>
  <c r="BV53" i="18" s="1"/>
  <c r="BV54" i="18" s="1"/>
  <c r="I58" i="18"/>
  <c r="F70" i="18"/>
  <c r="AG71" i="18"/>
  <c r="U73" i="18"/>
  <c r="O81" i="18"/>
  <c r="Q93" i="18"/>
  <c r="AX32" i="18"/>
  <c r="AV32" i="18" s="1"/>
  <c r="AX40" i="18"/>
  <c r="BE45" i="18"/>
  <c r="L47" i="18"/>
  <c r="Z47" i="18"/>
  <c r="D48" i="18"/>
  <c r="R48" i="18"/>
  <c r="AG48" i="18"/>
  <c r="J51" i="18"/>
  <c r="AD51" i="18"/>
  <c r="BD51" i="18"/>
  <c r="N58" i="18"/>
  <c r="E59" i="18"/>
  <c r="P70" i="18"/>
  <c r="AH72" i="18"/>
  <c r="AD73" i="18"/>
  <c r="Z81" i="18"/>
  <c r="M47" i="18"/>
  <c r="AA47" i="18"/>
  <c r="E48" i="18"/>
  <c r="T48" i="18"/>
  <c r="K51" i="18"/>
  <c r="AE51" i="18"/>
  <c r="BF51" i="18"/>
  <c r="Q58" i="18"/>
  <c r="J59" i="18"/>
  <c r="T70" i="18"/>
  <c r="AC81" i="18"/>
  <c r="AG106" i="18"/>
  <c r="AH101" i="18"/>
  <c r="AH94" i="18"/>
  <c r="AH105" i="18"/>
  <c r="AH127" i="18"/>
  <c r="AH134" i="18"/>
  <c r="AH145" i="18"/>
  <c r="AH112" i="18"/>
  <c r="AH116" i="18"/>
  <c r="AH149" i="18"/>
  <c r="AH171" i="18"/>
  <c r="BS53" i="17"/>
  <c r="BS54" i="17" s="1"/>
  <c r="AX47" i="17"/>
  <c r="AZ47" i="17"/>
  <c r="AX51" i="17"/>
  <c r="AZ48" i="17"/>
  <c r="BP51" i="17"/>
  <c r="BP52" i="17" s="1"/>
  <c r="BP53" i="17" s="1"/>
  <c r="BP54" i="17" s="1"/>
  <c r="J91" i="17"/>
  <c r="AG47" i="17"/>
  <c r="T48" i="17"/>
  <c r="F48" i="17"/>
  <c r="AA47" i="17"/>
  <c r="M47" i="17"/>
  <c r="K49" i="17"/>
  <c r="K187" i="17" s="1"/>
  <c r="AF48" i="17"/>
  <c r="R48" i="17"/>
  <c r="Y47" i="17"/>
  <c r="K47" i="17"/>
  <c r="AE48" i="17"/>
  <c r="Q48" i="17"/>
  <c r="X47" i="17"/>
  <c r="I47" i="17"/>
  <c r="C26" i="17"/>
  <c r="H49" i="17"/>
  <c r="H187" i="17" s="1"/>
  <c r="AD48" i="17"/>
  <c r="O48" i="17"/>
  <c r="W47" i="17"/>
  <c r="H47" i="17"/>
  <c r="U51" i="17"/>
  <c r="G51" i="17"/>
  <c r="G49" i="17"/>
  <c r="G187" i="17" s="1"/>
  <c r="AC48" i="17"/>
  <c r="N48" i="17"/>
  <c r="U47" i="17"/>
  <c r="G47" i="17"/>
  <c r="W91" i="17"/>
  <c r="V80" i="17"/>
  <c r="Y48" i="17"/>
  <c r="K48" i="17"/>
  <c r="AF47" i="17"/>
  <c r="R47" i="17"/>
  <c r="AW38" i="17"/>
  <c r="L59" i="17"/>
  <c r="AF93" i="17"/>
  <c r="AY38" i="17"/>
  <c r="AX38" i="17"/>
  <c r="N59" i="17"/>
  <c r="U102" i="17"/>
  <c r="AW34" i="17"/>
  <c r="K25" i="17"/>
  <c r="AP36" i="17"/>
  <c r="AY36" i="17" s="1"/>
  <c r="BA36" i="17"/>
  <c r="AO36" i="17" s="1"/>
  <c r="BB36" i="17" s="1"/>
  <c r="BC36" i="17" s="1"/>
  <c r="C150" i="17" s="1"/>
  <c r="AA59" i="17"/>
  <c r="AG113" i="17"/>
  <c r="C161" i="17"/>
  <c r="C172" i="17"/>
  <c r="C95" i="17"/>
  <c r="C128" i="17"/>
  <c r="C117" i="17"/>
  <c r="C62" i="17"/>
  <c r="AZ38" i="17"/>
  <c r="I48" i="17"/>
  <c r="AD59" i="17"/>
  <c r="L48" i="17"/>
  <c r="AD69" i="17"/>
  <c r="X48" i="17"/>
  <c r="G58" i="17"/>
  <c r="AZ39" i="17"/>
  <c r="Z48" i="17"/>
  <c r="I58" i="17"/>
  <c r="AA60" i="17"/>
  <c r="AY39" i="17"/>
  <c r="AX39" i="17"/>
  <c r="E47" i="17"/>
  <c r="V58" i="17"/>
  <c r="N62" i="17"/>
  <c r="I80" i="17"/>
  <c r="Q47" i="17"/>
  <c r="Y58" i="17"/>
  <c r="AB62" i="17"/>
  <c r="U95" i="17"/>
  <c r="AZ35" i="17"/>
  <c r="AW39" i="17"/>
  <c r="S47" i="17"/>
  <c r="E49" i="17"/>
  <c r="E187" i="17" s="1"/>
  <c r="BA38" i="17"/>
  <c r="AO38" i="17" s="1"/>
  <c r="BB38" i="17" s="1"/>
  <c r="BC38" i="17" s="1"/>
  <c r="AZ51" i="17"/>
  <c r="BO51" i="17"/>
  <c r="BO52" i="17" s="1"/>
  <c r="BO53" i="17" s="1"/>
  <c r="BO54" i="17" s="1"/>
  <c r="H58" i="17"/>
  <c r="X58" i="17"/>
  <c r="M59" i="17"/>
  <c r="AC59" i="17"/>
  <c r="L60" i="17"/>
  <c r="M62" i="17"/>
  <c r="AE69" i="17"/>
  <c r="U80" i="17"/>
  <c r="V91" i="17"/>
  <c r="AG93" i="17"/>
  <c r="V102" i="17"/>
  <c r="AQ40" i="17"/>
  <c r="F47" i="17"/>
  <c r="T47" i="17"/>
  <c r="M48" i="17"/>
  <c r="AA48" i="17"/>
  <c r="F49" i="17"/>
  <c r="F187" i="17" s="1"/>
  <c r="F51" i="17"/>
  <c r="AN51" i="17"/>
  <c r="AN52" i="17" s="1"/>
  <c r="AN53" i="17" s="1"/>
  <c r="BB51" i="17"/>
  <c r="BQ51" i="17"/>
  <c r="BQ52" i="17" s="1"/>
  <c r="BQ53" i="17" s="1"/>
  <c r="BQ54" i="17" s="1"/>
  <c r="J58" i="17"/>
  <c r="AA58" i="17"/>
  <c r="O59" i="17"/>
  <c r="AF59" i="17"/>
  <c r="AE62" i="17"/>
  <c r="K70" i="17"/>
  <c r="F103" i="17"/>
  <c r="BA34" i="17"/>
  <c r="AO34" i="17" s="1"/>
  <c r="BB34" i="17" s="1"/>
  <c r="BC34" i="17" s="1"/>
  <c r="AD73" i="17" s="1"/>
  <c r="AN49" i="17"/>
  <c r="AO51" i="17"/>
  <c r="AO52" i="17" s="1"/>
  <c r="AO53" i="17" s="1"/>
  <c r="BC51" i="17"/>
  <c r="L58" i="17"/>
  <c r="AB58" i="17"/>
  <c r="Q59" i="17"/>
  <c r="AG59" i="17"/>
  <c r="Q62" i="17"/>
  <c r="L70" i="17"/>
  <c r="E81" i="17"/>
  <c r="E92" i="17"/>
  <c r="G103" i="17"/>
  <c r="BX51" i="17"/>
  <c r="BX52" i="17" s="1"/>
  <c r="BX53" i="17" s="1"/>
  <c r="BX54" i="17" s="1"/>
  <c r="BL51" i="17"/>
  <c r="AY51" i="17"/>
  <c r="BE45" i="17"/>
  <c r="BR51" i="17"/>
  <c r="BR52" i="17" s="1"/>
  <c r="BR53" i="17" s="1"/>
  <c r="BR54" i="17" s="1"/>
  <c r="BF51" i="17"/>
  <c r="AS51" i="17"/>
  <c r="AS52" i="17" s="1"/>
  <c r="AS53" i="17" s="1"/>
  <c r="BA39" i="17"/>
  <c r="AO39" i="17" s="1"/>
  <c r="BB39" i="17" s="1"/>
  <c r="BC39" i="17" s="1"/>
  <c r="H51" i="17"/>
  <c r="AP51" i="17"/>
  <c r="AP52" i="17" s="1"/>
  <c r="AP53" i="17" s="1"/>
  <c r="BD51" i="17"/>
  <c r="BT51" i="17"/>
  <c r="BT52" i="17" s="1"/>
  <c r="BT53" i="17" s="1"/>
  <c r="BT54" i="17" s="1"/>
  <c r="AH57" i="17"/>
  <c r="M58" i="17"/>
  <c r="AD58" i="17"/>
  <c r="R59" i="17"/>
  <c r="Q60" i="17"/>
  <c r="R62" i="17"/>
  <c r="W70" i="17"/>
  <c r="Q81" i="17"/>
  <c r="F92" i="17"/>
  <c r="U103" i="17"/>
  <c r="AQ51" i="17"/>
  <c r="AQ52" i="17" s="1"/>
  <c r="AQ53" i="17" s="1"/>
  <c r="BG51" i="17"/>
  <c r="BU51" i="17"/>
  <c r="BU52" i="17" s="1"/>
  <c r="BU53" i="17" s="1"/>
  <c r="BU54" i="17" s="1"/>
  <c r="O58" i="17"/>
  <c r="AE58" i="17"/>
  <c r="T59" i="17"/>
  <c r="D62" i="17"/>
  <c r="X70" i="17"/>
  <c r="R81" i="17"/>
  <c r="S92" i="17"/>
  <c r="V103" i="17"/>
  <c r="AY32" i="17"/>
  <c r="AX35" i="17"/>
  <c r="Y49" i="17"/>
  <c r="Y187" i="17" s="1"/>
  <c r="K51" i="17"/>
  <c r="Y51" i="17"/>
  <c r="AR51" i="17"/>
  <c r="AR52" i="17" s="1"/>
  <c r="AR53" i="17" s="1"/>
  <c r="BH51" i="17"/>
  <c r="BV51" i="17"/>
  <c r="BV52" i="17" s="1"/>
  <c r="BV53" i="17" s="1"/>
  <c r="BV54" i="17" s="1"/>
  <c r="P58" i="17"/>
  <c r="AF58" i="17"/>
  <c r="E59" i="17"/>
  <c r="U59" i="17"/>
  <c r="AH61" i="17"/>
  <c r="F69" i="17"/>
  <c r="D71" i="17"/>
  <c r="AD81" i="17"/>
  <c r="T92" i="17"/>
  <c r="G104" i="17"/>
  <c r="G26" i="17"/>
  <c r="Y172" i="17"/>
  <c r="M172" i="17"/>
  <c r="AD170" i="17"/>
  <c r="R170" i="17"/>
  <c r="F170" i="17"/>
  <c r="Y169" i="17"/>
  <c r="M169" i="17"/>
  <c r="AF168" i="17"/>
  <c r="T168" i="17"/>
  <c r="H168" i="17"/>
  <c r="W161" i="17"/>
  <c r="K161" i="17"/>
  <c r="AB159" i="17"/>
  <c r="P159" i="17"/>
  <c r="D159" i="17"/>
  <c r="W158" i="17"/>
  <c r="K158" i="17"/>
  <c r="AD157" i="17"/>
  <c r="R157" i="17"/>
  <c r="F157" i="17"/>
  <c r="X172" i="17"/>
  <c r="L172" i="17"/>
  <c r="AC170" i="17"/>
  <c r="Q170" i="17"/>
  <c r="E170" i="17"/>
  <c r="X169" i="17"/>
  <c r="L169" i="17"/>
  <c r="AE168" i="17"/>
  <c r="S168" i="17"/>
  <c r="G168" i="17"/>
  <c r="V161" i="17"/>
  <c r="J161" i="17"/>
  <c r="AA159" i="17"/>
  <c r="O159" i="17"/>
  <c r="V158" i="17"/>
  <c r="J158" i="17"/>
  <c r="AC157" i="17"/>
  <c r="W172" i="17"/>
  <c r="K172" i="17"/>
  <c r="AB170" i="17"/>
  <c r="P170" i="17"/>
  <c r="D170" i="17"/>
  <c r="W169" i="17"/>
  <c r="K169" i="17"/>
  <c r="AD168" i="17"/>
  <c r="R168" i="17"/>
  <c r="F168" i="17"/>
  <c r="AG161" i="17"/>
  <c r="U161" i="17"/>
  <c r="I161" i="17"/>
  <c r="Z159" i="17"/>
  <c r="N159" i="17"/>
  <c r="AG158" i="17"/>
  <c r="U158" i="17"/>
  <c r="I158" i="17"/>
  <c r="AB157" i="17"/>
  <c r="P157" i="17"/>
  <c r="D157" i="17"/>
  <c r="V172" i="17"/>
  <c r="J172" i="17"/>
  <c r="AA170" i="17"/>
  <c r="O170" i="17"/>
  <c r="V169" i="17"/>
  <c r="J169" i="17"/>
  <c r="AC168" i="17"/>
  <c r="Q168" i="17"/>
  <c r="E168" i="17"/>
  <c r="AF161" i="17"/>
  <c r="T161" i="17"/>
  <c r="H161" i="17"/>
  <c r="Y159" i="17"/>
  <c r="AG172" i="17"/>
  <c r="U172" i="17"/>
  <c r="I172" i="17"/>
  <c r="Z170" i="17"/>
  <c r="N170" i="17"/>
  <c r="AG169" i="17"/>
  <c r="U169" i="17"/>
  <c r="I169" i="17"/>
  <c r="AB168" i="17"/>
  <c r="P168" i="17"/>
  <c r="D168" i="17"/>
  <c r="AE161" i="17"/>
  <c r="S161" i="17"/>
  <c r="G161" i="17"/>
  <c r="X159" i="17"/>
  <c r="L159" i="17"/>
  <c r="AE158" i="17"/>
  <c r="S158" i="17"/>
  <c r="G158" i="17"/>
  <c r="Z157" i="17"/>
  <c r="N157" i="17"/>
  <c r="AF172" i="17"/>
  <c r="T172" i="17"/>
  <c r="H172" i="17"/>
  <c r="Y170" i="17"/>
  <c r="M170" i="17"/>
  <c r="AF169" i="17"/>
  <c r="T169" i="17"/>
  <c r="H169" i="17"/>
  <c r="AA168" i="17"/>
  <c r="O168" i="17"/>
  <c r="AD161" i="17"/>
  <c r="R161" i="17"/>
  <c r="F161" i="17"/>
  <c r="AE172" i="17"/>
  <c r="S172" i="17"/>
  <c r="G172" i="17"/>
  <c r="X170" i="17"/>
  <c r="L170" i="17"/>
  <c r="AE169" i="17"/>
  <c r="S169" i="17"/>
  <c r="G169" i="17"/>
  <c r="Z168" i="17"/>
  <c r="N168" i="17"/>
  <c r="AC161" i="17"/>
  <c r="Q161" i="17"/>
  <c r="E161" i="17"/>
  <c r="V159" i="17"/>
  <c r="J159" i="17"/>
  <c r="AC158" i="17"/>
  <c r="Q158" i="17"/>
  <c r="E158" i="17"/>
  <c r="X157" i="17"/>
  <c r="L157" i="17"/>
  <c r="AD172" i="17"/>
  <c r="R172" i="17"/>
  <c r="F172" i="17"/>
  <c r="W170" i="17"/>
  <c r="K170" i="17"/>
  <c r="AD169" i="17"/>
  <c r="R169" i="17"/>
  <c r="F169" i="17"/>
  <c r="Y168" i="17"/>
  <c r="M168" i="17"/>
  <c r="AB161" i="17"/>
  <c r="P161" i="17"/>
  <c r="D161" i="17"/>
  <c r="AG159" i="17"/>
  <c r="U159" i="17"/>
  <c r="I159" i="17"/>
  <c r="AB158" i="17"/>
  <c r="P158" i="17"/>
  <c r="D158" i="17"/>
  <c r="W157" i="17"/>
  <c r="AC172" i="17"/>
  <c r="Q172" i="17"/>
  <c r="E172" i="17"/>
  <c r="V170" i="17"/>
  <c r="J170" i="17"/>
  <c r="AC169" i="17"/>
  <c r="Q169" i="17"/>
  <c r="E169" i="17"/>
  <c r="X168" i="17"/>
  <c r="L168" i="17"/>
  <c r="AA161" i="17"/>
  <c r="O161" i="17"/>
  <c r="AF159" i="17"/>
  <c r="AB172" i="17"/>
  <c r="P172" i="17"/>
  <c r="D172" i="17"/>
  <c r="AG170" i="17"/>
  <c r="U170" i="17"/>
  <c r="I170" i="17"/>
  <c r="AB169" i="17"/>
  <c r="P169" i="17"/>
  <c r="D169" i="17"/>
  <c r="W168" i="17"/>
  <c r="K168" i="17"/>
  <c r="Z161" i="17"/>
  <c r="N161" i="17"/>
  <c r="AE159" i="17"/>
  <c r="S159" i="17"/>
  <c r="G159" i="17"/>
  <c r="Z158" i="17"/>
  <c r="N158" i="17"/>
  <c r="AG157" i="17"/>
  <c r="U157" i="17"/>
  <c r="I157" i="17"/>
  <c r="L150" i="17"/>
  <c r="AC148" i="17"/>
  <c r="X147" i="17"/>
  <c r="L147" i="17"/>
  <c r="AE146" i="17"/>
  <c r="S146" i="17"/>
  <c r="G146" i="17"/>
  <c r="J139" i="17"/>
  <c r="V136" i="17"/>
  <c r="J136" i="17"/>
  <c r="AC135" i="17"/>
  <c r="AA172" i="17"/>
  <c r="O172" i="17"/>
  <c r="AF170" i="17"/>
  <c r="T170" i="17"/>
  <c r="H170" i="17"/>
  <c r="AA169" i="17"/>
  <c r="O169" i="17"/>
  <c r="V168" i="17"/>
  <c r="J168" i="17"/>
  <c r="Y161" i="17"/>
  <c r="M161" i="17"/>
  <c r="AD159" i="17"/>
  <c r="R159" i="17"/>
  <c r="F159" i="17"/>
  <c r="Y158" i="17"/>
  <c r="M158" i="17"/>
  <c r="AF157" i="17"/>
  <c r="T157" i="17"/>
  <c r="H157" i="17"/>
  <c r="W147" i="17"/>
  <c r="K147" i="17"/>
  <c r="AD146" i="17"/>
  <c r="R146" i="17"/>
  <c r="F146" i="17"/>
  <c r="AG139" i="17"/>
  <c r="I139" i="17"/>
  <c r="X161" i="17"/>
  <c r="Q159" i="17"/>
  <c r="L158" i="17"/>
  <c r="K157" i="17"/>
  <c r="AE150" i="17"/>
  <c r="AG147" i="17"/>
  <c r="S147" i="17"/>
  <c r="E147" i="17"/>
  <c r="V146" i="17"/>
  <c r="H146" i="17"/>
  <c r="Z136" i="17"/>
  <c r="M136" i="17"/>
  <c r="AE135" i="17"/>
  <c r="R135" i="17"/>
  <c r="F135" i="17"/>
  <c r="AE170" i="17"/>
  <c r="L161" i="17"/>
  <c r="M159" i="17"/>
  <c r="H158" i="17"/>
  <c r="J157" i="17"/>
  <c r="AD150" i="17"/>
  <c r="AF147" i="17"/>
  <c r="R147" i="17"/>
  <c r="D147" i="17"/>
  <c r="U146" i="17"/>
  <c r="E146" i="17"/>
  <c r="T139" i="17"/>
  <c r="F139" i="17"/>
  <c r="Y136" i="17"/>
  <c r="L136" i="17"/>
  <c r="AD135" i="17"/>
  <c r="Q135" i="17"/>
  <c r="E135" i="17"/>
  <c r="AF128" i="17"/>
  <c r="T128" i="17"/>
  <c r="S170" i="17"/>
  <c r="K159" i="17"/>
  <c r="F158" i="17"/>
  <c r="G157" i="17"/>
  <c r="AC150" i="17"/>
  <c r="O150" i="17"/>
  <c r="AE147" i="17"/>
  <c r="Q147" i="17"/>
  <c r="T146" i="17"/>
  <c r="D146" i="17"/>
  <c r="S139" i="17"/>
  <c r="E139" i="17"/>
  <c r="Z172" i="17"/>
  <c r="G170" i="17"/>
  <c r="H159" i="17"/>
  <c r="E157" i="17"/>
  <c r="AB150" i="17"/>
  <c r="N150" i="17"/>
  <c r="AD147" i="17"/>
  <c r="P147" i="17"/>
  <c r="AG146" i="17"/>
  <c r="Q146" i="17"/>
  <c r="R139" i="17"/>
  <c r="D139" i="17"/>
  <c r="AG137" i="17"/>
  <c r="W136" i="17"/>
  <c r="I136" i="17"/>
  <c r="AA135" i="17"/>
  <c r="O135" i="17"/>
  <c r="AD128" i="17"/>
  <c r="R128" i="17"/>
  <c r="K126" i="17"/>
  <c r="AD125" i="17"/>
  <c r="R125" i="17"/>
  <c r="F125" i="17"/>
  <c r="Y124" i="17"/>
  <c r="M124" i="17"/>
  <c r="P117" i="17"/>
  <c r="AB114" i="17"/>
  <c r="P114" i="17"/>
  <c r="D114" i="17"/>
  <c r="W113" i="17"/>
  <c r="K113" i="17"/>
  <c r="N172" i="17"/>
  <c r="Z169" i="17"/>
  <c r="E159" i="17"/>
  <c r="AE157" i="17"/>
  <c r="AC147" i="17"/>
  <c r="O147" i="17"/>
  <c r="AF146" i="17"/>
  <c r="P146" i="17"/>
  <c r="N169" i="17"/>
  <c r="AF158" i="17"/>
  <c r="AA157" i="17"/>
  <c r="J150" i="17"/>
  <c r="AB147" i="17"/>
  <c r="N147" i="17"/>
  <c r="AC146" i="17"/>
  <c r="O146" i="17"/>
  <c r="AD139" i="17"/>
  <c r="P139" i="17"/>
  <c r="AD158" i="17"/>
  <c r="Y157" i="17"/>
  <c r="Y150" i="17"/>
  <c r="I150" i="17"/>
  <c r="AA147" i="17"/>
  <c r="M147" i="17"/>
  <c r="AB146" i="17"/>
  <c r="N146" i="17"/>
  <c r="AC139" i="17"/>
  <c r="O139" i="17"/>
  <c r="AD137" i="17"/>
  <c r="P137" i="17"/>
  <c r="AG168" i="17"/>
  <c r="AA158" i="17"/>
  <c r="V157" i="17"/>
  <c r="V150" i="17"/>
  <c r="I148" i="17"/>
  <c r="Z147" i="17"/>
  <c r="J147" i="17"/>
  <c r="AA146" i="17"/>
  <c r="M146" i="17"/>
  <c r="N139" i="17"/>
  <c r="U168" i="17"/>
  <c r="X158" i="17"/>
  <c r="S157" i="17"/>
  <c r="U150" i="17"/>
  <c r="G150" i="17"/>
  <c r="Y147" i="17"/>
  <c r="I147" i="17"/>
  <c r="Z146" i="17"/>
  <c r="L146" i="17"/>
  <c r="I168" i="17"/>
  <c r="AC159" i="17"/>
  <c r="T158" i="17"/>
  <c r="Q157" i="17"/>
  <c r="T150" i="17"/>
  <c r="V147" i="17"/>
  <c r="H147" i="17"/>
  <c r="Y146" i="17"/>
  <c r="K146" i="17"/>
  <c r="AC136" i="17"/>
  <c r="P136" i="17"/>
  <c r="U135" i="17"/>
  <c r="I135" i="17"/>
  <c r="X128" i="17"/>
  <c r="L128" i="17"/>
  <c r="AC126" i="17"/>
  <c r="X125" i="17"/>
  <c r="L125" i="17"/>
  <c r="AE124" i="17"/>
  <c r="S124" i="17"/>
  <c r="G124" i="17"/>
  <c r="V117" i="17"/>
  <c r="V114" i="17"/>
  <c r="J114" i="17"/>
  <c r="AC113" i="17"/>
  <c r="Q113" i="17"/>
  <c r="E113" i="17"/>
  <c r="W159" i="17"/>
  <c r="F147" i="17"/>
  <c r="J137" i="17"/>
  <c r="T136" i="17"/>
  <c r="N135" i="17"/>
  <c r="AC128" i="17"/>
  <c r="N128" i="17"/>
  <c r="AB126" i="17"/>
  <c r="AE125" i="17"/>
  <c r="P125" i="17"/>
  <c r="AG124" i="17"/>
  <c r="R124" i="17"/>
  <c r="D124" i="17"/>
  <c r="U114" i="17"/>
  <c r="G114" i="17"/>
  <c r="X113" i="17"/>
  <c r="I113" i="17"/>
  <c r="T159" i="17"/>
  <c r="X139" i="17"/>
  <c r="I137" i="17"/>
  <c r="S136" i="17"/>
  <c r="AG135" i="17"/>
  <c r="M135" i="17"/>
  <c r="AB128" i="17"/>
  <c r="M128" i="17"/>
  <c r="AA126" i="17"/>
  <c r="AC125" i="17"/>
  <c r="O125" i="17"/>
  <c r="AF124" i="17"/>
  <c r="Q124" i="17"/>
  <c r="T114" i="17"/>
  <c r="F114" i="17"/>
  <c r="V113" i="17"/>
  <c r="H113" i="17"/>
  <c r="AC106" i="17"/>
  <c r="Q106" i="17"/>
  <c r="E106" i="17"/>
  <c r="V104" i="17"/>
  <c r="AC103" i="17"/>
  <c r="Q103" i="17"/>
  <c r="E103" i="17"/>
  <c r="X102" i="17"/>
  <c r="L102" i="17"/>
  <c r="AA95" i="17"/>
  <c r="O95" i="17"/>
  <c r="AE93" i="17"/>
  <c r="S93" i="17"/>
  <c r="Z92" i="17"/>
  <c r="N92" i="17"/>
  <c r="AG91" i="17"/>
  <c r="R158" i="17"/>
  <c r="AG150" i="17"/>
  <c r="X146" i="17"/>
  <c r="Q139" i="17"/>
  <c r="R136" i="17"/>
  <c r="AF135" i="17"/>
  <c r="L135" i="17"/>
  <c r="AA128" i="17"/>
  <c r="K128" i="17"/>
  <c r="Z126" i="17"/>
  <c r="AB125" i="17"/>
  <c r="N125" i="17"/>
  <c r="AD124" i="17"/>
  <c r="P124" i="17"/>
  <c r="O158" i="17"/>
  <c r="AF150" i="17"/>
  <c r="W146" i="17"/>
  <c r="Q136" i="17"/>
  <c r="AB135" i="17"/>
  <c r="K135" i="17"/>
  <c r="Z128" i="17"/>
  <c r="J128" i="17"/>
  <c r="Y126" i="17"/>
  <c r="J126" i="17"/>
  <c r="AA125" i="17"/>
  <c r="M125" i="17"/>
  <c r="AC124" i="17"/>
  <c r="O124" i="17"/>
  <c r="S150" i="17"/>
  <c r="J146" i="17"/>
  <c r="AG136" i="17"/>
  <c r="O136" i="17"/>
  <c r="Z135" i="17"/>
  <c r="J135" i="17"/>
  <c r="Y128" i="17"/>
  <c r="X126" i="17"/>
  <c r="Z125" i="17"/>
  <c r="K125" i="17"/>
  <c r="AB124" i="17"/>
  <c r="N124" i="17"/>
  <c r="O157" i="17"/>
  <c r="T148" i="17"/>
  <c r="I146" i="17"/>
  <c r="AF136" i="17"/>
  <c r="N136" i="17"/>
  <c r="Y135" i="17"/>
  <c r="H135" i="17"/>
  <c r="W128" i="17"/>
  <c r="Y125" i="17"/>
  <c r="J125" i="17"/>
  <c r="AA124" i="17"/>
  <c r="L124" i="17"/>
  <c r="M157" i="17"/>
  <c r="S148" i="17"/>
  <c r="X137" i="17"/>
  <c r="AE136" i="17"/>
  <c r="K136" i="17"/>
  <c r="X135" i="17"/>
  <c r="G135" i="17"/>
  <c r="V128" i="17"/>
  <c r="U126" i="17"/>
  <c r="W125" i="17"/>
  <c r="I125" i="17"/>
  <c r="Z124" i="17"/>
  <c r="K124" i="17"/>
  <c r="AD136" i="17"/>
  <c r="H136" i="17"/>
  <c r="W135" i="17"/>
  <c r="D135" i="17"/>
  <c r="U128" i="17"/>
  <c r="T126" i="17"/>
  <c r="V125" i="17"/>
  <c r="H125" i="17"/>
  <c r="X124" i="17"/>
  <c r="J124" i="17"/>
  <c r="Z117" i="17"/>
  <c r="K115" i="17"/>
  <c r="AA114" i="17"/>
  <c r="M114" i="17"/>
  <c r="AD113" i="17"/>
  <c r="O113" i="17"/>
  <c r="W106" i="17"/>
  <c r="K106" i="17"/>
  <c r="W103" i="17"/>
  <c r="K103" i="17"/>
  <c r="AD102" i="17"/>
  <c r="R102" i="17"/>
  <c r="F102" i="17"/>
  <c r="AB136" i="17"/>
  <c r="G136" i="17"/>
  <c r="V135" i="17"/>
  <c r="S128" i="17"/>
  <c r="D128" i="17"/>
  <c r="AG126" i="17"/>
  <c r="S126" i="17"/>
  <c r="D126" i="17"/>
  <c r="U125" i="17"/>
  <c r="G125" i="17"/>
  <c r="W124" i="17"/>
  <c r="I124" i="17"/>
  <c r="U147" i="17"/>
  <c r="Q137" i="17"/>
  <c r="AA136" i="17"/>
  <c r="F136" i="17"/>
  <c r="T135" i="17"/>
  <c r="Q128" i="17"/>
  <c r="T147" i="17"/>
  <c r="X136" i="17"/>
  <c r="E136" i="17"/>
  <c r="S135" i="17"/>
  <c r="AG128" i="17"/>
  <c r="P128" i="17"/>
  <c r="E125" i="17"/>
  <c r="AD114" i="17"/>
  <c r="K114" i="17"/>
  <c r="U113" i="17"/>
  <c r="AA106" i="17"/>
  <c r="M106" i="17"/>
  <c r="L104" i="17"/>
  <c r="AB103" i="17"/>
  <c r="N103" i="17"/>
  <c r="AE102" i="17"/>
  <c r="P102" i="17"/>
  <c r="AC95" i="17"/>
  <c r="P95" i="17"/>
  <c r="AC93" i="17"/>
  <c r="U92" i="17"/>
  <c r="H92" i="17"/>
  <c r="Z91" i="17"/>
  <c r="N91" i="17"/>
  <c r="AC84" i="17"/>
  <c r="E84" i="17"/>
  <c r="AG82" i="17"/>
  <c r="AB81" i="17"/>
  <c r="P81" i="17"/>
  <c r="D81" i="17"/>
  <c r="W80" i="17"/>
  <c r="K80" i="17"/>
  <c r="U136" i="17"/>
  <c r="D125" i="17"/>
  <c r="K117" i="17"/>
  <c r="P115" i="17"/>
  <c r="AC114" i="17"/>
  <c r="I114" i="17"/>
  <c r="T113" i="17"/>
  <c r="D136" i="17"/>
  <c r="Z114" i="17"/>
  <c r="H114" i="17"/>
  <c r="S113" i="17"/>
  <c r="Y106" i="17"/>
  <c r="AE128" i="17"/>
  <c r="R126" i="17"/>
  <c r="V124" i="17"/>
  <c r="AA117" i="17"/>
  <c r="Y114" i="17"/>
  <c r="E114" i="17"/>
  <c r="R113" i="17"/>
  <c r="P135" i="17"/>
  <c r="O128" i="17"/>
  <c r="P126" i="17"/>
  <c r="U124" i="17"/>
  <c r="G117" i="17"/>
  <c r="X114" i="17"/>
  <c r="P113" i="17"/>
  <c r="O126" i="17"/>
  <c r="T124" i="17"/>
  <c r="H124" i="17"/>
  <c r="AG125" i="17"/>
  <c r="F124" i="17"/>
  <c r="G115" i="17"/>
  <c r="R114" i="17"/>
  <c r="AE113" i="17"/>
  <c r="L113" i="17"/>
  <c r="AG106" i="17"/>
  <c r="S106" i="17"/>
  <c r="AF125" i="17"/>
  <c r="E124" i="17"/>
  <c r="G147" i="17"/>
  <c r="T125" i="17"/>
  <c r="AF113" i="17"/>
  <c r="AF106" i="17"/>
  <c r="N106" i="17"/>
  <c r="T103" i="17"/>
  <c r="D103" i="17"/>
  <c r="T102" i="17"/>
  <c r="D102" i="17"/>
  <c r="AG95" i="17"/>
  <c r="S95" i="17"/>
  <c r="E95" i="17"/>
  <c r="AD93" i="17"/>
  <c r="AF92" i="17"/>
  <c r="R92" i="17"/>
  <c r="D92" i="17"/>
  <c r="U91" i="17"/>
  <c r="H91" i="17"/>
  <c r="J84" i="17"/>
  <c r="X82" i="17"/>
  <c r="AC81" i="17"/>
  <c r="O81" i="17"/>
  <c r="AG80" i="17"/>
  <c r="T80" i="17"/>
  <c r="G80" i="17"/>
  <c r="W73" i="17"/>
  <c r="V70" i="17"/>
  <c r="J70" i="17"/>
  <c r="AC69" i="17"/>
  <c r="Q69" i="17"/>
  <c r="E69" i="17"/>
  <c r="X62" i="17"/>
  <c r="L62" i="17"/>
  <c r="V60" i="17"/>
  <c r="AE59" i="17"/>
  <c r="S59" i="17"/>
  <c r="G59" i="17"/>
  <c r="Z58" i="17"/>
  <c r="N58" i="17"/>
  <c r="AG114" i="17"/>
  <c r="AB113" i="17"/>
  <c r="AE106" i="17"/>
  <c r="L106" i="17"/>
  <c r="S103" i="17"/>
  <c r="S102" i="17"/>
  <c r="AF95" i="17"/>
  <c r="R95" i="17"/>
  <c r="D95" i="17"/>
  <c r="AB93" i="17"/>
  <c r="N93" i="17"/>
  <c r="AE92" i="17"/>
  <c r="Q92" i="17"/>
  <c r="T91" i="17"/>
  <c r="G91" i="17"/>
  <c r="I84" i="17"/>
  <c r="J82" i="17"/>
  <c r="AA81" i="17"/>
  <c r="N81" i="17"/>
  <c r="AF80" i="17"/>
  <c r="S80" i="17"/>
  <c r="F80" i="17"/>
  <c r="J73" i="17"/>
  <c r="AG70" i="17"/>
  <c r="U70" i="17"/>
  <c r="I70" i="17"/>
  <c r="AB69" i="17"/>
  <c r="P69" i="17"/>
  <c r="D69" i="17"/>
  <c r="AF114" i="17"/>
  <c r="AA113" i="17"/>
  <c r="J106" i="17"/>
  <c r="AG103" i="17"/>
  <c r="R103" i="17"/>
  <c r="AG102" i="17"/>
  <c r="Q102" i="17"/>
  <c r="AE95" i="17"/>
  <c r="AA93" i="17"/>
  <c r="AD92" i="17"/>
  <c r="P92" i="17"/>
  <c r="AF91" i="17"/>
  <c r="S91" i="17"/>
  <c r="F91" i="17"/>
  <c r="U84" i="17"/>
  <c r="Z81" i="17"/>
  <c r="M81" i="17"/>
  <c r="AE80" i="17"/>
  <c r="R80" i="17"/>
  <c r="E80" i="17"/>
  <c r="AG73" i="17"/>
  <c r="AF70" i="17"/>
  <c r="T70" i="17"/>
  <c r="H70" i="17"/>
  <c r="AA69" i="17"/>
  <c r="O69" i="17"/>
  <c r="AE114" i="17"/>
  <c r="Z113" i="17"/>
  <c r="AB106" i="17"/>
  <c r="I106" i="17"/>
  <c r="AF103" i="17"/>
  <c r="P103" i="17"/>
  <c r="AF102" i="17"/>
  <c r="O102" i="17"/>
  <c r="AD95" i="17"/>
  <c r="N95" i="17"/>
  <c r="Z93" i="17"/>
  <c r="AC92" i="17"/>
  <c r="O92" i="17"/>
  <c r="AE91" i="17"/>
  <c r="R91" i="17"/>
  <c r="E91" i="17"/>
  <c r="AG84" i="17"/>
  <c r="T84" i="17"/>
  <c r="G84" i="17"/>
  <c r="T82" i="17"/>
  <c r="Y81" i="17"/>
  <c r="L81" i="17"/>
  <c r="AD80" i="17"/>
  <c r="Q80" i="17"/>
  <c r="D80" i="17"/>
  <c r="AF73" i="17"/>
  <c r="T73" i="17"/>
  <c r="AE70" i="17"/>
  <c r="S70" i="17"/>
  <c r="G70" i="17"/>
  <c r="Z69" i="17"/>
  <c r="N69" i="17"/>
  <c r="AE60" i="17"/>
  <c r="AB59" i="17"/>
  <c r="P59" i="17"/>
  <c r="D59" i="17"/>
  <c r="W58" i="17"/>
  <c r="K58" i="17"/>
  <c r="V51" i="17"/>
  <c r="J51" i="17"/>
  <c r="P49" i="17"/>
  <c r="P187" i="17" s="1"/>
  <c r="AB48" i="17"/>
  <c r="P48" i="17"/>
  <c r="D48" i="17"/>
  <c r="AB47" i="17"/>
  <c r="P47" i="17"/>
  <c r="D47" i="17"/>
  <c r="W114" i="17"/>
  <c r="Y113" i="17"/>
  <c r="Z106" i="17"/>
  <c r="H106" i="17"/>
  <c r="Q104" i="17"/>
  <c r="AE103" i="17"/>
  <c r="O103" i="17"/>
  <c r="AC102" i="17"/>
  <c r="N102" i="17"/>
  <c r="AB95" i="17"/>
  <c r="M95" i="17"/>
  <c r="Y93" i="17"/>
  <c r="AB92" i="17"/>
  <c r="M92" i="17"/>
  <c r="AD91" i="17"/>
  <c r="Q91" i="17"/>
  <c r="D91" i="17"/>
  <c r="S84" i="17"/>
  <c r="F84" i="17"/>
  <c r="S82" i="17"/>
  <c r="F82" i="17"/>
  <c r="X81" i="17"/>
  <c r="K81" i="17"/>
  <c r="AC80" i="17"/>
  <c r="P80" i="17"/>
  <c r="S73" i="17"/>
  <c r="G73" i="17"/>
  <c r="W71" i="17"/>
  <c r="AD70" i="17"/>
  <c r="R70" i="17"/>
  <c r="F70" i="17"/>
  <c r="Y69" i="17"/>
  <c r="M69" i="17"/>
  <c r="S114" i="17"/>
  <c r="N113" i="17"/>
  <c r="X106" i="17"/>
  <c r="G106" i="17"/>
  <c r="AD103" i="17"/>
  <c r="M103" i="17"/>
  <c r="AB102" i="17"/>
  <c r="M102" i="17"/>
  <c r="Z95" i="17"/>
  <c r="L95" i="17"/>
  <c r="X93" i="17"/>
  <c r="AA92" i="17"/>
  <c r="L92" i="17"/>
  <c r="AC91" i="17"/>
  <c r="P91" i="17"/>
  <c r="E82" i="17"/>
  <c r="W81" i="17"/>
  <c r="J81" i="17"/>
  <c r="AB80" i="17"/>
  <c r="O80" i="17"/>
  <c r="R73" i="17"/>
  <c r="F73" i="17"/>
  <c r="J71" i="17"/>
  <c r="AC70" i="17"/>
  <c r="Q70" i="17"/>
  <c r="E70" i="17"/>
  <c r="X69" i="17"/>
  <c r="L69" i="17"/>
  <c r="Q114" i="17"/>
  <c r="M113" i="17"/>
  <c r="V106" i="17"/>
  <c r="F106" i="17"/>
  <c r="AE104" i="17"/>
  <c r="AA103" i="17"/>
  <c r="L103" i="17"/>
  <c r="AA102" i="17"/>
  <c r="K102" i="17"/>
  <c r="Y95" i="17"/>
  <c r="W93" i="17"/>
  <c r="Y92" i="17"/>
  <c r="K92" i="17"/>
  <c r="AB91" i="17"/>
  <c r="O91" i="17"/>
  <c r="AD84" i="17"/>
  <c r="P84" i="17"/>
  <c r="V81" i="17"/>
  <c r="I81" i="17"/>
  <c r="AA80" i="17"/>
  <c r="N80" i="17"/>
  <c r="AC73" i="17"/>
  <c r="E73" i="17"/>
  <c r="AB70" i="17"/>
  <c r="P70" i="17"/>
  <c r="D70" i="17"/>
  <c r="W69" i="17"/>
  <c r="K69" i="17"/>
  <c r="S125" i="17"/>
  <c r="Q117" i="17"/>
  <c r="O114" i="17"/>
  <c r="J113" i="17"/>
  <c r="U106" i="17"/>
  <c r="M104" i="17"/>
  <c r="Z103" i="17"/>
  <c r="J103" i="17"/>
  <c r="Z102" i="17"/>
  <c r="J102" i="17"/>
  <c r="X95" i="17"/>
  <c r="V93" i="17"/>
  <c r="X92" i="17"/>
  <c r="J92" i="17"/>
  <c r="AA91" i="17"/>
  <c r="M91" i="17"/>
  <c r="O84" i="17"/>
  <c r="U81" i="17"/>
  <c r="H81" i="17"/>
  <c r="Z80" i="17"/>
  <c r="M80" i="17"/>
  <c r="AB73" i="17"/>
  <c r="D73" i="17"/>
  <c r="AF71" i="17"/>
  <c r="AA70" i="17"/>
  <c r="O70" i="17"/>
  <c r="V69" i="17"/>
  <c r="Q125" i="17"/>
  <c r="V115" i="17"/>
  <c r="N114" i="17"/>
  <c r="G113" i="17"/>
  <c r="T106" i="17"/>
  <c r="Y103" i="17"/>
  <c r="I103" i="17"/>
  <c r="Y102" i="17"/>
  <c r="I102" i="17"/>
  <c r="W95" i="17"/>
  <c r="U93" i="17"/>
  <c r="W92" i="17"/>
  <c r="I92" i="17"/>
  <c r="Y91" i="17"/>
  <c r="L91" i="17"/>
  <c r="O82" i="17"/>
  <c r="AG81" i="17"/>
  <c r="T81" i="17"/>
  <c r="G81" i="17"/>
  <c r="Y80" i="17"/>
  <c r="L80" i="17"/>
  <c r="Z70" i="17"/>
  <c r="N70" i="17"/>
  <c r="AG69" i="17"/>
  <c r="U69" i="17"/>
  <c r="I69" i="17"/>
  <c r="L114" i="17"/>
  <c r="F113" i="17"/>
  <c r="R106" i="17"/>
  <c r="X103" i="17"/>
  <c r="H103" i="17"/>
  <c r="W102" i="17"/>
  <c r="H102" i="17"/>
  <c r="V95" i="17"/>
  <c r="H95" i="17"/>
  <c r="T93" i="17"/>
  <c r="V92" i="17"/>
  <c r="G92" i="17"/>
  <c r="X91" i="17"/>
  <c r="K91" i="17"/>
  <c r="AF81" i="17"/>
  <c r="S81" i="17"/>
  <c r="F81" i="17"/>
  <c r="X80" i="17"/>
  <c r="J80" i="17"/>
  <c r="Z73" i="17"/>
  <c r="Y70" i="17"/>
  <c r="M70" i="17"/>
  <c r="AF69" i="17"/>
  <c r="T69" i="17"/>
  <c r="H69" i="17"/>
  <c r="AA62" i="17"/>
  <c r="M60" i="17"/>
  <c r="V59" i="17"/>
  <c r="J59" i="17"/>
  <c r="AC58" i="17"/>
  <c r="Q58" i="17"/>
  <c r="E58" i="17"/>
  <c r="P51" i="17"/>
  <c r="D51" i="17"/>
  <c r="V48" i="17"/>
  <c r="J48" i="17"/>
  <c r="V47" i="17"/>
  <c r="J47" i="17"/>
  <c r="L47" i="17"/>
  <c r="Z47" i="17"/>
  <c r="E48" i="17"/>
  <c r="S48" i="17"/>
  <c r="AG48" i="17"/>
  <c r="L51" i="17"/>
  <c r="Z51" i="17"/>
  <c r="AT51" i="17"/>
  <c r="AT52" i="17" s="1"/>
  <c r="AT53" i="17" s="1"/>
  <c r="BI51" i="17"/>
  <c r="BW51" i="17"/>
  <c r="BW52" i="17" s="1"/>
  <c r="BW53" i="17" s="1"/>
  <c r="BW54" i="17" s="1"/>
  <c r="R58" i="17"/>
  <c r="AG58" i="17"/>
  <c r="F59" i="17"/>
  <c r="W59" i="17"/>
  <c r="F62" i="17"/>
  <c r="V62" i="17"/>
  <c r="G69" i="17"/>
  <c r="AE81" i="17"/>
  <c r="K84" i="17"/>
  <c r="AG92" i="17"/>
  <c r="BA37" i="17"/>
  <c r="AO37" i="17" s="1"/>
  <c r="BB37" i="17" s="1"/>
  <c r="BC37" i="17" s="1"/>
  <c r="M51" i="17"/>
  <c r="AA51" i="17"/>
  <c r="AU51" i="17"/>
  <c r="BJ51" i="17"/>
  <c r="S58" i="17"/>
  <c r="H59" i="17"/>
  <c r="X59" i="17"/>
  <c r="W62" i="17"/>
  <c r="J69" i="17"/>
  <c r="D93" i="17"/>
  <c r="F95" i="17"/>
  <c r="BA33" i="17"/>
  <c r="AO33" i="17" s="1"/>
  <c r="BB33" i="17" s="1"/>
  <c r="BC33" i="17" s="1"/>
  <c r="BA35" i="17"/>
  <c r="AO35" i="17" s="1"/>
  <c r="BB35" i="17" s="1"/>
  <c r="BC35" i="17" s="1"/>
  <c r="H128" i="17" s="1"/>
  <c r="N24" i="17"/>
  <c r="AG153" i="17"/>
  <c r="AG142" i="17"/>
  <c r="AG109" i="17"/>
  <c r="AG120" i="17"/>
  <c r="AG131" i="17"/>
  <c r="AG76" i="17"/>
  <c r="AG87" i="17"/>
  <c r="AG98" i="17"/>
  <c r="AG65" i="17"/>
  <c r="N47" i="17"/>
  <c r="AC47" i="17"/>
  <c r="G48" i="17"/>
  <c r="U48" i="17"/>
  <c r="N51" i="17"/>
  <c r="AV51" i="17"/>
  <c r="BK51" i="17"/>
  <c r="D58" i="17"/>
  <c r="T58" i="17"/>
  <c r="I59" i="17"/>
  <c r="Y59" i="17"/>
  <c r="H60" i="17"/>
  <c r="H62" i="17"/>
  <c r="Y62" i="17"/>
  <c r="R69" i="17"/>
  <c r="X73" i="17"/>
  <c r="X84" i="17"/>
  <c r="G95" i="17"/>
  <c r="E102" i="17"/>
  <c r="N26" i="17"/>
  <c r="O47" i="17"/>
  <c r="AD47" i="17"/>
  <c r="H48" i="17"/>
  <c r="W48" i="17"/>
  <c r="O49" i="17"/>
  <c r="O187" i="17" s="1"/>
  <c r="O51" i="17"/>
  <c r="AD51" i="17"/>
  <c r="AW51" i="17"/>
  <c r="BM51" i="17"/>
  <c r="F58" i="17"/>
  <c r="U58" i="17"/>
  <c r="K59" i="17"/>
  <c r="Z59" i="17"/>
  <c r="Z60" i="17"/>
  <c r="Z62" i="17"/>
  <c r="AH68" i="17"/>
  <c r="S69" i="17"/>
  <c r="AB71" i="17"/>
  <c r="H80" i="17"/>
  <c r="Y84" i="17"/>
  <c r="I91" i="17"/>
  <c r="R93" i="17"/>
  <c r="T95" i="17"/>
  <c r="G102" i="17"/>
  <c r="AH105" i="17"/>
  <c r="D113" i="17"/>
  <c r="AH94" i="17"/>
  <c r="AH101" i="17"/>
  <c r="AH112" i="17"/>
  <c r="AH116" i="17"/>
  <c r="AH90" i="17"/>
  <c r="AH123" i="17"/>
  <c r="AH149" i="17"/>
  <c r="AH171" i="17"/>
  <c r="BX51" i="16"/>
  <c r="BX52" i="16" s="1"/>
  <c r="BX53" i="16" s="1"/>
  <c r="BX54" i="16" s="1"/>
  <c r="BX56" i="16" s="1"/>
  <c r="BE45" i="16"/>
  <c r="AP51" i="16"/>
  <c r="AP52" i="16" s="1"/>
  <c r="AP53" i="16" s="1"/>
  <c r="AQ51" i="16"/>
  <c r="AQ52" i="16" s="1"/>
  <c r="AQ53" i="16" s="1"/>
  <c r="BF51" i="16"/>
  <c r="BH51" i="16"/>
  <c r="BW51" i="16"/>
  <c r="BW52" i="16" s="1"/>
  <c r="BW53" i="16" s="1"/>
  <c r="BW54" i="16" s="1"/>
  <c r="BW56" i="16" s="1"/>
  <c r="AZ33" i="16"/>
  <c r="AY35" i="16"/>
  <c r="AX35" i="16"/>
  <c r="AX33" i="16"/>
  <c r="AY33" i="16"/>
  <c r="AW33" i="16" s="1"/>
  <c r="AV33" i="16" s="1"/>
  <c r="AW39" i="16"/>
  <c r="AZ39" i="16"/>
  <c r="AZ36" i="16"/>
  <c r="AY39" i="16"/>
  <c r="AX39" i="16"/>
  <c r="AX36" i="16"/>
  <c r="AY36" i="16"/>
  <c r="AW36" i="16" s="1"/>
  <c r="C139" i="16"/>
  <c r="C172" i="16"/>
  <c r="C161" i="16"/>
  <c r="C117" i="16"/>
  <c r="C106" i="16"/>
  <c r="C73" i="16"/>
  <c r="C51" i="16"/>
  <c r="AZ38" i="16"/>
  <c r="AW38" i="16"/>
  <c r="AZ35" i="16"/>
  <c r="AW35" i="16"/>
  <c r="AV35" i="16" s="1"/>
  <c r="AY38" i="16"/>
  <c r="AX38" i="16"/>
  <c r="E47" i="16"/>
  <c r="AA48" i="16"/>
  <c r="S58" i="16"/>
  <c r="O80" i="16"/>
  <c r="U47" i="16"/>
  <c r="N48" i="16"/>
  <c r="V51" i="16"/>
  <c r="T58" i="16"/>
  <c r="Q80" i="16"/>
  <c r="K25" i="16"/>
  <c r="BA33" i="16"/>
  <c r="AO33" i="16" s="1"/>
  <c r="BB33" i="16" s="1"/>
  <c r="BC33" i="16" s="1"/>
  <c r="H47" i="16"/>
  <c r="V47" i="16"/>
  <c r="O48" i="16"/>
  <c r="AC48" i="16"/>
  <c r="AN49" i="16"/>
  <c r="H51" i="16"/>
  <c r="W51" i="16"/>
  <c r="AR51" i="16"/>
  <c r="AR52" i="16" s="1"/>
  <c r="AR53" i="16" s="1"/>
  <c r="D58" i="16"/>
  <c r="V58" i="16"/>
  <c r="S59" i="16"/>
  <c r="AF60" i="16"/>
  <c r="E70" i="16"/>
  <c r="AB103" i="16"/>
  <c r="U51" i="16"/>
  <c r="P59" i="16"/>
  <c r="AB62" i="16"/>
  <c r="BU51" i="16"/>
  <c r="BU52" i="16" s="1"/>
  <c r="BU53" i="16" s="1"/>
  <c r="BU54" i="16" s="1"/>
  <c r="BI51" i="16"/>
  <c r="AV51" i="16"/>
  <c r="BS51" i="16"/>
  <c r="BS52" i="16" s="1"/>
  <c r="BS53" i="16" s="1"/>
  <c r="BS54" i="16" s="1"/>
  <c r="BG51" i="16"/>
  <c r="AT51" i="16"/>
  <c r="AT52" i="16" s="1"/>
  <c r="AT53" i="16" s="1"/>
  <c r="BN51" i="16"/>
  <c r="BA51" i="16"/>
  <c r="AO51" i="16"/>
  <c r="AO52" i="16" s="1"/>
  <c r="AO53" i="16" s="1"/>
  <c r="N25" i="16"/>
  <c r="AZ32" i="16"/>
  <c r="BA39" i="16"/>
  <c r="AO39" i="16" s="1"/>
  <c r="BB39" i="16" s="1"/>
  <c r="BC39" i="16" s="1"/>
  <c r="I47" i="16"/>
  <c r="W47" i="16"/>
  <c r="P48" i="16"/>
  <c r="AE48" i="16"/>
  <c r="I51" i="16"/>
  <c r="Y51" i="16"/>
  <c r="AS51" i="16"/>
  <c r="AS52" i="16" s="1"/>
  <c r="AS53" i="16" s="1"/>
  <c r="BK51" i="16"/>
  <c r="E58" i="16"/>
  <c r="X58" i="16"/>
  <c r="V59" i="16"/>
  <c r="J60" i="16"/>
  <c r="R70" i="16"/>
  <c r="E81" i="16"/>
  <c r="BA36" i="16"/>
  <c r="AO36" i="16" s="1"/>
  <c r="BB36" i="16" s="1"/>
  <c r="BC36" i="16" s="1"/>
  <c r="J47" i="16"/>
  <c r="X47" i="16"/>
  <c r="Q48" i="16"/>
  <c r="AF48" i="16"/>
  <c r="J51" i="16"/>
  <c r="Z51" i="16"/>
  <c r="AU51" i="16"/>
  <c r="BL51" i="16"/>
  <c r="F58" i="16"/>
  <c r="Z58" i="16"/>
  <c r="X59" i="16"/>
  <c r="T70" i="16"/>
  <c r="N73" i="16"/>
  <c r="T81" i="16"/>
  <c r="K47" i="16"/>
  <c r="Z47" i="16"/>
  <c r="D48" i="16"/>
  <c r="S48" i="16"/>
  <c r="AG48" i="16"/>
  <c r="K51" i="16"/>
  <c r="AA51" i="16"/>
  <c r="AW51" i="16"/>
  <c r="BM51" i="16"/>
  <c r="G58" i="16"/>
  <c r="AB58" i="16"/>
  <c r="Z59" i="16"/>
  <c r="O60" i="16"/>
  <c r="J62" i="16"/>
  <c r="Q73" i="16"/>
  <c r="V81" i="16"/>
  <c r="J24" i="16"/>
  <c r="AA47" i="16"/>
  <c r="E48" i="16"/>
  <c r="T48" i="16"/>
  <c r="M51" i="16"/>
  <c r="AB51" i="16"/>
  <c r="AX51" i="16"/>
  <c r="BO51" i="16"/>
  <c r="BO52" i="16" s="1"/>
  <c r="BO53" i="16" s="1"/>
  <c r="BO54" i="16" s="1"/>
  <c r="I58" i="16"/>
  <c r="AD58" i="16"/>
  <c r="E59" i="16"/>
  <c r="AA59" i="16"/>
  <c r="AE73" i="16"/>
  <c r="H82" i="16"/>
  <c r="T84" i="16"/>
  <c r="K24" i="16"/>
  <c r="AW34" i="16"/>
  <c r="BA38" i="16"/>
  <c r="AO38" i="16" s="1"/>
  <c r="BB38" i="16" s="1"/>
  <c r="BC38" i="16" s="1"/>
  <c r="AW40" i="16"/>
  <c r="AV40" i="16" s="1"/>
  <c r="N47" i="16"/>
  <c r="AB47" i="16"/>
  <c r="G48" i="16"/>
  <c r="U48" i="16"/>
  <c r="AX48" i="16"/>
  <c r="AX47" i="16"/>
  <c r="N49" i="16"/>
  <c r="N187" i="16" s="1"/>
  <c r="N51" i="16"/>
  <c r="AD51" i="16"/>
  <c r="AY51" i="16"/>
  <c r="BP51" i="16"/>
  <c r="BP52" i="16" s="1"/>
  <c r="BP53" i="16" s="1"/>
  <c r="BP54" i="16" s="1"/>
  <c r="K58" i="16"/>
  <c r="AE58" i="16"/>
  <c r="H59" i="16"/>
  <c r="AB59" i="16"/>
  <c r="S60" i="16"/>
  <c r="N62" i="16"/>
  <c r="V71" i="16"/>
  <c r="V84" i="16"/>
  <c r="L48" i="16"/>
  <c r="O59" i="16"/>
  <c r="AB60" i="16"/>
  <c r="U69" i="16"/>
  <c r="AE106" i="16"/>
  <c r="J25" i="16"/>
  <c r="N24" i="16"/>
  <c r="AX34" i="16"/>
  <c r="AV34" i="16" s="1"/>
  <c r="BA35" i="16"/>
  <c r="AO35" i="16" s="1"/>
  <c r="BB35" i="16" s="1"/>
  <c r="BC35" i="16" s="1"/>
  <c r="AW37" i="16"/>
  <c r="AX40" i="16"/>
  <c r="AG153" i="16"/>
  <c r="AG142" i="16"/>
  <c r="AG98" i="16"/>
  <c r="AG120" i="16"/>
  <c r="AG131" i="16"/>
  <c r="AG109" i="16"/>
  <c r="AG87" i="16"/>
  <c r="AG54" i="16"/>
  <c r="AG76" i="16"/>
  <c r="O47" i="16"/>
  <c r="AC47" i="16"/>
  <c r="H48" i="16"/>
  <c r="V48" i="16"/>
  <c r="O49" i="16"/>
  <c r="O187" i="16" s="1"/>
  <c r="O51" i="16"/>
  <c r="AF51" i="16"/>
  <c r="AZ51" i="16"/>
  <c r="BQ51" i="16"/>
  <c r="BQ52" i="16" s="1"/>
  <c r="BQ53" i="16" s="1"/>
  <c r="BQ54" i="16" s="1"/>
  <c r="L58" i="16"/>
  <c r="AF58" i="16"/>
  <c r="I59" i="16"/>
  <c r="AC59" i="16"/>
  <c r="O62" i="16"/>
  <c r="X71" i="16"/>
  <c r="F51" i="16"/>
  <c r="AX37" i="16"/>
  <c r="P47" i="16"/>
  <c r="AE47" i="16"/>
  <c r="I48" i="16"/>
  <c r="W48" i="16"/>
  <c r="AZ48" i="16"/>
  <c r="P51" i="16"/>
  <c r="AG51" i="16"/>
  <c r="BB51" i="16"/>
  <c r="BR51" i="16"/>
  <c r="BR52" i="16" s="1"/>
  <c r="BR53" i="16" s="1"/>
  <c r="BR54" i="16" s="1"/>
  <c r="O58" i="16"/>
  <c r="AG58" i="16"/>
  <c r="K59" i="16"/>
  <c r="AF59" i="16"/>
  <c r="AA62" i="16"/>
  <c r="G47" i="16"/>
  <c r="AB48" i="16"/>
  <c r="Y172" i="16"/>
  <c r="M172" i="16"/>
  <c r="AD170" i="16"/>
  <c r="R170" i="16"/>
  <c r="F170" i="16"/>
  <c r="Y169" i="16"/>
  <c r="M169" i="16"/>
  <c r="AF168" i="16"/>
  <c r="T168" i="16"/>
  <c r="H168" i="16"/>
  <c r="W161" i="16"/>
  <c r="K161" i="16"/>
  <c r="AB159" i="16"/>
  <c r="P159" i="16"/>
  <c r="D159" i="16"/>
  <c r="W158" i="16"/>
  <c r="K158" i="16"/>
  <c r="AD157" i="16"/>
  <c r="R157" i="16"/>
  <c r="F157" i="16"/>
  <c r="AG150" i="16"/>
  <c r="I150" i="16"/>
  <c r="X172" i="16"/>
  <c r="L172" i="16"/>
  <c r="AC170" i="16"/>
  <c r="Q170" i="16"/>
  <c r="E170" i="16"/>
  <c r="X169" i="16"/>
  <c r="L169" i="16"/>
  <c r="AE168" i="16"/>
  <c r="S168" i="16"/>
  <c r="G168" i="16"/>
  <c r="V161" i="16"/>
  <c r="J161" i="16"/>
  <c r="AA159" i="16"/>
  <c r="O159" i="16"/>
  <c r="V158" i="16"/>
  <c r="J158" i="16"/>
  <c r="AC157" i="16"/>
  <c r="Q157" i="16"/>
  <c r="E157" i="16"/>
  <c r="H150" i="16"/>
  <c r="AF147" i="16"/>
  <c r="T147" i="16"/>
  <c r="H147" i="16"/>
  <c r="AA146" i="16"/>
  <c r="O146" i="16"/>
  <c r="W172" i="16"/>
  <c r="K172" i="16"/>
  <c r="AB170" i="16"/>
  <c r="P170" i="16"/>
  <c r="D170" i="16"/>
  <c r="W169" i="16"/>
  <c r="K169" i="16"/>
  <c r="AD168" i="16"/>
  <c r="R168" i="16"/>
  <c r="F168" i="16"/>
  <c r="AG161" i="16"/>
  <c r="U161" i="16"/>
  <c r="I161" i="16"/>
  <c r="Z159" i="16"/>
  <c r="N159" i="16"/>
  <c r="AG158" i="16"/>
  <c r="U158" i="16"/>
  <c r="I158" i="16"/>
  <c r="AB157" i="16"/>
  <c r="P157" i="16"/>
  <c r="D157" i="16"/>
  <c r="AE147" i="16"/>
  <c r="S147" i="16"/>
  <c r="G147" i="16"/>
  <c r="Z146" i="16"/>
  <c r="N146" i="16"/>
  <c r="Q139" i="16"/>
  <c r="V137" i="16"/>
  <c r="AC136" i="16"/>
  <c r="Q136" i="16"/>
  <c r="E136" i="16"/>
  <c r="V172" i="16"/>
  <c r="J172" i="16"/>
  <c r="AA170" i="16"/>
  <c r="O170" i="16"/>
  <c r="V169" i="16"/>
  <c r="J169" i="16"/>
  <c r="AC168" i="16"/>
  <c r="Q168" i="16"/>
  <c r="E168" i="16"/>
  <c r="AF161" i="16"/>
  <c r="T161" i="16"/>
  <c r="H161" i="16"/>
  <c r="Y159" i="16"/>
  <c r="M159" i="16"/>
  <c r="AG172" i="16"/>
  <c r="U172" i="16"/>
  <c r="I172" i="16"/>
  <c r="Z170" i="16"/>
  <c r="N170" i="16"/>
  <c r="AG169" i="16"/>
  <c r="U169" i="16"/>
  <c r="I169" i="16"/>
  <c r="AB168" i="16"/>
  <c r="P168" i="16"/>
  <c r="D168" i="16"/>
  <c r="AE161" i="16"/>
  <c r="S161" i="16"/>
  <c r="G161" i="16"/>
  <c r="X159" i="16"/>
  <c r="L159" i="16"/>
  <c r="AE158" i="16"/>
  <c r="S158" i="16"/>
  <c r="G158" i="16"/>
  <c r="Z157" i="16"/>
  <c r="N157" i="16"/>
  <c r="E150" i="16"/>
  <c r="AC147" i="16"/>
  <c r="Q147" i="16"/>
  <c r="E147" i="16"/>
  <c r="X146" i="16"/>
  <c r="L146" i="16"/>
  <c r="AA139" i="16"/>
  <c r="O139" i="16"/>
  <c r="AF172" i="16"/>
  <c r="T172" i="16"/>
  <c r="H172" i="16"/>
  <c r="Y170" i="16"/>
  <c r="M170" i="16"/>
  <c r="AF169" i="16"/>
  <c r="T169" i="16"/>
  <c r="H169" i="16"/>
  <c r="AA168" i="16"/>
  <c r="O168" i="16"/>
  <c r="AD161" i="16"/>
  <c r="R161" i="16"/>
  <c r="F161" i="16"/>
  <c r="W159" i="16"/>
  <c r="K159" i="16"/>
  <c r="AD158" i="16"/>
  <c r="R158" i="16"/>
  <c r="F158" i="16"/>
  <c r="Y157" i="16"/>
  <c r="AE172" i="16"/>
  <c r="S172" i="16"/>
  <c r="G172" i="16"/>
  <c r="X170" i="16"/>
  <c r="L170" i="16"/>
  <c r="AE169" i="16"/>
  <c r="S169" i="16"/>
  <c r="G169" i="16"/>
  <c r="Z168" i="16"/>
  <c r="N168" i="16"/>
  <c r="AC161" i="16"/>
  <c r="Q161" i="16"/>
  <c r="E161" i="16"/>
  <c r="V159" i="16"/>
  <c r="J159" i="16"/>
  <c r="AC158" i="16"/>
  <c r="AD172" i="16"/>
  <c r="R172" i="16"/>
  <c r="F172" i="16"/>
  <c r="W170" i="16"/>
  <c r="K170" i="16"/>
  <c r="AD169" i="16"/>
  <c r="R169" i="16"/>
  <c r="F169" i="16"/>
  <c r="Y168" i="16"/>
  <c r="M168" i="16"/>
  <c r="AB161" i="16"/>
  <c r="P161" i="16"/>
  <c r="D161" i="16"/>
  <c r="AC172" i="16"/>
  <c r="Q172" i="16"/>
  <c r="E172" i="16"/>
  <c r="V170" i="16"/>
  <c r="J170" i="16"/>
  <c r="AC169" i="16"/>
  <c r="Q169" i="16"/>
  <c r="E169" i="16"/>
  <c r="X168" i="16"/>
  <c r="L168" i="16"/>
  <c r="AB172" i="16"/>
  <c r="P172" i="16"/>
  <c r="D172" i="16"/>
  <c r="AG170" i="16"/>
  <c r="U170" i="16"/>
  <c r="I170" i="16"/>
  <c r="AB169" i="16"/>
  <c r="P169" i="16"/>
  <c r="D169" i="16"/>
  <c r="W168" i="16"/>
  <c r="K168" i="16"/>
  <c r="Z161" i="16"/>
  <c r="N161" i="16"/>
  <c r="AE159" i="16"/>
  <c r="S159" i="16"/>
  <c r="G159" i="16"/>
  <c r="Z158" i="16"/>
  <c r="N158" i="16"/>
  <c r="AG157" i="16"/>
  <c r="U157" i="16"/>
  <c r="I157" i="16"/>
  <c r="L150" i="16"/>
  <c r="X147" i="16"/>
  <c r="L147" i="16"/>
  <c r="AE146" i="16"/>
  <c r="S146" i="16"/>
  <c r="G146" i="16"/>
  <c r="AA172" i="16"/>
  <c r="O172" i="16"/>
  <c r="AF170" i="16"/>
  <c r="T170" i="16"/>
  <c r="H170" i="16"/>
  <c r="AA169" i="16"/>
  <c r="O169" i="16"/>
  <c r="V168" i="16"/>
  <c r="J168" i="16"/>
  <c r="M161" i="16"/>
  <c r="AF159" i="16"/>
  <c r="AB158" i="16"/>
  <c r="D158" i="16"/>
  <c r="L157" i="16"/>
  <c r="AA150" i="16"/>
  <c r="AG148" i="16"/>
  <c r="AB147" i="16"/>
  <c r="K147" i="16"/>
  <c r="W146" i="16"/>
  <c r="F146" i="16"/>
  <c r="AF139" i="16"/>
  <c r="U136" i="16"/>
  <c r="H136" i="16"/>
  <c r="Z135" i="16"/>
  <c r="N135" i="16"/>
  <c r="AE170" i="16"/>
  <c r="L161" i="16"/>
  <c r="AD159" i="16"/>
  <c r="AA158" i="16"/>
  <c r="K157" i="16"/>
  <c r="Z150" i="16"/>
  <c r="D150" i="16"/>
  <c r="AA147" i="16"/>
  <c r="J147" i="16"/>
  <c r="V146" i="16"/>
  <c r="E146" i="16"/>
  <c r="AE139" i="16"/>
  <c r="AG136" i="16"/>
  <c r="T136" i="16"/>
  <c r="G136" i="16"/>
  <c r="Y135" i="16"/>
  <c r="M135" i="16"/>
  <c r="D128" i="16"/>
  <c r="S170" i="16"/>
  <c r="AC159" i="16"/>
  <c r="Y158" i="16"/>
  <c r="AF157" i="16"/>
  <c r="J157" i="16"/>
  <c r="Z147" i="16"/>
  <c r="I147" i="16"/>
  <c r="U146" i="16"/>
  <c r="D146" i="16"/>
  <c r="AB139" i="16"/>
  <c r="M139" i="16"/>
  <c r="AA137" i="16"/>
  <c r="AF136" i="16"/>
  <c r="S136" i="16"/>
  <c r="F136" i="16"/>
  <c r="X135" i="16"/>
  <c r="L135" i="16"/>
  <c r="Z172" i="16"/>
  <c r="G170" i="16"/>
  <c r="U159" i="16"/>
  <c r="X158" i="16"/>
  <c r="AE157" i="16"/>
  <c r="H157" i="16"/>
  <c r="Y147" i="16"/>
  <c r="F147" i="16"/>
  <c r="T146" i="16"/>
  <c r="L139" i="16"/>
  <c r="AE136" i="16"/>
  <c r="R136" i="16"/>
  <c r="D136" i="16"/>
  <c r="W135" i="16"/>
  <c r="K135" i="16"/>
  <c r="Z125" i="16"/>
  <c r="N125" i="16"/>
  <c r="AG124" i="16"/>
  <c r="U124" i="16"/>
  <c r="I124" i="16"/>
  <c r="L117" i="16"/>
  <c r="X114" i="16"/>
  <c r="L114" i="16"/>
  <c r="AE113" i="16"/>
  <c r="S113" i="16"/>
  <c r="G113" i="16"/>
  <c r="N172" i="16"/>
  <c r="Z169" i="16"/>
  <c r="T159" i="16"/>
  <c r="T158" i="16"/>
  <c r="AA157" i="16"/>
  <c r="G157" i="16"/>
  <c r="I148" i="16"/>
  <c r="W147" i="16"/>
  <c r="D147" i="16"/>
  <c r="R146" i="16"/>
  <c r="Y139" i="16"/>
  <c r="K139" i="16"/>
  <c r="Y137" i="16"/>
  <c r="AD136" i="16"/>
  <c r="P136" i="16"/>
  <c r="V135" i="16"/>
  <c r="J135" i="16"/>
  <c r="Y125" i="16"/>
  <c r="M125" i="16"/>
  <c r="AF124" i="16"/>
  <c r="T124" i="16"/>
  <c r="H124" i="16"/>
  <c r="N169" i="16"/>
  <c r="R159" i="16"/>
  <c r="Q158" i="16"/>
  <c r="X157" i="16"/>
  <c r="H148" i="16"/>
  <c r="V147" i="16"/>
  <c r="Q146" i="16"/>
  <c r="X139" i="16"/>
  <c r="X137" i="16"/>
  <c r="AB136" i="16"/>
  <c r="O136" i="16"/>
  <c r="AG135" i="16"/>
  <c r="U135" i="16"/>
  <c r="I135" i="16"/>
  <c r="Q159" i="16"/>
  <c r="P158" i="16"/>
  <c r="W157" i="16"/>
  <c r="U147" i="16"/>
  <c r="AG146" i="16"/>
  <c r="P146" i="16"/>
  <c r="W139" i="16"/>
  <c r="I139" i="16"/>
  <c r="W137" i="16"/>
  <c r="AA136" i="16"/>
  <c r="N136" i="16"/>
  <c r="AF135" i="16"/>
  <c r="T135" i="16"/>
  <c r="H135" i="16"/>
  <c r="AG168" i="16"/>
  <c r="I159" i="16"/>
  <c r="O158" i="16"/>
  <c r="V157" i="16"/>
  <c r="R147" i="16"/>
  <c r="AF146" i="16"/>
  <c r="M146" i="16"/>
  <c r="V139" i="16"/>
  <c r="H139" i="16"/>
  <c r="U137" i="16"/>
  <c r="Z136" i="16"/>
  <c r="U168" i="16"/>
  <c r="AA161" i="16"/>
  <c r="H159" i="16"/>
  <c r="M158" i="16"/>
  <c r="T157" i="16"/>
  <c r="N150" i="16"/>
  <c r="P147" i="16"/>
  <c r="AD146" i="16"/>
  <c r="K146" i="16"/>
  <c r="U139" i="16"/>
  <c r="G139" i="16"/>
  <c r="AG137" i="16"/>
  <c r="Y136" i="16"/>
  <c r="L136" i="16"/>
  <c r="AD135" i="16"/>
  <c r="R135" i="16"/>
  <c r="F135" i="16"/>
  <c r="I168" i="16"/>
  <c r="Y161" i="16"/>
  <c r="F159" i="16"/>
  <c r="L158" i="16"/>
  <c r="S157" i="16"/>
  <c r="M150" i="16"/>
  <c r="O147" i="16"/>
  <c r="AC146" i="16"/>
  <c r="J146" i="16"/>
  <c r="AF137" i="16"/>
  <c r="X136" i="16"/>
  <c r="K136" i="16"/>
  <c r="AC135" i="16"/>
  <c r="Q135" i="16"/>
  <c r="E135" i="16"/>
  <c r="AF125" i="16"/>
  <c r="T125" i="16"/>
  <c r="H125" i="16"/>
  <c r="AA124" i="16"/>
  <c r="O124" i="16"/>
  <c r="R117" i="16"/>
  <c r="F117" i="16"/>
  <c r="AD114" i="16"/>
  <c r="R114" i="16"/>
  <c r="F114" i="16"/>
  <c r="H146" i="16"/>
  <c r="O135" i="16"/>
  <c r="S125" i="16"/>
  <c r="D125" i="16"/>
  <c r="R124" i="16"/>
  <c r="AG117" i="16"/>
  <c r="D117" i="16"/>
  <c r="AG115" i="16"/>
  <c r="D115" i="16"/>
  <c r="U114" i="16"/>
  <c r="G114" i="16"/>
  <c r="X113" i="16"/>
  <c r="K113" i="16"/>
  <c r="V106" i="16"/>
  <c r="J106" i="16"/>
  <c r="O104" i="16"/>
  <c r="W136" i="16"/>
  <c r="G135" i="16"/>
  <c r="R125" i="16"/>
  <c r="Q124" i="16"/>
  <c r="AF117" i="16"/>
  <c r="Q117" i="16"/>
  <c r="R115" i="16"/>
  <c r="T114" i="16"/>
  <c r="E114" i="16"/>
  <c r="W113" i="16"/>
  <c r="J113" i="16"/>
  <c r="AG106" i="16"/>
  <c r="U106" i="16"/>
  <c r="N104" i="16"/>
  <c r="AG103" i="16"/>
  <c r="U103" i="16"/>
  <c r="I103" i="16"/>
  <c r="AB102" i="16"/>
  <c r="P102" i="16"/>
  <c r="D102" i="16"/>
  <c r="AE95" i="16"/>
  <c r="S95" i="16"/>
  <c r="G95" i="16"/>
  <c r="AD92" i="16"/>
  <c r="R92" i="16"/>
  <c r="F92" i="16"/>
  <c r="Y91" i="16"/>
  <c r="M91" i="16"/>
  <c r="V136" i="16"/>
  <c r="D135" i="16"/>
  <c r="AC128" i="16"/>
  <c r="AG125" i="16"/>
  <c r="Q125" i="16"/>
  <c r="AE124" i="16"/>
  <c r="P124" i="16"/>
  <c r="P117" i="16"/>
  <c r="P115" i="16"/>
  <c r="AG114" i="16"/>
  <c r="S114" i="16"/>
  <c r="D114" i="16"/>
  <c r="V113" i="16"/>
  <c r="I113" i="16"/>
  <c r="T106" i="16"/>
  <c r="H106" i="16"/>
  <c r="AF103" i="16"/>
  <c r="T103" i="16"/>
  <c r="H103" i="16"/>
  <c r="AA102" i="16"/>
  <c r="O102" i="16"/>
  <c r="AD95" i="16"/>
  <c r="R95" i="16"/>
  <c r="F95" i="16"/>
  <c r="AD150" i="16"/>
  <c r="M136" i="16"/>
  <c r="AG126" i="16"/>
  <c r="AE125" i="16"/>
  <c r="P125" i="16"/>
  <c r="AD124" i="16"/>
  <c r="N124" i="16"/>
  <c r="AC117" i="16"/>
  <c r="O117" i="16"/>
  <c r="AF114" i="16"/>
  <c r="Q114" i="16"/>
  <c r="AG159" i="16"/>
  <c r="AG147" i="16"/>
  <c r="J136" i="16"/>
  <c r="AD125" i="16"/>
  <c r="O125" i="16"/>
  <c r="AC124" i="16"/>
  <c r="M124" i="16"/>
  <c r="N117" i="16"/>
  <c r="AE114" i="16"/>
  <c r="P114" i="16"/>
  <c r="AG113" i="16"/>
  <c r="T113" i="16"/>
  <c r="F113" i="16"/>
  <c r="AD106" i="16"/>
  <c r="R106" i="16"/>
  <c r="AD103" i="16"/>
  <c r="R103" i="16"/>
  <c r="F103" i="16"/>
  <c r="Y102" i="16"/>
  <c r="M102" i="16"/>
  <c r="AB95" i="16"/>
  <c r="P95" i="16"/>
  <c r="E159" i="16"/>
  <c r="K150" i="16"/>
  <c r="AD147" i="16"/>
  <c r="I136" i="16"/>
  <c r="AC125" i="16"/>
  <c r="L125" i="16"/>
  <c r="AB124" i="16"/>
  <c r="L124" i="16"/>
  <c r="AA117" i="16"/>
  <c r="AC114" i="16"/>
  <c r="O114" i="16"/>
  <c r="AF113" i="16"/>
  <c r="R113" i="16"/>
  <c r="E113" i="16"/>
  <c r="AF158" i="16"/>
  <c r="J150" i="16"/>
  <c r="N147" i="16"/>
  <c r="AB125" i="16"/>
  <c r="K125" i="16"/>
  <c r="Z124" i="16"/>
  <c r="K124" i="16"/>
  <c r="Z117" i="16"/>
  <c r="K117" i="16"/>
  <c r="AB114" i="16"/>
  <c r="N114" i="16"/>
  <c r="AD113" i="16"/>
  <c r="X161" i="16"/>
  <c r="H158" i="16"/>
  <c r="M147" i="16"/>
  <c r="AG139" i="16"/>
  <c r="AE137" i="16"/>
  <c r="AE135" i="16"/>
  <c r="AA125" i="16"/>
  <c r="J125" i="16"/>
  <c r="Y124" i="16"/>
  <c r="J124" i="16"/>
  <c r="J117" i="16"/>
  <c r="O161" i="16"/>
  <c r="E158" i="16"/>
  <c r="S139" i="16"/>
  <c r="AB135" i="16"/>
  <c r="X125" i="16"/>
  <c r="I125" i="16"/>
  <c r="X124" i="16"/>
  <c r="G124" i="16"/>
  <c r="W117" i="16"/>
  <c r="I117" i="16"/>
  <c r="I115" i="16"/>
  <c r="Z114" i="16"/>
  <c r="K114" i="16"/>
  <c r="AB113" i="16"/>
  <c r="O113" i="16"/>
  <c r="Z106" i="16"/>
  <c r="N106" i="16"/>
  <c r="S104" i="16"/>
  <c r="Z103" i="16"/>
  <c r="N103" i="16"/>
  <c r="AG102" i="16"/>
  <c r="U102" i="16"/>
  <c r="I102" i="16"/>
  <c r="X95" i="16"/>
  <c r="L95" i="16"/>
  <c r="P93" i="16"/>
  <c r="W92" i="16"/>
  <c r="O157" i="16"/>
  <c r="Y146" i="16"/>
  <c r="Q137" i="16"/>
  <c r="S135" i="16"/>
  <c r="V125" i="16"/>
  <c r="F125" i="16"/>
  <c r="V124" i="16"/>
  <c r="E124" i="16"/>
  <c r="I146" i="16"/>
  <c r="W125" i="16"/>
  <c r="Y114" i="16"/>
  <c r="U113" i="16"/>
  <c r="AB106" i="16"/>
  <c r="AA103" i="16"/>
  <c r="J103" i="16"/>
  <c r="V102" i="16"/>
  <c r="E102" i="16"/>
  <c r="AG92" i="16"/>
  <c r="S92" i="16"/>
  <c r="E92" i="16"/>
  <c r="W91" i="16"/>
  <c r="J91" i="16"/>
  <c r="P84" i="16"/>
  <c r="D84" i="16"/>
  <c r="U125" i="16"/>
  <c r="V117" i="16"/>
  <c r="W114" i="16"/>
  <c r="Q113" i="16"/>
  <c r="AA106" i="16"/>
  <c r="E106" i="16"/>
  <c r="AG104" i="16"/>
  <c r="Y103" i="16"/>
  <c r="G103" i="16"/>
  <c r="T102" i="16"/>
  <c r="U95" i="16"/>
  <c r="AD93" i="16"/>
  <c r="AF92" i="16"/>
  <c r="Q92" i="16"/>
  <c r="D92" i="16"/>
  <c r="V91" i="16"/>
  <c r="I91" i="16"/>
  <c r="O84" i="16"/>
  <c r="G82" i="16"/>
  <c r="Z81" i="16"/>
  <c r="N81" i="16"/>
  <c r="AG80" i="16"/>
  <c r="U80" i="16"/>
  <c r="I80" i="16"/>
  <c r="X73" i="16"/>
  <c r="L73" i="16"/>
  <c r="W70" i="16"/>
  <c r="K70" i="16"/>
  <c r="AD69" i="16"/>
  <c r="R69" i="16"/>
  <c r="F69" i="16"/>
  <c r="G125" i="16"/>
  <c r="U117" i="16"/>
  <c r="V114" i="16"/>
  <c r="P113" i="16"/>
  <c r="Y106" i="16"/>
  <c r="D106" i="16"/>
  <c r="J104" i="16"/>
  <c r="X103" i="16"/>
  <c r="E103" i="16"/>
  <c r="S102" i="16"/>
  <c r="AE92" i="16"/>
  <c r="P92" i="16"/>
  <c r="U91" i="16"/>
  <c r="H91" i="16"/>
  <c r="E125" i="16"/>
  <c r="M114" i="16"/>
  <c r="N113" i="16"/>
  <c r="X106" i="16"/>
  <c r="W103" i="16"/>
  <c r="D103" i="16"/>
  <c r="R102" i="16"/>
  <c r="Q95" i="16"/>
  <c r="AC92" i="16"/>
  <c r="O92" i="16"/>
  <c r="AG91" i="16"/>
  <c r="T91" i="16"/>
  <c r="G91" i="16"/>
  <c r="Y84" i="16"/>
  <c r="Q82" i="16"/>
  <c r="X81" i="16"/>
  <c r="L81" i="16"/>
  <c r="AE80" i="16"/>
  <c r="S80" i="16"/>
  <c r="G80" i="16"/>
  <c r="V73" i="16"/>
  <c r="J73" i="16"/>
  <c r="Z71" i="16"/>
  <c r="AG70" i="16"/>
  <c r="U70" i="16"/>
  <c r="I70" i="16"/>
  <c r="AB69" i="16"/>
  <c r="P69" i="16"/>
  <c r="D69" i="16"/>
  <c r="W62" i="16"/>
  <c r="K62" i="16"/>
  <c r="AG60" i="16"/>
  <c r="AD59" i="16"/>
  <c r="R59" i="16"/>
  <c r="F59" i="16"/>
  <c r="Y58" i="16"/>
  <c r="M58" i="16"/>
  <c r="H117" i="16"/>
  <c r="J114" i="16"/>
  <c r="M113" i="16"/>
  <c r="W106" i="16"/>
  <c r="AC104" i="16"/>
  <c r="V103" i="16"/>
  <c r="Q102" i="16"/>
  <c r="O95" i="16"/>
  <c r="AB92" i="16"/>
  <c r="N92" i="16"/>
  <c r="AF91" i="16"/>
  <c r="S91" i="16"/>
  <c r="F91" i="16"/>
  <c r="L84" i="16"/>
  <c r="W81" i="16"/>
  <c r="K81" i="16"/>
  <c r="AD80" i="16"/>
  <c r="R80" i="16"/>
  <c r="F80" i="16"/>
  <c r="AG73" i="16"/>
  <c r="U73" i="16"/>
  <c r="I73" i="16"/>
  <c r="AF70" i="16"/>
  <c r="W124" i="16"/>
  <c r="G117" i="16"/>
  <c r="I114" i="16"/>
  <c r="L113" i="16"/>
  <c r="S106" i="16"/>
  <c r="AB104" i="16"/>
  <c r="S103" i="16"/>
  <c r="AF102" i="16"/>
  <c r="N102" i="16"/>
  <c r="AG95" i="16"/>
  <c r="N95" i="16"/>
  <c r="Y93" i="16"/>
  <c r="AA92" i="16"/>
  <c r="M92" i="16"/>
  <c r="AE91" i="16"/>
  <c r="R139" i="16"/>
  <c r="AA135" i="16"/>
  <c r="S124" i="16"/>
  <c r="E117" i="16"/>
  <c r="H114" i="16"/>
  <c r="H113" i="16"/>
  <c r="X104" i="16"/>
  <c r="E104" i="16"/>
  <c r="Q103" i="16"/>
  <c r="AE102" i="16"/>
  <c r="L102" i="16"/>
  <c r="AF95" i="16"/>
  <c r="M95" i="16"/>
  <c r="Z92" i="16"/>
  <c r="L92" i="16"/>
  <c r="AD91" i="16"/>
  <c r="Q91" i="16"/>
  <c r="D91" i="16"/>
  <c r="P135" i="16"/>
  <c r="F124" i="16"/>
  <c r="D113" i="16"/>
  <c r="P106" i="16"/>
  <c r="P103" i="16"/>
  <c r="AD102" i="16"/>
  <c r="K102" i="16"/>
  <c r="AC95" i="16"/>
  <c r="K95" i="16"/>
  <c r="Y92" i="16"/>
  <c r="K92" i="16"/>
  <c r="AC91" i="16"/>
  <c r="P91" i="16"/>
  <c r="D124" i="16"/>
  <c r="H115" i="16"/>
  <c r="AC113" i="16"/>
  <c r="O106" i="16"/>
  <c r="O103" i="16"/>
  <c r="AC102" i="16"/>
  <c r="J102" i="16"/>
  <c r="AA95" i="16"/>
  <c r="J95" i="16"/>
  <c r="X92" i="16"/>
  <c r="J92" i="16"/>
  <c r="AB91" i="16"/>
  <c r="O91" i="16"/>
  <c r="M157" i="16"/>
  <c r="G115" i="16"/>
  <c r="AA113" i="16"/>
  <c r="AE103" i="16"/>
  <c r="M103" i="16"/>
  <c r="Z102" i="16"/>
  <c r="H102" i="16"/>
  <c r="Z95" i="16"/>
  <c r="I95" i="16"/>
  <c r="F93" i="16"/>
  <c r="V92" i="16"/>
  <c r="I92" i="16"/>
  <c r="AA91" i="16"/>
  <c r="N91" i="16"/>
  <c r="G84" i="16"/>
  <c r="AD81" i="16"/>
  <c r="R81" i="16"/>
  <c r="F81" i="16"/>
  <c r="Y80" i="16"/>
  <c r="M80" i="16"/>
  <c r="AB73" i="16"/>
  <c r="P73" i="16"/>
  <c r="D73" i="16"/>
  <c r="AA70" i="16"/>
  <c r="O70" i="16"/>
  <c r="V69" i="16"/>
  <c r="J69" i="16"/>
  <c r="AG128" i="16"/>
  <c r="K106" i="16"/>
  <c r="L103" i="16"/>
  <c r="Y95" i="16"/>
  <c r="R91" i="16"/>
  <c r="S81" i="16"/>
  <c r="AF80" i="16"/>
  <c r="N80" i="16"/>
  <c r="AD73" i="16"/>
  <c r="M73" i="16"/>
  <c r="U71" i="16"/>
  <c r="Q70" i="16"/>
  <c r="AG69" i="16"/>
  <c r="Q69" i="16"/>
  <c r="AG62" i="16"/>
  <c r="T62" i="16"/>
  <c r="N60" i="16"/>
  <c r="U59" i="16"/>
  <c r="Q128" i="16"/>
  <c r="K103" i="16"/>
  <c r="L91" i="16"/>
  <c r="Q84" i="16"/>
  <c r="V82" i="16"/>
  <c r="Q81" i="16"/>
  <c r="AC80" i="16"/>
  <c r="L80" i="16"/>
  <c r="AC73" i="16"/>
  <c r="K73" i="16"/>
  <c r="AE70" i="16"/>
  <c r="P70" i="16"/>
  <c r="AF69" i="16"/>
  <c r="O69" i="16"/>
  <c r="AF62" i="16"/>
  <c r="S62" i="16"/>
  <c r="AG59" i="16"/>
  <c r="T59" i="16"/>
  <c r="G59" i="16"/>
  <c r="W58" i="16"/>
  <c r="J58" i="16"/>
  <c r="AE51" i="16"/>
  <c r="S51" i="16"/>
  <c r="G51" i="16"/>
  <c r="Y48" i="16"/>
  <c r="M48" i="16"/>
  <c r="Y47" i="16"/>
  <c r="M47" i="16"/>
  <c r="F115" i="16"/>
  <c r="H95" i="16"/>
  <c r="K91" i="16"/>
  <c r="U82" i="16"/>
  <c r="AG81" i="16"/>
  <c r="P81" i="16"/>
  <c r="AB80" i="16"/>
  <c r="K80" i="16"/>
  <c r="AA73" i="16"/>
  <c r="H73" i="16"/>
  <c r="R71" i="16"/>
  <c r="AD70" i="16"/>
  <c r="N70" i="16"/>
  <c r="AE69" i="16"/>
  <c r="N69" i="16"/>
  <c r="AE62" i="16"/>
  <c r="R62" i="16"/>
  <c r="E62" i="16"/>
  <c r="AA114" i="16"/>
  <c r="X102" i="16"/>
  <c r="E95" i="16"/>
  <c r="E91" i="16"/>
  <c r="AG84" i="16"/>
  <c r="K84" i="16"/>
  <c r="AF81" i="16"/>
  <c r="O81" i="16"/>
  <c r="AA80" i="16"/>
  <c r="J80" i="16"/>
  <c r="Z73" i="16"/>
  <c r="G73" i="16"/>
  <c r="AC70" i="16"/>
  <c r="M70" i="16"/>
  <c r="AC69" i="16"/>
  <c r="M69" i="16"/>
  <c r="Q62" i="16"/>
  <c r="D62" i="16"/>
  <c r="X60" i="16"/>
  <c r="AE59" i="16"/>
  <c r="Q59" i="16"/>
  <c r="D59" i="16"/>
  <c r="U58" i="16"/>
  <c r="H58" i="16"/>
  <c r="AC51" i="16"/>
  <c r="Q51" i="16"/>
  <c r="W102" i="16"/>
  <c r="AF84" i="16"/>
  <c r="AE81" i="16"/>
  <c r="M81" i="16"/>
  <c r="Z80" i="16"/>
  <c r="H80" i="16"/>
  <c r="Y73" i="16"/>
  <c r="F73" i="16"/>
  <c r="AG71" i="16"/>
  <c r="AB70" i="16"/>
  <c r="L70" i="16"/>
  <c r="AA69" i="16"/>
  <c r="L69" i="16"/>
  <c r="AC62" i="16"/>
  <c r="P62" i="16"/>
  <c r="Z113" i="16"/>
  <c r="G102" i="16"/>
  <c r="U92" i="16"/>
  <c r="AD84" i="16"/>
  <c r="AC81" i="16"/>
  <c r="J81" i="16"/>
  <c r="X80" i="16"/>
  <c r="E80" i="16"/>
  <c r="W73" i="16"/>
  <c r="E73" i="16"/>
  <c r="AE71" i="16"/>
  <c r="Z70" i="16"/>
  <c r="J70" i="16"/>
  <c r="Z69" i="16"/>
  <c r="K69" i="16"/>
  <c r="Y113" i="16"/>
  <c r="F102" i="16"/>
  <c r="T92" i="16"/>
  <c r="AC84" i="16"/>
  <c r="H84" i="16"/>
  <c r="AG82" i="16"/>
  <c r="AB81" i="16"/>
  <c r="I81" i="16"/>
  <c r="W80" i="16"/>
  <c r="D80" i="16"/>
  <c r="T73" i="16"/>
  <c r="AD71" i="16"/>
  <c r="Y70" i="16"/>
  <c r="H70" i="16"/>
  <c r="Y69" i="16"/>
  <c r="I69" i="16"/>
  <c r="H92" i="16"/>
  <c r="Z84" i="16"/>
  <c r="AA81" i="16"/>
  <c r="H81" i="16"/>
  <c r="V80" i="16"/>
  <c r="S73" i="16"/>
  <c r="X70" i="16"/>
  <c r="G70" i="16"/>
  <c r="X69" i="16"/>
  <c r="H69" i="16"/>
  <c r="AB146" i="16"/>
  <c r="G92" i="16"/>
  <c r="W84" i="16"/>
  <c r="E84" i="16"/>
  <c r="L82" i="16"/>
  <c r="Y81" i="16"/>
  <c r="G81" i="16"/>
  <c r="T80" i="16"/>
  <c r="R73" i="16"/>
  <c r="V70" i="16"/>
  <c r="F70" i="16"/>
  <c r="W69" i="16"/>
  <c r="G69" i="16"/>
  <c r="Y62" i="16"/>
  <c r="E60" i="16"/>
  <c r="Y59" i="16"/>
  <c r="L59" i="16"/>
  <c r="AC58" i="16"/>
  <c r="P58" i="16"/>
  <c r="X51" i="16"/>
  <c r="L51" i="16"/>
  <c r="AD48" i="16"/>
  <c r="R48" i="16"/>
  <c r="F48" i="16"/>
  <c r="AD47" i="16"/>
  <c r="R47" i="16"/>
  <c r="F47" i="16"/>
  <c r="AC106" i="16"/>
  <c r="AC103" i="16"/>
  <c r="Z91" i="16"/>
  <c r="U84" i="16"/>
  <c r="Z82" i="16"/>
  <c r="U81" i="16"/>
  <c r="D81" i="16"/>
  <c r="P80" i="16"/>
  <c r="AF73" i="16"/>
  <c r="O73" i="16"/>
  <c r="S70" i="16"/>
  <c r="D70" i="16"/>
  <c r="T69" i="16"/>
  <c r="V62" i="16"/>
  <c r="I62" i="16"/>
  <c r="AC60" i="16"/>
  <c r="W59" i="16"/>
  <c r="J59" i="16"/>
  <c r="AA58" i="16"/>
  <c r="N58" i="16"/>
  <c r="Q47" i="16"/>
  <c r="AF47" i="16"/>
  <c r="J48" i="16"/>
  <c r="X48" i="16"/>
  <c r="R51" i="16"/>
  <c r="BC51" i="16"/>
  <c r="BT51" i="16"/>
  <c r="BT52" i="16" s="1"/>
  <c r="BT53" i="16" s="1"/>
  <c r="BT54" i="16" s="1"/>
  <c r="AH57" i="16"/>
  <c r="Q58" i="16"/>
  <c r="M59" i="16"/>
  <c r="X62" i="16"/>
  <c r="E69" i="16"/>
  <c r="D47" i="16"/>
  <c r="S47" i="16"/>
  <c r="AG47" i="16"/>
  <c r="K48" i="16"/>
  <c r="Z48" i="16"/>
  <c r="S49" i="16"/>
  <c r="S187" i="16" s="1"/>
  <c r="T51" i="16"/>
  <c r="AN51" i="16"/>
  <c r="AN52" i="16" s="1"/>
  <c r="AN53" i="16" s="1"/>
  <c r="AT47" i="16" s="1"/>
  <c r="BD51" i="16"/>
  <c r="BV51" i="16"/>
  <c r="BV52" i="16" s="1"/>
  <c r="BV53" i="16" s="1"/>
  <c r="BV54" i="16" s="1"/>
  <c r="R58" i="16"/>
  <c r="N59" i="16"/>
  <c r="Z62" i="16"/>
  <c r="S69" i="16"/>
  <c r="AG93" i="16"/>
  <c r="AH90" i="16"/>
  <c r="AH101" i="16"/>
  <c r="AH123" i="16"/>
  <c r="AH112" i="16"/>
  <c r="AH116" i="16"/>
  <c r="AH134" i="16"/>
  <c r="AH145" i="16"/>
  <c r="AH138" i="16"/>
  <c r="AH127" i="16"/>
  <c r="AH156" i="16"/>
  <c r="AH171" i="16"/>
  <c r="BA51" i="15"/>
  <c r="C161" i="15"/>
  <c r="C172" i="15"/>
  <c r="C117" i="15"/>
  <c r="C95" i="15"/>
  <c r="C106" i="15"/>
  <c r="C84" i="15"/>
  <c r="C73" i="15"/>
  <c r="C62" i="15"/>
  <c r="C51" i="15"/>
  <c r="AD47" i="15"/>
  <c r="AC48" i="15"/>
  <c r="U51" i="15"/>
  <c r="AP33" i="15"/>
  <c r="AY40" i="15"/>
  <c r="AW40" i="15" s="1"/>
  <c r="AV40" i="15" s="1"/>
  <c r="M47" i="15"/>
  <c r="AE47" i="15"/>
  <c r="L48" i="15"/>
  <c r="AD48" i="15"/>
  <c r="AD49" i="15"/>
  <c r="AD187" i="15" s="1"/>
  <c r="Z51" i="15"/>
  <c r="BF51" i="15"/>
  <c r="N58" i="15"/>
  <c r="AQ33" i="15"/>
  <c r="AQ38" i="15"/>
  <c r="AZ38" i="15" s="1"/>
  <c r="AZ40" i="15"/>
  <c r="N47" i="15"/>
  <c r="AF47" i="15"/>
  <c r="M48" i="15"/>
  <c r="AE48" i="15"/>
  <c r="M49" i="15"/>
  <c r="M187" i="15" s="1"/>
  <c r="AE49" i="15"/>
  <c r="AE187" i="15" s="1"/>
  <c r="E51" i="15"/>
  <c r="AA51" i="15"/>
  <c r="BG51" i="15"/>
  <c r="AA58" i="15"/>
  <c r="AY36" i="15"/>
  <c r="AW36" i="15" s="1"/>
  <c r="M58" i="15"/>
  <c r="AQ34" i="15"/>
  <c r="BA40" i="15"/>
  <c r="AO40" i="15" s="1"/>
  <c r="BB40" i="15" s="1"/>
  <c r="BC40" i="15" s="1"/>
  <c r="AG153" i="15"/>
  <c r="AG142" i="15"/>
  <c r="AG120" i="15"/>
  <c r="AG87" i="15"/>
  <c r="AG131" i="15"/>
  <c r="AG109" i="15"/>
  <c r="AG98" i="15"/>
  <c r="AG76" i="15"/>
  <c r="AG65" i="15"/>
  <c r="Q47" i="15"/>
  <c r="N48" i="15"/>
  <c r="AF48" i="15"/>
  <c r="AF49" i="15"/>
  <c r="AF187" i="15" s="1"/>
  <c r="F51" i="15"/>
  <c r="AB51" i="15"/>
  <c r="BH51" i="15"/>
  <c r="AB58" i="15"/>
  <c r="G69" i="15"/>
  <c r="Y80" i="15"/>
  <c r="AW32" i="15"/>
  <c r="R47" i="15"/>
  <c r="Q48" i="15"/>
  <c r="G51" i="15"/>
  <c r="AE51" i="15"/>
  <c r="BK51" i="15"/>
  <c r="AH57" i="15"/>
  <c r="Y69" i="15"/>
  <c r="K73" i="15"/>
  <c r="AY39" i="15"/>
  <c r="S47" i="15"/>
  <c r="R48" i="15"/>
  <c r="R49" i="15"/>
  <c r="R187" i="15" s="1"/>
  <c r="AN49" i="15"/>
  <c r="H51" i="15"/>
  <c r="AG51" i="15"/>
  <c r="BN51" i="15"/>
  <c r="W81" i="15"/>
  <c r="T47" i="15"/>
  <c r="AZ47" i="15"/>
  <c r="S48" i="15"/>
  <c r="M51" i="15"/>
  <c r="BO51" i="15"/>
  <c r="BO52" i="15" s="1"/>
  <c r="L70" i="15"/>
  <c r="AP35" i="15"/>
  <c r="E47" i="15"/>
  <c r="W47" i="15"/>
  <c r="T48" i="15"/>
  <c r="N51" i="15"/>
  <c r="AR51" i="15"/>
  <c r="BS51" i="15"/>
  <c r="BS52" i="15" s="1"/>
  <c r="L59" i="15"/>
  <c r="AH68" i="15"/>
  <c r="AD70" i="15"/>
  <c r="AY32" i="15"/>
  <c r="AX32" i="15"/>
  <c r="BA35" i="15"/>
  <c r="AO35" i="15" s="1"/>
  <c r="BB35" i="15" s="1"/>
  <c r="BC35" i="15" s="1"/>
  <c r="C150" i="15" s="1"/>
  <c r="AQ35" i="15"/>
  <c r="F47" i="15"/>
  <c r="X47" i="15"/>
  <c r="E48" i="15"/>
  <c r="W48" i="15"/>
  <c r="O51" i="15"/>
  <c r="AS51" i="15"/>
  <c r="M59" i="15"/>
  <c r="BM51" i="15"/>
  <c r="AZ51" i="15"/>
  <c r="AN51" i="15"/>
  <c r="BR51" i="15"/>
  <c r="BR52" i="15" s="1"/>
  <c r="BD51" i="15"/>
  <c r="AQ51" i="15"/>
  <c r="AQ52" i="15" s="1"/>
  <c r="AQ53" i="15" s="1"/>
  <c r="BQ51" i="15"/>
  <c r="BQ52" i="15" s="1"/>
  <c r="BC51" i="15"/>
  <c r="AP51" i="15"/>
  <c r="BE45" i="15"/>
  <c r="BP51" i="15"/>
  <c r="BP52" i="15" s="1"/>
  <c r="BB51" i="15"/>
  <c r="AO51" i="15"/>
  <c r="BL51" i="15"/>
  <c r="AX51" i="15"/>
  <c r="BW51" i="15"/>
  <c r="BW52" i="15" s="1"/>
  <c r="BJ51" i="15"/>
  <c r="AV51" i="15"/>
  <c r="BV51" i="15"/>
  <c r="BV52" i="15" s="1"/>
  <c r="BI51" i="15"/>
  <c r="AU51" i="15"/>
  <c r="BA37" i="15"/>
  <c r="AO37" i="15" s="1"/>
  <c r="BB37" i="15" s="1"/>
  <c r="BC37" i="15" s="1"/>
  <c r="AW39" i="15"/>
  <c r="G47" i="15"/>
  <c r="Y47" i="15"/>
  <c r="F48" i="15"/>
  <c r="X48" i="15"/>
  <c r="R51" i="15"/>
  <c r="AT51" i="15"/>
  <c r="BU51" i="15"/>
  <c r="BU52" i="15" s="1"/>
  <c r="Z59" i="15"/>
  <c r="Y172" i="15"/>
  <c r="M172" i="15"/>
  <c r="AD170" i="15"/>
  <c r="R170" i="15"/>
  <c r="F170" i="15"/>
  <c r="Y169" i="15"/>
  <c r="M169" i="15"/>
  <c r="AF168" i="15"/>
  <c r="T168" i="15"/>
  <c r="H168" i="15"/>
  <c r="W161" i="15"/>
  <c r="K161" i="15"/>
  <c r="AB159" i="15"/>
  <c r="P159" i="15"/>
  <c r="D159" i="15"/>
  <c r="W158" i="15"/>
  <c r="K158" i="15"/>
  <c r="AD157" i="15"/>
  <c r="R157" i="15"/>
  <c r="F157" i="15"/>
  <c r="X172" i="15"/>
  <c r="L172" i="15"/>
  <c r="AC170" i="15"/>
  <c r="Q170" i="15"/>
  <c r="E170" i="15"/>
  <c r="X169" i="15"/>
  <c r="L169" i="15"/>
  <c r="AE168" i="15"/>
  <c r="S168" i="15"/>
  <c r="G168" i="15"/>
  <c r="V161" i="15"/>
  <c r="J161" i="15"/>
  <c r="AA159" i="15"/>
  <c r="O159" i="15"/>
  <c r="V158" i="15"/>
  <c r="J158" i="15"/>
  <c r="AC157" i="15"/>
  <c r="Q157" i="15"/>
  <c r="E157" i="15"/>
  <c r="W172" i="15"/>
  <c r="K172" i="15"/>
  <c r="AB170" i="15"/>
  <c r="P170" i="15"/>
  <c r="D170" i="15"/>
  <c r="W169" i="15"/>
  <c r="K169" i="15"/>
  <c r="AD168" i="15"/>
  <c r="R168" i="15"/>
  <c r="F168" i="15"/>
  <c r="AG161" i="15"/>
  <c r="U161" i="15"/>
  <c r="I161" i="15"/>
  <c r="Z159" i="15"/>
  <c r="N159" i="15"/>
  <c r="AG158" i="15"/>
  <c r="U158" i="15"/>
  <c r="I158" i="15"/>
  <c r="AB157" i="15"/>
  <c r="P157" i="15"/>
  <c r="D157" i="15"/>
  <c r="AE150" i="15"/>
  <c r="S150" i="15"/>
  <c r="AE147" i="15"/>
  <c r="S147" i="15"/>
  <c r="G147" i="15"/>
  <c r="Z146" i="15"/>
  <c r="N146" i="15"/>
  <c r="E139" i="15"/>
  <c r="V137" i="15"/>
  <c r="AC136" i="15"/>
  <c r="Q136" i="15"/>
  <c r="E136" i="15"/>
  <c r="V172" i="15"/>
  <c r="J172" i="15"/>
  <c r="AA170" i="15"/>
  <c r="O170" i="15"/>
  <c r="V169" i="15"/>
  <c r="J169" i="15"/>
  <c r="AC168" i="15"/>
  <c r="Q168" i="15"/>
  <c r="E168" i="15"/>
  <c r="AF161" i="15"/>
  <c r="T161" i="15"/>
  <c r="H161" i="15"/>
  <c r="AG172" i="15"/>
  <c r="U172" i="15"/>
  <c r="I172" i="15"/>
  <c r="Z170" i="15"/>
  <c r="N170" i="15"/>
  <c r="AG169" i="15"/>
  <c r="U169" i="15"/>
  <c r="I169" i="15"/>
  <c r="AB168" i="15"/>
  <c r="P168" i="15"/>
  <c r="D168" i="15"/>
  <c r="AE161" i="15"/>
  <c r="S161" i="15"/>
  <c r="G161" i="15"/>
  <c r="X159" i="15"/>
  <c r="L159" i="15"/>
  <c r="AE158" i="15"/>
  <c r="S158" i="15"/>
  <c r="G158" i="15"/>
  <c r="Z157" i="15"/>
  <c r="N157" i="15"/>
  <c r="AF172" i="15"/>
  <c r="T172" i="15"/>
  <c r="H172" i="15"/>
  <c r="Y170" i="15"/>
  <c r="M170" i="15"/>
  <c r="AF169" i="15"/>
  <c r="T169" i="15"/>
  <c r="H169" i="15"/>
  <c r="AA168" i="15"/>
  <c r="O168" i="15"/>
  <c r="AD161" i="15"/>
  <c r="R161" i="15"/>
  <c r="F161" i="15"/>
  <c r="W159" i="15"/>
  <c r="K159" i="15"/>
  <c r="AD158" i="15"/>
  <c r="R158" i="15"/>
  <c r="F158" i="15"/>
  <c r="Y157" i="15"/>
  <c r="M157" i="15"/>
  <c r="AE172" i="15"/>
  <c r="S172" i="15"/>
  <c r="G172" i="15"/>
  <c r="X170" i="15"/>
  <c r="L170" i="15"/>
  <c r="AE169" i="15"/>
  <c r="S169" i="15"/>
  <c r="G169" i="15"/>
  <c r="Z168" i="15"/>
  <c r="N168" i="15"/>
  <c r="AC161" i="15"/>
  <c r="Q161" i="15"/>
  <c r="E161" i="15"/>
  <c r="V159" i="15"/>
  <c r="J159" i="15"/>
  <c r="AD172" i="15"/>
  <c r="R172" i="15"/>
  <c r="F172" i="15"/>
  <c r="W170" i="15"/>
  <c r="K170" i="15"/>
  <c r="AD169" i="15"/>
  <c r="R169" i="15"/>
  <c r="F169" i="15"/>
  <c r="Y168" i="15"/>
  <c r="M168" i="15"/>
  <c r="AB161" i="15"/>
  <c r="P161" i="15"/>
  <c r="D161" i="15"/>
  <c r="AG159" i="15"/>
  <c r="U159" i="15"/>
  <c r="I159" i="15"/>
  <c r="AB158" i="15"/>
  <c r="P158" i="15"/>
  <c r="D158" i="15"/>
  <c r="W157" i="15"/>
  <c r="K157" i="15"/>
  <c r="Z147" i="15"/>
  <c r="N147" i="15"/>
  <c r="AG146" i="15"/>
  <c r="U146" i="15"/>
  <c r="I146" i="15"/>
  <c r="AC172" i="15"/>
  <c r="Q172" i="15"/>
  <c r="E172" i="15"/>
  <c r="V170" i="15"/>
  <c r="J170" i="15"/>
  <c r="AC169" i="15"/>
  <c r="Q169" i="15"/>
  <c r="E169" i="15"/>
  <c r="X168" i="15"/>
  <c r="L168" i="15"/>
  <c r="AA161" i="15"/>
  <c r="O161" i="15"/>
  <c r="AF159" i="15"/>
  <c r="T159" i="15"/>
  <c r="H159" i="15"/>
  <c r="AA158" i="15"/>
  <c r="O158" i="15"/>
  <c r="V157" i="15"/>
  <c r="J157" i="15"/>
  <c r="Y150" i="15"/>
  <c r="M150" i="15"/>
  <c r="Y147" i="15"/>
  <c r="M147" i="15"/>
  <c r="AF146" i="15"/>
  <c r="T146" i="15"/>
  <c r="H146" i="15"/>
  <c r="AB172" i="15"/>
  <c r="P172" i="15"/>
  <c r="D172" i="15"/>
  <c r="AG170" i="15"/>
  <c r="U170" i="15"/>
  <c r="I170" i="15"/>
  <c r="AB169" i="15"/>
  <c r="P169" i="15"/>
  <c r="D169" i="15"/>
  <c r="W168" i="15"/>
  <c r="K168" i="15"/>
  <c r="Z161" i="15"/>
  <c r="N161" i="15"/>
  <c r="AE159" i="15"/>
  <c r="S159" i="15"/>
  <c r="G159" i="15"/>
  <c r="Z158" i="15"/>
  <c r="N158" i="15"/>
  <c r="AG157" i="15"/>
  <c r="AA172" i="15"/>
  <c r="O172" i="15"/>
  <c r="AF170" i="15"/>
  <c r="T170" i="15"/>
  <c r="H170" i="15"/>
  <c r="AA169" i="15"/>
  <c r="O169" i="15"/>
  <c r="V168" i="15"/>
  <c r="J168" i="15"/>
  <c r="Y161" i="15"/>
  <c r="M161" i="15"/>
  <c r="AD159" i="15"/>
  <c r="R159" i="15"/>
  <c r="F159" i="15"/>
  <c r="Y158" i="15"/>
  <c r="M158" i="15"/>
  <c r="AF157" i="15"/>
  <c r="T157" i="15"/>
  <c r="H157" i="15"/>
  <c r="W150" i="15"/>
  <c r="K150" i="15"/>
  <c r="AB148" i="15"/>
  <c r="X161" i="15"/>
  <c r="M159" i="15"/>
  <c r="AA157" i="15"/>
  <c r="AB150" i="15"/>
  <c r="I150" i="15"/>
  <c r="AD147" i="15"/>
  <c r="O147" i="15"/>
  <c r="AC146" i="15"/>
  <c r="M146" i="15"/>
  <c r="X139" i="15"/>
  <c r="AE136" i="15"/>
  <c r="R136" i="15"/>
  <c r="D136" i="15"/>
  <c r="W135" i="15"/>
  <c r="K135" i="15"/>
  <c r="AE170" i="15"/>
  <c r="L161" i="15"/>
  <c r="E159" i="15"/>
  <c r="X157" i="15"/>
  <c r="AA150" i="15"/>
  <c r="H150" i="15"/>
  <c r="O148" i="15"/>
  <c r="AC147" i="15"/>
  <c r="L147" i="15"/>
  <c r="AB146" i="15"/>
  <c r="L146" i="15"/>
  <c r="J139" i="15"/>
  <c r="AD136" i="15"/>
  <c r="P136" i="15"/>
  <c r="V135" i="15"/>
  <c r="J135" i="15"/>
  <c r="S170" i="15"/>
  <c r="AF158" i="15"/>
  <c r="U157" i="15"/>
  <c r="X150" i="15"/>
  <c r="F150" i="15"/>
  <c r="AB147" i="15"/>
  <c r="K147" i="15"/>
  <c r="AA146" i="15"/>
  <c r="K146" i="15"/>
  <c r="V139" i="15"/>
  <c r="AB136" i="15"/>
  <c r="O136" i="15"/>
  <c r="AG135" i="15"/>
  <c r="U135" i="15"/>
  <c r="I135" i="15"/>
  <c r="Z172" i="15"/>
  <c r="G170" i="15"/>
  <c r="AC158" i="15"/>
  <c r="S157" i="15"/>
  <c r="V150" i="15"/>
  <c r="E150" i="15"/>
  <c r="AA147" i="15"/>
  <c r="J147" i="15"/>
  <c r="Y146" i="15"/>
  <c r="J146" i="15"/>
  <c r="H139" i="15"/>
  <c r="AA136" i="15"/>
  <c r="N136" i="15"/>
  <c r="AF135" i="15"/>
  <c r="T135" i="15"/>
  <c r="H135" i="15"/>
  <c r="W128" i="15"/>
  <c r="K128" i="15"/>
  <c r="P126" i="15"/>
  <c r="W125" i="15"/>
  <c r="K125" i="15"/>
  <c r="AD124" i="15"/>
  <c r="R124" i="15"/>
  <c r="F124" i="15"/>
  <c r="AG117" i="15"/>
  <c r="U117" i="15"/>
  <c r="I117" i="15"/>
  <c r="N172" i="15"/>
  <c r="Z169" i="15"/>
  <c r="X158" i="15"/>
  <c r="O157" i="15"/>
  <c r="U150" i="15"/>
  <c r="D150" i="15"/>
  <c r="AC148" i="15"/>
  <c r="K148" i="15"/>
  <c r="X147" i="15"/>
  <c r="I147" i="15"/>
  <c r="X146" i="15"/>
  <c r="G146" i="15"/>
  <c r="AG139" i="15"/>
  <c r="T139" i="15"/>
  <c r="G139" i="15"/>
  <c r="Z136" i="15"/>
  <c r="M136" i="15"/>
  <c r="AE135" i="15"/>
  <c r="S135" i="15"/>
  <c r="G135" i="15"/>
  <c r="V128" i="15"/>
  <c r="J128" i="15"/>
  <c r="V125" i="15"/>
  <c r="J125" i="15"/>
  <c r="AC124" i="15"/>
  <c r="Q124" i="15"/>
  <c r="E124" i="15"/>
  <c r="AF117" i="15"/>
  <c r="T117" i="15"/>
  <c r="H117" i="15"/>
  <c r="Y115" i="15"/>
  <c r="AF114" i="15"/>
  <c r="T114" i="15"/>
  <c r="H114" i="15"/>
  <c r="AA113" i="15"/>
  <c r="O113" i="15"/>
  <c r="N169" i="15"/>
  <c r="T158" i="15"/>
  <c r="L157" i="15"/>
  <c r="T150" i="15"/>
  <c r="AA148" i="15"/>
  <c r="J148" i="15"/>
  <c r="W147" i="15"/>
  <c r="H147" i="15"/>
  <c r="W146" i="15"/>
  <c r="F146" i="15"/>
  <c r="AF139" i="15"/>
  <c r="S139" i="15"/>
  <c r="F139" i="15"/>
  <c r="AG137" i="15"/>
  <c r="T137" i="15"/>
  <c r="G137" i="15"/>
  <c r="Y136" i="15"/>
  <c r="L136" i="15"/>
  <c r="AD135" i="15"/>
  <c r="R135" i="15"/>
  <c r="F135" i="15"/>
  <c r="Q158" i="15"/>
  <c r="I157" i="15"/>
  <c r="R150" i="15"/>
  <c r="V147" i="15"/>
  <c r="F147" i="15"/>
  <c r="V146" i="15"/>
  <c r="E146" i="15"/>
  <c r="AE139" i="15"/>
  <c r="AF137" i="15"/>
  <c r="X136" i="15"/>
  <c r="K136" i="15"/>
  <c r="AC135" i="15"/>
  <c r="Q135" i="15"/>
  <c r="E135" i="15"/>
  <c r="AG168" i="15"/>
  <c r="L158" i="15"/>
  <c r="G157" i="15"/>
  <c r="Q150" i="15"/>
  <c r="U147" i="15"/>
  <c r="E147" i="15"/>
  <c r="S146" i="15"/>
  <c r="D146" i="15"/>
  <c r="AD139" i="15"/>
  <c r="P139" i="15"/>
  <c r="AE137" i="15"/>
  <c r="U168" i="15"/>
  <c r="H158" i="15"/>
  <c r="AG150" i="15"/>
  <c r="P150" i="15"/>
  <c r="T147" i="15"/>
  <c r="D147" i="15"/>
  <c r="R146" i="15"/>
  <c r="AB139" i="15"/>
  <c r="O139" i="15"/>
  <c r="V136" i="15"/>
  <c r="I136" i="15"/>
  <c r="AA135" i="15"/>
  <c r="O135" i="15"/>
  <c r="AD128" i="15"/>
  <c r="R128" i="15"/>
  <c r="F128" i="15"/>
  <c r="AD125" i="15"/>
  <c r="R125" i="15"/>
  <c r="F125" i="15"/>
  <c r="Y124" i="15"/>
  <c r="M124" i="15"/>
  <c r="AB117" i="15"/>
  <c r="I168" i="15"/>
  <c r="AC159" i="15"/>
  <c r="E158" i="15"/>
  <c r="AF150" i="15"/>
  <c r="O150" i="15"/>
  <c r="R147" i="15"/>
  <c r="Q146" i="15"/>
  <c r="N139" i="15"/>
  <c r="Y159" i="15"/>
  <c r="AD150" i="15"/>
  <c r="L150" i="15"/>
  <c r="AG147" i="15"/>
  <c r="Q147" i="15"/>
  <c r="AE146" i="15"/>
  <c r="P146" i="15"/>
  <c r="Z139" i="15"/>
  <c r="M139" i="15"/>
  <c r="AG136" i="15"/>
  <c r="T136" i="15"/>
  <c r="G136" i="15"/>
  <c r="Y135" i="15"/>
  <c r="M135" i="15"/>
  <c r="AB128" i="15"/>
  <c r="P128" i="15"/>
  <c r="U126" i="15"/>
  <c r="AB125" i="15"/>
  <c r="P125" i="15"/>
  <c r="D125" i="15"/>
  <c r="W124" i="15"/>
  <c r="K124" i="15"/>
  <c r="Z117" i="15"/>
  <c r="N117" i="15"/>
  <c r="AE157" i="15"/>
  <c r="J150" i="15"/>
  <c r="AD146" i="15"/>
  <c r="U128" i="15"/>
  <c r="Z125" i="15"/>
  <c r="H125" i="15"/>
  <c r="U124" i="15"/>
  <c r="D117" i="15"/>
  <c r="Y114" i="15"/>
  <c r="L114" i="15"/>
  <c r="AD113" i="15"/>
  <c r="Q113" i="15"/>
  <c r="D113" i="15"/>
  <c r="O146" i="15"/>
  <c r="AB135" i="15"/>
  <c r="T128" i="15"/>
  <c r="AD126" i="15"/>
  <c r="L126" i="15"/>
  <c r="Y125" i="15"/>
  <c r="G125" i="15"/>
  <c r="T124" i="15"/>
  <c r="X114" i="15"/>
  <c r="K114" i="15"/>
  <c r="AC113" i="15"/>
  <c r="P113" i="15"/>
  <c r="Z106" i="15"/>
  <c r="N106" i="15"/>
  <c r="Z135" i="15"/>
  <c r="S128" i="15"/>
  <c r="X125" i="15"/>
  <c r="E125" i="15"/>
  <c r="S124" i="15"/>
  <c r="E115" i="15"/>
  <c r="W114" i="15"/>
  <c r="J114" i="15"/>
  <c r="AB113" i="15"/>
  <c r="N113" i="15"/>
  <c r="Y106" i="15"/>
  <c r="M106" i="15"/>
  <c r="AD104" i="15"/>
  <c r="Y103" i="15"/>
  <c r="M103" i="15"/>
  <c r="AF102" i="15"/>
  <c r="T102" i="15"/>
  <c r="H102" i="15"/>
  <c r="W95" i="15"/>
  <c r="K95" i="15"/>
  <c r="V92" i="15"/>
  <c r="J92" i="15"/>
  <c r="AC91" i="15"/>
  <c r="Q91" i="15"/>
  <c r="E91" i="15"/>
  <c r="H84" i="15"/>
  <c r="L82" i="15"/>
  <c r="AE81" i="15"/>
  <c r="S81" i="15"/>
  <c r="G81" i="15"/>
  <c r="Y139" i="15"/>
  <c r="X135" i="15"/>
  <c r="Q128" i="15"/>
  <c r="Z126" i="15"/>
  <c r="U125" i="15"/>
  <c r="P124" i="15"/>
  <c r="P117" i="15"/>
  <c r="V114" i="15"/>
  <c r="I114" i="15"/>
  <c r="Z113" i="15"/>
  <c r="M113" i="15"/>
  <c r="X106" i="15"/>
  <c r="L106" i="15"/>
  <c r="Q104" i="15"/>
  <c r="X103" i="15"/>
  <c r="L103" i="15"/>
  <c r="AE102" i="15"/>
  <c r="S102" i="15"/>
  <c r="G102" i="15"/>
  <c r="V95" i="15"/>
  <c r="J95" i="15"/>
  <c r="AG92" i="15"/>
  <c r="U92" i="15"/>
  <c r="I92" i="15"/>
  <c r="AB91" i="15"/>
  <c r="P91" i="15"/>
  <c r="D91" i="15"/>
  <c r="S84" i="15"/>
  <c r="G84" i="15"/>
  <c r="L139" i="15"/>
  <c r="P135" i="15"/>
  <c r="AG128" i="15"/>
  <c r="O128" i="15"/>
  <c r="G126" i="15"/>
  <c r="T125" i="15"/>
  <c r="AG124" i="15"/>
  <c r="O124" i="15"/>
  <c r="AE117" i="15"/>
  <c r="O117" i="15"/>
  <c r="AC115" i="15"/>
  <c r="U114" i="15"/>
  <c r="G114" i="15"/>
  <c r="Y113" i="15"/>
  <c r="L113" i="15"/>
  <c r="AF136" i="15"/>
  <c r="N135" i="15"/>
  <c r="AF128" i="15"/>
  <c r="S125" i="15"/>
  <c r="AF124" i="15"/>
  <c r="N124" i="15"/>
  <c r="AD117" i="15"/>
  <c r="M117" i="15"/>
  <c r="AG114" i="15"/>
  <c r="S114" i="15"/>
  <c r="F114" i="15"/>
  <c r="X113" i="15"/>
  <c r="K113" i="15"/>
  <c r="W136" i="15"/>
  <c r="L135" i="15"/>
  <c r="AE128" i="15"/>
  <c r="Q125" i="15"/>
  <c r="AE124" i="15"/>
  <c r="L124" i="15"/>
  <c r="AC117" i="15"/>
  <c r="L117" i="15"/>
  <c r="N115" i="15"/>
  <c r="AE114" i="15"/>
  <c r="U136" i="15"/>
  <c r="D135" i="15"/>
  <c r="AC128" i="15"/>
  <c r="L128" i="15"/>
  <c r="AG125" i="15"/>
  <c r="O125" i="15"/>
  <c r="AB124" i="15"/>
  <c r="J124" i="15"/>
  <c r="AA117" i="15"/>
  <c r="K117" i="15"/>
  <c r="T148" i="15"/>
  <c r="S136" i="15"/>
  <c r="AA128" i="15"/>
  <c r="AF125" i="15"/>
  <c r="N125" i="15"/>
  <c r="AA124" i="15"/>
  <c r="I124" i="15"/>
  <c r="Y117" i="15"/>
  <c r="J117" i="15"/>
  <c r="X115" i="15"/>
  <c r="AC114" i="15"/>
  <c r="P114" i="15"/>
  <c r="U113" i="15"/>
  <c r="H113" i="15"/>
  <c r="AE106" i="15"/>
  <c r="S106" i="15"/>
  <c r="G106" i="15"/>
  <c r="L104" i="15"/>
  <c r="AE103" i="15"/>
  <c r="S103" i="15"/>
  <c r="G103" i="15"/>
  <c r="Z102" i="15"/>
  <c r="N102" i="15"/>
  <c r="AC95" i="15"/>
  <c r="Q95" i="15"/>
  <c r="E95" i="15"/>
  <c r="AF147" i="15"/>
  <c r="J136" i="15"/>
  <c r="Z128" i="15"/>
  <c r="AE125" i="15"/>
  <c r="M125" i="15"/>
  <c r="Z124" i="15"/>
  <c r="H124" i="15"/>
  <c r="X117" i="15"/>
  <c r="G117" i="15"/>
  <c r="AB114" i="15"/>
  <c r="O114" i="15"/>
  <c r="AG113" i="15"/>
  <c r="T113" i="15"/>
  <c r="G113" i="15"/>
  <c r="AD106" i="15"/>
  <c r="R106" i="15"/>
  <c r="F106" i="15"/>
  <c r="AD103" i="15"/>
  <c r="R103" i="15"/>
  <c r="F103" i="15"/>
  <c r="Y102" i="15"/>
  <c r="M102" i="15"/>
  <c r="AB95" i="15"/>
  <c r="P95" i="15"/>
  <c r="D95" i="15"/>
  <c r="Q159" i="15"/>
  <c r="P147" i="15"/>
  <c r="H136" i="15"/>
  <c r="Y128" i="15"/>
  <c r="G128" i="15"/>
  <c r="Q126" i="15"/>
  <c r="AC125" i="15"/>
  <c r="L125" i="15"/>
  <c r="X124" i="15"/>
  <c r="G124" i="15"/>
  <c r="W117" i="15"/>
  <c r="F117" i="15"/>
  <c r="AC150" i="15"/>
  <c r="Z114" i="15"/>
  <c r="S113" i="15"/>
  <c r="AF106" i="15"/>
  <c r="J106" i="15"/>
  <c r="AG103" i="15"/>
  <c r="O103" i="15"/>
  <c r="AB102" i="15"/>
  <c r="J102" i="15"/>
  <c r="Z95" i="15"/>
  <c r="H95" i="15"/>
  <c r="W92" i="15"/>
  <c r="G92" i="15"/>
  <c r="X91" i="15"/>
  <c r="J91" i="15"/>
  <c r="Y84" i="15"/>
  <c r="K84" i="15"/>
  <c r="K82" i="15"/>
  <c r="AC81" i="15"/>
  <c r="P81" i="15"/>
  <c r="V80" i="15"/>
  <c r="J80" i="15"/>
  <c r="R114" i="15"/>
  <c r="R113" i="15"/>
  <c r="AC106" i="15"/>
  <c r="I106" i="15"/>
  <c r="AF103" i="15"/>
  <c r="N103" i="15"/>
  <c r="AA102" i="15"/>
  <c r="I102" i="15"/>
  <c r="Y95" i="15"/>
  <c r="G95" i="15"/>
  <c r="AG93" i="15"/>
  <c r="S93" i="15"/>
  <c r="E93" i="15"/>
  <c r="T92" i="15"/>
  <c r="F92" i="15"/>
  <c r="W91" i="15"/>
  <c r="I91" i="15"/>
  <c r="X84" i="15"/>
  <c r="J84" i="15"/>
  <c r="W82" i="15"/>
  <c r="J82" i="15"/>
  <c r="AB81" i="15"/>
  <c r="O81" i="15"/>
  <c r="AG80" i="15"/>
  <c r="U80" i="15"/>
  <c r="I80" i="15"/>
  <c r="Q114" i="15"/>
  <c r="J113" i="15"/>
  <c r="AB106" i="15"/>
  <c r="H106" i="15"/>
  <c r="AC103" i="15"/>
  <c r="K103" i="15"/>
  <c r="X102" i="15"/>
  <c r="F102" i="15"/>
  <c r="X95" i="15"/>
  <c r="F95" i="15"/>
  <c r="S92" i="15"/>
  <c r="E92" i="15"/>
  <c r="V91" i="15"/>
  <c r="H91" i="15"/>
  <c r="W84" i="15"/>
  <c r="I84" i="15"/>
  <c r="N114" i="15"/>
  <c r="I113" i="15"/>
  <c r="AA106" i="15"/>
  <c r="E106" i="15"/>
  <c r="AB103" i="15"/>
  <c r="J103" i="15"/>
  <c r="W102" i="15"/>
  <c r="E102" i="15"/>
  <c r="U95" i="15"/>
  <c r="AF92" i="15"/>
  <c r="R92" i="15"/>
  <c r="D92" i="15"/>
  <c r="U91" i="15"/>
  <c r="G91" i="15"/>
  <c r="V84" i="15"/>
  <c r="F84" i="15"/>
  <c r="H82" i="15"/>
  <c r="Z81" i="15"/>
  <c r="M81" i="15"/>
  <c r="AE80" i="15"/>
  <c r="S80" i="15"/>
  <c r="G80" i="15"/>
  <c r="V73" i="15"/>
  <c r="J73" i="15"/>
  <c r="N71" i="15"/>
  <c r="AG70" i="15"/>
  <c r="U70" i="15"/>
  <c r="I70" i="15"/>
  <c r="AB69" i="15"/>
  <c r="P69" i="15"/>
  <c r="D69" i="15"/>
  <c r="W62" i="15"/>
  <c r="K62" i="15"/>
  <c r="AD59" i="15"/>
  <c r="R59" i="15"/>
  <c r="F59" i="15"/>
  <c r="Y58" i="15"/>
  <c r="M114" i="15"/>
  <c r="F113" i="15"/>
  <c r="W106" i="15"/>
  <c r="D106" i="15"/>
  <c r="AF104" i="15"/>
  <c r="AA103" i="15"/>
  <c r="I103" i="15"/>
  <c r="V102" i="15"/>
  <c r="D102" i="15"/>
  <c r="T95" i="15"/>
  <c r="AE92" i="15"/>
  <c r="Q92" i="15"/>
  <c r="T91" i="15"/>
  <c r="F91" i="15"/>
  <c r="U84" i="15"/>
  <c r="E84" i="15"/>
  <c r="G82" i="15"/>
  <c r="Y81" i="15"/>
  <c r="L81" i="15"/>
  <c r="AD80" i="15"/>
  <c r="R80" i="15"/>
  <c r="F80" i="15"/>
  <c r="AG73" i="15"/>
  <c r="U73" i="15"/>
  <c r="I73" i="15"/>
  <c r="Y71" i="15"/>
  <c r="AF70" i="15"/>
  <c r="T70" i="15"/>
  <c r="H70" i="15"/>
  <c r="AA69" i="15"/>
  <c r="O69" i="15"/>
  <c r="V62" i="15"/>
  <c r="J62" i="15"/>
  <c r="AF60" i="15"/>
  <c r="H60" i="15"/>
  <c r="AC59" i="15"/>
  <c r="Q59" i="15"/>
  <c r="E59" i="15"/>
  <c r="X58" i="15"/>
  <c r="L58" i="15"/>
  <c r="W51" i="15"/>
  <c r="K51" i="15"/>
  <c r="E114" i="15"/>
  <c r="E113" i="15"/>
  <c r="V106" i="15"/>
  <c r="AE104" i="15"/>
  <c r="Z103" i="15"/>
  <c r="H103" i="15"/>
  <c r="U102" i="15"/>
  <c r="S95" i="15"/>
  <c r="AD92" i="15"/>
  <c r="P92" i="15"/>
  <c r="AG91" i="15"/>
  <c r="S91" i="15"/>
  <c r="R84" i="15"/>
  <c r="D84" i="15"/>
  <c r="S82" i="15"/>
  <c r="F82" i="15"/>
  <c r="AA125" i="15"/>
  <c r="D114" i="15"/>
  <c r="U106" i="15"/>
  <c r="W103" i="15"/>
  <c r="E103" i="15"/>
  <c r="R102" i="15"/>
  <c r="R95" i="15"/>
  <c r="AB93" i="15"/>
  <c r="AC92" i="15"/>
  <c r="O92" i="15"/>
  <c r="AF91" i="15"/>
  <c r="R91" i="15"/>
  <c r="AG84" i="15"/>
  <c r="Q84" i="15"/>
  <c r="X128" i="15"/>
  <c r="I125" i="15"/>
  <c r="T106" i="15"/>
  <c r="V103" i="15"/>
  <c r="D103" i="15"/>
  <c r="Q102" i="15"/>
  <c r="AG95" i="15"/>
  <c r="O95" i="15"/>
  <c r="AB92" i="15"/>
  <c r="N92" i="15"/>
  <c r="AE91" i="15"/>
  <c r="O91" i="15"/>
  <c r="P84" i="15"/>
  <c r="Q82" i="15"/>
  <c r="D82" i="15"/>
  <c r="V81" i="15"/>
  <c r="I81" i="15"/>
  <c r="AA80" i="15"/>
  <c r="F136" i="15"/>
  <c r="E128" i="15"/>
  <c r="I115" i="15"/>
  <c r="AF113" i="15"/>
  <c r="Q106" i="15"/>
  <c r="Z104" i="15"/>
  <c r="U103" i="15"/>
  <c r="P102" i="15"/>
  <c r="AF95" i="15"/>
  <c r="N95" i="15"/>
  <c r="AA92" i="15"/>
  <c r="M92" i="15"/>
  <c r="AD91" i="15"/>
  <c r="N91" i="15"/>
  <c r="AC84" i="15"/>
  <c r="O84" i="15"/>
  <c r="AC82" i="15"/>
  <c r="P82" i="15"/>
  <c r="U81" i="15"/>
  <c r="H81" i="15"/>
  <c r="Z80" i="15"/>
  <c r="N80" i="15"/>
  <c r="AC73" i="15"/>
  <c r="Q73" i="15"/>
  <c r="E73" i="15"/>
  <c r="AB70" i="15"/>
  <c r="P70" i="15"/>
  <c r="D70" i="15"/>
  <c r="W69" i="15"/>
  <c r="K69" i="15"/>
  <c r="AD62" i="15"/>
  <c r="R62" i="15"/>
  <c r="V124" i="15"/>
  <c r="V117" i="15"/>
  <c r="AE113" i="15"/>
  <c r="P106" i="15"/>
  <c r="G104" i="15"/>
  <c r="T103" i="15"/>
  <c r="AG102" i="15"/>
  <c r="O102" i="15"/>
  <c r="AE95" i="15"/>
  <c r="M95" i="15"/>
  <c r="W93" i="15"/>
  <c r="I93" i="15"/>
  <c r="Z92" i="15"/>
  <c r="L92" i="15"/>
  <c r="AA91" i="15"/>
  <c r="M91" i="15"/>
  <c r="D124" i="15"/>
  <c r="E117" i="15"/>
  <c r="AD114" i="15"/>
  <c r="W113" i="15"/>
  <c r="O106" i="15"/>
  <c r="V104" i="15"/>
  <c r="Q103" i="15"/>
  <c r="AD102" i="15"/>
  <c r="L102" i="15"/>
  <c r="AD95" i="15"/>
  <c r="L95" i="15"/>
  <c r="Y92" i="15"/>
  <c r="K92" i="15"/>
  <c r="Z91" i="15"/>
  <c r="L91" i="15"/>
  <c r="AA84" i="15"/>
  <c r="M84" i="15"/>
  <c r="N82" i="15"/>
  <c r="AF81" i="15"/>
  <c r="R81" i="15"/>
  <c r="E81" i="15"/>
  <c r="X80" i="15"/>
  <c r="L80" i="15"/>
  <c r="AA73" i="15"/>
  <c r="O73" i="15"/>
  <c r="Z70" i="15"/>
  <c r="N70" i="15"/>
  <c r="AG69" i="15"/>
  <c r="U69" i="15"/>
  <c r="I69" i="15"/>
  <c r="AB62" i="15"/>
  <c r="P62" i="15"/>
  <c r="D62" i="15"/>
  <c r="AB84" i="15"/>
  <c r="T81" i="15"/>
  <c r="W80" i="15"/>
  <c r="Z73" i="15"/>
  <c r="H73" i="15"/>
  <c r="AC70" i="15"/>
  <c r="K70" i="15"/>
  <c r="X69" i="15"/>
  <c r="F69" i="15"/>
  <c r="U62" i="15"/>
  <c r="E62" i="15"/>
  <c r="V60" i="15"/>
  <c r="Y59" i="15"/>
  <c r="K59" i="15"/>
  <c r="Z58" i="15"/>
  <c r="K58" i="15"/>
  <c r="Z84" i="15"/>
  <c r="Q81" i="15"/>
  <c r="T80" i="15"/>
  <c r="Y73" i="15"/>
  <c r="G73" i="15"/>
  <c r="O71" i="15"/>
  <c r="AA70" i="15"/>
  <c r="J70" i="15"/>
  <c r="V69" i="15"/>
  <c r="E69" i="15"/>
  <c r="T62" i="15"/>
  <c r="X59" i="15"/>
  <c r="J59" i="15"/>
  <c r="W58" i="15"/>
  <c r="J58" i="15"/>
  <c r="Y51" i="15"/>
  <c r="L51" i="15"/>
  <c r="P103" i="15"/>
  <c r="N84" i="15"/>
  <c r="R82" i="15"/>
  <c r="N81" i="15"/>
  <c r="Q80" i="15"/>
  <c r="X73" i="15"/>
  <c r="F73" i="15"/>
  <c r="Y70" i="15"/>
  <c r="G70" i="15"/>
  <c r="T69" i="15"/>
  <c r="S62" i="15"/>
  <c r="R60" i="15"/>
  <c r="D60" i="15"/>
  <c r="W59" i="15"/>
  <c r="I59" i="15"/>
  <c r="V58" i="15"/>
  <c r="I58" i="15"/>
  <c r="X51" i="15"/>
  <c r="J51" i="15"/>
  <c r="D49" i="15"/>
  <c r="D187" i="15" s="1"/>
  <c r="AB48" i="15"/>
  <c r="P48" i="15"/>
  <c r="D48" i="15"/>
  <c r="AB47" i="15"/>
  <c r="P47" i="15"/>
  <c r="D47" i="15"/>
  <c r="AG106" i="15"/>
  <c r="X92" i="15"/>
  <c r="L84" i="15"/>
  <c r="O82" i="15"/>
  <c r="K81" i="15"/>
  <c r="P80" i="15"/>
  <c r="W73" i="15"/>
  <c r="D73" i="15"/>
  <c r="K71" i="15"/>
  <c r="X70" i="15"/>
  <c r="F70" i="15"/>
  <c r="S69" i="15"/>
  <c r="Q62" i="15"/>
  <c r="AE60" i="15"/>
  <c r="Q60" i="15"/>
  <c r="V59" i="15"/>
  <c r="H59" i="15"/>
  <c r="U58" i="15"/>
  <c r="H58" i="15"/>
  <c r="V51" i="15"/>
  <c r="I51" i="15"/>
  <c r="AA49" i="15"/>
  <c r="AA187" i="15" s="1"/>
  <c r="AA48" i="15"/>
  <c r="O48" i="15"/>
  <c r="AA47" i="15"/>
  <c r="O47" i="15"/>
  <c r="AA114" i="15"/>
  <c r="K106" i="15"/>
  <c r="AC102" i="15"/>
  <c r="AA95" i="15"/>
  <c r="H92" i="15"/>
  <c r="M82" i="15"/>
  <c r="J81" i="15"/>
  <c r="O80" i="15"/>
  <c r="T73" i="15"/>
  <c r="J71" i="15"/>
  <c r="W70" i="15"/>
  <c r="E70" i="15"/>
  <c r="R69" i="15"/>
  <c r="AG62" i="15"/>
  <c r="O62" i="15"/>
  <c r="U59" i="15"/>
  <c r="G59" i="15"/>
  <c r="T58" i="15"/>
  <c r="G58" i="15"/>
  <c r="K102" i="15"/>
  <c r="I95" i="15"/>
  <c r="I82" i="15"/>
  <c r="F81" i="15"/>
  <c r="M80" i="15"/>
  <c r="S73" i="15"/>
  <c r="V70" i="15"/>
  <c r="Q69" i="15"/>
  <c r="AF62" i="15"/>
  <c r="N62" i="15"/>
  <c r="T59" i="15"/>
  <c r="D59" i="15"/>
  <c r="AG58" i="15"/>
  <c r="S58" i="15"/>
  <c r="F58" i="15"/>
  <c r="V113" i="15"/>
  <c r="Y91" i="15"/>
  <c r="E82" i="15"/>
  <c r="D81" i="15"/>
  <c r="K80" i="15"/>
  <c r="R73" i="15"/>
  <c r="X71" i="15"/>
  <c r="F71" i="15"/>
  <c r="S70" i="15"/>
  <c r="AF69" i="15"/>
  <c r="N69" i="15"/>
  <c r="AE62" i="15"/>
  <c r="M62" i="15"/>
  <c r="AG59" i="15"/>
  <c r="S59" i="15"/>
  <c r="AF58" i="15"/>
  <c r="R58" i="15"/>
  <c r="E58" i="15"/>
  <c r="AF51" i="15"/>
  <c r="K91" i="15"/>
  <c r="AG81" i="15"/>
  <c r="H80" i="15"/>
  <c r="P73" i="15"/>
  <c r="R70" i="15"/>
  <c r="AE69" i="15"/>
  <c r="M69" i="15"/>
  <c r="AC62" i="15"/>
  <c r="L62" i="15"/>
  <c r="AA60" i="15"/>
  <c r="M60" i="15"/>
  <c r="AF59" i="15"/>
  <c r="P59" i="15"/>
  <c r="AE58" i="15"/>
  <c r="Q58" i="15"/>
  <c r="D58" i="15"/>
  <c r="AD81" i="15"/>
  <c r="AF80" i="15"/>
  <c r="E80" i="15"/>
  <c r="AF73" i="15"/>
  <c r="N73" i="15"/>
  <c r="Q70" i="15"/>
  <c r="AD69" i="15"/>
  <c r="L69" i="15"/>
  <c r="AA62" i="15"/>
  <c r="I62" i="15"/>
  <c r="AE59" i="15"/>
  <c r="O59" i="15"/>
  <c r="AD58" i="15"/>
  <c r="P58" i="15"/>
  <c r="AD51" i="15"/>
  <c r="Q51" i="15"/>
  <c r="D51" i="15"/>
  <c r="V49" i="15"/>
  <c r="V187" i="15" s="1"/>
  <c r="V48" i="15"/>
  <c r="J48" i="15"/>
  <c r="V47" i="15"/>
  <c r="J47" i="15"/>
  <c r="AA81" i="15"/>
  <c r="AC80" i="15"/>
  <c r="D80" i="15"/>
  <c r="AE73" i="15"/>
  <c r="M73" i="15"/>
  <c r="T71" i="15"/>
  <c r="O70" i="15"/>
  <c r="AC69" i="15"/>
  <c r="J69" i="15"/>
  <c r="Z62" i="15"/>
  <c r="H62" i="15"/>
  <c r="AB59" i="15"/>
  <c r="N59" i="15"/>
  <c r="AC58" i="15"/>
  <c r="O58" i="15"/>
  <c r="AC51" i="15"/>
  <c r="P51" i="15"/>
  <c r="U49" i="15"/>
  <c r="U187" i="15" s="1"/>
  <c r="AG48" i="15"/>
  <c r="U48" i="15"/>
  <c r="I48" i="15"/>
  <c r="AG47" i="15"/>
  <c r="U47" i="15"/>
  <c r="I47" i="15"/>
  <c r="X81" i="15"/>
  <c r="AB80" i="15"/>
  <c r="AD73" i="15"/>
  <c r="L73" i="15"/>
  <c r="AE70" i="15"/>
  <c r="M70" i="15"/>
  <c r="Z69" i="15"/>
  <c r="H69" i="15"/>
  <c r="Y62" i="15"/>
  <c r="AA59" i="15"/>
  <c r="AW37" i="15"/>
  <c r="AV37" i="15"/>
  <c r="AX39" i="15"/>
  <c r="AV39" i="15" s="1"/>
  <c r="H47" i="15"/>
  <c r="Z47" i="15"/>
  <c r="G48" i="15"/>
  <c r="Y48" i="15"/>
  <c r="S51" i="15"/>
  <c r="AW51" i="15"/>
  <c r="BX51" i="15"/>
  <c r="BX52" i="15" s="1"/>
  <c r="K47" i="15"/>
  <c r="AC47" i="15"/>
  <c r="H48" i="15"/>
  <c r="Z48" i="15"/>
  <c r="Z49" i="15"/>
  <c r="Z187" i="15" s="1"/>
  <c r="T51" i="15"/>
  <c r="AY51" i="15"/>
  <c r="AH79" i="15"/>
  <c r="AH101" i="15"/>
  <c r="AH123" i="15"/>
  <c r="AH116" i="15"/>
  <c r="AH105" i="15"/>
  <c r="AH112" i="15"/>
  <c r="AH145" i="15"/>
  <c r="AH156" i="15"/>
  <c r="AH149" i="15"/>
  <c r="AH171" i="15"/>
  <c r="AX48" i="14"/>
  <c r="AZ48" i="14"/>
  <c r="AZ32" i="14"/>
  <c r="AW32" i="14"/>
  <c r="D25" i="14"/>
  <c r="L47" i="14"/>
  <c r="AQ33" i="14"/>
  <c r="AZ33" i="14" s="1"/>
  <c r="K24" i="14"/>
  <c r="AP35" i="14"/>
  <c r="N47" i="14"/>
  <c r="BN51" i="14"/>
  <c r="BA51" i="14"/>
  <c r="AO51" i="14"/>
  <c r="AO52" i="14" s="1"/>
  <c r="AO53" i="14" s="1"/>
  <c r="BM51" i="14"/>
  <c r="AZ51" i="14"/>
  <c r="AN51" i="14"/>
  <c r="AN52" i="14" s="1"/>
  <c r="AN53" i="14" s="1"/>
  <c r="BQ51" i="14"/>
  <c r="BQ52" i="14" s="1"/>
  <c r="BQ53" i="14" s="1"/>
  <c r="BQ54" i="14" s="1"/>
  <c r="BD51" i="14"/>
  <c r="AR51" i="14"/>
  <c r="AR52" i="14" s="1"/>
  <c r="AR53" i="14" s="1"/>
  <c r="BW51" i="14"/>
  <c r="BW52" i="14" s="1"/>
  <c r="BW53" i="14" s="1"/>
  <c r="BW54" i="14" s="1"/>
  <c r="BH51" i="14"/>
  <c r="AQ51" i="14"/>
  <c r="AQ52" i="14" s="1"/>
  <c r="AQ53" i="14" s="1"/>
  <c r="BV51" i="14"/>
  <c r="BV52" i="14" s="1"/>
  <c r="BV53" i="14" s="1"/>
  <c r="BV54" i="14" s="1"/>
  <c r="BG51" i="14"/>
  <c r="AP51" i="14"/>
  <c r="AP52" i="14" s="1"/>
  <c r="AP53" i="14" s="1"/>
  <c r="BU51" i="14"/>
  <c r="BU52" i="14" s="1"/>
  <c r="BU53" i="14" s="1"/>
  <c r="BU54" i="14" s="1"/>
  <c r="BF51" i="14"/>
  <c r="BT51" i="14"/>
  <c r="BT52" i="14" s="1"/>
  <c r="BT53" i="14" s="1"/>
  <c r="BT54" i="14" s="1"/>
  <c r="BC51" i="14"/>
  <c r="BS51" i="14"/>
  <c r="BS52" i="14" s="1"/>
  <c r="BS53" i="14" s="1"/>
  <c r="BS54" i="14" s="1"/>
  <c r="BB51" i="14"/>
  <c r="BR51" i="14"/>
  <c r="BR52" i="14" s="1"/>
  <c r="BR53" i="14" s="1"/>
  <c r="BR54" i="14" s="1"/>
  <c r="AY51" i="14"/>
  <c r="BP51" i="14"/>
  <c r="BP52" i="14" s="1"/>
  <c r="BP53" i="14" s="1"/>
  <c r="BP54" i="14" s="1"/>
  <c r="AX51" i="14"/>
  <c r="BO51" i="14"/>
  <c r="BO52" i="14" s="1"/>
  <c r="BO53" i="14" s="1"/>
  <c r="BO54" i="14" s="1"/>
  <c r="AW51" i="14"/>
  <c r="BL51" i="14"/>
  <c r="AV51" i="14"/>
  <c r="BK51" i="14"/>
  <c r="AU51" i="14"/>
  <c r="BX51" i="14"/>
  <c r="BX52" i="14" s="1"/>
  <c r="BX53" i="14" s="1"/>
  <c r="BX54" i="14" s="1"/>
  <c r="AS51" i="14"/>
  <c r="AS52" i="14" s="1"/>
  <c r="AS53" i="14" s="1"/>
  <c r="AN49" i="14"/>
  <c r="BJ51" i="14"/>
  <c r="AT51" i="14"/>
  <c r="AT52" i="14" s="1"/>
  <c r="AT53" i="14" s="1"/>
  <c r="BI51" i="14"/>
  <c r="AQ35" i="14"/>
  <c r="N24" i="14"/>
  <c r="AY36" i="14"/>
  <c r="AP37" i="14"/>
  <c r="P47" i="14"/>
  <c r="D26" i="14"/>
  <c r="AQ37" i="14"/>
  <c r="AY39" i="14"/>
  <c r="Y47" i="14"/>
  <c r="AX32" i="14"/>
  <c r="Z47" i="14"/>
  <c r="AQ38" i="14"/>
  <c r="AW38" i="14" s="1"/>
  <c r="AB47" i="14"/>
  <c r="C172" i="14"/>
  <c r="C128" i="14"/>
  <c r="C117" i="14"/>
  <c r="C95" i="14"/>
  <c r="BA37" i="14"/>
  <c r="AO37" i="14" s="1"/>
  <c r="BB37" i="14" s="1"/>
  <c r="BC37" i="14" s="1"/>
  <c r="AW40" i="14"/>
  <c r="AV40" i="14" s="1"/>
  <c r="AZ40" i="14"/>
  <c r="AE47" i="14"/>
  <c r="BA33" i="14"/>
  <c r="AO33" i="14" s="1"/>
  <c r="BB33" i="14" s="1"/>
  <c r="BC33" i="14" s="1"/>
  <c r="C106" i="14" s="1"/>
  <c r="BA35" i="14"/>
  <c r="AO35" i="14" s="1"/>
  <c r="BB35" i="14" s="1"/>
  <c r="BC35" i="14" s="1"/>
  <c r="F62" i="14" s="1"/>
  <c r="BA36" i="14"/>
  <c r="AO36" i="14" s="1"/>
  <c r="BB36" i="14" s="1"/>
  <c r="BC36" i="14" s="1"/>
  <c r="BE45" i="14"/>
  <c r="AG153" i="14"/>
  <c r="AG142" i="14"/>
  <c r="AG120" i="14"/>
  <c r="AG131" i="14"/>
  <c r="AG98" i="14"/>
  <c r="AG87" i="14"/>
  <c r="AG109" i="14"/>
  <c r="AG76" i="14"/>
  <c r="AG54" i="14"/>
  <c r="AG65" i="14"/>
  <c r="Y172" i="14"/>
  <c r="M172" i="14"/>
  <c r="AD170" i="14"/>
  <c r="R170" i="14"/>
  <c r="F170" i="14"/>
  <c r="Y169" i="14"/>
  <c r="M169" i="14"/>
  <c r="AF168" i="14"/>
  <c r="T168" i="14"/>
  <c r="H168" i="14"/>
  <c r="W161" i="14"/>
  <c r="K161" i="14"/>
  <c r="AB159" i="14"/>
  <c r="W158" i="14"/>
  <c r="K158" i="14"/>
  <c r="AD157" i="14"/>
  <c r="X172" i="14"/>
  <c r="L172" i="14"/>
  <c r="AC170" i="14"/>
  <c r="Q170" i="14"/>
  <c r="E170" i="14"/>
  <c r="X169" i="14"/>
  <c r="L169" i="14"/>
  <c r="AE168" i="14"/>
  <c r="S168" i="14"/>
  <c r="G168" i="14"/>
  <c r="V161" i="14"/>
  <c r="J161" i="14"/>
  <c r="AA159" i="14"/>
  <c r="V158" i="14"/>
  <c r="J158" i="14"/>
  <c r="AC157" i="14"/>
  <c r="Q157" i="14"/>
  <c r="E157" i="14"/>
  <c r="AF150" i="14"/>
  <c r="T150" i="14"/>
  <c r="AF147" i="14"/>
  <c r="T147" i="14"/>
  <c r="H147" i="14"/>
  <c r="AA146" i="14"/>
  <c r="O146" i="14"/>
  <c r="AD139" i="14"/>
  <c r="R139" i="14"/>
  <c r="W172" i="14"/>
  <c r="K172" i="14"/>
  <c r="AB170" i="14"/>
  <c r="P170" i="14"/>
  <c r="D170" i="14"/>
  <c r="W169" i="14"/>
  <c r="K169" i="14"/>
  <c r="AD168" i="14"/>
  <c r="R168" i="14"/>
  <c r="F168" i="14"/>
  <c r="AG161" i="14"/>
  <c r="U161" i="14"/>
  <c r="I161" i="14"/>
  <c r="Z159" i="14"/>
  <c r="AG158" i="14"/>
  <c r="U158" i="14"/>
  <c r="I158" i="14"/>
  <c r="AB157" i="14"/>
  <c r="P157" i="14"/>
  <c r="D157" i="14"/>
  <c r="V172" i="14"/>
  <c r="J172" i="14"/>
  <c r="AA170" i="14"/>
  <c r="O170" i="14"/>
  <c r="V169" i="14"/>
  <c r="J169" i="14"/>
  <c r="AC168" i="14"/>
  <c r="Q168" i="14"/>
  <c r="E168" i="14"/>
  <c r="AF161" i="14"/>
  <c r="AG172" i="14"/>
  <c r="U172" i="14"/>
  <c r="I172" i="14"/>
  <c r="Z170" i="14"/>
  <c r="N170" i="14"/>
  <c r="AG169" i="14"/>
  <c r="U169" i="14"/>
  <c r="I169" i="14"/>
  <c r="AB168" i="14"/>
  <c r="P168" i="14"/>
  <c r="D168" i="14"/>
  <c r="AE161" i="14"/>
  <c r="S161" i="14"/>
  <c r="G161" i="14"/>
  <c r="X159" i="14"/>
  <c r="L159" i="14"/>
  <c r="AE158" i="14"/>
  <c r="S158" i="14"/>
  <c r="G158" i="14"/>
  <c r="Z157" i="14"/>
  <c r="N157" i="14"/>
  <c r="AF172" i="14"/>
  <c r="T172" i="14"/>
  <c r="H172" i="14"/>
  <c r="Y170" i="14"/>
  <c r="M170" i="14"/>
  <c r="AF169" i="14"/>
  <c r="T169" i="14"/>
  <c r="H169" i="14"/>
  <c r="AA168" i="14"/>
  <c r="O168" i="14"/>
  <c r="AD161" i="14"/>
  <c r="R161" i="14"/>
  <c r="F161" i="14"/>
  <c r="W159" i="14"/>
  <c r="K159" i="14"/>
  <c r="AE172" i="14"/>
  <c r="S172" i="14"/>
  <c r="G172" i="14"/>
  <c r="X170" i="14"/>
  <c r="L170" i="14"/>
  <c r="AE169" i="14"/>
  <c r="S169" i="14"/>
  <c r="G169" i="14"/>
  <c r="Z168" i="14"/>
  <c r="N168" i="14"/>
  <c r="AC161" i="14"/>
  <c r="Q161" i="14"/>
  <c r="E161" i="14"/>
  <c r="J159" i="14"/>
  <c r="AC158" i="14"/>
  <c r="Q158" i="14"/>
  <c r="E158" i="14"/>
  <c r="X157" i="14"/>
  <c r="AD172" i="14"/>
  <c r="R172" i="14"/>
  <c r="F172" i="14"/>
  <c r="W170" i="14"/>
  <c r="K170" i="14"/>
  <c r="AD169" i="14"/>
  <c r="R169" i="14"/>
  <c r="F169" i="14"/>
  <c r="Y168" i="14"/>
  <c r="M168" i="14"/>
  <c r="AB161" i="14"/>
  <c r="AG159" i="14"/>
  <c r="AC172" i="14"/>
  <c r="Q172" i="14"/>
  <c r="E172" i="14"/>
  <c r="V170" i="14"/>
  <c r="J170" i="14"/>
  <c r="AC169" i="14"/>
  <c r="Q169" i="14"/>
  <c r="E169" i="14"/>
  <c r="X168" i="14"/>
  <c r="L168" i="14"/>
  <c r="AA161" i="14"/>
  <c r="O161" i="14"/>
  <c r="AB172" i="14"/>
  <c r="P172" i="14"/>
  <c r="D172" i="14"/>
  <c r="AG170" i="14"/>
  <c r="U170" i="14"/>
  <c r="I170" i="14"/>
  <c r="AB169" i="14"/>
  <c r="P169" i="14"/>
  <c r="D169" i="14"/>
  <c r="W168" i="14"/>
  <c r="K168" i="14"/>
  <c r="Z161" i="14"/>
  <c r="S159" i="14"/>
  <c r="Z158" i="14"/>
  <c r="N158" i="14"/>
  <c r="AG157" i="14"/>
  <c r="U157" i="14"/>
  <c r="I157" i="14"/>
  <c r="X147" i="14"/>
  <c r="L147" i="14"/>
  <c r="AE146" i="14"/>
  <c r="S146" i="14"/>
  <c r="G146" i="14"/>
  <c r="V139" i="14"/>
  <c r="V136" i="14"/>
  <c r="J136" i="14"/>
  <c r="AC135" i="14"/>
  <c r="AA172" i="14"/>
  <c r="O172" i="14"/>
  <c r="AF170" i="14"/>
  <c r="T170" i="14"/>
  <c r="H170" i="14"/>
  <c r="AA169" i="14"/>
  <c r="O169" i="14"/>
  <c r="V168" i="14"/>
  <c r="J168" i="14"/>
  <c r="Y161" i="14"/>
  <c r="X161" i="14"/>
  <c r="F159" i="14"/>
  <c r="M158" i="14"/>
  <c r="T157" i="14"/>
  <c r="AG147" i="14"/>
  <c r="R147" i="14"/>
  <c r="D147" i="14"/>
  <c r="U146" i="14"/>
  <c r="F146" i="14"/>
  <c r="W139" i="14"/>
  <c r="AB136" i="14"/>
  <c r="O136" i="14"/>
  <c r="AG135" i="14"/>
  <c r="T135" i="14"/>
  <c r="H135" i="14"/>
  <c r="AE170" i="14"/>
  <c r="T161" i="14"/>
  <c r="AF159" i="14"/>
  <c r="E159" i="14"/>
  <c r="L158" i="14"/>
  <c r="S157" i="14"/>
  <c r="AE147" i="14"/>
  <c r="Q147" i="14"/>
  <c r="T146" i="14"/>
  <c r="E146" i="14"/>
  <c r="U139" i="14"/>
  <c r="G139" i="14"/>
  <c r="V137" i="14"/>
  <c r="AA136" i="14"/>
  <c r="N136" i="14"/>
  <c r="AF135" i="14"/>
  <c r="S135" i="14"/>
  <c r="G135" i="14"/>
  <c r="V128" i="14"/>
  <c r="J128" i="14"/>
  <c r="AA126" i="14"/>
  <c r="V125" i="14"/>
  <c r="J125" i="14"/>
  <c r="AC124" i="14"/>
  <c r="Q124" i="14"/>
  <c r="E124" i="14"/>
  <c r="AF117" i="14"/>
  <c r="H117" i="14"/>
  <c r="M115" i="14"/>
  <c r="AF114" i="14"/>
  <c r="T114" i="14"/>
  <c r="H114" i="14"/>
  <c r="AA113" i="14"/>
  <c r="O113" i="14"/>
  <c r="S170" i="14"/>
  <c r="M161" i="14"/>
  <c r="AD159" i="14"/>
  <c r="AF158" i="14"/>
  <c r="H158" i="14"/>
  <c r="R157" i="14"/>
  <c r="AD147" i="14"/>
  <c r="P147" i="14"/>
  <c r="AG146" i="14"/>
  <c r="R146" i="14"/>
  <c r="D146" i="14"/>
  <c r="T139" i="14"/>
  <c r="E139" i="14"/>
  <c r="Z172" i="14"/>
  <c r="G170" i="14"/>
  <c r="L161" i="14"/>
  <c r="AC159" i="14"/>
  <c r="AD158" i="14"/>
  <c r="F158" i="14"/>
  <c r="O157" i="14"/>
  <c r="AC147" i="14"/>
  <c r="O147" i="14"/>
  <c r="AF146" i="14"/>
  <c r="Q146" i="14"/>
  <c r="N172" i="14"/>
  <c r="Z169" i="14"/>
  <c r="H161" i="14"/>
  <c r="Y159" i="14"/>
  <c r="AB158" i="14"/>
  <c r="D158" i="14"/>
  <c r="M157" i="14"/>
  <c r="AB147" i="14"/>
  <c r="N147" i="14"/>
  <c r="AD146" i="14"/>
  <c r="P146" i="14"/>
  <c r="N169" i="14"/>
  <c r="AA158" i="14"/>
  <c r="L157" i="14"/>
  <c r="Y150" i="14"/>
  <c r="J150" i="14"/>
  <c r="J148" i="14"/>
  <c r="AA147" i="14"/>
  <c r="M147" i="14"/>
  <c r="AC146" i="14"/>
  <c r="N146" i="14"/>
  <c r="T159" i="14"/>
  <c r="Y158" i="14"/>
  <c r="AF157" i="14"/>
  <c r="K157" i="14"/>
  <c r="I150" i="14"/>
  <c r="I148" i="14"/>
  <c r="Z147" i="14"/>
  <c r="K147" i="14"/>
  <c r="AB146" i="14"/>
  <c r="M146" i="14"/>
  <c r="AG168" i="14"/>
  <c r="R159" i="14"/>
  <c r="X158" i="14"/>
  <c r="AE157" i="14"/>
  <c r="J157" i="14"/>
  <c r="V150" i="14"/>
  <c r="G150" i="14"/>
  <c r="Y147" i="14"/>
  <c r="J147" i="14"/>
  <c r="Z146" i="14"/>
  <c r="L146" i="14"/>
  <c r="U168" i="14"/>
  <c r="Q159" i="14"/>
  <c r="T158" i="14"/>
  <c r="AA157" i="14"/>
  <c r="H157" i="14"/>
  <c r="W147" i="14"/>
  <c r="I168" i="14"/>
  <c r="M159" i="14"/>
  <c r="R158" i="14"/>
  <c r="Y157" i="14"/>
  <c r="G157" i="14"/>
  <c r="S150" i="14"/>
  <c r="E150" i="14"/>
  <c r="V147" i="14"/>
  <c r="G147" i="14"/>
  <c r="X146" i="14"/>
  <c r="J146" i="14"/>
  <c r="L139" i="14"/>
  <c r="AE136" i="14"/>
  <c r="R136" i="14"/>
  <c r="E136" i="14"/>
  <c r="W135" i="14"/>
  <c r="K135" i="14"/>
  <c r="Z128" i="14"/>
  <c r="N128" i="14"/>
  <c r="G126" i="14"/>
  <c r="Z125" i="14"/>
  <c r="N125" i="14"/>
  <c r="AG124" i="14"/>
  <c r="U124" i="14"/>
  <c r="I124" i="14"/>
  <c r="P158" i="14"/>
  <c r="W157" i="14"/>
  <c r="F157" i="14"/>
  <c r="AG150" i="14"/>
  <c r="AG148" i="14"/>
  <c r="S148" i="14"/>
  <c r="I146" i="14"/>
  <c r="AB139" i="14"/>
  <c r="AF137" i="14"/>
  <c r="AC136" i="14"/>
  <c r="K136" i="14"/>
  <c r="Y135" i="14"/>
  <c r="I135" i="14"/>
  <c r="U128" i="14"/>
  <c r="G128" i="14"/>
  <c r="U126" i="14"/>
  <c r="W125" i="14"/>
  <c r="H125" i="14"/>
  <c r="Y124" i="14"/>
  <c r="K124" i="14"/>
  <c r="L117" i="14"/>
  <c r="AG114" i="14"/>
  <c r="S114" i="14"/>
  <c r="F114" i="14"/>
  <c r="X113" i="14"/>
  <c r="K113" i="14"/>
  <c r="Z106" i="14"/>
  <c r="N106" i="14"/>
  <c r="Z103" i="14"/>
  <c r="N103" i="14"/>
  <c r="AG102" i="14"/>
  <c r="U102" i="14"/>
  <c r="I102" i="14"/>
  <c r="V157" i="14"/>
  <c r="AE150" i="14"/>
  <c r="H146" i="14"/>
  <c r="AE137" i="14"/>
  <c r="Z136" i="14"/>
  <c r="I136" i="14"/>
  <c r="X135" i="14"/>
  <c r="F135" i="14"/>
  <c r="T128" i="14"/>
  <c r="F128" i="14"/>
  <c r="U125" i="14"/>
  <c r="G125" i="14"/>
  <c r="X124" i="14"/>
  <c r="J124" i="14"/>
  <c r="AE114" i="14"/>
  <c r="R114" i="14"/>
  <c r="E114" i="14"/>
  <c r="W113" i="14"/>
  <c r="J113" i="14"/>
  <c r="Y106" i="14"/>
  <c r="M106" i="14"/>
  <c r="Y103" i="14"/>
  <c r="M103" i="14"/>
  <c r="AF102" i="14"/>
  <c r="T102" i="14"/>
  <c r="H102" i="14"/>
  <c r="W95" i="14"/>
  <c r="K95" i="14"/>
  <c r="V92" i="14"/>
  <c r="J92" i="14"/>
  <c r="AC91" i="14"/>
  <c r="Q91" i="14"/>
  <c r="E91" i="14"/>
  <c r="AF84" i="14"/>
  <c r="AE81" i="14"/>
  <c r="S81" i="14"/>
  <c r="G81" i="14"/>
  <c r="Z80" i="14"/>
  <c r="N80" i="14"/>
  <c r="AG71" i="14"/>
  <c r="AB70" i="14"/>
  <c r="P70" i="14"/>
  <c r="D70" i="14"/>
  <c r="W69" i="14"/>
  <c r="K69" i="14"/>
  <c r="AD62" i="14"/>
  <c r="R62" i="14"/>
  <c r="Y59" i="14"/>
  <c r="M59" i="14"/>
  <c r="AF58" i="14"/>
  <c r="T58" i="14"/>
  <c r="H58" i="14"/>
  <c r="U147" i="14"/>
  <c r="Y139" i="14"/>
  <c r="AD137" i="14"/>
  <c r="Y136" i="14"/>
  <c r="H136" i="14"/>
  <c r="V135" i="14"/>
  <c r="E135" i="14"/>
  <c r="AG128" i="14"/>
  <c r="S128" i="14"/>
  <c r="E128" i="14"/>
  <c r="AG126" i="14"/>
  <c r="D126" i="14"/>
  <c r="T125" i="14"/>
  <c r="F125" i="14"/>
  <c r="W124" i="14"/>
  <c r="H124" i="14"/>
  <c r="W117" i="14"/>
  <c r="J117" i="14"/>
  <c r="AD114" i="14"/>
  <c r="Q114" i="14"/>
  <c r="D114" i="14"/>
  <c r="V113" i="14"/>
  <c r="S147" i="14"/>
  <c r="X139" i="14"/>
  <c r="AC137" i="14"/>
  <c r="X136" i="14"/>
  <c r="G136" i="14"/>
  <c r="U135" i="14"/>
  <c r="D135" i="14"/>
  <c r="AF128" i="14"/>
  <c r="R128" i="14"/>
  <c r="D128" i="14"/>
  <c r="AF126" i="14"/>
  <c r="Q126" i="14"/>
  <c r="AG125" i="14"/>
  <c r="S125" i="14"/>
  <c r="E125" i="14"/>
  <c r="V124" i="14"/>
  <c r="G124" i="14"/>
  <c r="V117" i="14"/>
  <c r="I117" i="14"/>
  <c r="AC114" i="14"/>
  <c r="P114" i="14"/>
  <c r="U113" i="14"/>
  <c r="H113" i="14"/>
  <c r="I147" i="14"/>
  <c r="AB137" i="14"/>
  <c r="W136" i="14"/>
  <c r="F136" i="14"/>
  <c r="R135" i="14"/>
  <c r="AE128" i="14"/>
  <c r="Q128" i="14"/>
  <c r="AD126" i="14"/>
  <c r="P126" i="14"/>
  <c r="AF125" i="14"/>
  <c r="R125" i="14"/>
  <c r="D125" i="14"/>
  <c r="T124" i="14"/>
  <c r="F124" i="14"/>
  <c r="AB114" i="14"/>
  <c r="O114" i="14"/>
  <c r="AG113" i="14"/>
  <c r="T113" i="14"/>
  <c r="G113" i="14"/>
  <c r="F147" i="14"/>
  <c r="Q139" i="14"/>
  <c r="U136" i="14"/>
  <c r="D136" i="14"/>
  <c r="Q135" i="14"/>
  <c r="AD128" i="14"/>
  <c r="P128" i="14"/>
  <c r="AE125" i="14"/>
  <c r="Q125" i="14"/>
  <c r="S124" i="14"/>
  <c r="D124" i="14"/>
  <c r="AG117" i="14"/>
  <c r="F117" i="14"/>
  <c r="AA114" i="14"/>
  <c r="N114" i="14"/>
  <c r="AF113" i="14"/>
  <c r="S113" i="14"/>
  <c r="E147" i="14"/>
  <c r="P139" i="14"/>
  <c r="T136" i="14"/>
  <c r="P135" i="14"/>
  <c r="AC128" i="14"/>
  <c r="O128" i="14"/>
  <c r="M126" i="14"/>
  <c r="AD125" i="14"/>
  <c r="P125" i="14"/>
  <c r="AF124" i="14"/>
  <c r="R124" i="14"/>
  <c r="AE117" i="14"/>
  <c r="R117" i="14"/>
  <c r="E117" i="14"/>
  <c r="H115" i="14"/>
  <c r="Z114" i="14"/>
  <c r="M114" i="14"/>
  <c r="AE113" i="14"/>
  <c r="R113" i="14"/>
  <c r="E113" i="14"/>
  <c r="O139" i="14"/>
  <c r="S136" i="14"/>
  <c r="AE135" i="14"/>
  <c r="O135" i="14"/>
  <c r="AB128" i="14"/>
  <c r="M128" i="14"/>
  <c r="Z126" i="14"/>
  <c r="L126" i="14"/>
  <c r="AC125" i="14"/>
  <c r="O125" i="14"/>
  <c r="AE124" i="14"/>
  <c r="P124" i="14"/>
  <c r="Q117" i="14"/>
  <c r="D117" i="14"/>
  <c r="AG115" i="14"/>
  <c r="Y114" i="14"/>
  <c r="L114" i="14"/>
  <c r="AD113" i="14"/>
  <c r="Y146" i="14"/>
  <c r="AG139" i="14"/>
  <c r="N139" i="14"/>
  <c r="Q136" i="14"/>
  <c r="AD135" i="14"/>
  <c r="N135" i="14"/>
  <c r="AA128" i="14"/>
  <c r="L128" i="14"/>
  <c r="AB125" i="14"/>
  <c r="M125" i="14"/>
  <c r="AD124" i="14"/>
  <c r="O124" i="14"/>
  <c r="AC117" i="14"/>
  <c r="P117" i="14"/>
  <c r="AF115" i="14"/>
  <c r="X114" i="14"/>
  <c r="K114" i="14"/>
  <c r="AC113" i="14"/>
  <c r="P113" i="14"/>
  <c r="W146" i="14"/>
  <c r="AF139" i="14"/>
  <c r="M139" i="14"/>
  <c r="AG136" i="14"/>
  <c r="P136" i="14"/>
  <c r="AB135" i="14"/>
  <c r="M135" i="14"/>
  <c r="Y128" i="14"/>
  <c r="K128" i="14"/>
  <c r="AA125" i="14"/>
  <c r="L125" i="14"/>
  <c r="AB124" i="14"/>
  <c r="N124" i="14"/>
  <c r="AB117" i="14"/>
  <c r="O117" i="14"/>
  <c r="AE115" i="14"/>
  <c r="W114" i="14"/>
  <c r="J114" i="14"/>
  <c r="AB113" i="14"/>
  <c r="N113" i="14"/>
  <c r="AC106" i="14"/>
  <c r="Q106" i="14"/>
  <c r="E106" i="14"/>
  <c r="AC103" i="14"/>
  <c r="Q103" i="14"/>
  <c r="E103" i="14"/>
  <c r="X102" i="14"/>
  <c r="L102" i="14"/>
  <c r="AA95" i="14"/>
  <c r="O95" i="14"/>
  <c r="S93" i="14"/>
  <c r="Z92" i="14"/>
  <c r="N92" i="14"/>
  <c r="AG91" i="14"/>
  <c r="U91" i="14"/>
  <c r="I91" i="14"/>
  <c r="W81" i="14"/>
  <c r="K81" i="14"/>
  <c r="AD80" i="14"/>
  <c r="R80" i="14"/>
  <c r="F80" i="14"/>
  <c r="AG73" i="14"/>
  <c r="Y71" i="14"/>
  <c r="AF70" i="14"/>
  <c r="T70" i="14"/>
  <c r="H70" i="14"/>
  <c r="AA69" i="14"/>
  <c r="O69" i="14"/>
  <c r="H159" i="14"/>
  <c r="V146" i="14"/>
  <c r="AE139" i="14"/>
  <c r="AF136" i="14"/>
  <c r="M136" i="14"/>
  <c r="AA135" i="14"/>
  <c r="L135" i="14"/>
  <c r="X128" i="14"/>
  <c r="I128" i="14"/>
  <c r="Y125" i="14"/>
  <c r="K125" i="14"/>
  <c r="AA124" i="14"/>
  <c r="M124" i="14"/>
  <c r="AA117" i="14"/>
  <c r="N117" i="14"/>
  <c r="V114" i="14"/>
  <c r="I114" i="14"/>
  <c r="Z113" i="14"/>
  <c r="M113" i="14"/>
  <c r="W128" i="14"/>
  <c r="I125" i="14"/>
  <c r="F113" i="14"/>
  <c r="W106" i="14"/>
  <c r="H106" i="14"/>
  <c r="AG104" i="14"/>
  <c r="AF103" i="14"/>
  <c r="P103" i="14"/>
  <c r="AD102" i="14"/>
  <c r="O102" i="14"/>
  <c r="AE95" i="14"/>
  <c r="Q95" i="14"/>
  <c r="AC93" i="14"/>
  <c r="N93" i="14"/>
  <c r="AE92" i="14"/>
  <c r="Q92" i="14"/>
  <c r="S91" i="14"/>
  <c r="D91" i="14"/>
  <c r="S84" i="14"/>
  <c r="AG82" i="14"/>
  <c r="U81" i="14"/>
  <c r="F81" i="14"/>
  <c r="W80" i="14"/>
  <c r="I80" i="14"/>
  <c r="X70" i="14"/>
  <c r="J70" i="14"/>
  <c r="Z69" i="14"/>
  <c r="L69" i="14"/>
  <c r="R60" i="14"/>
  <c r="X59" i="14"/>
  <c r="K59" i="14"/>
  <c r="AB58" i="14"/>
  <c r="O58" i="14"/>
  <c r="H128" i="14"/>
  <c r="D113" i="14"/>
  <c r="V106" i="14"/>
  <c r="AF104" i="14"/>
  <c r="AE103" i="14"/>
  <c r="O103" i="14"/>
  <c r="AC102" i="14"/>
  <c r="N102" i="14"/>
  <c r="AD95" i="14"/>
  <c r="P95" i="14"/>
  <c r="AB93" i="14"/>
  <c r="AD92" i="14"/>
  <c r="P92" i="14"/>
  <c r="AF91" i="14"/>
  <c r="R91" i="14"/>
  <c r="AG84" i="14"/>
  <c r="R84" i="14"/>
  <c r="AF82" i="14"/>
  <c r="T81" i="14"/>
  <c r="E81" i="14"/>
  <c r="V80" i="14"/>
  <c r="H80" i="14"/>
  <c r="W70" i="14"/>
  <c r="I70" i="14"/>
  <c r="Y69" i="14"/>
  <c r="J69" i="14"/>
  <c r="V62" i="14"/>
  <c r="W59" i="14"/>
  <c r="J59" i="14"/>
  <c r="AA58" i="14"/>
  <c r="N58" i="14"/>
  <c r="AC48" i="14"/>
  <c r="Q48" i="14"/>
  <c r="E48" i="14"/>
  <c r="AC47" i="14"/>
  <c r="Q47" i="14"/>
  <c r="E47" i="14"/>
  <c r="Z124" i="14"/>
  <c r="U106" i="14"/>
  <c r="F106" i="14"/>
  <c r="AD103" i="14"/>
  <c r="L103" i="14"/>
  <c r="AB102" i="14"/>
  <c r="M102" i="14"/>
  <c r="AC95" i="14"/>
  <c r="N95" i="14"/>
  <c r="AC92" i="14"/>
  <c r="O92" i="14"/>
  <c r="AE91" i="14"/>
  <c r="P91" i="14"/>
  <c r="AE84" i="14"/>
  <c r="Q84" i="14"/>
  <c r="AE82" i="14"/>
  <c r="AG81" i="14"/>
  <c r="R81" i="14"/>
  <c r="D81" i="14"/>
  <c r="U80" i="14"/>
  <c r="G80" i="14"/>
  <c r="G73" i="14"/>
  <c r="V70" i="14"/>
  <c r="G70" i="14"/>
  <c r="X69" i="14"/>
  <c r="I69" i="14"/>
  <c r="H62" i="14"/>
  <c r="L124" i="14"/>
  <c r="T106" i="14"/>
  <c r="AB103" i="14"/>
  <c r="K103" i="14"/>
  <c r="AA102" i="14"/>
  <c r="K102" i="14"/>
  <c r="AB95" i="14"/>
  <c r="M95" i="14"/>
  <c r="AB92" i="14"/>
  <c r="M92" i="14"/>
  <c r="AD91" i="14"/>
  <c r="O91" i="14"/>
  <c r="AD84" i="14"/>
  <c r="P84" i="14"/>
  <c r="AF81" i="14"/>
  <c r="Q81" i="14"/>
  <c r="T80" i="14"/>
  <c r="E80" i="14"/>
  <c r="AF71" i="14"/>
  <c r="U70" i="14"/>
  <c r="F70" i="14"/>
  <c r="V69" i="14"/>
  <c r="H69" i="14"/>
  <c r="AG62" i="14"/>
  <c r="G62" i="14"/>
  <c r="S106" i="14"/>
  <c r="AA103" i="14"/>
  <c r="J103" i="14"/>
  <c r="Z102" i="14"/>
  <c r="J102" i="14"/>
  <c r="Z95" i="14"/>
  <c r="L95" i="14"/>
  <c r="X93" i="14"/>
  <c r="AA92" i="14"/>
  <c r="L92" i="14"/>
  <c r="AB91" i="14"/>
  <c r="N91" i="14"/>
  <c r="AC84" i="14"/>
  <c r="O84" i="14"/>
  <c r="AD81" i="14"/>
  <c r="P81" i="14"/>
  <c r="AG80" i="14"/>
  <c r="S80" i="14"/>
  <c r="D80" i="14"/>
  <c r="AE71" i="14"/>
  <c r="S70" i="14"/>
  <c r="E70" i="14"/>
  <c r="U69" i="14"/>
  <c r="G69" i="14"/>
  <c r="AF62" i="14"/>
  <c r="AG137" i="14"/>
  <c r="Z117" i="14"/>
  <c r="U114" i="14"/>
  <c r="AG106" i="14"/>
  <c r="R106" i="14"/>
  <c r="X103" i="14"/>
  <c r="I103" i="14"/>
  <c r="Y102" i="14"/>
  <c r="G102" i="14"/>
  <c r="Y95" i="14"/>
  <c r="J95" i="14"/>
  <c r="W93" i="14"/>
  <c r="Y92" i="14"/>
  <c r="K92" i="14"/>
  <c r="AA91" i="14"/>
  <c r="M91" i="14"/>
  <c r="AB84" i="14"/>
  <c r="N84" i="14"/>
  <c r="AC81" i="14"/>
  <c r="O81" i="14"/>
  <c r="AF80" i="14"/>
  <c r="Q80" i="14"/>
  <c r="AF73" i="14"/>
  <c r="AG70" i="14"/>
  <c r="R70" i="14"/>
  <c r="T69" i="14"/>
  <c r="F69" i="14"/>
  <c r="M117" i="14"/>
  <c r="G114" i="14"/>
  <c r="AF106" i="14"/>
  <c r="P106" i="14"/>
  <c r="W103" i="14"/>
  <c r="H103" i="14"/>
  <c r="W102" i="14"/>
  <c r="F102" i="14"/>
  <c r="X95" i="14"/>
  <c r="I95" i="14"/>
  <c r="X92" i="14"/>
  <c r="I92" i="14"/>
  <c r="Z91" i="14"/>
  <c r="L91" i="14"/>
  <c r="K82" i="14"/>
  <c r="AB81" i="14"/>
  <c r="N81" i="14"/>
  <c r="AE80" i="14"/>
  <c r="P80" i="14"/>
  <c r="AE73" i="14"/>
  <c r="AE70" i="14"/>
  <c r="Q70" i="14"/>
  <c r="AG69" i="14"/>
  <c r="S69" i="14"/>
  <c r="E69" i="14"/>
  <c r="AD136" i="14"/>
  <c r="AE106" i="14"/>
  <c r="O106" i="14"/>
  <c r="V103" i="14"/>
  <c r="G103" i="14"/>
  <c r="V102" i="14"/>
  <c r="E102" i="14"/>
  <c r="V95" i="14"/>
  <c r="H95" i="14"/>
  <c r="W92" i="14"/>
  <c r="H92" i="14"/>
  <c r="Y91" i="14"/>
  <c r="K91" i="14"/>
  <c r="K84" i="14"/>
  <c r="Y82" i="14"/>
  <c r="AA81" i="14"/>
  <c r="M81" i="14"/>
  <c r="AC80" i="14"/>
  <c r="O80" i="14"/>
  <c r="AD70" i="14"/>
  <c r="O70" i="14"/>
  <c r="AF69" i="14"/>
  <c r="R69" i="14"/>
  <c r="D69" i="14"/>
  <c r="O158" i="14"/>
  <c r="AC139" i="14"/>
  <c r="L136" i="14"/>
  <c r="Y113" i="14"/>
  <c r="AD106" i="14"/>
  <c r="L106" i="14"/>
  <c r="U103" i="14"/>
  <c r="F103" i="14"/>
  <c r="S102" i="14"/>
  <c r="D102" i="14"/>
  <c r="U95" i="14"/>
  <c r="G95" i="14"/>
  <c r="T93" i="14"/>
  <c r="U92" i="14"/>
  <c r="G92" i="14"/>
  <c r="X91" i="14"/>
  <c r="J91" i="14"/>
  <c r="Y84" i="14"/>
  <c r="J84" i="14"/>
  <c r="Z81" i="14"/>
  <c r="L81" i="14"/>
  <c r="AB80" i="14"/>
  <c r="M80" i="14"/>
  <c r="AC70" i="14"/>
  <c r="N70" i="14"/>
  <c r="AE69" i="14"/>
  <c r="Q69" i="14"/>
  <c r="AF148" i="14"/>
  <c r="V126" i="14"/>
  <c r="Q113" i="14"/>
  <c r="AB106" i="14"/>
  <c r="K106" i="14"/>
  <c r="T103" i="14"/>
  <c r="D103" i="14"/>
  <c r="R102" i="14"/>
  <c r="T95" i="14"/>
  <c r="F95" i="14"/>
  <c r="AG93" i="14"/>
  <c r="T92" i="14"/>
  <c r="F92" i="14"/>
  <c r="W91" i="14"/>
  <c r="H91" i="14"/>
  <c r="W84" i="14"/>
  <c r="Y81" i="14"/>
  <c r="J81" i="14"/>
  <c r="AA80" i="14"/>
  <c r="L80" i="14"/>
  <c r="K71" i="14"/>
  <c r="AA70" i="14"/>
  <c r="M70" i="14"/>
  <c r="AD69" i="14"/>
  <c r="P69" i="14"/>
  <c r="M62" i="14"/>
  <c r="AB59" i="14"/>
  <c r="O59" i="14"/>
  <c r="AE58" i="14"/>
  <c r="R58" i="14"/>
  <c r="E58" i="14"/>
  <c r="AG49" i="14"/>
  <c r="AG187" i="14" s="1"/>
  <c r="AG48" i="14"/>
  <c r="U48" i="14"/>
  <c r="I48" i="14"/>
  <c r="AG47" i="14"/>
  <c r="U47" i="14"/>
  <c r="I47" i="14"/>
  <c r="Z135" i="14"/>
  <c r="H126" i="14"/>
  <c r="L113" i="14"/>
  <c r="AA106" i="14"/>
  <c r="J106" i="14"/>
  <c r="S103" i="14"/>
  <c r="Q102" i="14"/>
  <c r="AG95" i="14"/>
  <c r="S95" i="14"/>
  <c r="E95" i="14"/>
  <c r="AF93" i="14"/>
  <c r="AG92" i="14"/>
  <c r="S92" i="14"/>
  <c r="E92" i="14"/>
  <c r="V91" i="14"/>
  <c r="G91" i="14"/>
  <c r="X81" i="14"/>
  <c r="I81" i="14"/>
  <c r="Y80" i="14"/>
  <c r="K80" i="14"/>
  <c r="D95" i="14"/>
  <c r="D92" i="14"/>
  <c r="AC59" i="14"/>
  <c r="I59" i="14"/>
  <c r="S58" i="14"/>
  <c r="AA48" i="14"/>
  <c r="M48" i="14"/>
  <c r="T47" i="14"/>
  <c r="F47" i="14"/>
  <c r="AC69" i="14"/>
  <c r="AG60" i="14"/>
  <c r="AA59" i="14"/>
  <c r="H59" i="14"/>
  <c r="Q58" i="14"/>
  <c r="T51" i="14"/>
  <c r="Z48" i="14"/>
  <c r="L48" i="14"/>
  <c r="S47" i="14"/>
  <c r="D47" i="14"/>
  <c r="T91" i="14"/>
  <c r="AB69" i="14"/>
  <c r="AA62" i="14"/>
  <c r="AF60" i="14"/>
  <c r="Z59" i="14"/>
  <c r="G59" i="14"/>
  <c r="P58" i="14"/>
  <c r="D51" i="14"/>
  <c r="AF49" i="14"/>
  <c r="AF187" i="14" s="1"/>
  <c r="Y48" i="14"/>
  <c r="K48" i="14"/>
  <c r="AF47" i="14"/>
  <c r="R47" i="14"/>
  <c r="F91" i="14"/>
  <c r="N69" i="14"/>
  <c r="V59" i="14"/>
  <c r="F59" i="14"/>
  <c r="AG58" i="14"/>
  <c r="M58" i="14"/>
  <c r="AG51" i="14"/>
  <c r="R51" i="14"/>
  <c r="X48" i="14"/>
  <c r="J48" i="14"/>
  <c r="V81" i="14"/>
  <c r="M69" i="14"/>
  <c r="U59" i="14"/>
  <c r="E59" i="14"/>
  <c r="AD58" i="14"/>
  <c r="L58" i="14"/>
  <c r="AF51" i="14"/>
  <c r="W48" i="14"/>
  <c r="H48" i="14"/>
  <c r="AD47" i="14"/>
  <c r="O47" i="14"/>
  <c r="F84" i="14"/>
  <c r="H81" i="14"/>
  <c r="Q62" i="14"/>
  <c r="T59" i="14"/>
  <c r="D59" i="14"/>
  <c r="AC58" i="14"/>
  <c r="K58" i="14"/>
  <c r="V48" i="14"/>
  <c r="S59" i="14"/>
  <c r="Z58" i="14"/>
  <c r="J58" i="14"/>
  <c r="T48" i="14"/>
  <c r="F48" i="14"/>
  <c r="AA47" i="14"/>
  <c r="M47" i="14"/>
  <c r="AG103" i="14"/>
  <c r="X80" i="14"/>
  <c r="R59" i="14"/>
  <c r="Y58" i="14"/>
  <c r="I58" i="14"/>
  <c r="S48" i="14"/>
  <c r="D48" i="14"/>
  <c r="K146" i="14"/>
  <c r="J135" i="14"/>
  <c r="X125" i="14"/>
  <c r="R103" i="14"/>
  <c r="J80" i="14"/>
  <c r="Z70" i="14"/>
  <c r="AG59" i="14"/>
  <c r="Q59" i="14"/>
  <c r="X58" i="14"/>
  <c r="G58" i="14"/>
  <c r="X106" i="14"/>
  <c r="Y73" i="14"/>
  <c r="Y70" i="14"/>
  <c r="AF59" i="14"/>
  <c r="P59" i="14"/>
  <c r="W58" i="14"/>
  <c r="F58" i="14"/>
  <c r="AE48" i="14"/>
  <c r="P48" i="14"/>
  <c r="X47" i="14"/>
  <c r="J47" i="14"/>
  <c r="P102" i="14"/>
  <c r="R92" i="14"/>
  <c r="AE62" i="14"/>
  <c r="AD59" i="14"/>
  <c r="L59" i="14"/>
  <c r="U58" i="14"/>
  <c r="AB48" i="14"/>
  <c r="G47" i="14"/>
  <c r="I113" i="14"/>
  <c r="I106" i="14"/>
  <c r="AE102" i="14"/>
  <c r="AF95" i="14"/>
  <c r="AF92" i="14"/>
  <c r="K73" i="14"/>
  <c r="L70" i="14"/>
  <c r="AE59" i="14"/>
  <c r="N59" i="14"/>
  <c r="V58" i="14"/>
  <c r="D58" i="14"/>
  <c r="AD48" i="14"/>
  <c r="O48" i="14"/>
  <c r="W47" i="14"/>
  <c r="H47" i="14"/>
  <c r="R95" i="14"/>
  <c r="K70" i="14"/>
  <c r="D62" i="14"/>
  <c r="N48" i="14"/>
  <c r="V47" i="14"/>
  <c r="AW39" i="14"/>
  <c r="AV39" i="14" s="1"/>
  <c r="AZ39" i="14"/>
  <c r="R48" i="14"/>
  <c r="BA34" i="14"/>
  <c r="AO34" i="14" s="1"/>
  <c r="BB34" i="14" s="1"/>
  <c r="BC34" i="14" s="1"/>
  <c r="AC73" i="14" s="1"/>
  <c r="AX47" i="14"/>
  <c r="BA39" i="14"/>
  <c r="AO39" i="14" s="1"/>
  <c r="BB39" i="14" s="1"/>
  <c r="BC39" i="14" s="1"/>
  <c r="AH68" i="14"/>
  <c r="AH83" i="14"/>
  <c r="AH112" i="14"/>
  <c r="AH116" i="14"/>
  <c r="AH79" i="14"/>
  <c r="AH156" i="14"/>
  <c r="AH171" i="14"/>
  <c r="Y50" i="1"/>
  <c r="Z50" i="1"/>
  <c r="AA50" i="1"/>
  <c r="AB50" i="1"/>
  <c r="AC50" i="1"/>
  <c r="AD50" i="1"/>
  <c r="Y56" i="1"/>
  <c r="Z56" i="1"/>
  <c r="AA56" i="1"/>
  <c r="AB56" i="1"/>
  <c r="AC56" i="1"/>
  <c r="AD56" i="1"/>
  <c r="Y57" i="1"/>
  <c r="Z57" i="1"/>
  <c r="AA57" i="1"/>
  <c r="AB57" i="1"/>
  <c r="AC57" i="1"/>
  <c r="AD57" i="1"/>
  <c r="Y61" i="1"/>
  <c r="Z61" i="1"/>
  <c r="AA61" i="1"/>
  <c r="AB61" i="1"/>
  <c r="AC61" i="1"/>
  <c r="AD61" i="1"/>
  <c r="Y67" i="1"/>
  <c r="Z67" i="1"/>
  <c r="AA67" i="1"/>
  <c r="AB67" i="1"/>
  <c r="AC67" i="1"/>
  <c r="AD67" i="1"/>
  <c r="Y68" i="1"/>
  <c r="Z68" i="1"/>
  <c r="AA68" i="1"/>
  <c r="AB68" i="1"/>
  <c r="AC68" i="1"/>
  <c r="AD68" i="1"/>
  <c r="Y72" i="1"/>
  <c r="Z72" i="1"/>
  <c r="AA72" i="1"/>
  <c r="AB72" i="1"/>
  <c r="AC72" i="1"/>
  <c r="AD72" i="1"/>
  <c r="Y78" i="1"/>
  <c r="Z78" i="1"/>
  <c r="AA78" i="1"/>
  <c r="AB78" i="1"/>
  <c r="AC78" i="1"/>
  <c r="AD78" i="1"/>
  <c r="Y79" i="1"/>
  <c r="Z79" i="1"/>
  <c r="AA79" i="1"/>
  <c r="AB79" i="1"/>
  <c r="AC79" i="1"/>
  <c r="AD79" i="1"/>
  <c r="Y83" i="1"/>
  <c r="Z83" i="1"/>
  <c r="AA83" i="1"/>
  <c r="AB83" i="1"/>
  <c r="AC83" i="1"/>
  <c r="AD83" i="1"/>
  <c r="Y89" i="1"/>
  <c r="Z89" i="1"/>
  <c r="AA89" i="1"/>
  <c r="AB89" i="1"/>
  <c r="AC89" i="1"/>
  <c r="AD89" i="1"/>
  <c r="Y90" i="1"/>
  <c r="Z90" i="1"/>
  <c r="AA90" i="1"/>
  <c r="AB90" i="1"/>
  <c r="AC90" i="1"/>
  <c r="AD90" i="1"/>
  <c r="Y94" i="1"/>
  <c r="Z94" i="1"/>
  <c r="AA94" i="1"/>
  <c r="AB94" i="1"/>
  <c r="AC94" i="1"/>
  <c r="AD94" i="1"/>
  <c r="Y100" i="1"/>
  <c r="Z100" i="1"/>
  <c r="AA100" i="1"/>
  <c r="AB100" i="1"/>
  <c r="AC100" i="1"/>
  <c r="AD100" i="1"/>
  <c r="Y101" i="1"/>
  <c r="Z101" i="1"/>
  <c r="AA101" i="1"/>
  <c r="AB101" i="1"/>
  <c r="AC101" i="1"/>
  <c r="AD101" i="1"/>
  <c r="Y105" i="1"/>
  <c r="Z105" i="1"/>
  <c r="AA105" i="1"/>
  <c r="AB105" i="1"/>
  <c r="AC105" i="1"/>
  <c r="AD105" i="1"/>
  <c r="Y111" i="1"/>
  <c r="Z111" i="1"/>
  <c r="AA111" i="1"/>
  <c r="AB111" i="1"/>
  <c r="AC111" i="1"/>
  <c r="AD111" i="1"/>
  <c r="Y112" i="1"/>
  <c r="Z112" i="1"/>
  <c r="AA112" i="1"/>
  <c r="AB112" i="1"/>
  <c r="AC112" i="1"/>
  <c r="AD112" i="1"/>
  <c r="Y116" i="1"/>
  <c r="Z116" i="1"/>
  <c r="AA116" i="1"/>
  <c r="AB116" i="1"/>
  <c r="AC116" i="1"/>
  <c r="AD116" i="1"/>
  <c r="Y122" i="1"/>
  <c r="Z122" i="1"/>
  <c r="AA122" i="1"/>
  <c r="AB122" i="1"/>
  <c r="AC122" i="1"/>
  <c r="AD122" i="1"/>
  <c r="Y123" i="1"/>
  <c r="Z123" i="1"/>
  <c r="AA123" i="1"/>
  <c r="AB123" i="1"/>
  <c r="AC123" i="1"/>
  <c r="AD123" i="1"/>
  <c r="Y127" i="1"/>
  <c r="Z127" i="1"/>
  <c r="AA127" i="1"/>
  <c r="AB127" i="1"/>
  <c r="AC127" i="1"/>
  <c r="AD127" i="1"/>
  <c r="Y133" i="1"/>
  <c r="Z133" i="1"/>
  <c r="AA133" i="1"/>
  <c r="AB133" i="1"/>
  <c r="AC133" i="1"/>
  <c r="AD133" i="1"/>
  <c r="Y134" i="1"/>
  <c r="Z134" i="1"/>
  <c r="AA134" i="1"/>
  <c r="AB134" i="1"/>
  <c r="AC134" i="1"/>
  <c r="AD134" i="1"/>
  <c r="Y138" i="1"/>
  <c r="Z138" i="1"/>
  <c r="AA138" i="1"/>
  <c r="AB138" i="1"/>
  <c r="AC138" i="1"/>
  <c r="AD138" i="1"/>
  <c r="Y144" i="1"/>
  <c r="Z144" i="1"/>
  <c r="AA144" i="1"/>
  <c r="AB144" i="1"/>
  <c r="AC144" i="1"/>
  <c r="AD144" i="1"/>
  <c r="Y145" i="1"/>
  <c r="Z145" i="1"/>
  <c r="AA145" i="1"/>
  <c r="AB145" i="1"/>
  <c r="AC145" i="1"/>
  <c r="AD145" i="1"/>
  <c r="Y149" i="1"/>
  <c r="Z149" i="1"/>
  <c r="AA149" i="1"/>
  <c r="AB149" i="1"/>
  <c r="AC149" i="1"/>
  <c r="AD149" i="1"/>
  <c r="Y155" i="1"/>
  <c r="Z155" i="1"/>
  <c r="AA155" i="1"/>
  <c r="AB155" i="1"/>
  <c r="AC155" i="1"/>
  <c r="AD155" i="1"/>
  <c r="Y156" i="1"/>
  <c r="Z156" i="1"/>
  <c r="AA156" i="1"/>
  <c r="AB156" i="1"/>
  <c r="AC156" i="1"/>
  <c r="AD156" i="1"/>
  <c r="Y160" i="1"/>
  <c r="Z160" i="1"/>
  <c r="AA160" i="1"/>
  <c r="AB160" i="1"/>
  <c r="AC160" i="1"/>
  <c r="AD160" i="1"/>
  <c r="Y166" i="1"/>
  <c r="Z166" i="1"/>
  <c r="AA166" i="1"/>
  <c r="AB166" i="1"/>
  <c r="AC166" i="1"/>
  <c r="AD166" i="1"/>
  <c r="Y167" i="1"/>
  <c r="Z167" i="1"/>
  <c r="AA167" i="1"/>
  <c r="AB167" i="1"/>
  <c r="AC167" i="1"/>
  <c r="AD167" i="1"/>
  <c r="Y171" i="1"/>
  <c r="Z171" i="1"/>
  <c r="AA171" i="1"/>
  <c r="AB171" i="1"/>
  <c r="AC171" i="1"/>
  <c r="AD171" i="1"/>
  <c r="Y177" i="1"/>
  <c r="Z177" i="1"/>
  <c r="AA177" i="1"/>
  <c r="AB177" i="1"/>
  <c r="AC177" i="1"/>
  <c r="AD177" i="1"/>
  <c r="Y178" i="1"/>
  <c r="Z178" i="1"/>
  <c r="AA178" i="1"/>
  <c r="AB178" i="1"/>
  <c r="AC178" i="1"/>
  <c r="AD178" i="1"/>
  <c r="C150" i="16" l="1"/>
  <c r="U150" i="16"/>
  <c r="E139" i="16"/>
  <c r="X150" i="16"/>
  <c r="V150" i="16"/>
  <c r="AE84" i="16"/>
  <c r="T150" i="16"/>
  <c r="S150" i="16"/>
  <c r="F139" i="16"/>
  <c r="AA84" i="16"/>
  <c r="M84" i="16"/>
  <c r="N84" i="16"/>
  <c r="I95" i="17"/>
  <c r="C139" i="17"/>
  <c r="M139" i="17"/>
  <c r="W117" i="17"/>
  <c r="G139" i="17"/>
  <c r="F150" i="17"/>
  <c r="Y139" i="17"/>
  <c r="E150" i="17"/>
  <c r="AF117" i="17"/>
  <c r="P150" i="17"/>
  <c r="AB117" i="17"/>
  <c r="H139" i="17"/>
  <c r="D150" i="17"/>
  <c r="AE139" i="17"/>
  <c r="AD106" i="17"/>
  <c r="J117" i="17"/>
  <c r="AY40" i="20"/>
  <c r="AW40" i="20" s="1"/>
  <c r="AV40" i="20" s="1"/>
  <c r="AX40" i="20"/>
  <c r="H62" i="16"/>
  <c r="H21" i="16" s="1"/>
  <c r="AC150" i="16"/>
  <c r="M117" i="16"/>
  <c r="X84" i="16"/>
  <c r="R84" i="16"/>
  <c r="R21" i="16" s="1"/>
  <c r="G62" i="16"/>
  <c r="J84" i="16"/>
  <c r="C62" i="16"/>
  <c r="S84" i="16"/>
  <c r="F62" i="16"/>
  <c r="U62" i="19"/>
  <c r="C150" i="19"/>
  <c r="AE51" i="19"/>
  <c r="G150" i="19"/>
  <c r="K150" i="19"/>
  <c r="Q150" i="19"/>
  <c r="AG62" i="19"/>
  <c r="AD51" i="19"/>
  <c r="AC62" i="19"/>
  <c r="Z51" i="19"/>
  <c r="L62" i="19"/>
  <c r="F150" i="19"/>
  <c r="F21" i="19" s="1"/>
  <c r="AF62" i="19"/>
  <c r="R62" i="19"/>
  <c r="O62" i="19"/>
  <c r="AB62" i="19"/>
  <c r="Y51" i="19"/>
  <c r="E62" i="19"/>
  <c r="H150" i="19"/>
  <c r="P150" i="19"/>
  <c r="T62" i="19"/>
  <c r="D62" i="19"/>
  <c r="M62" i="19"/>
  <c r="W62" i="19"/>
  <c r="AH62" i="19" s="1"/>
  <c r="AH10" i="19" s="1"/>
  <c r="S51" i="19"/>
  <c r="J62" i="19"/>
  <c r="V62" i="19"/>
  <c r="X51" i="19"/>
  <c r="I62" i="19"/>
  <c r="O161" i="19"/>
  <c r="G139" i="19"/>
  <c r="S139" i="19"/>
  <c r="N161" i="19"/>
  <c r="X139" i="19"/>
  <c r="V84" i="19"/>
  <c r="J161" i="19"/>
  <c r="AD139" i="19"/>
  <c r="P161" i="19"/>
  <c r="AB106" i="19"/>
  <c r="U84" i="19"/>
  <c r="AH84" i="19" s="1"/>
  <c r="AH12" i="19" s="1"/>
  <c r="H139" i="19"/>
  <c r="AE139" i="19"/>
  <c r="Z139" i="19"/>
  <c r="Y139" i="19"/>
  <c r="F139" i="19"/>
  <c r="K139" i="19"/>
  <c r="W139" i="19"/>
  <c r="L139" i="19"/>
  <c r="L21" i="19" s="1"/>
  <c r="T84" i="19"/>
  <c r="L62" i="14"/>
  <c r="U62" i="14"/>
  <c r="X84" i="14"/>
  <c r="K117" i="14"/>
  <c r="T84" i="15"/>
  <c r="D139" i="15"/>
  <c r="U139" i="15"/>
  <c r="U21" i="15" s="1"/>
  <c r="I139" i="15"/>
  <c r="W139" i="15"/>
  <c r="N150" i="15"/>
  <c r="Q139" i="15"/>
  <c r="G150" i="15"/>
  <c r="C139" i="15"/>
  <c r="AD62" i="16"/>
  <c r="U62" i="16"/>
  <c r="C84" i="16"/>
  <c r="Y73" i="17"/>
  <c r="P73" i="17"/>
  <c r="V84" i="18"/>
  <c r="N62" i="19"/>
  <c r="S139" i="18"/>
  <c r="R139" i="18"/>
  <c r="AD139" i="18"/>
  <c r="AD21" i="18" s="1"/>
  <c r="G139" i="18"/>
  <c r="Y84" i="18"/>
  <c r="O139" i="18"/>
  <c r="Q139" i="18"/>
  <c r="Q21" i="18" s="1"/>
  <c r="AC139" i="18"/>
  <c r="M139" i="18"/>
  <c r="Z139" i="18"/>
  <c r="N150" i="18"/>
  <c r="N21" i="18" s="1"/>
  <c r="X84" i="18"/>
  <c r="AA139" i="18"/>
  <c r="AF139" i="18"/>
  <c r="P139" i="18"/>
  <c r="AH139" i="18" s="1"/>
  <c r="AH17" i="18" s="1"/>
  <c r="AB139" i="18"/>
  <c r="K139" i="18"/>
  <c r="F139" i="18"/>
  <c r="W84" i="18"/>
  <c r="W21" i="18" s="1"/>
  <c r="U139" i="18"/>
  <c r="D139" i="18"/>
  <c r="I84" i="18"/>
  <c r="T84" i="18"/>
  <c r="J84" i="18"/>
  <c r="C150" i="18"/>
  <c r="E139" i="18"/>
  <c r="H84" i="18"/>
  <c r="H21" i="18" s="1"/>
  <c r="P62" i="14"/>
  <c r="S51" i="14"/>
  <c r="Z62" i="14"/>
  <c r="AA84" i="14"/>
  <c r="G117" i="14"/>
  <c r="AD84" i="15"/>
  <c r="AE84" i="15"/>
  <c r="AF84" i="15"/>
  <c r="AA139" i="15"/>
  <c r="R139" i="15"/>
  <c r="K139" i="15"/>
  <c r="K21" i="15" s="1"/>
  <c r="Z150" i="15"/>
  <c r="AH150" i="15" s="1"/>
  <c r="AH18" i="15" s="1"/>
  <c r="AZ36" i="15"/>
  <c r="I84" i="16"/>
  <c r="D139" i="16"/>
  <c r="Y117" i="16"/>
  <c r="AB150" i="16"/>
  <c r="R150" i="16"/>
  <c r="O117" i="17"/>
  <c r="K139" i="17"/>
  <c r="L139" i="17"/>
  <c r="L139" i="18"/>
  <c r="AA62" i="19"/>
  <c r="AC106" i="19"/>
  <c r="AH106" i="19" s="1"/>
  <c r="AH14" i="19" s="1"/>
  <c r="R51" i="17"/>
  <c r="C73" i="17"/>
  <c r="AG51" i="17"/>
  <c r="T51" i="17"/>
  <c r="S51" i="17"/>
  <c r="D117" i="17"/>
  <c r="E117" i="17"/>
  <c r="K73" i="17"/>
  <c r="K21" i="17" s="1"/>
  <c r="F117" i="17"/>
  <c r="U73" i="17"/>
  <c r="AA73" i="17"/>
  <c r="N73" i="17"/>
  <c r="M73" i="17"/>
  <c r="AC51" i="17"/>
  <c r="V73" i="17"/>
  <c r="I73" i="17"/>
  <c r="AH73" i="17" s="1"/>
  <c r="AH11" i="17" s="1"/>
  <c r="H73" i="17"/>
  <c r="AE73" i="17"/>
  <c r="Q73" i="17"/>
  <c r="O73" i="17"/>
  <c r="AB51" i="17"/>
  <c r="L73" i="17"/>
  <c r="AP52" i="21"/>
  <c r="AP53" i="21" s="1"/>
  <c r="BR53" i="21"/>
  <c r="BR54" i="21" s="1"/>
  <c r="BR55" i="21" s="1"/>
  <c r="AA150" i="17"/>
  <c r="K150" i="17"/>
  <c r="I62" i="17"/>
  <c r="H84" i="17"/>
  <c r="AF62" i="17"/>
  <c r="D161" i="19"/>
  <c r="G172" i="19"/>
  <c r="AF172" i="19"/>
  <c r="U172" i="19"/>
  <c r="M172" i="19"/>
  <c r="C172" i="19"/>
  <c r="AV32" i="22"/>
  <c r="AU32" i="22" s="1"/>
  <c r="AT32" i="22" s="1"/>
  <c r="AS32" i="22" s="1"/>
  <c r="AF106" i="24"/>
  <c r="Y106" i="24"/>
  <c r="Q139" i="24"/>
  <c r="I128" i="24"/>
  <c r="J150" i="24"/>
  <c r="I62" i="24"/>
  <c r="Y172" i="19"/>
  <c r="AY36" i="23"/>
  <c r="AF73" i="24"/>
  <c r="AB117" i="24"/>
  <c r="Z117" i="24"/>
  <c r="O139" i="24"/>
  <c r="AH139" i="24" s="1"/>
  <c r="AH17" i="24" s="1"/>
  <c r="P139" i="24"/>
  <c r="AD139" i="24"/>
  <c r="W128" i="24"/>
  <c r="C51" i="18"/>
  <c r="C21" i="18" s="1"/>
  <c r="D172" i="19"/>
  <c r="Q172" i="19"/>
  <c r="F172" i="19"/>
  <c r="H172" i="19"/>
  <c r="K172" i="19"/>
  <c r="AQ52" i="21"/>
  <c r="AQ53" i="21" s="1"/>
  <c r="AG73" i="24"/>
  <c r="E106" i="24"/>
  <c r="N139" i="24"/>
  <c r="K117" i="24"/>
  <c r="AZ36" i="22"/>
  <c r="U128" i="16"/>
  <c r="E128" i="16"/>
  <c r="Z128" i="16"/>
  <c r="X128" i="16"/>
  <c r="W128" i="16"/>
  <c r="AD128" i="16"/>
  <c r="H128" i="16"/>
  <c r="Y128" i="16"/>
  <c r="V128" i="16"/>
  <c r="T128" i="16"/>
  <c r="P128" i="16"/>
  <c r="L128" i="16"/>
  <c r="O128" i="16"/>
  <c r="O21" i="16" s="1"/>
  <c r="R128" i="16"/>
  <c r="S128" i="16"/>
  <c r="AF128" i="16"/>
  <c r="AA128" i="16"/>
  <c r="AA21" i="16" s="1"/>
  <c r="AB128" i="16"/>
  <c r="F128" i="16"/>
  <c r="G128" i="16"/>
  <c r="I128" i="16"/>
  <c r="I21" i="16" s="1"/>
  <c r="J128" i="16"/>
  <c r="K128" i="16"/>
  <c r="K21" i="16" s="1"/>
  <c r="M128" i="16"/>
  <c r="N128" i="16"/>
  <c r="BT53" i="23"/>
  <c r="BT54" i="23" s="1"/>
  <c r="AR52" i="23"/>
  <c r="AR53" i="23" s="1"/>
  <c r="BX53" i="23"/>
  <c r="BX54" i="23" s="1"/>
  <c r="AS52" i="23"/>
  <c r="AS53" i="23" s="1"/>
  <c r="AZ47" i="23"/>
  <c r="BS53" i="23"/>
  <c r="BS54" i="23" s="1"/>
  <c r="BO53" i="23"/>
  <c r="BO54" i="23" s="1"/>
  <c r="AN52" i="23"/>
  <c r="AN53" i="23" s="1"/>
  <c r="AT47" i="23" s="1"/>
  <c r="BQ53" i="23"/>
  <c r="BQ54" i="23" s="1"/>
  <c r="AP52" i="23"/>
  <c r="AP53" i="23" s="1"/>
  <c r="BW53" i="23"/>
  <c r="BW54" i="23" s="1"/>
  <c r="AQ52" i="23"/>
  <c r="AQ53" i="23" s="1"/>
  <c r="AX48" i="23"/>
  <c r="AO52" i="23"/>
  <c r="AO53" i="23" s="1"/>
  <c r="BV53" i="23"/>
  <c r="BV54" i="23" s="1"/>
  <c r="BR53" i="23"/>
  <c r="BR54" i="23" s="1"/>
  <c r="BR58" i="23" s="1"/>
  <c r="BR55" i="22"/>
  <c r="BR57" i="22"/>
  <c r="BO53" i="21"/>
  <c r="BO54" i="21" s="1"/>
  <c r="AS52" i="21"/>
  <c r="AS53" i="21" s="1"/>
  <c r="BU53" i="21"/>
  <c r="BU54" i="21" s="1"/>
  <c r="I51" i="14"/>
  <c r="L73" i="14"/>
  <c r="AD73" i="14"/>
  <c r="AC128" i="20"/>
  <c r="AA139" i="20"/>
  <c r="AB150" i="20"/>
  <c r="F51" i="14"/>
  <c r="Z73" i="14"/>
  <c r="X62" i="15"/>
  <c r="G62" i="15"/>
  <c r="C95" i="16"/>
  <c r="T139" i="16"/>
  <c r="AB117" i="16"/>
  <c r="G106" i="16"/>
  <c r="M106" i="16"/>
  <c r="E51" i="16"/>
  <c r="F106" i="16"/>
  <c r="V95" i="16"/>
  <c r="W95" i="16"/>
  <c r="L106" i="16"/>
  <c r="I106" i="16"/>
  <c r="D95" i="16"/>
  <c r="Q106" i="16"/>
  <c r="C62" i="14"/>
  <c r="S62" i="14"/>
  <c r="AB62" i="14"/>
  <c r="N62" i="14"/>
  <c r="C128" i="20"/>
  <c r="C21" i="20" s="1"/>
  <c r="W128" i="20"/>
  <c r="S139" i="20"/>
  <c r="U128" i="20"/>
  <c r="AE128" i="20"/>
  <c r="Y139" i="20"/>
  <c r="O128" i="20"/>
  <c r="AF128" i="20"/>
  <c r="AD128" i="20"/>
  <c r="N128" i="20"/>
  <c r="J128" i="20"/>
  <c r="H128" i="20"/>
  <c r="G128" i="20"/>
  <c r="L128" i="20"/>
  <c r="T139" i="20"/>
  <c r="R139" i="20"/>
  <c r="Q128" i="20"/>
  <c r="F150" i="20"/>
  <c r="P128" i="20"/>
  <c r="M128" i="20"/>
  <c r="AG128" i="20"/>
  <c r="Z139" i="20"/>
  <c r="V128" i="20"/>
  <c r="I84" i="20"/>
  <c r="AH84" i="20" s="1"/>
  <c r="AH12" i="20" s="1"/>
  <c r="U84" i="14"/>
  <c r="AC62" i="14"/>
  <c r="V84" i="14"/>
  <c r="M73" i="14"/>
  <c r="H139" i="14"/>
  <c r="U150" i="14"/>
  <c r="Y117" i="14"/>
  <c r="X117" i="14"/>
  <c r="T84" i="14"/>
  <c r="S117" i="14"/>
  <c r="K139" i="14"/>
  <c r="E84" i="14"/>
  <c r="D84" i="14"/>
  <c r="I84" i="14"/>
  <c r="K128" i="20"/>
  <c r="Y73" i="22"/>
  <c r="V73" i="22"/>
  <c r="V21" i="22" s="1"/>
  <c r="M150" i="22"/>
  <c r="AA150" i="22"/>
  <c r="G150" i="22"/>
  <c r="G21" i="22" s="1"/>
  <c r="AG84" i="22"/>
  <c r="AG21" i="22" s="1"/>
  <c r="AF84" i="22"/>
  <c r="R84" i="22"/>
  <c r="R21" i="22" s="1"/>
  <c r="E84" i="22"/>
  <c r="N84" i="22"/>
  <c r="X84" i="22"/>
  <c r="AE73" i="22"/>
  <c r="H150" i="22"/>
  <c r="F150" i="22"/>
  <c r="I84" i="22"/>
  <c r="AD73" i="22"/>
  <c r="AD21" i="22" s="1"/>
  <c r="S84" i="22"/>
  <c r="S21" i="22" s="1"/>
  <c r="AC84" i="22"/>
  <c r="W84" i="22"/>
  <c r="J84" i="22"/>
  <c r="L150" i="22"/>
  <c r="P150" i="22"/>
  <c r="Z73" i="22"/>
  <c r="AB84" i="22"/>
  <c r="O84" i="22"/>
  <c r="O21" i="22" s="1"/>
  <c r="P150" i="16"/>
  <c r="S51" i="21"/>
  <c r="AF51" i="21"/>
  <c r="AA95" i="22"/>
  <c r="AA21" i="22" s="1"/>
  <c r="P95" i="22"/>
  <c r="Q84" i="22"/>
  <c r="I128" i="22"/>
  <c r="I21" i="22" s="1"/>
  <c r="L106" i="22"/>
  <c r="L21" i="22" s="1"/>
  <c r="U106" i="22"/>
  <c r="K139" i="22"/>
  <c r="K21" i="22" s="1"/>
  <c r="AA128" i="22"/>
  <c r="AC128" i="22"/>
  <c r="P117" i="22"/>
  <c r="AD117" i="22"/>
  <c r="AA139" i="22"/>
  <c r="AC139" i="22"/>
  <c r="AE139" i="22"/>
  <c r="W139" i="22"/>
  <c r="F139" i="22"/>
  <c r="BS56" i="23"/>
  <c r="BS55" i="23"/>
  <c r="C139" i="14"/>
  <c r="L62" i="16"/>
  <c r="F84" i="16"/>
  <c r="T117" i="16"/>
  <c r="T95" i="16"/>
  <c r="AB84" i="16"/>
  <c r="S117" i="16"/>
  <c r="S21" i="16" s="1"/>
  <c r="AE128" i="16"/>
  <c r="O150" i="16"/>
  <c r="W150" i="16"/>
  <c r="Y150" i="16"/>
  <c r="F150" i="16"/>
  <c r="I117" i="17"/>
  <c r="R150" i="17"/>
  <c r="H150" i="17"/>
  <c r="Z150" i="17"/>
  <c r="M150" i="17"/>
  <c r="Q150" i="17"/>
  <c r="U139" i="17"/>
  <c r="W150" i="17"/>
  <c r="X150" i="17"/>
  <c r="P73" i="18"/>
  <c r="M95" i="22"/>
  <c r="AH95" i="22" s="1"/>
  <c r="AH13" i="22" s="1"/>
  <c r="X128" i="22"/>
  <c r="J128" i="22"/>
  <c r="M128" i="22"/>
  <c r="Y139" i="22"/>
  <c r="N95" i="22"/>
  <c r="F106" i="22"/>
  <c r="S128" i="22"/>
  <c r="Z139" i="22"/>
  <c r="Z21" i="22" s="1"/>
  <c r="M139" i="22"/>
  <c r="AB139" i="22"/>
  <c r="G139" i="22"/>
  <c r="D128" i="22"/>
  <c r="AH128" i="22" s="1"/>
  <c r="AH16" i="22" s="1"/>
  <c r="H139" i="22"/>
  <c r="X139" i="22"/>
  <c r="J139" i="22"/>
  <c r="U150" i="22"/>
  <c r="M51" i="22"/>
  <c r="BS58" i="23"/>
  <c r="AV38" i="23"/>
  <c r="S73" i="23"/>
  <c r="K62" i="14"/>
  <c r="J51" i="14"/>
  <c r="AC51" i="14"/>
  <c r="O62" i="14"/>
  <c r="N51" i="14"/>
  <c r="X62" i="14"/>
  <c r="AA73" i="14"/>
  <c r="T62" i="14"/>
  <c r="V73" i="14"/>
  <c r="H73" i="14"/>
  <c r="J62" i="14"/>
  <c r="H84" i="14"/>
  <c r="AB51" i="14"/>
  <c r="Y62" i="14"/>
  <c r="E51" i="14"/>
  <c r="O51" i="14"/>
  <c r="Z84" i="14"/>
  <c r="W51" i="14"/>
  <c r="X51" i="14"/>
  <c r="W62" i="14"/>
  <c r="U73" i="14"/>
  <c r="L84" i="14"/>
  <c r="Q73" i="14"/>
  <c r="D150" i="14"/>
  <c r="C73" i="14"/>
  <c r="G84" i="14"/>
  <c r="P73" i="14"/>
  <c r="M84" i="14"/>
  <c r="E62" i="14"/>
  <c r="I62" i="14"/>
  <c r="R150" i="14"/>
  <c r="AD150" i="14"/>
  <c r="C150" i="14"/>
  <c r="C84" i="14"/>
  <c r="R106" i="24"/>
  <c r="S106" i="24"/>
  <c r="V106" i="24"/>
  <c r="X106" i="24"/>
  <c r="D150" i="24"/>
  <c r="R73" i="14"/>
  <c r="AA139" i="14"/>
  <c r="T117" i="14"/>
  <c r="M128" i="15"/>
  <c r="N128" i="15"/>
  <c r="N21" i="15" s="1"/>
  <c r="S117" i="15"/>
  <c r="S21" i="15" s="1"/>
  <c r="D128" i="15"/>
  <c r="N139" i="16"/>
  <c r="S51" i="18"/>
  <c r="S21" i="18" s="1"/>
  <c r="N106" i="24"/>
  <c r="O128" i="24"/>
  <c r="AF117" i="24"/>
  <c r="E150" i="24"/>
  <c r="S150" i="24"/>
  <c r="Y51" i="14"/>
  <c r="W73" i="14"/>
  <c r="D139" i="14"/>
  <c r="Z139" i="14"/>
  <c r="N161" i="14"/>
  <c r="H128" i="15"/>
  <c r="H21" i="15" s="1"/>
  <c r="I128" i="15"/>
  <c r="I21" i="15" s="1"/>
  <c r="R117" i="15"/>
  <c r="AF106" i="16"/>
  <c r="AE117" i="16"/>
  <c r="AD117" i="16"/>
  <c r="AD21" i="16" s="1"/>
  <c r="X117" i="16"/>
  <c r="Z139" i="16"/>
  <c r="P139" i="16"/>
  <c r="G128" i="24"/>
  <c r="AG117" i="24"/>
  <c r="AA62" i="24"/>
  <c r="Q117" i="15"/>
  <c r="J139" i="16"/>
  <c r="N117" i="17"/>
  <c r="I51" i="17"/>
  <c r="T106" i="24"/>
  <c r="H106" i="24"/>
  <c r="W106" i="24"/>
  <c r="M106" i="24"/>
  <c r="AB106" i="24"/>
  <c r="AE128" i="24"/>
  <c r="D106" i="14"/>
  <c r="G106" i="14"/>
  <c r="L51" i="14"/>
  <c r="U117" i="14"/>
  <c r="Z150" i="14"/>
  <c r="M150" i="14"/>
  <c r="N150" i="14"/>
  <c r="O150" i="14"/>
  <c r="L150" i="14"/>
  <c r="D161" i="14"/>
  <c r="C128" i="15"/>
  <c r="AE150" i="16"/>
  <c r="AF150" i="16"/>
  <c r="M62" i="16"/>
  <c r="J62" i="17"/>
  <c r="P106" i="17"/>
  <c r="AH106" i="17" s="1"/>
  <c r="AH14" i="17" s="1"/>
  <c r="V139" i="17"/>
  <c r="AB139" i="17"/>
  <c r="Z139" i="17"/>
  <c r="C106" i="17"/>
  <c r="W139" i="17"/>
  <c r="O106" i="17"/>
  <c r="AF139" i="17"/>
  <c r="F128" i="17"/>
  <c r="F21" i="17" s="1"/>
  <c r="L84" i="17"/>
  <c r="O62" i="17"/>
  <c r="Z84" i="17"/>
  <c r="V84" i="17"/>
  <c r="W84" i="17"/>
  <c r="R117" i="17"/>
  <c r="AC117" i="17"/>
  <c r="AD117" i="17"/>
  <c r="AE117" i="17"/>
  <c r="I128" i="17"/>
  <c r="AG117" i="17"/>
  <c r="T73" i="14"/>
  <c r="AD117" i="14"/>
  <c r="AA150" i="14"/>
  <c r="AB150" i="14"/>
  <c r="AC150" i="14"/>
  <c r="P150" i="14"/>
  <c r="J139" i="14"/>
  <c r="X150" i="14"/>
  <c r="P161" i="14"/>
  <c r="C161" i="14"/>
  <c r="AB73" i="15"/>
  <c r="N84" i="17"/>
  <c r="D84" i="17"/>
  <c r="U62" i="17"/>
  <c r="D106" i="17"/>
  <c r="U117" i="17"/>
  <c r="H117" i="17"/>
  <c r="Q84" i="17"/>
  <c r="F62" i="15"/>
  <c r="Q150" i="16"/>
  <c r="AC139" i="16"/>
  <c r="G150" i="16"/>
  <c r="AD139" i="16"/>
  <c r="G62" i="17"/>
  <c r="AA84" i="17"/>
  <c r="J95" i="17"/>
  <c r="K95" i="17"/>
  <c r="R84" i="17"/>
  <c r="R21" i="17" s="1"/>
  <c r="AF84" i="17"/>
  <c r="AG62" i="17"/>
  <c r="X117" i="17"/>
  <c r="Y117" i="17"/>
  <c r="Y21" i="17" s="1"/>
  <c r="G128" i="17"/>
  <c r="G21" i="17" s="1"/>
  <c r="T117" i="17"/>
  <c r="Z51" i="14"/>
  <c r="I139" i="14"/>
  <c r="S139" i="14"/>
  <c r="Q150" i="14"/>
  <c r="F150" i="14"/>
  <c r="W150" i="14"/>
  <c r="K150" i="14"/>
  <c r="F139" i="14"/>
  <c r="H150" i="14"/>
  <c r="K62" i="17"/>
  <c r="T62" i="17"/>
  <c r="C84" i="17"/>
  <c r="AD62" i="17"/>
  <c r="X51" i="17"/>
  <c r="X21" i="17" s="1"/>
  <c r="S62" i="17"/>
  <c r="AC62" i="17"/>
  <c r="P62" i="17"/>
  <c r="E62" i="17"/>
  <c r="M84" i="17"/>
  <c r="AB84" i="17"/>
  <c r="AE84" i="17"/>
  <c r="Q95" i="17"/>
  <c r="AA139" i="17"/>
  <c r="M117" i="17"/>
  <c r="L117" i="17"/>
  <c r="E128" i="17"/>
  <c r="S117" i="17"/>
  <c r="S21" i="17" s="1"/>
  <c r="AE51" i="17"/>
  <c r="C73" i="18"/>
  <c r="Q51" i="17"/>
  <c r="W51" i="17"/>
  <c r="AF51" i="17"/>
  <c r="C51" i="17"/>
  <c r="O51" i="18"/>
  <c r="O21" i="18" s="1"/>
  <c r="AF84" i="18"/>
  <c r="AF21" i="18" s="1"/>
  <c r="K161" i="19"/>
  <c r="K21" i="19" s="1"/>
  <c r="T161" i="19"/>
  <c r="AE161" i="19"/>
  <c r="S172" i="19"/>
  <c r="S21" i="19" s="1"/>
  <c r="AC172" i="19"/>
  <c r="L161" i="19"/>
  <c r="X172" i="19"/>
  <c r="AG161" i="19"/>
  <c r="AG21" i="19" s="1"/>
  <c r="H161" i="19"/>
  <c r="R161" i="19"/>
  <c r="R21" i="19" s="1"/>
  <c r="O172" i="19"/>
  <c r="O21" i="19" s="1"/>
  <c r="U161" i="19"/>
  <c r="U21" i="19" s="1"/>
  <c r="G161" i="19"/>
  <c r="F161" i="19"/>
  <c r="Q161" i="19"/>
  <c r="Q21" i="19" s="1"/>
  <c r="AD172" i="19"/>
  <c r="AD21" i="19" s="1"/>
  <c r="AA161" i="19"/>
  <c r="AA21" i="19" s="1"/>
  <c r="N172" i="19"/>
  <c r="Y161" i="19"/>
  <c r="C161" i="19"/>
  <c r="W161" i="19"/>
  <c r="V161" i="19"/>
  <c r="I161" i="19"/>
  <c r="I21" i="19" s="1"/>
  <c r="J172" i="19"/>
  <c r="J21" i="19" s="1"/>
  <c r="AF161" i="19"/>
  <c r="E161" i="19"/>
  <c r="E21" i="19" s="1"/>
  <c r="AB172" i="19"/>
  <c r="P172" i="19"/>
  <c r="P21" i="19" s="1"/>
  <c r="Z161" i="19"/>
  <c r="Z21" i="19" s="1"/>
  <c r="M161" i="19"/>
  <c r="K139" i="20"/>
  <c r="K21" i="20" s="1"/>
  <c r="N106" i="20"/>
  <c r="N21" i="20" s="1"/>
  <c r="AB139" i="20"/>
  <c r="AB21" i="20" s="1"/>
  <c r="D139" i="20"/>
  <c r="AG139" i="20"/>
  <c r="W139" i="20"/>
  <c r="W21" i="20" s="1"/>
  <c r="Q150" i="20"/>
  <c r="S150" i="20"/>
  <c r="G62" i="21"/>
  <c r="C62" i="21"/>
  <c r="J51" i="21"/>
  <c r="E161" i="21"/>
  <c r="D161" i="21"/>
  <c r="K172" i="21"/>
  <c r="K21" i="21" s="1"/>
  <c r="L172" i="21"/>
  <c r="Z62" i="21"/>
  <c r="M51" i="21"/>
  <c r="O62" i="21"/>
  <c r="O21" i="21" s="1"/>
  <c r="AE62" i="21"/>
  <c r="J106" i="20"/>
  <c r="L139" i="20"/>
  <c r="M139" i="20"/>
  <c r="M21" i="20" s="1"/>
  <c r="H150" i="20"/>
  <c r="AD150" i="20"/>
  <c r="AF139" i="20"/>
  <c r="T150" i="20"/>
  <c r="T21" i="20" s="1"/>
  <c r="AC150" i="20"/>
  <c r="E139" i="20"/>
  <c r="AE150" i="20"/>
  <c r="AC62" i="21"/>
  <c r="AD62" i="21"/>
  <c r="AA51" i="21"/>
  <c r="Q62" i="21"/>
  <c r="V150" i="20"/>
  <c r="V21" i="20" s="1"/>
  <c r="O106" i="20"/>
  <c r="O21" i="20" s="1"/>
  <c r="Z150" i="20"/>
  <c r="R150" i="20"/>
  <c r="Y150" i="20"/>
  <c r="Y21" i="20" s="1"/>
  <c r="I95" i="20"/>
  <c r="X139" i="20"/>
  <c r="AA150" i="20"/>
  <c r="AA21" i="20" s="1"/>
  <c r="F139" i="20"/>
  <c r="F21" i="20" s="1"/>
  <c r="P150" i="20"/>
  <c r="P21" i="20" s="1"/>
  <c r="U139" i="20"/>
  <c r="G150" i="20"/>
  <c r="AC172" i="21"/>
  <c r="M150" i="21"/>
  <c r="D150" i="21"/>
  <c r="T139" i="21"/>
  <c r="H150" i="21"/>
  <c r="H21" i="21" s="1"/>
  <c r="Q106" i="21"/>
  <c r="R117" i="21"/>
  <c r="S172" i="21"/>
  <c r="S21" i="21" s="1"/>
  <c r="N161" i="21"/>
  <c r="AH161" i="21" s="1"/>
  <c r="AH19" i="21" s="1"/>
  <c r="E150" i="21"/>
  <c r="V139" i="21"/>
  <c r="AE139" i="21"/>
  <c r="Z106" i="21"/>
  <c r="G95" i="21"/>
  <c r="K150" i="21"/>
  <c r="AA139" i="21"/>
  <c r="AA21" i="21" s="1"/>
  <c r="L150" i="21"/>
  <c r="I150" i="21"/>
  <c r="AD139" i="21"/>
  <c r="Y95" i="21"/>
  <c r="C150" i="21"/>
  <c r="AH150" i="21" s="1"/>
  <c r="AH18" i="21" s="1"/>
  <c r="F150" i="21"/>
  <c r="O172" i="21"/>
  <c r="AB139" i="21"/>
  <c r="X139" i="21"/>
  <c r="X21" i="21" s="1"/>
  <c r="W139" i="21"/>
  <c r="W21" i="21" s="1"/>
  <c r="U139" i="21"/>
  <c r="J150" i="21"/>
  <c r="AF117" i="21"/>
  <c r="AH117" i="21" s="1"/>
  <c r="AH15" i="21" s="1"/>
  <c r="I51" i="21"/>
  <c r="I21" i="21" s="1"/>
  <c r="E51" i="22"/>
  <c r="M73" i="23"/>
  <c r="C150" i="22"/>
  <c r="R62" i="23"/>
  <c r="C73" i="23"/>
  <c r="U150" i="23"/>
  <c r="H73" i="23"/>
  <c r="H21" i="23" s="1"/>
  <c r="W73" i="23"/>
  <c r="X150" i="23"/>
  <c r="AC150" i="23"/>
  <c r="Z150" i="23"/>
  <c r="Z21" i="23" s="1"/>
  <c r="L106" i="23"/>
  <c r="J106" i="23"/>
  <c r="AF73" i="23"/>
  <c r="K106" i="23"/>
  <c r="D73" i="23"/>
  <c r="T150" i="23"/>
  <c r="Y150" i="23"/>
  <c r="N84" i="23"/>
  <c r="I73" i="23"/>
  <c r="Q73" i="23"/>
  <c r="AE73" i="23"/>
  <c r="T62" i="23"/>
  <c r="AD150" i="23"/>
  <c r="AA73" i="23"/>
  <c r="V73" i="23"/>
  <c r="E73" i="23"/>
  <c r="Y84" i="23"/>
  <c r="U139" i="23"/>
  <c r="X139" i="23"/>
  <c r="G139" i="23"/>
  <c r="T106" i="23"/>
  <c r="C139" i="23"/>
  <c r="I139" i="23"/>
  <c r="E139" i="23"/>
  <c r="AF139" i="23"/>
  <c r="AE139" i="23"/>
  <c r="O139" i="23"/>
  <c r="S150" i="23"/>
  <c r="AH150" i="23" s="1"/>
  <c r="AH18" i="23" s="1"/>
  <c r="V95" i="23"/>
  <c r="R150" i="23"/>
  <c r="AA95" i="23"/>
  <c r="F106" i="23"/>
  <c r="AC139" i="23"/>
  <c r="AD139" i="23"/>
  <c r="Z139" i="23"/>
  <c r="Y139" i="23"/>
  <c r="D139" i="23"/>
  <c r="Q139" i="23"/>
  <c r="P139" i="23"/>
  <c r="N106" i="23"/>
  <c r="H106" i="23"/>
  <c r="M95" i="23"/>
  <c r="AB106" i="23"/>
  <c r="Q106" i="24"/>
  <c r="AB95" i="24"/>
  <c r="AG128" i="24"/>
  <c r="Y161" i="24"/>
  <c r="U161" i="24"/>
  <c r="Z62" i="24"/>
  <c r="AA95" i="24"/>
  <c r="Z106" i="24"/>
  <c r="AD117" i="24"/>
  <c r="P106" i="24"/>
  <c r="AE117" i="24"/>
  <c r="Q117" i="24"/>
  <c r="AC139" i="24"/>
  <c r="H128" i="24"/>
  <c r="X161" i="24"/>
  <c r="T161" i="24"/>
  <c r="C161" i="24"/>
  <c r="F62" i="24"/>
  <c r="O106" i="24"/>
  <c r="AC106" i="24"/>
  <c r="V95" i="24"/>
  <c r="L106" i="24"/>
  <c r="R128" i="24"/>
  <c r="S128" i="24"/>
  <c r="AB161" i="24"/>
  <c r="K62" i="24"/>
  <c r="C117" i="24"/>
  <c r="N128" i="24"/>
  <c r="AF128" i="24"/>
  <c r="I161" i="24"/>
  <c r="J161" i="24"/>
  <c r="W161" i="24"/>
  <c r="T62" i="24"/>
  <c r="L84" i="23"/>
  <c r="L21" i="23" s="1"/>
  <c r="Z84" i="23"/>
  <c r="P84" i="23"/>
  <c r="P21" i="23" s="1"/>
  <c r="AD84" i="23"/>
  <c r="C62" i="23"/>
  <c r="V51" i="23"/>
  <c r="W51" i="23"/>
  <c r="AB62" i="23"/>
  <c r="AB21" i="23" s="1"/>
  <c r="J84" i="23"/>
  <c r="K84" i="23"/>
  <c r="U84" i="23"/>
  <c r="U21" i="23" s="1"/>
  <c r="S62" i="23"/>
  <c r="S21" i="23" s="1"/>
  <c r="T84" i="23"/>
  <c r="X84" i="23"/>
  <c r="M62" i="23"/>
  <c r="M21" i="23" s="1"/>
  <c r="O84" i="23"/>
  <c r="O21" i="23" s="1"/>
  <c r="AA62" i="23"/>
  <c r="N62" i="23"/>
  <c r="Q62" i="23"/>
  <c r="Q21" i="23" s="1"/>
  <c r="D62" i="23"/>
  <c r="AC84" i="23"/>
  <c r="F84" i="23"/>
  <c r="G84" i="23"/>
  <c r="AE62" i="23"/>
  <c r="AE21" i="23" s="1"/>
  <c r="AA51" i="14"/>
  <c r="N73" i="14"/>
  <c r="D73" i="14"/>
  <c r="X73" i="14"/>
  <c r="M51" i="14"/>
  <c r="P51" i="14"/>
  <c r="U51" i="14"/>
  <c r="H51" i="14"/>
  <c r="AD51" i="14"/>
  <c r="AE51" i="14"/>
  <c r="AE21" i="14" s="1"/>
  <c r="Q51" i="14"/>
  <c r="AB73" i="14"/>
  <c r="O73" i="14"/>
  <c r="S73" i="14"/>
  <c r="F73" i="14"/>
  <c r="K51" i="14"/>
  <c r="E73" i="14"/>
  <c r="C51" i="14"/>
  <c r="I73" i="14"/>
  <c r="V51" i="14"/>
  <c r="G51" i="14"/>
  <c r="J73" i="14"/>
  <c r="AX36" i="22"/>
  <c r="AX34" i="20"/>
  <c r="AV34" i="20" s="1"/>
  <c r="AV32" i="20"/>
  <c r="AU32" i="20" s="1"/>
  <c r="AT32" i="20" s="1"/>
  <c r="AS32" i="20" s="1"/>
  <c r="AW35" i="17"/>
  <c r="AV35" i="17" s="1"/>
  <c r="AV36" i="15"/>
  <c r="AW34" i="15"/>
  <c r="AV32" i="15"/>
  <c r="AU32" i="15" s="1"/>
  <c r="AT32" i="15" s="1"/>
  <c r="AS32" i="15" s="1"/>
  <c r="Y62" i="21"/>
  <c r="E62" i="21"/>
  <c r="P62" i="21"/>
  <c r="P21" i="21" s="1"/>
  <c r="AB51" i="21"/>
  <c r="T62" i="21"/>
  <c r="J62" i="21"/>
  <c r="AC51" i="21"/>
  <c r="AC21" i="21" s="1"/>
  <c r="Z51" i="21"/>
  <c r="AT52" i="21"/>
  <c r="AT53" i="21" s="1"/>
  <c r="AZ47" i="21"/>
  <c r="BW53" i="21"/>
  <c r="BW54" i="21" s="1"/>
  <c r="BW56" i="21" s="1"/>
  <c r="AR52" i="21"/>
  <c r="AR53" i="21" s="1"/>
  <c r="AN52" i="21"/>
  <c r="AN53" i="21" s="1"/>
  <c r="BV53" i="21"/>
  <c r="BV54" i="21" s="1"/>
  <c r="BV56" i="21" s="1"/>
  <c r="BP53" i="21"/>
  <c r="BP54" i="21" s="1"/>
  <c r="AX48" i="21"/>
  <c r="AO52" i="21"/>
  <c r="AO53" i="21" s="1"/>
  <c r="BQ53" i="21"/>
  <c r="BQ54" i="21" s="1"/>
  <c r="BX53" i="21"/>
  <c r="BX54" i="21" s="1"/>
  <c r="BX55" i="21" s="1"/>
  <c r="BT53" i="21"/>
  <c r="BT54" i="21" s="1"/>
  <c r="BT57" i="21" s="1"/>
  <c r="BS53" i="21"/>
  <c r="BS54" i="21" s="1"/>
  <c r="BS55" i="21" s="1"/>
  <c r="AX47" i="21"/>
  <c r="AV32" i="19"/>
  <c r="AU32" i="19" s="1"/>
  <c r="AT32" i="19" s="1"/>
  <c r="AS32" i="19" s="1"/>
  <c r="AV32" i="14"/>
  <c r="AU32" i="14" s="1"/>
  <c r="AT32" i="14" s="1"/>
  <c r="AS32" i="14" s="1"/>
  <c r="E128" i="24"/>
  <c r="F128" i="24"/>
  <c r="L128" i="24"/>
  <c r="H62" i="24"/>
  <c r="G95" i="24"/>
  <c r="AA128" i="24"/>
  <c r="AA21" i="24" s="1"/>
  <c r="N117" i="24"/>
  <c r="U128" i="24"/>
  <c r="K128" i="24"/>
  <c r="S95" i="24"/>
  <c r="T95" i="24"/>
  <c r="H95" i="24"/>
  <c r="J106" i="24"/>
  <c r="J21" i="24" s="1"/>
  <c r="X117" i="24"/>
  <c r="X21" i="24" s="1"/>
  <c r="AB128" i="24"/>
  <c r="AE106" i="24"/>
  <c r="C62" i="24"/>
  <c r="Q128" i="24"/>
  <c r="V128" i="24"/>
  <c r="Y128" i="24"/>
  <c r="R95" i="24"/>
  <c r="Z128" i="24"/>
  <c r="AF95" i="24"/>
  <c r="AF21" i="24" s="1"/>
  <c r="AG95" i="24"/>
  <c r="D128" i="24"/>
  <c r="AC128" i="24"/>
  <c r="AD128" i="24"/>
  <c r="AD21" i="24" s="1"/>
  <c r="U62" i="24"/>
  <c r="Q62" i="24"/>
  <c r="O117" i="24"/>
  <c r="I106" i="24"/>
  <c r="P128" i="24"/>
  <c r="W117" i="24"/>
  <c r="C128" i="24"/>
  <c r="AV32" i="24"/>
  <c r="AU32" i="24" s="1"/>
  <c r="AT32" i="24" s="1"/>
  <c r="AS32" i="24" s="1"/>
  <c r="AW36" i="14"/>
  <c r="AV36" i="14" s="1"/>
  <c r="AU36" i="14" s="1"/>
  <c r="AT36" i="14" s="1"/>
  <c r="AS36" i="14" s="1"/>
  <c r="AX34" i="14"/>
  <c r="AV34" i="14" s="1"/>
  <c r="AU34" i="14" s="1"/>
  <c r="AT34" i="14" s="1"/>
  <c r="AS34" i="14" s="1"/>
  <c r="AZ36" i="14"/>
  <c r="AZ34" i="14"/>
  <c r="BX53" i="15"/>
  <c r="BX54" i="15" s="1"/>
  <c r="AO52" i="15"/>
  <c r="AO53" i="15" s="1"/>
  <c r="AP52" i="15"/>
  <c r="AP53" i="15" s="1"/>
  <c r="AS52" i="15"/>
  <c r="AS53" i="15" s="1"/>
  <c r="BS53" i="15"/>
  <c r="BS54" i="15" s="1"/>
  <c r="AX34" i="17"/>
  <c r="AV34" i="17" s="1"/>
  <c r="AU34" i="17" s="1"/>
  <c r="AT34" i="17" s="1"/>
  <c r="AS34" i="17" s="1"/>
  <c r="AY37" i="18"/>
  <c r="AX40" i="23"/>
  <c r="AY35" i="24"/>
  <c r="AW35" i="24" s="1"/>
  <c r="AV35" i="24" s="1"/>
  <c r="AU35" i="24" s="1"/>
  <c r="AT35" i="24" s="1"/>
  <c r="AS35" i="24" s="1"/>
  <c r="AY34" i="17"/>
  <c r="BU53" i="15"/>
  <c r="BU54" i="15" s="1"/>
  <c r="BU55" i="15" s="1"/>
  <c r="BW53" i="15"/>
  <c r="BW54" i="15" s="1"/>
  <c r="BW56" i="15" s="1"/>
  <c r="BR53" i="15"/>
  <c r="BR54" i="15" s="1"/>
  <c r="BR56" i="15" s="1"/>
  <c r="AR52" i="15"/>
  <c r="AR53" i="15" s="1"/>
  <c r="AX48" i="15"/>
  <c r="AX47" i="15"/>
  <c r="BQ58" i="15" s="1"/>
  <c r="AX37" i="18"/>
  <c r="AW35" i="19"/>
  <c r="AZ35" i="24"/>
  <c r="AZ34" i="17"/>
  <c r="BT53" i="15"/>
  <c r="BT54" i="15" s="1"/>
  <c r="BT55" i="15" s="1"/>
  <c r="AY34" i="14"/>
  <c r="AJ105" i="15"/>
  <c r="AT52" i="15"/>
  <c r="AT53" i="15" s="1"/>
  <c r="BV53" i="15"/>
  <c r="BV54" i="15" s="1"/>
  <c r="BV56" i="15" s="1"/>
  <c r="BP53" i="15"/>
  <c r="BP54" i="15" s="1"/>
  <c r="BQ53" i="15"/>
  <c r="BQ54" i="15" s="1"/>
  <c r="BQ57" i="15" s="1"/>
  <c r="AN52" i="15"/>
  <c r="AN53" i="15" s="1"/>
  <c r="AT47" i="15" s="1"/>
  <c r="BO53" i="15"/>
  <c r="BO54" i="15" s="1"/>
  <c r="BO56" i="15" s="1"/>
  <c r="AZ37" i="18"/>
  <c r="BP55" i="18"/>
  <c r="BP57" i="18"/>
  <c r="BP58" i="18"/>
  <c r="BP56" i="18"/>
  <c r="BW56" i="20"/>
  <c r="AY33" i="17"/>
  <c r="AW33" i="17" s="1"/>
  <c r="AV33" i="17" s="1"/>
  <c r="AU33" i="17" s="1"/>
  <c r="AT33" i="17" s="1"/>
  <c r="AS33" i="17" s="1"/>
  <c r="AX33" i="17"/>
  <c r="AJ160" i="16"/>
  <c r="AJ149" i="14"/>
  <c r="AJ116" i="24"/>
  <c r="AZ33" i="24"/>
  <c r="AW33" i="24"/>
  <c r="AX33" i="24"/>
  <c r="AX37" i="17"/>
  <c r="AW34" i="18"/>
  <c r="AY39" i="19"/>
  <c r="AY35" i="22"/>
  <c r="AZ37" i="17"/>
  <c r="BT58" i="20"/>
  <c r="AW37" i="17"/>
  <c r="AV37" i="17" s="1"/>
  <c r="AJ116" i="20"/>
  <c r="BW55" i="20"/>
  <c r="AJ160" i="14"/>
  <c r="AY34" i="18"/>
  <c r="AJ160" i="22"/>
  <c r="AJ149" i="24"/>
  <c r="AJ127" i="17"/>
  <c r="AV38" i="17"/>
  <c r="AW34" i="19"/>
  <c r="AY34" i="16"/>
  <c r="AZ40" i="20"/>
  <c r="AX34" i="18"/>
  <c r="AJ116" i="14"/>
  <c r="AV39" i="17"/>
  <c r="AU39" i="17" s="1"/>
  <c r="AT39" i="17" s="1"/>
  <c r="AS39" i="17" s="1"/>
  <c r="AX38" i="24"/>
  <c r="BW58" i="20"/>
  <c r="AV35" i="22"/>
  <c r="AU35" i="22" s="1"/>
  <c r="AT35" i="22" s="1"/>
  <c r="AS35" i="22" s="1"/>
  <c r="AJ160" i="24"/>
  <c r="AZ35" i="22"/>
  <c r="AJ105" i="24"/>
  <c r="BS58" i="17"/>
  <c r="BP58" i="17"/>
  <c r="BQ58" i="22"/>
  <c r="BW55" i="16"/>
  <c r="BW58" i="16"/>
  <c r="BW57" i="16"/>
  <c r="AJ105" i="16"/>
  <c r="AV38" i="16"/>
  <c r="AU38" i="16" s="1"/>
  <c r="AT38" i="16" s="1"/>
  <c r="AS38" i="16" s="1"/>
  <c r="AX37" i="21"/>
  <c r="AY37" i="21"/>
  <c r="AZ37" i="21"/>
  <c r="AW37" i="21"/>
  <c r="AZ38" i="24"/>
  <c r="AW38" i="24"/>
  <c r="AZ37" i="15"/>
  <c r="AX37" i="15"/>
  <c r="AY37" i="15"/>
  <c r="AY36" i="22"/>
  <c r="AW36" i="22" s="1"/>
  <c r="AV36" i="22" s="1"/>
  <c r="AU36" i="22" s="1"/>
  <c r="AT36" i="22" s="1"/>
  <c r="AS36" i="22" s="1"/>
  <c r="AX35" i="22"/>
  <c r="AF21" i="14"/>
  <c r="AA21" i="18"/>
  <c r="AG21" i="14"/>
  <c r="T21" i="15"/>
  <c r="V21" i="21"/>
  <c r="J21" i="23"/>
  <c r="N21" i="21"/>
  <c r="AU33" i="20"/>
  <c r="AT33" i="20" s="1"/>
  <c r="AS33" i="20" s="1"/>
  <c r="AN33" i="20" s="1"/>
  <c r="BD33" i="20" s="1"/>
  <c r="AE21" i="18"/>
  <c r="U21" i="18"/>
  <c r="T21" i="18"/>
  <c r="W21" i="22"/>
  <c r="K21" i="18"/>
  <c r="G21" i="18"/>
  <c r="E21" i="18"/>
  <c r="AG21" i="18"/>
  <c r="L21" i="20"/>
  <c r="X21" i="22"/>
  <c r="X21" i="20"/>
  <c r="AB21" i="18"/>
  <c r="AC21" i="18"/>
  <c r="L21" i="18"/>
  <c r="T21" i="19"/>
  <c r="Z21" i="20"/>
  <c r="D21" i="20"/>
  <c r="Z21" i="16"/>
  <c r="X21" i="18"/>
  <c r="E21" i="20"/>
  <c r="AB21" i="22"/>
  <c r="D21" i="18"/>
  <c r="R21" i="21"/>
  <c r="J21" i="18"/>
  <c r="M21" i="18"/>
  <c r="AE21" i="19"/>
  <c r="G21" i="21"/>
  <c r="AF21" i="22"/>
  <c r="M21" i="24"/>
  <c r="Y21" i="18"/>
  <c r="R21" i="18"/>
  <c r="J21" i="20"/>
  <c r="F21" i="21"/>
  <c r="Q21" i="22"/>
  <c r="T21" i="22"/>
  <c r="AG21" i="23"/>
  <c r="V21" i="18"/>
  <c r="N21" i="19"/>
  <c r="D21" i="19"/>
  <c r="T21" i="21"/>
  <c r="U21" i="21"/>
  <c r="V21" i="15"/>
  <c r="O21" i="17"/>
  <c r="Z21" i="18"/>
  <c r="M21" i="19"/>
  <c r="AG21" i="21"/>
  <c r="P21" i="15"/>
  <c r="AG21" i="16"/>
  <c r="F21" i="18"/>
  <c r="I21" i="18"/>
  <c r="V21" i="19"/>
  <c r="AF21" i="21"/>
  <c r="AJ127" i="24"/>
  <c r="AJ138" i="24"/>
  <c r="AJ149" i="23"/>
  <c r="AJ116" i="22"/>
  <c r="AJ138" i="22"/>
  <c r="AJ127" i="20"/>
  <c r="BS57" i="17"/>
  <c r="BS55" i="17"/>
  <c r="AT47" i="17"/>
  <c r="BS56" i="17"/>
  <c r="BT56" i="20"/>
  <c r="AT47" i="18"/>
  <c r="BP56" i="17"/>
  <c r="AT48" i="16"/>
  <c r="AV47" i="16" s="1"/>
  <c r="C7" i="16" s="1"/>
  <c r="Q21" i="15"/>
  <c r="O21" i="15"/>
  <c r="AC21" i="15"/>
  <c r="AJ138" i="15"/>
  <c r="D21" i="15"/>
  <c r="AD21" i="15"/>
  <c r="W21" i="15"/>
  <c r="L21" i="15"/>
  <c r="AG21" i="15"/>
  <c r="AB21" i="15"/>
  <c r="M21" i="15"/>
  <c r="AE21" i="15"/>
  <c r="F21" i="15"/>
  <c r="AA21" i="15"/>
  <c r="G21" i="15"/>
  <c r="E21" i="15"/>
  <c r="Y21" i="15"/>
  <c r="J21" i="15"/>
  <c r="X21" i="15"/>
  <c r="AT47" i="24"/>
  <c r="AU40" i="24"/>
  <c r="AT40" i="24" s="1"/>
  <c r="AS40" i="24" s="1"/>
  <c r="BX55" i="24"/>
  <c r="BX58" i="24"/>
  <c r="BX57" i="24"/>
  <c r="BX56" i="24"/>
  <c r="BO57" i="24"/>
  <c r="BO55" i="24"/>
  <c r="BO58" i="24"/>
  <c r="BO56" i="24"/>
  <c r="AH84" i="24"/>
  <c r="AH12" i="24" s="1"/>
  <c r="BU57" i="24"/>
  <c r="BU58" i="24"/>
  <c r="BU56" i="24"/>
  <c r="BU55" i="24"/>
  <c r="AU39" i="24"/>
  <c r="AT39" i="24" s="1"/>
  <c r="AS39" i="24" s="1"/>
  <c r="BT57" i="24"/>
  <c r="BT58" i="24"/>
  <c r="BT56" i="24"/>
  <c r="BT55" i="24"/>
  <c r="BR58" i="24"/>
  <c r="BR55" i="24"/>
  <c r="BR57" i="24"/>
  <c r="BR56" i="24"/>
  <c r="AV38" i="24"/>
  <c r="BW56" i="24"/>
  <c r="BW57" i="24"/>
  <c r="BW58" i="24"/>
  <c r="BW55" i="24"/>
  <c r="BS55" i="24"/>
  <c r="BS57" i="24"/>
  <c r="BS58" i="24"/>
  <c r="BS56" i="24"/>
  <c r="BP56" i="24"/>
  <c r="BP55" i="24"/>
  <c r="BP57" i="24"/>
  <c r="BP58" i="24"/>
  <c r="BQ56" i="24"/>
  <c r="BQ55" i="24"/>
  <c r="BQ57" i="24"/>
  <c r="BQ58" i="24"/>
  <c r="AY37" i="24"/>
  <c r="AX37" i="24"/>
  <c r="AU34" i="24"/>
  <c r="AT34" i="24" s="1"/>
  <c r="AS34" i="24" s="1"/>
  <c r="AJ171" i="24"/>
  <c r="AT48" i="24"/>
  <c r="AH51" i="24"/>
  <c r="AH172" i="24"/>
  <c r="AH20" i="24" s="1"/>
  <c r="BV57" i="24"/>
  <c r="BV55" i="24"/>
  <c r="BV58" i="24"/>
  <c r="BV56" i="24"/>
  <c r="AU36" i="24"/>
  <c r="AT36" i="24" s="1"/>
  <c r="AS36" i="24" s="1"/>
  <c r="AH73" i="24"/>
  <c r="AH11" i="24" s="1"/>
  <c r="AW37" i="24"/>
  <c r="AV37" i="24" s="1"/>
  <c r="AJ138" i="23"/>
  <c r="BV58" i="23"/>
  <c r="BV55" i="23"/>
  <c r="BV57" i="23"/>
  <c r="BV56" i="23"/>
  <c r="AU33" i="23"/>
  <c r="AT33" i="23" s="1"/>
  <c r="AS33" i="23" s="1"/>
  <c r="AJ160" i="23"/>
  <c r="AX39" i="23"/>
  <c r="AY39" i="23"/>
  <c r="AU40" i="23"/>
  <c r="AT40" i="23" s="1"/>
  <c r="AS40" i="23" s="1"/>
  <c r="AJ127" i="23"/>
  <c r="AW36" i="23"/>
  <c r="AV36" i="23" s="1"/>
  <c r="AZ36" i="23"/>
  <c r="AX36" i="23"/>
  <c r="BQ57" i="23"/>
  <c r="BQ56" i="23"/>
  <c r="BQ55" i="23"/>
  <c r="BQ58" i="23"/>
  <c r="BW56" i="23"/>
  <c r="BW55" i="23"/>
  <c r="BW58" i="23"/>
  <c r="BW57" i="23"/>
  <c r="AU34" i="23"/>
  <c r="AT34" i="23" s="1"/>
  <c r="AS34" i="23" s="1"/>
  <c r="AH128" i="23"/>
  <c r="AH16" i="23" s="1"/>
  <c r="BP56" i="23"/>
  <c r="BP55" i="23"/>
  <c r="BP58" i="23"/>
  <c r="BP57" i="23"/>
  <c r="AJ116" i="23"/>
  <c r="AU32" i="23"/>
  <c r="AT32" i="23" s="1"/>
  <c r="AS32" i="23" s="1"/>
  <c r="AH117" i="23"/>
  <c r="AH15" i="23" s="1"/>
  <c r="BT55" i="23"/>
  <c r="BT58" i="23"/>
  <c r="BT57" i="23"/>
  <c r="BT56" i="23"/>
  <c r="AT48" i="23"/>
  <c r="AU35" i="23"/>
  <c r="AT35" i="23" s="1"/>
  <c r="AS35" i="23" s="1"/>
  <c r="AH161" i="23"/>
  <c r="AH19" i="23" s="1"/>
  <c r="BX55" i="23"/>
  <c r="BX58" i="23"/>
  <c r="BX57" i="23"/>
  <c r="BX56" i="23"/>
  <c r="AH172" i="23"/>
  <c r="AH20" i="23" s="1"/>
  <c r="BR55" i="23"/>
  <c r="AZ37" i="23"/>
  <c r="AJ171" i="23"/>
  <c r="BU58" i="23"/>
  <c r="BU55" i="23"/>
  <c r="BU57" i="23"/>
  <c r="BU56" i="23"/>
  <c r="AW39" i="23"/>
  <c r="BO57" i="23"/>
  <c r="BO56" i="23"/>
  <c r="BO55" i="23"/>
  <c r="BO58" i="23"/>
  <c r="AJ105" i="23"/>
  <c r="AU38" i="23"/>
  <c r="AT38" i="23" s="1"/>
  <c r="AS38" i="23" s="1"/>
  <c r="AY37" i="23"/>
  <c r="AX37" i="23"/>
  <c r="AW37" i="23"/>
  <c r="BP56" i="22"/>
  <c r="BP58" i="22"/>
  <c r="BP57" i="22"/>
  <c r="BP55" i="22"/>
  <c r="AZ37" i="22"/>
  <c r="AX37" i="22"/>
  <c r="AW37" i="22"/>
  <c r="AH62" i="22"/>
  <c r="AH10" i="22" s="1"/>
  <c r="AJ127" i="22"/>
  <c r="BS57" i="22"/>
  <c r="BS56" i="22"/>
  <c r="BS55" i="22"/>
  <c r="BS58" i="22"/>
  <c r="AU38" i="22"/>
  <c r="AT38" i="22" s="1"/>
  <c r="AS38" i="22" s="1"/>
  <c r="AH51" i="22"/>
  <c r="BU55" i="22"/>
  <c r="BU58" i="22"/>
  <c r="BU57" i="22"/>
  <c r="BU56" i="22"/>
  <c r="AT47" i="22"/>
  <c r="AV47" i="22" s="1"/>
  <c r="C7" i="22" s="1"/>
  <c r="AU33" i="22"/>
  <c r="AT33" i="22" s="1"/>
  <c r="AS33" i="22" s="1"/>
  <c r="AU40" i="22"/>
  <c r="AT40" i="22" s="1"/>
  <c r="AS40" i="22" s="1"/>
  <c r="BX58" i="22"/>
  <c r="BX57" i="22"/>
  <c r="BX55" i="22"/>
  <c r="BX56" i="22"/>
  <c r="BV55" i="22"/>
  <c r="BV58" i="22"/>
  <c r="BV57" i="22"/>
  <c r="BV56" i="22"/>
  <c r="AJ105" i="22"/>
  <c r="AJ149" i="22"/>
  <c r="BQ55" i="22"/>
  <c r="AJ171" i="22"/>
  <c r="BQ57" i="22"/>
  <c r="BR58" i="22"/>
  <c r="BO56" i="22"/>
  <c r="BO55" i="22"/>
  <c r="BO58" i="22"/>
  <c r="BO57" i="22"/>
  <c r="AH117" i="22"/>
  <c r="AH15" i="22" s="1"/>
  <c r="BT56" i="22"/>
  <c r="BT55" i="22"/>
  <c r="BT58" i="22"/>
  <c r="BT57" i="22"/>
  <c r="BW58" i="22"/>
  <c r="BW57" i="22"/>
  <c r="BW55" i="22"/>
  <c r="BW56" i="22"/>
  <c r="AV39" i="22"/>
  <c r="AH161" i="22"/>
  <c r="AH19" i="22" s="1"/>
  <c r="AT48" i="22"/>
  <c r="AU34" i="22"/>
  <c r="AT34" i="22" s="1"/>
  <c r="AS34" i="22" s="1"/>
  <c r="AH172" i="22"/>
  <c r="AH20" i="22" s="1"/>
  <c r="BP55" i="21"/>
  <c r="AU40" i="21"/>
  <c r="AT40" i="21" s="1"/>
  <c r="AS40" i="21" s="1"/>
  <c r="BQ55" i="21"/>
  <c r="BQ56" i="21"/>
  <c r="BQ58" i="21"/>
  <c r="AU39" i="21"/>
  <c r="AT39" i="21" s="1"/>
  <c r="AS39" i="21" s="1"/>
  <c r="AJ138" i="21"/>
  <c r="AW34" i="21"/>
  <c r="AX34" i="21"/>
  <c r="AZ34" i="21"/>
  <c r="AH73" i="21"/>
  <c r="AH11" i="21" s="1"/>
  <c r="AJ160" i="21"/>
  <c r="AJ149" i="21"/>
  <c r="AJ127" i="21"/>
  <c r="BV58" i="21"/>
  <c r="BV55" i="21"/>
  <c r="AJ116" i="21"/>
  <c r="AU33" i="21"/>
  <c r="AT33" i="21" s="1"/>
  <c r="AS33" i="21" s="1"/>
  <c r="AU38" i="21"/>
  <c r="AT38" i="21" s="1"/>
  <c r="AS38" i="21" s="1"/>
  <c r="BU55" i="21"/>
  <c r="AH84" i="21"/>
  <c r="AH12" i="21" s="1"/>
  <c r="AU32" i="21"/>
  <c r="AT32" i="21" s="1"/>
  <c r="AS32" i="21" s="1"/>
  <c r="AJ105" i="21"/>
  <c r="AH128" i="21"/>
  <c r="AH16" i="21" s="1"/>
  <c r="AU35" i="21"/>
  <c r="AT35" i="21" s="1"/>
  <c r="AS35" i="21" s="1"/>
  <c r="AV37" i="21"/>
  <c r="AJ171" i="21"/>
  <c r="BO56" i="21"/>
  <c r="BO55" i="21"/>
  <c r="AV36" i="21"/>
  <c r="AY34" i="21"/>
  <c r="AT47" i="20"/>
  <c r="BT57" i="20"/>
  <c r="BT55" i="20"/>
  <c r="AT48" i="20"/>
  <c r="AX39" i="20"/>
  <c r="AZ39" i="20"/>
  <c r="AY39" i="20"/>
  <c r="AW39" i="20"/>
  <c r="BR58" i="20"/>
  <c r="BR55" i="20"/>
  <c r="BR57" i="20"/>
  <c r="BR56" i="20"/>
  <c r="AJ171" i="20"/>
  <c r="BU56" i="20"/>
  <c r="BU58" i="20"/>
  <c r="BU55" i="20"/>
  <c r="BU57" i="20"/>
  <c r="AH172" i="20"/>
  <c r="AH20" i="20" s="1"/>
  <c r="BV57" i="20"/>
  <c r="BV56" i="20"/>
  <c r="BV58" i="20"/>
  <c r="BV55" i="20"/>
  <c r="BO56" i="20"/>
  <c r="BO57" i="20"/>
  <c r="BO58" i="20"/>
  <c r="BO55" i="20"/>
  <c r="BS57" i="20"/>
  <c r="BS55" i="20"/>
  <c r="BS56" i="20"/>
  <c r="BS58" i="20"/>
  <c r="AH161" i="20"/>
  <c r="AH19" i="20" s="1"/>
  <c r="AJ138" i="20"/>
  <c r="AU37" i="20"/>
  <c r="AT37" i="20" s="1"/>
  <c r="AS37" i="20" s="1"/>
  <c r="AU40" i="20"/>
  <c r="AT40" i="20" s="1"/>
  <c r="AS40" i="20" s="1"/>
  <c r="AH62" i="20"/>
  <c r="AH10" i="20" s="1"/>
  <c r="AJ160" i="20"/>
  <c r="AH73" i="20"/>
  <c r="AH11" i="20" s="1"/>
  <c r="AJ105" i="20"/>
  <c r="AY38" i="20"/>
  <c r="AX38" i="20"/>
  <c r="AV38" i="20" s="1"/>
  <c r="AW38" i="20"/>
  <c r="BX58" i="20"/>
  <c r="BX56" i="20"/>
  <c r="BX55" i="20"/>
  <c r="BX57" i="20"/>
  <c r="BP55" i="20"/>
  <c r="BP57" i="20"/>
  <c r="BP56" i="20"/>
  <c r="BP58" i="20"/>
  <c r="AH51" i="20"/>
  <c r="AY36" i="20"/>
  <c r="AW36" i="20" s="1"/>
  <c r="AX36" i="20"/>
  <c r="AJ149" i="20"/>
  <c r="AZ35" i="20"/>
  <c r="AW35" i="20"/>
  <c r="AV35" i="20" s="1"/>
  <c r="AX35" i="20"/>
  <c r="AZ38" i="20"/>
  <c r="AZ36" i="20"/>
  <c r="BQ55" i="20"/>
  <c r="BQ57" i="20"/>
  <c r="BQ58" i="20"/>
  <c r="BQ56" i="20"/>
  <c r="AH117" i="20"/>
  <c r="AH15" i="20" s="1"/>
  <c r="AY35" i="20"/>
  <c r="AU40" i="19"/>
  <c r="AT40" i="19" s="1"/>
  <c r="AS40" i="19" s="1"/>
  <c r="AJ160" i="19"/>
  <c r="AY38" i="19"/>
  <c r="AX38" i="19"/>
  <c r="AV38" i="19" s="1"/>
  <c r="AH95" i="19"/>
  <c r="AH13" i="19" s="1"/>
  <c r="AJ138" i="19"/>
  <c r="AX36" i="19"/>
  <c r="AY36" i="19"/>
  <c r="AW36" i="19" s="1"/>
  <c r="AW39" i="19"/>
  <c r="AV39" i="19" s="1"/>
  <c r="AZ39" i="19"/>
  <c r="BT55" i="19"/>
  <c r="BT58" i="19"/>
  <c r="BT57" i="19"/>
  <c r="BT56" i="19"/>
  <c r="AH51" i="19"/>
  <c r="AY35" i="19"/>
  <c r="AX35" i="19"/>
  <c r="AH73" i="19"/>
  <c r="AH11" i="19" s="1"/>
  <c r="AJ171" i="19"/>
  <c r="BP57" i="19"/>
  <c r="BP56" i="19"/>
  <c r="BP55" i="19"/>
  <c r="BP58" i="19"/>
  <c r="AT47" i="19"/>
  <c r="BU58" i="19"/>
  <c r="BU55" i="19"/>
  <c r="BU57" i="19"/>
  <c r="BU56" i="19"/>
  <c r="AJ149" i="19"/>
  <c r="AV35" i="19"/>
  <c r="AT48" i="19"/>
  <c r="AH117" i="19"/>
  <c r="AH15" i="19" s="1"/>
  <c r="AJ127" i="19"/>
  <c r="BR56" i="19"/>
  <c r="BR55" i="19"/>
  <c r="BR58" i="19"/>
  <c r="BR57" i="19"/>
  <c r="AH128" i="19"/>
  <c r="AH16" i="19" s="1"/>
  <c r="AJ116" i="19"/>
  <c r="AX34" i="19"/>
  <c r="AY34" i="19"/>
  <c r="AZ34" i="19"/>
  <c r="BV57" i="19"/>
  <c r="BV55" i="19"/>
  <c r="BV58" i="19"/>
  <c r="BV56" i="19"/>
  <c r="BW58" i="19"/>
  <c r="BW57" i="19"/>
  <c r="BW56" i="19"/>
  <c r="BW55" i="19"/>
  <c r="AV37" i="19"/>
  <c r="AU33" i="19"/>
  <c r="AT33" i="19" s="1"/>
  <c r="AS33" i="19" s="1"/>
  <c r="BO58" i="19"/>
  <c r="BO56" i="19"/>
  <c r="BO55" i="19"/>
  <c r="BO57" i="19"/>
  <c r="BS55" i="19"/>
  <c r="BS58" i="19"/>
  <c r="BS57" i="19"/>
  <c r="BS56" i="19"/>
  <c r="AJ105" i="19"/>
  <c r="BX56" i="19"/>
  <c r="BX58" i="19"/>
  <c r="BX57" i="19"/>
  <c r="BX55" i="19"/>
  <c r="BQ55" i="19"/>
  <c r="BQ58" i="19"/>
  <c r="BQ57" i="19"/>
  <c r="BQ56" i="19"/>
  <c r="AU40" i="18"/>
  <c r="AT40" i="18" s="1"/>
  <c r="AS40" i="18" s="1"/>
  <c r="AU39" i="18"/>
  <c r="AT39" i="18" s="1"/>
  <c r="AS39" i="18" s="1"/>
  <c r="AU36" i="18"/>
  <c r="AT36" i="18" s="1"/>
  <c r="AS36" i="18" s="1"/>
  <c r="AU37" i="18"/>
  <c r="AT37" i="18" s="1"/>
  <c r="AS37" i="18" s="1"/>
  <c r="BX58" i="18"/>
  <c r="BX57" i="18"/>
  <c r="BX56" i="18"/>
  <c r="BX55" i="18"/>
  <c r="AH95" i="18"/>
  <c r="AH13" i="18" s="1"/>
  <c r="AH73" i="18"/>
  <c r="AH11" i="18" s="1"/>
  <c r="AH117" i="18"/>
  <c r="AH15" i="18" s="1"/>
  <c r="AJ116" i="18"/>
  <c r="AH106" i="18"/>
  <c r="AH14" i="18" s="1"/>
  <c r="AU33" i="18"/>
  <c r="AT33" i="18" s="1"/>
  <c r="AS33" i="18" s="1"/>
  <c r="BT58" i="18"/>
  <c r="BT57" i="18"/>
  <c r="BT56" i="18"/>
  <c r="BT55" i="18"/>
  <c r="AH128" i="18"/>
  <c r="AH16" i="18" s="1"/>
  <c r="AW38" i="18"/>
  <c r="AZ38" i="18"/>
  <c r="AX38" i="18"/>
  <c r="AT48" i="18"/>
  <c r="BU56" i="18"/>
  <c r="BU57" i="18"/>
  <c r="BU55" i="18"/>
  <c r="BU58" i="18"/>
  <c r="AU32" i="18"/>
  <c r="AT32" i="18" s="1"/>
  <c r="AS32" i="18" s="1"/>
  <c r="BQ55" i="18"/>
  <c r="BQ58" i="18"/>
  <c r="BQ57" i="18"/>
  <c r="BQ56" i="18"/>
  <c r="AH172" i="18"/>
  <c r="AH20" i="18" s="1"/>
  <c r="AJ171" i="18"/>
  <c r="BS57" i="18"/>
  <c r="BS56" i="18"/>
  <c r="BS58" i="18"/>
  <c r="BS55" i="18"/>
  <c r="BO58" i="18"/>
  <c r="BO57" i="18"/>
  <c r="BO56" i="18"/>
  <c r="BO55" i="18"/>
  <c r="AH161" i="18"/>
  <c r="AH19" i="18" s="1"/>
  <c r="AJ127" i="18"/>
  <c r="AU35" i="18"/>
  <c r="AT35" i="18" s="1"/>
  <c r="AS35" i="18" s="1"/>
  <c r="BV56" i="18"/>
  <c r="BV58" i="18"/>
  <c r="BV57" i="18"/>
  <c r="BV55" i="18"/>
  <c r="AJ160" i="18"/>
  <c r="BR56" i="18"/>
  <c r="BR58" i="18"/>
  <c r="BR57" i="18"/>
  <c r="BR55" i="18"/>
  <c r="BW58" i="18"/>
  <c r="BW57" i="18"/>
  <c r="BW56" i="18"/>
  <c r="BW55" i="18"/>
  <c r="AH84" i="18"/>
  <c r="AH12" i="18" s="1"/>
  <c r="AJ149" i="18"/>
  <c r="AJ138" i="18"/>
  <c r="AH62" i="18"/>
  <c r="AH10" i="18" s="1"/>
  <c r="AJ105" i="18"/>
  <c r="BP57" i="17"/>
  <c r="BP55" i="17"/>
  <c r="AR32" i="17"/>
  <c r="AN32" i="17"/>
  <c r="BD32" i="17" s="1"/>
  <c r="BV56" i="17"/>
  <c r="BV58" i="17"/>
  <c r="BV55" i="17"/>
  <c r="BV57" i="17"/>
  <c r="AU37" i="17"/>
  <c r="AT37" i="17" s="1"/>
  <c r="AS37" i="17" s="1"/>
  <c r="BT55" i="17"/>
  <c r="BT57" i="17"/>
  <c r="BT58" i="17"/>
  <c r="BT56" i="17"/>
  <c r="BX55" i="17"/>
  <c r="BX57" i="17"/>
  <c r="BX58" i="17"/>
  <c r="BX56" i="17"/>
  <c r="AH172" i="17"/>
  <c r="AH20" i="17" s="1"/>
  <c r="AU38" i="17"/>
  <c r="AJ160" i="17"/>
  <c r="AH161" i="17"/>
  <c r="AH19" i="17" s="1"/>
  <c r="AJ138" i="17"/>
  <c r="AJ116" i="17"/>
  <c r="AX40" i="17"/>
  <c r="AY40" i="17"/>
  <c r="AW40" i="17" s="1"/>
  <c r="AV40" i="17" s="1"/>
  <c r="BQ55" i="17"/>
  <c r="BQ57" i="17"/>
  <c r="BQ58" i="17"/>
  <c r="BQ56" i="17"/>
  <c r="AJ105" i="17"/>
  <c r="AT48" i="17"/>
  <c r="AU35" i="17"/>
  <c r="AT35" i="17" s="1"/>
  <c r="AS35" i="17" s="1"/>
  <c r="BO58" i="17"/>
  <c r="BO56" i="17"/>
  <c r="BO55" i="17"/>
  <c r="BO57" i="17"/>
  <c r="BU55" i="17"/>
  <c r="BU57" i="17"/>
  <c r="BU58" i="17"/>
  <c r="BU56" i="17"/>
  <c r="BR58" i="17"/>
  <c r="BR56" i="17"/>
  <c r="BR55" i="17"/>
  <c r="BR57" i="17"/>
  <c r="AZ40" i="17"/>
  <c r="AJ171" i="17"/>
  <c r="BW57" i="17"/>
  <c r="BW55" i="17"/>
  <c r="BW56" i="17"/>
  <c r="BW58" i="17"/>
  <c r="AJ149" i="17"/>
  <c r="AX36" i="17"/>
  <c r="AZ36" i="17"/>
  <c r="AW36" i="17"/>
  <c r="AV36" i="17" s="1"/>
  <c r="BX55" i="16"/>
  <c r="AR32" i="16"/>
  <c r="AN32" i="16"/>
  <c r="BD32" i="16" s="1"/>
  <c r="AU40" i="16"/>
  <c r="AT40" i="16" s="1"/>
  <c r="AS40" i="16" s="1"/>
  <c r="AJ171" i="16"/>
  <c r="BV56" i="16"/>
  <c r="BV57" i="16"/>
  <c r="BV58" i="16"/>
  <c r="BV55" i="16"/>
  <c r="BQ58" i="16"/>
  <c r="BQ55" i="16"/>
  <c r="BQ57" i="16"/>
  <c r="BQ56" i="16"/>
  <c r="AH73" i="16"/>
  <c r="AH11" i="16" s="1"/>
  <c r="AJ116" i="16"/>
  <c r="BX58" i="16"/>
  <c r="BR58" i="16"/>
  <c r="BR57" i="16"/>
  <c r="BR56" i="16"/>
  <c r="BR55" i="16"/>
  <c r="BP56" i="16"/>
  <c r="BP55" i="16"/>
  <c r="BP58" i="16"/>
  <c r="BP57" i="16"/>
  <c r="AJ149" i="16"/>
  <c r="BU56" i="16"/>
  <c r="BU57" i="16"/>
  <c r="BU55" i="16"/>
  <c r="BU58" i="16"/>
  <c r="AU34" i="16"/>
  <c r="AT34" i="16" s="1"/>
  <c r="AS34" i="16" s="1"/>
  <c r="AJ127" i="16"/>
  <c r="BX57" i="16"/>
  <c r="AV37" i="16"/>
  <c r="AV36" i="16"/>
  <c r="BO58" i="16"/>
  <c r="BO55" i="16"/>
  <c r="BO57" i="16"/>
  <c r="BO56" i="16"/>
  <c r="AJ138" i="16"/>
  <c r="AV39" i="16"/>
  <c r="BT57" i="16"/>
  <c r="BT56" i="16"/>
  <c r="BT55" i="16"/>
  <c r="BT58" i="16"/>
  <c r="AH161" i="16"/>
  <c r="AH19" i="16" s="1"/>
  <c r="AH172" i="16"/>
  <c r="AH20" i="16" s="1"/>
  <c r="AU35" i="16"/>
  <c r="AT35" i="16" s="1"/>
  <c r="AS35" i="16" s="1"/>
  <c r="AU33" i="16"/>
  <c r="AT33" i="16" s="1"/>
  <c r="AS33" i="16" s="1"/>
  <c r="BS57" i="16"/>
  <c r="BS56" i="16"/>
  <c r="BS58" i="16"/>
  <c r="BS55" i="16"/>
  <c r="AU39" i="15"/>
  <c r="AT39" i="15" s="1"/>
  <c r="AS39" i="15" s="1"/>
  <c r="AU37" i="15"/>
  <c r="AT37" i="15" s="1"/>
  <c r="AS37" i="15" s="1"/>
  <c r="AJ149" i="15"/>
  <c r="BX56" i="15"/>
  <c r="AJ127" i="15"/>
  <c r="BP56" i="15"/>
  <c r="AY35" i="15"/>
  <c r="AX35" i="15"/>
  <c r="AU36" i="15"/>
  <c r="AT36" i="15" s="1"/>
  <c r="AS36" i="15" s="1"/>
  <c r="BU57" i="15"/>
  <c r="BU56" i="15"/>
  <c r="AH172" i="15"/>
  <c r="AH20" i="15" s="1"/>
  <c r="AJ171" i="15"/>
  <c r="BQ56" i="15"/>
  <c r="BQ55" i="15"/>
  <c r="AZ35" i="15"/>
  <c r="AW35" i="15"/>
  <c r="AV35" i="15" s="1"/>
  <c r="AX34" i="15"/>
  <c r="AV34" i="15" s="1"/>
  <c r="AU34" i="15" s="1"/>
  <c r="AT34" i="15" s="1"/>
  <c r="AS34" i="15" s="1"/>
  <c r="AY34" i="15"/>
  <c r="AZ34" i="15"/>
  <c r="AH161" i="15"/>
  <c r="AH19" i="15" s="1"/>
  <c r="AH51" i="15"/>
  <c r="C21" i="15"/>
  <c r="AJ160" i="15"/>
  <c r="AH73" i="15"/>
  <c r="AH11" i="15" s="1"/>
  <c r="AY38" i="15"/>
  <c r="AX38" i="15"/>
  <c r="AW38" i="15"/>
  <c r="AZ33" i="15"/>
  <c r="BO55" i="15"/>
  <c r="AY33" i="15"/>
  <c r="AW33" i="15" s="1"/>
  <c r="AV33" i="15" s="1"/>
  <c r="AX33" i="15"/>
  <c r="AJ116" i="15"/>
  <c r="AH106" i="15"/>
  <c r="AH14" i="15" s="1"/>
  <c r="AU40" i="15"/>
  <c r="AT40" i="15" s="1"/>
  <c r="AS40" i="15" s="1"/>
  <c r="AH95" i="15"/>
  <c r="AH13" i="15" s="1"/>
  <c r="AJ171" i="14"/>
  <c r="AJ138" i="14"/>
  <c r="AT48" i="14"/>
  <c r="AY33" i="14"/>
  <c r="AW33" i="14" s="1"/>
  <c r="AV33" i="14" s="1"/>
  <c r="AX33" i="14"/>
  <c r="BX56" i="14"/>
  <c r="BX57" i="14"/>
  <c r="BX58" i="14"/>
  <c r="BX55" i="14"/>
  <c r="BS55" i="14"/>
  <c r="BS57" i="14"/>
  <c r="BS56" i="14"/>
  <c r="BS58" i="14"/>
  <c r="AJ127" i="14"/>
  <c r="AZ38" i="14"/>
  <c r="AY38" i="14"/>
  <c r="AX38" i="14"/>
  <c r="AV38" i="14" s="1"/>
  <c r="AU39" i="14"/>
  <c r="AT39" i="14" s="1"/>
  <c r="AS39" i="14" s="1"/>
  <c r="BQ58" i="14"/>
  <c r="BQ55" i="14"/>
  <c r="BQ57" i="14"/>
  <c r="BQ56" i="14"/>
  <c r="AJ105" i="14"/>
  <c r="AW37" i="14"/>
  <c r="AV37" i="14" s="1"/>
  <c r="AZ37" i="14"/>
  <c r="BT57" i="14"/>
  <c r="BT56" i="14"/>
  <c r="BT55" i="14"/>
  <c r="BT58" i="14"/>
  <c r="AT47" i="14"/>
  <c r="BU56" i="14"/>
  <c r="BU58" i="14"/>
  <c r="BU55" i="14"/>
  <c r="BU57" i="14"/>
  <c r="AH95" i="14"/>
  <c r="AH13" i="14" s="1"/>
  <c r="AY35" i="14"/>
  <c r="AX35" i="14"/>
  <c r="BO55" i="14"/>
  <c r="BO56" i="14"/>
  <c r="BO58" i="14"/>
  <c r="BO57" i="14"/>
  <c r="AU40" i="14"/>
  <c r="AT40" i="14" s="1"/>
  <c r="AS40" i="14" s="1"/>
  <c r="AH128" i="14"/>
  <c r="AH16" i="14" s="1"/>
  <c r="BV58" i="14"/>
  <c r="BV55" i="14"/>
  <c r="BV57" i="14"/>
  <c r="BV56" i="14"/>
  <c r="AY37" i="14"/>
  <c r="AX37" i="14"/>
  <c r="BP55" i="14"/>
  <c r="BP57" i="14"/>
  <c r="BP58" i="14"/>
  <c r="BP56" i="14"/>
  <c r="AZ35" i="14"/>
  <c r="AW35" i="14"/>
  <c r="AV35" i="14" s="1"/>
  <c r="AH172" i="14"/>
  <c r="AH20" i="14" s="1"/>
  <c r="BR55" i="14"/>
  <c r="BR57" i="14"/>
  <c r="BR56" i="14"/>
  <c r="BR58" i="14"/>
  <c r="BW57" i="14"/>
  <c r="BW56" i="14"/>
  <c r="BW58" i="14"/>
  <c r="BW55" i="14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AE178" i="1"/>
  <c r="AF178" i="1"/>
  <c r="AG178" i="1"/>
  <c r="C178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AE177" i="1"/>
  <c r="AF177" i="1"/>
  <c r="AG177" i="1"/>
  <c r="C177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AE171" i="1"/>
  <c r="AF171" i="1"/>
  <c r="AG171" i="1"/>
  <c r="C171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AE160" i="1"/>
  <c r="AF160" i="1"/>
  <c r="AG160" i="1"/>
  <c r="C160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AE167" i="1"/>
  <c r="AF167" i="1"/>
  <c r="AG167" i="1"/>
  <c r="C167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AE166" i="1"/>
  <c r="AF166" i="1"/>
  <c r="AG166" i="1"/>
  <c r="C166" i="1"/>
  <c r="AC21" i="16" l="1"/>
  <c r="D21" i="16"/>
  <c r="C21" i="16"/>
  <c r="P21" i="16"/>
  <c r="U21" i="16"/>
  <c r="E21" i="16"/>
  <c r="AH84" i="15"/>
  <c r="AH12" i="15" s="1"/>
  <c r="AI12" i="15" s="1"/>
  <c r="AH62" i="15"/>
  <c r="AH10" i="15" s="1"/>
  <c r="D6" i="13" s="1"/>
  <c r="AH139" i="15"/>
  <c r="AH17" i="15" s="1"/>
  <c r="AI17" i="15" s="1"/>
  <c r="AA115" i="17"/>
  <c r="W104" i="17"/>
  <c r="L93" i="17"/>
  <c r="F104" i="17"/>
  <c r="AF104" i="17"/>
  <c r="M93" i="17"/>
  <c r="E104" i="17"/>
  <c r="N104" i="17"/>
  <c r="U49" i="17"/>
  <c r="U187" i="17" s="1"/>
  <c r="R104" i="17"/>
  <c r="AC104" i="17"/>
  <c r="AD49" i="17"/>
  <c r="AD187" i="17" s="1"/>
  <c r="Z115" i="17"/>
  <c r="H93" i="17"/>
  <c r="H21" i="17"/>
  <c r="Y104" i="16"/>
  <c r="AC93" i="16"/>
  <c r="X93" i="16"/>
  <c r="T104" i="16"/>
  <c r="E93" i="16"/>
  <c r="AE104" i="16"/>
  <c r="N93" i="16"/>
  <c r="S93" i="16"/>
  <c r="K104" i="16"/>
  <c r="O93" i="16"/>
  <c r="H71" i="16"/>
  <c r="G71" i="16"/>
  <c r="AB93" i="16"/>
  <c r="AD104" i="16"/>
  <c r="J93" i="16"/>
  <c r="Z21" i="15"/>
  <c r="AF21" i="15"/>
  <c r="BR58" i="21"/>
  <c r="BR56" i="21"/>
  <c r="G21" i="23"/>
  <c r="AB21" i="19"/>
  <c r="Y21" i="19"/>
  <c r="X21" i="19"/>
  <c r="N21" i="16"/>
  <c r="AH62" i="16"/>
  <c r="AH10" i="16" s="1"/>
  <c r="E6" i="13" s="1"/>
  <c r="AE21" i="22"/>
  <c r="V21" i="16"/>
  <c r="AH128" i="16"/>
  <c r="AH16" i="16" s="1"/>
  <c r="E12" i="13" s="1"/>
  <c r="BR58" i="15"/>
  <c r="AH150" i="18"/>
  <c r="AH18" i="18" s="1"/>
  <c r="AH150" i="19"/>
  <c r="AH18" i="19" s="1"/>
  <c r="P21" i="18"/>
  <c r="AT48" i="21"/>
  <c r="AH106" i="22"/>
  <c r="AH14" i="22" s="1"/>
  <c r="F21" i="16"/>
  <c r="Y21" i="22"/>
  <c r="AH139" i="19"/>
  <c r="AH17" i="19" s="1"/>
  <c r="AH172" i="21"/>
  <c r="AH20" i="21" s="1"/>
  <c r="BS57" i="15"/>
  <c r="BV57" i="21"/>
  <c r="AH139" i="23"/>
  <c r="AH17" i="23" s="1"/>
  <c r="AH95" i="23"/>
  <c r="AH13" i="23" s="1"/>
  <c r="Y21" i="23"/>
  <c r="I21" i="23"/>
  <c r="R21" i="23"/>
  <c r="I21" i="20"/>
  <c r="H21" i="20"/>
  <c r="AF21" i="19"/>
  <c r="W21" i="19"/>
  <c r="G21" i="19"/>
  <c r="H21" i="19"/>
  <c r="AC21" i="19"/>
  <c r="AH117" i="15"/>
  <c r="AH15" i="15" s="1"/>
  <c r="AI15" i="15" s="1"/>
  <c r="Q21" i="20"/>
  <c r="G21" i="20"/>
  <c r="AD21" i="20"/>
  <c r="BU58" i="21"/>
  <c r="W21" i="14"/>
  <c r="E21" i="14"/>
  <c r="X21" i="14"/>
  <c r="I21" i="14"/>
  <c r="AC21" i="14"/>
  <c r="R21" i="14"/>
  <c r="O21" i="24"/>
  <c r="D21" i="24"/>
  <c r="H21" i="24"/>
  <c r="G21" i="24"/>
  <c r="L21" i="17"/>
  <c r="AB21" i="17"/>
  <c r="AH150" i="17"/>
  <c r="AH18" i="17" s="1"/>
  <c r="AI18" i="17" s="1"/>
  <c r="AE21" i="17"/>
  <c r="Z21" i="17"/>
  <c r="D21" i="17"/>
  <c r="AH95" i="17"/>
  <c r="AH13" i="17" s="1"/>
  <c r="I21" i="17"/>
  <c r="E21" i="17"/>
  <c r="X21" i="16"/>
  <c r="Y21" i="16"/>
  <c r="AH150" i="16"/>
  <c r="AH18" i="16" s="1"/>
  <c r="AI18" i="16" s="1"/>
  <c r="AF21" i="16"/>
  <c r="AB21" i="16"/>
  <c r="Q21" i="16"/>
  <c r="G21" i="16"/>
  <c r="W21" i="16"/>
  <c r="T21" i="16"/>
  <c r="AH84" i="16"/>
  <c r="AH12" i="16" s="1"/>
  <c r="E8" i="13" s="1"/>
  <c r="AG21" i="20"/>
  <c r="BR56" i="23"/>
  <c r="BR57" i="23"/>
  <c r="BS57" i="23"/>
  <c r="AH150" i="24"/>
  <c r="AH18" i="24" s="1"/>
  <c r="AI18" i="24" s="1"/>
  <c r="P21" i="24"/>
  <c r="E21" i="24"/>
  <c r="AH106" i="23"/>
  <c r="AH14" i="23" s="1"/>
  <c r="AF21" i="23"/>
  <c r="AH84" i="22"/>
  <c r="AH12" i="22" s="1"/>
  <c r="M21" i="22"/>
  <c r="E21" i="22"/>
  <c r="J21" i="22"/>
  <c r="D21" i="22"/>
  <c r="H21" i="22"/>
  <c r="U21" i="22"/>
  <c r="P21" i="22"/>
  <c r="AC21" i="22"/>
  <c r="F21" i="22"/>
  <c r="N21" i="22"/>
  <c r="AH95" i="21"/>
  <c r="AH13" i="21" s="1"/>
  <c r="AH106" i="21"/>
  <c r="AH14" i="21" s="1"/>
  <c r="AD21" i="21"/>
  <c r="C21" i="21"/>
  <c r="AH139" i="21"/>
  <c r="AH17" i="21" s="1"/>
  <c r="AC21" i="20"/>
  <c r="R21" i="20"/>
  <c r="AF21" i="20"/>
  <c r="U21" i="20"/>
  <c r="AH95" i="20"/>
  <c r="AH13" i="20" s="1"/>
  <c r="S21" i="20"/>
  <c r="AH106" i="20"/>
  <c r="AH14" i="20" s="1"/>
  <c r="AH161" i="19"/>
  <c r="AH19" i="19" s="1"/>
  <c r="AI19" i="19" s="1"/>
  <c r="AH172" i="19"/>
  <c r="AH20" i="19" s="1"/>
  <c r="AI20" i="19" s="1"/>
  <c r="C21" i="19"/>
  <c r="AH84" i="17"/>
  <c r="AH12" i="17" s="1"/>
  <c r="AI12" i="17" s="1"/>
  <c r="AH139" i="17"/>
  <c r="AH17" i="17" s="1"/>
  <c r="AI17" i="17" s="1"/>
  <c r="M21" i="17"/>
  <c r="AH117" i="17"/>
  <c r="AH15" i="17" s="1"/>
  <c r="F11" i="13" s="1"/>
  <c r="Q21" i="17"/>
  <c r="AH62" i="17"/>
  <c r="AH10" i="17" s="1"/>
  <c r="F6" i="13" s="1"/>
  <c r="L21" i="16"/>
  <c r="AH139" i="16"/>
  <c r="AH17" i="16" s="1"/>
  <c r="AI17" i="16" s="1"/>
  <c r="AH117" i="16"/>
  <c r="AH15" i="16" s="1"/>
  <c r="AI15" i="16" s="1"/>
  <c r="M21" i="16"/>
  <c r="AH95" i="16"/>
  <c r="AH13" i="16" s="1"/>
  <c r="E9" i="13" s="1"/>
  <c r="BX57" i="15"/>
  <c r="BW57" i="15"/>
  <c r="BS56" i="15"/>
  <c r="BX58" i="15"/>
  <c r="I21" i="24"/>
  <c r="N21" i="24"/>
  <c r="K21" i="14"/>
  <c r="D21" i="23"/>
  <c r="L21" i="21"/>
  <c r="W21" i="17"/>
  <c r="AH84" i="14"/>
  <c r="AH12" i="14" s="1"/>
  <c r="AI12" i="14" s="1"/>
  <c r="AH62" i="14"/>
  <c r="AH10" i="14" s="1"/>
  <c r="C6" i="13" s="1"/>
  <c r="BS55" i="15"/>
  <c r="AH128" i="20"/>
  <c r="AH16" i="20" s="1"/>
  <c r="I12" i="13" s="1"/>
  <c r="Z21" i="24"/>
  <c r="F21" i="24"/>
  <c r="J21" i="21"/>
  <c r="E21" i="21"/>
  <c r="W21" i="23"/>
  <c r="AE21" i="21"/>
  <c r="Q21" i="21"/>
  <c r="AE21" i="20"/>
  <c r="M21" i="21"/>
  <c r="N21" i="17"/>
  <c r="BX55" i="15"/>
  <c r="AH51" i="16"/>
  <c r="AH150" i="20"/>
  <c r="AH18" i="20" s="1"/>
  <c r="AI18" i="20" s="1"/>
  <c r="AH139" i="22"/>
  <c r="AH17" i="22" s="1"/>
  <c r="AI17" i="22" s="1"/>
  <c r="AH73" i="22"/>
  <c r="AH11" i="22" s="1"/>
  <c r="AI11" i="22" s="1"/>
  <c r="R21" i="15"/>
  <c r="L21" i="24"/>
  <c r="V21" i="14"/>
  <c r="AH150" i="22"/>
  <c r="AH18" i="22" s="1"/>
  <c r="AI18" i="22" s="1"/>
  <c r="T21" i="17"/>
  <c r="V21" i="17"/>
  <c r="AE21" i="16"/>
  <c r="O21" i="14"/>
  <c r="T21" i="14"/>
  <c r="BW58" i="15"/>
  <c r="AH106" i="16"/>
  <c r="AH14" i="16" s="1"/>
  <c r="AI14" i="16" s="1"/>
  <c r="C21" i="17"/>
  <c r="J21" i="16"/>
  <c r="AV47" i="14"/>
  <c r="C7" i="14" s="1"/>
  <c r="C45" i="14" s="1"/>
  <c r="C46" i="14" s="1"/>
  <c r="BW55" i="15"/>
  <c r="AH128" i="15"/>
  <c r="AH16" i="15" s="1"/>
  <c r="D12" i="13" s="1"/>
  <c r="AH128" i="17"/>
  <c r="AH16" i="17" s="1"/>
  <c r="F12" i="13" s="1"/>
  <c r="AH51" i="17"/>
  <c r="AH9" i="17" s="1"/>
  <c r="F5" i="13" s="1"/>
  <c r="AH51" i="18"/>
  <c r="Z4" i="18" s="1"/>
  <c r="AH139" i="20"/>
  <c r="AH17" i="20" s="1"/>
  <c r="AI17" i="20" s="1"/>
  <c r="BO58" i="21"/>
  <c r="BW58" i="21"/>
  <c r="BT58" i="21"/>
  <c r="BX58" i="21"/>
  <c r="C21" i="22"/>
  <c r="R21" i="24"/>
  <c r="J21" i="14"/>
  <c r="C21" i="14"/>
  <c r="Z21" i="14"/>
  <c r="Y21" i="14"/>
  <c r="AB21" i="14"/>
  <c r="AH106" i="14"/>
  <c r="AH14" i="14" s="1"/>
  <c r="C10" i="13" s="1"/>
  <c r="AH161" i="14"/>
  <c r="AH19" i="14" s="1"/>
  <c r="C15" i="13" s="1"/>
  <c r="L21" i="14"/>
  <c r="AD21" i="14"/>
  <c r="N21" i="14"/>
  <c r="D21" i="14"/>
  <c r="AA21" i="14"/>
  <c r="M21" i="14"/>
  <c r="AH139" i="14"/>
  <c r="AH17" i="14" s="1"/>
  <c r="AI17" i="14" s="1"/>
  <c r="U21" i="14"/>
  <c r="AH117" i="14"/>
  <c r="AH15" i="14" s="1"/>
  <c r="AI15" i="14" s="1"/>
  <c r="AH150" i="14"/>
  <c r="AH18" i="14" s="1"/>
  <c r="C14" i="13" s="1"/>
  <c r="H21" i="14"/>
  <c r="G21" i="14"/>
  <c r="F21" i="14"/>
  <c r="Q21" i="14"/>
  <c r="AE21" i="24"/>
  <c r="C21" i="23"/>
  <c r="AH161" i="24"/>
  <c r="AH19" i="24" s="1"/>
  <c r="M15" i="13" s="1"/>
  <c r="Q21" i="24"/>
  <c r="F21" i="23"/>
  <c r="E21" i="23"/>
  <c r="K21" i="23"/>
  <c r="AF21" i="17"/>
  <c r="AA21" i="17"/>
  <c r="AD21" i="17"/>
  <c r="P21" i="17"/>
  <c r="W21" i="24"/>
  <c r="Y21" i="24"/>
  <c r="AA21" i="23"/>
  <c r="AC21" i="23"/>
  <c r="Y21" i="21"/>
  <c r="D21" i="21"/>
  <c r="U21" i="17"/>
  <c r="AG21" i="17"/>
  <c r="AC21" i="17"/>
  <c r="J21" i="17"/>
  <c r="K21" i="24"/>
  <c r="AB21" i="24"/>
  <c r="AH106" i="24"/>
  <c r="AH14" i="24" s="1"/>
  <c r="AI14" i="24" s="1"/>
  <c r="V21" i="24"/>
  <c r="U21" i="24"/>
  <c r="T21" i="24"/>
  <c r="AH62" i="24"/>
  <c r="AH10" i="24" s="1"/>
  <c r="AI10" i="24" s="1"/>
  <c r="AG21" i="24"/>
  <c r="C21" i="24"/>
  <c r="AC21" i="24"/>
  <c r="W126" i="17"/>
  <c r="AE126" i="17"/>
  <c r="P93" i="17"/>
  <c r="K104" i="17"/>
  <c r="F93" i="17"/>
  <c r="J104" i="17"/>
  <c r="AB104" i="17"/>
  <c r="AF126" i="17"/>
  <c r="O93" i="17"/>
  <c r="AA104" i="17"/>
  <c r="Y104" i="17"/>
  <c r="M126" i="17"/>
  <c r="V126" i="17"/>
  <c r="AD126" i="17"/>
  <c r="U104" i="17"/>
  <c r="T104" i="17"/>
  <c r="AG104" i="17"/>
  <c r="I104" i="17"/>
  <c r="E93" i="17"/>
  <c r="H104" i="17"/>
  <c r="X104" i="17"/>
  <c r="Q126" i="17"/>
  <c r="N126" i="17"/>
  <c r="G93" i="17"/>
  <c r="L126" i="17"/>
  <c r="Z104" i="17"/>
  <c r="S104" i="17"/>
  <c r="R71" i="17"/>
  <c r="AV34" i="21"/>
  <c r="AV33" i="24"/>
  <c r="AU33" i="24" s="1"/>
  <c r="AT33" i="24" s="1"/>
  <c r="AS33" i="24" s="1"/>
  <c r="AN33" i="24" s="1"/>
  <c r="BD33" i="24" s="1"/>
  <c r="AH51" i="14"/>
  <c r="S21" i="14"/>
  <c r="P21" i="14"/>
  <c r="N21" i="23"/>
  <c r="X21" i="23"/>
  <c r="V21" i="23"/>
  <c r="BS58" i="15"/>
  <c r="BV58" i="15"/>
  <c r="BU58" i="15"/>
  <c r="W104" i="16"/>
  <c r="AE93" i="16"/>
  <c r="AA93" i="16"/>
  <c r="V104" i="16"/>
  <c r="H93" i="16"/>
  <c r="AF93" i="16"/>
  <c r="Z104" i="16"/>
  <c r="Q93" i="16"/>
  <c r="M93" i="16"/>
  <c r="L93" i="16"/>
  <c r="I93" i="16"/>
  <c r="G93" i="16"/>
  <c r="R93" i="16"/>
  <c r="U104" i="16"/>
  <c r="BS56" i="21"/>
  <c r="BU56" i="21"/>
  <c r="BX57" i="21"/>
  <c r="AH73" i="23"/>
  <c r="AH11" i="23" s="1"/>
  <c r="AI11" i="23" s="1"/>
  <c r="R148" i="20"/>
  <c r="K137" i="20"/>
  <c r="Y148" i="20"/>
  <c r="G148" i="20"/>
  <c r="AF137" i="20"/>
  <c r="Q148" i="20"/>
  <c r="P148" i="20"/>
  <c r="M137" i="20"/>
  <c r="AE148" i="20"/>
  <c r="I93" i="20"/>
  <c r="V148" i="20"/>
  <c r="AC148" i="20"/>
  <c r="Z148" i="20"/>
  <c r="H148" i="20"/>
  <c r="AG137" i="20"/>
  <c r="L137" i="20"/>
  <c r="AA148" i="20"/>
  <c r="W137" i="20"/>
  <c r="U137" i="20"/>
  <c r="F137" i="20"/>
  <c r="E137" i="20"/>
  <c r="S148" i="20"/>
  <c r="O104" i="20"/>
  <c r="N104" i="20"/>
  <c r="J104" i="20"/>
  <c r="AD148" i="20"/>
  <c r="X137" i="20"/>
  <c r="T148" i="20"/>
  <c r="D137" i="20"/>
  <c r="AB137" i="20"/>
  <c r="BO58" i="15"/>
  <c r="BV57" i="15"/>
  <c r="Z21" i="21"/>
  <c r="AB21" i="21"/>
  <c r="T21" i="23"/>
  <c r="AH51" i="23"/>
  <c r="AH9" i="23" s="1"/>
  <c r="L5" i="13" s="1"/>
  <c r="AH84" i="23"/>
  <c r="AH12" i="23" s="1"/>
  <c r="AI12" i="23" s="1"/>
  <c r="AD21" i="23"/>
  <c r="AH62" i="23"/>
  <c r="AH10" i="23" s="1"/>
  <c r="L6" i="13" s="1"/>
  <c r="AH128" i="24"/>
  <c r="AH16" i="24" s="1"/>
  <c r="AI16" i="24" s="1"/>
  <c r="AH95" i="24"/>
  <c r="AH13" i="24" s="1"/>
  <c r="AI13" i="24" s="1"/>
  <c r="S21" i="24"/>
  <c r="AH117" i="24"/>
  <c r="AH15" i="24" s="1"/>
  <c r="AI15" i="24" s="1"/>
  <c r="AH73" i="14"/>
  <c r="AH11" i="14" s="1"/>
  <c r="AI11" i="14" s="1"/>
  <c r="AU34" i="20"/>
  <c r="AT34" i="20" s="1"/>
  <c r="AS34" i="20" s="1"/>
  <c r="AV34" i="18"/>
  <c r="AU34" i="18" s="1"/>
  <c r="AT34" i="18" s="1"/>
  <c r="AS34" i="18" s="1"/>
  <c r="AR34" i="17"/>
  <c r="AN34" i="17"/>
  <c r="BD34" i="17" s="1"/>
  <c r="D115" i="17" s="1"/>
  <c r="BS58" i="21"/>
  <c r="BP58" i="21"/>
  <c r="BW57" i="21"/>
  <c r="BW55" i="21"/>
  <c r="BX56" i="21"/>
  <c r="AH51" i="21"/>
  <c r="AH9" i="21" s="1"/>
  <c r="J5" i="13" s="1"/>
  <c r="AH62" i="21"/>
  <c r="AH10" i="21" s="1"/>
  <c r="J6" i="13" s="1"/>
  <c r="BP57" i="21"/>
  <c r="AT47" i="21"/>
  <c r="AV47" i="21" s="1"/>
  <c r="C7" i="21" s="1"/>
  <c r="C45" i="21" s="1"/>
  <c r="C46" i="21" s="1"/>
  <c r="BS57" i="21"/>
  <c r="BT55" i="21"/>
  <c r="BQ57" i="21"/>
  <c r="BU57" i="21"/>
  <c r="BR57" i="21"/>
  <c r="BT56" i="21"/>
  <c r="BP56" i="21"/>
  <c r="BO57" i="21"/>
  <c r="AV34" i="19"/>
  <c r="AU34" i="19" s="1"/>
  <c r="AT34" i="19" s="1"/>
  <c r="AS34" i="19" s="1"/>
  <c r="AT48" i="15"/>
  <c r="AV47" i="15" s="1"/>
  <c r="C7" i="15" s="1"/>
  <c r="AT38" i="17"/>
  <c r="AS38" i="17" s="1"/>
  <c r="AN38" i="17" s="1"/>
  <c r="BD38" i="17" s="1"/>
  <c r="BE32" i="17" s="1"/>
  <c r="BP58" i="15"/>
  <c r="BR57" i="15"/>
  <c r="BP55" i="15"/>
  <c r="BT56" i="15"/>
  <c r="BY56" i="15" s="1"/>
  <c r="BZ56" i="15" s="1"/>
  <c r="BO57" i="15"/>
  <c r="BR55" i="15"/>
  <c r="BV55" i="15"/>
  <c r="BP57" i="15"/>
  <c r="BT58" i="15"/>
  <c r="BT57" i="15"/>
  <c r="AV47" i="17"/>
  <c r="C7" i="17" s="1"/>
  <c r="AV47" i="23"/>
  <c r="C7" i="23" s="1"/>
  <c r="C45" i="23" s="1"/>
  <c r="C46" i="23" s="1"/>
  <c r="AH9" i="22"/>
  <c r="K5" i="13" s="1"/>
  <c r="AV47" i="20"/>
  <c r="C7" i="20" s="1"/>
  <c r="D7" i="20" s="1"/>
  <c r="D45" i="20" s="1"/>
  <c r="D46" i="20" s="1"/>
  <c r="AV39" i="20"/>
  <c r="AR33" i="20"/>
  <c r="AU33" i="14"/>
  <c r="AT33" i="14" s="1"/>
  <c r="AS33" i="14" s="1"/>
  <c r="BY57" i="23"/>
  <c r="BZ57" i="23" s="1"/>
  <c r="BY56" i="20"/>
  <c r="BZ56" i="20" s="1"/>
  <c r="AV47" i="19"/>
  <c r="C7" i="19" s="1"/>
  <c r="D7" i="19" s="1"/>
  <c r="BY57" i="18"/>
  <c r="BZ57" i="18" s="1"/>
  <c r="AV47" i="18"/>
  <c r="C7" i="18" s="1"/>
  <c r="C45" i="18" s="1"/>
  <c r="C46" i="18" s="1"/>
  <c r="D7" i="16"/>
  <c r="D45" i="16" s="1"/>
  <c r="D46" i="16" s="1"/>
  <c r="C45" i="16"/>
  <c r="C46" i="16" s="1"/>
  <c r="C175" i="16" s="1"/>
  <c r="K13" i="13"/>
  <c r="AI20" i="20"/>
  <c r="I16" i="13"/>
  <c r="AI15" i="21"/>
  <c r="J11" i="13"/>
  <c r="AI10" i="18"/>
  <c r="G6" i="13"/>
  <c r="AI16" i="20"/>
  <c r="I13" i="13"/>
  <c r="AI14" i="21"/>
  <c r="J10" i="13"/>
  <c r="AI20" i="15"/>
  <c r="D16" i="13"/>
  <c r="AI18" i="15"/>
  <c r="D14" i="13"/>
  <c r="AI13" i="18"/>
  <c r="G9" i="13"/>
  <c r="AI20" i="18"/>
  <c r="G16" i="13"/>
  <c r="AI16" i="16"/>
  <c r="AI20" i="17"/>
  <c r="F16" i="13"/>
  <c r="AI19" i="20"/>
  <c r="I15" i="13"/>
  <c r="AI10" i="17"/>
  <c r="AI17" i="18"/>
  <c r="G13" i="13"/>
  <c r="AI19" i="18"/>
  <c r="G15" i="13"/>
  <c r="AI13" i="22"/>
  <c r="K9" i="13"/>
  <c r="AI18" i="23"/>
  <c r="L14" i="13"/>
  <c r="AI17" i="24"/>
  <c r="M13" i="13"/>
  <c r="AI12" i="18"/>
  <c r="G8" i="13"/>
  <c r="AI18" i="18"/>
  <c r="G14" i="13"/>
  <c r="AI17" i="19"/>
  <c r="H13" i="13"/>
  <c r="AI10" i="20"/>
  <c r="I6" i="13"/>
  <c r="AI19" i="24"/>
  <c r="AI11" i="16"/>
  <c r="E7" i="13"/>
  <c r="AI11" i="17"/>
  <c r="F7" i="13"/>
  <c r="AI15" i="20"/>
  <c r="I11" i="13"/>
  <c r="AI14" i="20"/>
  <c r="I10" i="13"/>
  <c r="AI20" i="22"/>
  <c r="K16" i="13"/>
  <c r="AI14" i="22"/>
  <c r="K10" i="13"/>
  <c r="D8" i="13"/>
  <c r="AI13" i="15"/>
  <c r="D9" i="13"/>
  <c r="AI19" i="17"/>
  <c r="F15" i="13"/>
  <c r="AI15" i="19"/>
  <c r="H11" i="13"/>
  <c r="AI13" i="20"/>
  <c r="I9" i="13"/>
  <c r="AI20" i="21"/>
  <c r="J16" i="13"/>
  <c r="AI12" i="21"/>
  <c r="J8" i="13"/>
  <c r="AI14" i="23"/>
  <c r="L10" i="13"/>
  <c r="AI19" i="15"/>
  <c r="D15" i="13"/>
  <c r="AI13" i="17"/>
  <c r="F9" i="13"/>
  <c r="AI12" i="19"/>
  <c r="H8" i="13"/>
  <c r="AI18" i="21"/>
  <c r="J14" i="13"/>
  <c r="AI15" i="22"/>
  <c r="K11" i="13"/>
  <c r="AI12" i="22"/>
  <c r="K8" i="13"/>
  <c r="AI10" i="22"/>
  <c r="K6" i="13"/>
  <c r="AI16" i="19"/>
  <c r="H12" i="13"/>
  <c r="AI13" i="19"/>
  <c r="H9" i="13"/>
  <c r="AI13" i="21"/>
  <c r="J9" i="13"/>
  <c r="AI20" i="23"/>
  <c r="L16" i="13"/>
  <c r="AI16" i="23"/>
  <c r="L12" i="13"/>
  <c r="M6" i="13"/>
  <c r="AI13" i="14"/>
  <c r="C9" i="13"/>
  <c r="AI15" i="23"/>
  <c r="L11" i="13"/>
  <c r="AI11" i="24"/>
  <c r="M7" i="13"/>
  <c r="AI14" i="17"/>
  <c r="F10" i="13"/>
  <c r="I14" i="13"/>
  <c r="AI11" i="20"/>
  <c r="I7" i="13"/>
  <c r="AI16" i="22"/>
  <c r="K12" i="13"/>
  <c r="AI13" i="23"/>
  <c r="L9" i="13"/>
  <c r="AI19" i="23"/>
  <c r="L15" i="13"/>
  <c r="AI19" i="14"/>
  <c r="AI16" i="14"/>
  <c r="C12" i="13"/>
  <c r="AI11" i="15"/>
  <c r="D7" i="13"/>
  <c r="AI20" i="16"/>
  <c r="E16" i="13"/>
  <c r="AI20" i="24"/>
  <c r="M16" i="13"/>
  <c r="AI12" i="24"/>
  <c r="M8" i="13"/>
  <c r="AI16" i="18"/>
  <c r="G12" i="13"/>
  <c r="AI10" i="16"/>
  <c r="AI14" i="18"/>
  <c r="G10" i="13"/>
  <c r="AI11" i="18"/>
  <c r="G7" i="13"/>
  <c r="AI15" i="18"/>
  <c r="G11" i="13"/>
  <c r="AI18" i="19"/>
  <c r="H14" i="13"/>
  <c r="AI10" i="19"/>
  <c r="H6" i="13"/>
  <c r="AI14" i="19"/>
  <c r="H10" i="13"/>
  <c r="AI12" i="20"/>
  <c r="I8" i="13"/>
  <c r="AI16" i="21"/>
  <c r="J12" i="13"/>
  <c r="AI19" i="21"/>
  <c r="J15" i="13"/>
  <c r="AI19" i="22"/>
  <c r="K15" i="13"/>
  <c r="AI17" i="23"/>
  <c r="L13" i="13"/>
  <c r="AI20" i="14"/>
  <c r="C16" i="13"/>
  <c r="AI14" i="15"/>
  <c r="D10" i="13"/>
  <c r="AI19" i="16"/>
  <c r="E15" i="13"/>
  <c r="AI11" i="19"/>
  <c r="H7" i="13"/>
  <c r="AI17" i="21"/>
  <c r="J13" i="13"/>
  <c r="AI11" i="21"/>
  <c r="J7" i="13"/>
  <c r="AV47" i="24"/>
  <c r="C7" i="24" s="1"/>
  <c r="AR36" i="24"/>
  <c r="AN36" i="24"/>
  <c r="BD36" i="24" s="1"/>
  <c r="AR39" i="24"/>
  <c r="AN39" i="24"/>
  <c r="BD39" i="24" s="1"/>
  <c r="BE33" i="24" s="1"/>
  <c r="AR32" i="24"/>
  <c r="AN32" i="24"/>
  <c r="BD32" i="24" s="1"/>
  <c r="AR33" i="24"/>
  <c r="AR35" i="24"/>
  <c r="AN35" i="24"/>
  <c r="BD35" i="24" s="1"/>
  <c r="AU38" i="24"/>
  <c r="AT38" i="24" s="1"/>
  <c r="AS38" i="24" s="1"/>
  <c r="AU37" i="24"/>
  <c r="AT37" i="24" s="1"/>
  <c r="AS37" i="24" s="1"/>
  <c r="BY56" i="24"/>
  <c r="BZ56" i="24" s="1"/>
  <c r="BY58" i="24"/>
  <c r="BZ58" i="24" s="1"/>
  <c r="BY55" i="24"/>
  <c r="BZ55" i="24" s="1"/>
  <c r="AH9" i="24"/>
  <c r="M5" i="13" s="1"/>
  <c r="AN34" i="24"/>
  <c r="BD34" i="24" s="1"/>
  <c r="AR34" i="24"/>
  <c r="BY57" i="24"/>
  <c r="BZ57" i="24" s="1"/>
  <c r="AN40" i="24"/>
  <c r="BD40" i="24" s="1"/>
  <c r="BE34" i="24" s="1"/>
  <c r="AR40" i="24"/>
  <c r="AR34" i="23"/>
  <c r="AN34" i="23"/>
  <c r="BD34" i="23" s="1"/>
  <c r="AR33" i="23"/>
  <c r="AN33" i="23"/>
  <c r="BD33" i="23" s="1"/>
  <c r="AR32" i="23"/>
  <c r="AN32" i="23"/>
  <c r="BD32" i="23" s="1"/>
  <c r="AR38" i="23"/>
  <c r="AN38" i="23"/>
  <c r="BD38" i="23" s="1"/>
  <c r="BE32" i="23" s="1"/>
  <c r="AR40" i="23"/>
  <c r="AN40" i="23"/>
  <c r="BD40" i="23" s="1"/>
  <c r="BE34" i="23" s="1"/>
  <c r="AR35" i="23"/>
  <c r="AN35" i="23"/>
  <c r="BD35" i="23" s="1"/>
  <c r="AU36" i="23"/>
  <c r="AT36" i="23" s="1"/>
  <c r="AS36" i="23" s="1"/>
  <c r="AV39" i="23"/>
  <c r="BY58" i="23"/>
  <c r="BZ58" i="23" s="1"/>
  <c r="BY55" i="23"/>
  <c r="BZ55" i="23" s="1"/>
  <c r="BY56" i="23"/>
  <c r="BZ56" i="23" s="1"/>
  <c r="AV37" i="23"/>
  <c r="BY55" i="22"/>
  <c r="BZ55" i="22" s="1"/>
  <c r="AR38" i="22"/>
  <c r="AN38" i="22"/>
  <c r="BD38" i="22" s="1"/>
  <c r="BE32" i="22" s="1"/>
  <c r="AR33" i="22"/>
  <c r="AN33" i="22"/>
  <c r="BD33" i="22" s="1"/>
  <c r="AR35" i="22"/>
  <c r="AN35" i="22"/>
  <c r="BD35" i="22" s="1"/>
  <c r="AR36" i="22"/>
  <c r="AN36" i="22"/>
  <c r="BD36" i="22" s="1"/>
  <c r="AN34" i="22"/>
  <c r="BD34" i="22" s="1"/>
  <c r="AR34" i="22"/>
  <c r="AN40" i="22"/>
  <c r="BD40" i="22" s="1"/>
  <c r="BE34" i="22" s="1"/>
  <c r="AR40" i="22"/>
  <c r="C45" i="22"/>
  <c r="C46" i="22" s="1"/>
  <c r="D7" i="22"/>
  <c r="AU39" i="22"/>
  <c r="AT39" i="22" s="1"/>
  <c r="AS39" i="22" s="1"/>
  <c r="BY57" i="22"/>
  <c r="BZ57" i="22" s="1"/>
  <c r="BY58" i="22"/>
  <c r="BZ58" i="22" s="1"/>
  <c r="BY56" i="22"/>
  <c r="BZ56" i="22" s="1"/>
  <c r="AR32" i="22"/>
  <c r="AN32" i="22"/>
  <c r="BD32" i="22" s="1"/>
  <c r="AV37" i="22"/>
  <c r="AR39" i="21"/>
  <c r="AN39" i="21"/>
  <c r="BD39" i="21" s="1"/>
  <c r="BE33" i="21" s="1"/>
  <c r="AN35" i="21"/>
  <c r="BD35" i="21" s="1"/>
  <c r="AR35" i="21"/>
  <c r="AR40" i="21"/>
  <c r="AN40" i="21"/>
  <c r="BD40" i="21" s="1"/>
  <c r="BE34" i="21" s="1"/>
  <c r="AR32" i="21"/>
  <c r="AN32" i="21"/>
  <c r="BD32" i="21" s="1"/>
  <c r="AN38" i="21"/>
  <c r="BD38" i="21" s="1"/>
  <c r="BE32" i="21" s="1"/>
  <c r="AR38" i="21"/>
  <c r="AU37" i="21"/>
  <c r="AT37" i="21" s="1"/>
  <c r="AS37" i="21" s="1"/>
  <c r="AU36" i="21"/>
  <c r="AT36" i="21" s="1"/>
  <c r="AS36" i="21" s="1"/>
  <c r="AR33" i="21"/>
  <c r="AN33" i="21"/>
  <c r="BD33" i="21" s="1"/>
  <c r="AU34" i="21"/>
  <c r="AT34" i="21" s="1"/>
  <c r="AS34" i="21" s="1"/>
  <c r="BY58" i="18"/>
  <c r="BZ58" i="18" s="1"/>
  <c r="AR32" i="20"/>
  <c r="AN32" i="20"/>
  <c r="BD32" i="20" s="1"/>
  <c r="AR40" i="20"/>
  <c r="AN40" i="20"/>
  <c r="BD40" i="20" s="1"/>
  <c r="BE34" i="20" s="1"/>
  <c r="AR37" i="20"/>
  <c r="AN37" i="20"/>
  <c r="BD37" i="20" s="1"/>
  <c r="BY57" i="20"/>
  <c r="BZ57" i="20" s="1"/>
  <c r="AU39" i="20"/>
  <c r="AT39" i="20" s="1"/>
  <c r="AS39" i="20" s="1"/>
  <c r="AH9" i="20"/>
  <c r="I5" i="13" s="1"/>
  <c r="AU38" i="20"/>
  <c r="AT38" i="20" s="1"/>
  <c r="AS38" i="20" s="1"/>
  <c r="BY55" i="20"/>
  <c r="BZ55" i="20" s="1"/>
  <c r="AU35" i="20"/>
  <c r="AT35" i="20" s="1"/>
  <c r="AS35" i="20" s="1"/>
  <c r="BY58" i="20"/>
  <c r="BZ58" i="20" s="1"/>
  <c r="AV36" i="20"/>
  <c r="AU38" i="19"/>
  <c r="AT38" i="19" s="1"/>
  <c r="AS38" i="19" s="1"/>
  <c r="AR34" i="19"/>
  <c r="AN34" i="19"/>
  <c r="BD34" i="19" s="1"/>
  <c r="AN40" i="19"/>
  <c r="BD40" i="19" s="1"/>
  <c r="BE34" i="19" s="1"/>
  <c r="AR40" i="19"/>
  <c r="AN32" i="19"/>
  <c r="BD32" i="19" s="1"/>
  <c r="AR32" i="19"/>
  <c r="AH9" i="19"/>
  <c r="H5" i="13" s="1"/>
  <c r="AV36" i="19"/>
  <c r="BY57" i="19"/>
  <c r="BZ57" i="19" s="1"/>
  <c r="AU37" i="19"/>
  <c r="AT37" i="19" s="1"/>
  <c r="AS37" i="19" s="1"/>
  <c r="AU35" i="19"/>
  <c r="AT35" i="19" s="1"/>
  <c r="AS35" i="19" s="1"/>
  <c r="AR33" i="19"/>
  <c r="AN33" i="19"/>
  <c r="BD33" i="19" s="1"/>
  <c r="BY55" i="19"/>
  <c r="BZ55" i="19" s="1"/>
  <c r="BY56" i="19"/>
  <c r="BZ56" i="19" s="1"/>
  <c r="AU39" i="19"/>
  <c r="AT39" i="19" s="1"/>
  <c r="AS39" i="19" s="1"/>
  <c r="BY58" i="19"/>
  <c r="BZ58" i="19" s="1"/>
  <c r="AN35" i="18"/>
  <c r="BD35" i="18" s="1"/>
  <c r="AR35" i="18"/>
  <c r="AR33" i="18"/>
  <c r="AN33" i="18"/>
  <c r="BD33" i="18" s="1"/>
  <c r="AN37" i="18"/>
  <c r="BD37" i="18" s="1"/>
  <c r="AR37" i="18"/>
  <c r="AR36" i="18"/>
  <c r="AN36" i="18"/>
  <c r="BD36" i="18" s="1"/>
  <c r="AR32" i="18"/>
  <c r="AN32" i="18"/>
  <c r="BD32" i="18" s="1"/>
  <c r="AR34" i="18"/>
  <c r="AN34" i="18"/>
  <c r="BD34" i="18" s="1"/>
  <c r="AR39" i="18"/>
  <c r="AN39" i="18"/>
  <c r="BD39" i="18" s="1"/>
  <c r="BE33" i="18" s="1"/>
  <c r="AV38" i="18"/>
  <c r="AR40" i="18"/>
  <c r="AN40" i="18"/>
  <c r="BD40" i="18" s="1"/>
  <c r="BE34" i="18" s="1"/>
  <c r="BY55" i="18"/>
  <c r="BZ55" i="18" s="1"/>
  <c r="BY56" i="18"/>
  <c r="BZ56" i="18" s="1"/>
  <c r="AN37" i="17"/>
  <c r="BD37" i="17" s="1"/>
  <c r="AR37" i="17"/>
  <c r="AN39" i="17"/>
  <c r="BD39" i="17" s="1"/>
  <c r="BE33" i="17" s="1"/>
  <c r="AR39" i="17"/>
  <c r="AN35" i="17"/>
  <c r="BD35" i="17" s="1"/>
  <c r="AR35" i="17"/>
  <c r="AU40" i="17"/>
  <c r="AT40" i="17" s="1"/>
  <c r="AS40" i="17" s="1"/>
  <c r="BY58" i="17"/>
  <c r="BZ58" i="17" s="1"/>
  <c r="AU36" i="17"/>
  <c r="AT36" i="17" s="1"/>
  <c r="AS36" i="17" s="1"/>
  <c r="AN33" i="17"/>
  <c r="BD33" i="17" s="1"/>
  <c r="AR33" i="17"/>
  <c r="C159" i="17"/>
  <c r="AH159" i="17" s="1"/>
  <c r="AK42" i="17" s="1"/>
  <c r="AK19" i="17" s="1"/>
  <c r="C170" i="17"/>
  <c r="AH170" i="17" s="1"/>
  <c r="AK43" i="17" s="1"/>
  <c r="AK20" i="17" s="1"/>
  <c r="C137" i="17"/>
  <c r="C115" i="17"/>
  <c r="C93" i="17"/>
  <c r="C126" i="17"/>
  <c r="C71" i="17"/>
  <c r="C60" i="17"/>
  <c r="BY57" i="17"/>
  <c r="BZ57" i="17" s="1"/>
  <c r="BY55" i="17"/>
  <c r="BZ55" i="17" s="1"/>
  <c r="AR38" i="17"/>
  <c r="BY56" i="17"/>
  <c r="BZ56" i="17" s="1"/>
  <c r="AN34" i="16"/>
  <c r="BD34" i="16" s="1"/>
  <c r="AR34" i="16"/>
  <c r="AR35" i="16"/>
  <c r="AN35" i="16"/>
  <c r="BD35" i="16" s="1"/>
  <c r="AR38" i="16"/>
  <c r="AN38" i="16"/>
  <c r="BD38" i="16" s="1"/>
  <c r="BE32" i="16" s="1"/>
  <c r="AU37" i="16"/>
  <c r="AT37" i="16" s="1"/>
  <c r="AS37" i="16" s="1"/>
  <c r="C173" i="16"/>
  <c r="C96" i="16"/>
  <c r="C75" i="16"/>
  <c r="BY56" i="16"/>
  <c r="BZ56" i="16" s="1"/>
  <c r="BY57" i="16"/>
  <c r="BZ57" i="16" s="1"/>
  <c r="AU39" i="16"/>
  <c r="AT39" i="16" s="1"/>
  <c r="AS39" i="16" s="1"/>
  <c r="BY58" i="16"/>
  <c r="BZ58" i="16" s="1"/>
  <c r="AR33" i="16"/>
  <c r="AN33" i="16"/>
  <c r="BD33" i="16" s="1"/>
  <c r="D104" i="16" s="1"/>
  <c r="AN40" i="16"/>
  <c r="BD40" i="16" s="1"/>
  <c r="BE34" i="16" s="1"/>
  <c r="AR40" i="16"/>
  <c r="BY55" i="16"/>
  <c r="BZ55" i="16" s="1"/>
  <c r="AU36" i="16"/>
  <c r="AT36" i="16" s="1"/>
  <c r="AS36" i="16" s="1"/>
  <c r="C159" i="16"/>
  <c r="AH159" i="16" s="1"/>
  <c r="AK42" i="16" s="1"/>
  <c r="AK19" i="16" s="1"/>
  <c r="C170" i="16"/>
  <c r="AH170" i="16" s="1"/>
  <c r="AK43" i="16" s="1"/>
  <c r="AK20" i="16" s="1"/>
  <c r="C137" i="16"/>
  <c r="C115" i="16"/>
  <c r="C104" i="16"/>
  <c r="C71" i="16"/>
  <c r="AR36" i="15"/>
  <c r="AN36" i="15"/>
  <c r="BD36" i="15" s="1"/>
  <c r="AN37" i="15"/>
  <c r="BD37" i="15" s="1"/>
  <c r="AR37" i="15"/>
  <c r="AN39" i="15"/>
  <c r="BD39" i="15" s="1"/>
  <c r="BE33" i="15" s="1"/>
  <c r="AR39" i="15"/>
  <c r="AR32" i="15"/>
  <c r="AN32" i="15"/>
  <c r="BD32" i="15" s="1"/>
  <c r="AR34" i="15"/>
  <c r="AN34" i="15"/>
  <c r="BD34" i="15" s="1"/>
  <c r="AU35" i="15"/>
  <c r="AT35" i="15" s="1"/>
  <c r="AS35" i="15" s="1"/>
  <c r="AU33" i="15"/>
  <c r="AT33" i="15" s="1"/>
  <c r="AS33" i="15" s="1"/>
  <c r="AR40" i="15"/>
  <c r="AN40" i="15"/>
  <c r="BD40" i="15" s="1"/>
  <c r="BE34" i="15" s="1"/>
  <c r="AV38" i="15"/>
  <c r="AH9" i="15"/>
  <c r="D5" i="13" s="1"/>
  <c r="AN32" i="14"/>
  <c r="BD32" i="14" s="1"/>
  <c r="AR32" i="14"/>
  <c r="AN34" i="14"/>
  <c r="BD34" i="14" s="1"/>
  <c r="AR34" i="14"/>
  <c r="AN40" i="14"/>
  <c r="BD40" i="14" s="1"/>
  <c r="BE34" i="14" s="1"/>
  <c r="AR40" i="14"/>
  <c r="AN39" i="14"/>
  <c r="BD39" i="14" s="1"/>
  <c r="BE33" i="14" s="1"/>
  <c r="AR39" i="14"/>
  <c r="AU38" i="14"/>
  <c r="AT38" i="14" s="1"/>
  <c r="AS38" i="14" s="1"/>
  <c r="BY56" i="14"/>
  <c r="BZ56" i="14" s="1"/>
  <c r="BY55" i="14"/>
  <c r="BZ55" i="14" s="1"/>
  <c r="AU37" i="14"/>
  <c r="AT37" i="14" s="1"/>
  <c r="AS37" i="14" s="1"/>
  <c r="AN36" i="14"/>
  <c r="BD36" i="14" s="1"/>
  <c r="Y115" i="14" s="1"/>
  <c r="AR36" i="14"/>
  <c r="BY57" i="14"/>
  <c r="BZ57" i="14" s="1"/>
  <c r="AU35" i="14"/>
  <c r="AT35" i="14" s="1"/>
  <c r="AS35" i="14" s="1"/>
  <c r="BY58" i="14"/>
  <c r="BZ58" i="14" s="1"/>
  <c r="AL20" i="1"/>
  <c r="AL19" i="1"/>
  <c r="AI12" i="16" l="1"/>
  <c r="AI10" i="15"/>
  <c r="D13" i="13"/>
  <c r="D11" i="13"/>
  <c r="Z4" i="15"/>
  <c r="Z71" i="15"/>
  <c r="U71" i="15"/>
  <c r="AB49" i="15"/>
  <c r="AB187" i="15" s="1"/>
  <c r="AC49" i="15"/>
  <c r="AC187" i="15" s="1"/>
  <c r="W49" i="15"/>
  <c r="W187" i="15" s="1"/>
  <c r="P71" i="15"/>
  <c r="H71" i="15"/>
  <c r="S49" i="15"/>
  <c r="S187" i="15" s="1"/>
  <c r="G71" i="15"/>
  <c r="AG49" i="15"/>
  <c r="AG187" i="15" s="1"/>
  <c r="E49" i="15"/>
  <c r="E187" i="15" s="1"/>
  <c r="X49" i="15"/>
  <c r="X187" i="15" s="1"/>
  <c r="I49" i="15"/>
  <c r="I187" i="15" s="1"/>
  <c r="Y49" i="15"/>
  <c r="Y187" i="15" s="1"/>
  <c r="T49" i="15"/>
  <c r="T187" i="15" s="1"/>
  <c r="AD71" i="15"/>
  <c r="L71" i="15"/>
  <c r="AD49" i="18"/>
  <c r="AD187" i="18" s="1"/>
  <c r="G49" i="18"/>
  <c r="G187" i="18" s="1"/>
  <c r="I71" i="18"/>
  <c r="AB71" i="18"/>
  <c r="W71" i="18"/>
  <c r="P49" i="18"/>
  <c r="P187" i="18" s="1"/>
  <c r="J71" i="18"/>
  <c r="S71" i="18"/>
  <c r="U49" i="18"/>
  <c r="U187" i="18" s="1"/>
  <c r="Z49" i="18"/>
  <c r="Z187" i="18" s="1"/>
  <c r="M49" i="18"/>
  <c r="M187" i="18" s="1"/>
  <c r="Q49" i="18"/>
  <c r="Q187" i="18" s="1"/>
  <c r="N71" i="18"/>
  <c r="H71" i="18"/>
  <c r="X71" i="18"/>
  <c r="R104" i="14"/>
  <c r="I104" i="14"/>
  <c r="T148" i="14"/>
  <c r="P115" i="14"/>
  <c r="L115" i="14"/>
  <c r="K115" i="14"/>
  <c r="G115" i="14"/>
  <c r="C104" i="17"/>
  <c r="Y137" i="17"/>
  <c r="K137" i="17"/>
  <c r="O115" i="17"/>
  <c r="AF115" i="17"/>
  <c r="L137" i="17"/>
  <c r="J115" i="17"/>
  <c r="H137" i="17"/>
  <c r="AB115" i="17"/>
  <c r="G137" i="17"/>
  <c r="W115" i="17"/>
  <c r="M137" i="17"/>
  <c r="AD104" i="17"/>
  <c r="O60" i="18"/>
  <c r="E82" i="18"/>
  <c r="S82" i="18"/>
  <c r="K60" i="18"/>
  <c r="N82" i="18"/>
  <c r="AB82" i="18"/>
  <c r="Z148" i="18"/>
  <c r="V148" i="18"/>
  <c r="H148" i="18"/>
  <c r="I148" i="18"/>
  <c r="F60" i="18"/>
  <c r="J148" i="18"/>
  <c r="D82" i="18"/>
  <c r="Q60" i="18"/>
  <c r="J60" i="19"/>
  <c r="AC60" i="19"/>
  <c r="AB60" i="19"/>
  <c r="R60" i="19"/>
  <c r="V60" i="19"/>
  <c r="AF60" i="19"/>
  <c r="AA60" i="19"/>
  <c r="T60" i="19"/>
  <c r="Z49" i="19"/>
  <c r="Z187" i="19" s="1"/>
  <c r="E60" i="19"/>
  <c r="AG60" i="19"/>
  <c r="W60" i="19"/>
  <c r="U60" i="19"/>
  <c r="W60" i="24"/>
  <c r="X60" i="24"/>
  <c r="I60" i="24"/>
  <c r="R60" i="24"/>
  <c r="F137" i="15"/>
  <c r="P137" i="15"/>
  <c r="AB82" i="15"/>
  <c r="R137" i="15"/>
  <c r="U137" i="15"/>
  <c r="O137" i="15"/>
  <c r="W137" i="15"/>
  <c r="S137" i="15"/>
  <c r="C82" i="17"/>
  <c r="N60" i="17"/>
  <c r="D60" i="17"/>
  <c r="U82" i="17"/>
  <c r="AB60" i="17"/>
  <c r="X60" i="17"/>
  <c r="I60" i="17"/>
  <c r="R60" i="17"/>
  <c r="H82" i="17"/>
  <c r="G82" i="17"/>
  <c r="P82" i="17"/>
  <c r="W60" i="17"/>
  <c r="AF60" i="17"/>
  <c r="R115" i="18"/>
  <c r="M115" i="18"/>
  <c r="Z126" i="18"/>
  <c r="AD126" i="18"/>
  <c r="Y126" i="18"/>
  <c r="G126" i="18"/>
  <c r="AE126" i="18"/>
  <c r="T126" i="18"/>
  <c r="E115" i="18"/>
  <c r="L126" i="18"/>
  <c r="AF115" i="18"/>
  <c r="X60" i="19"/>
  <c r="M126" i="19"/>
  <c r="E126" i="19"/>
  <c r="AD104" i="19"/>
  <c r="AF49" i="19"/>
  <c r="AF187" i="19" s="1"/>
  <c r="L148" i="19"/>
  <c r="H93" i="19"/>
  <c r="O126" i="19"/>
  <c r="J126" i="19"/>
  <c r="I126" i="19"/>
  <c r="G93" i="19"/>
  <c r="P137" i="19"/>
  <c r="D126" i="19"/>
  <c r="N126" i="19"/>
  <c r="AA93" i="19"/>
  <c r="T115" i="19"/>
  <c r="AF93" i="19"/>
  <c r="D93" i="19"/>
  <c r="P115" i="19"/>
  <c r="W93" i="19"/>
  <c r="K115" i="19"/>
  <c r="Y115" i="19"/>
  <c r="F115" i="19"/>
  <c r="AD115" i="19"/>
  <c r="M93" i="19"/>
  <c r="AA115" i="24"/>
  <c r="I126" i="24"/>
  <c r="BY58" i="15"/>
  <c r="BZ58" i="15" s="1"/>
  <c r="AB71" i="16"/>
  <c r="M71" i="16"/>
  <c r="AF71" i="16"/>
  <c r="P49" i="16"/>
  <c r="P187" i="16" s="1"/>
  <c r="AA71" i="16"/>
  <c r="W71" i="16"/>
  <c r="S71" i="16"/>
  <c r="K49" i="16"/>
  <c r="K187" i="16" s="1"/>
  <c r="I71" i="16"/>
  <c r="AC71" i="16"/>
  <c r="T49" i="16"/>
  <c r="T187" i="16" s="1"/>
  <c r="J49" i="16"/>
  <c r="J187" i="16" s="1"/>
  <c r="C49" i="17"/>
  <c r="AG49" i="17"/>
  <c r="AG187" i="17" s="1"/>
  <c r="F115" i="17"/>
  <c r="Z71" i="17"/>
  <c r="S49" i="17"/>
  <c r="S187" i="17" s="1"/>
  <c r="AA71" i="17"/>
  <c r="N71" i="17"/>
  <c r="Q71" i="17"/>
  <c r="T49" i="17"/>
  <c r="T187" i="17" s="1"/>
  <c r="E115" i="17"/>
  <c r="V71" i="17"/>
  <c r="L71" i="17"/>
  <c r="M71" i="17"/>
  <c r="I71" i="17"/>
  <c r="AE71" i="17"/>
  <c r="Z82" i="24"/>
  <c r="Y82" i="24"/>
  <c r="AA82" i="24"/>
  <c r="P82" i="24"/>
  <c r="AD82" i="24"/>
  <c r="AE82" i="24"/>
  <c r="P137" i="18"/>
  <c r="AB137" i="18"/>
  <c r="L137" i="18"/>
  <c r="E137" i="18"/>
  <c r="T82" i="18"/>
  <c r="Y82" i="18"/>
  <c r="J82" i="18"/>
  <c r="AE137" i="18"/>
  <c r="AC137" i="18"/>
  <c r="X82" i="18"/>
  <c r="AD137" i="18"/>
  <c r="W82" i="18"/>
  <c r="F137" i="18"/>
  <c r="AF137" i="18"/>
  <c r="AA137" i="18"/>
  <c r="N148" i="18"/>
  <c r="S137" i="18"/>
  <c r="I82" i="18"/>
  <c r="AF93" i="15"/>
  <c r="Q93" i="15"/>
  <c r="F104" i="15"/>
  <c r="D93" i="15"/>
  <c r="K104" i="15"/>
  <c r="R93" i="15"/>
  <c r="AG104" i="15"/>
  <c r="N104" i="15"/>
  <c r="Y104" i="15"/>
  <c r="H93" i="15"/>
  <c r="AA93" i="15"/>
  <c r="AE93" i="15"/>
  <c r="X104" i="15"/>
  <c r="M93" i="15"/>
  <c r="J104" i="15"/>
  <c r="C49" i="16"/>
  <c r="E115" i="16"/>
  <c r="W115" i="16"/>
  <c r="AF115" i="16"/>
  <c r="L115" i="16"/>
  <c r="U115" i="16"/>
  <c r="J115" i="16"/>
  <c r="T71" i="16"/>
  <c r="M137" i="16"/>
  <c r="K93" i="16"/>
  <c r="P104" i="16"/>
  <c r="Y71" i="16"/>
  <c r="V115" i="16"/>
  <c r="AD148" i="16"/>
  <c r="C60" i="16"/>
  <c r="AA148" i="16"/>
  <c r="AE60" i="16"/>
  <c r="F60" i="16"/>
  <c r="AB148" i="16"/>
  <c r="M115" i="16"/>
  <c r="R82" i="16"/>
  <c r="AF82" i="16"/>
  <c r="O115" i="16"/>
  <c r="N115" i="16"/>
  <c r="D82" i="16"/>
  <c r="AD60" i="16"/>
  <c r="K60" i="16"/>
  <c r="I82" i="16"/>
  <c r="P60" i="16"/>
  <c r="Y60" i="16"/>
  <c r="W82" i="16"/>
  <c r="T60" i="16"/>
  <c r="AC148" i="16"/>
  <c r="L115" i="18"/>
  <c r="R93" i="18"/>
  <c r="Y104" i="18"/>
  <c r="M93" i="18"/>
  <c r="V93" i="18"/>
  <c r="AC104" i="18"/>
  <c r="O71" i="18"/>
  <c r="AF93" i="18"/>
  <c r="Q115" i="18"/>
  <c r="P115" i="18"/>
  <c r="G93" i="18"/>
  <c r="U104" i="18"/>
  <c r="AA93" i="18"/>
  <c r="K71" i="18"/>
  <c r="D93" i="18"/>
  <c r="H93" i="18"/>
  <c r="AD159" i="24"/>
  <c r="AC159" i="24"/>
  <c r="L148" i="24"/>
  <c r="P159" i="24"/>
  <c r="U148" i="24"/>
  <c r="O159" i="24"/>
  <c r="S137" i="24"/>
  <c r="AC49" i="17"/>
  <c r="AC187" i="17" s="1"/>
  <c r="AI14" i="14"/>
  <c r="C8" i="13"/>
  <c r="AI10" i="14"/>
  <c r="D7" i="14"/>
  <c r="M14" i="13"/>
  <c r="H16" i="13"/>
  <c r="H15" i="13"/>
  <c r="Z4" i="19"/>
  <c r="AH9" i="18"/>
  <c r="G5" i="13" s="1"/>
  <c r="AI15" i="17"/>
  <c r="F14" i="13"/>
  <c r="F13" i="13"/>
  <c r="F8" i="13"/>
  <c r="E14" i="13"/>
  <c r="AI13" i="16"/>
  <c r="E11" i="13"/>
  <c r="E10" i="13"/>
  <c r="E13" i="13"/>
  <c r="Z4" i="16"/>
  <c r="L7" i="13"/>
  <c r="K14" i="13"/>
  <c r="K7" i="13"/>
  <c r="AI16" i="15"/>
  <c r="C45" i="15"/>
  <c r="C46" i="15" s="1"/>
  <c r="D7" i="15"/>
  <c r="F104" i="14"/>
  <c r="D93" i="14"/>
  <c r="C97" i="16"/>
  <c r="AH9" i="16"/>
  <c r="E5" i="13" s="1"/>
  <c r="AI16" i="17"/>
  <c r="Z4" i="20"/>
  <c r="BY55" i="21"/>
  <c r="BZ55" i="21" s="1"/>
  <c r="C64" i="16"/>
  <c r="C164" i="16"/>
  <c r="Z4" i="17"/>
  <c r="Z4" i="22"/>
  <c r="G71" i="14"/>
  <c r="AA71" i="14"/>
  <c r="Z71" i="14"/>
  <c r="T49" i="14"/>
  <c r="T187" i="14" s="1"/>
  <c r="O49" i="14"/>
  <c r="O187" i="14" s="1"/>
  <c r="U71" i="14"/>
  <c r="Q71" i="14"/>
  <c r="L71" i="14"/>
  <c r="F49" i="14"/>
  <c r="F187" i="14" s="1"/>
  <c r="H71" i="14"/>
  <c r="E49" i="14"/>
  <c r="E187" i="14" s="1"/>
  <c r="AC49" i="14"/>
  <c r="AC187" i="14" s="1"/>
  <c r="P71" i="14"/>
  <c r="M71" i="14"/>
  <c r="V71" i="14"/>
  <c r="W137" i="14"/>
  <c r="Q82" i="14"/>
  <c r="E104" i="14"/>
  <c r="P82" i="14"/>
  <c r="U148" i="14"/>
  <c r="K137" i="14"/>
  <c r="J93" i="14"/>
  <c r="F93" i="14"/>
  <c r="W104" i="14"/>
  <c r="S104" i="14"/>
  <c r="T104" i="14"/>
  <c r="AC104" i="14"/>
  <c r="X104" i="14"/>
  <c r="E93" i="14"/>
  <c r="R93" i="14"/>
  <c r="AB104" i="14"/>
  <c r="O104" i="14"/>
  <c r="N104" i="14"/>
  <c r="C13" i="13"/>
  <c r="AI18" i="14"/>
  <c r="C11" i="13"/>
  <c r="C7" i="13"/>
  <c r="Z4" i="14"/>
  <c r="AH9" i="14"/>
  <c r="C5" i="13" s="1"/>
  <c r="E148" i="24"/>
  <c r="O126" i="24"/>
  <c r="G126" i="24"/>
  <c r="AB104" i="24"/>
  <c r="X104" i="24"/>
  <c r="V104" i="24"/>
  <c r="H104" i="24"/>
  <c r="W104" i="24"/>
  <c r="AE126" i="24"/>
  <c r="BY55" i="15"/>
  <c r="BZ55" i="15" s="1"/>
  <c r="BY58" i="21"/>
  <c r="BZ58" i="21" s="1"/>
  <c r="AF104" i="24"/>
  <c r="AG104" i="24"/>
  <c r="Z71" i="24"/>
  <c r="Y71" i="24"/>
  <c r="N71" i="24"/>
  <c r="F93" i="24"/>
  <c r="AC93" i="24"/>
  <c r="M115" i="24"/>
  <c r="U93" i="24"/>
  <c r="H115" i="24"/>
  <c r="O93" i="24"/>
  <c r="V115" i="24"/>
  <c r="M148" i="24"/>
  <c r="N148" i="24"/>
  <c r="R137" i="24"/>
  <c r="AB148" i="24"/>
  <c r="T148" i="24"/>
  <c r="K148" i="24"/>
  <c r="AA60" i="24"/>
  <c r="M10" i="13"/>
  <c r="M12" i="13"/>
  <c r="L49" i="24"/>
  <c r="L187" i="24" s="1"/>
  <c r="S71" i="24"/>
  <c r="I71" i="24"/>
  <c r="Q49" i="24"/>
  <c r="Q187" i="24" s="1"/>
  <c r="M159" i="24"/>
  <c r="R71" i="24"/>
  <c r="AA71" i="24"/>
  <c r="N159" i="24"/>
  <c r="E71" i="24"/>
  <c r="D71" i="24"/>
  <c r="G49" i="24"/>
  <c r="G187" i="24" s="1"/>
  <c r="K49" i="24"/>
  <c r="K187" i="24" s="1"/>
  <c r="F159" i="24"/>
  <c r="J71" i="24"/>
  <c r="P49" i="24"/>
  <c r="P187" i="24" s="1"/>
  <c r="U49" i="24"/>
  <c r="U187" i="24" s="1"/>
  <c r="O159" i="14"/>
  <c r="AE159" i="14"/>
  <c r="U159" i="14"/>
  <c r="X137" i="14"/>
  <c r="Q115" i="14"/>
  <c r="AD71" i="14"/>
  <c r="E49" i="16"/>
  <c r="E187" i="16" s="1"/>
  <c r="Z137" i="16"/>
  <c r="W93" i="16"/>
  <c r="H104" i="16"/>
  <c r="U93" i="16"/>
  <c r="K137" i="16"/>
  <c r="X115" i="16"/>
  <c r="D93" i="16"/>
  <c r="L104" i="16"/>
  <c r="R104" i="16"/>
  <c r="T137" i="16"/>
  <c r="S137" i="16"/>
  <c r="M104" i="16"/>
  <c r="AB115" i="16"/>
  <c r="F104" i="16"/>
  <c r="Q104" i="16"/>
  <c r="O137" i="16"/>
  <c r="N137" i="16"/>
  <c r="AC115" i="16"/>
  <c r="AE115" i="16"/>
  <c r="G104" i="16"/>
  <c r="V93" i="16"/>
  <c r="Y115" i="18"/>
  <c r="O82" i="18"/>
  <c r="AE49" i="18"/>
  <c r="AE187" i="18" s="1"/>
  <c r="P60" i="18"/>
  <c r="U82" i="18"/>
  <c r="N126" i="18"/>
  <c r="E126" i="18"/>
  <c r="AB93" i="18"/>
  <c r="K93" i="18"/>
  <c r="J93" i="18"/>
  <c r="Z71" i="18"/>
  <c r="Q82" i="18"/>
  <c r="S93" i="18"/>
  <c r="AC93" i="18"/>
  <c r="V82" i="18"/>
  <c r="I93" i="18"/>
  <c r="AA71" i="18"/>
  <c r="L60" i="18"/>
  <c r="D60" i="18"/>
  <c r="G60" i="18"/>
  <c r="AF49" i="18"/>
  <c r="AF187" i="18" s="1"/>
  <c r="X115" i="18"/>
  <c r="AD93" i="18"/>
  <c r="F126" i="18"/>
  <c r="W115" i="18"/>
  <c r="T93" i="18"/>
  <c r="M60" i="18"/>
  <c r="R82" i="18"/>
  <c r="H60" i="18"/>
  <c r="AE49" i="19"/>
  <c r="AE187" i="19" s="1"/>
  <c r="L115" i="19"/>
  <c r="AG49" i="19"/>
  <c r="AG187" i="19" s="1"/>
  <c r="W82" i="19"/>
  <c r="I60" i="19"/>
  <c r="P49" i="19"/>
  <c r="P187" i="19" s="1"/>
  <c r="AC49" i="19"/>
  <c r="AC187" i="19" s="1"/>
  <c r="K49" i="19"/>
  <c r="K187" i="19" s="1"/>
  <c r="S49" i="19"/>
  <c r="S187" i="19" s="1"/>
  <c r="R82" i="19"/>
  <c r="O49" i="19"/>
  <c r="O187" i="19" s="1"/>
  <c r="H60" i="19"/>
  <c r="N49" i="19"/>
  <c r="N187" i="19" s="1"/>
  <c r="X49" i="19"/>
  <c r="X187" i="19" s="1"/>
  <c r="E49" i="19"/>
  <c r="E187" i="19" s="1"/>
  <c r="D82" i="19"/>
  <c r="AB49" i="19"/>
  <c r="AB187" i="19" s="1"/>
  <c r="J49" i="19"/>
  <c r="J187" i="19" s="1"/>
  <c r="AA82" i="19"/>
  <c r="AD49" i="19"/>
  <c r="AD187" i="19" s="1"/>
  <c r="G60" i="19"/>
  <c r="M49" i="19"/>
  <c r="M187" i="19" s="1"/>
  <c r="Y49" i="19"/>
  <c r="Y187" i="19" s="1"/>
  <c r="F49" i="19"/>
  <c r="F187" i="19" s="1"/>
  <c r="K49" i="15"/>
  <c r="K187" i="15" s="1"/>
  <c r="H49" i="15"/>
  <c r="H187" i="15" s="1"/>
  <c r="L49" i="15"/>
  <c r="L187" i="15" s="1"/>
  <c r="X82" i="15"/>
  <c r="Y82" i="15"/>
  <c r="T82" i="15"/>
  <c r="AF71" i="15"/>
  <c r="W71" i="15"/>
  <c r="D71" i="15"/>
  <c r="J49" i="15"/>
  <c r="J187" i="15" s="1"/>
  <c r="AG71" i="15"/>
  <c r="O49" i="15"/>
  <c r="O187" i="15" s="1"/>
  <c r="Q49" i="15"/>
  <c r="Q187" i="15" s="1"/>
  <c r="F49" i="15"/>
  <c r="F187" i="15" s="1"/>
  <c r="AE71" i="15"/>
  <c r="P49" i="15"/>
  <c r="P187" i="15" s="1"/>
  <c r="AC71" i="15"/>
  <c r="AA71" i="15"/>
  <c r="R71" i="15"/>
  <c r="N49" i="15"/>
  <c r="N187" i="15" s="1"/>
  <c r="M71" i="15"/>
  <c r="AD82" i="15"/>
  <c r="I71" i="15"/>
  <c r="S71" i="15"/>
  <c r="V71" i="15"/>
  <c r="E71" i="15"/>
  <c r="C74" i="16"/>
  <c r="C107" i="16"/>
  <c r="C86" i="16"/>
  <c r="C119" i="16"/>
  <c r="C152" i="16"/>
  <c r="C141" i="16"/>
  <c r="N49" i="18"/>
  <c r="N187" i="18" s="1"/>
  <c r="AB49" i="18"/>
  <c r="AB187" i="18" s="1"/>
  <c r="E49" i="18"/>
  <c r="E187" i="18" s="1"/>
  <c r="I49" i="18"/>
  <c r="I187" i="18" s="1"/>
  <c r="AE82" i="18"/>
  <c r="AF82" i="18"/>
  <c r="S49" i="18"/>
  <c r="S187" i="18" s="1"/>
  <c r="W49" i="18"/>
  <c r="W187" i="18" s="1"/>
  <c r="T49" i="18"/>
  <c r="T187" i="18" s="1"/>
  <c r="R71" i="18"/>
  <c r="X49" i="18"/>
  <c r="X187" i="18" s="1"/>
  <c r="J49" i="18"/>
  <c r="J187" i="18" s="1"/>
  <c r="O49" i="18"/>
  <c r="O187" i="18" s="1"/>
  <c r="AD82" i="18"/>
  <c r="Z82" i="18"/>
  <c r="G82" i="18"/>
  <c r="V71" i="18"/>
  <c r="K49" i="18"/>
  <c r="K187" i="18" s="1"/>
  <c r="F49" i="18"/>
  <c r="F187" i="18" s="1"/>
  <c r="Y49" i="18"/>
  <c r="Y187" i="18" s="1"/>
  <c r="AC49" i="18"/>
  <c r="AC187" i="18" s="1"/>
  <c r="D71" i="18"/>
  <c r="Q71" i="18"/>
  <c r="H82" i="18"/>
  <c r="AA82" i="18"/>
  <c r="M82" i="18"/>
  <c r="P71" i="18"/>
  <c r="L82" i="18"/>
  <c r="U71" i="18"/>
  <c r="X148" i="18"/>
  <c r="Z137" i="18"/>
  <c r="Q137" i="18"/>
  <c r="AA148" i="18"/>
  <c r="W148" i="18"/>
  <c r="M137" i="18"/>
  <c r="T148" i="18"/>
  <c r="S126" i="18"/>
  <c r="AF148" i="18"/>
  <c r="AB148" i="18"/>
  <c r="N137" i="18"/>
  <c r="AD148" i="18"/>
  <c r="R137" i="18"/>
  <c r="U148" i="18"/>
  <c r="I137" i="18"/>
  <c r="L49" i="18"/>
  <c r="L187" i="18" s="1"/>
  <c r="H137" i="18"/>
  <c r="D137" i="18"/>
  <c r="F115" i="18"/>
  <c r="V137" i="18"/>
  <c r="E104" i="18"/>
  <c r="P82" i="18"/>
  <c r="AC148" i="18"/>
  <c r="Y148" i="18"/>
  <c r="O137" i="18"/>
  <c r="K137" i="18"/>
  <c r="J137" i="18"/>
  <c r="G137" i="18"/>
  <c r="AE148" i="18"/>
  <c r="W137" i="18"/>
  <c r="P126" i="18"/>
  <c r="T115" i="18"/>
  <c r="U137" i="18"/>
  <c r="I115" i="18"/>
  <c r="AF104" i="18"/>
  <c r="E93" i="18"/>
  <c r="M104" i="18"/>
  <c r="G115" i="18"/>
  <c r="F93" i="18"/>
  <c r="O126" i="18"/>
  <c r="AD104" i="18"/>
  <c r="J115" i="18"/>
  <c r="H115" i="18"/>
  <c r="V115" i="18"/>
  <c r="AA104" i="18"/>
  <c r="Y137" i="18"/>
  <c r="X137" i="18"/>
  <c r="S115" i="18"/>
  <c r="Z104" i="18"/>
  <c r="AE104" i="18"/>
  <c r="Q126" i="18"/>
  <c r="K115" i="18"/>
  <c r="D115" i="18"/>
  <c r="AC115" i="18"/>
  <c r="L104" i="18"/>
  <c r="AB115" i="18"/>
  <c r="R126" i="18"/>
  <c r="N115" i="18"/>
  <c r="O148" i="19"/>
  <c r="U137" i="19"/>
  <c r="N148" i="19"/>
  <c r="M137" i="19"/>
  <c r="E115" i="19"/>
  <c r="V137" i="19"/>
  <c r="K148" i="19"/>
  <c r="P148" i="19"/>
  <c r="J148" i="19"/>
  <c r="R137" i="19"/>
  <c r="AC137" i="19"/>
  <c r="Y148" i="19"/>
  <c r="F148" i="19"/>
  <c r="AF104" i="19"/>
  <c r="T104" i="19"/>
  <c r="AG104" i="19"/>
  <c r="I137" i="19"/>
  <c r="D137" i="19"/>
  <c r="AB137" i="19"/>
  <c r="Q137" i="19"/>
  <c r="S104" i="19"/>
  <c r="AA137" i="19"/>
  <c r="X115" i="19"/>
  <c r="Z93" i="19"/>
  <c r="AE104" i="19"/>
  <c r="W115" i="19"/>
  <c r="Z115" i="19"/>
  <c r="AA115" i="19"/>
  <c r="Q115" i="19"/>
  <c r="I115" i="19"/>
  <c r="D115" i="19"/>
  <c r="N93" i="19"/>
  <c r="AE115" i="19"/>
  <c r="V115" i="19"/>
  <c r="X93" i="19"/>
  <c r="T93" i="19"/>
  <c r="AF115" i="19"/>
  <c r="F93" i="19"/>
  <c r="S93" i="19"/>
  <c r="AD93" i="19"/>
  <c r="Y104" i="19"/>
  <c r="AC93" i="19"/>
  <c r="K93" i="19"/>
  <c r="J93" i="19"/>
  <c r="M115" i="19"/>
  <c r="G115" i="19"/>
  <c r="E93" i="19"/>
  <c r="AG93" i="19"/>
  <c r="P93" i="19"/>
  <c r="O93" i="19"/>
  <c r="L93" i="19"/>
  <c r="H115" i="19"/>
  <c r="R93" i="19"/>
  <c r="AB93" i="19"/>
  <c r="U115" i="19"/>
  <c r="R170" i="21"/>
  <c r="AF170" i="21"/>
  <c r="Q115" i="21"/>
  <c r="O115" i="21"/>
  <c r="T126" i="21"/>
  <c r="Z126" i="21"/>
  <c r="P115" i="21"/>
  <c r="AD126" i="21"/>
  <c r="L159" i="21"/>
  <c r="K159" i="21"/>
  <c r="AE126" i="21"/>
  <c r="AC126" i="21"/>
  <c r="I104" i="21"/>
  <c r="D93" i="21"/>
  <c r="U126" i="21"/>
  <c r="F115" i="21"/>
  <c r="V93" i="21"/>
  <c r="Y126" i="21"/>
  <c r="G115" i="21"/>
  <c r="J104" i="21"/>
  <c r="H104" i="21"/>
  <c r="N93" i="21"/>
  <c r="M93" i="21"/>
  <c r="X93" i="21"/>
  <c r="E93" i="21"/>
  <c r="AA93" i="21"/>
  <c r="W93" i="21"/>
  <c r="S93" i="21"/>
  <c r="AB93" i="21"/>
  <c r="P148" i="22"/>
  <c r="X82" i="22"/>
  <c r="AF82" i="22"/>
  <c r="AB82" i="22"/>
  <c r="N82" i="22"/>
  <c r="H148" i="22"/>
  <c r="F148" i="22"/>
  <c r="K148" i="22"/>
  <c r="J82" i="22"/>
  <c r="AE71" i="22"/>
  <c r="I82" i="22"/>
  <c r="AD71" i="22"/>
  <c r="S82" i="22"/>
  <c r="E82" i="22"/>
  <c r="O82" i="22"/>
  <c r="M148" i="22"/>
  <c r="Q148" i="22"/>
  <c r="AA148" i="22"/>
  <c r="T71" i="22"/>
  <c r="D82" i="22"/>
  <c r="Z71" i="22"/>
  <c r="G148" i="22"/>
  <c r="L148" i="22"/>
  <c r="V71" i="22"/>
  <c r="U71" i="22"/>
  <c r="W82" i="22"/>
  <c r="AG82" i="22"/>
  <c r="R82" i="22"/>
  <c r="AC82" i="22"/>
  <c r="Y71" i="22"/>
  <c r="I115" i="23"/>
  <c r="Q115" i="23"/>
  <c r="Z93" i="23"/>
  <c r="Y93" i="23"/>
  <c r="X93" i="23"/>
  <c r="D115" i="23"/>
  <c r="U93" i="23"/>
  <c r="K93" i="23"/>
  <c r="J93" i="23"/>
  <c r="W115" i="23"/>
  <c r="G93" i="23"/>
  <c r="T93" i="23"/>
  <c r="AB115" i="23"/>
  <c r="H115" i="23"/>
  <c r="E115" i="23"/>
  <c r="F93" i="23"/>
  <c r="S115" i="23"/>
  <c r="R115" i="23"/>
  <c r="AC93" i="23"/>
  <c r="AA115" i="23"/>
  <c r="AE115" i="23"/>
  <c r="P93" i="23"/>
  <c r="M115" i="23"/>
  <c r="V115" i="23"/>
  <c r="N115" i="23"/>
  <c r="AF115" i="23"/>
  <c r="AD93" i="23"/>
  <c r="O93" i="23"/>
  <c r="L93" i="23"/>
  <c r="X60" i="23"/>
  <c r="V60" i="23"/>
  <c r="N49" i="23"/>
  <c r="N187" i="23" s="1"/>
  <c r="AD60" i="23"/>
  <c r="AC60" i="23"/>
  <c r="Y60" i="23"/>
  <c r="W60" i="23"/>
  <c r="Z60" i="23"/>
  <c r="BY57" i="15"/>
  <c r="BZ57" i="15" s="1"/>
  <c r="Q49" i="17"/>
  <c r="Q187" i="17" s="1"/>
  <c r="M49" i="17"/>
  <c r="M187" i="17" s="1"/>
  <c r="W49" i="17"/>
  <c r="W187" i="17" s="1"/>
  <c r="AE49" i="17"/>
  <c r="AE187" i="17" s="1"/>
  <c r="AC71" i="17"/>
  <c r="AF49" i="17"/>
  <c r="AF187" i="17" s="1"/>
  <c r="AA49" i="17"/>
  <c r="AA187" i="17" s="1"/>
  <c r="I49" i="17"/>
  <c r="I187" i="17" s="1"/>
  <c r="R49" i="17"/>
  <c r="R187" i="17" s="1"/>
  <c r="Y71" i="17"/>
  <c r="D49" i="17"/>
  <c r="D187" i="17" s="1"/>
  <c r="AG71" i="17"/>
  <c r="T71" i="17"/>
  <c r="F71" i="17"/>
  <c r="P71" i="17"/>
  <c r="U71" i="17"/>
  <c r="H71" i="17"/>
  <c r="S71" i="17"/>
  <c r="L49" i="17"/>
  <c r="L187" i="17" s="1"/>
  <c r="E71" i="17"/>
  <c r="X71" i="17"/>
  <c r="AB49" i="17"/>
  <c r="AB187" i="17" s="1"/>
  <c r="G71" i="17"/>
  <c r="AD71" i="17"/>
  <c r="V49" i="17"/>
  <c r="V187" i="17" s="1"/>
  <c r="Z49" i="17"/>
  <c r="Z187" i="17" s="1"/>
  <c r="O71" i="17"/>
  <c r="K71" i="17"/>
  <c r="J49" i="17"/>
  <c r="J187" i="17" s="1"/>
  <c r="N49" i="17"/>
  <c r="N187" i="17" s="1"/>
  <c r="AE126" i="15"/>
  <c r="R126" i="15"/>
  <c r="T93" i="15"/>
  <c r="P93" i="15"/>
  <c r="L93" i="15"/>
  <c r="AA104" i="15"/>
  <c r="K93" i="15"/>
  <c r="X93" i="15"/>
  <c r="G93" i="15"/>
  <c r="AB104" i="15"/>
  <c r="I104" i="15"/>
  <c r="J93" i="15"/>
  <c r="AG126" i="15"/>
  <c r="E104" i="15"/>
  <c r="Z93" i="15"/>
  <c r="F93" i="15"/>
  <c r="Q71" i="15"/>
  <c r="N93" i="15"/>
  <c r="M104" i="15"/>
  <c r="O93" i="15"/>
  <c r="V126" i="15"/>
  <c r="AF126" i="15"/>
  <c r="AD93" i="15"/>
  <c r="AC93" i="15"/>
  <c r="Y93" i="15"/>
  <c r="H104" i="15"/>
  <c r="D104" i="15"/>
  <c r="U93" i="15"/>
  <c r="H60" i="16"/>
  <c r="K82" i="16"/>
  <c r="F82" i="16"/>
  <c r="Z60" i="16"/>
  <c r="R60" i="16"/>
  <c r="G60" i="16"/>
  <c r="S115" i="16"/>
  <c r="AA104" i="16"/>
  <c r="T115" i="16"/>
  <c r="AA60" i="16"/>
  <c r="M60" i="16"/>
  <c r="AD82" i="16"/>
  <c r="D60" i="16"/>
  <c r="L60" i="16"/>
  <c r="Q60" i="16"/>
  <c r="Y82" i="16"/>
  <c r="U60" i="16"/>
  <c r="P82" i="16"/>
  <c r="W60" i="16"/>
  <c r="J82" i="16"/>
  <c r="V60" i="16"/>
  <c r="E82" i="16"/>
  <c r="I60" i="16"/>
  <c r="X82" i="16"/>
  <c r="P60" i="17"/>
  <c r="O60" i="17"/>
  <c r="T60" i="17"/>
  <c r="X49" i="17"/>
  <c r="X187" i="17" s="1"/>
  <c r="AC60" i="17"/>
  <c r="AD60" i="17"/>
  <c r="AG60" i="17"/>
  <c r="K60" i="17"/>
  <c r="J60" i="17"/>
  <c r="AF82" i="17"/>
  <c r="R82" i="17"/>
  <c r="D82" i="17"/>
  <c r="Y60" i="17"/>
  <c r="E60" i="17"/>
  <c r="I126" i="17"/>
  <c r="W82" i="17"/>
  <c r="S60" i="17"/>
  <c r="U60" i="17"/>
  <c r="V82" i="17"/>
  <c r="G60" i="17"/>
  <c r="N82" i="17"/>
  <c r="H126" i="17"/>
  <c r="AE82" i="17"/>
  <c r="Q82" i="17"/>
  <c r="F60" i="17"/>
  <c r="P159" i="14"/>
  <c r="D159" i="14"/>
  <c r="N159" i="14"/>
  <c r="F148" i="15"/>
  <c r="AG148" i="15"/>
  <c r="V148" i="15"/>
  <c r="U148" i="15"/>
  <c r="T115" i="15"/>
  <c r="AA137" i="15"/>
  <c r="N148" i="15"/>
  <c r="K137" i="15"/>
  <c r="O115" i="15"/>
  <c r="J137" i="15"/>
  <c r="S148" i="15"/>
  <c r="L137" i="15"/>
  <c r="Z148" i="15"/>
  <c r="W148" i="15"/>
  <c r="AC137" i="15"/>
  <c r="X148" i="15"/>
  <c r="G148" i="15"/>
  <c r="I148" i="15"/>
  <c r="Y148" i="15"/>
  <c r="E148" i="15"/>
  <c r="AB137" i="15"/>
  <c r="C93" i="16"/>
  <c r="C52" i="16"/>
  <c r="C118" i="16"/>
  <c r="C129" i="16"/>
  <c r="C108" i="16"/>
  <c r="C140" i="16"/>
  <c r="C174" i="16"/>
  <c r="C162" i="16"/>
  <c r="W170" i="21"/>
  <c r="AE82" i="21"/>
  <c r="O82" i="21"/>
  <c r="AC82" i="21"/>
  <c r="M71" i="21"/>
  <c r="P82" i="21"/>
  <c r="Y170" i="21"/>
  <c r="V170" i="21"/>
  <c r="Z82" i="21"/>
  <c r="I71" i="21"/>
  <c r="N71" i="21"/>
  <c r="J71" i="21"/>
  <c r="T82" i="21"/>
  <c r="H71" i="21"/>
  <c r="R71" i="21"/>
  <c r="U82" i="21"/>
  <c r="Q82" i="21"/>
  <c r="G82" i="21"/>
  <c r="AB71" i="21"/>
  <c r="AD82" i="21"/>
  <c r="S71" i="21"/>
  <c r="D71" i="21"/>
  <c r="AF71" i="21"/>
  <c r="L82" i="21"/>
  <c r="AA71" i="21"/>
  <c r="K82" i="21"/>
  <c r="X71" i="21"/>
  <c r="F82" i="21"/>
  <c r="E71" i="21"/>
  <c r="AG49" i="22"/>
  <c r="AG187" i="22" s="1"/>
  <c r="M49" i="22"/>
  <c r="M187" i="22" s="1"/>
  <c r="I49" i="22"/>
  <c r="I187" i="22" s="1"/>
  <c r="P60" i="22"/>
  <c r="AE60" i="22"/>
  <c r="N49" i="22"/>
  <c r="N187" i="22" s="1"/>
  <c r="F60" i="22"/>
  <c r="V60" i="22"/>
  <c r="S93" i="22"/>
  <c r="R49" i="22"/>
  <c r="R187" i="22" s="1"/>
  <c r="AF49" i="22"/>
  <c r="AF187" i="22" s="1"/>
  <c r="J49" i="22"/>
  <c r="J187" i="22" s="1"/>
  <c r="AD60" i="22"/>
  <c r="AA49" i="22"/>
  <c r="AA187" i="22" s="1"/>
  <c r="O49" i="22"/>
  <c r="O187" i="22" s="1"/>
  <c r="U60" i="22"/>
  <c r="X49" i="22"/>
  <c r="X187" i="22" s="1"/>
  <c r="T60" i="22"/>
  <c r="K60" i="22"/>
  <c r="W49" i="22"/>
  <c r="W187" i="22" s="1"/>
  <c r="AB49" i="22"/>
  <c r="AB187" i="22" s="1"/>
  <c r="AC49" i="22"/>
  <c r="AC187" i="22" s="1"/>
  <c r="H60" i="22"/>
  <c r="Y60" i="22"/>
  <c r="L60" i="22"/>
  <c r="Q60" i="22"/>
  <c r="G60" i="22"/>
  <c r="D49" i="22"/>
  <c r="D187" i="22" s="1"/>
  <c r="E49" i="22"/>
  <c r="E187" i="22" s="1"/>
  <c r="S49" i="22"/>
  <c r="S187" i="22" s="1"/>
  <c r="Z60" i="22"/>
  <c r="M82" i="24"/>
  <c r="T60" i="24"/>
  <c r="AE60" i="24"/>
  <c r="AA159" i="24"/>
  <c r="R159" i="24"/>
  <c r="H82" i="24"/>
  <c r="AD60" i="24"/>
  <c r="AB159" i="24"/>
  <c r="W82" i="24"/>
  <c r="V82" i="24"/>
  <c r="Z60" i="24"/>
  <c r="F60" i="24"/>
  <c r="Y60" i="24"/>
  <c r="O60" i="24"/>
  <c r="N93" i="24"/>
  <c r="E93" i="24"/>
  <c r="K115" i="24"/>
  <c r="D93" i="24"/>
  <c r="U115" i="24"/>
  <c r="W126" i="24"/>
  <c r="G115" i="24"/>
  <c r="L115" i="24"/>
  <c r="Y115" i="24"/>
  <c r="J93" i="24"/>
  <c r="I93" i="24"/>
  <c r="Z115" i="24"/>
  <c r="X126" i="24"/>
  <c r="J137" i="24"/>
  <c r="S148" i="24"/>
  <c r="E137" i="24"/>
  <c r="D137" i="24"/>
  <c r="M104" i="24"/>
  <c r="G82" i="24"/>
  <c r="AG148" i="24"/>
  <c r="R148" i="24"/>
  <c r="AB137" i="24"/>
  <c r="AC148" i="24"/>
  <c r="W148" i="24"/>
  <c r="I137" i="24"/>
  <c r="T137" i="24"/>
  <c r="F137" i="24"/>
  <c r="X148" i="24"/>
  <c r="AF148" i="24"/>
  <c r="AD148" i="24"/>
  <c r="Q137" i="24"/>
  <c r="D104" i="14"/>
  <c r="V159" i="14"/>
  <c r="C53" i="16"/>
  <c r="C85" i="16"/>
  <c r="C63" i="16"/>
  <c r="C130" i="16"/>
  <c r="C151" i="16"/>
  <c r="C163" i="16"/>
  <c r="S82" i="16"/>
  <c r="N71" i="16"/>
  <c r="Z93" i="16"/>
  <c r="K71" i="16"/>
  <c r="AD49" i="16"/>
  <c r="AD187" i="16" s="1"/>
  <c r="F71" i="16"/>
  <c r="Q71" i="16"/>
  <c r="X49" i="16"/>
  <c r="X187" i="16" s="1"/>
  <c r="E71" i="16"/>
  <c r="AC49" i="16"/>
  <c r="AC187" i="16" s="1"/>
  <c r="P71" i="16"/>
  <c r="Y49" i="16"/>
  <c r="Y187" i="16" s="1"/>
  <c r="T82" i="16"/>
  <c r="O71" i="16"/>
  <c r="L71" i="16"/>
  <c r="AB49" i="16"/>
  <c r="AB187" i="16" s="1"/>
  <c r="D71" i="16"/>
  <c r="J71" i="16"/>
  <c r="V137" i="17"/>
  <c r="E126" i="17"/>
  <c r="AA137" i="17"/>
  <c r="AG115" i="17"/>
  <c r="H115" i="17"/>
  <c r="Z137" i="17"/>
  <c r="U115" i="17"/>
  <c r="M115" i="17"/>
  <c r="L115" i="17"/>
  <c r="X115" i="17"/>
  <c r="Y115" i="17"/>
  <c r="N115" i="17"/>
  <c r="AC115" i="17"/>
  <c r="T115" i="17"/>
  <c r="W137" i="17"/>
  <c r="F126" i="17"/>
  <c r="Q93" i="17"/>
  <c r="S115" i="17"/>
  <c r="R115" i="17"/>
  <c r="AF137" i="17"/>
  <c r="AB137" i="17"/>
  <c r="G126" i="17"/>
  <c r="D104" i="17"/>
  <c r="AE115" i="17"/>
  <c r="AD115" i="17"/>
  <c r="K93" i="17"/>
  <c r="O104" i="17"/>
  <c r="J93" i="17"/>
  <c r="I93" i="17"/>
  <c r="AC126" i="18"/>
  <c r="AB126" i="18"/>
  <c r="AA126" i="18"/>
  <c r="O93" i="18"/>
  <c r="J126" i="18"/>
  <c r="V126" i="18"/>
  <c r="Y93" i="18"/>
  <c r="X93" i="18"/>
  <c r="F71" i="18"/>
  <c r="AF71" i="18"/>
  <c r="H104" i="18"/>
  <c r="G104" i="18"/>
  <c r="T104" i="18"/>
  <c r="W93" i="18"/>
  <c r="S104" i="18"/>
  <c r="Q104" i="18"/>
  <c r="E71" i="18"/>
  <c r="AE71" i="18"/>
  <c r="R104" i="18"/>
  <c r="K126" i="18"/>
  <c r="I126" i="18"/>
  <c r="U126" i="18"/>
  <c r="Z93" i="18"/>
  <c r="D104" i="18"/>
  <c r="L71" i="18"/>
  <c r="AD71" i="18"/>
  <c r="N93" i="18"/>
  <c r="P104" i="18"/>
  <c r="M71" i="18"/>
  <c r="Z170" i="20"/>
  <c r="M170" i="20"/>
  <c r="J159" i="20"/>
  <c r="AE159" i="20"/>
  <c r="F159" i="20"/>
  <c r="AB159" i="20"/>
  <c r="O159" i="20"/>
  <c r="W159" i="20"/>
  <c r="S159" i="20"/>
  <c r="K159" i="20"/>
  <c r="P159" i="20"/>
  <c r="AA170" i="20"/>
  <c r="L170" i="20"/>
  <c r="AF159" i="20"/>
  <c r="AG170" i="20"/>
  <c r="G159" i="20"/>
  <c r="AD159" i="20"/>
  <c r="Q170" i="20"/>
  <c r="N159" i="20"/>
  <c r="X159" i="20"/>
  <c r="Y170" i="20"/>
  <c r="V159" i="20"/>
  <c r="T159" i="20"/>
  <c r="U170" i="20"/>
  <c r="H170" i="20"/>
  <c r="R159" i="20"/>
  <c r="I159" i="20"/>
  <c r="AC159" i="20"/>
  <c r="AC104" i="20"/>
  <c r="E115" i="20"/>
  <c r="K93" i="20"/>
  <c r="T104" i="20"/>
  <c r="S104" i="20"/>
  <c r="M93" i="20"/>
  <c r="W104" i="20"/>
  <c r="AD93" i="20"/>
  <c r="X104" i="20"/>
  <c r="I115" i="20"/>
  <c r="Q93" i="20"/>
  <c r="AB104" i="20"/>
  <c r="Y93" i="20"/>
  <c r="P93" i="20"/>
  <c r="L93" i="20"/>
  <c r="AA93" i="20"/>
  <c r="Z93" i="20"/>
  <c r="G93" i="20"/>
  <c r="V93" i="20"/>
  <c r="AF104" i="20"/>
  <c r="N115" i="20"/>
  <c r="F115" i="20"/>
  <c r="J115" i="20"/>
  <c r="R104" i="20"/>
  <c r="D115" i="20"/>
  <c r="O115" i="20"/>
  <c r="AG104" i="20"/>
  <c r="U93" i="20"/>
  <c r="H93" i="20"/>
  <c r="AE93" i="20"/>
  <c r="AA170" i="21"/>
  <c r="G159" i="21"/>
  <c r="J93" i="21"/>
  <c r="R104" i="21"/>
  <c r="E104" i="21"/>
  <c r="D104" i="21"/>
  <c r="T170" i="21"/>
  <c r="AD115" i="21"/>
  <c r="Z115" i="21"/>
  <c r="Y115" i="21"/>
  <c r="Q126" i="21"/>
  <c r="S104" i="21"/>
  <c r="O126" i="21"/>
  <c r="AC115" i="21"/>
  <c r="L126" i="21"/>
  <c r="W104" i="21"/>
  <c r="H159" i="21"/>
  <c r="M104" i="21"/>
  <c r="V104" i="21"/>
  <c r="AB170" i="21"/>
  <c r="N170" i="21"/>
  <c r="X170" i="21"/>
  <c r="P126" i="21"/>
  <c r="F126" i="21"/>
  <c r="I93" i="21"/>
  <c r="U115" i="21"/>
  <c r="AE115" i="21"/>
  <c r="K126" i="21"/>
  <c r="AF104" i="21"/>
  <c r="K115" i="22"/>
  <c r="U115" i="22"/>
  <c r="Y115" i="22"/>
  <c r="AD104" i="22"/>
  <c r="H115" i="22"/>
  <c r="G115" i="22"/>
  <c r="T115" i="22"/>
  <c r="R93" i="22"/>
  <c r="W93" i="22"/>
  <c r="Z115" i="22"/>
  <c r="E93" i="22"/>
  <c r="L115" i="22"/>
  <c r="P104" i="22"/>
  <c r="V115" i="22"/>
  <c r="F115" i="22"/>
  <c r="J93" i="22"/>
  <c r="AG93" i="22"/>
  <c r="AE104" i="22"/>
  <c r="X93" i="22"/>
  <c r="I93" i="22"/>
  <c r="Q104" i="22"/>
  <c r="AF93" i="22"/>
  <c r="D93" i="22"/>
  <c r="N148" i="22"/>
  <c r="K137" i="22"/>
  <c r="U148" i="22"/>
  <c r="AE137" i="22"/>
  <c r="O148" i="22"/>
  <c r="M137" i="22"/>
  <c r="AF137" i="22"/>
  <c r="AC137" i="22"/>
  <c r="P93" i="22"/>
  <c r="Q82" i="22"/>
  <c r="G137" i="22"/>
  <c r="S137" i="22"/>
  <c r="T148" i="22"/>
  <c r="E104" i="22"/>
  <c r="AG60" i="22"/>
  <c r="X137" i="22"/>
  <c r="V148" i="22"/>
  <c r="AD148" i="22"/>
  <c r="Z137" i="22"/>
  <c r="Y137" i="22"/>
  <c r="W137" i="22"/>
  <c r="AA137" i="22"/>
  <c r="H137" i="22"/>
  <c r="F137" i="22"/>
  <c r="AB137" i="22"/>
  <c r="L137" i="22"/>
  <c r="J137" i="22"/>
  <c r="D137" i="22"/>
  <c r="R137" i="22"/>
  <c r="I115" i="22"/>
  <c r="K104" i="22"/>
  <c r="X126" i="22"/>
  <c r="R126" i="22"/>
  <c r="H104" i="22"/>
  <c r="O93" i="22"/>
  <c r="AF60" i="22"/>
  <c r="L104" i="22"/>
  <c r="N93" i="22"/>
  <c r="E126" i="22"/>
  <c r="D126" i="22"/>
  <c r="AC126" i="22"/>
  <c r="AB126" i="22"/>
  <c r="AE115" i="22"/>
  <c r="AA126" i="22"/>
  <c r="AD115" i="22"/>
  <c r="Z104" i="22"/>
  <c r="V104" i="22"/>
  <c r="M93" i="22"/>
  <c r="Y104" i="22"/>
  <c r="M126" i="22"/>
  <c r="AG104" i="22"/>
  <c r="N126" i="22"/>
  <c r="Q115" i="22"/>
  <c r="J126" i="22"/>
  <c r="P115" i="22"/>
  <c r="I126" i="22"/>
  <c r="G104" i="22"/>
  <c r="T104" i="22"/>
  <c r="U104" i="22"/>
  <c r="O126" i="22"/>
  <c r="W126" i="22"/>
  <c r="F104" i="22"/>
  <c r="AC93" i="22"/>
  <c r="AB93" i="22"/>
  <c r="S126" i="22"/>
  <c r="AA93" i="22"/>
  <c r="Y148" i="23"/>
  <c r="U148" i="23"/>
  <c r="M71" i="23"/>
  <c r="W71" i="23"/>
  <c r="AD148" i="23"/>
  <c r="AB71" i="23"/>
  <c r="I71" i="23"/>
  <c r="V71" i="23"/>
  <c r="Z148" i="23"/>
  <c r="T148" i="23"/>
  <c r="R71" i="23"/>
  <c r="L104" i="23"/>
  <c r="AC148" i="23"/>
  <c r="X148" i="23"/>
  <c r="D71" i="23"/>
  <c r="J104" i="23"/>
  <c r="AA71" i="23"/>
  <c r="E71" i="23"/>
  <c r="Q71" i="23"/>
  <c r="AF71" i="23"/>
  <c r="T60" i="23"/>
  <c r="AE71" i="23"/>
  <c r="N82" i="23"/>
  <c r="K104" i="23"/>
  <c r="H71" i="23"/>
  <c r="S71" i="23"/>
  <c r="M126" i="23"/>
  <c r="F137" i="23"/>
  <c r="AA126" i="23"/>
  <c r="H126" i="23"/>
  <c r="U104" i="23"/>
  <c r="D126" i="23"/>
  <c r="P104" i="23"/>
  <c r="AD104" i="23"/>
  <c r="S126" i="23"/>
  <c r="R126" i="23"/>
  <c r="N126" i="23"/>
  <c r="AB126" i="23"/>
  <c r="I126" i="23"/>
  <c r="O104" i="23"/>
  <c r="Z104" i="23"/>
  <c r="L137" i="23"/>
  <c r="J137" i="23"/>
  <c r="Q126" i="23"/>
  <c r="G104" i="23"/>
  <c r="AF126" i="23"/>
  <c r="AE126" i="23"/>
  <c r="AC104" i="23"/>
  <c r="X104" i="23"/>
  <c r="K137" i="23"/>
  <c r="E126" i="23"/>
  <c r="Y104" i="23"/>
  <c r="Y159" i="24"/>
  <c r="W159" i="24"/>
  <c r="R126" i="24"/>
  <c r="AF126" i="24"/>
  <c r="AA93" i="24"/>
  <c r="S126" i="24"/>
  <c r="X159" i="24"/>
  <c r="J159" i="24"/>
  <c r="U159" i="24"/>
  <c r="T159" i="24"/>
  <c r="N126" i="24"/>
  <c r="AG126" i="24"/>
  <c r="AE115" i="24"/>
  <c r="AD115" i="24"/>
  <c r="V93" i="24"/>
  <c r="I159" i="24"/>
  <c r="AC104" i="24"/>
  <c r="H126" i="24"/>
  <c r="P104" i="24"/>
  <c r="AB93" i="24"/>
  <c r="L104" i="24"/>
  <c r="K104" i="24"/>
  <c r="G104" i="24"/>
  <c r="P115" i="24"/>
  <c r="AC137" i="24"/>
  <c r="Q104" i="24"/>
  <c r="Q115" i="24"/>
  <c r="L8" i="13"/>
  <c r="Z4" i="23"/>
  <c r="AI10" i="23"/>
  <c r="D7" i="23"/>
  <c r="E7" i="23" s="1"/>
  <c r="AC82" i="23"/>
  <c r="F82" i="23"/>
  <c r="D60" i="23"/>
  <c r="AE60" i="23"/>
  <c r="O82" i="23"/>
  <c r="AB60" i="23"/>
  <c r="W49" i="23"/>
  <c r="W187" i="23" s="1"/>
  <c r="U82" i="23"/>
  <c r="M60" i="23"/>
  <c r="G82" i="23"/>
  <c r="AD82" i="23"/>
  <c r="P82" i="23"/>
  <c r="I60" i="23"/>
  <c r="H60" i="23"/>
  <c r="Q60" i="23"/>
  <c r="N60" i="23"/>
  <c r="V49" i="23"/>
  <c r="V187" i="23" s="1"/>
  <c r="S60" i="23"/>
  <c r="AF60" i="23"/>
  <c r="T82" i="23"/>
  <c r="E60" i="23"/>
  <c r="R60" i="23"/>
  <c r="AA60" i="23"/>
  <c r="AF49" i="23"/>
  <c r="AF187" i="23" s="1"/>
  <c r="AE49" i="23"/>
  <c r="AE187" i="23" s="1"/>
  <c r="K49" i="23"/>
  <c r="K187" i="23" s="1"/>
  <c r="L49" i="23"/>
  <c r="L187" i="23" s="1"/>
  <c r="F49" i="23"/>
  <c r="F187" i="23" s="1"/>
  <c r="AB49" i="23"/>
  <c r="AB187" i="23" s="1"/>
  <c r="AA49" i="23"/>
  <c r="AA187" i="23" s="1"/>
  <c r="U49" i="23"/>
  <c r="U187" i="23" s="1"/>
  <c r="J49" i="23"/>
  <c r="J187" i="23" s="1"/>
  <c r="P49" i="23"/>
  <c r="P187" i="23" s="1"/>
  <c r="O49" i="23"/>
  <c r="O187" i="23" s="1"/>
  <c r="T49" i="23"/>
  <c r="T187" i="23" s="1"/>
  <c r="G49" i="23"/>
  <c r="G187" i="23" s="1"/>
  <c r="M11" i="13"/>
  <c r="M9" i="13"/>
  <c r="CC9" i="22"/>
  <c r="CD9" i="22" s="1"/>
  <c r="Z4" i="24"/>
  <c r="D159" i="20"/>
  <c r="E159" i="20"/>
  <c r="F71" i="14"/>
  <c r="Q49" i="14"/>
  <c r="Q187" i="14" s="1"/>
  <c r="R71" i="14"/>
  <c r="N71" i="14"/>
  <c r="P49" i="14"/>
  <c r="P187" i="14" s="1"/>
  <c r="W71" i="14"/>
  <c r="AA49" i="14"/>
  <c r="AA187" i="14" s="1"/>
  <c r="Z49" i="14"/>
  <c r="Z187" i="14" s="1"/>
  <c r="D71" i="14"/>
  <c r="V49" i="14"/>
  <c r="V187" i="14" s="1"/>
  <c r="K49" i="14"/>
  <c r="K187" i="14" s="1"/>
  <c r="I71" i="14"/>
  <c r="M49" i="14"/>
  <c r="M187" i="14" s="1"/>
  <c r="L49" i="14"/>
  <c r="L187" i="14" s="1"/>
  <c r="Y49" i="14"/>
  <c r="Y187" i="14" s="1"/>
  <c r="E71" i="14"/>
  <c r="O71" i="14"/>
  <c r="U49" i="14"/>
  <c r="U187" i="14" s="1"/>
  <c r="X71" i="14"/>
  <c r="J71" i="14"/>
  <c r="AE49" i="14"/>
  <c r="AE187" i="14" s="1"/>
  <c r="AD49" i="14"/>
  <c r="AD187" i="14" s="1"/>
  <c r="T71" i="14"/>
  <c r="S71" i="14"/>
  <c r="AC71" i="14"/>
  <c r="E148" i="14"/>
  <c r="N148" i="14"/>
  <c r="Z148" i="14"/>
  <c r="X148" i="14"/>
  <c r="W148" i="14"/>
  <c r="Y148" i="14"/>
  <c r="AE148" i="14"/>
  <c r="AA148" i="14"/>
  <c r="K148" i="14"/>
  <c r="V148" i="14"/>
  <c r="F148" i="14"/>
  <c r="AC148" i="14"/>
  <c r="O148" i="14"/>
  <c r="I137" i="14"/>
  <c r="L148" i="14"/>
  <c r="T137" i="14"/>
  <c r="D115" i="14"/>
  <c r="J137" i="14"/>
  <c r="AB148" i="14"/>
  <c r="G148" i="14"/>
  <c r="S137" i="14"/>
  <c r="R115" i="14"/>
  <c r="O115" i="14"/>
  <c r="Z93" i="14"/>
  <c r="M104" i="14"/>
  <c r="F82" i="14"/>
  <c r="AD93" i="14"/>
  <c r="J104" i="14"/>
  <c r="AE93" i="14"/>
  <c r="D82" i="14"/>
  <c r="P104" i="14"/>
  <c r="N115" i="14"/>
  <c r="E82" i="14"/>
  <c r="H93" i="14"/>
  <c r="Q104" i="14"/>
  <c r="V93" i="14"/>
  <c r="AA93" i="14"/>
  <c r="R126" i="14"/>
  <c r="G93" i="14"/>
  <c r="Y93" i="14"/>
  <c r="K104" i="14"/>
  <c r="I93" i="14"/>
  <c r="U93" i="14"/>
  <c r="CB9" i="22"/>
  <c r="AI9" i="22"/>
  <c r="AR34" i="20"/>
  <c r="AN34" i="20"/>
  <c r="BD34" i="20" s="1"/>
  <c r="C60" i="20" s="1"/>
  <c r="I49" i="16"/>
  <c r="I187" i="16" s="1"/>
  <c r="AE49" i="16"/>
  <c r="AE187" i="16" s="1"/>
  <c r="R49" i="16"/>
  <c r="R187" i="16" s="1"/>
  <c r="F49" i="16"/>
  <c r="F187" i="16" s="1"/>
  <c r="Q49" i="16"/>
  <c r="Q187" i="16" s="1"/>
  <c r="D49" i="16"/>
  <c r="D187" i="16" s="1"/>
  <c r="W49" i="16"/>
  <c r="W187" i="16" s="1"/>
  <c r="L49" i="16"/>
  <c r="L187" i="16" s="1"/>
  <c r="M49" i="16"/>
  <c r="M187" i="16" s="1"/>
  <c r="H49" i="16"/>
  <c r="H187" i="16" s="1"/>
  <c r="Z49" i="16"/>
  <c r="Z187" i="16" s="1"/>
  <c r="AA49" i="16"/>
  <c r="AA187" i="16" s="1"/>
  <c r="AF49" i="16"/>
  <c r="AF187" i="16" s="1"/>
  <c r="U49" i="16"/>
  <c r="U187" i="16" s="1"/>
  <c r="G49" i="16"/>
  <c r="G187" i="16" s="1"/>
  <c r="V49" i="16"/>
  <c r="V187" i="16" s="1"/>
  <c r="BY56" i="21"/>
  <c r="BZ56" i="21" s="1"/>
  <c r="BY57" i="21"/>
  <c r="BZ57" i="21" s="1"/>
  <c r="AI10" i="21"/>
  <c r="Z4" i="21"/>
  <c r="D7" i="21"/>
  <c r="E7" i="21" s="1"/>
  <c r="G148" i="24"/>
  <c r="AE148" i="24"/>
  <c r="X71" i="24"/>
  <c r="Q148" i="24"/>
  <c r="V148" i="24"/>
  <c r="J148" i="24"/>
  <c r="I148" i="24"/>
  <c r="H148" i="24"/>
  <c r="D148" i="24"/>
  <c r="AA148" i="24"/>
  <c r="Y148" i="24"/>
  <c r="Z148" i="24"/>
  <c r="AC71" i="24"/>
  <c r="V60" i="24"/>
  <c r="Y137" i="24"/>
  <c r="D104" i="24"/>
  <c r="M60" i="24"/>
  <c r="G60" i="24"/>
  <c r="U60" i="24"/>
  <c r="H60" i="24"/>
  <c r="L60" i="24"/>
  <c r="J82" i="24"/>
  <c r="X82" i="24"/>
  <c r="W71" i="24"/>
  <c r="AF60" i="24"/>
  <c r="O82" i="24"/>
  <c r="N82" i="24"/>
  <c r="S49" i="24"/>
  <c r="S187" i="24" s="1"/>
  <c r="AB60" i="24"/>
  <c r="AA137" i="24"/>
  <c r="AD93" i="24"/>
  <c r="AC60" i="24"/>
  <c r="AG60" i="24"/>
  <c r="F49" i="24"/>
  <c r="F187" i="24" s="1"/>
  <c r="K60" i="24"/>
  <c r="Z137" i="24"/>
  <c r="R104" i="24"/>
  <c r="AE93" i="24"/>
  <c r="I82" i="24"/>
  <c r="Q60" i="24"/>
  <c r="E49" i="24"/>
  <c r="E187" i="24" s="1"/>
  <c r="T49" i="24"/>
  <c r="T187" i="24" s="1"/>
  <c r="P60" i="24"/>
  <c r="V137" i="24"/>
  <c r="U137" i="24"/>
  <c r="N104" i="24"/>
  <c r="Z104" i="24"/>
  <c r="L93" i="24"/>
  <c r="W93" i="24"/>
  <c r="D115" i="24"/>
  <c r="H137" i="24"/>
  <c r="G137" i="24"/>
  <c r="T115" i="24"/>
  <c r="AG115" i="24"/>
  <c r="X93" i="24"/>
  <c r="S115" i="24"/>
  <c r="O104" i="24"/>
  <c r="M93" i="24"/>
  <c r="AC115" i="24"/>
  <c r="Y104" i="24"/>
  <c r="J115" i="24"/>
  <c r="K93" i="24"/>
  <c r="E115" i="24"/>
  <c r="AB115" i="24"/>
  <c r="AE137" i="24"/>
  <c r="AD137" i="24"/>
  <c r="R115" i="24"/>
  <c r="Q93" i="24"/>
  <c r="P93" i="24"/>
  <c r="AF115" i="24"/>
  <c r="AA104" i="24"/>
  <c r="I115" i="24"/>
  <c r="F115" i="24"/>
  <c r="W137" i="24"/>
  <c r="M137" i="24"/>
  <c r="AB71" i="24"/>
  <c r="L137" i="24"/>
  <c r="X137" i="24"/>
  <c r="E104" i="24"/>
  <c r="N137" i="24"/>
  <c r="AF71" i="24"/>
  <c r="AG71" i="24"/>
  <c r="K137" i="24"/>
  <c r="P137" i="24"/>
  <c r="S104" i="24"/>
  <c r="AD104" i="24"/>
  <c r="D49" i="24"/>
  <c r="D187" i="24" s="1"/>
  <c r="O137" i="24"/>
  <c r="F104" i="24"/>
  <c r="U104" i="24"/>
  <c r="T104" i="24"/>
  <c r="R49" i="24"/>
  <c r="R187" i="24" s="1"/>
  <c r="O115" i="24"/>
  <c r="U126" i="24"/>
  <c r="S93" i="24"/>
  <c r="R93" i="24"/>
  <c r="J104" i="24"/>
  <c r="I104" i="24"/>
  <c r="AG93" i="24"/>
  <c r="AD126" i="24"/>
  <c r="AC126" i="24"/>
  <c r="AB126" i="24"/>
  <c r="AA126" i="24"/>
  <c r="V126" i="24"/>
  <c r="T93" i="24"/>
  <c r="Q126" i="24"/>
  <c r="P126" i="24"/>
  <c r="Z126" i="24"/>
  <c r="Y126" i="24"/>
  <c r="K126" i="24"/>
  <c r="AE104" i="24"/>
  <c r="N115" i="24"/>
  <c r="X115" i="24"/>
  <c r="W115" i="24"/>
  <c r="H93" i="24"/>
  <c r="G93" i="24"/>
  <c r="F126" i="24"/>
  <c r="E126" i="24"/>
  <c r="D126" i="24"/>
  <c r="M126" i="24"/>
  <c r="L126" i="24"/>
  <c r="AF93" i="24"/>
  <c r="X49" i="24"/>
  <c r="X187" i="24" s="1"/>
  <c r="Z49" i="24"/>
  <c r="Z187" i="24" s="1"/>
  <c r="U71" i="24"/>
  <c r="AA49" i="24"/>
  <c r="AA187" i="24" s="1"/>
  <c r="N49" i="24"/>
  <c r="N187" i="24" s="1"/>
  <c r="V71" i="24"/>
  <c r="AC82" i="24"/>
  <c r="AB82" i="24"/>
  <c r="AE71" i="24"/>
  <c r="Q71" i="24"/>
  <c r="W49" i="24"/>
  <c r="W187" i="24" s="1"/>
  <c r="K71" i="24"/>
  <c r="L71" i="24"/>
  <c r="M71" i="24"/>
  <c r="AC49" i="24"/>
  <c r="AC187" i="24" s="1"/>
  <c r="O49" i="24"/>
  <c r="O187" i="24" s="1"/>
  <c r="AE49" i="24"/>
  <c r="AE187" i="24" s="1"/>
  <c r="R82" i="24"/>
  <c r="AD49" i="24"/>
  <c r="AD187" i="24" s="1"/>
  <c r="E82" i="24"/>
  <c r="AG82" i="24"/>
  <c r="D82" i="24"/>
  <c r="S82" i="24"/>
  <c r="J49" i="24"/>
  <c r="J187" i="24" s="1"/>
  <c r="G71" i="24"/>
  <c r="I49" i="24"/>
  <c r="I187" i="24" s="1"/>
  <c r="Y49" i="24"/>
  <c r="Y187" i="24" s="1"/>
  <c r="T82" i="24"/>
  <c r="AD71" i="24"/>
  <c r="P71" i="24"/>
  <c r="F82" i="24"/>
  <c r="AF82" i="24"/>
  <c r="H71" i="24"/>
  <c r="E7" i="20"/>
  <c r="E45" i="20" s="1"/>
  <c r="E46" i="20" s="1"/>
  <c r="C45" i="19"/>
  <c r="C46" i="19" s="1"/>
  <c r="C162" i="19" s="1"/>
  <c r="D7" i="17"/>
  <c r="C45" i="17"/>
  <c r="C46" i="17" s="1"/>
  <c r="C45" i="20"/>
  <c r="C46" i="20" s="1"/>
  <c r="E7" i="16"/>
  <c r="F7" i="16" s="1"/>
  <c r="D7" i="18"/>
  <c r="AR33" i="14"/>
  <c r="AN33" i="14"/>
  <c r="BD33" i="14" s="1"/>
  <c r="W126" i="14" s="1"/>
  <c r="C152" i="18"/>
  <c r="C64" i="18"/>
  <c r="C107" i="18"/>
  <c r="C97" i="18"/>
  <c r="C53" i="18"/>
  <c r="C175" i="18"/>
  <c r="C75" i="18"/>
  <c r="C162" i="18"/>
  <c r="C52" i="18"/>
  <c r="C173" i="18"/>
  <c r="C63" i="18"/>
  <c r="C141" i="18"/>
  <c r="C118" i="18"/>
  <c r="C74" i="18"/>
  <c r="C108" i="18"/>
  <c r="C96" i="18"/>
  <c r="C140" i="18"/>
  <c r="C86" i="18"/>
  <c r="C129" i="18"/>
  <c r="C130" i="18"/>
  <c r="C151" i="18"/>
  <c r="C164" i="18"/>
  <c r="C85" i="18"/>
  <c r="C174" i="18"/>
  <c r="C119" i="18"/>
  <c r="C163" i="18"/>
  <c r="D7" i="24"/>
  <c r="C45" i="24"/>
  <c r="C46" i="24" s="1"/>
  <c r="AR38" i="24"/>
  <c r="AN38" i="24"/>
  <c r="BD38" i="24" s="1"/>
  <c r="BE32" i="24" s="1"/>
  <c r="C159" i="24"/>
  <c r="C170" i="24"/>
  <c r="AH170" i="24" s="1"/>
  <c r="AK43" i="24" s="1"/>
  <c r="AK20" i="24" s="1"/>
  <c r="C137" i="24"/>
  <c r="C115" i="24"/>
  <c r="C126" i="24"/>
  <c r="C148" i="24"/>
  <c r="C104" i="24"/>
  <c r="C93" i="24"/>
  <c r="C71" i="24"/>
  <c r="C82" i="24"/>
  <c r="C49" i="24"/>
  <c r="C60" i="24"/>
  <c r="AN37" i="24"/>
  <c r="BD37" i="24" s="1"/>
  <c r="AR37" i="24"/>
  <c r="CB9" i="24"/>
  <c r="AI9" i="24"/>
  <c r="CC9" i="24"/>
  <c r="CD9" i="24" s="1"/>
  <c r="BZ59" i="24"/>
  <c r="CA59" i="24" s="1"/>
  <c r="D45" i="23"/>
  <c r="D46" i="23" s="1"/>
  <c r="C175" i="23"/>
  <c r="C162" i="23"/>
  <c r="C141" i="23"/>
  <c r="C173" i="23"/>
  <c r="C163" i="23"/>
  <c r="C174" i="23"/>
  <c r="C130" i="23"/>
  <c r="C140" i="23"/>
  <c r="C164" i="23"/>
  <c r="C151" i="23"/>
  <c r="C129" i="23"/>
  <c r="C152" i="23"/>
  <c r="C119" i="23"/>
  <c r="C108" i="23"/>
  <c r="C86" i="23"/>
  <c r="C107" i="23"/>
  <c r="C97" i="23"/>
  <c r="C96" i="23"/>
  <c r="C118" i="23"/>
  <c r="C63" i="23"/>
  <c r="C52" i="23"/>
  <c r="C64" i="23"/>
  <c r="C74" i="23"/>
  <c r="C75" i="23"/>
  <c r="C85" i="23"/>
  <c r="C53" i="23"/>
  <c r="BZ59" i="23"/>
  <c r="CA59" i="23" s="1"/>
  <c r="AU39" i="23"/>
  <c r="AT39" i="23" s="1"/>
  <c r="AS39" i="23" s="1"/>
  <c r="C159" i="23"/>
  <c r="AH159" i="23" s="1"/>
  <c r="AK42" i="23" s="1"/>
  <c r="AK19" i="23" s="1"/>
  <c r="C170" i="23"/>
  <c r="AH170" i="23" s="1"/>
  <c r="AK43" i="23" s="1"/>
  <c r="AK20" i="23" s="1"/>
  <c r="C148" i="23"/>
  <c r="C115" i="23"/>
  <c r="C126" i="23"/>
  <c r="C104" i="23"/>
  <c r="C93" i="23"/>
  <c r="C49" i="23"/>
  <c r="C82" i="23"/>
  <c r="C60" i="23"/>
  <c r="C71" i="23"/>
  <c r="AN36" i="23"/>
  <c r="BD36" i="23" s="1"/>
  <c r="AR36" i="23"/>
  <c r="AU37" i="23"/>
  <c r="AT37" i="23" s="1"/>
  <c r="AS37" i="23" s="1"/>
  <c r="CC9" i="23"/>
  <c r="CD9" i="23" s="1"/>
  <c r="CB9" i="23"/>
  <c r="AI9" i="23"/>
  <c r="BZ59" i="22"/>
  <c r="CA59" i="22" s="1"/>
  <c r="BY63" i="22" s="1"/>
  <c r="AN39" i="22"/>
  <c r="BD39" i="22" s="1"/>
  <c r="BE33" i="22" s="1"/>
  <c r="AR39" i="22"/>
  <c r="AU37" i="22"/>
  <c r="AT37" i="22" s="1"/>
  <c r="AS37" i="22" s="1"/>
  <c r="C159" i="22"/>
  <c r="AH159" i="22" s="1"/>
  <c r="AK42" i="22" s="1"/>
  <c r="AK19" i="22" s="1"/>
  <c r="C170" i="22"/>
  <c r="AH170" i="22" s="1"/>
  <c r="AK43" i="22" s="1"/>
  <c r="AK20" i="22" s="1"/>
  <c r="C137" i="22"/>
  <c r="C148" i="22"/>
  <c r="C126" i="22"/>
  <c r="C115" i="22"/>
  <c r="C60" i="22"/>
  <c r="C104" i="22"/>
  <c r="C93" i="22"/>
  <c r="C82" i="22"/>
  <c r="C71" i="22"/>
  <c r="C49" i="22"/>
  <c r="E7" i="22"/>
  <c r="D45" i="22"/>
  <c r="D46" i="22" s="1"/>
  <c r="C175" i="22"/>
  <c r="C162" i="22"/>
  <c r="C141" i="22"/>
  <c r="C173" i="22"/>
  <c r="C163" i="22"/>
  <c r="C174" i="22"/>
  <c r="C140" i="22"/>
  <c r="C152" i="22"/>
  <c r="C151" i="22"/>
  <c r="C164" i="22"/>
  <c r="C119" i="22"/>
  <c r="C108" i="22"/>
  <c r="C130" i="22"/>
  <c r="C129" i="22"/>
  <c r="C118" i="22"/>
  <c r="C75" i="22"/>
  <c r="C96" i="22"/>
  <c r="C86" i="22"/>
  <c r="C64" i="22"/>
  <c r="C53" i="22"/>
  <c r="C52" i="22"/>
  <c r="C107" i="22"/>
  <c r="C97" i="22"/>
  <c r="C85" i="22"/>
  <c r="C63" i="22"/>
  <c r="C74" i="22"/>
  <c r="AR36" i="21"/>
  <c r="AN36" i="21"/>
  <c r="BD36" i="21" s="1"/>
  <c r="C148" i="21" s="1"/>
  <c r="AR37" i="21"/>
  <c r="AN37" i="21"/>
  <c r="BD37" i="21" s="1"/>
  <c r="C159" i="21"/>
  <c r="C170" i="21"/>
  <c r="C137" i="21"/>
  <c r="C126" i="21"/>
  <c r="C115" i="21"/>
  <c r="C93" i="21"/>
  <c r="C82" i="21"/>
  <c r="C104" i="21"/>
  <c r="C71" i="21"/>
  <c r="C49" i="21"/>
  <c r="C175" i="21"/>
  <c r="C162" i="21"/>
  <c r="C173" i="21"/>
  <c r="C152" i="21"/>
  <c r="C163" i="21"/>
  <c r="C174" i="21"/>
  <c r="C164" i="21"/>
  <c r="C151" i="21"/>
  <c r="C130" i="21"/>
  <c r="C141" i="21"/>
  <c r="C107" i="21"/>
  <c r="C140" i="21"/>
  <c r="C129" i="21"/>
  <c r="C119" i="21"/>
  <c r="C97" i="21"/>
  <c r="C96" i="21"/>
  <c r="C108" i="21"/>
  <c r="C118" i="21"/>
  <c r="C64" i="21"/>
  <c r="C75" i="21"/>
  <c r="C85" i="21"/>
  <c r="C63" i="21"/>
  <c r="C86" i="21"/>
  <c r="C74" i="21"/>
  <c r="C52" i="21"/>
  <c r="C53" i="21"/>
  <c r="AR34" i="21"/>
  <c r="AN34" i="21"/>
  <c r="BD34" i="21" s="1"/>
  <c r="CC9" i="21"/>
  <c r="CD9" i="21" s="1"/>
  <c r="CB9" i="21"/>
  <c r="AI9" i="21"/>
  <c r="BZ59" i="18"/>
  <c r="CA59" i="18" s="1"/>
  <c r="BX63" i="18" s="1"/>
  <c r="AR39" i="20"/>
  <c r="AN39" i="20"/>
  <c r="BD39" i="20" s="1"/>
  <c r="BE33" i="20" s="1"/>
  <c r="AN35" i="20"/>
  <c r="BD35" i="20" s="1"/>
  <c r="AR35" i="20"/>
  <c r="AN38" i="20"/>
  <c r="BD38" i="20" s="1"/>
  <c r="BE32" i="20" s="1"/>
  <c r="AR38" i="20"/>
  <c r="AU36" i="20"/>
  <c r="AT36" i="20" s="1"/>
  <c r="AS36" i="20" s="1"/>
  <c r="D173" i="20"/>
  <c r="D152" i="20"/>
  <c r="D163" i="20"/>
  <c r="D174" i="20"/>
  <c r="C153" i="20"/>
  <c r="D164" i="20"/>
  <c r="D140" i="20"/>
  <c r="C131" i="20"/>
  <c r="D129" i="20"/>
  <c r="D151" i="20"/>
  <c r="D108" i="20"/>
  <c r="C142" i="20"/>
  <c r="D119" i="20"/>
  <c r="D130" i="20"/>
  <c r="D141" i="20"/>
  <c r="D175" i="20"/>
  <c r="C120" i="20"/>
  <c r="D118" i="20"/>
  <c r="D162" i="20"/>
  <c r="D97" i="20"/>
  <c r="D75" i="20"/>
  <c r="D107" i="20"/>
  <c r="C109" i="20"/>
  <c r="C98" i="20"/>
  <c r="D64" i="20"/>
  <c r="D53" i="20"/>
  <c r="D86" i="20"/>
  <c r="D96" i="20"/>
  <c r="C76" i="20"/>
  <c r="C87" i="20"/>
  <c r="D85" i="20"/>
  <c r="D74" i="20"/>
  <c r="C65" i="20"/>
  <c r="D52" i="20"/>
  <c r="D63" i="20"/>
  <c r="C54" i="20"/>
  <c r="AI9" i="20"/>
  <c r="CC9" i="20"/>
  <c r="CD9" i="20" s="1"/>
  <c r="CB9" i="20"/>
  <c r="C159" i="20"/>
  <c r="C170" i="20"/>
  <c r="C148" i="20"/>
  <c r="C137" i="20"/>
  <c r="C104" i="20"/>
  <c r="C93" i="20"/>
  <c r="C115" i="20"/>
  <c r="C82" i="20"/>
  <c r="C71" i="20"/>
  <c r="C49" i="20"/>
  <c r="BZ59" i="20"/>
  <c r="CA59" i="20" s="1"/>
  <c r="AR35" i="19"/>
  <c r="AN35" i="19"/>
  <c r="BD35" i="19" s="1"/>
  <c r="AR37" i="19"/>
  <c r="AN37" i="19"/>
  <c r="BD37" i="19" s="1"/>
  <c r="AR39" i="19"/>
  <c r="AN39" i="19"/>
  <c r="BD39" i="19" s="1"/>
  <c r="BE33" i="19" s="1"/>
  <c r="C175" i="19"/>
  <c r="C163" i="19"/>
  <c r="C140" i="19"/>
  <c r="C129" i="19"/>
  <c r="C86" i="19"/>
  <c r="C85" i="19"/>
  <c r="C63" i="19"/>
  <c r="C170" i="19"/>
  <c r="C137" i="19"/>
  <c r="C148" i="19"/>
  <c r="C126" i="19"/>
  <c r="AH126" i="19" s="1"/>
  <c r="AK39" i="19" s="1"/>
  <c r="AK16" i="19" s="1"/>
  <c r="C115" i="19"/>
  <c r="C104" i="19"/>
  <c r="C82" i="19"/>
  <c r="C49" i="19"/>
  <c r="C71" i="19"/>
  <c r="CC9" i="19"/>
  <c r="CD9" i="19" s="1"/>
  <c r="AI9" i="19"/>
  <c r="CB9" i="19"/>
  <c r="AU36" i="19"/>
  <c r="AT36" i="19" s="1"/>
  <c r="AS36" i="19" s="1"/>
  <c r="AN38" i="19"/>
  <c r="BD38" i="19" s="1"/>
  <c r="BE32" i="19" s="1"/>
  <c r="AR38" i="19"/>
  <c r="BZ59" i="19"/>
  <c r="CA59" i="19" s="1"/>
  <c r="D45" i="19"/>
  <c r="D46" i="19" s="1"/>
  <c r="E7" i="19"/>
  <c r="AU38" i="18"/>
  <c r="AT38" i="18" s="1"/>
  <c r="AS38" i="18" s="1"/>
  <c r="AI9" i="18"/>
  <c r="C159" i="18"/>
  <c r="AH159" i="18" s="1"/>
  <c r="AK42" i="18" s="1"/>
  <c r="AK19" i="18" s="1"/>
  <c r="C170" i="18"/>
  <c r="AH170" i="18" s="1"/>
  <c r="AK43" i="18" s="1"/>
  <c r="AK20" i="18" s="1"/>
  <c r="C137" i="18"/>
  <c r="C148" i="18"/>
  <c r="C115" i="18"/>
  <c r="C93" i="18"/>
  <c r="C60" i="18"/>
  <c r="C104" i="18"/>
  <c r="C82" i="18"/>
  <c r="C126" i="18"/>
  <c r="C49" i="18"/>
  <c r="C71" i="18"/>
  <c r="AR36" i="17"/>
  <c r="AN36" i="17"/>
  <c r="BD36" i="17" s="1"/>
  <c r="M82" i="17" s="1"/>
  <c r="BZ59" i="17"/>
  <c r="CA59" i="17" s="1"/>
  <c r="C187" i="17"/>
  <c r="CC9" i="17"/>
  <c r="CD9" i="17" s="1"/>
  <c r="CB9" i="17"/>
  <c r="AI9" i="17"/>
  <c r="AR40" i="17"/>
  <c r="AN40" i="17"/>
  <c r="BD40" i="17" s="1"/>
  <c r="BE34" i="17" s="1"/>
  <c r="AN37" i="16"/>
  <c r="BD37" i="16" s="1"/>
  <c r="AR37" i="16"/>
  <c r="C187" i="16"/>
  <c r="AR36" i="16"/>
  <c r="AN36" i="16"/>
  <c r="BD36" i="16" s="1"/>
  <c r="Y115" i="16" s="1"/>
  <c r="D173" i="16"/>
  <c r="D152" i="16"/>
  <c r="D163" i="16"/>
  <c r="D174" i="16"/>
  <c r="D164" i="16"/>
  <c r="D151" i="16"/>
  <c r="D118" i="16"/>
  <c r="C131" i="16"/>
  <c r="D162" i="16"/>
  <c r="C153" i="16"/>
  <c r="D140" i="16"/>
  <c r="D175" i="16"/>
  <c r="D97" i="16"/>
  <c r="D141" i="16"/>
  <c r="D130" i="16"/>
  <c r="C120" i="16"/>
  <c r="D129" i="16"/>
  <c r="D119" i="16"/>
  <c r="D96" i="16"/>
  <c r="D108" i="16"/>
  <c r="D74" i="16"/>
  <c r="D64" i="16"/>
  <c r="D85" i="16"/>
  <c r="C142" i="16"/>
  <c r="C109" i="16"/>
  <c r="D107" i="16"/>
  <c r="C65" i="16"/>
  <c r="C98" i="16"/>
  <c r="C76" i="16"/>
  <c r="C77" i="16" s="1"/>
  <c r="C87" i="16"/>
  <c r="D53" i="16"/>
  <c r="D52" i="16"/>
  <c r="D86" i="16"/>
  <c r="D63" i="16"/>
  <c r="C54" i="16"/>
  <c r="D75" i="16"/>
  <c r="E45" i="16"/>
  <c r="E46" i="16" s="1"/>
  <c r="BZ59" i="16"/>
  <c r="CA59" i="16" s="1"/>
  <c r="C176" i="16"/>
  <c r="AR39" i="16"/>
  <c r="AN39" i="16"/>
  <c r="BD39" i="16" s="1"/>
  <c r="BE33" i="16" s="1"/>
  <c r="AN35" i="15"/>
  <c r="BD35" i="15" s="1"/>
  <c r="U82" i="15" s="1"/>
  <c r="AR35" i="15"/>
  <c r="AN33" i="15"/>
  <c r="BD33" i="15" s="1"/>
  <c r="W126" i="15" s="1"/>
  <c r="AR33" i="15"/>
  <c r="C159" i="15"/>
  <c r="AH159" i="15" s="1"/>
  <c r="AK42" i="15" s="1"/>
  <c r="AK19" i="15" s="1"/>
  <c r="C170" i="15"/>
  <c r="AH170" i="15" s="1"/>
  <c r="AK43" i="15" s="1"/>
  <c r="AK20" i="15" s="1"/>
  <c r="C148" i="15"/>
  <c r="C93" i="15"/>
  <c r="C137" i="15"/>
  <c r="C82" i="15"/>
  <c r="C104" i="15"/>
  <c r="C60" i="15"/>
  <c r="C49" i="15"/>
  <c r="C71" i="15"/>
  <c r="CC9" i="15"/>
  <c r="CD9" i="15" s="1"/>
  <c r="AI9" i="15"/>
  <c r="CB9" i="15"/>
  <c r="BZ59" i="15"/>
  <c r="CA59" i="15" s="1"/>
  <c r="AU38" i="15"/>
  <c r="AT38" i="15" s="1"/>
  <c r="AS38" i="15" s="1"/>
  <c r="C175" i="15"/>
  <c r="C162" i="15"/>
  <c r="C173" i="15"/>
  <c r="C163" i="15"/>
  <c r="C174" i="15"/>
  <c r="C164" i="15"/>
  <c r="C151" i="15"/>
  <c r="C140" i="15"/>
  <c r="C129" i="15"/>
  <c r="C130" i="15"/>
  <c r="C152" i="15"/>
  <c r="C141" i="15"/>
  <c r="C118" i="15"/>
  <c r="C96" i="15"/>
  <c r="C119" i="15"/>
  <c r="C108" i="15"/>
  <c r="C86" i="15"/>
  <c r="C63" i="15"/>
  <c r="C85" i="15"/>
  <c r="C64" i="15"/>
  <c r="C53" i="15"/>
  <c r="C52" i="15"/>
  <c r="C107" i="15"/>
  <c r="C97" i="15"/>
  <c r="C74" i="15"/>
  <c r="C75" i="15"/>
  <c r="D45" i="15"/>
  <c r="D46" i="15" s="1"/>
  <c r="E7" i="15"/>
  <c r="AN38" i="14"/>
  <c r="BD38" i="14" s="1"/>
  <c r="BE32" i="14" s="1"/>
  <c r="AR38" i="14"/>
  <c r="AR37" i="14"/>
  <c r="AN37" i="14"/>
  <c r="BD37" i="14" s="1"/>
  <c r="AN35" i="14"/>
  <c r="BD35" i="14" s="1"/>
  <c r="W49" i="14" s="1"/>
  <c r="W187" i="14" s="1"/>
  <c r="AR35" i="14"/>
  <c r="D45" i="14"/>
  <c r="D46" i="14" s="1"/>
  <c r="E7" i="14"/>
  <c r="C175" i="14"/>
  <c r="C162" i="14"/>
  <c r="C141" i="14"/>
  <c r="C173" i="14"/>
  <c r="C163" i="14"/>
  <c r="C174" i="14"/>
  <c r="C164" i="14"/>
  <c r="C140" i="14"/>
  <c r="C152" i="14"/>
  <c r="C151" i="14"/>
  <c r="C129" i="14"/>
  <c r="C96" i="14"/>
  <c r="C118" i="14"/>
  <c r="C119" i="14"/>
  <c r="C75" i="14"/>
  <c r="C63" i="14"/>
  <c r="C53" i="14"/>
  <c r="C52" i="14"/>
  <c r="C107" i="14"/>
  <c r="C74" i="14"/>
  <c r="C108" i="14"/>
  <c r="C130" i="14"/>
  <c r="C86" i="14"/>
  <c r="C97" i="14"/>
  <c r="C85" i="14"/>
  <c r="C64" i="14"/>
  <c r="BZ59" i="14"/>
  <c r="CA59" i="14" s="1"/>
  <c r="C170" i="14"/>
  <c r="AH170" i="14" s="1"/>
  <c r="AK43" i="14" s="1"/>
  <c r="AK20" i="14" s="1"/>
  <c r="C137" i="14"/>
  <c r="C126" i="14"/>
  <c r="C148" i="14"/>
  <c r="C93" i="14"/>
  <c r="C82" i="14"/>
  <c r="C115" i="14"/>
  <c r="C71" i="14"/>
  <c r="C104" i="14"/>
  <c r="W42" i="1"/>
  <c r="C141" i="19" l="1"/>
  <c r="C60" i="19"/>
  <c r="L82" i="19"/>
  <c r="AG71" i="19"/>
  <c r="I71" i="19"/>
  <c r="U49" i="19"/>
  <c r="U187" i="19" s="1"/>
  <c r="D71" i="19"/>
  <c r="AA71" i="19"/>
  <c r="V49" i="19"/>
  <c r="V187" i="19" s="1"/>
  <c r="AD82" i="19"/>
  <c r="Y82" i="19"/>
  <c r="F82" i="19"/>
  <c r="M71" i="19"/>
  <c r="K82" i="19"/>
  <c r="W71" i="19"/>
  <c r="P82" i="19"/>
  <c r="M148" i="15"/>
  <c r="AA82" i="17"/>
  <c r="Z82" i="15"/>
  <c r="AF104" i="16"/>
  <c r="S49" i="14"/>
  <c r="S187" i="14" s="1"/>
  <c r="X49" i="14"/>
  <c r="X187" i="14" s="1"/>
  <c r="C115" i="15"/>
  <c r="L137" i="16"/>
  <c r="G137" i="16"/>
  <c r="T148" i="16"/>
  <c r="K115" i="16"/>
  <c r="E137" i="16"/>
  <c r="Q115" i="16"/>
  <c r="F137" i="16"/>
  <c r="Z148" i="16"/>
  <c r="M82" i="16"/>
  <c r="R148" i="16"/>
  <c r="D137" i="16"/>
  <c r="AE82" i="16"/>
  <c r="AA82" i="16"/>
  <c r="C82" i="16"/>
  <c r="AC137" i="17"/>
  <c r="AD148" i="17"/>
  <c r="E137" i="17"/>
  <c r="D137" i="17"/>
  <c r="I82" i="17"/>
  <c r="K82" i="17"/>
  <c r="Y82" i="17"/>
  <c r="N137" i="17"/>
  <c r="U148" i="17"/>
  <c r="F137" i="17"/>
  <c r="R137" i="17"/>
  <c r="AE148" i="17"/>
  <c r="O137" i="17"/>
  <c r="Q115" i="17"/>
  <c r="C64" i="19"/>
  <c r="C97" i="19"/>
  <c r="C130" i="19"/>
  <c r="C152" i="19"/>
  <c r="C49" i="14"/>
  <c r="P148" i="14"/>
  <c r="D60" i="14"/>
  <c r="R49" i="14"/>
  <c r="R187" i="14" s="1"/>
  <c r="C126" i="15"/>
  <c r="AA82" i="15"/>
  <c r="V82" i="15"/>
  <c r="E60" i="15"/>
  <c r="L148" i="15"/>
  <c r="AB60" i="15"/>
  <c r="I60" i="15"/>
  <c r="S60" i="15"/>
  <c r="N60" i="15"/>
  <c r="AG60" i="15"/>
  <c r="W60" i="15"/>
  <c r="C52" i="19"/>
  <c r="C96" i="19"/>
  <c r="C118" i="19"/>
  <c r="C151" i="19"/>
  <c r="C164" i="19"/>
  <c r="C173" i="19"/>
  <c r="H49" i="14"/>
  <c r="H187" i="14" s="1"/>
  <c r="P104" i="17"/>
  <c r="AH104" i="17" s="1"/>
  <c r="AK37" i="17" s="1"/>
  <c r="AK14" i="17" s="1"/>
  <c r="P148" i="15"/>
  <c r="D148" i="15"/>
  <c r="Q82" i="19"/>
  <c r="P137" i="16"/>
  <c r="N49" i="14"/>
  <c r="N187" i="14" s="1"/>
  <c r="F126" i="15"/>
  <c r="Z115" i="15"/>
  <c r="K126" i="15"/>
  <c r="H115" i="15"/>
  <c r="O126" i="15"/>
  <c r="M115" i="15"/>
  <c r="AC126" i="15"/>
  <c r="T126" i="15"/>
  <c r="U115" i="15"/>
  <c r="Y126" i="15"/>
  <c r="J126" i="15"/>
  <c r="AD115" i="15"/>
  <c r="D115" i="15"/>
  <c r="P115" i="15"/>
  <c r="X126" i="15"/>
  <c r="C74" i="19"/>
  <c r="C53" i="19"/>
  <c r="C75" i="19"/>
  <c r="C107" i="19"/>
  <c r="C108" i="19"/>
  <c r="C119" i="19"/>
  <c r="C174" i="19"/>
  <c r="F170" i="19"/>
  <c r="AA170" i="19"/>
  <c r="Z170" i="19"/>
  <c r="H170" i="19"/>
  <c r="D170" i="19"/>
  <c r="Y170" i="19"/>
  <c r="W170" i="19"/>
  <c r="Q170" i="19"/>
  <c r="M170" i="19"/>
  <c r="K170" i="19"/>
  <c r="V170" i="19"/>
  <c r="AF170" i="19"/>
  <c r="AE170" i="19"/>
  <c r="AG170" i="19"/>
  <c r="I170" i="19"/>
  <c r="R170" i="19"/>
  <c r="G170" i="19"/>
  <c r="E170" i="19"/>
  <c r="U170" i="19"/>
  <c r="L170" i="19"/>
  <c r="T170" i="19"/>
  <c r="R148" i="15"/>
  <c r="Q148" i="15"/>
  <c r="AE148" i="15"/>
  <c r="Z82" i="17"/>
  <c r="O82" i="16"/>
  <c r="N82" i="16"/>
  <c r="AB82" i="16"/>
  <c r="T49" i="19"/>
  <c r="T187" i="19" s="1"/>
  <c r="Z82" i="19"/>
  <c r="AD115" i="16"/>
  <c r="J49" i="14"/>
  <c r="J187" i="14" s="1"/>
  <c r="I49" i="14"/>
  <c r="I187" i="14" s="1"/>
  <c r="AD148" i="15"/>
  <c r="AF148" i="15"/>
  <c r="H148" i="15"/>
  <c r="AB82" i="17"/>
  <c r="L82" i="17"/>
  <c r="AC82" i="16"/>
  <c r="S126" i="15"/>
  <c r="G49" i="15"/>
  <c r="G187" i="15" s="1"/>
  <c r="AF71" i="19"/>
  <c r="I104" i="16"/>
  <c r="J137" i="16"/>
  <c r="AB49" i="14"/>
  <c r="AB187" i="14" s="1"/>
  <c r="CC9" i="14"/>
  <c r="CD9" i="14" s="1"/>
  <c r="AI9" i="14"/>
  <c r="AH126" i="18"/>
  <c r="AK39" i="18" s="1"/>
  <c r="AK16" i="18" s="1"/>
  <c r="AH93" i="18"/>
  <c r="AK36" i="18" s="1"/>
  <c r="AK13" i="18" s="1"/>
  <c r="CB9" i="18"/>
  <c r="CC9" i="18"/>
  <c r="CD9" i="18" s="1"/>
  <c r="AH126" i="17"/>
  <c r="AK39" i="17" s="1"/>
  <c r="AK16" i="17" s="1"/>
  <c r="AH60" i="17"/>
  <c r="AK33" i="17" s="1"/>
  <c r="AK10" i="17" s="1"/>
  <c r="C143" i="16"/>
  <c r="M126" i="16"/>
  <c r="L126" i="16"/>
  <c r="I126" i="16"/>
  <c r="G126" i="16"/>
  <c r="R126" i="16"/>
  <c r="U126" i="16"/>
  <c r="Q126" i="16"/>
  <c r="V126" i="16"/>
  <c r="H126" i="16"/>
  <c r="D126" i="16"/>
  <c r="AA126" i="16"/>
  <c r="Z126" i="16"/>
  <c r="W126" i="16"/>
  <c r="AC126" i="16"/>
  <c r="X126" i="16"/>
  <c r="J126" i="16"/>
  <c r="O126" i="16"/>
  <c r="C126" i="16"/>
  <c r="K126" i="16"/>
  <c r="P126" i="16"/>
  <c r="AB126" i="16"/>
  <c r="Y126" i="16"/>
  <c r="N126" i="16"/>
  <c r="F126" i="16"/>
  <c r="E126" i="16"/>
  <c r="AD126" i="16"/>
  <c r="S126" i="16"/>
  <c r="T126" i="16"/>
  <c r="AE126" i="16"/>
  <c r="AF126" i="16"/>
  <c r="C88" i="16"/>
  <c r="C99" i="16"/>
  <c r="C121" i="16"/>
  <c r="C110" i="16"/>
  <c r="C165" i="16"/>
  <c r="CC9" i="16"/>
  <c r="CD9" i="16" s="1"/>
  <c r="AI9" i="16"/>
  <c r="CB9" i="16"/>
  <c r="C132" i="16"/>
  <c r="AH115" i="23"/>
  <c r="AK38" i="23" s="1"/>
  <c r="AK15" i="23" s="1"/>
  <c r="AH71" i="22"/>
  <c r="AK34" i="22" s="1"/>
  <c r="AK11" i="22" s="1"/>
  <c r="AH60" i="22"/>
  <c r="AK33" i="22" s="1"/>
  <c r="AK10" i="22" s="1"/>
  <c r="AH137" i="22"/>
  <c r="AK40" i="22" s="1"/>
  <c r="AK17" i="22" s="1"/>
  <c r="AH60" i="18"/>
  <c r="AK33" i="18" s="1"/>
  <c r="AK10" i="18" s="1"/>
  <c r="AH137" i="18"/>
  <c r="AK40" i="18" s="1"/>
  <c r="AK17" i="18" s="1"/>
  <c r="AB126" i="14"/>
  <c r="V82" i="14"/>
  <c r="L104" i="14"/>
  <c r="H148" i="14"/>
  <c r="BZ59" i="21"/>
  <c r="CA59" i="21" s="1"/>
  <c r="AF5" i="21" s="1"/>
  <c r="M148" i="14"/>
  <c r="G49" i="14"/>
  <c r="G187" i="14" s="1"/>
  <c r="U115" i="14"/>
  <c r="S126" i="14"/>
  <c r="C159" i="14"/>
  <c r="O126" i="14"/>
  <c r="G137" i="14"/>
  <c r="J126" i="14"/>
  <c r="E126" i="14"/>
  <c r="H137" i="14"/>
  <c r="K126" i="14"/>
  <c r="P137" i="14"/>
  <c r="F126" i="14"/>
  <c r="I126" i="14"/>
  <c r="M137" i="14"/>
  <c r="AA115" i="14"/>
  <c r="L137" i="14"/>
  <c r="Z115" i="14"/>
  <c r="N126" i="14"/>
  <c r="V115" i="14"/>
  <c r="Y126" i="14"/>
  <c r="Q137" i="14"/>
  <c r="AB71" i="14"/>
  <c r="AH71" i="14" s="1"/>
  <c r="AK34" i="14" s="1"/>
  <c r="AK11" i="14" s="1"/>
  <c r="C60" i="14"/>
  <c r="AD148" i="14"/>
  <c r="D148" i="14"/>
  <c r="AB60" i="14"/>
  <c r="E60" i="14"/>
  <c r="M82" i="14"/>
  <c r="X60" i="14"/>
  <c r="T60" i="14"/>
  <c r="O60" i="14"/>
  <c r="R148" i="14"/>
  <c r="Z82" i="14"/>
  <c r="H82" i="14"/>
  <c r="U82" i="14"/>
  <c r="F60" i="14"/>
  <c r="J60" i="14"/>
  <c r="AC60" i="14"/>
  <c r="G82" i="14"/>
  <c r="I60" i="14"/>
  <c r="W60" i="14"/>
  <c r="L82" i="14"/>
  <c r="AA82" i="14"/>
  <c r="S60" i="14"/>
  <c r="N60" i="14"/>
  <c r="AC126" i="14"/>
  <c r="Q148" i="14"/>
  <c r="X126" i="14"/>
  <c r="T126" i="14"/>
  <c r="AD115" i="14"/>
  <c r="CB9" i="14"/>
  <c r="F7" i="20"/>
  <c r="AH71" i="16"/>
  <c r="AK34" i="16" s="1"/>
  <c r="AK11" i="16" s="1"/>
  <c r="AH93" i="17"/>
  <c r="AK36" i="17" s="1"/>
  <c r="AK13" i="17" s="1"/>
  <c r="AH60" i="16"/>
  <c r="AK33" i="16" s="1"/>
  <c r="AK10" i="16" s="1"/>
  <c r="AH71" i="17"/>
  <c r="AK11" i="17" s="1"/>
  <c r="AH159" i="24"/>
  <c r="AK42" i="24" s="1"/>
  <c r="AK19" i="24" s="1"/>
  <c r="J148" i="16"/>
  <c r="G148" i="16"/>
  <c r="AA115" i="16"/>
  <c r="AC137" i="16"/>
  <c r="Y148" i="16"/>
  <c r="X148" i="16"/>
  <c r="Q148" i="16"/>
  <c r="P148" i="16"/>
  <c r="AF148" i="16"/>
  <c r="AB137" i="16"/>
  <c r="AE148" i="16"/>
  <c r="K148" i="16"/>
  <c r="W148" i="16"/>
  <c r="H137" i="16"/>
  <c r="U148" i="16"/>
  <c r="AD137" i="16"/>
  <c r="T93" i="16"/>
  <c r="M148" i="16"/>
  <c r="L148" i="16"/>
  <c r="V148" i="16"/>
  <c r="E148" i="16"/>
  <c r="O148" i="16"/>
  <c r="N148" i="16"/>
  <c r="I137" i="16"/>
  <c r="F148" i="16"/>
  <c r="D148" i="16"/>
  <c r="S148" i="16"/>
  <c r="Z115" i="16"/>
  <c r="R137" i="16"/>
  <c r="C148" i="16"/>
  <c r="AB148" i="17"/>
  <c r="R148" i="17"/>
  <c r="I115" i="17"/>
  <c r="AH115" i="17" s="1"/>
  <c r="AK38" i="17" s="1"/>
  <c r="AK15" i="17" s="1"/>
  <c r="Z148" i="17"/>
  <c r="K148" i="17"/>
  <c r="J148" i="17"/>
  <c r="H148" i="17"/>
  <c r="Q148" i="17"/>
  <c r="P148" i="17"/>
  <c r="AA148" i="17"/>
  <c r="L148" i="17"/>
  <c r="E148" i="17"/>
  <c r="D148" i="17"/>
  <c r="T137" i="17"/>
  <c r="M148" i="17"/>
  <c r="W148" i="17"/>
  <c r="AF148" i="17"/>
  <c r="O148" i="17"/>
  <c r="U137" i="17"/>
  <c r="N148" i="17"/>
  <c r="S137" i="17"/>
  <c r="Y148" i="17"/>
  <c r="X148" i="17"/>
  <c r="V148" i="17"/>
  <c r="G148" i="17"/>
  <c r="AE137" i="17"/>
  <c r="F148" i="17"/>
  <c r="AG148" i="17"/>
  <c r="AD82" i="17"/>
  <c r="AC82" i="17"/>
  <c r="C148" i="17"/>
  <c r="C55" i="16"/>
  <c r="C66" i="16"/>
  <c r="AH49" i="17"/>
  <c r="AK32" i="17" s="1"/>
  <c r="AK9" i="17" s="1"/>
  <c r="AH82" i="18"/>
  <c r="AK35" i="18" s="1"/>
  <c r="AK12" i="18" s="1"/>
  <c r="AH115" i="18"/>
  <c r="AK38" i="18" s="1"/>
  <c r="AK15" i="18" s="1"/>
  <c r="Q49" i="19"/>
  <c r="Q187" i="19" s="1"/>
  <c r="AE82" i="19"/>
  <c r="F71" i="19"/>
  <c r="AC71" i="19"/>
  <c r="P71" i="19"/>
  <c r="I82" i="19"/>
  <c r="U104" i="19"/>
  <c r="X71" i="19"/>
  <c r="D60" i="19"/>
  <c r="O71" i="19"/>
  <c r="S71" i="19"/>
  <c r="Z104" i="19"/>
  <c r="V104" i="19"/>
  <c r="K71" i="19"/>
  <c r="AG82" i="19"/>
  <c r="Y71" i="19"/>
  <c r="M60" i="19"/>
  <c r="W104" i="19"/>
  <c r="AD71" i="19"/>
  <c r="E71" i="19"/>
  <c r="N71" i="19"/>
  <c r="T71" i="19"/>
  <c r="R71" i="19"/>
  <c r="L60" i="19"/>
  <c r="AB71" i="19"/>
  <c r="H82" i="19"/>
  <c r="G82" i="19"/>
  <c r="AF82" i="19"/>
  <c r="J71" i="19"/>
  <c r="X82" i="20"/>
  <c r="W82" i="20"/>
  <c r="V71" i="20"/>
  <c r="AC82" i="20"/>
  <c r="AE71" i="20"/>
  <c r="H71" i="20"/>
  <c r="AF82" i="20"/>
  <c r="F82" i="20"/>
  <c r="E82" i="20"/>
  <c r="Z71" i="20"/>
  <c r="O82" i="20"/>
  <c r="K71" i="20"/>
  <c r="D82" i="20"/>
  <c r="M71" i="20"/>
  <c r="Y71" i="20"/>
  <c r="G71" i="20"/>
  <c r="T60" i="20"/>
  <c r="R60" i="20"/>
  <c r="N82" i="20"/>
  <c r="I104" i="20"/>
  <c r="AG82" i="20"/>
  <c r="P71" i="20"/>
  <c r="J82" i="20"/>
  <c r="L71" i="20"/>
  <c r="Q71" i="20"/>
  <c r="AB60" i="20"/>
  <c r="AD71" i="20"/>
  <c r="AA71" i="20"/>
  <c r="S60" i="20"/>
  <c r="U71" i="20"/>
  <c r="AH71" i="21"/>
  <c r="AK34" i="21" s="1"/>
  <c r="AK11" i="21" s="1"/>
  <c r="AC170" i="21"/>
  <c r="H148" i="21"/>
  <c r="J148" i="21"/>
  <c r="AB137" i="21"/>
  <c r="AF115" i="21"/>
  <c r="O170" i="21"/>
  <c r="K148" i="21"/>
  <c r="D148" i="21"/>
  <c r="W137" i="21"/>
  <c r="M148" i="21"/>
  <c r="T137" i="21"/>
  <c r="AE137" i="21"/>
  <c r="S170" i="21"/>
  <c r="E148" i="21"/>
  <c r="R115" i="21"/>
  <c r="V137" i="21"/>
  <c r="N159" i="21"/>
  <c r="AD137" i="21"/>
  <c r="F148" i="21"/>
  <c r="I148" i="21"/>
  <c r="AA137" i="21"/>
  <c r="X137" i="21"/>
  <c r="U137" i="21"/>
  <c r="L148" i="21"/>
  <c r="Z104" i="21"/>
  <c r="Q104" i="21"/>
  <c r="G93" i="21"/>
  <c r="Y93" i="21"/>
  <c r="P104" i="21"/>
  <c r="AH82" i="22"/>
  <c r="AK35" i="22" s="1"/>
  <c r="AK12" i="22" s="1"/>
  <c r="AH115" i="22"/>
  <c r="AK38" i="22" s="1"/>
  <c r="AK15" i="22" s="1"/>
  <c r="AH71" i="23"/>
  <c r="AK34" i="23" s="1"/>
  <c r="AK11" i="23" s="1"/>
  <c r="Q60" i="21"/>
  <c r="L170" i="21"/>
  <c r="K170" i="21"/>
  <c r="D159" i="21"/>
  <c r="E159" i="21"/>
  <c r="J49" i="21"/>
  <c r="J187" i="21" s="1"/>
  <c r="N49" i="21"/>
  <c r="N187" i="21" s="1"/>
  <c r="Z60" i="21"/>
  <c r="AE60" i="21"/>
  <c r="I49" i="21"/>
  <c r="I187" i="21" s="1"/>
  <c r="H49" i="21"/>
  <c r="H187" i="21" s="1"/>
  <c r="M49" i="21"/>
  <c r="M187" i="21" s="1"/>
  <c r="S49" i="21"/>
  <c r="S187" i="21" s="1"/>
  <c r="R49" i="21"/>
  <c r="R187" i="21" s="1"/>
  <c r="I137" i="23"/>
  <c r="AE137" i="23"/>
  <c r="AF137" i="23"/>
  <c r="P137" i="23"/>
  <c r="D137" i="23"/>
  <c r="W104" i="23"/>
  <c r="Z137" i="23"/>
  <c r="Y137" i="23"/>
  <c r="Q137" i="23"/>
  <c r="H104" i="23"/>
  <c r="F104" i="23"/>
  <c r="V93" i="23"/>
  <c r="AB104" i="23"/>
  <c r="O137" i="23"/>
  <c r="U137" i="23"/>
  <c r="E137" i="23"/>
  <c r="S148" i="23"/>
  <c r="AC137" i="23"/>
  <c r="N104" i="23"/>
  <c r="X137" i="23"/>
  <c r="G137" i="23"/>
  <c r="AD137" i="23"/>
  <c r="R148" i="23"/>
  <c r="T104" i="23"/>
  <c r="M93" i="23"/>
  <c r="AA93" i="23"/>
  <c r="X137" i="15"/>
  <c r="J115" i="15"/>
  <c r="P104" i="15"/>
  <c r="V93" i="15"/>
  <c r="AH93" i="15" s="1"/>
  <c r="AK36" i="15" s="1"/>
  <c r="AK13" i="15" s="1"/>
  <c r="U104" i="15"/>
  <c r="Z137" i="15"/>
  <c r="Y137" i="15"/>
  <c r="H137" i="15"/>
  <c r="AA126" i="15"/>
  <c r="E137" i="15"/>
  <c r="AD137" i="15"/>
  <c r="G115" i="15"/>
  <c r="AF115" i="15"/>
  <c r="R104" i="15"/>
  <c r="L115" i="15"/>
  <c r="W104" i="15"/>
  <c r="T104" i="15"/>
  <c r="M137" i="15"/>
  <c r="I137" i="15"/>
  <c r="AB126" i="15"/>
  <c r="Q137" i="15"/>
  <c r="N137" i="15"/>
  <c r="K115" i="15"/>
  <c r="S104" i="15"/>
  <c r="O104" i="15"/>
  <c r="D137" i="15"/>
  <c r="AG115" i="15"/>
  <c r="F115" i="15"/>
  <c r="AE115" i="15"/>
  <c r="AC104" i="15"/>
  <c r="C154" i="16"/>
  <c r="AH187" i="17"/>
  <c r="AH71" i="18"/>
  <c r="AK34" i="18" s="1"/>
  <c r="AK11" i="18" s="1"/>
  <c r="AH104" i="18"/>
  <c r="AK37" i="18" s="1"/>
  <c r="AK14" i="18" s="1"/>
  <c r="AH148" i="18"/>
  <c r="AK41" i="18" s="1"/>
  <c r="AK18" i="18" s="1"/>
  <c r="AH93" i="20"/>
  <c r="AK36" i="20" s="1"/>
  <c r="AK13" i="20" s="1"/>
  <c r="AH170" i="20"/>
  <c r="AK43" i="20" s="1"/>
  <c r="AK20" i="20" s="1"/>
  <c r="AH126" i="21"/>
  <c r="AK39" i="21" s="1"/>
  <c r="AK16" i="21" s="1"/>
  <c r="AH93" i="22"/>
  <c r="AK36" i="22" s="1"/>
  <c r="AK13" i="22" s="1"/>
  <c r="AH126" i="22"/>
  <c r="AK39" i="22" s="1"/>
  <c r="AK16" i="22" s="1"/>
  <c r="C137" i="23"/>
  <c r="AH93" i="16"/>
  <c r="AK36" i="16" s="1"/>
  <c r="AK13" i="16" s="1"/>
  <c r="D126" i="15"/>
  <c r="R115" i="15"/>
  <c r="AB115" i="15"/>
  <c r="E126" i="15"/>
  <c r="T60" i="15"/>
  <c r="F60" i="15"/>
  <c r="AC60" i="15"/>
  <c r="Y60" i="15"/>
  <c r="X60" i="15"/>
  <c r="U60" i="15"/>
  <c r="N126" i="15"/>
  <c r="O60" i="15"/>
  <c r="J60" i="15"/>
  <c r="M126" i="15"/>
  <c r="S115" i="15"/>
  <c r="H126" i="15"/>
  <c r="AA115" i="15"/>
  <c r="AD60" i="15"/>
  <c r="Z60" i="15"/>
  <c r="I126" i="15"/>
  <c r="Q115" i="15"/>
  <c r="W115" i="15"/>
  <c r="V115" i="15"/>
  <c r="AG82" i="15"/>
  <c r="AF82" i="15"/>
  <c r="AE82" i="15"/>
  <c r="AB71" i="15"/>
  <c r="AH71" i="15" s="1"/>
  <c r="AK34" i="15" s="1"/>
  <c r="AK11" i="15" s="1"/>
  <c r="P60" i="15"/>
  <c r="L60" i="15"/>
  <c r="G60" i="15"/>
  <c r="K60" i="15"/>
  <c r="AA49" i="20"/>
  <c r="AA187" i="20" s="1"/>
  <c r="M104" i="20"/>
  <c r="Q82" i="20"/>
  <c r="O60" i="20"/>
  <c r="W49" i="20"/>
  <c r="W187" i="20" s="1"/>
  <c r="U49" i="20"/>
  <c r="U187" i="20" s="1"/>
  <c r="AF60" i="20"/>
  <c r="G115" i="20"/>
  <c r="AH115" i="20" s="1"/>
  <c r="AK38" i="20" s="1"/>
  <c r="AK15" i="20" s="1"/>
  <c r="AG60" i="20"/>
  <c r="S82" i="20"/>
  <c r="AB82" i="20"/>
  <c r="J60" i="20"/>
  <c r="V49" i="20"/>
  <c r="V187" i="20" s="1"/>
  <c r="E60" i="20"/>
  <c r="AC49" i="20"/>
  <c r="AC187" i="20" s="1"/>
  <c r="P60" i="20"/>
  <c r="N60" i="20"/>
  <c r="L104" i="20"/>
  <c r="AH104" i="20" s="1"/>
  <c r="AK37" i="20" s="1"/>
  <c r="AK14" i="20" s="1"/>
  <c r="T82" i="20"/>
  <c r="H104" i="20"/>
  <c r="R82" i="20"/>
  <c r="X60" i="20"/>
  <c r="Z49" i="20"/>
  <c r="Z187" i="20" s="1"/>
  <c r="AE49" i="20"/>
  <c r="AE187" i="20" s="1"/>
  <c r="Y49" i="20"/>
  <c r="Y187" i="20" s="1"/>
  <c r="I60" i="20"/>
  <c r="K60" i="20"/>
  <c r="F60" i="20"/>
  <c r="D60" i="20"/>
  <c r="AD49" i="20"/>
  <c r="AD187" i="20" s="1"/>
  <c r="G159" i="14"/>
  <c r="O93" i="14"/>
  <c r="I159" i="14"/>
  <c r="Z159" i="19"/>
  <c r="L159" i="19"/>
  <c r="V159" i="19"/>
  <c r="J170" i="19"/>
  <c r="S170" i="19"/>
  <c r="AE159" i="19"/>
  <c r="AA159" i="19"/>
  <c r="AB170" i="19"/>
  <c r="O170" i="19"/>
  <c r="N170" i="19"/>
  <c r="W159" i="19"/>
  <c r="U159" i="19"/>
  <c r="T159" i="19"/>
  <c r="K159" i="19"/>
  <c r="H159" i="19"/>
  <c r="G159" i="19"/>
  <c r="P170" i="19"/>
  <c r="Y159" i="19"/>
  <c r="X170" i="19"/>
  <c r="AD170" i="19"/>
  <c r="AC170" i="19"/>
  <c r="AG159" i="19"/>
  <c r="F159" i="19"/>
  <c r="AH159" i="20"/>
  <c r="AK42" i="20" s="1"/>
  <c r="AK19" i="20" s="1"/>
  <c r="AH82" i="21"/>
  <c r="AK35" i="21" s="1"/>
  <c r="AK12" i="21" s="1"/>
  <c r="AH104" i="22"/>
  <c r="AK37" i="22" s="1"/>
  <c r="AK14" i="22" s="1"/>
  <c r="AH148" i="22"/>
  <c r="AK41" i="22" s="1"/>
  <c r="AK18" i="22" s="1"/>
  <c r="AH126" i="23"/>
  <c r="AK39" i="23" s="1"/>
  <c r="AK16" i="23" s="1"/>
  <c r="Y137" i="14"/>
  <c r="Z137" i="14"/>
  <c r="AE126" i="14"/>
  <c r="U137" i="14"/>
  <c r="AD82" i="14"/>
  <c r="AA137" i="14"/>
  <c r="AH60" i="23"/>
  <c r="AK33" i="23" s="1"/>
  <c r="AK10" i="23" s="1"/>
  <c r="X82" i="23"/>
  <c r="L82" i="23"/>
  <c r="K82" i="23"/>
  <c r="J82" i="23"/>
  <c r="Z82" i="23"/>
  <c r="Y82" i="23"/>
  <c r="AH82" i="24"/>
  <c r="AK35" i="24" s="1"/>
  <c r="AK12" i="24" s="1"/>
  <c r="AH148" i="24"/>
  <c r="AK41" i="24" s="1"/>
  <c r="AK18" i="24" s="1"/>
  <c r="E115" i="14"/>
  <c r="R82" i="14"/>
  <c r="Q60" i="14"/>
  <c r="O82" i="14"/>
  <c r="N82" i="14"/>
  <c r="J82" i="14"/>
  <c r="W82" i="14"/>
  <c r="U60" i="14"/>
  <c r="G60" i="14"/>
  <c r="M60" i="14"/>
  <c r="S82" i="14"/>
  <c r="I82" i="14"/>
  <c r="H60" i="14"/>
  <c r="D49" i="14"/>
  <c r="D187" i="14" s="1"/>
  <c r="X82" i="14"/>
  <c r="K60" i="14"/>
  <c r="V60" i="14"/>
  <c r="L60" i="14"/>
  <c r="T82" i="14"/>
  <c r="AE60" i="14"/>
  <c r="P60" i="14"/>
  <c r="F115" i="14"/>
  <c r="AB82" i="14"/>
  <c r="AD60" i="14"/>
  <c r="AC82" i="14"/>
  <c r="Z60" i="14"/>
  <c r="Y60" i="14"/>
  <c r="AA60" i="14"/>
  <c r="AE104" i="14"/>
  <c r="V104" i="14"/>
  <c r="K93" i="14"/>
  <c r="H104" i="14"/>
  <c r="U104" i="14"/>
  <c r="P93" i="14"/>
  <c r="R137" i="14"/>
  <c r="O137" i="14"/>
  <c r="N137" i="14"/>
  <c r="AD104" i="14"/>
  <c r="X115" i="14"/>
  <c r="W115" i="14"/>
  <c r="G104" i="14"/>
  <c r="J115" i="14"/>
  <c r="E137" i="14"/>
  <c r="T115" i="14"/>
  <c r="S115" i="14"/>
  <c r="Z104" i="14"/>
  <c r="Q93" i="14"/>
  <c r="AC115" i="14"/>
  <c r="Y104" i="14"/>
  <c r="AB115" i="14"/>
  <c r="I115" i="14"/>
  <c r="F137" i="14"/>
  <c r="D137" i="14"/>
  <c r="M93" i="14"/>
  <c r="AA104" i="14"/>
  <c r="L93" i="14"/>
  <c r="AH49" i="16"/>
  <c r="AK32" i="16" s="1"/>
  <c r="AK9" i="16" s="1"/>
  <c r="AH187" i="16"/>
  <c r="D45" i="21"/>
  <c r="D46" i="21" s="1"/>
  <c r="D173" i="21" s="1"/>
  <c r="AH126" i="24"/>
  <c r="AK39" i="24" s="1"/>
  <c r="AK16" i="24" s="1"/>
  <c r="AH60" i="24"/>
  <c r="AK33" i="24" s="1"/>
  <c r="AK10" i="24" s="1"/>
  <c r="AH93" i="24"/>
  <c r="AK36" i="24" s="1"/>
  <c r="AK13" i="24" s="1"/>
  <c r="AH115" i="24"/>
  <c r="AK38" i="24" s="1"/>
  <c r="AK15" i="24" s="1"/>
  <c r="AH104" i="24"/>
  <c r="AK37" i="24" s="1"/>
  <c r="AK14" i="24" s="1"/>
  <c r="AH137" i="24"/>
  <c r="AK40" i="24" s="1"/>
  <c r="AK17" i="24" s="1"/>
  <c r="O60" i="21"/>
  <c r="K60" i="21"/>
  <c r="S60" i="21"/>
  <c r="F60" i="21"/>
  <c r="AA49" i="21"/>
  <c r="AA187" i="21" s="1"/>
  <c r="P60" i="21"/>
  <c r="U60" i="21"/>
  <c r="Z49" i="21"/>
  <c r="Z187" i="21" s="1"/>
  <c r="AE49" i="21"/>
  <c r="AE187" i="21" s="1"/>
  <c r="V49" i="21"/>
  <c r="V187" i="21" s="1"/>
  <c r="X60" i="21"/>
  <c r="G60" i="21"/>
  <c r="X49" i="21"/>
  <c r="X187" i="21" s="1"/>
  <c r="AC60" i="21"/>
  <c r="Y60" i="21"/>
  <c r="J60" i="21"/>
  <c r="AD60" i="21"/>
  <c r="T60" i="21"/>
  <c r="AB49" i="21"/>
  <c r="AB187" i="21" s="1"/>
  <c r="AF49" i="21"/>
  <c r="AF187" i="21" s="1"/>
  <c r="W49" i="21"/>
  <c r="W187" i="21" s="1"/>
  <c r="AC49" i="21"/>
  <c r="AC187" i="21" s="1"/>
  <c r="E60" i="21"/>
  <c r="C60" i="21"/>
  <c r="AH71" i="24"/>
  <c r="AK34" i="24" s="1"/>
  <c r="AK11" i="24" s="1"/>
  <c r="CA60" i="22"/>
  <c r="CA60" i="18"/>
  <c r="AE5" i="22"/>
  <c r="AF8" i="18"/>
  <c r="BV63" i="22"/>
  <c r="C151" i="17"/>
  <c r="C108" i="17"/>
  <c r="C140" i="17"/>
  <c r="C97" i="17"/>
  <c r="C130" i="17"/>
  <c r="C75" i="17"/>
  <c r="C152" i="17"/>
  <c r="C86" i="17"/>
  <c r="C118" i="17"/>
  <c r="C52" i="17"/>
  <c r="C141" i="17"/>
  <c r="C63" i="17"/>
  <c r="C175" i="17"/>
  <c r="C107" i="17"/>
  <c r="C96" i="17"/>
  <c r="C85" i="17"/>
  <c r="C162" i="17"/>
  <c r="C129" i="17"/>
  <c r="C53" i="17"/>
  <c r="C74" i="17"/>
  <c r="C174" i="17"/>
  <c r="C173" i="17"/>
  <c r="C119" i="17"/>
  <c r="C163" i="17"/>
  <c r="C164" i="17"/>
  <c r="C64" i="17"/>
  <c r="AE5" i="18"/>
  <c r="D45" i="17"/>
  <c r="D46" i="17" s="1"/>
  <c r="E7" i="17"/>
  <c r="BW63" i="22"/>
  <c r="C175" i="20"/>
  <c r="C118" i="20"/>
  <c r="C52" i="20"/>
  <c r="C163" i="20"/>
  <c r="C107" i="20"/>
  <c r="C129" i="20"/>
  <c r="C162" i="20"/>
  <c r="C97" i="20"/>
  <c r="C53" i="20"/>
  <c r="C173" i="20"/>
  <c r="C119" i="20"/>
  <c r="C74" i="20"/>
  <c r="C108" i="20"/>
  <c r="C174" i="20"/>
  <c r="C130" i="20"/>
  <c r="C75" i="20"/>
  <c r="C85" i="20"/>
  <c r="C164" i="20"/>
  <c r="C63" i="20"/>
  <c r="C151" i="20"/>
  <c r="C86" i="20"/>
  <c r="C140" i="20"/>
  <c r="C96" i="20"/>
  <c r="C141" i="20"/>
  <c r="C152" i="20"/>
  <c r="C64" i="20"/>
  <c r="AH5" i="18"/>
  <c r="BY63" i="18"/>
  <c r="AE8" i="18"/>
  <c r="AG8" i="18"/>
  <c r="AI47" i="18"/>
  <c r="BV63" i="18"/>
  <c r="AF5" i="18"/>
  <c r="AG5" i="18"/>
  <c r="BW63" i="18"/>
  <c r="D45" i="18"/>
  <c r="D46" i="18" s="1"/>
  <c r="E7" i="18"/>
  <c r="C165" i="18"/>
  <c r="C176" i="18"/>
  <c r="AI47" i="22"/>
  <c r="AF5" i="22"/>
  <c r="C165" i="22"/>
  <c r="AG5" i="22"/>
  <c r="AH5" i="22"/>
  <c r="AE8" i="22"/>
  <c r="AF8" i="22"/>
  <c r="AG8" i="22"/>
  <c r="BX63" i="22"/>
  <c r="AG5" i="21"/>
  <c r="CA60" i="21"/>
  <c r="C176" i="21"/>
  <c r="D165" i="16"/>
  <c r="C129" i="24"/>
  <c r="C85" i="24"/>
  <c r="C130" i="24"/>
  <c r="C74" i="24"/>
  <c r="C140" i="24"/>
  <c r="C151" i="24"/>
  <c r="C52" i="24"/>
  <c r="C141" i="24"/>
  <c r="C64" i="24"/>
  <c r="C175" i="24"/>
  <c r="C108" i="24"/>
  <c r="C63" i="24"/>
  <c r="C162" i="24"/>
  <c r="C97" i="24"/>
  <c r="C53" i="24"/>
  <c r="C173" i="24"/>
  <c r="C86" i="24"/>
  <c r="C163" i="24"/>
  <c r="C107" i="24"/>
  <c r="C174" i="24"/>
  <c r="C119" i="24"/>
  <c r="C75" i="24"/>
  <c r="C164" i="24"/>
  <c r="C152" i="24"/>
  <c r="C118" i="24"/>
  <c r="C96" i="24"/>
  <c r="E7" i="24"/>
  <c r="D45" i="24"/>
  <c r="D46" i="24" s="1"/>
  <c r="BW63" i="24"/>
  <c r="AI47" i="24"/>
  <c r="AH5" i="24"/>
  <c r="AG5" i="24"/>
  <c r="AG8" i="24"/>
  <c r="AF5" i="24"/>
  <c r="BY63" i="24"/>
  <c r="AF8" i="24"/>
  <c r="AE5" i="24"/>
  <c r="BX63" i="24"/>
  <c r="AE8" i="24"/>
  <c r="BV63" i="24"/>
  <c r="CA60" i="24"/>
  <c r="C187" i="24"/>
  <c r="AH187" i="24" s="1"/>
  <c r="AH49" i="24"/>
  <c r="AK32" i="24" s="1"/>
  <c r="AK9" i="24" s="1"/>
  <c r="AR37" i="23"/>
  <c r="AN37" i="23"/>
  <c r="BD37" i="23" s="1"/>
  <c r="AN39" i="23"/>
  <c r="BD39" i="23" s="1"/>
  <c r="BE33" i="23" s="1"/>
  <c r="AR39" i="23"/>
  <c r="C187" i="23"/>
  <c r="AH187" i="23" s="1"/>
  <c r="AH49" i="23"/>
  <c r="AK32" i="23" s="1"/>
  <c r="AK9" i="23" s="1"/>
  <c r="AI47" i="23"/>
  <c r="CA60" i="23"/>
  <c r="BY63" i="23"/>
  <c r="BW63" i="23"/>
  <c r="AG5" i="23"/>
  <c r="AF5" i="23"/>
  <c r="AE5" i="23"/>
  <c r="BX63" i="23"/>
  <c r="BV63" i="23"/>
  <c r="AG8" i="23"/>
  <c r="AF8" i="23"/>
  <c r="AE8" i="23"/>
  <c r="AH5" i="23"/>
  <c r="C176" i="23"/>
  <c r="C165" i="23"/>
  <c r="E45" i="23"/>
  <c r="E46" i="23" s="1"/>
  <c r="F7" i="23"/>
  <c r="D173" i="23"/>
  <c r="D163" i="23"/>
  <c r="D174" i="23"/>
  <c r="D164" i="23"/>
  <c r="D151" i="23"/>
  <c r="D162" i="23"/>
  <c r="C153" i="23"/>
  <c r="C154" i="23" s="1"/>
  <c r="C142" i="23"/>
  <c r="C143" i="23" s="1"/>
  <c r="D141" i="23"/>
  <c r="D140" i="23"/>
  <c r="D175" i="23"/>
  <c r="D129" i="23"/>
  <c r="D96" i="23"/>
  <c r="D130" i="23"/>
  <c r="D107" i="23"/>
  <c r="C131" i="23"/>
  <c r="C132" i="23" s="1"/>
  <c r="D152" i="23"/>
  <c r="C98" i="23"/>
  <c r="C99" i="23" s="1"/>
  <c r="D97" i="23"/>
  <c r="D74" i="23"/>
  <c r="D118" i="23"/>
  <c r="C87" i="23"/>
  <c r="C88" i="23" s="1"/>
  <c r="C120" i="23"/>
  <c r="C121" i="23" s="1"/>
  <c r="D85" i="23"/>
  <c r="C109" i="23"/>
  <c r="C110" i="23" s="1"/>
  <c r="D119" i="23"/>
  <c r="D86" i="23"/>
  <c r="C76" i="23"/>
  <c r="C77" i="23" s="1"/>
  <c r="C65" i="23"/>
  <c r="C66" i="23" s="1"/>
  <c r="D52" i="23"/>
  <c r="D108" i="23"/>
  <c r="D64" i="23"/>
  <c r="C54" i="23"/>
  <c r="C55" i="23" s="1"/>
  <c r="D75" i="23"/>
  <c r="D53" i="23"/>
  <c r="D63" i="23"/>
  <c r="C176" i="22"/>
  <c r="D173" i="22"/>
  <c r="D163" i="22"/>
  <c r="D174" i="22"/>
  <c r="D164" i="22"/>
  <c r="D151" i="22"/>
  <c r="D141" i="22"/>
  <c r="D140" i="22"/>
  <c r="D152" i="22"/>
  <c r="D175" i="22"/>
  <c r="D162" i="22"/>
  <c r="C153" i="22"/>
  <c r="C154" i="22" s="1"/>
  <c r="D130" i="22"/>
  <c r="D119" i="22"/>
  <c r="D129" i="22"/>
  <c r="D118" i="22"/>
  <c r="C131" i="22"/>
  <c r="C132" i="22" s="1"/>
  <c r="D108" i="22"/>
  <c r="D96" i="22"/>
  <c r="C142" i="22"/>
  <c r="C143" i="22" s="1"/>
  <c r="D86" i="22"/>
  <c r="C120" i="22"/>
  <c r="C121" i="22" s="1"/>
  <c r="C109" i="22"/>
  <c r="C110" i="22" s="1"/>
  <c r="C98" i="22"/>
  <c r="C99" i="22" s="1"/>
  <c r="C76" i="22"/>
  <c r="C77" i="22" s="1"/>
  <c r="D74" i="22"/>
  <c r="C87" i="22"/>
  <c r="C88" i="22" s="1"/>
  <c r="D107" i="22"/>
  <c r="D97" i="22"/>
  <c r="D85" i="22"/>
  <c r="C54" i="22"/>
  <c r="C55" i="22" s="1"/>
  <c r="D75" i="22"/>
  <c r="D53" i="22"/>
  <c r="D63" i="22"/>
  <c r="C65" i="22"/>
  <c r="C66" i="22" s="1"/>
  <c r="D52" i="22"/>
  <c r="D64" i="22"/>
  <c r="E45" i="22"/>
  <c r="E46" i="22" s="1"/>
  <c r="F7" i="22"/>
  <c r="C187" i="22"/>
  <c r="AH187" i="22" s="1"/>
  <c r="AH49" i="22"/>
  <c r="AK32" i="22" s="1"/>
  <c r="AK9" i="22" s="1"/>
  <c r="AN37" i="22"/>
  <c r="BD37" i="22" s="1"/>
  <c r="AR37" i="22"/>
  <c r="C165" i="21"/>
  <c r="E45" i="21"/>
  <c r="E46" i="21" s="1"/>
  <c r="F7" i="21"/>
  <c r="C142" i="21"/>
  <c r="C143" i="21" s="1"/>
  <c r="C131" i="21"/>
  <c r="C132" i="21" s="1"/>
  <c r="D129" i="21"/>
  <c r="C65" i="21"/>
  <c r="C66" i="21" s="1"/>
  <c r="D53" i="21"/>
  <c r="C187" i="21"/>
  <c r="AR36" i="20"/>
  <c r="AN36" i="20"/>
  <c r="BD36" i="20" s="1"/>
  <c r="D176" i="20"/>
  <c r="E173" i="20"/>
  <c r="E163" i="20"/>
  <c r="E174" i="20"/>
  <c r="E164" i="20"/>
  <c r="E151" i="20"/>
  <c r="E175" i="20"/>
  <c r="E162" i="20"/>
  <c r="D153" i="20"/>
  <c r="D154" i="20" s="1"/>
  <c r="E129" i="20"/>
  <c r="D142" i="20"/>
  <c r="D143" i="20" s="1"/>
  <c r="E152" i="20"/>
  <c r="E141" i="20"/>
  <c r="E118" i="20"/>
  <c r="E108" i="20"/>
  <c r="E140" i="20"/>
  <c r="E119" i="20"/>
  <c r="E107" i="20"/>
  <c r="E86" i="20"/>
  <c r="D120" i="20"/>
  <c r="D121" i="20" s="1"/>
  <c r="D109" i="20"/>
  <c r="D110" i="20" s="1"/>
  <c r="D131" i="20"/>
  <c r="D132" i="20" s="1"/>
  <c r="E130" i="20"/>
  <c r="D87" i="20"/>
  <c r="D88" i="20" s="1"/>
  <c r="D54" i="20"/>
  <c r="D55" i="20" s="1"/>
  <c r="E96" i="20"/>
  <c r="D76" i="20"/>
  <c r="D77" i="20" s="1"/>
  <c r="D98" i="20"/>
  <c r="D99" i="20" s="1"/>
  <c r="E97" i="20"/>
  <c r="E85" i="20"/>
  <c r="E74" i="20"/>
  <c r="E63" i="20"/>
  <c r="E75" i="20"/>
  <c r="D65" i="20"/>
  <c r="D66" i="20" s="1"/>
  <c r="E52" i="20"/>
  <c r="E53" i="20"/>
  <c r="E64" i="20"/>
  <c r="F45" i="20"/>
  <c r="F46" i="20" s="1"/>
  <c r="G7" i="20"/>
  <c r="CA60" i="20"/>
  <c r="BY63" i="20"/>
  <c r="BX63" i="20"/>
  <c r="BW63" i="20"/>
  <c r="BV63" i="20"/>
  <c r="AF8" i="20"/>
  <c r="AE8" i="20"/>
  <c r="AH5" i="20"/>
  <c r="AG5" i="20"/>
  <c r="AF5" i="20"/>
  <c r="AE5" i="20"/>
  <c r="AG8" i="20"/>
  <c r="AI47" i="20"/>
  <c r="C187" i="20"/>
  <c r="D165" i="20"/>
  <c r="AR36" i="19"/>
  <c r="AN36" i="19"/>
  <c r="BD36" i="19" s="1"/>
  <c r="C159" i="19" s="1"/>
  <c r="C176" i="19"/>
  <c r="F7" i="19"/>
  <c r="E45" i="19"/>
  <c r="E46" i="19" s="1"/>
  <c r="C165" i="19"/>
  <c r="D173" i="19"/>
  <c r="D152" i="19"/>
  <c r="D163" i="19"/>
  <c r="D174" i="19"/>
  <c r="D175" i="19"/>
  <c r="D162" i="19"/>
  <c r="D140" i="19"/>
  <c r="C153" i="19"/>
  <c r="C154" i="19" s="1"/>
  <c r="D151" i="19"/>
  <c r="C142" i="19"/>
  <c r="C143" i="19" s="1"/>
  <c r="D118" i="19"/>
  <c r="D129" i="19"/>
  <c r="D164" i="19"/>
  <c r="D108" i="19"/>
  <c r="C120" i="19"/>
  <c r="C121" i="19" s="1"/>
  <c r="C87" i="19"/>
  <c r="C88" i="19" s="1"/>
  <c r="D119" i="19"/>
  <c r="D141" i="19"/>
  <c r="D107" i="19"/>
  <c r="C131" i="19"/>
  <c r="C132" i="19" s="1"/>
  <c r="D97" i="19"/>
  <c r="D86" i="19"/>
  <c r="D96" i="19"/>
  <c r="C76" i="19"/>
  <c r="C77" i="19" s="1"/>
  <c r="D74" i="19"/>
  <c r="D85" i="19"/>
  <c r="D75" i="19"/>
  <c r="C109" i="19"/>
  <c r="C110" i="19" s="1"/>
  <c r="C65" i="19"/>
  <c r="C66" i="19" s="1"/>
  <c r="D52" i="19"/>
  <c r="D64" i="19"/>
  <c r="C54" i="19"/>
  <c r="C55" i="19" s="1"/>
  <c r="C98" i="19"/>
  <c r="C99" i="19" s="1"/>
  <c r="D63" i="19"/>
  <c r="D53" i="19"/>
  <c r="D130" i="19"/>
  <c r="C187" i="19"/>
  <c r="BX63" i="19"/>
  <c r="CA60" i="19"/>
  <c r="AH5" i="19"/>
  <c r="BY63" i="19"/>
  <c r="AF8" i="19"/>
  <c r="BW63" i="19"/>
  <c r="BV63" i="19"/>
  <c r="AG8" i="19"/>
  <c r="AE5" i="19"/>
  <c r="AE8" i="19"/>
  <c r="AI47" i="19"/>
  <c r="AG5" i="19"/>
  <c r="AF5" i="19"/>
  <c r="C187" i="18"/>
  <c r="AH187" i="18" s="1"/>
  <c r="AH49" i="18"/>
  <c r="AK32" i="18" s="1"/>
  <c r="AK9" i="18" s="1"/>
  <c r="AR38" i="18"/>
  <c r="AN38" i="18"/>
  <c r="BD38" i="18" s="1"/>
  <c r="BE32" i="18" s="1"/>
  <c r="BY63" i="17"/>
  <c r="AI47" i="17"/>
  <c r="AH5" i="17"/>
  <c r="AG5" i="17"/>
  <c r="AF5" i="17"/>
  <c r="AE5" i="17"/>
  <c r="CA60" i="17"/>
  <c r="BX63" i="17"/>
  <c r="BW63" i="17"/>
  <c r="AG8" i="17"/>
  <c r="AF8" i="17"/>
  <c r="AE8" i="17"/>
  <c r="BV63" i="17"/>
  <c r="D176" i="16"/>
  <c r="BW63" i="16"/>
  <c r="AH5" i="16"/>
  <c r="AG5" i="16"/>
  <c r="AG8" i="16"/>
  <c r="AF5" i="16"/>
  <c r="AF8" i="16"/>
  <c r="AE5" i="16"/>
  <c r="CA60" i="16"/>
  <c r="AE8" i="16"/>
  <c r="BY63" i="16"/>
  <c r="AI47" i="16"/>
  <c r="BX63" i="16"/>
  <c r="BV63" i="16"/>
  <c r="E173" i="16"/>
  <c r="E152" i="16"/>
  <c r="E163" i="16"/>
  <c r="E174" i="16"/>
  <c r="E175" i="16"/>
  <c r="E164" i="16"/>
  <c r="D131" i="16"/>
  <c r="D132" i="16" s="1"/>
  <c r="E129" i="16"/>
  <c r="E162" i="16"/>
  <c r="D153" i="16"/>
  <c r="D154" i="16" s="1"/>
  <c r="E151" i="16"/>
  <c r="E140" i="16"/>
  <c r="E141" i="16"/>
  <c r="E130" i="16"/>
  <c r="E108" i="16"/>
  <c r="D120" i="16"/>
  <c r="D121" i="16" s="1"/>
  <c r="E119" i="16"/>
  <c r="D109" i="16"/>
  <c r="D110" i="16" s="1"/>
  <c r="D142" i="16"/>
  <c r="D143" i="16" s="1"/>
  <c r="E96" i="16"/>
  <c r="E85" i="16"/>
  <c r="E97" i="16"/>
  <c r="E107" i="16"/>
  <c r="D98" i="16"/>
  <c r="D99" i="16" s="1"/>
  <c r="D76" i="16"/>
  <c r="D77" i="16" s="1"/>
  <c r="E64" i="16"/>
  <c r="E118" i="16"/>
  <c r="D87" i="16"/>
  <c r="D88" i="16" s="1"/>
  <c r="E74" i="16"/>
  <c r="D54" i="16"/>
  <c r="D55" i="16" s="1"/>
  <c r="E75" i="16"/>
  <c r="E86" i="16"/>
  <c r="D65" i="16"/>
  <c r="D66" i="16" s="1"/>
  <c r="E63" i="16"/>
  <c r="E53" i="16"/>
  <c r="E52" i="16"/>
  <c r="G7" i="16"/>
  <c r="F45" i="16"/>
  <c r="F46" i="16" s="1"/>
  <c r="AR38" i="15"/>
  <c r="AN38" i="15"/>
  <c r="BD38" i="15" s="1"/>
  <c r="BE32" i="15" s="1"/>
  <c r="BV63" i="15"/>
  <c r="CA60" i="15"/>
  <c r="BY63" i="15"/>
  <c r="BX63" i="15"/>
  <c r="BW63" i="15"/>
  <c r="AI47" i="15"/>
  <c r="AE5" i="15"/>
  <c r="AG8" i="15"/>
  <c r="AF8" i="15"/>
  <c r="AE8" i="15"/>
  <c r="AH5" i="15"/>
  <c r="AG5" i="15"/>
  <c r="AF5" i="15"/>
  <c r="E45" i="15"/>
  <c r="E46" i="15" s="1"/>
  <c r="F7" i="15"/>
  <c r="D173" i="15"/>
  <c r="D152" i="15"/>
  <c r="D163" i="15"/>
  <c r="D174" i="15"/>
  <c r="C153" i="15"/>
  <c r="C154" i="15" s="1"/>
  <c r="D164" i="15"/>
  <c r="D140" i="15"/>
  <c r="C142" i="15"/>
  <c r="C143" i="15" s="1"/>
  <c r="D151" i="15"/>
  <c r="D175" i="15"/>
  <c r="D141" i="15"/>
  <c r="C131" i="15"/>
  <c r="C132" i="15" s="1"/>
  <c r="D118" i="15"/>
  <c r="D162" i="15"/>
  <c r="C109" i="15"/>
  <c r="C110" i="15" s="1"/>
  <c r="D129" i="15"/>
  <c r="D107" i="15"/>
  <c r="D86" i="15"/>
  <c r="D119" i="15"/>
  <c r="D130" i="15"/>
  <c r="C120" i="15"/>
  <c r="C121" i="15" s="1"/>
  <c r="D108" i="15"/>
  <c r="C87" i="15"/>
  <c r="C88" i="15" s="1"/>
  <c r="C98" i="15"/>
  <c r="C99" i="15" s="1"/>
  <c r="D85" i="15"/>
  <c r="D64" i="15"/>
  <c r="C54" i="15"/>
  <c r="C55" i="15" s="1"/>
  <c r="D96" i="15"/>
  <c r="D97" i="15"/>
  <c r="C76" i="15"/>
  <c r="C77" i="15" s="1"/>
  <c r="D63" i="15"/>
  <c r="C65" i="15"/>
  <c r="C66" i="15" s="1"/>
  <c r="D74" i="15"/>
  <c r="D52" i="15"/>
  <c r="D75" i="15"/>
  <c r="D53" i="15"/>
  <c r="C187" i="15"/>
  <c r="AH187" i="15" s="1"/>
  <c r="AH49" i="15"/>
  <c r="AK32" i="15" s="1"/>
  <c r="AK9" i="15" s="1"/>
  <c r="C176" i="15"/>
  <c r="C165" i="15"/>
  <c r="C165" i="14"/>
  <c r="E45" i="14"/>
  <c r="E46" i="14" s="1"/>
  <c r="F7" i="14"/>
  <c r="D173" i="14"/>
  <c r="D163" i="14"/>
  <c r="D174" i="14"/>
  <c r="D164" i="14"/>
  <c r="D151" i="14"/>
  <c r="D140" i="14"/>
  <c r="C153" i="14"/>
  <c r="C154" i="14" s="1"/>
  <c r="D152" i="14"/>
  <c r="D175" i="14"/>
  <c r="D129" i="14"/>
  <c r="D96" i="14"/>
  <c r="C109" i="14"/>
  <c r="C110" i="14" s="1"/>
  <c r="D162" i="14"/>
  <c r="D118" i="14"/>
  <c r="D141" i="14"/>
  <c r="C120" i="14"/>
  <c r="C121" i="14" s="1"/>
  <c r="C131" i="14"/>
  <c r="C132" i="14" s="1"/>
  <c r="D119" i="14"/>
  <c r="D85" i="14"/>
  <c r="D130" i="14"/>
  <c r="D75" i="14"/>
  <c r="D63" i="14"/>
  <c r="D53" i="14"/>
  <c r="D52" i="14"/>
  <c r="C54" i="14"/>
  <c r="C55" i="14" s="1"/>
  <c r="D107" i="14"/>
  <c r="D74" i="14"/>
  <c r="D108" i="14"/>
  <c r="D64" i="14"/>
  <c r="C142" i="14"/>
  <c r="C143" i="14" s="1"/>
  <c r="C87" i="14"/>
  <c r="C88" i="14" s="1"/>
  <c r="D86" i="14"/>
  <c r="D97" i="14"/>
  <c r="C65" i="14"/>
  <c r="C66" i="14" s="1"/>
  <c r="C76" i="14"/>
  <c r="C77" i="14" s="1"/>
  <c r="C98" i="14"/>
  <c r="C99" i="14" s="1"/>
  <c r="C187" i="14"/>
  <c r="BV63" i="14"/>
  <c r="CA60" i="14"/>
  <c r="AI47" i="14"/>
  <c r="BY63" i="14"/>
  <c r="BX63" i="14"/>
  <c r="BW63" i="14"/>
  <c r="AG8" i="14"/>
  <c r="AH5" i="14"/>
  <c r="AF8" i="14"/>
  <c r="AE8" i="14"/>
  <c r="AG5" i="14"/>
  <c r="AF5" i="14"/>
  <c r="AE5" i="14"/>
  <c r="C176" i="14"/>
  <c r="AH167" i="1"/>
  <c r="AH104" i="16" l="1"/>
  <c r="AK37" i="16" s="1"/>
  <c r="AK14" i="16" s="1"/>
  <c r="AH82" i="16"/>
  <c r="AK35" i="16" s="1"/>
  <c r="AK12" i="16" s="1"/>
  <c r="AH148" i="15"/>
  <c r="AK41" i="15" s="1"/>
  <c r="AK18" i="15" s="1"/>
  <c r="D63" i="21"/>
  <c r="D97" i="21"/>
  <c r="D119" i="21"/>
  <c r="C120" i="21"/>
  <c r="C121" i="21" s="1"/>
  <c r="E159" i="19"/>
  <c r="I159" i="19"/>
  <c r="AH104" i="21"/>
  <c r="AK37" i="21" s="1"/>
  <c r="AK14" i="21" s="1"/>
  <c r="D75" i="21"/>
  <c r="D86" i="21"/>
  <c r="D108" i="21"/>
  <c r="D164" i="21"/>
  <c r="M159" i="19"/>
  <c r="R159" i="19"/>
  <c r="AH137" i="15"/>
  <c r="AK40" i="15" s="1"/>
  <c r="AK17" i="15" s="1"/>
  <c r="AH159" i="21"/>
  <c r="AK42" i="21" s="1"/>
  <c r="AK19" i="21" s="1"/>
  <c r="AA104" i="19"/>
  <c r="Z137" i="19"/>
  <c r="Y137" i="19"/>
  <c r="AB104" i="19"/>
  <c r="X137" i="19"/>
  <c r="O159" i="19"/>
  <c r="J159" i="19"/>
  <c r="S137" i="19"/>
  <c r="AE137" i="19"/>
  <c r="N159" i="19"/>
  <c r="AC104" i="19"/>
  <c r="T82" i="19"/>
  <c r="P159" i="19"/>
  <c r="U82" i="19"/>
  <c r="L137" i="19"/>
  <c r="W137" i="19"/>
  <c r="V82" i="19"/>
  <c r="H137" i="19"/>
  <c r="G137" i="19"/>
  <c r="AD137" i="19"/>
  <c r="D64" i="21"/>
  <c r="C87" i="21"/>
  <c r="C88" i="21" s="1"/>
  <c r="D130" i="21"/>
  <c r="D118" i="21"/>
  <c r="D163" i="21"/>
  <c r="Q159" i="19"/>
  <c r="D159" i="19"/>
  <c r="AF159" i="19"/>
  <c r="AH104" i="19"/>
  <c r="AK37" i="19" s="1"/>
  <c r="AK14" i="19" s="1"/>
  <c r="AH187" i="19"/>
  <c r="AH126" i="16"/>
  <c r="AK39" i="16" s="1"/>
  <c r="AK16" i="16" s="1"/>
  <c r="AH115" i="16"/>
  <c r="AK38" i="16" s="1"/>
  <c r="AK15" i="16" s="1"/>
  <c r="AH49" i="20"/>
  <c r="AK32" i="20" s="1"/>
  <c r="AK9" i="20" s="1"/>
  <c r="AH187" i="20"/>
  <c r="AF8" i="21"/>
  <c r="AH5" i="21"/>
  <c r="BW63" i="21"/>
  <c r="BX63" i="21"/>
  <c r="AE5" i="21"/>
  <c r="AE8" i="21"/>
  <c r="BY63" i="21"/>
  <c r="AG8" i="21"/>
  <c r="AI47" i="21"/>
  <c r="BV63" i="21"/>
  <c r="AH148" i="23"/>
  <c r="AK41" i="23" s="1"/>
  <c r="AK18" i="23" s="1"/>
  <c r="AH60" i="20"/>
  <c r="AK33" i="20" s="1"/>
  <c r="AK10" i="20" s="1"/>
  <c r="AH104" i="15"/>
  <c r="AK37" i="15" s="1"/>
  <c r="AK14" i="15" s="1"/>
  <c r="AH148" i="14"/>
  <c r="AK41" i="14" s="1"/>
  <c r="AK18" i="14" s="1"/>
  <c r="AH82" i="15"/>
  <c r="AK35" i="15" s="1"/>
  <c r="AK12" i="15" s="1"/>
  <c r="AH115" i="21"/>
  <c r="AK38" i="21" s="1"/>
  <c r="AK15" i="21" s="1"/>
  <c r="AH148" i="16"/>
  <c r="AK41" i="16" s="1"/>
  <c r="AK18" i="16" s="1"/>
  <c r="AH187" i="14"/>
  <c r="AH126" i="14"/>
  <c r="AK39" i="14" s="1"/>
  <c r="AK16" i="14" s="1"/>
  <c r="AH159" i="19"/>
  <c r="AK42" i="19" s="1"/>
  <c r="AK19" i="19" s="1"/>
  <c r="AH170" i="19"/>
  <c r="AK43" i="19" s="1"/>
  <c r="AK20" i="19" s="1"/>
  <c r="AH126" i="15"/>
  <c r="AK39" i="15" s="1"/>
  <c r="AK16" i="15" s="1"/>
  <c r="AH137" i="16"/>
  <c r="AK40" i="16" s="1"/>
  <c r="AK17" i="16" s="1"/>
  <c r="AH60" i="15"/>
  <c r="AK33" i="15" s="1"/>
  <c r="AK10" i="15" s="1"/>
  <c r="AH115" i="15"/>
  <c r="AK38" i="15" s="1"/>
  <c r="AK15" i="15" s="1"/>
  <c r="AH104" i="23"/>
  <c r="AK37" i="23" s="1"/>
  <c r="AK14" i="23" s="1"/>
  <c r="AH170" i="21"/>
  <c r="AK43" i="21" s="1"/>
  <c r="AK20" i="21" s="1"/>
  <c r="AH93" i="23"/>
  <c r="AK36" i="23" s="1"/>
  <c r="AK13" i="23" s="1"/>
  <c r="AH93" i="21"/>
  <c r="AK36" i="21" s="1"/>
  <c r="AK13" i="21" s="1"/>
  <c r="AH137" i="21"/>
  <c r="AK40" i="21" s="1"/>
  <c r="AK17" i="21" s="1"/>
  <c r="AH148" i="21"/>
  <c r="AK41" i="21" s="1"/>
  <c r="AK18" i="21" s="1"/>
  <c r="AH82" i="17"/>
  <c r="AK35" i="17" s="1"/>
  <c r="AK12" i="17" s="1"/>
  <c r="AH159" i="14"/>
  <c r="AK42" i="14" s="1"/>
  <c r="AK19" i="14" s="1"/>
  <c r="AH71" i="20"/>
  <c r="AK34" i="20" s="1"/>
  <c r="AK11" i="20" s="1"/>
  <c r="AH137" i="17"/>
  <c r="AK40" i="17" s="1"/>
  <c r="AK17" i="17" s="1"/>
  <c r="C88" i="20"/>
  <c r="P126" i="20"/>
  <c r="AF126" i="20"/>
  <c r="AD126" i="20"/>
  <c r="F148" i="20"/>
  <c r="Y137" i="20"/>
  <c r="D126" i="20"/>
  <c r="N126" i="20"/>
  <c r="S137" i="20"/>
  <c r="E148" i="20"/>
  <c r="R137" i="20"/>
  <c r="V126" i="20"/>
  <c r="L126" i="20"/>
  <c r="AE126" i="20"/>
  <c r="I82" i="20"/>
  <c r="AH82" i="20" s="1"/>
  <c r="AK35" i="20" s="1"/>
  <c r="AK12" i="20" s="1"/>
  <c r="T137" i="20"/>
  <c r="J126" i="20"/>
  <c r="H126" i="20"/>
  <c r="AC126" i="20"/>
  <c r="W126" i="20"/>
  <c r="AG126" i="20"/>
  <c r="M126" i="20"/>
  <c r="AB148" i="20"/>
  <c r="AA137" i="20"/>
  <c r="Z137" i="20"/>
  <c r="K126" i="20"/>
  <c r="G126" i="20"/>
  <c r="X126" i="20"/>
  <c r="U126" i="20"/>
  <c r="Q126" i="20"/>
  <c r="O126" i="20"/>
  <c r="C126" i="20"/>
  <c r="AH137" i="14"/>
  <c r="AK40" i="14" s="1"/>
  <c r="AK17" i="14" s="1"/>
  <c r="AH137" i="23"/>
  <c r="AK40" i="23" s="1"/>
  <c r="AK17" i="23" s="1"/>
  <c r="AH148" i="17"/>
  <c r="AK41" i="17" s="1"/>
  <c r="AK18" i="17" s="1"/>
  <c r="W148" i="19"/>
  <c r="Z148" i="19"/>
  <c r="G148" i="19"/>
  <c r="E148" i="19"/>
  <c r="D148" i="19"/>
  <c r="F137" i="19"/>
  <c r="V148" i="19"/>
  <c r="AA148" i="19"/>
  <c r="M148" i="19"/>
  <c r="Q148" i="19"/>
  <c r="P60" i="19"/>
  <c r="R148" i="19"/>
  <c r="J82" i="19"/>
  <c r="AH82" i="19" s="1"/>
  <c r="AK35" i="19" s="1"/>
  <c r="AK12" i="19" s="1"/>
  <c r="L71" i="19"/>
  <c r="AH71" i="19" s="1"/>
  <c r="AK34" i="19" s="1"/>
  <c r="AK11" i="19" s="1"/>
  <c r="N60" i="19"/>
  <c r="I148" i="19"/>
  <c r="U148" i="19"/>
  <c r="K137" i="19"/>
  <c r="H148" i="19"/>
  <c r="T148" i="19"/>
  <c r="S115" i="19"/>
  <c r="AH115" i="19" s="1"/>
  <c r="AK38" i="19" s="1"/>
  <c r="AK15" i="19" s="1"/>
  <c r="O60" i="19"/>
  <c r="C93" i="19"/>
  <c r="AH93" i="19" s="1"/>
  <c r="AK36" i="19" s="1"/>
  <c r="AK13" i="19" s="1"/>
  <c r="AH60" i="14"/>
  <c r="AK33" i="14" s="1"/>
  <c r="AK10" i="14" s="1"/>
  <c r="AH115" i="14"/>
  <c r="AK38" i="14" s="1"/>
  <c r="AK15" i="14" s="1"/>
  <c r="AH49" i="14"/>
  <c r="AK32" i="14" s="1"/>
  <c r="AK9" i="14" s="1"/>
  <c r="AH49" i="19"/>
  <c r="AK32" i="19" s="1"/>
  <c r="AK9" i="19" s="1"/>
  <c r="AH93" i="14"/>
  <c r="AK36" i="14" s="1"/>
  <c r="AK13" i="14" s="1"/>
  <c r="AH82" i="23"/>
  <c r="AK35" i="23" s="1"/>
  <c r="AK12" i="23" s="1"/>
  <c r="AH82" i="14"/>
  <c r="AK35" i="14" s="1"/>
  <c r="AK12" i="14" s="1"/>
  <c r="AH104" i="14"/>
  <c r="AK37" i="14" s="1"/>
  <c r="AK14" i="14" s="1"/>
  <c r="C55" i="20"/>
  <c r="C54" i="21"/>
  <c r="C55" i="21" s="1"/>
  <c r="C76" i="21"/>
  <c r="C77" i="21" s="1"/>
  <c r="D74" i="21"/>
  <c r="D96" i="21"/>
  <c r="C109" i="21"/>
  <c r="C110" i="21" s="1"/>
  <c r="D175" i="21"/>
  <c r="D140" i="21"/>
  <c r="D141" i="21"/>
  <c r="D174" i="21"/>
  <c r="D52" i="21"/>
  <c r="D85" i="21"/>
  <c r="D107" i="21"/>
  <c r="C98" i="21"/>
  <c r="C99" i="21" s="1"/>
  <c r="D162" i="21"/>
  <c r="D165" i="21" s="1"/>
  <c r="D151" i="21"/>
  <c r="D152" i="21"/>
  <c r="C153" i="21"/>
  <c r="C154" i="21" s="1"/>
  <c r="AH49" i="21"/>
  <c r="AK32" i="21" s="1"/>
  <c r="AK9" i="21" s="1"/>
  <c r="AH187" i="21"/>
  <c r="AH60" i="21"/>
  <c r="AK33" i="21" s="1"/>
  <c r="AK10" i="21" s="1"/>
  <c r="C99" i="20"/>
  <c r="C165" i="17"/>
  <c r="C132" i="20"/>
  <c r="E45" i="17"/>
  <c r="E46" i="17" s="1"/>
  <c r="F7" i="17"/>
  <c r="D162" i="17"/>
  <c r="C87" i="17"/>
  <c r="C88" i="17" s="1"/>
  <c r="D74" i="17"/>
  <c r="D173" i="17"/>
  <c r="C142" i="17"/>
  <c r="C143" i="17" s="1"/>
  <c r="D118" i="17"/>
  <c r="D163" i="17"/>
  <c r="D130" i="17"/>
  <c r="C98" i="17"/>
  <c r="C99" i="17" s="1"/>
  <c r="D174" i="17"/>
  <c r="C131" i="17"/>
  <c r="C132" i="17" s="1"/>
  <c r="D97" i="17"/>
  <c r="D164" i="17"/>
  <c r="D119" i="17"/>
  <c r="D75" i="17"/>
  <c r="D151" i="17"/>
  <c r="C109" i="17"/>
  <c r="C110" i="17" s="1"/>
  <c r="D86" i="17"/>
  <c r="D140" i="17"/>
  <c r="C120" i="17"/>
  <c r="C121" i="17" s="1"/>
  <c r="D96" i="17"/>
  <c r="C153" i="17"/>
  <c r="C154" i="17" s="1"/>
  <c r="D85" i="17"/>
  <c r="D52" i="17"/>
  <c r="D129" i="17"/>
  <c r="D152" i="17"/>
  <c r="D63" i="17"/>
  <c r="D107" i="17"/>
  <c r="C54" i="17"/>
  <c r="C55" i="17" s="1"/>
  <c r="D175" i="17"/>
  <c r="D108" i="17"/>
  <c r="D64" i="17"/>
  <c r="C76" i="17"/>
  <c r="C77" i="17" s="1"/>
  <c r="D141" i="17"/>
  <c r="C65" i="17"/>
  <c r="C66" i="17" s="1"/>
  <c r="D53" i="17"/>
  <c r="C154" i="20"/>
  <c r="C176" i="17"/>
  <c r="C143" i="20"/>
  <c r="C66" i="20"/>
  <c r="C121" i="20"/>
  <c r="C110" i="20"/>
  <c r="C77" i="20"/>
  <c r="C176" i="20"/>
  <c r="C165" i="20"/>
  <c r="E45" i="18"/>
  <c r="E46" i="18" s="1"/>
  <c r="F7" i="18"/>
  <c r="D152" i="18"/>
  <c r="D118" i="18"/>
  <c r="C87" i="18"/>
  <c r="C88" i="18" s="1"/>
  <c r="D163" i="18"/>
  <c r="C131" i="18"/>
  <c r="C132" i="18" s="1"/>
  <c r="D63" i="18"/>
  <c r="D174" i="18"/>
  <c r="C109" i="18"/>
  <c r="C110" i="18" s="1"/>
  <c r="D53" i="18"/>
  <c r="C153" i="18"/>
  <c r="C154" i="18" s="1"/>
  <c r="D130" i="18"/>
  <c r="D52" i="18"/>
  <c r="D164" i="18"/>
  <c r="D162" i="18"/>
  <c r="D64" i="18"/>
  <c r="D96" i="18"/>
  <c r="D151" i="18"/>
  <c r="D140" i="18"/>
  <c r="C76" i="18"/>
  <c r="C77" i="18" s="1"/>
  <c r="C120" i="18"/>
  <c r="C121" i="18" s="1"/>
  <c r="D86" i="18"/>
  <c r="D75" i="18"/>
  <c r="D129" i="18"/>
  <c r="D108" i="18"/>
  <c r="D85" i="18"/>
  <c r="C142" i="18"/>
  <c r="C143" i="18" s="1"/>
  <c r="C98" i="18"/>
  <c r="C99" i="18" s="1"/>
  <c r="D74" i="18"/>
  <c r="D173" i="18"/>
  <c r="D141" i="18"/>
  <c r="D97" i="18"/>
  <c r="C54" i="18"/>
  <c r="C55" i="18" s="1"/>
  <c r="D175" i="18"/>
  <c r="D107" i="18"/>
  <c r="C65" i="18"/>
  <c r="C66" i="18" s="1"/>
  <c r="D119" i="18"/>
  <c r="E165" i="20"/>
  <c r="D129" i="24"/>
  <c r="D119" i="24"/>
  <c r="D63" i="24"/>
  <c r="C65" i="24"/>
  <c r="C66" i="24" s="1"/>
  <c r="C153" i="24"/>
  <c r="C154" i="24" s="1"/>
  <c r="D96" i="24"/>
  <c r="C54" i="24"/>
  <c r="C55" i="24" s="1"/>
  <c r="C142" i="24"/>
  <c r="C143" i="24" s="1"/>
  <c r="C109" i="24"/>
  <c r="C110" i="24" s="1"/>
  <c r="D53" i="24"/>
  <c r="D130" i="24"/>
  <c r="D118" i="24"/>
  <c r="D52" i="24"/>
  <c r="D162" i="24"/>
  <c r="D173" i="24"/>
  <c r="D141" i="24"/>
  <c r="C98" i="24"/>
  <c r="C99" i="24" s="1"/>
  <c r="D151" i="24"/>
  <c r="D152" i="24"/>
  <c r="D175" i="24"/>
  <c r="C87" i="24"/>
  <c r="C88" i="24" s="1"/>
  <c r="D75" i="24"/>
  <c r="D163" i="24"/>
  <c r="D107" i="24"/>
  <c r="D64" i="24"/>
  <c r="C120" i="24"/>
  <c r="C121" i="24" s="1"/>
  <c r="D174" i="24"/>
  <c r="D86" i="24"/>
  <c r="C76" i="24"/>
  <c r="C77" i="24" s="1"/>
  <c r="D164" i="24"/>
  <c r="D108" i="24"/>
  <c r="D85" i="24"/>
  <c r="D140" i="24"/>
  <c r="D97" i="24"/>
  <c r="D74" i="24"/>
  <c r="C131" i="24"/>
  <c r="C132" i="24" s="1"/>
  <c r="C176" i="24"/>
  <c r="F7" i="24"/>
  <c r="E45" i="24"/>
  <c r="E46" i="24" s="1"/>
  <c r="C165" i="24"/>
  <c r="D176" i="23"/>
  <c r="F45" i="23"/>
  <c r="F46" i="23" s="1"/>
  <c r="G7" i="23"/>
  <c r="E173" i="23"/>
  <c r="E152" i="23"/>
  <c r="E163" i="23"/>
  <c r="E174" i="23"/>
  <c r="E175" i="23"/>
  <c r="D153" i="23"/>
  <c r="D154" i="23" s="1"/>
  <c r="D142" i="23"/>
  <c r="D143" i="23" s="1"/>
  <c r="E130" i="23"/>
  <c r="E141" i="23"/>
  <c r="E140" i="23"/>
  <c r="E164" i="23"/>
  <c r="E151" i="23"/>
  <c r="E129" i="23"/>
  <c r="D109" i="23"/>
  <c r="D110" i="23" s="1"/>
  <c r="D131" i="23"/>
  <c r="D132" i="23" s="1"/>
  <c r="E162" i="23"/>
  <c r="E107" i="23"/>
  <c r="D98" i="23"/>
  <c r="D99" i="23" s="1"/>
  <c r="E97" i="23"/>
  <c r="D76" i="23"/>
  <c r="D77" i="23" s="1"/>
  <c r="E63" i="23"/>
  <c r="E118" i="23"/>
  <c r="E96" i="23"/>
  <c r="D87" i="23"/>
  <c r="D88" i="23" s="1"/>
  <c r="D120" i="23"/>
  <c r="D121" i="23" s="1"/>
  <c r="E85" i="23"/>
  <c r="E119" i="23"/>
  <c r="E108" i="23"/>
  <c r="E86" i="23"/>
  <c r="D65" i="23"/>
  <c r="D66" i="23" s="1"/>
  <c r="E52" i="23"/>
  <c r="E64" i="23"/>
  <c r="D54" i="23"/>
  <c r="D55" i="23" s="1"/>
  <c r="E75" i="23"/>
  <c r="E53" i="23"/>
  <c r="E74" i="23"/>
  <c r="D165" i="23"/>
  <c r="F45" i="22"/>
  <c r="F46" i="22" s="1"/>
  <c r="G7" i="22"/>
  <c r="E173" i="22"/>
  <c r="E152" i="22"/>
  <c r="E163" i="22"/>
  <c r="E174" i="22"/>
  <c r="E164" i="22"/>
  <c r="E175" i="22"/>
  <c r="E140" i="22"/>
  <c r="E151" i="22"/>
  <c r="E162" i="22"/>
  <c r="D153" i="22"/>
  <c r="D154" i="22" s="1"/>
  <c r="E130" i="22"/>
  <c r="D142" i="22"/>
  <c r="D143" i="22" s="1"/>
  <c r="E119" i="22"/>
  <c r="E141" i="22"/>
  <c r="E129" i="22"/>
  <c r="E118" i="22"/>
  <c r="D98" i="22"/>
  <c r="D99" i="22" s="1"/>
  <c r="D131" i="22"/>
  <c r="D132" i="22" s="1"/>
  <c r="E108" i="22"/>
  <c r="E96" i="22"/>
  <c r="E86" i="22"/>
  <c r="D120" i="22"/>
  <c r="D121" i="22" s="1"/>
  <c r="D109" i="22"/>
  <c r="D110" i="22" s="1"/>
  <c r="D76" i="22"/>
  <c r="D77" i="22" s="1"/>
  <c r="D87" i="22"/>
  <c r="D88" i="22" s="1"/>
  <c r="E107" i="22"/>
  <c r="E97" i="22"/>
  <c r="E85" i="22"/>
  <c r="D65" i="22"/>
  <c r="D66" i="22" s="1"/>
  <c r="E63" i="22"/>
  <c r="E52" i="22"/>
  <c r="E64" i="22"/>
  <c r="D54" i="22"/>
  <c r="D55" i="22" s="1"/>
  <c r="E74" i="22"/>
  <c r="E75" i="22"/>
  <c r="E53" i="22"/>
  <c r="D176" i="22"/>
  <c r="D165" i="22"/>
  <c r="G7" i="21"/>
  <c r="F45" i="21"/>
  <c r="F46" i="21" s="1"/>
  <c r="E173" i="21"/>
  <c r="E163" i="21"/>
  <c r="E174" i="21"/>
  <c r="E140" i="21"/>
  <c r="D153" i="21"/>
  <c r="E164" i="21"/>
  <c r="E151" i="21"/>
  <c r="E175" i="21"/>
  <c r="E162" i="21"/>
  <c r="E141" i="21"/>
  <c r="E152" i="21"/>
  <c r="E118" i="21"/>
  <c r="D131" i="21"/>
  <c r="D142" i="21"/>
  <c r="E119" i="21"/>
  <c r="D120" i="21"/>
  <c r="D121" i="21" s="1"/>
  <c r="E130" i="21"/>
  <c r="D109" i="21"/>
  <c r="D110" i="21" s="1"/>
  <c r="E129" i="21"/>
  <c r="E108" i="21"/>
  <c r="E86" i="21"/>
  <c r="D65" i="21"/>
  <c r="D66" i="21" s="1"/>
  <c r="E75" i="21"/>
  <c r="E96" i="21"/>
  <c r="E97" i="21"/>
  <c r="E107" i="21"/>
  <c r="E74" i="21"/>
  <c r="E85" i="21"/>
  <c r="E53" i="21"/>
  <c r="E52" i="21"/>
  <c r="E64" i="21"/>
  <c r="D76" i="21"/>
  <c r="D98" i="21"/>
  <c r="D99" i="21" s="1"/>
  <c r="D87" i="21"/>
  <c r="E63" i="21"/>
  <c r="D54" i="21"/>
  <c r="D132" i="21"/>
  <c r="H7" i="20"/>
  <c r="G45" i="20"/>
  <c r="G46" i="20" s="1"/>
  <c r="F152" i="20"/>
  <c r="F163" i="20"/>
  <c r="F174" i="20"/>
  <c r="F164" i="20"/>
  <c r="F175" i="20"/>
  <c r="F162" i="20"/>
  <c r="F151" i="20"/>
  <c r="F173" i="20"/>
  <c r="E142" i="20"/>
  <c r="E143" i="20" s="1"/>
  <c r="F119" i="20"/>
  <c r="F130" i="20"/>
  <c r="F141" i="20"/>
  <c r="E120" i="20"/>
  <c r="E121" i="20" s="1"/>
  <c r="F140" i="20"/>
  <c r="E131" i="20"/>
  <c r="E132" i="20" s="1"/>
  <c r="F118" i="20"/>
  <c r="F107" i="20"/>
  <c r="F96" i="20"/>
  <c r="E153" i="20"/>
  <c r="E154" i="20" s="1"/>
  <c r="E98" i="20"/>
  <c r="E99" i="20" s="1"/>
  <c r="F129" i="20"/>
  <c r="F85" i="20"/>
  <c r="F86" i="20"/>
  <c r="E76" i="20"/>
  <c r="E77" i="20" s="1"/>
  <c r="E65" i="20"/>
  <c r="E66" i="20" s="1"/>
  <c r="F108" i="20"/>
  <c r="E87" i="20"/>
  <c r="E88" i="20" s="1"/>
  <c r="F97" i="20"/>
  <c r="E109" i="20"/>
  <c r="E110" i="20" s="1"/>
  <c r="F63" i="20"/>
  <c r="F64" i="20"/>
  <c r="F74" i="20"/>
  <c r="F52" i="20"/>
  <c r="F53" i="20"/>
  <c r="E54" i="20"/>
  <c r="E55" i="20" s="1"/>
  <c r="F75" i="20"/>
  <c r="E176" i="20"/>
  <c r="D176" i="19"/>
  <c r="E173" i="19"/>
  <c r="E163" i="19"/>
  <c r="E174" i="19"/>
  <c r="E164" i="19"/>
  <c r="E175" i="19"/>
  <c r="E162" i="19"/>
  <c r="D153" i="19"/>
  <c r="D154" i="19" s="1"/>
  <c r="E130" i="19"/>
  <c r="E152" i="19"/>
  <c r="E151" i="19"/>
  <c r="D142" i="19"/>
  <c r="D143" i="19" s="1"/>
  <c r="D131" i="19"/>
  <c r="D132" i="19" s="1"/>
  <c r="E129" i="19"/>
  <c r="D120" i="19"/>
  <c r="D121" i="19" s="1"/>
  <c r="E140" i="19"/>
  <c r="E119" i="19"/>
  <c r="E85" i="19"/>
  <c r="E118" i="19"/>
  <c r="E141" i="19"/>
  <c r="E86" i="19"/>
  <c r="E96" i="19"/>
  <c r="E107" i="19"/>
  <c r="D76" i="19"/>
  <c r="D77" i="19" s="1"/>
  <c r="E74" i="19"/>
  <c r="E108" i="19"/>
  <c r="D109" i="19"/>
  <c r="D110" i="19" s="1"/>
  <c r="D87" i="19"/>
  <c r="D88" i="19" s="1"/>
  <c r="D98" i="19"/>
  <c r="D99" i="19" s="1"/>
  <c r="E75" i="19"/>
  <c r="E52" i="19"/>
  <c r="E64" i="19"/>
  <c r="D54" i="19"/>
  <c r="D55" i="19" s="1"/>
  <c r="E63" i="19"/>
  <c r="E53" i="19"/>
  <c r="E97" i="19"/>
  <c r="D65" i="19"/>
  <c r="D66" i="19" s="1"/>
  <c r="G7" i="19"/>
  <c r="F45" i="19"/>
  <c r="F46" i="19" s="1"/>
  <c r="D165" i="19"/>
  <c r="E176" i="16"/>
  <c r="E165" i="16"/>
  <c r="G45" i="16"/>
  <c r="G46" i="16" s="1"/>
  <c r="H7" i="16"/>
  <c r="F152" i="16"/>
  <c r="F163" i="16"/>
  <c r="F174" i="16"/>
  <c r="E142" i="16"/>
  <c r="E143" i="16" s="1"/>
  <c r="F164" i="16"/>
  <c r="F175" i="16"/>
  <c r="F162" i="16"/>
  <c r="F173" i="16"/>
  <c r="E131" i="16"/>
  <c r="E132" i="16" s="1"/>
  <c r="F129" i="16"/>
  <c r="E153" i="16"/>
  <c r="E154" i="16" s="1"/>
  <c r="F151" i="16"/>
  <c r="F140" i="16"/>
  <c r="F141" i="16"/>
  <c r="F108" i="16"/>
  <c r="F130" i="16"/>
  <c r="E120" i="16"/>
  <c r="E121" i="16" s="1"/>
  <c r="F119" i="16"/>
  <c r="F118" i="16"/>
  <c r="F107" i="16"/>
  <c r="F96" i="16"/>
  <c r="E65" i="16"/>
  <c r="E66" i="16" s="1"/>
  <c r="F75" i="16"/>
  <c r="F97" i="16"/>
  <c r="E109" i="16"/>
  <c r="E110" i="16" s="1"/>
  <c r="E98" i="16"/>
  <c r="E99" i="16" s="1"/>
  <c r="F86" i="16"/>
  <c r="F85" i="16"/>
  <c r="E76" i="16"/>
  <c r="E77" i="16" s="1"/>
  <c r="F64" i="16"/>
  <c r="E87" i="16"/>
  <c r="E88" i="16" s="1"/>
  <c r="F74" i="16"/>
  <c r="F63" i="16"/>
  <c r="F53" i="16"/>
  <c r="F52" i="16"/>
  <c r="E54" i="16"/>
  <c r="E55" i="16" s="1"/>
  <c r="D165" i="15"/>
  <c r="F45" i="15"/>
  <c r="F46" i="15" s="1"/>
  <c r="G7" i="15"/>
  <c r="E173" i="15"/>
  <c r="E163" i="15"/>
  <c r="E174" i="15"/>
  <c r="D153" i="15"/>
  <c r="D154" i="15" s="1"/>
  <c r="E164" i="15"/>
  <c r="E151" i="15"/>
  <c r="E175" i="15"/>
  <c r="E162" i="15"/>
  <c r="E140" i="15"/>
  <c r="D142" i="15"/>
  <c r="D143" i="15" s="1"/>
  <c r="E119" i="15"/>
  <c r="E141" i="15"/>
  <c r="E152" i="15"/>
  <c r="D120" i="15"/>
  <c r="D121" i="15" s="1"/>
  <c r="E118" i="15"/>
  <c r="D109" i="15"/>
  <c r="D110" i="15" s="1"/>
  <c r="E129" i="15"/>
  <c r="E107" i="15"/>
  <c r="E86" i="15"/>
  <c r="E130" i="15"/>
  <c r="D98" i="15"/>
  <c r="D99" i="15" s="1"/>
  <c r="E85" i="15"/>
  <c r="D131" i="15"/>
  <c r="D132" i="15" s="1"/>
  <c r="D65" i="15"/>
  <c r="D66" i="15" s="1"/>
  <c r="E108" i="15"/>
  <c r="E96" i="15"/>
  <c r="E97" i="15"/>
  <c r="D76" i="15"/>
  <c r="D77" i="15" s="1"/>
  <c r="E63" i="15"/>
  <c r="D54" i="15"/>
  <c r="D55" i="15" s="1"/>
  <c r="D87" i="15"/>
  <c r="D88" i="15" s="1"/>
  <c r="E64" i="15"/>
  <c r="E74" i="15"/>
  <c r="E75" i="15"/>
  <c r="E53" i="15"/>
  <c r="E52" i="15"/>
  <c r="D176" i="15"/>
  <c r="D165" i="14"/>
  <c r="D176" i="14"/>
  <c r="G7" i="14"/>
  <c r="F45" i="14"/>
  <c r="F46" i="14" s="1"/>
  <c r="E173" i="14"/>
  <c r="E152" i="14"/>
  <c r="E163" i="14"/>
  <c r="E174" i="14"/>
  <c r="E164" i="14"/>
  <c r="E175" i="14"/>
  <c r="E162" i="14"/>
  <c r="E140" i="14"/>
  <c r="E119" i="14"/>
  <c r="D153" i="14"/>
  <c r="D154" i="14" s="1"/>
  <c r="E151" i="14"/>
  <c r="D142" i="14"/>
  <c r="D143" i="14" s="1"/>
  <c r="D131" i="14"/>
  <c r="D132" i="14" s="1"/>
  <c r="D109" i="14"/>
  <c r="D110" i="14" s="1"/>
  <c r="E118" i="14"/>
  <c r="E107" i="14"/>
  <c r="E86" i="14"/>
  <c r="E141" i="14"/>
  <c r="D120" i="14"/>
  <c r="D121" i="14" s="1"/>
  <c r="E130" i="14"/>
  <c r="D65" i="14"/>
  <c r="D66" i="14" s="1"/>
  <c r="D54" i="14"/>
  <c r="D55" i="14" s="1"/>
  <c r="E74" i="14"/>
  <c r="E108" i="14"/>
  <c r="E64" i="14"/>
  <c r="D87" i="14"/>
  <c r="D88" i="14" s="1"/>
  <c r="E97" i="14"/>
  <c r="E96" i="14"/>
  <c r="D98" i="14"/>
  <c r="D99" i="14" s="1"/>
  <c r="E85" i="14"/>
  <c r="D76" i="14"/>
  <c r="D77" i="14" s="1"/>
  <c r="E129" i="14"/>
  <c r="E75" i="14"/>
  <c r="E63" i="14"/>
  <c r="E53" i="14"/>
  <c r="E52" i="14"/>
  <c r="AH160" i="1"/>
  <c r="D176" i="21" l="1"/>
  <c r="AH148" i="19"/>
  <c r="AK41" i="19" s="1"/>
  <c r="AK18" i="19" s="1"/>
  <c r="AH126" i="20"/>
  <c r="AK39" i="20" s="1"/>
  <c r="AK16" i="20" s="1"/>
  <c r="AH137" i="19"/>
  <c r="AK40" i="19" s="1"/>
  <c r="AK17" i="19" s="1"/>
  <c r="AH137" i="20"/>
  <c r="AK40" i="20" s="1"/>
  <c r="AK17" i="20" s="1"/>
  <c r="D55" i="21"/>
  <c r="AH60" i="19"/>
  <c r="AK33" i="19" s="1"/>
  <c r="AK10" i="19" s="1"/>
  <c r="AH148" i="20"/>
  <c r="AK41" i="20" s="1"/>
  <c r="AK18" i="20" s="1"/>
  <c r="D154" i="21"/>
  <c r="D77" i="21"/>
  <c r="D88" i="21"/>
  <c r="D143" i="21"/>
  <c r="D176" i="17"/>
  <c r="D165" i="17"/>
  <c r="F45" i="17"/>
  <c r="F46" i="17" s="1"/>
  <c r="G7" i="17"/>
  <c r="E174" i="17"/>
  <c r="D120" i="17"/>
  <c r="D121" i="17" s="1"/>
  <c r="D109" i="17"/>
  <c r="D110" i="17" s="1"/>
  <c r="E164" i="17"/>
  <c r="D131" i="17"/>
  <c r="D132" i="17" s="1"/>
  <c r="E86" i="17"/>
  <c r="E175" i="17"/>
  <c r="E97" i="17"/>
  <c r="E96" i="17"/>
  <c r="E162" i="17"/>
  <c r="D76" i="17"/>
  <c r="D77" i="17" s="1"/>
  <c r="E107" i="17"/>
  <c r="E173" i="17"/>
  <c r="E140" i="17"/>
  <c r="E119" i="17"/>
  <c r="E52" i="17"/>
  <c r="E130" i="17"/>
  <c r="E108" i="17"/>
  <c r="E63" i="17"/>
  <c r="D153" i="17"/>
  <c r="D154" i="17" s="1"/>
  <c r="E64" i="17"/>
  <c r="D54" i="17"/>
  <c r="D55" i="17" s="1"/>
  <c r="E152" i="17"/>
  <c r="D65" i="17"/>
  <c r="D66" i="17" s="1"/>
  <c r="E53" i="17"/>
  <c r="D98" i="17"/>
  <c r="D99" i="17" s="1"/>
  <c r="E151" i="17"/>
  <c r="D87" i="17"/>
  <c r="D88" i="17" s="1"/>
  <c r="E74" i="17"/>
  <c r="E141" i="17"/>
  <c r="D142" i="17"/>
  <c r="D143" i="17" s="1"/>
  <c r="E118" i="17"/>
  <c r="E85" i="17"/>
  <c r="E163" i="17"/>
  <c r="E129" i="17"/>
  <c r="E75" i="17"/>
  <c r="D176" i="18"/>
  <c r="D165" i="18"/>
  <c r="F45" i="18"/>
  <c r="F46" i="18" s="1"/>
  <c r="G7" i="18"/>
  <c r="D142" i="18"/>
  <c r="D143" i="18" s="1"/>
  <c r="D120" i="18"/>
  <c r="D121" i="18" s="1"/>
  <c r="D65" i="18"/>
  <c r="D66" i="18" s="1"/>
  <c r="E141" i="18"/>
  <c r="E97" i="18"/>
  <c r="E96" i="18"/>
  <c r="D87" i="18"/>
  <c r="D88" i="18" s="1"/>
  <c r="E140" i="18"/>
  <c r="E75" i="18"/>
  <c r="E86" i="18"/>
  <c r="E173" i="18"/>
  <c r="D131" i="18"/>
  <c r="D132" i="18" s="1"/>
  <c r="E63" i="18"/>
  <c r="E163" i="18"/>
  <c r="D109" i="18"/>
  <c r="D110" i="18" s="1"/>
  <c r="E53" i="18"/>
  <c r="E174" i="18"/>
  <c r="D98" i="18"/>
  <c r="D99" i="18" s="1"/>
  <c r="E52" i="18"/>
  <c r="E164" i="18"/>
  <c r="E130" i="18"/>
  <c r="D54" i="18"/>
  <c r="D55" i="18" s="1"/>
  <c r="E151" i="18"/>
  <c r="E108" i="18"/>
  <c r="E64" i="18"/>
  <c r="E119" i="18"/>
  <c r="E175" i="18"/>
  <c r="E129" i="18"/>
  <c r="D76" i="18"/>
  <c r="D77" i="18" s="1"/>
  <c r="E118" i="18"/>
  <c r="E162" i="18"/>
  <c r="E107" i="18"/>
  <c r="E85" i="18"/>
  <c r="D153" i="18"/>
  <c r="D154" i="18" s="1"/>
  <c r="E152" i="18"/>
  <c r="E74" i="18"/>
  <c r="E165" i="19"/>
  <c r="E165" i="23"/>
  <c r="E165" i="22"/>
  <c r="E164" i="24"/>
  <c r="E108" i="24"/>
  <c r="D54" i="24"/>
  <c r="D55" i="24" s="1"/>
  <c r="E175" i="24"/>
  <c r="E97" i="24"/>
  <c r="E85" i="24"/>
  <c r="E162" i="24"/>
  <c r="E86" i="24"/>
  <c r="E75" i="24"/>
  <c r="E151" i="24"/>
  <c r="E129" i="24"/>
  <c r="E140" i="24"/>
  <c r="E74" i="24"/>
  <c r="D153" i="24"/>
  <c r="D154" i="24" s="1"/>
  <c r="D131" i="24"/>
  <c r="D132" i="24" s="1"/>
  <c r="D65" i="24"/>
  <c r="D66" i="24" s="1"/>
  <c r="D120" i="24"/>
  <c r="D121" i="24" s="1"/>
  <c r="D76" i="24"/>
  <c r="D77" i="24" s="1"/>
  <c r="D142" i="24"/>
  <c r="D143" i="24" s="1"/>
  <c r="E107" i="24"/>
  <c r="E64" i="24"/>
  <c r="D87" i="24"/>
  <c r="D88" i="24" s="1"/>
  <c r="E174" i="24"/>
  <c r="E119" i="24"/>
  <c r="E96" i="24"/>
  <c r="E63" i="24"/>
  <c r="D98" i="24"/>
  <c r="D99" i="24" s="1"/>
  <c r="E163" i="24"/>
  <c r="E130" i="24"/>
  <c r="D109" i="24"/>
  <c r="D110" i="24" s="1"/>
  <c r="E53" i="24"/>
  <c r="E173" i="24"/>
  <c r="E152" i="24"/>
  <c r="E141" i="24"/>
  <c r="E118" i="24"/>
  <c r="E52" i="24"/>
  <c r="F45" i="24"/>
  <c r="F46" i="24" s="1"/>
  <c r="G7" i="24"/>
  <c r="D176" i="24"/>
  <c r="D165" i="24"/>
  <c r="E176" i="23"/>
  <c r="H7" i="23"/>
  <c r="G45" i="23"/>
  <c r="G46" i="23" s="1"/>
  <c r="F152" i="23"/>
  <c r="F163" i="23"/>
  <c r="F174" i="23"/>
  <c r="F164" i="23"/>
  <c r="F175" i="23"/>
  <c r="F162" i="23"/>
  <c r="E142" i="23"/>
  <c r="E143" i="23" s="1"/>
  <c r="F141" i="23"/>
  <c r="F173" i="23"/>
  <c r="F140" i="23"/>
  <c r="F151" i="23"/>
  <c r="F129" i="23"/>
  <c r="F130" i="23"/>
  <c r="F107" i="23"/>
  <c r="E131" i="23"/>
  <c r="E132" i="23" s="1"/>
  <c r="E153" i="23"/>
  <c r="E154" i="23" s="1"/>
  <c r="E98" i="23"/>
  <c r="E99" i="23" s="1"/>
  <c r="F97" i="23"/>
  <c r="F74" i="23"/>
  <c r="F118" i="23"/>
  <c r="F96" i="23"/>
  <c r="E87" i="23"/>
  <c r="E88" i="23" s="1"/>
  <c r="F64" i="23"/>
  <c r="F53" i="23"/>
  <c r="F52" i="23"/>
  <c r="E120" i="23"/>
  <c r="E121" i="23" s="1"/>
  <c r="F85" i="23"/>
  <c r="F75" i="23"/>
  <c r="E65" i="23"/>
  <c r="E66" i="23" s="1"/>
  <c r="F108" i="23"/>
  <c r="E54" i="23"/>
  <c r="E55" i="23" s="1"/>
  <c r="E109" i="23"/>
  <c r="E110" i="23" s="1"/>
  <c r="F63" i="23"/>
  <c r="F119" i="23"/>
  <c r="F86" i="23"/>
  <c r="E76" i="23"/>
  <c r="E77" i="23" s="1"/>
  <c r="G45" i="22"/>
  <c r="G46" i="22" s="1"/>
  <c r="H7" i="22"/>
  <c r="F152" i="22"/>
  <c r="F163" i="22"/>
  <c r="F174" i="22"/>
  <c r="F164" i="22"/>
  <c r="F175" i="22"/>
  <c r="F162" i="22"/>
  <c r="F140" i="22"/>
  <c r="F173" i="22"/>
  <c r="F151" i="22"/>
  <c r="E153" i="22"/>
  <c r="E154" i="22" s="1"/>
  <c r="E142" i="22"/>
  <c r="E143" i="22" s="1"/>
  <c r="F141" i="22"/>
  <c r="F129" i="22"/>
  <c r="F118" i="22"/>
  <c r="E131" i="22"/>
  <c r="E132" i="22" s="1"/>
  <c r="F130" i="22"/>
  <c r="F96" i="22"/>
  <c r="E120" i="22"/>
  <c r="E121" i="22" s="1"/>
  <c r="F108" i="22"/>
  <c r="F86" i="22"/>
  <c r="E109" i="22"/>
  <c r="E110" i="22" s="1"/>
  <c r="E76" i="22"/>
  <c r="E77" i="22" s="1"/>
  <c r="E98" i="22"/>
  <c r="E99" i="22" s="1"/>
  <c r="F74" i="22"/>
  <c r="E87" i="22"/>
  <c r="F119" i="22"/>
  <c r="F107" i="22"/>
  <c r="F97" i="22"/>
  <c r="F85" i="22"/>
  <c r="F75" i="22"/>
  <c r="F52" i="22"/>
  <c r="E65" i="22"/>
  <c r="E66" i="22" s="1"/>
  <c r="F64" i="22"/>
  <c r="E54" i="22"/>
  <c r="E55" i="22" s="1"/>
  <c r="F53" i="22"/>
  <c r="F63" i="22"/>
  <c r="E88" i="22"/>
  <c r="E176" i="22"/>
  <c r="E165" i="21"/>
  <c r="E176" i="21"/>
  <c r="F152" i="21"/>
  <c r="F163" i="21"/>
  <c r="F174" i="21"/>
  <c r="E153" i="21"/>
  <c r="E154" i="21" s="1"/>
  <c r="F164" i="21"/>
  <c r="F151" i="21"/>
  <c r="F175" i="21"/>
  <c r="F162" i="21"/>
  <c r="F173" i="21"/>
  <c r="E131" i="21"/>
  <c r="E132" i="21" s="1"/>
  <c r="F140" i="21"/>
  <c r="F129" i="21"/>
  <c r="F119" i="21"/>
  <c r="E142" i="21"/>
  <c r="E143" i="21" s="1"/>
  <c r="F130" i="21"/>
  <c r="F141" i="21"/>
  <c r="E87" i="21"/>
  <c r="E88" i="21" s="1"/>
  <c r="E120" i="21"/>
  <c r="E121" i="21" s="1"/>
  <c r="E98" i="21"/>
  <c r="E99" i="21" s="1"/>
  <c r="F108" i="21"/>
  <c r="F118" i="21"/>
  <c r="F107" i="21"/>
  <c r="F75" i="21"/>
  <c r="F96" i="21"/>
  <c r="F85" i="21"/>
  <c r="F97" i="21"/>
  <c r="E109" i="21"/>
  <c r="E110" i="21" s="1"/>
  <c r="F86" i="21"/>
  <c r="E65" i="21"/>
  <c r="E66" i="21" s="1"/>
  <c r="F64" i="21"/>
  <c r="E54" i="21"/>
  <c r="E55" i="21" s="1"/>
  <c r="E76" i="21"/>
  <c r="E77" i="21" s="1"/>
  <c r="F63" i="21"/>
  <c r="F74" i="21"/>
  <c r="F52" i="21"/>
  <c r="F53" i="21"/>
  <c r="H7" i="21"/>
  <c r="G45" i="21"/>
  <c r="G46" i="21" s="1"/>
  <c r="G163" i="20"/>
  <c r="G174" i="20"/>
  <c r="G164" i="20"/>
  <c r="G175" i="20"/>
  <c r="G162" i="20"/>
  <c r="G173" i="20"/>
  <c r="G151" i="20"/>
  <c r="F142" i="20"/>
  <c r="F143" i="20" s="1"/>
  <c r="G152" i="20"/>
  <c r="G141" i="20"/>
  <c r="G118" i="20"/>
  <c r="G140" i="20"/>
  <c r="F131" i="20"/>
  <c r="F132" i="20" s="1"/>
  <c r="F153" i="20"/>
  <c r="F154" i="20" s="1"/>
  <c r="G129" i="20"/>
  <c r="G107" i="20"/>
  <c r="G86" i="20"/>
  <c r="G119" i="20"/>
  <c r="F109" i="20"/>
  <c r="F110" i="20" s="1"/>
  <c r="F120" i="20"/>
  <c r="F121" i="20" s="1"/>
  <c r="G130" i="20"/>
  <c r="F87" i="20"/>
  <c r="F88" i="20" s="1"/>
  <c r="G108" i="20"/>
  <c r="G96" i="20"/>
  <c r="F98" i="20"/>
  <c r="F99" i="20" s="1"/>
  <c r="G97" i="20"/>
  <c r="G85" i="20"/>
  <c r="G64" i="20"/>
  <c r="G74" i="20"/>
  <c r="G52" i="20"/>
  <c r="G53" i="20"/>
  <c r="F76" i="20"/>
  <c r="F77" i="20" s="1"/>
  <c r="F54" i="20"/>
  <c r="F55" i="20" s="1"/>
  <c r="G75" i="20"/>
  <c r="G63" i="20"/>
  <c r="F65" i="20"/>
  <c r="F66" i="20" s="1"/>
  <c r="F176" i="20"/>
  <c r="H45" i="20"/>
  <c r="H46" i="20" s="1"/>
  <c r="I7" i="20"/>
  <c r="F165" i="20"/>
  <c r="E176" i="19"/>
  <c r="F163" i="19"/>
  <c r="F174" i="19"/>
  <c r="F173" i="19"/>
  <c r="F162" i="19"/>
  <c r="E153" i="19"/>
  <c r="E154" i="19" s="1"/>
  <c r="F152" i="19"/>
  <c r="F151" i="19"/>
  <c r="F175" i="19"/>
  <c r="F141" i="19"/>
  <c r="F129" i="19"/>
  <c r="F164" i="19"/>
  <c r="F108" i="19"/>
  <c r="E142" i="19"/>
  <c r="E143" i="19" s="1"/>
  <c r="E120" i="19"/>
  <c r="E121" i="19" s="1"/>
  <c r="F140" i="19"/>
  <c r="F119" i="19"/>
  <c r="F118" i="19"/>
  <c r="E131" i="19"/>
  <c r="E132" i="19" s="1"/>
  <c r="F130" i="19"/>
  <c r="F96" i="19"/>
  <c r="F107" i="19"/>
  <c r="E76" i="19"/>
  <c r="E77" i="19" s="1"/>
  <c r="F74" i="19"/>
  <c r="F63" i="19"/>
  <c r="F85" i="19"/>
  <c r="E109" i="19"/>
  <c r="E110" i="19" s="1"/>
  <c r="E87" i="19"/>
  <c r="E88" i="19" s="1"/>
  <c r="E98" i="19"/>
  <c r="E99" i="19" s="1"/>
  <c r="F97" i="19"/>
  <c r="F64" i="19"/>
  <c r="F86" i="19"/>
  <c r="E54" i="19"/>
  <c r="E55" i="19" s="1"/>
  <c r="F53" i="19"/>
  <c r="E65" i="19"/>
  <c r="E66" i="19" s="1"/>
  <c r="F52" i="19"/>
  <c r="F75" i="19"/>
  <c r="G45" i="19"/>
  <c r="G46" i="19" s="1"/>
  <c r="H7" i="19"/>
  <c r="F176" i="16"/>
  <c r="F165" i="16"/>
  <c r="H45" i="16"/>
  <c r="H46" i="16" s="1"/>
  <c r="I7" i="16"/>
  <c r="G163" i="16"/>
  <c r="G174" i="16"/>
  <c r="G140" i="16"/>
  <c r="G164" i="16"/>
  <c r="G175" i="16"/>
  <c r="G173" i="16"/>
  <c r="G152" i="16"/>
  <c r="F131" i="16"/>
  <c r="F132" i="16" s="1"/>
  <c r="G129" i="16"/>
  <c r="G162" i="16"/>
  <c r="F153" i="16"/>
  <c r="F154" i="16" s="1"/>
  <c r="G151" i="16"/>
  <c r="G141" i="16"/>
  <c r="F142" i="16"/>
  <c r="F143" i="16" s="1"/>
  <c r="G108" i="16"/>
  <c r="G130" i="16"/>
  <c r="F87" i="16"/>
  <c r="F88" i="16" s="1"/>
  <c r="F120" i="16"/>
  <c r="F121" i="16" s="1"/>
  <c r="F98" i="16"/>
  <c r="F99" i="16" s="1"/>
  <c r="G119" i="16"/>
  <c r="G118" i="16"/>
  <c r="G96" i="16"/>
  <c r="G85" i="16"/>
  <c r="G75" i="16"/>
  <c r="G97" i="16"/>
  <c r="F109" i="16"/>
  <c r="F110" i="16" s="1"/>
  <c r="G107" i="16"/>
  <c r="F76" i="16"/>
  <c r="F77" i="16" s="1"/>
  <c r="G64" i="16"/>
  <c r="G74" i="16"/>
  <c r="G86" i="16"/>
  <c r="F65" i="16"/>
  <c r="F66" i="16" s="1"/>
  <c r="F54" i="16"/>
  <c r="F55" i="16" s="1"/>
  <c r="G53" i="16"/>
  <c r="G52" i="16"/>
  <c r="G63" i="16"/>
  <c r="E176" i="15"/>
  <c r="H7" i="15"/>
  <c r="G45" i="15"/>
  <c r="G46" i="15" s="1"/>
  <c r="F163" i="15"/>
  <c r="F174" i="15"/>
  <c r="F164" i="15"/>
  <c r="F151" i="15"/>
  <c r="F175" i="15"/>
  <c r="F162" i="15"/>
  <c r="E153" i="15"/>
  <c r="E154" i="15" s="1"/>
  <c r="F173" i="15"/>
  <c r="E142" i="15"/>
  <c r="E143" i="15" s="1"/>
  <c r="F119" i="15"/>
  <c r="F141" i="15"/>
  <c r="F152" i="15"/>
  <c r="F118" i="15"/>
  <c r="E109" i="15"/>
  <c r="E110" i="15" s="1"/>
  <c r="F129" i="15"/>
  <c r="F107" i="15"/>
  <c r="F140" i="15"/>
  <c r="F130" i="15"/>
  <c r="E120" i="15"/>
  <c r="E121" i="15" s="1"/>
  <c r="E131" i="15"/>
  <c r="E132" i="15" s="1"/>
  <c r="F86" i="15"/>
  <c r="F85" i="15"/>
  <c r="E65" i="15"/>
  <c r="E66" i="15" s="1"/>
  <c r="F108" i="15"/>
  <c r="F96" i="15"/>
  <c r="F75" i="15"/>
  <c r="F97" i="15"/>
  <c r="E87" i="15"/>
  <c r="E88" i="15" s="1"/>
  <c r="E76" i="15"/>
  <c r="E77" i="15" s="1"/>
  <c r="E98" i="15"/>
  <c r="E99" i="15" s="1"/>
  <c r="F63" i="15"/>
  <c r="E54" i="15"/>
  <c r="E55" i="15" s="1"/>
  <c r="F64" i="15"/>
  <c r="F74" i="15"/>
  <c r="F53" i="15"/>
  <c r="F52" i="15"/>
  <c r="E165" i="15"/>
  <c r="E165" i="14"/>
  <c r="G45" i="14"/>
  <c r="G46" i="14" s="1"/>
  <c r="H7" i="14"/>
  <c r="F163" i="14"/>
  <c r="F174" i="14"/>
  <c r="F164" i="14"/>
  <c r="F175" i="14"/>
  <c r="F162" i="14"/>
  <c r="F173" i="14"/>
  <c r="E153" i="14"/>
  <c r="E154" i="14" s="1"/>
  <c r="F152" i="14"/>
  <c r="F151" i="14"/>
  <c r="F141" i="14"/>
  <c r="F129" i="14"/>
  <c r="F118" i="14"/>
  <c r="F107" i="14"/>
  <c r="E120" i="14"/>
  <c r="E121" i="14" s="1"/>
  <c r="F140" i="14"/>
  <c r="E131" i="14"/>
  <c r="E132" i="14" s="1"/>
  <c r="F130" i="14"/>
  <c r="F119" i="14"/>
  <c r="E98" i="14"/>
  <c r="E99" i="14" s="1"/>
  <c r="F75" i="14"/>
  <c r="E142" i="14"/>
  <c r="E143" i="14" s="1"/>
  <c r="F74" i="14"/>
  <c r="F108" i="14"/>
  <c r="F64" i="14"/>
  <c r="E109" i="14"/>
  <c r="E110" i="14" s="1"/>
  <c r="E87" i="14"/>
  <c r="E88" i="14" s="1"/>
  <c r="F97" i="14"/>
  <c r="F96" i="14"/>
  <c r="F86" i="14"/>
  <c r="F85" i="14"/>
  <c r="E76" i="14"/>
  <c r="E77" i="14" s="1"/>
  <c r="E65" i="14"/>
  <c r="E66" i="14" s="1"/>
  <c r="F63" i="14"/>
  <c r="F53" i="14"/>
  <c r="F52" i="14"/>
  <c r="E54" i="14"/>
  <c r="E55" i="14" s="1"/>
  <c r="E176" i="14"/>
  <c r="E176" i="17" l="1"/>
  <c r="H7" i="17"/>
  <c r="G45" i="17"/>
  <c r="G46" i="17" s="1"/>
  <c r="F173" i="17"/>
  <c r="F74" i="17"/>
  <c r="E54" i="17"/>
  <c r="E55" i="17" s="1"/>
  <c r="E153" i="17"/>
  <c r="E154" i="17" s="1"/>
  <c r="E120" i="17"/>
  <c r="E121" i="17" s="1"/>
  <c r="F64" i="17"/>
  <c r="F152" i="17"/>
  <c r="F118" i="17"/>
  <c r="E65" i="17"/>
  <c r="E66" i="17" s="1"/>
  <c r="F151" i="17"/>
  <c r="F108" i="17"/>
  <c r="F53" i="17"/>
  <c r="F107" i="17"/>
  <c r="E142" i="17"/>
  <c r="E143" i="17" s="1"/>
  <c r="E87" i="17"/>
  <c r="E88" i="17" s="1"/>
  <c r="F85" i="17"/>
  <c r="E98" i="17"/>
  <c r="E99" i="17" s="1"/>
  <c r="E76" i="17"/>
  <c r="E77" i="17" s="1"/>
  <c r="F52" i="17"/>
  <c r="F163" i="17"/>
  <c r="F129" i="17"/>
  <c r="F75" i="17"/>
  <c r="F140" i="17"/>
  <c r="F174" i="17"/>
  <c r="F130" i="17"/>
  <c r="F97" i="17"/>
  <c r="F164" i="17"/>
  <c r="F119" i="17"/>
  <c r="F86" i="17"/>
  <c r="F162" i="17"/>
  <c r="F175" i="17"/>
  <c r="E131" i="17"/>
  <c r="E132" i="17" s="1"/>
  <c r="F96" i="17"/>
  <c r="F141" i="17"/>
  <c r="E109" i="17"/>
  <c r="E110" i="17" s="1"/>
  <c r="F63" i="17"/>
  <c r="E165" i="17"/>
  <c r="E165" i="18"/>
  <c r="G45" i="18"/>
  <c r="G46" i="18" s="1"/>
  <c r="H7" i="18"/>
  <c r="E176" i="18"/>
  <c r="F164" i="18"/>
  <c r="F129" i="18"/>
  <c r="F75" i="18"/>
  <c r="F175" i="18"/>
  <c r="E120" i="18"/>
  <c r="E121" i="18" s="1"/>
  <c r="F118" i="18"/>
  <c r="F174" i="18"/>
  <c r="F85" i="18"/>
  <c r="F162" i="18"/>
  <c r="F119" i="18"/>
  <c r="F74" i="18"/>
  <c r="F173" i="18"/>
  <c r="F107" i="18"/>
  <c r="F163" i="18"/>
  <c r="F64" i="18"/>
  <c r="F141" i="18"/>
  <c r="E98" i="18"/>
  <c r="E99" i="18" s="1"/>
  <c r="E87" i="18"/>
  <c r="E88" i="18" s="1"/>
  <c r="E109" i="18"/>
  <c r="E110" i="18" s="1"/>
  <c r="F130" i="18"/>
  <c r="E153" i="18"/>
  <c r="E154" i="18" s="1"/>
  <c r="F97" i="18"/>
  <c r="E65" i="18"/>
  <c r="E66" i="18" s="1"/>
  <c r="F52" i="18"/>
  <c r="F96" i="18"/>
  <c r="E131" i="18"/>
  <c r="E132" i="18" s="1"/>
  <c r="F63" i="18"/>
  <c r="F140" i="18"/>
  <c r="E54" i="18"/>
  <c r="E55" i="18" s="1"/>
  <c r="F53" i="18"/>
  <c r="F86" i="18"/>
  <c r="E76" i="18"/>
  <c r="E77" i="18" s="1"/>
  <c r="E142" i="18"/>
  <c r="E143" i="18" s="1"/>
  <c r="F152" i="18"/>
  <c r="F151" i="18"/>
  <c r="F108" i="18"/>
  <c r="E165" i="24"/>
  <c r="F165" i="14"/>
  <c r="F176" i="14"/>
  <c r="G176" i="20"/>
  <c r="G165" i="20"/>
  <c r="F165" i="15"/>
  <c r="F176" i="22"/>
  <c r="F165" i="22"/>
  <c r="E176" i="24"/>
  <c r="G45" i="24"/>
  <c r="G46" i="24" s="1"/>
  <c r="H7" i="24"/>
  <c r="E153" i="24"/>
  <c r="E154" i="24" s="1"/>
  <c r="E131" i="24"/>
  <c r="E132" i="24" s="1"/>
  <c r="F85" i="24"/>
  <c r="F140" i="24"/>
  <c r="F164" i="24"/>
  <c r="F97" i="24"/>
  <c r="F75" i="24"/>
  <c r="F175" i="24"/>
  <c r="F86" i="24"/>
  <c r="F74" i="24"/>
  <c r="F162" i="24"/>
  <c r="E120" i="24"/>
  <c r="E121" i="24" s="1"/>
  <c r="F63" i="24"/>
  <c r="F173" i="24"/>
  <c r="F107" i="24"/>
  <c r="F53" i="24"/>
  <c r="E142" i="24"/>
  <c r="E143" i="24" s="1"/>
  <c r="F96" i="24"/>
  <c r="E65" i="24"/>
  <c r="E66" i="24" s="1"/>
  <c r="F119" i="24"/>
  <c r="E109" i="24"/>
  <c r="E110" i="24" s="1"/>
  <c r="F64" i="24"/>
  <c r="F174" i="24"/>
  <c r="F130" i="24"/>
  <c r="E98" i="24"/>
  <c r="E99" i="24" s="1"/>
  <c r="E54" i="24"/>
  <c r="E55" i="24" s="1"/>
  <c r="E76" i="24"/>
  <c r="E77" i="24" s="1"/>
  <c r="F141" i="24"/>
  <c r="E87" i="24"/>
  <c r="E88" i="24" s="1"/>
  <c r="F52" i="24"/>
  <c r="F152" i="24"/>
  <c r="F151" i="24"/>
  <c r="F129" i="24"/>
  <c r="F163" i="24"/>
  <c r="F118" i="24"/>
  <c r="F108" i="24"/>
  <c r="G163" i="23"/>
  <c r="G174" i="23"/>
  <c r="G164" i="23"/>
  <c r="G175" i="23"/>
  <c r="G141" i="23"/>
  <c r="G173" i="23"/>
  <c r="G140" i="23"/>
  <c r="F120" i="23"/>
  <c r="F121" i="23" s="1"/>
  <c r="G151" i="23"/>
  <c r="G152" i="23"/>
  <c r="G119" i="23"/>
  <c r="G130" i="23"/>
  <c r="F131" i="23"/>
  <c r="F132" i="23" s="1"/>
  <c r="F142" i="23"/>
  <c r="F143" i="23" s="1"/>
  <c r="G97" i="23"/>
  <c r="G162" i="23"/>
  <c r="F153" i="23"/>
  <c r="F154" i="23" s="1"/>
  <c r="G129" i="23"/>
  <c r="G63" i="23"/>
  <c r="G118" i="23"/>
  <c r="G96" i="23"/>
  <c r="F87" i="23"/>
  <c r="F88" i="23" s="1"/>
  <c r="G85" i="23"/>
  <c r="F54" i="23"/>
  <c r="F55" i="23" s="1"/>
  <c r="F109" i="23"/>
  <c r="F110" i="23" s="1"/>
  <c r="G108" i="23"/>
  <c r="G52" i="23"/>
  <c r="G64" i="23"/>
  <c r="G107" i="23"/>
  <c r="F98" i="23"/>
  <c r="F99" i="23" s="1"/>
  <c r="G75" i="23"/>
  <c r="G74" i="23"/>
  <c r="G53" i="23"/>
  <c r="G86" i="23"/>
  <c r="F76" i="23"/>
  <c r="F77" i="23" s="1"/>
  <c r="F65" i="23"/>
  <c r="F66" i="23" s="1"/>
  <c r="H45" i="23"/>
  <c r="H46" i="23" s="1"/>
  <c r="I7" i="23"/>
  <c r="F176" i="23"/>
  <c r="F165" i="23"/>
  <c r="G163" i="22"/>
  <c r="G174" i="22"/>
  <c r="G164" i="22"/>
  <c r="G175" i="22"/>
  <c r="G141" i="22"/>
  <c r="G173" i="22"/>
  <c r="F131" i="22"/>
  <c r="F132" i="22" s="1"/>
  <c r="G151" i="22"/>
  <c r="G152" i="22"/>
  <c r="F153" i="22"/>
  <c r="F154" i="22" s="1"/>
  <c r="G162" i="22"/>
  <c r="F142" i="22"/>
  <c r="F143" i="22" s="1"/>
  <c r="F109" i="22"/>
  <c r="F110" i="22" s="1"/>
  <c r="G130" i="22"/>
  <c r="G140" i="22"/>
  <c r="F120" i="22"/>
  <c r="F121" i="22" s="1"/>
  <c r="G129" i="22"/>
  <c r="F76" i="22"/>
  <c r="F77" i="22" s="1"/>
  <c r="F98" i="22"/>
  <c r="F99" i="22" s="1"/>
  <c r="G74" i="22"/>
  <c r="F87" i="22"/>
  <c r="F88" i="22" s="1"/>
  <c r="G119" i="22"/>
  <c r="G107" i="22"/>
  <c r="G97" i="22"/>
  <c r="G85" i="22"/>
  <c r="G96" i="22"/>
  <c r="G118" i="22"/>
  <c r="G52" i="22"/>
  <c r="F65" i="22"/>
  <c r="F66" i="22" s="1"/>
  <c r="G86" i="22"/>
  <c r="G64" i="22"/>
  <c r="F54" i="22"/>
  <c r="F55" i="22" s="1"/>
  <c r="G108" i="22"/>
  <c r="G53" i="22"/>
  <c r="G75" i="22"/>
  <c r="G63" i="22"/>
  <c r="I7" i="22"/>
  <c r="H45" i="22"/>
  <c r="H46" i="22" s="1"/>
  <c r="F176" i="21"/>
  <c r="G163" i="21"/>
  <c r="G174" i="21"/>
  <c r="G164" i="21"/>
  <c r="G151" i="21"/>
  <c r="G175" i="21"/>
  <c r="G162" i="21"/>
  <c r="G173" i="21"/>
  <c r="G152" i="21"/>
  <c r="F131" i="21"/>
  <c r="F132" i="21" s="1"/>
  <c r="G140" i="21"/>
  <c r="G129" i="21"/>
  <c r="F153" i="21"/>
  <c r="F154" i="21" s="1"/>
  <c r="F142" i="21"/>
  <c r="F143" i="21" s="1"/>
  <c r="G141" i="21"/>
  <c r="G85" i="21"/>
  <c r="F120" i="21"/>
  <c r="F121" i="21" s="1"/>
  <c r="G96" i="21"/>
  <c r="G130" i="21"/>
  <c r="G118" i="21"/>
  <c r="G107" i="21"/>
  <c r="G119" i="21"/>
  <c r="G97" i="21"/>
  <c r="F109" i="21"/>
  <c r="F110" i="21" s="1"/>
  <c r="G108" i="21"/>
  <c r="F87" i="21"/>
  <c r="F88" i="21" s="1"/>
  <c r="F98" i="21"/>
  <c r="F99" i="21" s="1"/>
  <c r="G75" i="21"/>
  <c r="G53" i="21"/>
  <c r="G52" i="21"/>
  <c r="G64" i="21"/>
  <c r="F76" i="21"/>
  <c r="F77" i="21" s="1"/>
  <c r="G63" i="21"/>
  <c r="G74" i="21"/>
  <c r="G86" i="21"/>
  <c r="F65" i="21"/>
  <c r="F66" i="21" s="1"/>
  <c r="F54" i="21"/>
  <c r="F55" i="21" s="1"/>
  <c r="F165" i="21"/>
  <c r="I7" i="21"/>
  <c r="H45" i="21"/>
  <c r="H46" i="21" s="1"/>
  <c r="F165" i="19"/>
  <c r="F176" i="19"/>
  <c r="H163" i="20"/>
  <c r="H174" i="20"/>
  <c r="G142" i="20"/>
  <c r="G153" i="20"/>
  <c r="G154" i="20" s="1"/>
  <c r="H164" i="20"/>
  <c r="H175" i="20"/>
  <c r="H162" i="20"/>
  <c r="H173" i="20"/>
  <c r="H152" i="20"/>
  <c r="H130" i="20"/>
  <c r="G98" i="20"/>
  <c r="G99" i="20" s="1"/>
  <c r="H141" i="20"/>
  <c r="H140" i="20"/>
  <c r="G131" i="20"/>
  <c r="G132" i="20" s="1"/>
  <c r="H107" i="20"/>
  <c r="H119" i="20"/>
  <c r="H96" i="20"/>
  <c r="G109" i="20"/>
  <c r="G110" i="20" s="1"/>
  <c r="G120" i="20"/>
  <c r="G121" i="20" s="1"/>
  <c r="H85" i="20"/>
  <c r="H129" i="20"/>
  <c r="H108" i="20"/>
  <c r="H151" i="20"/>
  <c r="H97" i="20"/>
  <c r="H75" i="20"/>
  <c r="G87" i="20"/>
  <c r="G88" i="20" s="1"/>
  <c r="H118" i="20"/>
  <c r="H74" i="20"/>
  <c r="G76" i="20"/>
  <c r="G77" i="20" s="1"/>
  <c r="G65" i="20"/>
  <c r="G66" i="20" s="1"/>
  <c r="H52" i="20"/>
  <c r="H86" i="20"/>
  <c r="H53" i="20"/>
  <c r="G54" i="20"/>
  <c r="G55" i="20" s="1"/>
  <c r="H63" i="20"/>
  <c r="H64" i="20"/>
  <c r="I45" i="20"/>
  <c r="I46" i="20" s="1"/>
  <c r="J7" i="20"/>
  <c r="G143" i="20"/>
  <c r="I7" i="19"/>
  <c r="H45" i="19"/>
  <c r="H46" i="19" s="1"/>
  <c r="G163" i="19"/>
  <c r="G174" i="19"/>
  <c r="F142" i="19"/>
  <c r="F143" i="19" s="1"/>
  <c r="G164" i="19"/>
  <c r="G175" i="19"/>
  <c r="G162" i="19"/>
  <c r="G173" i="19"/>
  <c r="F153" i="19"/>
  <c r="F154" i="19" s="1"/>
  <c r="G152" i="19"/>
  <c r="G151" i="19"/>
  <c r="G141" i="19"/>
  <c r="G140" i="19"/>
  <c r="F120" i="19"/>
  <c r="F121" i="19" s="1"/>
  <c r="G119" i="19"/>
  <c r="G118" i="19"/>
  <c r="F98" i="19"/>
  <c r="F99" i="19" s="1"/>
  <c r="F131" i="19"/>
  <c r="F132" i="19" s="1"/>
  <c r="G130" i="19"/>
  <c r="G97" i="19"/>
  <c r="G107" i="19"/>
  <c r="F76" i="19"/>
  <c r="F77" i="19" s="1"/>
  <c r="G129" i="19"/>
  <c r="G74" i="19"/>
  <c r="G85" i="19"/>
  <c r="G64" i="19"/>
  <c r="G53" i="19"/>
  <c r="G52" i="19"/>
  <c r="G108" i="19"/>
  <c r="G75" i="19"/>
  <c r="F109" i="19"/>
  <c r="F110" i="19" s="1"/>
  <c r="F87" i="19"/>
  <c r="F88" i="19" s="1"/>
  <c r="G86" i="19"/>
  <c r="G96" i="19"/>
  <c r="F54" i="19"/>
  <c r="F55" i="19" s="1"/>
  <c r="G63" i="19"/>
  <c r="F65" i="19"/>
  <c r="F66" i="19" s="1"/>
  <c r="J7" i="16"/>
  <c r="I45" i="16"/>
  <c r="I46" i="16" s="1"/>
  <c r="H163" i="16"/>
  <c r="H174" i="16"/>
  <c r="G142" i="16"/>
  <c r="G143" i="16" s="1"/>
  <c r="G153" i="16"/>
  <c r="G154" i="16" s="1"/>
  <c r="H164" i="16"/>
  <c r="H175" i="16"/>
  <c r="H162" i="16"/>
  <c r="H173" i="16"/>
  <c r="H129" i="16"/>
  <c r="H151" i="16"/>
  <c r="H140" i="16"/>
  <c r="H141" i="16"/>
  <c r="H152" i="16"/>
  <c r="H130" i="16"/>
  <c r="G120" i="16"/>
  <c r="G121" i="16" s="1"/>
  <c r="H119" i="16"/>
  <c r="H96" i="16"/>
  <c r="H118" i="16"/>
  <c r="H108" i="16"/>
  <c r="H85" i="16"/>
  <c r="H97" i="16"/>
  <c r="G131" i="16"/>
  <c r="G132" i="16" s="1"/>
  <c r="G87" i="16"/>
  <c r="G88" i="16" s="1"/>
  <c r="G109" i="16"/>
  <c r="G110" i="16" s="1"/>
  <c r="H107" i="16"/>
  <c r="G98" i="16"/>
  <c r="G99" i="16" s="1"/>
  <c r="H74" i="16"/>
  <c r="G76" i="16"/>
  <c r="G77" i="16" s="1"/>
  <c r="H64" i="16"/>
  <c r="H86" i="16"/>
  <c r="H75" i="16"/>
  <c r="H53" i="16"/>
  <c r="H52" i="16"/>
  <c r="H63" i="16"/>
  <c r="G65" i="16"/>
  <c r="G66" i="16" s="1"/>
  <c r="G54" i="16"/>
  <c r="G55" i="16" s="1"/>
  <c r="G165" i="16"/>
  <c r="G176" i="16"/>
  <c r="G163" i="15"/>
  <c r="G174" i="15"/>
  <c r="G164" i="15"/>
  <c r="G175" i="15"/>
  <c r="G162" i="15"/>
  <c r="G173" i="15"/>
  <c r="F153" i="15"/>
  <c r="F154" i="15" s="1"/>
  <c r="F142" i="15"/>
  <c r="F143" i="15" s="1"/>
  <c r="G130" i="15"/>
  <c r="G151" i="15"/>
  <c r="G141" i="15"/>
  <c r="G152" i="15"/>
  <c r="F120" i="15"/>
  <c r="F121" i="15" s="1"/>
  <c r="G140" i="15"/>
  <c r="F131" i="15"/>
  <c r="F132" i="15" s="1"/>
  <c r="G129" i="15"/>
  <c r="G119" i="15"/>
  <c r="G97" i="15"/>
  <c r="F98" i="15"/>
  <c r="F99" i="15" s="1"/>
  <c r="G85" i="15"/>
  <c r="F109" i="15"/>
  <c r="F110" i="15" s="1"/>
  <c r="G108" i="15"/>
  <c r="G96" i="15"/>
  <c r="G75" i="15"/>
  <c r="G118" i="15"/>
  <c r="G107" i="15"/>
  <c r="F87" i="15"/>
  <c r="F88" i="15" s="1"/>
  <c r="G74" i="15"/>
  <c r="G63" i="15"/>
  <c r="F54" i="15"/>
  <c r="F55" i="15" s="1"/>
  <c r="G64" i="15"/>
  <c r="F65" i="15"/>
  <c r="F66" i="15" s="1"/>
  <c r="G52" i="15"/>
  <c r="G86" i="15"/>
  <c r="F76" i="15"/>
  <c r="F77" i="15" s="1"/>
  <c r="G53" i="15"/>
  <c r="H45" i="15"/>
  <c r="H46" i="15" s="1"/>
  <c r="I7" i="15"/>
  <c r="F176" i="15"/>
  <c r="H45" i="14"/>
  <c r="H46" i="14" s="1"/>
  <c r="I7" i="14"/>
  <c r="G163" i="14"/>
  <c r="G174" i="14"/>
  <c r="G164" i="14"/>
  <c r="G175" i="14"/>
  <c r="G162" i="14"/>
  <c r="G141" i="14"/>
  <c r="G173" i="14"/>
  <c r="G130" i="14"/>
  <c r="F153" i="14"/>
  <c r="F154" i="14" s="1"/>
  <c r="G152" i="14"/>
  <c r="G151" i="14"/>
  <c r="F120" i="14"/>
  <c r="F121" i="14" s="1"/>
  <c r="G140" i="14"/>
  <c r="F131" i="14"/>
  <c r="F132" i="14" s="1"/>
  <c r="G119" i="14"/>
  <c r="F142" i="14"/>
  <c r="F143" i="14" s="1"/>
  <c r="G96" i="14"/>
  <c r="G129" i="14"/>
  <c r="G108" i="14"/>
  <c r="G107" i="14"/>
  <c r="G64" i="14"/>
  <c r="F109" i="14"/>
  <c r="F110" i="14" s="1"/>
  <c r="G118" i="14"/>
  <c r="F87" i="14"/>
  <c r="F88" i="14" s="1"/>
  <c r="G97" i="14"/>
  <c r="G86" i="14"/>
  <c r="G85" i="14"/>
  <c r="F76" i="14"/>
  <c r="F77" i="14" s="1"/>
  <c r="F98" i="14"/>
  <c r="F99" i="14" s="1"/>
  <c r="G63" i="14"/>
  <c r="G53" i="14"/>
  <c r="G52" i="14"/>
  <c r="G75" i="14"/>
  <c r="F65" i="14"/>
  <c r="F66" i="14" s="1"/>
  <c r="G74" i="14"/>
  <c r="F54" i="14"/>
  <c r="F55" i="14" s="1"/>
  <c r="Q4" i="1"/>
  <c r="C26" i="13"/>
  <c r="C25" i="13"/>
  <c r="C24" i="13"/>
  <c r="C23" i="13"/>
  <c r="C22" i="13"/>
  <c r="C21" i="13"/>
  <c r="C20" i="13"/>
  <c r="C19" i="13"/>
  <c r="F165" i="17" l="1"/>
  <c r="F176" i="17"/>
  <c r="G174" i="17"/>
  <c r="G96" i="17"/>
  <c r="G75" i="17"/>
  <c r="G164" i="17"/>
  <c r="G129" i="17"/>
  <c r="G97" i="17"/>
  <c r="G130" i="17"/>
  <c r="G175" i="17"/>
  <c r="G86" i="17"/>
  <c r="F76" i="17"/>
  <c r="F77" i="17" s="1"/>
  <c r="G162" i="17"/>
  <c r="F131" i="17"/>
  <c r="F132" i="17" s="1"/>
  <c r="F109" i="17"/>
  <c r="F110" i="17" s="1"/>
  <c r="F142" i="17"/>
  <c r="F143" i="17" s="1"/>
  <c r="G141" i="17"/>
  <c r="G140" i="17"/>
  <c r="G85" i="17"/>
  <c r="G173" i="17"/>
  <c r="G108" i="17"/>
  <c r="G74" i="17"/>
  <c r="F153" i="17"/>
  <c r="F154" i="17" s="1"/>
  <c r="G107" i="17"/>
  <c r="G63" i="17"/>
  <c r="G152" i="17"/>
  <c r="G118" i="17"/>
  <c r="F54" i="17"/>
  <c r="F55" i="17" s="1"/>
  <c r="F120" i="17"/>
  <c r="F121" i="17" s="1"/>
  <c r="F65" i="17"/>
  <c r="F66" i="17" s="1"/>
  <c r="G64" i="17"/>
  <c r="G151" i="17"/>
  <c r="F87" i="17"/>
  <c r="F88" i="17" s="1"/>
  <c r="G53" i="17"/>
  <c r="G52" i="17"/>
  <c r="G163" i="17"/>
  <c r="G119" i="17"/>
  <c r="F98" i="17"/>
  <c r="F99" i="17" s="1"/>
  <c r="I7" i="17"/>
  <c r="H45" i="17"/>
  <c r="H46" i="17" s="1"/>
  <c r="F165" i="18"/>
  <c r="F176" i="18"/>
  <c r="H45" i="18"/>
  <c r="H46" i="18" s="1"/>
  <c r="I7" i="18"/>
  <c r="G174" i="18"/>
  <c r="G130" i="18"/>
  <c r="G85" i="18"/>
  <c r="G119" i="18"/>
  <c r="F109" i="18"/>
  <c r="F110" i="18" s="1"/>
  <c r="G141" i="18"/>
  <c r="G140" i="18"/>
  <c r="G107" i="18"/>
  <c r="G75" i="18"/>
  <c r="F153" i="18"/>
  <c r="F154" i="18" s="1"/>
  <c r="G118" i="18"/>
  <c r="G164" i="18"/>
  <c r="G152" i="18"/>
  <c r="G74" i="18"/>
  <c r="F142" i="18"/>
  <c r="F143" i="18" s="1"/>
  <c r="G96" i="18"/>
  <c r="G175" i="18"/>
  <c r="G108" i="18"/>
  <c r="F87" i="18"/>
  <c r="F88" i="18" s="1"/>
  <c r="G162" i="18"/>
  <c r="F76" i="18"/>
  <c r="F77" i="18" s="1"/>
  <c r="F65" i="18"/>
  <c r="F66" i="18" s="1"/>
  <c r="G173" i="18"/>
  <c r="F98" i="18"/>
  <c r="F99" i="18" s="1"/>
  <c r="G63" i="18"/>
  <c r="F131" i="18"/>
  <c r="F132" i="18" s="1"/>
  <c r="G97" i="18"/>
  <c r="F54" i="18"/>
  <c r="F55" i="18" s="1"/>
  <c r="G53" i="18"/>
  <c r="G129" i="18"/>
  <c r="F120" i="18"/>
  <c r="F121" i="18" s="1"/>
  <c r="G64" i="18"/>
  <c r="G52" i="18"/>
  <c r="G163" i="18"/>
  <c r="G151" i="18"/>
  <c r="G86" i="18"/>
  <c r="G176" i="14"/>
  <c r="H165" i="20"/>
  <c r="G176" i="15"/>
  <c r="G165" i="15"/>
  <c r="G176" i="19"/>
  <c r="G165" i="23"/>
  <c r="G165" i="14"/>
  <c r="G176" i="23"/>
  <c r="G165" i="22"/>
  <c r="F176" i="24"/>
  <c r="H45" i="24"/>
  <c r="H46" i="24" s="1"/>
  <c r="I7" i="24"/>
  <c r="F165" i="24"/>
  <c r="G162" i="24"/>
  <c r="G129" i="24"/>
  <c r="G75" i="24"/>
  <c r="G141" i="24"/>
  <c r="F120" i="24"/>
  <c r="F121" i="24" s="1"/>
  <c r="G74" i="24"/>
  <c r="G173" i="24"/>
  <c r="G107" i="24"/>
  <c r="F65" i="24"/>
  <c r="F66" i="24" s="1"/>
  <c r="F87" i="24"/>
  <c r="F88" i="24" s="1"/>
  <c r="G97" i="24"/>
  <c r="F153" i="24"/>
  <c r="F154" i="24" s="1"/>
  <c r="G96" i="24"/>
  <c r="G64" i="24"/>
  <c r="F142" i="24"/>
  <c r="F143" i="24" s="1"/>
  <c r="G85" i="24"/>
  <c r="G63" i="24"/>
  <c r="G164" i="24"/>
  <c r="G119" i="24"/>
  <c r="F109" i="24"/>
  <c r="F110" i="24" s="1"/>
  <c r="F54" i="24"/>
  <c r="F55" i="24" s="1"/>
  <c r="G86" i="24"/>
  <c r="G130" i="24"/>
  <c r="F98" i="24"/>
  <c r="F99" i="24" s="1"/>
  <c r="G53" i="24"/>
  <c r="G151" i="24"/>
  <c r="G118" i="24"/>
  <c r="G52" i="24"/>
  <c r="F131" i="24"/>
  <c r="F132" i="24" s="1"/>
  <c r="G175" i="24"/>
  <c r="G163" i="24"/>
  <c r="G152" i="24"/>
  <c r="G108" i="24"/>
  <c r="G174" i="24"/>
  <c r="G140" i="24"/>
  <c r="F76" i="24"/>
  <c r="F77" i="24" s="1"/>
  <c r="I45" i="23"/>
  <c r="I46" i="23" s="1"/>
  <c r="J7" i="23"/>
  <c r="H163" i="23"/>
  <c r="H174" i="23"/>
  <c r="H164" i="23"/>
  <c r="H175" i="23"/>
  <c r="H162" i="23"/>
  <c r="H173" i="23"/>
  <c r="H141" i="23"/>
  <c r="H140" i="23"/>
  <c r="H118" i="23"/>
  <c r="H151" i="23"/>
  <c r="H152" i="23"/>
  <c r="G153" i="23"/>
  <c r="G154" i="23" s="1"/>
  <c r="G131" i="23"/>
  <c r="G132" i="23" s="1"/>
  <c r="G142" i="23"/>
  <c r="G143" i="23" s="1"/>
  <c r="G120" i="23"/>
  <c r="G121" i="23" s="1"/>
  <c r="H129" i="23"/>
  <c r="H96" i="23"/>
  <c r="G87" i="23"/>
  <c r="G88" i="23" s="1"/>
  <c r="H64" i="23"/>
  <c r="H53" i="23"/>
  <c r="H52" i="23"/>
  <c r="H85" i="23"/>
  <c r="G65" i="23"/>
  <c r="G66" i="23" s="1"/>
  <c r="G109" i="23"/>
  <c r="G110" i="23" s="1"/>
  <c r="H108" i="23"/>
  <c r="H119" i="23"/>
  <c r="H107" i="23"/>
  <c r="G98" i="23"/>
  <c r="G99" i="23" s="1"/>
  <c r="H130" i="23"/>
  <c r="G54" i="23"/>
  <c r="G55" i="23" s="1"/>
  <c r="H75" i="23"/>
  <c r="H74" i="23"/>
  <c r="H86" i="23"/>
  <c r="H97" i="23"/>
  <c r="G76" i="23"/>
  <c r="G77" i="23" s="1"/>
  <c r="H63" i="23"/>
  <c r="H163" i="22"/>
  <c r="H174" i="22"/>
  <c r="H164" i="22"/>
  <c r="H175" i="22"/>
  <c r="H162" i="22"/>
  <c r="H173" i="22"/>
  <c r="H129" i="22"/>
  <c r="H151" i="22"/>
  <c r="H152" i="22"/>
  <c r="G153" i="22"/>
  <c r="G154" i="22" s="1"/>
  <c r="G142" i="22"/>
  <c r="G143" i="22" s="1"/>
  <c r="H141" i="22"/>
  <c r="H140" i="22"/>
  <c r="G120" i="22"/>
  <c r="G121" i="22" s="1"/>
  <c r="H130" i="22"/>
  <c r="G131" i="22"/>
  <c r="G132" i="22" s="1"/>
  <c r="G109" i="22"/>
  <c r="G110" i="22" s="1"/>
  <c r="H107" i="22"/>
  <c r="H119" i="22"/>
  <c r="G76" i="22"/>
  <c r="G77" i="22" s="1"/>
  <c r="G98" i="22"/>
  <c r="G99" i="22" s="1"/>
  <c r="H74" i="22"/>
  <c r="G87" i="22"/>
  <c r="G88" i="22" s="1"/>
  <c r="H97" i="22"/>
  <c r="H85" i="22"/>
  <c r="H118" i="22"/>
  <c r="H108" i="22"/>
  <c r="H96" i="22"/>
  <c r="H86" i="22"/>
  <c r="H52" i="22"/>
  <c r="G65" i="22"/>
  <c r="G66" i="22" s="1"/>
  <c r="H64" i="22"/>
  <c r="G54" i="22"/>
  <c r="G55" i="22" s="1"/>
  <c r="H53" i="22"/>
  <c r="H75" i="22"/>
  <c r="H63" i="22"/>
  <c r="J7" i="22"/>
  <c r="I45" i="22"/>
  <c r="I46" i="22" s="1"/>
  <c r="G176" i="22"/>
  <c r="H163" i="21"/>
  <c r="H174" i="21"/>
  <c r="G153" i="21"/>
  <c r="G154" i="21" s="1"/>
  <c r="H164" i="21"/>
  <c r="H175" i="21"/>
  <c r="H162" i="21"/>
  <c r="H173" i="21"/>
  <c r="H152" i="21"/>
  <c r="G131" i="21"/>
  <c r="G132" i="21" s="1"/>
  <c r="H140" i="21"/>
  <c r="H129" i="21"/>
  <c r="H108" i="21"/>
  <c r="H151" i="21"/>
  <c r="G142" i="21"/>
  <c r="G143" i="21" s="1"/>
  <c r="H130" i="21"/>
  <c r="H141" i="21"/>
  <c r="G120" i="21"/>
  <c r="G121" i="21" s="1"/>
  <c r="G98" i="21"/>
  <c r="G99" i="21" s="1"/>
  <c r="G109" i="21"/>
  <c r="G110" i="21" s="1"/>
  <c r="H118" i="21"/>
  <c r="H107" i="21"/>
  <c r="H97" i="21"/>
  <c r="H119" i="21"/>
  <c r="H96" i="21"/>
  <c r="G87" i="21"/>
  <c r="G88" i="21" s="1"/>
  <c r="H86" i="21"/>
  <c r="H85" i="21"/>
  <c r="H75" i="21"/>
  <c r="H53" i="21"/>
  <c r="H52" i="21"/>
  <c r="H64" i="21"/>
  <c r="G54" i="21"/>
  <c r="G55" i="21" s="1"/>
  <c r="G76" i="21"/>
  <c r="G77" i="21" s="1"/>
  <c r="H63" i="21"/>
  <c r="H74" i="21"/>
  <c r="G65" i="21"/>
  <c r="G66" i="21" s="1"/>
  <c r="J7" i="21"/>
  <c r="I45" i="21"/>
  <c r="I46" i="21" s="1"/>
  <c r="G176" i="21"/>
  <c r="G165" i="21"/>
  <c r="G165" i="19"/>
  <c r="H176" i="20"/>
  <c r="I174" i="20"/>
  <c r="I140" i="20"/>
  <c r="I164" i="20"/>
  <c r="I151" i="20"/>
  <c r="I175" i="20"/>
  <c r="I162" i="20"/>
  <c r="I173" i="20"/>
  <c r="H142" i="20"/>
  <c r="H143" i="20" s="1"/>
  <c r="I130" i="20"/>
  <c r="I96" i="20"/>
  <c r="I152" i="20"/>
  <c r="I141" i="20"/>
  <c r="I163" i="20"/>
  <c r="I129" i="20"/>
  <c r="H153" i="20"/>
  <c r="H154" i="20" s="1"/>
  <c r="I107" i="20"/>
  <c r="I119" i="20"/>
  <c r="H109" i="20"/>
  <c r="H110" i="20" s="1"/>
  <c r="H120" i="20"/>
  <c r="H121" i="20" s="1"/>
  <c r="H131" i="20"/>
  <c r="H132" i="20" s="1"/>
  <c r="I108" i="20"/>
  <c r="I118" i="20"/>
  <c r="I75" i="20"/>
  <c r="H87" i="20"/>
  <c r="H88" i="20" s="1"/>
  <c r="H98" i="20"/>
  <c r="H99" i="20" s="1"/>
  <c r="I97" i="20"/>
  <c r="I63" i="20"/>
  <c r="I85" i="20"/>
  <c r="H76" i="20"/>
  <c r="H77" i="20" s="1"/>
  <c r="H65" i="20"/>
  <c r="H66" i="20" s="1"/>
  <c r="I86" i="20"/>
  <c r="I74" i="20"/>
  <c r="I52" i="20"/>
  <c r="I53" i="20"/>
  <c r="H54" i="20"/>
  <c r="H55" i="20" s="1"/>
  <c r="I64" i="20"/>
  <c r="J45" i="20"/>
  <c r="J46" i="20" s="1"/>
  <c r="K7" i="20"/>
  <c r="H163" i="19"/>
  <c r="H174" i="19"/>
  <c r="G142" i="19"/>
  <c r="G143" i="19" s="1"/>
  <c r="H140" i="19"/>
  <c r="H164" i="19"/>
  <c r="H175" i="19"/>
  <c r="G153" i="19"/>
  <c r="G154" i="19" s="1"/>
  <c r="H173" i="19"/>
  <c r="H162" i="19"/>
  <c r="H152" i="19"/>
  <c r="H151" i="19"/>
  <c r="H119" i="19"/>
  <c r="H118" i="19"/>
  <c r="H96" i="19"/>
  <c r="H141" i="19"/>
  <c r="G131" i="19"/>
  <c r="G132" i="19" s="1"/>
  <c r="H130" i="19"/>
  <c r="H129" i="19"/>
  <c r="G120" i="19"/>
  <c r="G121" i="19" s="1"/>
  <c r="H74" i="19"/>
  <c r="H85" i="19"/>
  <c r="H108" i="19"/>
  <c r="G54" i="19"/>
  <c r="G55" i="19" s="1"/>
  <c r="H75" i="19"/>
  <c r="G109" i="19"/>
  <c r="G110" i="19" s="1"/>
  <c r="G87" i="19"/>
  <c r="G88" i="19" s="1"/>
  <c r="G98" i="19"/>
  <c r="G99" i="19" s="1"/>
  <c r="H97" i="19"/>
  <c r="H86" i="19"/>
  <c r="H64" i="19"/>
  <c r="G76" i="19"/>
  <c r="G77" i="19" s="1"/>
  <c r="H63" i="19"/>
  <c r="H53" i="19"/>
  <c r="H107" i="19"/>
  <c r="G65" i="19"/>
  <c r="G66" i="19" s="1"/>
  <c r="H52" i="19"/>
  <c r="I45" i="19"/>
  <c r="I46" i="19" s="1"/>
  <c r="J7" i="19"/>
  <c r="I174" i="16"/>
  <c r="H142" i="16"/>
  <c r="H143" i="16" s="1"/>
  <c r="I140" i="16"/>
  <c r="I164" i="16"/>
  <c r="I151" i="16"/>
  <c r="I175" i="16"/>
  <c r="I162" i="16"/>
  <c r="I173" i="16"/>
  <c r="I152" i="16"/>
  <c r="I119" i="16"/>
  <c r="H153" i="16"/>
  <c r="H154" i="16" s="1"/>
  <c r="I141" i="16"/>
  <c r="I130" i="16"/>
  <c r="H120" i="16"/>
  <c r="H121" i="16" s="1"/>
  <c r="H98" i="16"/>
  <c r="H99" i="16" s="1"/>
  <c r="H109" i="16"/>
  <c r="H110" i="16" s="1"/>
  <c r="I163" i="16"/>
  <c r="I118" i="16"/>
  <c r="I129" i="16"/>
  <c r="I97" i="16"/>
  <c r="H131" i="16"/>
  <c r="H132" i="16" s="1"/>
  <c r="I75" i="16"/>
  <c r="H87" i="16"/>
  <c r="H88" i="16" s="1"/>
  <c r="I107" i="16"/>
  <c r="I63" i="16"/>
  <c r="H76" i="16"/>
  <c r="H77" i="16" s="1"/>
  <c r="I64" i="16"/>
  <c r="I53" i="16"/>
  <c r="I52" i="16"/>
  <c r="I74" i="16"/>
  <c r="I108" i="16"/>
  <c r="I86" i="16"/>
  <c r="H65" i="16"/>
  <c r="H66" i="16" s="1"/>
  <c r="I85" i="16"/>
  <c r="I96" i="16"/>
  <c r="H54" i="16"/>
  <c r="H55" i="16" s="1"/>
  <c r="H176" i="16"/>
  <c r="K7" i="16"/>
  <c r="J45" i="16"/>
  <c r="J46" i="16" s="1"/>
  <c r="H165" i="16"/>
  <c r="J7" i="15"/>
  <c r="I45" i="15"/>
  <c r="I46" i="15" s="1"/>
  <c r="H163" i="15"/>
  <c r="H174" i="15"/>
  <c r="G142" i="15"/>
  <c r="G143" i="15" s="1"/>
  <c r="H164" i="15"/>
  <c r="H175" i="15"/>
  <c r="H162" i="15"/>
  <c r="H173" i="15"/>
  <c r="H152" i="15"/>
  <c r="H130" i="15"/>
  <c r="H151" i="15"/>
  <c r="H141" i="15"/>
  <c r="H118" i="15"/>
  <c r="H140" i="15"/>
  <c r="H129" i="15"/>
  <c r="H119" i="15"/>
  <c r="H97" i="15"/>
  <c r="G120" i="15"/>
  <c r="G121" i="15" s="1"/>
  <c r="G153" i="15"/>
  <c r="G154" i="15" s="1"/>
  <c r="G98" i="15"/>
  <c r="G99" i="15" s="1"/>
  <c r="G131" i="15"/>
  <c r="G132" i="15" s="1"/>
  <c r="H96" i="15"/>
  <c r="G109" i="15"/>
  <c r="G110" i="15" s="1"/>
  <c r="H108" i="15"/>
  <c r="H107" i="15"/>
  <c r="G87" i="15"/>
  <c r="G88" i="15" s="1"/>
  <c r="G76" i="15"/>
  <c r="G77" i="15" s="1"/>
  <c r="H86" i="15"/>
  <c r="H63" i="15"/>
  <c r="H64" i="15"/>
  <c r="G65" i="15"/>
  <c r="G66" i="15" s="1"/>
  <c r="H52" i="15"/>
  <c r="H74" i="15"/>
  <c r="H53" i="15"/>
  <c r="H75" i="15"/>
  <c r="G54" i="15"/>
  <c r="G55" i="15" s="1"/>
  <c r="H85" i="15"/>
  <c r="I45" i="14"/>
  <c r="I46" i="14" s="1"/>
  <c r="J7" i="14"/>
  <c r="H163" i="14"/>
  <c r="H174" i="14"/>
  <c r="H164" i="14"/>
  <c r="H175" i="14"/>
  <c r="H162" i="14"/>
  <c r="H173" i="14"/>
  <c r="G153" i="14"/>
  <c r="G154" i="14" s="1"/>
  <c r="H152" i="14"/>
  <c r="H151" i="14"/>
  <c r="H140" i="14"/>
  <c r="H141" i="14"/>
  <c r="H97" i="14"/>
  <c r="G76" i="14"/>
  <c r="G77" i="14" s="1"/>
  <c r="G120" i="14"/>
  <c r="G121" i="14" s="1"/>
  <c r="G131" i="14"/>
  <c r="G132" i="14" s="1"/>
  <c r="H119" i="14"/>
  <c r="H130" i="14"/>
  <c r="G142" i="14"/>
  <c r="G143" i="14" s="1"/>
  <c r="H129" i="14"/>
  <c r="G109" i="14"/>
  <c r="G110" i="14" s="1"/>
  <c r="H118" i="14"/>
  <c r="H108" i="14"/>
  <c r="H107" i="14"/>
  <c r="H64" i="14"/>
  <c r="G87" i="14"/>
  <c r="G88" i="14" s="1"/>
  <c r="H86" i="14"/>
  <c r="H96" i="14"/>
  <c r="H85" i="14"/>
  <c r="G98" i="14"/>
  <c r="G99" i="14" s="1"/>
  <c r="H75" i="14"/>
  <c r="G54" i="14"/>
  <c r="G55" i="14" s="1"/>
  <c r="H74" i="14"/>
  <c r="G65" i="14"/>
  <c r="G66" i="14" s="1"/>
  <c r="H63" i="14"/>
  <c r="H53" i="14"/>
  <c r="H52" i="14"/>
  <c r="G176" i="17" l="1"/>
  <c r="G165" i="18"/>
  <c r="H140" i="17"/>
  <c r="H75" i="17"/>
  <c r="G65" i="17"/>
  <c r="G66" i="17" s="1"/>
  <c r="H163" i="17"/>
  <c r="H118" i="17"/>
  <c r="H151" i="17"/>
  <c r="G109" i="17"/>
  <c r="G110" i="17" s="1"/>
  <c r="H97" i="17"/>
  <c r="H174" i="17"/>
  <c r="H129" i="17"/>
  <c r="H86" i="17"/>
  <c r="H164" i="17"/>
  <c r="H130" i="17"/>
  <c r="H96" i="17"/>
  <c r="G54" i="17"/>
  <c r="G55" i="17" s="1"/>
  <c r="H175" i="17"/>
  <c r="G131" i="17"/>
  <c r="G132" i="17" s="1"/>
  <c r="H107" i="17"/>
  <c r="H162" i="17"/>
  <c r="H108" i="17"/>
  <c r="H85" i="17"/>
  <c r="G87" i="17"/>
  <c r="G88" i="17" s="1"/>
  <c r="H173" i="17"/>
  <c r="H119" i="17"/>
  <c r="H74" i="17"/>
  <c r="H152" i="17"/>
  <c r="H64" i="17"/>
  <c r="G76" i="17"/>
  <c r="G77" i="17" s="1"/>
  <c r="G153" i="17"/>
  <c r="G154" i="17" s="1"/>
  <c r="H141" i="17"/>
  <c r="G120" i="17"/>
  <c r="G121" i="17" s="1"/>
  <c r="G142" i="17"/>
  <c r="G143" i="17" s="1"/>
  <c r="G98" i="17"/>
  <c r="G99" i="17" s="1"/>
  <c r="H63" i="17"/>
  <c r="H53" i="17"/>
  <c r="H52" i="17"/>
  <c r="I45" i="17"/>
  <c r="I46" i="17" s="1"/>
  <c r="J7" i="17"/>
  <c r="G165" i="17"/>
  <c r="J7" i="18"/>
  <c r="I45" i="18"/>
  <c r="I46" i="18" s="1"/>
  <c r="G176" i="18"/>
  <c r="H174" i="18"/>
  <c r="H141" i="18"/>
  <c r="H86" i="18"/>
  <c r="G153" i="18"/>
  <c r="G154" i="18" s="1"/>
  <c r="H140" i="18"/>
  <c r="H118" i="18"/>
  <c r="H164" i="18"/>
  <c r="H130" i="18"/>
  <c r="H64" i="18"/>
  <c r="H129" i="18"/>
  <c r="H53" i="18"/>
  <c r="H151" i="18"/>
  <c r="G109" i="18"/>
  <c r="G110" i="18" s="1"/>
  <c r="G76" i="18"/>
  <c r="G77" i="18" s="1"/>
  <c r="G98" i="18"/>
  <c r="G99" i="18" s="1"/>
  <c r="H175" i="18"/>
  <c r="H107" i="18"/>
  <c r="H75" i="18"/>
  <c r="H162" i="18"/>
  <c r="H97" i="18"/>
  <c r="G87" i="18"/>
  <c r="G88" i="18" s="1"/>
  <c r="G54" i="18"/>
  <c r="G55" i="18" s="1"/>
  <c r="H85" i="18"/>
  <c r="H173" i="18"/>
  <c r="G120" i="18"/>
  <c r="G121" i="18" s="1"/>
  <c r="G65" i="18"/>
  <c r="G66" i="18" s="1"/>
  <c r="H152" i="18"/>
  <c r="H119" i="18"/>
  <c r="H63" i="18"/>
  <c r="G131" i="18"/>
  <c r="G132" i="18" s="1"/>
  <c r="H74" i="18"/>
  <c r="H52" i="18"/>
  <c r="H108" i="18"/>
  <c r="H163" i="18"/>
  <c r="G142" i="18"/>
  <c r="G143" i="18" s="1"/>
  <c r="H96" i="18"/>
  <c r="I165" i="20"/>
  <c r="H165" i="22"/>
  <c r="H176" i="22"/>
  <c r="H176" i="15"/>
  <c r="H165" i="14"/>
  <c r="H176" i="21"/>
  <c r="H165" i="21"/>
  <c r="G165" i="24"/>
  <c r="I165" i="16"/>
  <c r="H176" i="14"/>
  <c r="J7" i="24"/>
  <c r="I45" i="24"/>
  <c r="I46" i="24" s="1"/>
  <c r="H163" i="24"/>
  <c r="G120" i="24"/>
  <c r="G121" i="24" s="1"/>
  <c r="H97" i="24"/>
  <c r="G54" i="24"/>
  <c r="G55" i="24" s="1"/>
  <c r="H53" i="24"/>
  <c r="H174" i="24"/>
  <c r="H152" i="24"/>
  <c r="H86" i="24"/>
  <c r="G153" i="24"/>
  <c r="G154" i="24" s="1"/>
  <c r="H140" i="24"/>
  <c r="G87" i="24"/>
  <c r="G88" i="24" s="1"/>
  <c r="H164" i="24"/>
  <c r="G131" i="24"/>
  <c r="G132" i="24" s="1"/>
  <c r="G76" i="24"/>
  <c r="G77" i="24" s="1"/>
  <c r="H175" i="24"/>
  <c r="H129" i="24"/>
  <c r="H75" i="24"/>
  <c r="H141" i="24"/>
  <c r="H162" i="24"/>
  <c r="H107" i="24"/>
  <c r="H52" i="24"/>
  <c r="H173" i="24"/>
  <c r="H96" i="24"/>
  <c r="H74" i="24"/>
  <c r="H118" i="24"/>
  <c r="G142" i="24"/>
  <c r="G143" i="24" s="1"/>
  <c r="H85" i="24"/>
  <c r="G65" i="24"/>
  <c r="G66" i="24" s="1"/>
  <c r="H119" i="24"/>
  <c r="G109" i="24"/>
  <c r="G110" i="24" s="1"/>
  <c r="H64" i="24"/>
  <c r="H151" i="24"/>
  <c r="H108" i="24"/>
  <c r="H130" i="24"/>
  <c r="G98" i="24"/>
  <c r="G99" i="24" s="1"/>
  <c r="H63" i="24"/>
  <c r="G176" i="24"/>
  <c r="H176" i="23"/>
  <c r="H165" i="23"/>
  <c r="J45" i="23"/>
  <c r="J46" i="23" s="1"/>
  <c r="K7" i="23"/>
  <c r="I174" i="23"/>
  <c r="H142" i="23"/>
  <c r="H143" i="23" s="1"/>
  <c r="I164" i="23"/>
  <c r="I175" i="23"/>
  <c r="I162" i="23"/>
  <c r="I173" i="23"/>
  <c r="I152" i="23"/>
  <c r="I140" i="23"/>
  <c r="I163" i="23"/>
  <c r="H131" i="23"/>
  <c r="H132" i="23" s="1"/>
  <c r="I151" i="23"/>
  <c r="H153" i="23"/>
  <c r="H154" i="23" s="1"/>
  <c r="I130" i="23"/>
  <c r="I97" i="23"/>
  <c r="H120" i="23"/>
  <c r="H121" i="23" s="1"/>
  <c r="I119" i="23"/>
  <c r="I108" i="23"/>
  <c r="I141" i="23"/>
  <c r="I129" i="23"/>
  <c r="I96" i="23"/>
  <c r="H87" i="23"/>
  <c r="H88" i="23" s="1"/>
  <c r="I118" i="23"/>
  <c r="I85" i="23"/>
  <c r="H54" i="23"/>
  <c r="H55" i="23" s="1"/>
  <c r="I75" i="23"/>
  <c r="H109" i="23"/>
  <c r="H110" i="23" s="1"/>
  <c r="I86" i="23"/>
  <c r="I64" i="23"/>
  <c r="I107" i="23"/>
  <c r="H98" i="23"/>
  <c r="H99" i="23" s="1"/>
  <c r="I74" i="23"/>
  <c r="I53" i="23"/>
  <c r="H76" i="23"/>
  <c r="H77" i="23" s="1"/>
  <c r="I63" i="23"/>
  <c r="H65" i="23"/>
  <c r="H66" i="23" s="1"/>
  <c r="I52" i="23"/>
  <c r="I174" i="22"/>
  <c r="H142" i="22"/>
  <c r="H143" i="22" s="1"/>
  <c r="I164" i="22"/>
  <c r="I175" i="22"/>
  <c r="I162" i="22"/>
  <c r="I173" i="22"/>
  <c r="I152" i="22"/>
  <c r="I163" i="22"/>
  <c r="I151" i="22"/>
  <c r="H153" i="22"/>
  <c r="H154" i="22" s="1"/>
  <c r="I141" i="22"/>
  <c r="I140" i="22"/>
  <c r="H120" i="22"/>
  <c r="H121" i="22" s="1"/>
  <c r="I118" i="22"/>
  <c r="H131" i="22"/>
  <c r="H132" i="22" s="1"/>
  <c r="H109" i="22"/>
  <c r="H110" i="22" s="1"/>
  <c r="I107" i="22"/>
  <c r="I119" i="22"/>
  <c r="I129" i="22"/>
  <c r="H76" i="22"/>
  <c r="H77" i="22" s="1"/>
  <c r="H98" i="22"/>
  <c r="H99" i="22" s="1"/>
  <c r="I74" i="22"/>
  <c r="I63" i="22"/>
  <c r="H87" i="22"/>
  <c r="H88" i="22" s="1"/>
  <c r="I97" i="22"/>
  <c r="I85" i="22"/>
  <c r="I75" i="22"/>
  <c r="I108" i="22"/>
  <c r="I96" i="22"/>
  <c r="I86" i="22"/>
  <c r="I130" i="22"/>
  <c r="H65" i="22"/>
  <c r="H66" i="22" s="1"/>
  <c r="I64" i="22"/>
  <c r="H54" i="22"/>
  <c r="H55" i="22" s="1"/>
  <c r="I53" i="22"/>
  <c r="I52" i="22"/>
  <c r="J45" i="22"/>
  <c r="J46" i="22" s="1"/>
  <c r="K7" i="22"/>
  <c r="I174" i="21"/>
  <c r="H153" i="21"/>
  <c r="H154" i="21" s="1"/>
  <c r="I164" i="21"/>
  <c r="I175" i="21"/>
  <c r="I162" i="21"/>
  <c r="I173" i="21"/>
  <c r="I152" i="21"/>
  <c r="H131" i="21"/>
  <c r="H132" i="21" s="1"/>
  <c r="I140" i="21"/>
  <c r="I129" i="21"/>
  <c r="I119" i="21"/>
  <c r="I151" i="21"/>
  <c r="H142" i="21"/>
  <c r="H143" i="21" s="1"/>
  <c r="I163" i="21"/>
  <c r="I141" i="21"/>
  <c r="H120" i="21"/>
  <c r="H121" i="21" s="1"/>
  <c r="H98" i="21"/>
  <c r="H99" i="21" s="1"/>
  <c r="I96" i="21"/>
  <c r="I130" i="21"/>
  <c r="I118" i="21"/>
  <c r="I85" i="21"/>
  <c r="H76" i="21"/>
  <c r="H77" i="21" s="1"/>
  <c r="I97" i="21"/>
  <c r="H109" i="21"/>
  <c r="H110" i="21" s="1"/>
  <c r="I108" i="21"/>
  <c r="I107" i="21"/>
  <c r="I75" i="21"/>
  <c r="I64" i="21"/>
  <c r="H54" i="21"/>
  <c r="H55" i="21" s="1"/>
  <c r="I74" i="21"/>
  <c r="H87" i="21"/>
  <c r="H88" i="21" s="1"/>
  <c r="H65" i="21"/>
  <c r="H66" i="21" s="1"/>
  <c r="I86" i="21"/>
  <c r="I63" i="21"/>
  <c r="I52" i="21"/>
  <c r="I53" i="21"/>
  <c r="K7" i="21"/>
  <c r="J45" i="21"/>
  <c r="J46" i="21" s="1"/>
  <c r="L7" i="20"/>
  <c r="K45" i="20"/>
  <c r="K46" i="20" s="1"/>
  <c r="J174" i="20"/>
  <c r="I153" i="20"/>
  <c r="I154" i="20" s="1"/>
  <c r="J164" i="20"/>
  <c r="J175" i="20"/>
  <c r="J162" i="20"/>
  <c r="J173" i="20"/>
  <c r="J152" i="20"/>
  <c r="J163" i="20"/>
  <c r="J130" i="20"/>
  <c r="J141" i="20"/>
  <c r="I109" i="20"/>
  <c r="I110" i="20" s="1"/>
  <c r="I120" i="20"/>
  <c r="I121" i="20" s="1"/>
  <c r="I131" i="20"/>
  <c r="I132" i="20" s="1"/>
  <c r="J140" i="20"/>
  <c r="J151" i="20"/>
  <c r="J119" i="20"/>
  <c r="I76" i="20"/>
  <c r="I77" i="20" s="1"/>
  <c r="J129" i="20"/>
  <c r="J97" i="20"/>
  <c r="J118" i="20"/>
  <c r="I142" i="20"/>
  <c r="I143" i="20" s="1"/>
  <c r="J75" i="20"/>
  <c r="J108" i="20"/>
  <c r="I87" i="20"/>
  <c r="I88" i="20" s="1"/>
  <c r="I98" i="20"/>
  <c r="I99" i="20" s="1"/>
  <c r="J107" i="20"/>
  <c r="J85" i="20"/>
  <c r="J64" i="20"/>
  <c r="J86" i="20"/>
  <c r="J53" i="20"/>
  <c r="J96" i="20"/>
  <c r="I54" i="20"/>
  <c r="I55" i="20" s="1"/>
  <c r="J63" i="20"/>
  <c r="I65" i="20"/>
  <c r="I66" i="20" s="1"/>
  <c r="J74" i="20"/>
  <c r="J52" i="20"/>
  <c r="I176" i="20"/>
  <c r="H165" i="19"/>
  <c r="H176" i="19"/>
  <c r="J45" i="19"/>
  <c r="J46" i="19" s="1"/>
  <c r="K7" i="19"/>
  <c r="I174" i="19"/>
  <c r="I140" i="19"/>
  <c r="H153" i="19"/>
  <c r="H154" i="19" s="1"/>
  <c r="I164" i="19"/>
  <c r="I175" i="19"/>
  <c r="I162" i="19"/>
  <c r="I173" i="19"/>
  <c r="I163" i="19"/>
  <c r="I152" i="19"/>
  <c r="I151" i="19"/>
  <c r="H120" i="19"/>
  <c r="H121" i="19" s="1"/>
  <c r="H142" i="19"/>
  <c r="H143" i="19" s="1"/>
  <c r="I141" i="19"/>
  <c r="I119" i="19"/>
  <c r="I118" i="19"/>
  <c r="H109" i="19"/>
  <c r="H110" i="19" s="1"/>
  <c r="H131" i="19"/>
  <c r="H132" i="19" s="1"/>
  <c r="I130" i="19"/>
  <c r="I129" i="19"/>
  <c r="I108" i="19"/>
  <c r="I85" i="19"/>
  <c r="H65" i="19"/>
  <c r="H66" i="19" s="1"/>
  <c r="I75" i="19"/>
  <c r="H87" i="19"/>
  <c r="H88" i="19" s="1"/>
  <c r="H98" i="19"/>
  <c r="H99" i="19" s="1"/>
  <c r="I97" i="19"/>
  <c r="I86" i="19"/>
  <c r="I107" i="19"/>
  <c r="I96" i="19"/>
  <c r="H76" i="19"/>
  <c r="H77" i="19" s="1"/>
  <c r="I64" i="19"/>
  <c r="H54" i="19"/>
  <c r="H55" i="19" s="1"/>
  <c r="I63" i="19"/>
  <c r="I53" i="19"/>
  <c r="I74" i="19"/>
  <c r="I52" i="19"/>
  <c r="I176" i="16"/>
  <c r="J174" i="16"/>
  <c r="J140" i="16"/>
  <c r="I153" i="16"/>
  <c r="I154" i="16" s="1"/>
  <c r="J164" i="16"/>
  <c r="J175" i="16"/>
  <c r="J162" i="16"/>
  <c r="J173" i="16"/>
  <c r="J151" i="16"/>
  <c r="J141" i="16"/>
  <c r="J130" i="16"/>
  <c r="I142" i="16"/>
  <c r="I143" i="16" s="1"/>
  <c r="J163" i="16"/>
  <c r="J118" i="16"/>
  <c r="I98" i="16"/>
  <c r="I99" i="16" s="1"/>
  <c r="I120" i="16"/>
  <c r="I121" i="16" s="1"/>
  <c r="J96" i="16"/>
  <c r="J119" i="16"/>
  <c r="J107" i="16"/>
  <c r="J129" i="16"/>
  <c r="J152" i="16"/>
  <c r="J97" i="16"/>
  <c r="I87" i="16"/>
  <c r="I88" i="16" s="1"/>
  <c r="I131" i="16"/>
  <c r="I132" i="16" s="1"/>
  <c r="I109" i="16"/>
  <c r="I110" i="16" s="1"/>
  <c r="J64" i="16"/>
  <c r="I54" i="16"/>
  <c r="I55" i="16" s="1"/>
  <c r="J74" i="16"/>
  <c r="J108" i="16"/>
  <c r="J86" i="16"/>
  <c r="J75" i="16"/>
  <c r="J85" i="16"/>
  <c r="J53" i="16"/>
  <c r="J52" i="16"/>
  <c r="J63" i="16"/>
  <c r="I65" i="16"/>
  <c r="I66" i="16" s="1"/>
  <c r="I76" i="16"/>
  <c r="I77" i="16" s="1"/>
  <c r="L7" i="16"/>
  <c r="K45" i="16"/>
  <c r="K46" i="16" s="1"/>
  <c r="J45" i="15"/>
  <c r="J46" i="15" s="1"/>
  <c r="K7" i="15"/>
  <c r="I174" i="15"/>
  <c r="I140" i="15"/>
  <c r="I164" i="15"/>
  <c r="I175" i="15"/>
  <c r="I162" i="15"/>
  <c r="I173" i="15"/>
  <c r="H142" i="15"/>
  <c r="H143" i="15" s="1"/>
  <c r="I151" i="15"/>
  <c r="I141" i="15"/>
  <c r="I152" i="15"/>
  <c r="I163" i="15"/>
  <c r="H131" i="15"/>
  <c r="H132" i="15" s="1"/>
  <c r="H153" i="15"/>
  <c r="H154" i="15" s="1"/>
  <c r="I119" i="15"/>
  <c r="I130" i="15"/>
  <c r="I108" i="15"/>
  <c r="H120" i="15"/>
  <c r="H121" i="15" s="1"/>
  <c r="I96" i="15"/>
  <c r="H109" i="15"/>
  <c r="H110" i="15" s="1"/>
  <c r="I118" i="15"/>
  <c r="I129" i="15"/>
  <c r="I107" i="15"/>
  <c r="I97" i="15"/>
  <c r="H87" i="15"/>
  <c r="H88" i="15" s="1"/>
  <c r="I74" i="15"/>
  <c r="H98" i="15"/>
  <c r="H99" i="15" s="1"/>
  <c r="I85" i="15"/>
  <c r="I64" i="15"/>
  <c r="H65" i="15"/>
  <c r="H66" i="15" s="1"/>
  <c r="I52" i="15"/>
  <c r="I86" i="15"/>
  <c r="I75" i="15"/>
  <c r="H76" i="15"/>
  <c r="H77" i="15" s="1"/>
  <c r="I63" i="15"/>
  <c r="I53" i="15"/>
  <c r="H54" i="15"/>
  <c r="H55" i="15" s="1"/>
  <c r="H165" i="15"/>
  <c r="K7" i="14"/>
  <c r="J45" i="14"/>
  <c r="J46" i="14" s="1"/>
  <c r="I174" i="14"/>
  <c r="H142" i="14"/>
  <c r="H143" i="14" s="1"/>
  <c r="I164" i="14"/>
  <c r="I175" i="14"/>
  <c r="I162" i="14"/>
  <c r="I173" i="14"/>
  <c r="I152" i="14"/>
  <c r="H153" i="14"/>
  <c r="H154" i="14" s="1"/>
  <c r="I151" i="14"/>
  <c r="I163" i="14"/>
  <c r="I141" i="14"/>
  <c r="I97" i="14"/>
  <c r="H120" i="14"/>
  <c r="H121" i="14" s="1"/>
  <c r="I74" i="14"/>
  <c r="I140" i="14"/>
  <c r="H131" i="14"/>
  <c r="H132" i="14" s="1"/>
  <c r="I119" i="14"/>
  <c r="I130" i="14"/>
  <c r="I129" i="14"/>
  <c r="I118" i="14"/>
  <c r="I107" i="14"/>
  <c r="I86" i="14"/>
  <c r="H109" i="14"/>
  <c r="H110" i="14" s="1"/>
  <c r="H87" i="14"/>
  <c r="H88" i="14" s="1"/>
  <c r="I96" i="14"/>
  <c r="I85" i="14"/>
  <c r="H98" i="14"/>
  <c r="H99" i="14" s="1"/>
  <c r="H76" i="14"/>
  <c r="H77" i="14" s="1"/>
  <c r="I75" i="14"/>
  <c r="I64" i="14"/>
  <c r="I108" i="14"/>
  <c r="I63" i="14"/>
  <c r="I53" i="14"/>
  <c r="I52" i="14"/>
  <c r="H54" i="14"/>
  <c r="H55" i="14" s="1"/>
  <c r="H65" i="14"/>
  <c r="H66" i="14" s="1"/>
  <c r="B1" i="13"/>
  <c r="E2" i="13"/>
  <c r="G2" i="13"/>
  <c r="A5" i="13"/>
  <c r="E19" i="13"/>
  <c r="E20" i="13"/>
  <c r="E21" i="13"/>
  <c r="F21" i="13"/>
  <c r="E22" i="13"/>
  <c r="F22" i="13"/>
  <c r="E23" i="13"/>
  <c r="F23" i="13"/>
  <c r="E24" i="13"/>
  <c r="F24" i="13"/>
  <c r="E25" i="13"/>
  <c r="F25" i="13"/>
  <c r="E26" i="13"/>
  <c r="F26" i="13"/>
  <c r="C29" i="1"/>
  <c r="B3" i="1"/>
  <c r="AI32" i="1"/>
  <c r="B4" i="1"/>
  <c r="C25" i="1"/>
  <c r="C26" i="1"/>
  <c r="J24" i="1"/>
  <c r="J25" i="1"/>
  <c r="R37" i="1"/>
  <c r="J26" i="1" s="1"/>
  <c r="S37" i="1"/>
  <c r="V37" i="1"/>
  <c r="S38" i="1"/>
  <c r="AP38" i="1" s="1"/>
  <c r="V38" i="1"/>
  <c r="AQ38" i="1" s="1"/>
  <c r="R39" i="1"/>
  <c r="Q25" i="1" s="1"/>
  <c r="S39" i="1"/>
  <c r="AP39" i="1" s="1"/>
  <c r="V39" i="1"/>
  <c r="AQ39" i="1" s="1"/>
  <c r="R40" i="1"/>
  <c r="Q26" i="1" s="1"/>
  <c r="S40" i="1"/>
  <c r="AP40" i="1" s="1"/>
  <c r="V40" i="1"/>
  <c r="AQ40" i="1" s="1"/>
  <c r="BE44" i="1"/>
  <c r="AH45" i="1"/>
  <c r="AH46" i="1"/>
  <c r="AG98" i="1" s="1"/>
  <c r="AR48" i="1"/>
  <c r="AZ47" i="1" s="1"/>
  <c r="AI49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AE50" i="1"/>
  <c r="AF50" i="1"/>
  <c r="AG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U61" i="1" s="1"/>
  <c r="BT50" i="1"/>
  <c r="BV61" i="1" s="1"/>
  <c r="BV64" i="1" s="1"/>
  <c r="BU50" i="1"/>
  <c r="BW61" i="1" s="1"/>
  <c r="BW64" i="1" s="1"/>
  <c r="BV50" i="1"/>
  <c r="BX61" i="1" s="1"/>
  <c r="BX64" i="1" s="1"/>
  <c r="BW50" i="1"/>
  <c r="BY61" i="1" s="1"/>
  <c r="BY64" i="1" s="1"/>
  <c r="BX50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AE56" i="1"/>
  <c r="AF56" i="1"/>
  <c r="AG56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AE57" i="1"/>
  <c r="AF57" i="1"/>
  <c r="AG57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AE61" i="1"/>
  <c r="AF61" i="1"/>
  <c r="AG61" i="1"/>
  <c r="BV66" i="1"/>
  <c r="BV67" i="1" s="1"/>
  <c r="BW66" i="1"/>
  <c r="BW67" i="1" s="1"/>
  <c r="BX66" i="1"/>
  <c r="BX67" i="1" s="1"/>
  <c r="BY66" i="1"/>
  <c r="BY67" i="1" s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AE67" i="1"/>
  <c r="AF67" i="1"/>
  <c r="AG67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AE68" i="1"/>
  <c r="AF68" i="1"/>
  <c r="AG68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AE72" i="1"/>
  <c r="AF72" i="1"/>
  <c r="AG72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AE78" i="1"/>
  <c r="AF78" i="1"/>
  <c r="AG78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AE79" i="1"/>
  <c r="AF79" i="1"/>
  <c r="AG79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AE83" i="1"/>
  <c r="AF83" i="1"/>
  <c r="AG83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AE89" i="1"/>
  <c r="AF89" i="1"/>
  <c r="AG89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AE90" i="1"/>
  <c r="AF90" i="1"/>
  <c r="AG90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AE94" i="1"/>
  <c r="AF94" i="1"/>
  <c r="AG94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AE100" i="1"/>
  <c r="AF100" i="1"/>
  <c r="AG100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AE101" i="1"/>
  <c r="AF101" i="1"/>
  <c r="AG101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AE105" i="1"/>
  <c r="AF105" i="1"/>
  <c r="AG105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AE111" i="1"/>
  <c r="AF111" i="1"/>
  <c r="AG111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AE112" i="1"/>
  <c r="AF112" i="1"/>
  <c r="AG112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AE116" i="1"/>
  <c r="AF116" i="1"/>
  <c r="AG116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AE122" i="1"/>
  <c r="AF122" i="1"/>
  <c r="AG122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AE123" i="1"/>
  <c r="AF123" i="1"/>
  <c r="AG123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AE127" i="1"/>
  <c r="AF127" i="1"/>
  <c r="AG127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AE133" i="1"/>
  <c r="AF133" i="1"/>
  <c r="AG133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AE134" i="1"/>
  <c r="AF134" i="1"/>
  <c r="AG134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AE138" i="1"/>
  <c r="AF138" i="1"/>
  <c r="AG138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AE144" i="1"/>
  <c r="AF144" i="1"/>
  <c r="AG144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AE145" i="1"/>
  <c r="AF145" i="1"/>
  <c r="AG145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AE149" i="1"/>
  <c r="AF149" i="1"/>
  <c r="AG149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AE155" i="1"/>
  <c r="AF155" i="1"/>
  <c r="AG155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AE156" i="1"/>
  <c r="AF156" i="1"/>
  <c r="AG156" i="1"/>
  <c r="G26" i="1" l="1"/>
  <c r="AQ34" i="1"/>
  <c r="AG153" i="1"/>
  <c r="AG76" i="1"/>
  <c r="AG65" i="1"/>
  <c r="N24" i="1"/>
  <c r="AQ35" i="1"/>
  <c r="D26" i="1"/>
  <c r="AP34" i="1"/>
  <c r="N25" i="1"/>
  <c r="AQ36" i="1"/>
  <c r="K24" i="1"/>
  <c r="AP35" i="1"/>
  <c r="K26" i="1"/>
  <c r="AP37" i="1"/>
  <c r="AG120" i="1"/>
  <c r="AG109" i="1"/>
  <c r="N26" i="1"/>
  <c r="AQ37" i="1"/>
  <c r="K25" i="1"/>
  <c r="AP36" i="1"/>
  <c r="H165" i="17"/>
  <c r="J45" i="17"/>
  <c r="J46" i="17" s="1"/>
  <c r="K7" i="17"/>
  <c r="I141" i="17"/>
  <c r="H98" i="17"/>
  <c r="H99" i="17" s="1"/>
  <c r="I53" i="17"/>
  <c r="I163" i="17"/>
  <c r="I75" i="17"/>
  <c r="I52" i="17"/>
  <c r="I151" i="17"/>
  <c r="I174" i="17"/>
  <c r="I130" i="17"/>
  <c r="I97" i="17"/>
  <c r="I108" i="17"/>
  <c r="I164" i="17"/>
  <c r="I107" i="17"/>
  <c r="I86" i="17"/>
  <c r="I175" i="17"/>
  <c r="I129" i="17"/>
  <c r="H109" i="17"/>
  <c r="H110" i="17" s="1"/>
  <c r="I162" i="17"/>
  <c r="I140" i="17"/>
  <c r="I96" i="17"/>
  <c r="I173" i="17"/>
  <c r="I118" i="17"/>
  <c r="I74" i="17"/>
  <c r="I152" i="17"/>
  <c r="I85" i="17"/>
  <c r="H54" i="17"/>
  <c r="H55" i="17" s="1"/>
  <c r="I64" i="17"/>
  <c r="H153" i="17"/>
  <c r="H154" i="17" s="1"/>
  <c r="H120" i="17"/>
  <c r="H121" i="17" s="1"/>
  <c r="H76" i="17"/>
  <c r="H77" i="17" s="1"/>
  <c r="H131" i="17"/>
  <c r="H132" i="17" s="1"/>
  <c r="I119" i="17"/>
  <c r="I63" i="17"/>
  <c r="H142" i="17"/>
  <c r="H143" i="17" s="1"/>
  <c r="H87" i="17"/>
  <c r="H88" i="17" s="1"/>
  <c r="H65" i="17"/>
  <c r="H66" i="17" s="1"/>
  <c r="H176" i="17"/>
  <c r="H165" i="18"/>
  <c r="G25" i="1"/>
  <c r="AQ33" i="1"/>
  <c r="AZ33" i="1" s="1"/>
  <c r="AG131" i="1"/>
  <c r="H176" i="18"/>
  <c r="H153" i="18"/>
  <c r="H154" i="18" s="1"/>
  <c r="I130" i="18"/>
  <c r="I96" i="18"/>
  <c r="I164" i="18"/>
  <c r="I163" i="18"/>
  <c r="I64" i="18"/>
  <c r="I151" i="18"/>
  <c r="I107" i="18"/>
  <c r="I75" i="18"/>
  <c r="H76" i="18"/>
  <c r="H77" i="18" s="1"/>
  <c r="H109" i="18"/>
  <c r="H110" i="18" s="1"/>
  <c r="I175" i="18"/>
  <c r="H120" i="18"/>
  <c r="H121" i="18" s="1"/>
  <c r="I74" i="18"/>
  <c r="H87" i="18"/>
  <c r="H88" i="18" s="1"/>
  <c r="I162" i="18"/>
  <c r="I119" i="18"/>
  <c r="H65" i="18"/>
  <c r="H66" i="18" s="1"/>
  <c r="I173" i="18"/>
  <c r="I118" i="18"/>
  <c r="I53" i="18"/>
  <c r="I152" i="18"/>
  <c r="I63" i="18"/>
  <c r="I52" i="18"/>
  <c r="H131" i="18"/>
  <c r="H132" i="18" s="1"/>
  <c r="H98" i="18"/>
  <c r="H99" i="18" s="1"/>
  <c r="I108" i="18"/>
  <c r="I140" i="18"/>
  <c r="I129" i="18"/>
  <c r="I97" i="18"/>
  <c r="H54" i="18"/>
  <c r="H55" i="18" s="1"/>
  <c r="I141" i="18"/>
  <c r="I174" i="18"/>
  <c r="H142" i="18"/>
  <c r="H143" i="18" s="1"/>
  <c r="I85" i="18"/>
  <c r="I86" i="18"/>
  <c r="J45" i="18"/>
  <c r="J46" i="18" s="1"/>
  <c r="K7" i="18"/>
  <c r="I165" i="21"/>
  <c r="I176" i="19"/>
  <c r="I165" i="15"/>
  <c r="H165" i="24"/>
  <c r="I176" i="22"/>
  <c r="J176" i="20"/>
  <c r="I164" i="24"/>
  <c r="I163" i="24"/>
  <c r="I97" i="24"/>
  <c r="I118" i="24"/>
  <c r="I151" i="24"/>
  <c r="I129" i="24"/>
  <c r="H87" i="24"/>
  <c r="H88" i="24" s="1"/>
  <c r="I175" i="24"/>
  <c r="I108" i="24"/>
  <c r="I75" i="24"/>
  <c r="I53" i="24"/>
  <c r="I162" i="24"/>
  <c r="H120" i="24"/>
  <c r="H121" i="24" s="1"/>
  <c r="I86" i="24"/>
  <c r="H142" i="24"/>
  <c r="H143" i="24" s="1"/>
  <c r="I173" i="24"/>
  <c r="I107" i="24"/>
  <c r="I74" i="24"/>
  <c r="H131" i="24"/>
  <c r="H132" i="24" s="1"/>
  <c r="I152" i="24"/>
  <c r="I96" i="24"/>
  <c r="H65" i="24"/>
  <c r="H66" i="24" s="1"/>
  <c r="H98" i="24"/>
  <c r="H99" i="24" s="1"/>
  <c r="H153" i="24"/>
  <c r="H154" i="24" s="1"/>
  <c r="I85" i="24"/>
  <c r="I64" i="24"/>
  <c r="I130" i="24"/>
  <c r="I119" i="24"/>
  <c r="I63" i="24"/>
  <c r="I141" i="24"/>
  <c r="H109" i="24"/>
  <c r="H110" i="24" s="1"/>
  <c r="H54" i="24"/>
  <c r="H55" i="24" s="1"/>
  <c r="I174" i="24"/>
  <c r="I140" i="24"/>
  <c r="H76" i="24"/>
  <c r="H77" i="24" s="1"/>
  <c r="I52" i="24"/>
  <c r="J45" i="24"/>
  <c r="J46" i="24" s="1"/>
  <c r="K7" i="24"/>
  <c r="H176" i="24"/>
  <c r="I176" i="23"/>
  <c r="J174" i="23"/>
  <c r="J140" i="23"/>
  <c r="J164" i="23"/>
  <c r="J175" i="23"/>
  <c r="J162" i="23"/>
  <c r="J173" i="23"/>
  <c r="J163" i="23"/>
  <c r="J129" i="23"/>
  <c r="J151" i="23"/>
  <c r="I153" i="23"/>
  <c r="I154" i="23" s="1"/>
  <c r="J152" i="23"/>
  <c r="I142" i="23"/>
  <c r="I143" i="23" s="1"/>
  <c r="I120" i="23"/>
  <c r="I121" i="23" s="1"/>
  <c r="J119" i="23"/>
  <c r="J141" i="23"/>
  <c r="J130" i="23"/>
  <c r="J118" i="23"/>
  <c r="J85" i="23"/>
  <c r="I65" i="23"/>
  <c r="I66" i="23" s="1"/>
  <c r="I131" i="23"/>
  <c r="I132" i="23" s="1"/>
  <c r="I109" i="23"/>
  <c r="I110" i="23" s="1"/>
  <c r="J86" i="23"/>
  <c r="J108" i="23"/>
  <c r="J107" i="23"/>
  <c r="I98" i="23"/>
  <c r="J97" i="23"/>
  <c r="I87" i="23"/>
  <c r="I88" i="23" s="1"/>
  <c r="J64" i="23"/>
  <c r="J96" i="23"/>
  <c r="I54" i="23"/>
  <c r="I55" i="23" s="1"/>
  <c r="J74" i="23"/>
  <c r="J75" i="23"/>
  <c r="J53" i="23"/>
  <c r="I76" i="23"/>
  <c r="I77" i="23" s="1"/>
  <c r="J63" i="23"/>
  <c r="J52" i="23"/>
  <c r="I99" i="23"/>
  <c r="I165" i="23"/>
  <c r="K45" i="23"/>
  <c r="K46" i="23" s="1"/>
  <c r="L7" i="23"/>
  <c r="I165" i="22"/>
  <c r="K45" i="22"/>
  <c r="K46" i="22" s="1"/>
  <c r="L7" i="22"/>
  <c r="J174" i="22"/>
  <c r="J140" i="22"/>
  <c r="J164" i="22"/>
  <c r="J175" i="22"/>
  <c r="J162" i="22"/>
  <c r="J173" i="22"/>
  <c r="J163" i="22"/>
  <c r="J151" i="22"/>
  <c r="I153" i="22"/>
  <c r="I154" i="22" s="1"/>
  <c r="J152" i="22"/>
  <c r="I142" i="22"/>
  <c r="I143" i="22" s="1"/>
  <c r="J141" i="22"/>
  <c r="J118" i="22"/>
  <c r="I131" i="22"/>
  <c r="I132" i="22" s="1"/>
  <c r="I109" i="22"/>
  <c r="I110" i="22" s="1"/>
  <c r="J107" i="22"/>
  <c r="I120" i="22"/>
  <c r="I121" i="22" s="1"/>
  <c r="J119" i="22"/>
  <c r="J129" i="22"/>
  <c r="J130" i="22"/>
  <c r="I98" i="22"/>
  <c r="I99" i="22" s="1"/>
  <c r="J74" i="22"/>
  <c r="I87" i="22"/>
  <c r="I88" i="22" s="1"/>
  <c r="J64" i="22"/>
  <c r="J53" i="22"/>
  <c r="J52" i="22"/>
  <c r="J97" i="22"/>
  <c r="J85" i="22"/>
  <c r="J75" i="22"/>
  <c r="J108" i="22"/>
  <c r="J96" i="22"/>
  <c r="J86" i="22"/>
  <c r="I76" i="22"/>
  <c r="I77" i="22" s="1"/>
  <c r="I54" i="22"/>
  <c r="I55" i="22" s="1"/>
  <c r="J63" i="22"/>
  <c r="I65" i="22"/>
  <c r="I66" i="22" s="1"/>
  <c r="J174" i="21"/>
  <c r="I153" i="21"/>
  <c r="I154" i="21" s="1"/>
  <c r="J164" i="21"/>
  <c r="J151" i="21"/>
  <c r="J175" i="21"/>
  <c r="J162" i="21"/>
  <c r="J141" i="21"/>
  <c r="J173" i="21"/>
  <c r="J152" i="21"/>
  <c r="J163" i="21"/>
  <c r="J140" i="21"/>
  <c r="J119" i="21"/>
  <c r="I142" i="21"/>
  <c r="I143" i="21" s="1"/>
  <c r="J130" i="21"/>
  <c r="I109" i="21"/>
  <c r="I110" i="21" s="1"/>
  <c r="I120" i="21"/>
  <c r="I121" i="21" s="1"/>
  <c r="J96" i="21"/>
  <c r="J108" i="21"/>
  <c r="J118" i="21"/>
  <c r="J129" i="21"/>
  <c r="I131" i="21"/>
  <c r="I132" i="21" s="1"/>
  <c r="J85" i="21"/>
  <c r="J97" i="21"/>
  <c r="J74" i="21"/>
  <c r="J107" i="21"/>
  <c r="J86" i="21"/>
  <c r="I98" i="21"/>
  <c r="I99" i="21" s="1"/>
  <c r="J75" i="21"/>
  <c r="J64" i="21"/>
  <c r="I54" i="21"/>
  <c r="I55" i="21" s="1"/>
  <c r="I76" i="21"/>
  <c r="I77" i="21" s="1"/>
  <c r="J63" i="21"/>
  <c r="I87" i="21"/>
  <c r="I88" i="21" s="1"/>
  <c r="I65" i="21"/>
  <c r="I66" i="21" s="1"/>
  <c r="J52" i="21"/>
  <c r="J53" i="21"/>
  <c r="L7" i="21"/>
  <c r="K45" i="21"/>
  <c r="K46" i="21" s="1"/>
  <c r="I176" i="21"/>
  <c r="J165" i="20"/>
  <c r="K164" i="20"/>
  <c r="K151" i="20"/>
  <c r="K175" i="20"/>
  <c r="K162" i="20"/>
  <c r="K173" i="20"/>
  <c r="K163" i="20"/>
  <c r="K141" i="20"/>
  <c r="K152" i="20"/>
  <c r="K107" i="20"/>
  <c r="K118" i="20"/>
  <c r="K140" i="20"/>
  <c r="K129" i="20"/>
  <c r="J153" i="20"/>
  <c r="J154" i="20" s="1"/>
  <c r="J142" i="20"/>
  <c r="J143" i="20" s="1"/>
  <c r="K119" i="20"/>
  <c r="K174" i="20"/>
  <c r="K74" i="20"/>
  <c r="J109" i="20"/>
  <c r="J110" i="20" s="1"/>
  <c r="J120" i="20"/>
  <c r="J121" i="20" s="1"/>
  <c r="J98" i="20"/>
  <c r="J99" i="20" s="1"/>
  <c r="J87" i="20"/>
  <c r="J88" i="20" s="1"/>
  <c r="K108" i="20"/>
  <c r="J131" i="20"/>
  <c r="J132" i="20" s="1"/>
  <c r="K130" i="20"/>
  <c r="K86" i="20"/>
  <c r="K97" i="20"/>
  <c r="K85" i="20"/>
  <c r="K96" i="20"/>
  <c r="K53" i="20"/>
  <c r="J54" i="20"/>
  <c r="J55" i="20" s="1"/>
  <c r="K63" i="20"/>
  <c r="J76" i="20"/>
  <c r="J77" i="20" s="1"/>
  <c r="K64" i="20"/>
  <c r="K75" i="20"/>
  <c r="J65" i="20"/>
  <c r="J66" i="20" s="1"/>
  <c r="K52" i="20"/>
  <c r="L45" i="20"/>
  <c r="L46" i="20" s="1"/>
  <c r="M7" i="20"/>
  <c r="J174" i="19"/>
  <c r="I153" i="19"/>
  <c r="I154" i="19" s="1"/>
  <c r="J164" i="19"/>
  <c r="J151" i="19"/>
  <c r="J175" i="19"/>
  <c r="J162" i="19"/>
  <c r="J173" i="19"/>
  <c r="J152" i="19"/>
  <c r="J118" i="19"/>
  <c r="I142" i="19"/>
  <c r="I143" i="19" s="1"/>
  <c r="J141" i="19"/>
  <c r="J163" i="19"/>
  <c r="J140" i="19"/>
  <c r="I109" i="19"/>
  <c r="I110" i="19" s="1"/>
  <c r="J107" i="19"/>
  <c r="J86" i="19"/>
  <c r="I131" i="19"/>
  <c r="I132" i="19" s="1"/>
  <c r="J130" i="19"/>
  <c r="J129" i="19"/>
  <c r="I120" i="19"/>
  <c r="I121" i="19" s="1"/>
  <c r="J85" i="19"/>
  <c r="J119" i="19"/>
  <c r="J108" i="19"/>
  <c r="J75" i="19"/>
  <c r="I87" i="19"/>
  <c r="I88" i="19" s="1"/>
  <c r="I98" i="19"/>
  <c r="I99" i="19" s="1"/>
  <c r="J97" i="19"/>
  <c r="J96" i="19"/>
  <c r="I76" i="19"/>
  <c r="I77" i="19" s="1"/>
  <c r="J74" i="19"/>
  <c r="I54" i="19"/>
  <c r="I55" i="19" s="1"/>
  <c r="J63" i="19"/>
  <c r="J53" i="19"/>
  <c r="I65" i="19"/>
  <c r="I66" i="19" s="1"/>
  <c r="J52" i="19"/>
  <c r="J64" i="19"/>
  <c r="I165" i="19"/>
  <c r="K45" i="19"/>
  <c r="K46" i="19" s="1"/>
  <c r="L7" i="19"/>
  <c r="J176" i="16"/>
  <c r="J165" i="16"/>
  <c r="J153" i="16"/>
  <c r="J154" i="16" s="1"/>
  <c r="K164" i="16"/>
  <c r="K151" i="16"/>
  <c r="K175" i="16"/>
  <c r="K162" i="16"/>
  <c r="K173" i="16"/>
  <c r="K163" i="16"/>
  <c r="K141" i="16"/>
  <c r="K130" i="16"/>
  <c r="K140" i="16"/>
  <c r="J142" i="16"/>
  <c r="J143" i="16" s="1"/>
  <c r="K152" i="16"/>
  <c r="J131" i="16"/>
  <c r="J132" i="16" s="1"/>
  <c r="J120" i="16"/>
  <c r="J121" i="16" s="1"/>
  <c r="K96" i="16"/>
  <c r="K119" i="16"/>
  <c r="J109" i="16"/>
  <c r="J110" i="16" s="1"/>
  <c r="K174" i="16"/>
  <c r="K118" i="16"/>
  <c r="K129" i="16"/>
  <c r="K108" i="16"/>
  <c r="K97" i="16"/>
  <c r="J87" i="16"/>
  <c r="J88" i="16" s="1"/>
  <c r="K107" i="16"/>
  <c r="K86" i="16"/>
  <c r="J98" i="16"/>
  <c r="J99" i="16" s="1"/>
  <c r="K85" i="16"/>
  <c r="K53" i="16"/>
  <c r="K52" i="16"/>
  <c r="K74" i="16"/>
  <c r="K63" i="16"/>
  <c r="K75" i="16"/>
  <c r="J76" i="16"/>
  <c r="J77" i="16" s="1"/>
  <c r="J65" i="16"/>
  <c r="J66" i="16" s="1"/>
  <c r="K64" i="16"/>
  <c r="J54" i="16"/>
  <c r="J55" i="16" s="1"/>
  <c r="M7" i="16"/>
  <c r="L45" i="16"/>
  <c r="L46" i="16" s="1"/>
  <c r="I176" i="15"/>
  <c r="K45" i="15"/>
  <c r="K46" i="15" s="1"/>
  <c r="L7" i="15"/>
  <c r="J174" i="15"/>
  <c r="I153" i="15"/>
  <c r="I154" i="15" s="1"/>
  <c r="J164" i="15"/>
  <c r="J175" i="15"/>
  <c r="J162" i="15"/>
  <c r="J173" i="15"/>
  <c r="J152" i="15"/>
  <c r="J163" i="15"/>
  <c r="I142" i="15"/>
  <c r="I143" i="15" s="1"/>
  <c r="J151" i="15"/>
  <c r="J141" i="15"/>
  <c r="J140" i="15"/>
  <c r="J129" i="15"/>
  <c r="J119" i="15"/>
  <c r="J130" i="15"/>
  <c r="J108" i="15"/>
  <c r="I87" i="15"/>
  <c r="I88" i="15" s="1"/>
  <c r="I120" i="15"/>
  <c r="I121" i="15" s="1"/>
  <c r="I131" i="15"/>
  <c r="I132" i="15" s="1"/>
  <c r="I109" i="15"/>
  <c r="I110" i="15" s="1"/>
  <c r="J118" i="15"/>
  <c r="J107" i="15"/>
  <c r="J96" i="15"/>
  <c r="J97" i="15"/>
  <c r="J86" i="15"/>
  <c r="J63" i="15"/>
  <c r="I98" i="15"/>
  <c r="I99" i="15" s="1"/>
  <c r="I65" i="15"/>
  <c r="I66" i="15" s="1"/>
  <c r="J74" i="15"/>
  <c r="J75" i="15"/>
  <c r="I76" i="15"/>
  <c r="I77" i="15" s="1"/>
  <c r="I54" i="15"/>
  <c r="I55" i="15" s="1"/>
  <c r="J85" i="15"/>
  <c r="J53" i="15"/>
  <c r="J52" i="15"/>
  <c r="J64" i="15"/>
  <c r="J174" i="14"/>
  <c r="J140" i="14"/>
  <c r="J164" i="14"/>
  <c r="J175" i="14"/>
  <c r="J162" i="14"/>
  <c r="J173" i="14"/>
  <c r="J163" i="14"/>
  <c r="J152" i="14"/>
  <c r="J151" i="14"/>
  <c r="I120" i="14"/>
  <c r="I121" i="14" s="1"/>
  <c r="J108" i="14"/>
  <c r="J63" i="14"/>
  <c r="I131" i="14"/>
  <c r="I132" i="14" s="1"/>
  <c r="J119" i="14"/>
  <c r="J130" i="14"/>
  <c r="I142" i="14"/>
  <c r="I143" i="14" s="1"/>
  <c r="J129" i="14"/>
  <c r="I153" i="14"/>
  <c r="I154" i="14" s="1"/>
  <c r="J118" i="14"/>
  <c r="I109" i="14"/>
  <c r="I110" i="14" s="1"/>
  <c r="I87" i="14"/>
  <c r="I88" i="14" s="1"/>
  <c r="J96" i="14"/>
  <c r="J86" i="14"/>
  <c r="I65" i="14"/>
  <c r="I66" i="14" s="1"/>
  <c r="J97" i="14"/>
  <c r="J85" i="14"/>
  <c r="J141" i="14"/>
  <c r="I98" i="14"/>
  <c r="I99" i="14" s="1"/>
  <c r="I76" i="14"/>
  <c r="I77" i="14" s="1"/>
  <c r="J75" i="14"/>
  <c r="J74" i="14"/>
  <c r="J64" i="14"/>
  <c r="J53" i="14"/>
  <c r="J52" i="14"/>
  <c r="I54" i="14"/>
  <c r="I55" i="14" s="1"/>
  <c r="J107" i="14"/>
  <c r="L7" i="14"/>
  <c r="K45" i="14"/>
  <c r="K46" i="14" s="1"/>
  <c r="I176" i="14"/>
  <c r="I165" i="14"/>
  <c r="D169" i="1"/>
  <c r="P169" i="1"/>
  <c r="AB169" i="1"/>
  <c r="I168" i="1"/>
  <c r="U168" i="1"/>
  <c r="AG168" i="1"/>
  <c r="N158" i="1"/>
  <c r="Z158" i="1"/>
  <c r="G157" i="1"/>
  <c r="S157" i="1"/>
  <c r="AE157" i="1"/>
  <c r="X158" i="1"/>
  <c r="E169" i="1"/>
  <c r="Q169" i="1"/>
  <c r="AC169" i="1"/>
  <c r="J168" i="1"/>
  <c r="V168" i="1"/>
  <c r="C168" i="1"/>
  <c r="O158" i="1"/>
  <c r="AA158" i="1"/>
  <c r="H157" i="1"/>
  <c r="T157" i="1"/>
  <c r="AF157" i="1"/>
  <c r="Z157" i="1"/>
  <c r="E157" i="1"/>
  <c r="AD157" i="1"/>
  <c r="F169" i="1"/>
  <c r="R169" i="1"/>
  <c r="AD169" i="1"/>
  <c r="K168" i="1"/>
  <c r="W168" i="1"/>
  <c r="D158" i="1"/>
  <c r="P158" i="1"/>
  <c r="AB158" i="1"/>
  <c r="I157" i="1"/>
  <c r="U157" i="1"/>
  <c r="AG157" i="1"/>
  <c r="M157" i="1"/>
  <c r="L158" i="1"/>
  <c r="R157" i="1"/>
  <c r="G169" i="1"/>
  <c r="S169" i="1"/>
  <c r="AE169" i="1"/>
  <c r="L168" i="1"/>
  <c r="X168" i="1"/>
  <c r="E158" i="1"/>
  <c r="Q158" i="1"/>
  <c r="AC158" i="1"/>
  <c r="J157" i="1"/>
  <c r="V157" i="1"/>
  <c r="C157" i="1"/>
  <c r="AF158" i="1"/>
  <c r="AA157" i="1"/>
  <c r="G168" i="1"/>
  <c r="O169" i="1"/>
  <c r="Y158" i="1"/>
  <c r="H169" i="1"/>
  <c r="T169" i="1"/>
  <c r="AF169" i="1"/>
  <c r="M168" i="1"/>
  <c r="Y168" i="1"/>
  <c r="F158" i="1"/>
  <c r="R158" i="1"/>
  <c r="AD158" i="1"/>
  <c r="K157" i="1"/>
  <c r="W157" i="1"/>
  <c r="AC157" i="1"/>
  <c r="I169" i="1"/>
  <c r="U169" i="1"/>
  <c r="AG169" i="1"/>
  <c r="N168" i="1"/>
  <c r="Z168" i="1"/>
  <c r="G158" i="1"/>
  <c r="S158" i="1"/>
  <c r="AE158" i="1"/>
  <c r="L157" i="1"/>
  <c r="X157" i="1"/>
  <c r="T168" i="1"/>
  <c r="J169" i="1"/>
  <c r="V169" i="1"/>
  <c r="C169" i="1"/>
  <c r="O168" i="1"/>
  <c r="AA168" i="1"/>
  <c r="H158" i="1"/>
  <c r="T158" i="1"/>
  <c r="Y157" i="1"/>
  <c r="H168" i="1"/>
  <c r="K169" i="1"/>
  <c r="W169" i="1"/>
  <c r="D168" i="1"/>
  <c r="P168" i="1"/>
  <c r="AB168" i="1"/>
  <c r="I158" i="1"/>
  <c r="U158" i="1"/>
  <c r="AG158" i="1"/>
  <c r="N157" i="1"/>
  <c r="AF168" i="1"/>
  <c r="L169" i="1"/>
  <c r="X169" i="1"/>
  <c r="E168" i="1"/>
  <c r="Q168" i="1"/>
  <c r="AC168" i="1"/>
  <c r="J158" i="1"/>
  <c r="V158" i="1"/>
  <c r="C158" i="1"/>
  <c r="O157" i="1"/>
  <c r="M169" i="1"/>
  <c r="Y169" i="1"/>
  <c r="F168" i="1"/>
  <c r="R168" i="1"/>
  <c r="AD168" i="1"/>
  <c r="K158" i="1"/>
  <c r="W158" i="1"/>
  <c r="D157" i="1"/>
  <c r="P157" i="1"/>
  <c r="AB157" i="1"/>
  <c r="N169" i="1"/>
  <c r="Z169" i="1"/>
  <c r="S168" i="1"/>
  <c r="AE168" i="1"/>
  <c r="Q157" i="1"/>
  <c r="AA169" i="1"/>
  <c r="M158" i="1"/>
  <c r="F157" i="1"/>
  <c r="AD48" i="1"/>
  <c r="AD58" i="1"/>
  <c r="AD70" i="1"/>
  <c r="AD80" i="1"/>
  <c r="AD92" i="1"/>
  <c r="AD102" i="1"/>
  <c r="AD114" i="1"/>
  <c r="AD124" i="1"/>
  <c r="AD136" i="1"/>
  <c r="AD146" i="1"/>
  <c r="Y47" i="1"/>
  <c r="Y59" i="1"/>
  <c r="Y69" i="1"/>
  <c r="Y81" i="1"/>
  <c r="Y91" i="1"/>
  <c r="Y103" i="1"/>
  <c r="Y113" i="1"/>
  <c r="Y125" i="1"/>
  <c r="Y135" i="1"/>
  <c r="Y147" i="1"/>
  <c r="Z47" i="1"/>
  <c r="Z59" i="1"/>
  <c r="Z69" i="1"/>
  <c r="Z81" i="1"/>
  <c r="Z91" i="1"/>
  <c r="Z103" i="1"/>
  <c r="Z113" i="1"/>
  <c r="Z125" i="1"/>
  <c r="Z135" i="1"/>
  <c r="Z147" i="1"/>
  <c r="AA47" i="1"/>
  <c r="AA59" i="1"/>
  <c r="AA69" i="1"/>
  <c r="AA81" i="1"/>
  <c r="AA91" i="1"/>
  <c r="AA103" i="1"/>
  <c r="AA113" i="1"/>
  <c r="AA125" i="1"/>
  <c r="AA135" i="1"/>
  <c r="AA147" i="1"/>
  <c r="AB125" i="1"/>
  <c r="AB135" i="1"/>
  <c r="AB137" i="1"/>
  <c r="AB139" i="1"/>
  <c r="AB147" i="1"/>
  <c r="AB47" i="1"/>
  <c r="AB59" i="1"/>
  <c r="AB69" i="1"/>
  <c r="AB81" i="1"/>
  <c r="AB91" i="1"/>
  <c r="AB103" i="1"/>
  <c r="AB113" i="1"/>
  <c r="AC47" i="1"/>
  <c r="AC59" i="1"/>
  <c r="AC69" i="1"/>
  <c r="AC81" i="1"/>
  <c r="AC91" i="1"/>
  <c r="AC103" i="1"/>
  <c r="AC113" i="1"/>
  <c r="AC125" i="1"/>
  <c r="AC135" i="1"/>
  <c r="AC147" i="1"/>
  <c r="AD47" i="1"/>
  <c r="AD59" i="1"/>
  <c r="AD69" i="1"/>
  <c r="AD81" i="1"/>
  <c r="AD91" i="1"/>
  <c r="AD103" i="1"/>
  <c r="AD113" i="1"/>
  <c r="AD125" i="1"/>
  <c r="AD135" i="1"/>
  <c r="AD147" i="1"/>
  <c r="Y48" i="1"/>
  <c r="Y58" i="1"/>
  <c r="Y70" i="1"/>
  <c r="Y80" i="1"/>
  <c r="Y92" i="1"/>
  <c r="Y102" i="1"/>
  <c r="Y114" i="1"/>
  <c r="Y124" i="1"/>
  <c r="Y136" i="1"/>
  <c r="Y146" i="1"/>
  <c r="Z48" i="1"/>
  <c r="Z58" i="1"/>
  <c r="Z70" i="1"/>
  <c r="Z80" i="1"/>
  <c r="Z92" i="1"/>
  <c r="Z102" i="1"/>
  <c r="Z114" i="1"/>
  <c r="Z124" i="1"/>
  <c r="Z136" i="1"/>
  <c r="Z146" i="1"/>
  <c r="Z170" i="1"/>
  <c r="Z172" i="1"/>
  <c r="AA136" i="1"/>
  <c r="AA146" i="1"/>
  <c r="AA48" i="1"/>
  <c r="AA58" i="1"/>
  <c r="AA70" i="1"/>
  <c r="AA80" i="1"/>
  <c r="AA92" i="1"/>
  <c r="AA102" i="1"/>
  <c r="AA114" i="1"/>
  <c r="AA124" i="1"/>
  <c r="AB48" i="1"/>
  <c r="AB58" i="1"/>
  <c r="AB70" i="1"/>
  <c r="AB80" i="1"/>
  <c r="AB82" i="1"/>
  <c r="AB84" i="1"/>
  <c r="AB92" i="1"/>
  <c r="AB102" i="1"/>
  <c r="AB104" i="1"/>
  <c r="AB106" i="1"/>
  <c r="AB114" i="1"/>
  <c r="AB124" i="1"/>
  <c r="AB136" i="1"/>
  <c r="AB146" i="1"/>
  <c r="AC170" i="1"/>
  <c r="AD172" i="1"/>
  <c r="AD170" i="1"/>
  <c r="AC48" i="1"/>
  <c r="AC114" i="1"/>
  <c r="AB170" i="1"/>
  <c r="AC102" i="1"/>
  <c r="Y161" i="1"/>
  <c r="AC92" i="1"/>
  <c r="AC172" i="1"/>
  <c r="AC80" i="1"/>
  <c r="AC146" i="1"/>
  <c r="Y172" i="1"/>
  <c r="Y170" i="1"/>
  <c r="AA172" i="1"/>
  <c r="AC70" i="1"/>
  <c r="AC136" i="1"/>
  <c r="Y159" i="1"/>
  <c r="AA170" i="1"/>
  <c r="AB172" i="1"/>
  <c r="AC58" i="1"/>
  <c r="AC124" i="1"/>
  <c r="N172" i="1"/>
  <c r="AF172" i="1"/>
  <c r="L170" i="1"/>
  <c r="X170" i="1"/>
  <c r="H161" i="1"/>
  <c r="K170" i="1"/>
  <c r="O172" i="1"/>
  <c r="AG172" i="1"/>
  <c r="M170" i="1"/>
  <c r="AE170" i="1"/>
  <c r="S172" i="1"/>
  <c r="D172" i="1"/>
  <c r="P172" i="1"/>
  <c r="N170" i="1"/>
  <c r="AF170" i="1"/>
  <c r="M161" i="1"/>
  <c r="E172" i="1"/>
  <c r="Q172" i="1"/>
  <c r="O170" i="1"/>
  <c r="AG170" i="1"/>
  <c r="E170" i="1"/>
  <c r="F172" i="1"/>
  <c r="R172" i="1"/>
  <c r="D170" i="1"/>
  <c r="P170" i="1"/>
  <c r="L161" i="1"/>
  <c r="AE172" i="1"/>
  <c r="Q170" i="1"/>
  <c r="H172" i="1"/>
  <c r="T172" i="1"/>
  <c r="F170" i="1"/>
  <c r="R170" i="1"/>
  <c r="I172" i="1"/>
  <c r="U172" i="1"/>
  <c r="S170" i="1"/>
  <c r="J172" i="1"/>
  <c r="V172" i="1"/>
  <c r="H170" i="1"/>
  <c r="T170" i="1"/>
  <c r="L172" i="1"/>
  <c r="J170" i="1"/>
  <c r="K172" i="1"/>
  <c r="W172" i="1"/>
  <c r="I170" i="1"/>
  <c r="U170" i="1"/>
  <c r="Q161" i="1"/>
  <c r="X172" i="1"/>
  <c r="V170" i="1"/>
  <c r="M172" i="1"/>
  <c r="W170" i="1"/>
  <c r="H159" i="1"/>
  <c r="M159" i="1"/>
  <c r="L159" i="1"/>
  <c r="Q159" i="1"/>
  <c r="AF148" i="1"/>
  <c r="J148" i="1"/>
  <c r="AH149" i="1"/>
  <c r="V147" i="1"/>
  <c r="S139" i="1"/>
  <c r="F147" i="1"/>
  <c r="U103" i="1"/>
  <c r="X136" i="1"/>
  <c r="L103" i="1"/>
  <c r="G102" i="1"/>
  <c r="M92" i="1"/>
  <c r="F80" i="1"/>
  <c r="AE135" i="1"/>
  <c r="AE146" i="1"/>
  <c r="O146" i="1"/>
  <c r="X124" i="1"/>
  <c r="N146" i="1"/>
  <c r="K135" i="1"/>
  <c r="AG146" i="1"/>
  <c r="E146" i="1"/>
  <c r="I135" i="1"/>
  <c r="Q114" i="1"/>
  <c r="I136" i="1"/>
  <c r="J150" i="1"/>
  <c r="C146" i="1"/>
  <c r="G135" i="1"/>
  <c r="G114" i="1"/>
  <c r="T147" i="1"/>
  <c r="P125" i="1"/>
  <c r="AF147" i="1"/>
  <c r="O113" i="1"/>
  <c r="AE147" i="1"/>
  <c r="E113" i="1"/>
  <c r="AL18" i="1"/>
  <c r="AY39" i="1"/>
  <c r="AZ39" i="1"/>
  <c r="AF136" i="1"/>
  <c r="J136" i="1"/>
  <c r="O135" i="1"/>
  <c r="AE124" i="1"/>
  <c r="S114" i="1"/>
  <c r="Q113" i="1"/>
  <c r="V103" i="1"/>
  <c r="O102" i="1"/>
  <c r="AE92" i="1"/>
  <c r="K70" i="1"/>
  <c r="X69" i="1"/>
  <c r="W147" i="1"/>
  <c r="AF146" i="1"/>
  <c r="F146" i="1"/>
  <c r="AF135" i="1"/>
  <c r="J135" i="1"/>
  <c r="N115" i="1"/>
  <c r="O114" i="1"/>
  <c r="M113" i="1"/>
  <c r="N106" i="1"/>
  <c r="T103" i="1"/>
  <c r="V92" i="1"/>
  <c r="T80" i="1"/>
  <c r="U147" i="1"/>
  <c r="D146" i="1"/>
  <c r="H135" i="1"/>
  <c r="X125" i="1"/>
  <c r="V124" i="1"/>
  <c r="AE117" i="1"/>
  <c r="F114" i="1"/>
  <c r="D113" i="1"/>
  <c r="G103" i="1"/>
  <c r="J92" i="1"/>
  <c r="D80" i="1"/>
  <c r="E114" i="1"/>
  <c r="C113" i="1"/>
  <c r="E103" i="1"/>
  <c r="I92" i="1"/>
  <c r="P136" i="1"/>
  <c r="O125" i="1"/>
  <c r="M124" i="1"/>
  <c r="D114" i="1"/>
  <c r="AF102" i="1"/>
  <c r="AF91" i="1"/>
  <c r="N84" i="1"/>
  <c r="N82" i="1"/>
  <c r="T146" i="1"/>
  <c r="N125" i="1"/>
  <c r="L124" i="1"/>
  <c r="AF114" i="1"/>
  <c r="AE102" i="1"/>
  <c r="V91" i="1"/>
  <c r="O136" i="1"/>
  <c r="N147" i="1"/>
  <c r="S146" i="1"/>
  <c r="N136" i="1"/>
  <c r="W135" i="1"/>
  <c r="M125" i="1"/>
  <c r="K124" i="1"/>
  <c r="T91" i="1"/>
  <c r="Q48" i="1"/>
  <c r="R147" i="1"/>
  <c r="M147" i="1"/>
  <c r="M136" i="1"/>
  <c r="V135" i="1"/>
  <c r="F128" i="1"/>
  <c r="H125" i="1"/>
  <c r="I124" i="1"/>
  <c r="N117" i="1"/>
  <c r="V114" i="1"/>
  <c r="W113" i="1"/>
  <c r="E104" i="1"/>
  <c r="R102" i="1"/>
  <c r="S93" i="1"/>
  <c r="R91" i="1"/>
  <c r="W81" i="1"/>
  <c r="P48" i="1"/>
  <c r="S147" i="1"/>
  <c r="R146" i="1"/>
  <c r="Q146" i="1"/>
  <c r="L136" i="1"/>
  <c r="E128" i="1"/>
  <c r="AE125" i="1"/>
  <c r="F125" i="1"/>
  <c r="G124" i="1"/>
  <c r="U114" i="1"/>
  <c r="V113" i="1"/>
  <c r="AF103" i="1"/>
  <c r="Q102" i="1"/>
  <c r="J91" i="1"/>
  <c r="U81" i="1"/>
  <c r="W70" i="1"/>
  <c r="U51" i="1"/>
  <c r="N47" i="1"/>
  <c r="N124" i="1"/>
  <c r="U146" i="1"/>
  <c r="H147" i="1"/>
  <c r="Q135" i="1"/>
  <c r="AG147" i="1"/>
  <c r="G147" i="1"/>
  <c r="P146" i="1"/>
  <c r="AG136" i="1"/>
  <c r="K136" i="1"/>
  <c r="P135" i="1"/>
  <c r="D128" i="1"/>
  <c r="AF124" i="1"/>
  <c r="T114" i="1"/>
  <c r="R113" i="1"/>
  <c r="W103" i="1"/>
  <c r="P102" i="1"/>
  <c r="D91" i="1"/>
  <c r="M81" i="1"/>
  <c r="R70" i="1"/>
  <c r="BA33" i="1"/>
  <c r="V59" i="1"/>
  <c r="V69" i="1"/>
  <c r="BA40" i="1"/>
  <c r="L69" i="1"/>
  <c r="Q58" i="1"/>
  <c r="AG51" i="1"/>
  <c r="AY34" i="1"/>
  <c r="AH127" i="1"/>
  <c r="AH123" i="1"/>
  <c r="AH116" i="1"/>
  <c r="AH90" i="1"/>
  <c r="AH134" i="1"/>
  <c r="J80" i="1"/>
  <c r="C81" i="1"/>
  <c r="D48" i="1"/>
  <c r="W124" i="1"/>
  <c r="G125" i="1"/>
  <c r="L102" i="1"/>
  <c r="Q103" i="1"/>
  <c r="J124" i="1"/>
  <c r="L125" i="1"/>
  <c r="M47" i="1"/>
  <c r="AG114" i="1"/>
  <c r="R114" i="1"/>
  <c r="C114" i="1"/>
  <c r="P113" i="1"/>
  <c r="S103" i="1"/>
  <c r="N102" i="1"/>
  <c r="G92" i="1"/>
  <c r="Q91" i="1"/>
  <c r="Q81" i="1"/>
  <c r="X80" i="1"/>
  <c r="Q70" i="1"/>
  <c r="T69" i="1"/>
  <c r="AF59" i="1"/>
  <c r="N48" i="1"/>
  <c r="K47" i="1"/>
  <c r="C47" i="1"/>
  <c r="O47" i="1"/>
  <c r="F48" i="1"/>
  <c r="R48" i="1"/>
  <c r="G58" i="1"/>
  <c r="S58" i="1"/>
  <c r="AE58" i="1"/>
  <c r="L59" i="1"/>
  <c r="X59" i="1"/>
  <c r="N69" i="1"/>
  <c r="G70" i="1"/>
  <c r="S70" i="1"/>
  <c r="O69" i="1"/>
  <c r="H70" i="1"/>
  <c r="T70" i="1"/>
  <c r="AF70" i="1"/>
  <c r="M80" i="1"/>
  <c r="F81" i="1"/>
  <c r="R81" i="1"/>
  <c r="K91" i="1"/>
  <c r="W91" i="1"/>
  <c r="D92" i="1"/>
  <c r="P92" i="1"/>
  <c r="I93" i="1"/>
  <c r="U93" i="1"/>
  <c r="S95" i="1"/>
  <c r="I102" i="1"/>
  <c r="U102" i="1"/>
  <c r="AG102" i="1"/>
  <c r="N103" i="1"/>
  <c r="E106" i="1"/>
  <c r="G113" i="1"/>
  <c r="S113" i="1"/>
  <c r="AE113" i="1"/>
  <c r="L114" i="1"/>
  <c r="X114" i="1"/>
  <c r="D124" i="1"/>
  <c r="P124" i="1"/>
  <c r="I125" i="1"/>
  <c r="U125" i="1"/>
  <c r="AG125" i="1"/>
  <c r="L135" i="1"/>
  <c r="X135" i="1"/>
  <c r="E136" i="1"/>
  <c r="Q136" i="1"/>
  <c r="T139" i="1"/>
  <c r="J146" i="1"/>
  <c r="V146" i="1"/>
  <c r="C147" i="1"/>
  <c r="O147" i="1"/>
  <c r="N80" i="1"/>
  <c r="G81" i="1"/>
  <c r="S81" i="1"/>
  <c r="AE81" i="1"/>
  <c r="L91" i="1"/>
  <c r="X91" i="1"/>
  <c r="E92" i="1"/>
  <c r="Q92" i="1"/>
  <c r="J102" i="1"/>
  <c r="V102" i="1"/>
  <c r="C103" i="1"/>
  <c r="O103" i="1"/>
  <c r="H113" i="1"/>
  <c r="T113" i="1"/>
  <c r="AF113" i="1"/>
  <c r="M114" i="1"/>
  <c r="E124" i="1"/>
  <c r="Q124" i="1"/>
  <c r="J125" i="1"/>
  <c r="V125" i="1"/>
  <c r="M135" i="1"/>
  <c r="F136" i="1"/>
  <c r="R136" i="1"/>
  <c r="U139" i="1"/>
  <c r="K146" i="1"/>
  <c r="W146" i="1"/>
  <c r="D147" i="1"/>
  <c r="P147" i="1"/>
  <c r="E69" i="1"/>
  <c r="Q69" i="1"/>
  <c r="J70" i="1"/>
  <c r="V70" i="1"/>
  <c r="C80" i="1"/>
  <c r="O80" i="1"/>
  <c r="H81" i="1"/>
  <c r="T81" i="1"/>
  <c r="AF81" i="1"/>
  <c r="M91" i="1"/>
  <c r="F92" i="1"/>
  <c r="R92" i="1"/>
  <c r="I95" i="1"/>
  <c r="U95" i="1"/>
  <c r="K102" i="1"/>
  <c r="W102" i="1"/>
  <c r="D103" i="1"/>
  <c r="P103" i="1"/>
  <c r="I113" i="1"/>
  <c r="U113" i="1"/>
  <c r="AG113" i="1"/>
  <c r="N114" i="1"/>
  <c r="AE115" i="1"/>
  <c r="F124" i="1"/>
  <c r="R124" i="1"/>
  <c r="K125" i="1"/>
  <c r="W125" i="1"/>
  <c r="D126" i="1"/>
  <c r="N135" i="1"/>
  <c r="G136" i="1"/>
  <c r="S136" i="1"/>
  <c r="AE136" i="1"/>
  <c r="L146" i="1"/>
  <c r="X146" i="1"/>
  <c r="E147" i="1"/>
  <c r="Q147" i="1"/>
  <c r="AF150" i="1"/>
  <c r="H47" i="1"/>
  <c r="T47" i="1"/>
  <c r="AF47" i="1"/>
  <c r="K48" i="1"/>
  <c r="W48" i="1"/>
  <c r="L58" i="1"/>
  <c r="X58" i="1"/>
  <c r="E59" i="1"/>
  <c r="Q59" i="1"/>
  <c r="G69" i="1"/>
  <c r="S69" i="1"/>
  <c r="AE69" i="1"/>
  <c r="L70" i="1"/>
  <c r="X70" i="1"/>
  <c r="E80" i="1"/>
  <c r="Q80" i="1"/>
  <c r="J81" i="1"/>
  <c r="V81" i="1"/>
  <c r="C91" i="1"/>
  <c r="O91" i="1"/>
  <c r="H92" i="1"/>
  <c r="T92" i="1"/>
  <c r="AF92" i="1"/>
  <c r="M102" i="1"/>
  <c r="F103" i="1"/>
  <c r="R103" i="1"/>
  <c r="I47" i="1"/>
  <c r="U47" i="1"/>
  <c r="AG47" i="1"/>
  <c r="L48" i="1"/>
  <c r="X48" i="1"/>
  <c r="K51" i="1"/>
  <c r="M58" i="1"/>
  <c r="F59" i="1"/>
  <c r="R59" i="1"/>
  <c r="J47" i="1"/>
  <c r="V47" i="1"/>
  <c r="M48" i="1"/>
  <c r="N58" i="1"/>
  <c r="G59" i="1"/>
  <c r="S59" i="1"/>
  <c r="AE59" i="1"/>
  <c r="I69" i="1"/>
  <c r="U69" i="1"/>
  <c r="AG69" i="1"/>
  <c r="N70" i="1"/>
  <c r="G80" i="1"/>
  <c r="S80" i="1"/>
  <c r="AE80" i="1"/>
  <c r="L81" i="1"/>
  <c r="X81" i="1"/>
  <c r="L47" i="1"/>
  <c r="X47" i="1"/>
  <c r="C48" i="1"/>
  <c r="O48" i="1"/>
  <c r="D58" i="1"/>
  <c r="P58" i="1"/>
  <c r="I59" i="1"/>
  <c r="U59" i="1"/>
  <c r="AG59" i="1"/>
  <c r="G62" i="1"/>
  <c r="K69" i="1"/>
  <c r="W69" i="1"/>
  <c r="D70" i="1"/>
  <c r="P70" i="1"/>
  <c r="I80" i="1"/>
  <c r="U80" i="1"/>
  <c r="AG80" i="1"/>
  <c r="N81" i="1"/>
  <c r="G91" i="1"/>
  <c r="S91" i="1"/>
  <c r="AE91" i="1"/>
  <c r="L92" i="1"/>
  <c r="X92" i="1"/>
  <c r="C92" i="1"/>
  <c r="P91" i="1"/>
  <c r="P81" i="1"/>
  <c r="W80" i="1"/>
  <c r="O70" i="1"/>
  <c r="R69" i="1"/>
  <c r="AH68" i="1"/>
  <c r="W58" i="1"/>
  <c r="J48" i="1"/>
  <c r="G47" i="1"/>
  <c r="H124" i="1"/>
  <c r="AE114" i="1"/>
  <c r="P114" i="1"/>
  <c r="N113" i="1"/>
  <c r="AG103" i="1"/>
  <c r="M103" i="1"/>
  <c r="H102" i="1"/>
  <c r="AH101" i="1"/>
  <c r="W92" i="1"/>
  <c r="AG91" i="1"/>
  <c r="N91" i="1"/>
  <c r="O81" i="1"/>
  <c r="V80" i="1"/>
  <c r="M70" i="1"/>
  <c r="M69" i="1"/>
  <c r="W59" i="1"/>
  <c r="R58" i="1"/>
  <c r="G49" i="1"/>
  <c r="G187" i="1" s="1"/>
  <c r="E48" i="1"/>
  <c r="AG87" i="1"/>
  <c r="AG142" i="1"/>
  <c r="AG54" i="1"/>
  <c r="L147" i="1"/>
  <c r="M146" i="1"/>
  <c r="W136" i="1"/>
  <c r="H136" i="1"/>
  <c r="U135" i="1"/>
  <c r="F135" i="1"/>
  <c r="G126" i="1"/>
  <c r="T125" i="1"/>
  <c r="E125" i="1"/>
  <c r="U124" i="1"/>
  <c r="C124" i="1"/>
  <c r="K114" i="1"/>
  <c r="L113" i="1"/>
  <c r="AE103" i="1"/>
  <c r="K103" i="1"/>
  <c r="F102" i="1"/>
  <c r="U92" i="1"/>
  <c r="I91" i="1"/>
  <c r="K81" i="1"/>
  <c r="R80" i="1"/>
  <c r="D71" i="1"/>
  <c r="F70" i="1"/>
  <c r="J69" i="1"/>
  <c r="T59" i="1"/>
  <c r="O58" i="1"/>
  <c r="K147" i="1"/>
  <c r="I146" i="1"/>
  <c r="U137" i="1"/>
  <c r="V136" i="1"/>
  <c r="D136" i="1"/>
  <c r="T135" i="1"/>
  <c r="E135" i="1"/>
  <c r="F126" i="1"/>
  <c r="S125" i="1"/>
  <c r="D125" i="1"/>
  <c r="T124" i="1"/>
  <c r="J114" i="1"/>
  <c r="K113" i="1"/>
  <c r="J103" i="1"/>
  <c r="X102" i="1"/>
  <c r="E102" i="1"/>
  <c r="S92" i="1"/>
  <c r="H91" i="1"/>
  <c r="AG81" i="1"/>
  <c r="I81" i="1"/>
  <c r="P80" i="1"/>
  <c r="AE70" i="1"/>
  <c r="E70" i="1"/>
  <c r="H69" i="1"/>
  <c r="U60" i="1"/>
  <c r="P59" i="1"/>
  <c r="K58" i="1"/>
  <c r="AX48" i="1"/>
  <c r="AZ48" i="1"/>
  <c r="AX47" i="1"/>
  <c r="AE47" i="1"/>
  <c r="J147" i="1"/>
  <c r="H146" i="1"/>
  <c r="AH145" i="1"/>
  <c r="T137" i="1"/>
  <c r="U136" i="1"/>
  <c r="C136" i="1"/>
  <c r="S135" i="1"/>
  <c r="D135" i="1"/>
  <c r="E126" i="1"/>
  <c r="R125" i="1"/>
  <c r="C125" i="1"/>
  <c r="S124" i="1"/>
  <c r="I114" i="1"/>
  <c r="J113" i="1"/>
  <c r="N104" i="1"/>
  <c r="I103" i="1"/>
  <c r="T102" i="1"/>
  <c r="D102" i="1"/>
  <c r="O92" i="1"/>
  <c r="F91" i="1"/>
  <c r="E81" i="1"/>
  <c r="L80" i="1"/>
  <c r="AH79" i="1"/>
  <c r="D73" i="1"/>
  <c r="C70" i="1"/>
  <c r="F69" i="1"/>
  <c r="K59" i="1"/>
  <c r="F58" i="1"/>
  <c r="BA38" i="1"/>
  <c r="X147" i="1"/>
  <c r="I147" i="1"/>
  <c r="G146" i="1"/>
  <c r="S137" i="1"/>
  <c r="T136" i="1"/>
  <c r="AG135" i="1"/>
  <c r="R135" i="1"/>
  <c r="C135" i="1"/>
  <c r="G128" i="1"/>
  <c r="AF125" i="1"/>
  <c r="Q125" i="1"/>
  <c r="AG124" i="1"/>
  <c r="O124" i="1"/>
  <c r="W114" i="1"/>
  <c r="H114" i="1"/>
  <c r="X113" i="1"/>
  <c r="F113" i="1"/>
  <c r="X103" i="1"/>
  <c r="H103" i="1"/>
  <c r="S102" i="1"/>
  <c r="C102" i="1"/>
  <c r="N92" i="1"/>
  <c r="E91" i="1"/>
  <c r="D81" i="1"/>
  <c r="K80" i="1"/>
  <c r="AF69" i="1"/>
  <c r="J59" i="1"/>
  <c r="E58" i="1"/>
  <c r="AW38" i="1"/>
  <c r="AZ38" i="1"/>
  <c r="U62" i="1"/>
  <c r="H59" i="1"/>
  <c r="C58" i="1"/>
  <c r="W47" i="1"/>
  <c r="AX38" i="1"/>
  <c r="AV38" i="1" s="1"/>
  <c r="AY38" i="1"/>
  <c r="AG92" i="1"/>
  <c r="K92" i="1"/>
  <c r="U91" i="1"/>
  <c r="AF80" i="1"/>
  <c r="H80" i="1"/>
  <c r="D59" i="1"/>
  <c r="V48" i="1"/>
  <c r="S47" i="1"/>
  <c r="AL10" i="1"/>
  <c r="AW39" i="1"/>
  <c r="BA39" i="1"/>
  <c r="BA37" i="1"/>
  <c r="AL9" i="1"/>
  <c r="AH105" i="1"/>
  <c r="AH61" i="1"/>
  <c r="AH112" i="1"/>
  <c r="AH94" i="1"/>
  <c r="O59" i="1"/>
  <c r="C59" i="1"/>
  <c r="V58" i="1"/>
  <c r="J58" i="1"/>
  <c r="K49" i="1"/>
  <c r="K187" i="1" s="1"/>
  <c r="AG48" i="1"/>
  <c r="U48" i="1"/>
  <c r="I48" i="1"/>
  <c r="R47" i="1"/>
  <c r="F47" i="1"/>
  <c r="AG70" i="1"/>
  <c r="U70" i="1"/>
  <c r="I70" i="1"/>
  <c r="P69" i="1"/>
  <c r="D69" i="1"/>
  <c r="G60" i="1"/>
  <c r="N59" i="1"/>
  <c r="AG58" i="1"/>
  <c r="U58" i="1"/>
  <c r="I58" i="1"/>
  <c r="G51" i="1"/>
  <c r="AF48" i="1"/>
  <c r="T48" i="1"/>
  <c r="H48" i="1"/>
  <c r="Q47" i="1"/>
  <c r="E47" i="1"/>
  <c r="BA32" i="1"/>
  <c r="AH138" i="1"/>
  <c r="AH83" i="1"/>
  <c r="C69" i="1"/>
  <c r="M59" i="1"/>
  <c r="AF58" i="1"/>
  <c r="T58" i="1"/>
  <c r="H58" i="1"/>
  <c r="AG49" i="1"/>
  <c r="AG187" i="1" s="1"/>
  <c r="U49" i="1"/>
  <c r="U187" i="1" s="1"/>
  <c r="AE48" i="1"/>
  <c r="S48" i="1"/>
  <c r="G48" i="1"/>
  <c r="P47" i="1"/>
  <c r="D47" i="1"/>
  <c r="AH57" i="1"/>
  <c r="AH50" i="1"/>
  <c r="AH156" i="1"/>
  <c r="AL16" i="1"/>
  <c r="AL15" i="1"/>
  <c r="AL14" i="1"/>
  <c r="AO51" i="1"/>
  <c r="AO52" i="1" s="1"/>
  <c r="AO53" i="1" s="1"/>
  <c r="AS51" i="1"/>
  <c r="AS52" i="1" s="1"/>
  <c r="AS53" i="1" s="1"/>
  <c r="AW51" i="1"/>
  <c r="BA51" i="1"/>
  <c r="BF51" i="1"/>
  <c r="BJ51" i="1"/>
  <c r="BN51" i="1"/>
  <c r="BR51" i="1"/>
  <c r="BR52" i="1" s="1"/>
  <c r="BR53" i="1" s="1"/>
  <c r="BR54" i="1" s="1"/>
  <c r="BV51" i="1"/>
  <c r="BV52" i="1" s="1"/>
  <c r="BV53" i="1" s="1"/>
  <c r="BV54" i="1" s="1"/>
  <c r="AP51" i="1"/>
  <c r="AP52" i="1" s="1"/>
  <c r="AP53" i="1" s="1"/>
  <c r="AT51" i="1"/>
  <c r="AT52" i="1" s="1"/>
  <c r="AT53" i="1" s="1"/>
  <c r="AX51" i="1"/>
  <c r="BB51" i="1"/>
  <c r="BG51" i="1"/>
  <c r="BK51" i="1"/>
  <c r="BO51" i="1"/>
  <c r="BO52" i="1" s="1"/>
  <c r="BO53" i="1" s="1"/>
  <c r="BO54" i="1" s="1"/>
  <c r="BS51" i="1"/>
  <c r="BS52" i="1" s="1"/>
  <c r="BS53" i="1" s="1"/>
  <c r="BS54" i="1" s="1"/>
  <c r="BW51" i="1"/>
  <c r="BW52" i="1" s="1"/>
  <c r="BW53" i="1" s="1"/>
  <c r="BW54" i="1" s="1"/>
  <c r="AN49" i="1"/>
  <c r="AQ51" i="1"/>
  <c r="AQ52" i="1" s="1"/>
  <c r="AQ53" i="1" s="1"/>
  <c r="AU51" i="1"/>
  <c r="AY51" i="1"/>
  <c r="BC51" i="1"/>
  <c r="BH51" i="1"/>
  <c r="BL51" i="1"/>
  <c r="BP51" i="1"/>
  <c r="BP52" i="1" s="1"/>
  <c r="BP53" i="1" s="1"/>
  <c r="BP54" i="1" s="1"/>
  <c r="BT51" i="1"/>
  <c r="BT52" i="1" s="1"/>
  <c r="BT53" i="1" s="1"/>
  <c r="BT54" i="1" s="1"/>
  <c r="BX51" i="1"/>
  <c r="BX52" i="1" s="1"/>
  <c r="BX53" i="1" s="1"/>
  <c r="BX54" i="1" s="1"/>
  <c r="BE45" i="1"/>
  <c r="AN51" i="1"/>
  <c r="AN52" i="1" s="1"/>
  <c r="AN53" i="1" s="1"/>
  <c r="AR51" i="1"/>
  <c r="AR52" i="1" s="1"/>
  <c r="AR53" i="1" s="1"/>
  <c r="AV51" i="1"/>
  <c r="AZ51" i="1"/>
  <c r="BD51" i="1"/>
  <c r="BI51" i="1"/>
  <c r="BM51" i="1"/>
  <c r="BQ51" i="1"/>
  <c r="BQ52" i="1" s="1"/>
  <c r="BQ53" i="1" s="1"/>
  <c r="BQ54" i="1" s="1"/>
  <c r="BU51" i="1"/>
  <c r="BU52" i="1" s="1"/>
  <c r="BU53" i="1" s="1"/>
  <c r="BU54" i="1" s="1"/>
  <c r="AL17" i="1"/>
  <c r="AL13" i="1"/>
  <c r="AL12" i="1"/>
  <c r="AL11" i="1"/>
  <c r="AH72" i="1"/>
  <c r="AX39" i="1"/>
  <c r="AV39" i="1" s="1"/>
  <c r="BA36" i="1"/>
  <c r="BA35" i="1"/>
  <c r="BA34" i="1"/>
  <c r="AV37" i="1" l="1"/>
  <c r="AU37" i="1" s="1"/>
  <c r="AT37" i="1" s="1"/>
  <c r="AS37" i="1" s="1"/>
  <c r="AO38" i="1"/>
  <c r="BB38" i="1" s="1"/>
  <c r="BC38" i="1" s="1"/>
  <c r="AO36" i="1"/>
  <c r="BB36" i="1" s="1"/>
  <c r="BC36" i="1" s="1"/>
  <c r="AO34" i="1"/>
  <c r="BB34" i="1" s="1"/>
  <c r="BC34" i="1" s="1"/>
  <c r="AO37" i="1"/>
  <c r="BB37" i="1" s="1"/>
  <c r="BC37" i="1" s="1"/>
  <c r="I165" i="17"/>
  <c r="AO35" i="1"/>
  <c r="BB35" i="1" s="1"/>
  <c r="BC35" i="1" s="1"/>
  <c r="AO39" i="1"/>
  <c r="BB39" i="1" s="1"/>
  <c r="BC39" i="1" s="1"/>
  <c r="AO40" i="1"/>
  <c r="BB40" i="1" s="1"/>
  <c r="BC40" i="1" s="1"/>
  <c r="I176" i="17"/>
  <c r="K45" i="17"/>
  <c r="K46" i="17" s="1"/>
  <c r="L7" i="17"/>
  <c r="J152" i="17"/>
  <c r="I98" i="17"/>
  <c r="I99" i="17" s="1"/>
  <c r="I54" i="17"/>
  <c r="I55" i="17" s="1"/>
  <c r="J151" i="17"/>
  <c r="J75" i="17"/>
  <c r="J64" i="17"/>
  <c r="J163" i="17"/>
  <c r="J129" i="17"/>
  <c r="J97" i="17"/>
  <c r="J53" i="17"/>
  <c r="I142" i="17"/>
  <c r="I143" i="17" s="1"/>
  <c r="J86" i="17"/>
  <c r="J52" i="17"/>
  <c r="J96" i="17"/>
  <c r="J141" i="17"/>
  <c r="I109" i="17"/>
  <c r="I110" i="17" s="1"/>
  <c r="J108" i="17"/>
  <c r="J174" i="17"/>
  <c r="J140" i="17"/>
  <c r="J74" i="17"/>
  <c r="J164" i="17"/>
  <c r="I120" i="17"/>
  <c r="I121" i="17" s="1"/>
  <c r="J85" i="17"/>
  <c r="J175" i="17"/>
  <c r="J130" i="17"/>
  <c r="I65" i="17"/>
  <c r="I66" i="17" s="1"/>
  <c r="J162" i="17"/>
  <c r="I131" i="17"/>
  <c r="I132" i="17" s="1"/>
  <c r="J119" i="17"/>
  <c r="J173" i="17"/>
  <c r="J107" i="17"/>
  <c r="I76" i="17"/>
  <c r="I77" i="17" s="1"/>
  <c r="I87" i="17"/>
  <c r="I88" i="17" s="1"/>
  <c r="I153" i="17"/>
  <c r="I154" i="17" s="1"/>
  <c r="J118" i="17"/>
  <c r="J63" i="17"/>
  <c r="AO32" i="1"/>
  <c r="BB32" i="1" s="1"/>
  <c r="BC32" i="1" s="1"/>
  <c r="AO33" i="1"/>
  <c r="BB33" i="1" s="1"/>
  <c r="BC33" i="1" s="1"/>
  <c r="AU38" i="1"/>
  <c r="AT38" i="1" s="1"/>
  <c r="AS38" i="1" s="1"/>
  <c r="AU39" i="1"/>
  <c r="AT39" i="1" s="1"/>
  <c r="AS39" i="1" s="1"/>
  <c r="AY36" i="1"/>
  <c r="AW36" i="1" s="1"/>
  <c r="AV36" i="1" s="1"/>
  <c r="AU36" i="1" s="1"/>
  <c r="AT36" i="1" s="1"/>
  <c r="AS36" i="1" s="1"/>
  <c r="I176" i="18"/>
  <c r="I165" i="18"/>
  <c r="L7" i="18"/>
  <c r="K45" i="18"/>
  <c r="K46" i="18" s="1"/>
  <c r="J174" i="18"/>
  <c r="J140" i="18"/>
  <c r="J107" i="18"/>
  <c r="I153" i="18"/>
  <c r="I154" i="18" s="1"/>
  <c r="I120" i="18"/>
  <c r="I121" i="18" s="1"/>
  <c r="J118" i="18"/>
  <c r="J164" i="18"/>
  <c r="J129" i="18"/>
  <c r="I76" i="18"/>
  <c r="I77" i="18" s="1"/>
  <c r="J151" i="18"/>
  <c r="I98" i="18"/>
  <c r="I99" i="18" s="1"/>
  <c r="J74" i="18"/>
  <c r="J52" i="18"/>
  <c r="J175" i="18"/>
  <c r="J64" i="18"/>
  <c r="I65" i="18"/>
  <c r="I66" i="18" s="1"/>
  <c r="J162" i="18"/>
  <c r="J97" i="18"/>
  <c r="J63" i="18"/>
  <c r="J173" i="18"/>
  <c r="J85" i="18"/>
  <c r="I54" i="18"/>
  <c r="I55" i="18" s="1"/>
  <c r="J152" i="18"/>
  <c r="I131" i="18"/>
  <c r="I132" i="18" s="1"/>
  <c r="J108" i="18"/>
  <c r="J163" i="18"/>
  <c r="I87" i="18"/>
  <c r="I88" i="18" s="1"/>
  <c r="J86" i="18"/>
  <c r="I142" i="18"/>
  <c r="I143" i="18" s="1"/>
  <c r="I109" i="18"/>
  <c r="I110" i="18" s="1"/>
  <c r="J75" i="18"/>
  <c r="J141" i="18"/>
  <c r="J96" i="18"/>
  <c r="J53" i="18"/>
  <c r="J119" i="18"/>
  <c r="J130" i="18"/>
  <c r="J176" i="14"/>
  <c r="J176" i="19"/>
  <c r="J165" i="19"/>
  <c r="J176" i="21"/>
  <c r="J176" i="23"/>
  <c r="I176" i="24"/>
  <c r="L7" i="24"/>
  <c r="K45" i="24"/>
  <c r="K46" i="24" s="1"/>
  <c r="J174" i="24"/>
  <c r="J152" i="24"/>
  <c r="J108" i="24"/>
  <c r="I98" i="24"/>
  <c r="I99" i="24" s="1"/>
  <c r="I153" i="24"/>
  <c r="I154" i="24" s="1"/>
  <c r="J129" i="24"/>
  <c r="J97" i="24"/>
  <c r="J164" i="24"/>
  <c r="I87" i="24"/>
  <c r="I88" i="24" s="1"/>
  <c r="J86" i="24"/>
  <c r="J118" i="24"/>
  <c r="J175" i="24"/>
  <c r="I142" i="24"/>
  <c r="I143" i="24" s="1"/>
  <c r="J74" i="24"/>
  <c r="J162" i="24"/>
  <c r="I120" i="24"/>
  <c r="I121" i="24" s="1"/>
  <c r="I76" i="24"/>
  <c r="I77" i="24" s="1"/>
  <c r="J173" i="24"/>
  <c r="J107" i="24"/>
  <c r="J75" i="24"/>
  <c r="J53" i="24"/>
  <c r="J52" i="24"/>
  <c r="J163" i="24"/>
  <c r="J96" i="24"/>
  <c r="J64" i="24"/>
  <c r="I131" i="24"/>
  <c r="I132" i="24" s="1"/>
  <c r="J130" i="24"/>
  <c r="J85" i="24"/>
  <c r="I65" i="24"/>
  <c r="I66" i="24" s="1"/>
  <c r="J140" i="24"/>
  <c r="J141" i="24"/>
  <c r="J119" i="24"/>
  <c r="J63" i="24"/>
  <c r="J151" i="24"/>
  <c r="I109" i="24"/>
  <c r="I110" i="24" s="1"/>
  <c r="I54" i="24"/>
  <c r="I55" i="24" s="1"/>
  <c r="I165" i="24"/>
  <c r="J165" i="23"/>
  <c r="J153" i="23"/>
  <c r="J154" i="23" s="1"/>
  <c r="K164" i="23"/>
  <c r="K175" i="23"/>
  <c r="K162" i="23"/>
  <c r="K173" i="23"/>
  <c r="K163" i="23"/>
  <c r="J131" i="23"/>
  <c r="J132" i="23" s="1"/>
  <c r="K151" i="23"/>
  <c r="K152" i="23"/>
  <c r="J142" i="23"/>
  <c r="J143" i="23" s="1"/>
  <c r="K141" i="23"/>
  <c r="J120" i="23"/>
  <c r="J121" i="23" s="1"/>
  <c r="K119" i="23"/>
  <c r="K108" i="23"/>
  <c r="K174" i="23"/>
  <c r="K118" i="23"/>
  <c r="K129" i="23"/>
  <c r="K140" i="23"/>
  <c r="K75" i="23"/>
  <c r="J109" i="23"/>
  <c r="J110" i="23" s="1"/>
  <c r="K86" i="23"/>
  <c r="K107" i="23"/>
  <c r="J98" i="23"/>
  <c r="J99" i="23" s="1"/>
  <c r="K130" i="23"/>
  <c r="K96" i="23"/>
  <c r="J87" i="23"/>
  <c r="J88" i="23" s="1"/>
  <c r="K64" i="23"/>
  <c r="J54" i="23"/>
  <c r="J55" i="23" s="1"/>
  <c r="K74" i="23"/>
  <c r="K53" i="23"/>
  <c r="J76" i="23"/>
  <c r="J77" i="23" s="1"/>
  <c r="K63" i="23"/>
  <c r="K85" i="23"/>
  <c r="K97" i="23"/>
  <c r="K52" i="23"/>
  <c r="J65" i="23"/>
  <c r="J66" i="23" s="1"/>
  <c r="L45" i="23"/>
  <c r="L46" i="23" s="1"/>
  <c r="M7" i="23"/>
  <c r="J165" i="22"/>
  <c r="J176" i="22"/>
  <c r="L45" i="22"/>
  <c r="L46" i="22" s="1"/>
  <c r="M7" i="22"/>
  <c r="J153" i="22"/>
  <c r="J154" i="22" s="1"/>
  <c r="K164" i="22"/>
  <c r="K175" i="22"/>
  <c r="K162" i="22"/>
  <c r="K173" i="22"/>
  <c r="K163" i="22"/>
  <c r="K151" i="22"/>
  <c r="K152" i="22"/>
  <c r="J142" i="22"/>
  <c r="J143" i="22" s="1"/>
  <c r="K141" i="22"/>
  <c r="K140" i="22"/>
  <c r="J131" i="22"/>
  <c r="J132" i="22" s="1"/>
  <c r="K129" i="22"/>
  <c r="K174" i="22"/>
  <c r="K97" i="22"/>
  <c r="J120" i="22"/>
  <c r="J121" i="22" s="1"/>
  <c r="K119" i="22"/>
  <c r="K130" i="22"/>
  <c r="K118" i="22"/>
  <c r="J109" i="22"/>
  <c r="J110" i="22" s="1"/>
  <c r="J87" i="22"/>
  <c r="J88" i="22" s="1"/>
  <c r="K85" i="22"/>
  <c r="J54" i="22"/>
  <c r="J55" i="22" s="1"/>
  <c r="K75" i="22"/>
  <c r="K107" i="22"/>
  <c r="K108" i="22"/>
  <c r="K96" i="22"/>
  <c r="K86" i="22"/>
  <c r="K64" i="22"/>
  <c r="K53" i="22"/>
  <c r="J98" i="22"/>
  <c r="J99" i="22" s="1"/>
  <c r="K63" i="22"/>
  <c r="K74" i="22"/>
  <c r="J65" i="22"/>
  <c r="J66" i="22" s="1"/>
  <c r="K52" i="22"/>
  <c r="J76" i="22"/>
  <c r="J77" i="22" s="1"/>
  <c r="J165" i="21"/>
  <c r="K164" i="21"/>
  <c r="K175" i="21"/>
  <c r="K162" i="21"/>
  <c r="K173" i="21"/>
  <c r="K152" i="21"/>
  <c r="K163" i="21"/>
  <c r="J142" i="21"/>
  <c r="J143" i="21" s="1"/>
  <c r="K151" i="21"/>
  <c r="K130" i="21"/>
  <c r="J153" i="21"/>
  <c r="J154" i="21" s="1"/>
  <c r="K141" i="21"/>
  <c r="K107" i="21"/>
  <c r="K118" i="21"/>
  <c r="J120" i="21"/>
  <c r="J121" i="21" s="1"/>
  <c r="J109" i="21"/>
  <c r="J110" i="21" s="1"/>
  <c r="K174" i="21"/>
  <c r="K140" i="21"/>
  <c r="K129" i="21"/>
  <c r="J131" i="21"/>
  <c r="J132" i="21" s="1"/>
  <c r="K119" i="21"/>
  <c r="K96" i="21"/>
  <c r="J76" i="21"/>
  <c r="J77" i="21" s="1"/>
  <c r="K97" i="21"/>
  <c r="J87" i="21"/>
  <c r="J88" i="21" s="1"/>
  <c r="K63" i="21"/>
  <c r="K108" i="21"/>
  <c r="K86" i="21"/>
  <c r="J98" i="21"/>
  <c r="J99" i="21" s="1"/>
  <c r="K85" i="21"/>
  <c r="K74" i="21"/>
  <c r="J65" i="21"/>
  <c r="J66" i="21" s="1"/>
  <c r="K75" i="21"/>
  <c r="K52" i="21"/>
  <c r="J54" i="21"/>
  <c r="J55" i="21" s="1"/>
  <c r="K53" i="21"/>
  <c r="K64" i="21"/>
  <c r="M7" i="21"/>
  <c r="L45" i="21"/>
  <c r="L46" i="21" s="1"/>
  <c r="N7" i="20"/>
  <c r="M45" i="20"/>
  <c r="M46" i="20" s="1"/>
  <c r="K153" i="20"/>
  <c r="K154" i="20" s="1"/>
  <c r="L164" i="20"/>
  <c r="L175" i="20"/>
  <c r="L162" i="20"/>
  <c r="L173" i="20"/>
  <c r="L163" i="20"/>
  <c r="L174" i="20"/>
  <c r="L141" i="20"/>
  <c r="L152" i="20"/>
  <c r="K120" i="20"/>
  <c r="K121" i="20" s="1"/>
  <c r="K131" i="20"/>
  <c r="K132" i="20" s="1"/>
  <c r="L140" i="20"/>
  <c r="L119" i="20"/>
  <c r="L151" i="20"/>
  <c r="K142" i="20"/>
  <c r="K143" i="20" s="1"/>
  <c r="L130" i="20"/>
  <c r="K109" i="20"/>
  <c r="K110" i="20" s="1"/>
  <c r="K98" i="20"/>
  <c r="K99" i="20" s="1"/>
  <c r="L85" i="20"/>
  <c r="L108" i="20"/>
  <c r="L129" i="20"/>
  <c r="L118" i="20"/>
  <c r="L107" i="20"/>
  <c r="K87" i="20"/>
  <c r="K88" i="20" s="1"/>
  <c r="L97" i="20"/>
  <c r="K65" i="20"/>
  <c r="K66" i="20" s="1"/>
  <c r="L86" i="20"/>
  <c r="L96" i="20"/>
  <c r="L75" i="20"/>
  <c r="K54" i="20"/>
  <c r="K55" i="20" s="1"/>
  <c r="L63" i="20"/>
  <c r="K76" i="20"/>
  <c r="K77" i="20" s="1"/>
  <c r="L64" i="20"/>
  <c r="L52" i="20"/>
  <c r="L74" i="20"/>
  <c r="L53" i="20"/>
  <c r="K176" i="20"/>
  <c r="K165" i="20"/>
  <c r="K164" i="19"/>
  <c r="K151" i="19"/>
  <c r="K175" i="19"/>
  <c r="K162" i="19"/>
  <c r="K173" i="19"/>
  <c r="K174" i="19"/>
  <c r="J131" i="19"/>
  <c r="J132" i="19" s="1"/>
  <c r="J142" i="19"/>
  <c r="J143" i="19" s="1"/>
  <c r="K141" i="19"/>
  <c r="K163" i="19"/>
  <c r="K130" i="19"/>
  <c r="K118" i="19"/>
  <c r="K152" i="19"/>
  <c r="K140" i="19"/>
  <c r="K107" i="19"/>
  <c r="K129" i="19"/>
  <c r="J120" i="19"/>
  <c r="J121" i="19" s="1"/>
  <c r="K119" i="19"/>
  <c r="J153" i="19"/>
  <c r="J154" i="19" s="1"/>
  <c r="K108" i="19"/>
  <c r="K75" i="19"/>
  <c r="J87" i="19"/>
  <c r="J88" i="19" s="1"/>
  <c r="J109" i="19"/>
  <c r="J110" i="19" s="1"/>
  <c r="J98" i="19"/>
  <c r="J99" i="19" s="1"/>
  <c r="K97" i="19"/>
  <c r="K86" i="19"/>
  <c r="K96" i="19"/>
  <c r="K74" i="19"/>
  <c r="J54" i="19"/>
  <c r="J55" i="19" s="1"/>
  <c r="J76" i="19"/>
  <c r="J77" i="19" s="1"/>
  <c r="K63" i="19"/>
  <c r="K53" i="19"/>
  <c r="K85" i="19"/>
  <c r="J65" i="19"/>
  <c r="J66" i="19" s="1"/>
  <c r="K52" i="19"/>
  <c r="K64" i="19"/>
  <c r="M7" i="19"/>
  <c r="L45" i="19"/>
  <c r="L46" i="19" s="1"/>
  <c r="N7" i="16"/>
  <c r="M45" i="16"/>
  <c r="M46" i="16" s="1"/>
  <c r="K176" i="16"/>
  <c r="K165" i="16"/>
  <c r="K153" i="16"/>
  <c r="K154" i="16" s="1"/>
  <c r="L164" i="16"/>
  <c r="L151" i="16"/>
  <c r="L175" i="16"/>
  <c r="L162" i="16"/>
  <c r="L141" i="16"/>
  <c r="L173" i="16"/>
  <c r="L174" i="16"/>
  <c r="L130" i="16"/>
  <c r="L140" i="16"/>
  <c r="K142" i="16"/>
  <c r="K143" i="16" s="1"/>
  <c r="L163" i="16"/>
  <c r="L152" i="16"/>
  <c r="L129" i="16"/>
  <c r="K120" i="16"/>
  <c r="K121" i="16" s="1"/>
  <c r="L119" i="16"/>
  <c r="K109" i="16"/>
  <c r="K110" i="16" s="1"/>
  <c r="L107" i="16"/>
  <c r="L118" i="16"/>
  <c r="K131" i="16"/>
  <c r="K132" i="16" s="1"/>
  <c r="L97" i="16"/>
  <c r="K87" i="16"/>
  <c r="K88" i="16" s="1"/>
  <c r="L86" i="16"/>
  <c r="K76" i="16"/>
  <c r="K77" i="16" s="1"/>
  <c r="K98" i="16"/>
  <c r="K99" i="16" s="1"/>
  <c r="L108" i="16"/>
  <c r="K65" i="16"/>
  <c r="K66" i="16" s="1"/>
  <c r="K54" i="16"/>
  <c r="K55" i="16" s="1"/>
  <c r="L74" i="16"/>
  <c r="L63" i="16"/>
  <c r="L75" i="16"/>
  <c r="L96" i="16"/>
  <c r="L64" i="16"/>
  <c r="L85" i="16"/>
  <c r="L53" i="16"/>
  <c r="L52" i="16"/>
  <c r="J176" i="15"/>
  <c r="K164" i="15"/>
  <c r="K151" i="15"/>
  <c r="K175" i="15"/>
  <c r="K162" i="15"/>
  <c r="K173" i="15"/>
  <c r="K152" i="15"/>
  <c r="K163" i="15"/>
  <c r="K141" i="15"/>
  <c r="J120" i="15"/>
  <c r="J121" i="15" s="1"/>
  <c r="K140" i="15"/>
  <c r="J153" i="15"/>
  <c r="J154" i="15" s="1"/>
  <c r="K119" i="15"/>
  <c r="K130" i="15"/>
  <c r="K108" i="15"/>
  <c r="K174" i="15"/>
  <c r="J87" i="15"/>
  <c r="J88" i="15" s="1"/>
  <c r="K85" i="15"/>
  <c r="J131" i="15"/>
  <c r="J132" i="15" s="1"/>
  <c r="K118" i="15"/>
  <c r="K107" i="15"/>
  <c r="J142" i="15"/>
  <c r="J143" i="15" s="1"/>
  <c r="K129" i="15"/>
  <c r="K96" i="15"/>
  <c r="K97" i="15"/>
  <c r="K86" i="15"/>
  <c r="J98" i="15"/>
  <c r="J99" i="15" s="1"/>
  <c r="K64" i="15"/>
  <c r="J65" i="15"/>
  <c r="J66" i="15" s="1"/>
  <c r="J109" i="15"/>
  <c r="J110" i="15" s="1"/>
  <c r="K74" i="15"/>
  <c r="K53" i="15"/>
  <c r="K75" i="15"/>
  <c r="J76" i="15"/>
  <c r="J77" i="15" s="1"/>
  <c r="J54" i="15"/>
  <c r="J55" i="15" s="1"/>
  <c r="K63" i="15"/>
  <c r="K52" i="15"/>
  <c r="J165" i="15"/>
  <c r="M7" i="15"/>
  <c r="L45" i="15"/>
  <c r="L46" i="15" s="1"/>
  <c r="J153" i="14"/>
  <c r="J154" i="14" s="1"/>
  <c r="K164" i="14"/>
  <c r="K175" i="14"/>
  <c r="K162" i="14"/>
  <c r="K173" i="14"/>
  <c r="K163" i="14"/>
  <c r="K152" i="14"/>
  <c r="K151" i="14"/>
  <c r="J120" i="14"/>
  <c r="J121" i="14" s="1"/>
  <c r="K130" i="14"/>
  <c r="K108" i="14"/>
  <c r="J87" i="14"/>
  <c r="J88" i="14" s="1"/>
  <c r="K64" i="14"/>
  <c r="K174" i="14"/>
  <c r="J131" i="14"/>
  <c r="J132" i="14" s="1"/>
  <c r="K119" i="14"/>
  <c r="K140" i="14"/>
  <c r="J142" i="14"/>
  <c r="J143" i="14" s="1"/>
  <c r="K129" i="14"/>
  <c r="K118" i="14"/>
  <c r="K141" i="14"/>
  <c r="J109" i="14"/>
  <c r="J110" i="14" s="1"/>
  <c r="K96" i="14"/>
  <c r="K86" i="14"/>
  <c r="J65" i="14"/>
  <c r="J66" i="14" s="1"/>
  <c r="K97" i="14"/>
  <c r="K85" i="14"/>
  <c r="J98" i="14"/>
  <c r="J99" i="14" s="1"/>
  <c r="J76" i="14"/>
  <c r="J77" i="14" s="1"/>
  <c r="K75" i="14"/>
  <c r="K74" i="14"/>
  <c r="K107" i="14"/>
  <c r="K53" i="14"/>
  <c r="K52" i="14"/>
  <c r="K63" i="14"/>
  <c r="J54" i="14"/>
  <c r="J55" i="14" s="1"/>
  <c r="J165" i="14"/>
  <c r="L45" i="14"/>
  <c r="L46" i="14" s="1"/>
  <c r="M7" i="14"/>
  <c r="AZ35" i="1"/>
  <c r="E95" i="1"/>
  <c r="AZ40" i="1"/>
  <c r="G172" i="1"/>
  <c r="G150" i="1"/>
  <c r="C172" i="1"/>
  <c r="H106" i="1"/>
  <c r="H128" i="1"/>
  <c r="H117" i="1"/>
  <c r="H51" i="1"/>
  <c r="AY40" i="1"/>
  <c r="AW40" i="1" s="1"/>
  <c r="AV40" i="1" s="1"/>
  <c r="C150" i="1"/>
  <c r="AX40" i="1"/>
  <c r="C128" i="1"/>
  <c r="F139" i="1"/>
  <c r="C117" i="1"/>
  <c r="AZ32" i="1"/>
  <c r="AX32" i="1" s="1"/>
  <c r="AV32" i="1" s="1"/>
  <c r="AH171" i="1"/>
  <c r="AW35" i="1"/>
  <c r="AV35" i="1" s="1"/>
  <c r="AU35" i="1" s="1"/>
  <c r="AT35" i="1" s="1"/>
  <c r="AS35" i="1" s="1"/>
  <c r="AZ37" i="1"/>
  <c r="AH178" i="1"/>
  <c r="AX34" i="1"/>
  <c r="AJ160" i="1"/>
  <c r="AY32" i="1"/>
  <c r="AW32" i="1" s="1"/>
  <c r="AZ36" i="1"/>
  <c r="AW34" i="1"/>
  <c r="AV34" i="1" s="1"/>
  <c r="AU34" i="1" s="1"/>
  <c r="AT34" i="1" s="1"/>
  <c r="AS34" i="1" s="1"/>
  <c r="AZ34" i="1"/>
  <c r="C73" i="1"/>
  <c r="C51" i="1"/>
  <c r="C84" i="1"/>
  <c r="AJ138" i="1"/>
  <c r="AY33" i="1"/>
  <c r="AW33" i="1" s="1"/>
  <c r="AV33" i="1" s="1"/>
  <c r="AX33" i="1"/>
  <c r="AX35" i="1"/>
  <c r="AY35" i="1"/>
  <c r="AJ149" i="1"/>
  <c r="AX37" i="1"/>
  <c r="AY37" i="1"/>
  <c r="AW37" i="1"/>
  <c r="AT47" i="1"/>
  <c r="AV47" i="1" s="1"/>
  <c r="C7" i="1" s="1"/>
  <c r="D7" i="1" s="1"/>
  <c r="AX36" i="1"/>
  <c r="AJ105" i="1"/>
  <c r="AJ116" i="1"/>
  <c r="AJ127" i="1"/>
  <c r="BX55" i="1"/>
  <c r="BX58" i="1"/>
  <c r="BX56" i="1"/>
  <c r="BX57" i="1"/>
  <c r="BO58" i="1"/>
  <c r="BO56" i="1"/>
  <c r="BO57" i="1"/>
  <c r="BO55" i="1"/>
  <c r="BR58" i="1"/>
  <c r="BR56" i="1"/>
  <c r="BR57" i="1"/>
  <c r="BR55" i="1"/>
  <c r="BT55" i="1"/>
  <c r="BT58" i="1"/>
  <c r="BT56" i="1"/>
  <c r="BT57" i="1"/>
  <c r="BU56" i="1"/>
  <c r="BU57" i="1"/>
  <c r="BU55" i="1"/>
  <c r="BU58" i="1"/>
  <c r="BP55" i="1"/>
  <c r="BP58" i="1"/>
  <c r="BP56" i="1"/>
  <c r="BP57" i="1"/>
  <c r="BW58" i="1"/>
  <c r="BW56" i="1"/>
  <c r="BW57" i="1"/>
  <c r="BW55" i="1"/>
  <c r="AT48" i="1"/>
  <c r="BQ56" i="1"/>
  <c r="BQ57" i="1"/>
  <c r="BQ55" i="1"/>
  <c r="BQ58" i="1"/>
  <c r="BS58" i="1"/>
  <c r="BS56" i="1"/>
  <c r="BS57" i="1"/>
  <c r="BS55" i="1"/>
  <c r="BV58" i="1"/>
  <c r="BV56" i="1"/>
  <c r="BV57" i="1"/>
  <c r="BV55" i="1"/>
  <c r="E150" i="1" l="1"/>
  <c r="U128" i="1"/>
  <c r="E62" i="1"/>
  <c r="G95" i="1"/>
  <c r="T161" i="1"/>
  <c r="V161" i="1"/>
  <c r="R161" i="1"/>
  <c r="AF161" i="1"/>
  <c r="O161" i="1"/>
  <c r="Y139" i="1"/>
  <c r="Z139" i="1"/>
  <c r="D161" i="1"/>
  <c r="E161" i="1"/>
  <c r="AC161" i="1"/>
  <c r="AD161" i="1"/>
  <c r="I161" i="1"/>
  <c r="W161" i="1"/>
  <c r="P161" i="1"/>
  <c r="M139" i="1"/>
  <c r="L139" i="1"/>
  <c r="N73" i="1"/>
  <c r="AB73" i="1"/>
  <c r="J73" i="1"/>
  <c r="D84" i="1"/>
  <c r="C95" i="1"/>
  <c r="E139" i="1"/>
  <c r="Q139" i="1"/>
  <c r="P150" i="1"/>
  <c r="F117" i="1"/>
  <c r="Z106" i="1"/>
  <c r="AA106" i="1"/>
  <c r="R150" i="1"/>
  <c r="AE106" i="1"/>
  <c r="X95" i="1"/>
  <c r="F95" i="1"/>
  <c r="AC73" i="1"/>
  <c r="W51" i="1"/>
  <c r="L51" i="1"/>
  <c r="I51" i="1"/>
  <c r="R51" i="1"/>
  <c r="M51" i="1"/>
  <c r="S73" i="1"/>
  <c r="Z51" i="1"/>
  <c r="AA51" i="1"/>
  <c r="J51" i="1"/>
  <c r="O73" i="1"/>
  <c r="AE51" i="1"/>
  <c r="AD73" i="1"/>
  <c r="AG73" i="1"/>
  <c r="AF51" i="1"/>
  <c r="P73" i="1"/>
  <c r="Q51" i="1"/>
  <c r="K73" i="1"/>
  <c r="V51" i="1"/>
  <c r="G73" i="1"/>
  <c r="Y73" i="1"/>
  <c r="T73" i="1"/>
  <c r="X73" i="1"/>
  <c r="Y106" i="1"/>
  <c r="T106" i="1"/>
  <c r="M95" i="1"/>
  <c r="AE95" i="1"/>
  <c r="AF95" i="1"/>
  <c r="AG106" i="1"/>
  <c r="V95" i="1"/>
  <c r="I73" i="1"/>
  <c r="W95" i="1"/>
  <c r="L95" i="1"/>
  <c r="O106" i="1"/>
  <c r="P106" i="1"/>
  <c r="H95" i="1"/>
  <c r="AD106" i="1"/>
  <c r="Q95" i="1"/>
  <c r="X106" i="1"/>
  <c r="F106" i="1"/>
  <c r="S106" i="1"/>
  <c r="J106" i="1"/>
  <c r="Z95" i="1"/>
  <c r="AA95" i="1"/>
  <c r="AC106" i="1"/>
  <c r="K106" i="1"/>
  <c r="R95" i="1"/>
  <c r="X150" i="1"/>
  <c r="W139" i="1"/>
  <c r="T84" i="1"/>
  <c r="AG84" i="1"/>
  <c r="AD150" i="1"/>
  <c r="F84" i="1"/>
  <c r="O117" i="1"/>
  <c r="V139" i="1"/>
  <c r="AB117" i="1"/>
  <c r="N150" i="1"/>
  <c r="K139" i="1"/>
  <c r="AC117" i="1"/>
  <c r="E84" i="1"/>
  <c r="G84" i="1"/>
  <c r="S84" i="1"/>
  <c r="AA117" i="1"/>
  <c r="D139" i="1"/>
  <c r="G161" i="1"/>
  <c r="Y84" i="1"/>
  <c r="Z62" i="1"/>
  <c r="I62" i="1"/>
  <c r="P84" i="1"/>
  <c r="M62" i="1"/>
  <c r="AA62" i="1"/>
  <c r="AC84" i="1"/>
  <c r="O84" i="1"/>
  <c r="R62" i="1"/>
  <c r="J84" i="1"/>
  <c r="Q62" i="1"/>
  <c r="D62" i="1"/>
  <c r="AD84" i="1"/>
  <c r="AB62" i="1"/>
  <c r="AG150" i="1"/>
  <c r="V62" i="1"/>
  <c r="K84" i="1"/>
  <c r="AF62" i="1"/>
  <c r="X84" i="1"/>
  <c r="L62" i="1"/>
  <c r="W62" i="1"/>
  <c r="AE62" i="1"/>
  <c r="H62" i="1"/>
  <c r="H73" i="1"/>
  <c r="C106" i="1"/>
  <c r="AC150" i="1"/>
  <c r="AG117" i="1"/>
  <c r="Q128" i="1"/>
  <c r="X117" i="1"/>
  <c r="K117" i="1"/>
  <c r="W128" i="1"/>
  <c r="P117" i="1"/>
  <c r="T117" i="1"/>
  <c r="Y117" i="1"/>
  <c r="AD117" i="1"/>
  <c r="N128" i="1"/>
  <c r="AE128" i="1"/>
  <c r="L128" i="1"/>
  <c r="Z128" i="1"/>
  <c r="AA128" i="1"/>
  <c r="R128" i="1"/>
  <c r="S117" i="1"/>
  <c r="O150" i="1"/>
  <c r="AF128" i="1"/>
  <c r="J117" i="1"/>
  <c r="I128" i="1"/>
  <c r="U117" i="1"/>
  <c r="V128" i="1"/>
  <c r="M128" i="1"/>
  <c r="F150" i="1"/>
  <c r="AC51" i="1"/>
  <c r="Z84" i="1"/>
  <c r="J161" i="1"/>
  <c r="K161" i="1"/>
  <c r="I117" i="1"/>
  <c r="V73" i="1"/>
  <c r="W73" i="1"/>
  <c r="X51" i="1"/>
  <c r="E73" i="1"/>
  <c r="S51" i="1"/>
  <c r="N51" i="1"/>
  <c r="AF73" i="1"/>
  <c r="P51" i="1"/>
  <c r="F73" i="1"/>
  <c r="O51" i="1"/>
  <c r="Y51" i="1"/>
  <c r="AB51" i="1"/>
  <c r="AD51" i="1"/>
  <c r="M73" i="1"/>
  <c r="G117" i="1"/>
  <c r="U73" i="1"/>
  <c r="AE73" i="1"/>
  <c r="T51" i="1"/>
  <c r="AA84" i="1"/>
  <c r="AG161" i="1"/>
  <c r="R84" i="1"/>
  <c r="Q84" i="1"/>
  <c r="L73" i="1"/>
  <c r="C139" i="1"/>
  <c r="D51" i="1"/>
  <c r="C62" i="1"/>
  <c r="AD128" i="1"/>
  <c r="Z161" i="1"/>
  <c r="V106" i="1"/>
  <c r="P95" i="1"/>
  <c r="N95" i="1"/>
  <c r="W106" i="1"/>
  <c r="Q117" i="1"/>
  <c r="M106" i="1"/>
  <c r="AF106" i="1"/>
  <c r="AA139" i="1"/>
  <c r="F161" i="1"/>
  <c r="D95" i="1"/>
  <c r="Y95" i="1"/>
  <c r="AC128" i="1"/>
  <c r="X161" i="1"/>
  <c r="T128" i="1"/>
  <c r="U106" i="1"/>
  <c r="S128" i="1"/>
  <c r="R117" i="1"/>
  <c r="O95" i="1"/>
  <c r="AG95" i="1"/>
  <c r="G106" i="1"/>
  <c r="I106" i="1"/>
  <c r="L106" i="1"/>
  <c r="AB128" i="1"/>
  <c r="K95" i="1"/>
  <c r="AE161" i="1"/>
  <c r="J95" i="1"/>
  <c r="AC139" i="1"/>
  <c r="Y150" i="1"/>
  <c r="Z150" i="1"/>
  <c r="O139" i="1"/>
  <c r="L150" i="1"/>
  <c r="AF139" i="1"/>
  <c r="H150" i="1"/>
  <c r="W150" i="1"/>
  <c r="V150" i="1"/>
  <c r="Q150" i="1"/>
  <c r="U161" i="1"/>
  <c r="S150" i="1"/>
  <c r="AA150" i="1"/>
  <c r="M150" i="1"/>
  <c r="AE150" i="1"/>
  <c r="AD139" i="1"/>
  <c r="I150" i="1"/>
  <c r="R139" i="1"/>
  <c r="K150" i="1"/>
  <c r="X139" i="1"/>
  <c r="AG139" i="1"/>
  <c r="T150" i="1"/>
  <c r="D150" i="1"/>
  <c r="AB150" i="1"/>
  <c r="P139" i="1"/>
  <c r="J139" i="1"/>
  <c r="N139" i="1"/>
  <c r="AD62" i="1"/>
  <c r="R73" i="1"/>
  <c r="AE84" i="1"/>
  <c r="E51" i="1"/>
  <c r="AF84" i="1"/>
  <c r="AC62" i="1"/>
  <c r="AG62" i="1"/>
  <c r="U84" i="1"/>
  <c r="M84" i="1"/>
  <c r="T62" i="1"/>
  <c r="Z73" i="1"/>
  <c r="AB161" i="1"/>
  <c r="Y62" i="1"/>
  <c r="P62" i="1"/>
  <c r="L84" i="1"/>
  <c r="N62" i="1"/>
  <c r="J62" i="1"/>
  <c r="V84" i="1"/>
  <c r="D117" i="1"/>
  <c r="W84" i="1"/>
  <c r="O62" i="1"/>
  <c r="Q73" i="1"/>
  <c r="F62" i="1"/>
  <c r="I84" i="1"/>
  <c r="X62" i="1"/>
  <c r="K62" i="1"/>
  <c r="AA73" i="1"/>
  <c r="S62" i="1"/>
  <c r="C161" i="1"/>
  <c r="H84" i="1"/>
  <c r="AC95" i="1"/>
  <c r="S161" i="1"/>
  <c r="D106" i="1"/>
  <c r="G139" i="1"/>
  <c r="W117" i="1"/>
  <c r="V117" i="1"/>
  <c r="U150" i="1"/>
  <c r="L117" i="1"/>
  <c r="K128" i="1"/>
  <c r="AE139" i="1"/>
  <c r="Q106" i="1"/>
  <c r="E117" i="1"/>
  <c r="Z117" i="1"/>
  <c r="AB95" i="1"/>
  <c r="AD95" i="1"/>
  <c r="Y128" i="1"/>
  <c r="N161" i="1"/>
  <c r="AG128" i="1"/>
  <c r="M117" i="1"/>
  <c r="O128" i="1"/>
  <c r="T95" i="1"/>
  <c r="X128" i="1"/>
  <c r="J128" i="1"/>
  <c r="AA161" i="1"/>
  <c r="P128" i="1"/>
  <c r="H139" i="1"/>
  <c r="R106" i="1"/>
  <c r="F51" i="1"/>
  <c r="AF117" i="1"/>
  <c r="I139" i="1"/>
  <c r="AR36" i="1"/>
  <c r="AN36" i="1"/>
  <c r="AN34" i="1"/>
  <c r="BD34" i="1" s="1"/>
  <c r="AR34" i="1"/>
  <c r="AU32" i="1"/>
  <c r="AT32" i="1" s="1"/>
  <c r="AS32" i="1" s="1"/>
  <c r="AR35" i="1"/>
  <c r="AN35" i="1"/>
  <c r="BD35" i="1" s="1"/>
  <c r="J176" i="17"/>
  <c r="AN37" i="1"/>
  <c r="AR37" i="1"/>
  <c r="J165" i="17"/>
  <c r="M7" i="17"/>
  <c r="L45" i="17"/>
  <c r="L46" i="17" s="1"/>
  <c r="J142" i="17"/>
  <c r="J143" i="17" s="1"/>
  <c r="K86" i="17"/>
  <c r="J65" i="17"/>
  <c r="J66" i="17" s="1"/>
  <c r="K141" i="17"/>
  <c r="J109" i="17"/>
  <c r="J110" i="17" s="1"/>
  <c r="K52" i="17"/>
  <c r="K140" i="17"/>
  <c r="K96" i="17"/>
  <c r="K108" i="17"/>
  <c r="K129" i="17"/>
  <c r="K74" i="17"/>
  <c r="K119" i="17"/>
  <c r="K64" i="17"/>
  <c r="K164" i="17"/>
  <c r="K174" i="17"/>
  <c r="K107" i="17"/>
  <c r="K175" i="17"/>
  <c r="K130" i="17"/>
  <c r="K85" i="17"/>
  <c r="K162" i="17"/>
  <c r="J153" i="17"/>
  <c r="J154" i="17" s="1"/>
  <c r="J76" i="17"/>
  <c r="J77" i="17" s="1"/>
  <c r="K173" i="17"/>
  <c r="K75" i="17"/>
  <c r="J87" i="17"/>
  <c r="J88" i="17" s="1"/>
  <c r="K163" i="17"/>
  <c r="J120" i="17"/>
  <c r="J121" i="17" s="1"/>
  <c r="K63" i="17"/>
  <c r="J98" i="17"/>
  <c r="J99" i="17" s="1"/>
  <c r="K152" i="17"/>
  <c r="K118" i="17"/>
  <c r="J54" i="17"/>
  <c r="J55" i="17" s="1"/>
  <c r="J131" i="17"/>
  <c r="J132" i="17" s="1"/>
  <c r="K151" i="17"/>
  <c r="K97" i="17"/>
  <c r="K53" i="17"/>
  <c r="AR38" i="1"/>
  <c r="AN38" i="1"/>
  <c r="BD38" i="1" s="1"/>
  <c r="BE32" i="1" s="1"/>
  <c r="AR39" i="1"/>
  <c r="AN39" i="1"/>
  <c r="AU40" i="1"/>
  <c r="AT40" i="1" s="1"/>
  <c r="AS40" i="1" s="1"/>
  <c r="AU33" i="1"/>
  <c r="AT33" i="1" s="1"/>
  <c r="AS33" i="1" s="1"/>
  <c r="J176" i="18"/>
  <c r="J165" i="18"/>
  <c r="K164" i="18"/>
  <c r="K97" i="18"/>
  <c r="J76" i="18"/>
  <c r="J77" i="18" s="1"/>
  <c r="K151" i="18"/>
  <c r="K174" i="18"/>
  <c r="K108" i="18"/>
  <c r="K52" i="18"/>
  <c r="K175" i="18"/>
  <c r="J87" i="18"/>
  <c r="J88" i="18" s="1"/>
  <c r="J98" i="18"/>
  <c r="J99" i="18" s="1"/>
  <c r="K162" i="18"/>
  <c r="J120" i="18"/>
  <c r="J121" i="18" s="1"/>
  <c r="K75" i="18"/>
  <c r="K129" i="18"/>
  <c r="K173" i="18"/>
  <c r="K119" i="18"/>
  <c r="K74" i="18"/>
  <c r="K163" i="18"/>
  <c r="J153" i="18"/>
  <c r="J154" i="18" s="1"/>
  <c r="J65" i="18"/>
  <c r="J66" i="18" s="1"/>
  <c r="J142" i="18"/>
  <c r="J143" i="18" s="1"/>
  <c r="K85" i="18"/>
  <c r="K63" i="18"/>
  <c r="K141" i="18"/>
  <c r="J131" i="18"/>
  <c r="J132" i="18" s="1"/>
  <c r="K86" i="18"/>
  <c r="K140" i="18"/>
  <c r="J109" i="18"/>
  <c r="J110" i="18" s="1"/>
  <c r="J54" i="18"/>
  <c r="J55" i="18" s="1"/>
  <c r="K107" i="18"/>
  <c r="K152" i="18"/>
  <c r="K96" i="18"/>
  <c r="K64" i="18"/>
  <c r="K118" i="18"/>
  <c r="K130" i="18"/>
  <c r="K53" i="18"/>
  <c r="M7" i="18"/>
  <c r="L45" i="18"/>
  <c r="L46" i="18" s="1"/>
  <c r="J165" i="24"/>
  <c r="K176" i="14"/>
  <c r="K176" i="15"/>
  <c r="K175" i="24"/>
  <c r="K85" i="24"/>
  <c r="K107" i="24"/>
  <c r="J142" i="24"/>
  <c r="J143" i="24" s="1"/>
  <c r="K162" i="24"/>
  <c r="K96" i="24"/>
  <c r="K86" i="24"/>
  <c r="K173" i="24"/>
  <c r="K174" i="24"/>
  <c r="K74" i="24"/>
  <c r="K163" i="24"/>
  <c r="J109" i="24"/>
  <c r="J110" i="24" s="1"/>
  <c r="J54" i="24"/>
  <c r="J55" i="24" s="1"/>
  <c r="K164" i="24"/>
  <c r="K63" i="24"/>
  <c r="K141" i="24"/>
  <c r="J98" i="24"/>
  <c r="J99" i="24" s="1"/>
  <c r="J76" i="24"/>
  <c r="J77" i="24" s="1"/>
  <c r="K97" i="24"/>
  <c r="J120" i="24"/>
  <c r="J121" i="24" s="1"/>
  <c r="J87" i="24"/>
  <c r="J88" i="24" s="1"/>
  <c r="K75" i="24"/>
  <c r="K119" i="24"/>
  <c r="K140" i="24"/>
  <c r="J153" i="24"/>
  <c r="J154" i="24" s="1"/>
  <c r="K64" i="24"/>
  <c r="J131" i="24"/>
  <c r="J132" i="24" s="1"/>
  <c r="K118" i="24"/>
  <c r="K53" i="24"/>
  <c r="K152" i="24"/>
  <c r="K130" i="24"/>
  <c r="K52" i="24"/>
  <c r="K129" i="24"/>
  <c r="K108" i="24"/>
  <c r="J65" i="24"/>
  <c r="J66" i="24" s="1"/>
  <c r="K151" i="24"/>
  <c r="L45" i="24"/>
  <c r="L46" i="24" s="1"/>
  <c r="M7" i="24"/>
  <c r="J176" i="24"/>
  <c r="K165" i="23"/>
  <c r="K153" i="23"/>
  <c r="K154" i="23" s="1"/>
  <c r="L164" i="23"/>
  <c r="L151" i="23"/>
  <c r="L175" i="23"/>
  <c r="L162" i="23"/>
  <c r="L173" i="23"/>
  <c r="L174" i="23"/>
  <c r="L163" i="23"/>
  <c r="L129" i="23"/>
  <c r="L152" i="23"/>
  <c r="K142" i="23"/>
  <c r="K143" i="23" s="1"/>
  <c r="L141" i="23"/>
  <c r="L119" i="23"/>
  <c r="L118" i="23"/>
  <c r="L130" i="23"/>
  <c r="K131" i="23"/>
  <c r="K132" i="23" s="1"/>
  <c r="K120" i="23"/>
  <c r="K121" i="23" s="1"/>
  <c r="K109" i="23"/>
  <c r="K110" i="23" s="1"/>
  <c r="L86" i="23"/>
  <c r="L140" i="23"/>
  <c r="L108" i="23"/>
  <c r="L107" i="23"/>
  <c r="K98" i="23"/>
  <c r="K99" i="23" s="1"/>
  <c r="K76" i="23"/>
  <c r="K77" i="23" s="1"/>
  <c r="L97" i="23"/>
  <c r="L85" i="23"/>
  <c r="L64" i="23"/>
  <c r="K54" i="23"/>
  <c r="K55" i="23" s="1"/>
  <c r="L96" i="23"/>
  <c r="L74" i="23"/>
  <c r="L53" i="23"/>
  <c r="L75" i="23"/>
  <c r="L63" i="23"/>
  <c r="K65" i="23"/>
  <c r="K66" i="23" s="1"/>
  <c r="L52" i="23"/>
  <c r="K87" i="23"/>
  <c r="K88" i="23" s="1"/>
  <c r="M45" i="23"/>
  <c r="M46" i="23" s="1"/>
  <c r="N7" i="23"/>
  <c r="K176" i="23"/>
  <c r="M45" i="22"/>
  <c r="M46" i="22" s="1"/>
  <c r="N7" i="22"/>
  <c r="K153" i="22"/>
  <c r="K154" i="22" s="1"/>
  <c r="L164" i="22"/>
  <c r="L151" i="22"/>
  <c r="L175" i="22"/>
  <c r="L162" i="22"/>
  <c r="L173" i="22"/>
  <c r="L163" i="22"/>
  <c r="L174" i="22"/>
  <c r="L152" i="22"/>
  <c r="K142" i="22"/>
  <c r="K143" i="22" s="1"/>
  <c r="L141" i="22"/>
  <c r="L140" i="22"/>
  <c r="L129" i="22"/>
  <c r="K120" i="22"/>
  <c r="K121" i="22" s="1"/>
  <c r="L119" i="22"/>
  <c r="L130" i="22"/>
  <c r="L118" i="22"/>
  <c r="K109" i="22"/>
  <c r="K110" i="22" s="1"/>
  <c r="K87" i="22"/>
  <c r="K88" i="22" s="1"/>
  <c r="L85" i="22"/>
  <c r="L97" i="22"/>
  <c r="K65" i="22"/>
  <c r="K66" i="22" s="1"/>
  <c r="L75" i="22"/>
  <c r="L107" i="22"/>
  <c r="L108" i="22"/>
  <c r="L96" i="22"/>
  <c r="L86" i="22"/>
  <c r="K131" i="22"/>
  <c r="K132" i="22" s="1"/>
  <c r="K76" i="22"/>
  <c r="K77" i="22" s="1"/>
  <c r="K98" i="22"/>
  <c r="K99" i="22" s="1"/>
  <c r="L64" i="22"/>
  <c r="K54" i="22"/>
  <c r="K55" i="22" s="1"/>
  <c r="L53" i="22"/>
  <c r="L63" i="22"/>
  <c r="L74" i="22"/>
  <c r="L52" i="22"/>
  <c r="K176" i="22"/>
  <c r="K165" i="22"/>
  <c r="K153" i="21"/>
  <c r="K154" i="21" s="1"/>
  <c r="L164" i="21"/>
  <c r="L175" i="21"/>
  <c r="L162" i="21"/>
  <c r="L173" i="21"/>
  <c r="L152" i="21"/>
  <c r="L163" i="21"/>
  <c r="L174" i="21"/>
  <c r="K142" i="21"/>
  <c r="K143" i="21" s="1"/>
  <c r="L151" i="21"/>
  <c r="L130" i="21"/>
  <c r="L141" i="21"/>
  <c r="K120" i="21"/>
  <c r="K121" i="21" s="1"/>
  <c r="K131" i="21"/>
  <c r="K132" i="21" s="1"/>
  <c r="K109" i="21"/>
  <c r="K110" i="21" s="1"/>
  <c r="L86" i="21"/>
  <c r="L108" i="21"/>
  <c r="L140" i="21"/>
  <c r="L118" i="21"/>
  <c r="L107" i="21"/>
  <c r="L97" i="21"/>
  <c r="L129" i="21"/>
  <c r="L119" i="21"/>
  <c r="L96" i="21"/>
  <c r="K76" i="21"/>
  <c r="K77" i="21" s="1"/>
  <c r="L74" i="21"/>
  <c r="L64" i="21"/>
  <c r="K98" i="21"/>
  <c r="K99" i="21" s="1"/>
  <c r="L63" i="21"/>
  <c r="K87" i="21"/>
  <c r="K88" i="21" s="1"/>
  <c r="L75" i="21"/>
  <c r="K65" i="21"/>
  <c r="K66" i="21" s="1"/>
  <c r="L52" i="21"/>
  <c r="L85" i="21"/>
  <c r="K54" i="21"/>
  <c r="K55" i="21" s="1"/>
  <c r="L53" i="21"/>
  <c r="M45" i="21"/>
  <c r="M46" i="21" s="1"/>
  <c r="N7" i="21"/>
  <c r="K176" i="21"/>
  <c r="K165" i="21"/>
  <c r="L176" i="20"/>
  <c r="L165" i="20"/>
  <c r="M164" i="20"/>
  <c r="M175" i="20"/>
  <c r="M162" i="20"/>
  <c r="M173" i="20"/>
  <c r="M163" i="20"/>
  <c r="M174" i="20"/>
  <c r="M152" i="20"/>
  <c r="M118" i="20"/>
  <c r="M140" i="20"/>
  <c r="M129" i="20"/>
  <c r="L153" i="20"/>
  <c r="L154" i="20" s="1"/>
  <c r="M151" i="20"/>
  <c r="L142" i="20"/>
  <c r="L143" i="20" s="1"/>
  <c r="M141" i="20"/>
  <c r="L109" i="20"/>
  <c r="L110" i="20" s="1"/>
  <c r="L98" i="20"/>
  <c r="L99" i="20" s="1"/>
  <c r="L87" i="20"/>
  <c r="L88" i="20" s="1"/>
  <c r="L120" i="20"/>
  <c r="L121" i="20" s="1"/>
  <c r="M108" i="20"/>
  <c r="L131" i="20"/>
  <c r="L132" i="20" s="1"/>
  <c r="M130" i="20"/>
  <c r="M86" i="20"/>
  <c r="M107" i="20"/>
  <c r="M96" i="20"/>
  <c r="M74" i="20"/>
  <c r="M97" i="20"/>
  <c r="M119" i="20"/>
  <c r="M85" i="20"/>
  <c r="L76" i="20"/>
  <c r="L77" i="20" s="1"/>
  <c r="M75" i="20"/>
  <c r="L54" i="20"/>
  <c r="L55" i="20" s="1"/>
  <c r="M63" i="20"/>
  <c r="M64" i="20"/>
  <c r="L65" i="20"/>
  <c r="L66" i="20" s="1"/>
  <c r="M53" i="20"/>
  <c r="M52" i="20"/>
  <c r="O7" i="20"/>
  <c r="N45" i="20"/>
  <c r="N46" i="20" s="1"/>
  <c r="M45" i="19"/>
  <c r="M46" i="19" s="1"/>
  <c r="N7" i="19"/>
  <c r="L164" i="19"/>
  <c r="L175" i="19"/>
  <c r="L162" i="19"/>
  <c r="L173" i="19"/>
  <c r="L163" i="19"/>
  <c r="L174" i="19"/>
  <c r="L151" i="19"/>
  <c r="K142" i="19"/>
  <c r="K143" i="19" s="1"/>
  <c r="L141" i="19"/>
  <c r="L129" i="19"/>
  <c r="L140" i="19"/>
  <c r="K153" i="19"/>
  <c r="K154" i="19" s="1"/>
  <c r="L152" i="19"/>
  <c r="K109" i="19"/>
  <c r="K110" i="19" s="1"/>
  <c r="K131" i="19"/>
  <c r="K132" i="19" s="1"/>
  <c r="L130" i="19"/>
  <c r="K120" i="19"/>
  <c r="K121" i="19" s="1"/>
  <c r="L119" i="19"/>
  <c r="L108" i="19"/>
  <c r="L75" i="19"/>
  <c r="K87" i="19"/>
  <c r="K88" i="19" s="1"/>
  <c r="L118" i="19"/>
  <c r="K98" i="19"/>
  <c r="K99" i="19" s="1"/>
  <c r="L97" i="19"/>
  <c r="L86" i="19"/>
  <c r="L96" i="19"/>
  <c r="L107" i="19"/>
  <c r="L63" i="19"/>
  <c r="L85" i="19"/>
  <c r="K76" i="19"/>
  <c r="K77" i="19" s="1"/>
  <c r="L53" i="19"/>
  <c r="K65" i="19"/>
  <c r="K66" i="19" s="1"/>
  <c r="L74" i="19"/>
  <c r="L52" i="19"/>
  <c r="L64" i="19"/>
  <c r="K54" i="19"/>
  <c r="K55" i="19" s="1"/>
  <c r="K176" i="19"/>
  <c r="K165" i="19"/>
  <c r="L176" i="16"/>
  <c r="L165" i="16"/>
  <c r="M164" i="16"/>
  <c r="M151" i="16"/>
  <c r="M175" i="16"/>
  <c r="M162" i="16"/>
  <c r="M173" i="16"/>
  <c r="M163" i="16"/>
  <c r="M174" i="16"/>
  <c r="L142" i="16"/>
  <c r="L143" i="16" s="1"/>
  <c r="M130" i="16"/>
  <c r="M141" i="16"/>
  <c r="M140" i="16"/>
  <c r="L153" i="16"/>
  <c r="L154" i="16" s="1"/>
  <c r="M152" i="16"/>
  <c r="M119" i="16"/>
  <c r="L109" i="16"/>
  <c r="L110" i="16" s="1"/>
  <c r="M107" i="16"/>
  <c r="M86" i="16"/>
  <c r="M118" i="16"/>
  <c r="M129" i="16"/>
  <c r="M97" i="16"/>
  <c r="L131" i="16"/>
  <c r="L132" i="16" s="1"/>
  <c r="L76" i="16"/>
  <c r="L77" i="16" s="1"/>
  <c r="L98" i="16"/>
  <c r="L99" i="16" s="1"/>
  <c r="M74" i="16"/>
  <c r="M108" i="16"/>
  <c r="L120" i="16"/>
  <c r="L121" i="16" s="1"/>
  <c r="M96" i="16"/>
  <c r="M75" i="16"/>
  <c r="M63" i="16"/>
  <c r="L87" i="16"/>
  <c r="L88" i="16" s="1"/>
  <c r="M85" i="16"/>
  <c r="M53" i="16"/>
  <c r="M52" i="16"/>
  <c r="L65" i="16"/>
  <c r="L66" i="16" s="1"/>
  <c r="M64" i="16"/>
  <c r="L54" i="16"/>
  <c r="L55" i="16" s="1"/>
  <c r="O7" i="16"/>
  <c r="N45" i="16"/>
  <c r="N46" i="16" s="1"/>
  <c r="M45" i="15"/>
  <c r="M46" i="15" s="1"/>
  <c r="N7" i="15"/>
  <c r="K165" i="15"/>
  <c r="L164" i="15"/>
  <c r="L175" i="15"/>
  <c r="L162" i="15"/>
  <c r="L173" i="15"/>
  <c r="L163" i="15"/>
  <c r="L174" i="15"/>
  <c r="L151" i="15"/>
  <c r="L141" i="15"/>
  <c r="K120" i="15"/>
  <c r="K121" i="15" s="1"/>
  <c r="L118" i="15"/>
  <c r="L152" i="15"/>
  <c r="L140" i="15"/>
  <c r="K153" i="15"/>
  <c r="K154" i="15" s="1"/>
  <c r="K142" i="15"/>
  <c r="K143" i="15" s="1"/>
  <c r="L130" i="15"/>
  <c r="L108" i="15"/>
  <c r="L85" i="15"/>
  <c r="K131" i="15"/>
  <c r="K132" i="15" s="1"/>
  <c r="L129" i="15"/>
  <c r="L96" i="15"/>
  <c r="L97" i="15"/>
  <c r="K76" i="15"/>
  <c r="K77" i="15" s="1"/>
  <c r="L107" i="15"/>
  <c r="L119" i="15"/>
  <c r="K87" i="15"/>
  <c r="K88" i="15" s="1"/>
  <c r="L86" i="15"/>
  <c r="K98" i="15"/>
  <c r="K99" i="15" s="1"/>
  <c r="K109" i="15"/>
  <c r="K110" i="15" s="1"/>
  <c r="L75" i="15"/>
  <c r="L74" i="15"/>
  <c r="L53" i="15"/>
  <c r="L63" i="15"/>
  <c r="L64" i="15"/>
  <c r="K54" i="15"/>
  <c r="K55" i="15" s="1"/>
  <c r="K65" i="15"/>
  <c r="K66" i="15" s="1"/>
  <c r="L52" i="15"/>
  <c r="M45" i="14"/>
  <c r="M46" i="14" s="1"/>
  <c r="N7" i="14"/>
  <c r="K165" i="14"/>
  <c r="L164" i="14"/>
  <c r="L151" i="14"/>
  <c r="L175" i="14"/>
  <c r="L162" i="14"/>
  <c r="L173" i="14"/>
  <c r="L163" i="14"/>
  <c r="L174" i="14"/>
  <c r="L118" i="14"/>
  <c r="K142" i="14"/>
  <c r="K143" i="14" s="1"/>
  <c r="K153" i="14"/>
  <c r="K154" i="14" s="1"/>
  <c r="L85" i="14"/>
  <c r="K131" i="14"/>
  <c r="K132" i="14" s="1"/>
  <c r="L119" i="14"/>
  <c r="L140" i="14"/>
  <c r="L130" i="14"/>
  <c r="L129" i="14"/>
  <c r="L141" i="14"/>
  <c r="L97" i="14"/>
  <c r="K76" i="14"/>
  <c r="K77" i="14" s="1"/>
  <c r="L152" i="14"/>
  <c r="K87" i="14"/>
  <c r="K88" i="14" s="1"/>
  <c r="L96" i="14"/>
  <c r="L86" i="14"/>
  <c r="K65" i="14"/>
  <c r="K66" i="14" s="1"/>
  <c r="K98" i="14"/>
  <c r="K99" i="14" s="1"/>
  <c r="L75" i="14"/>
  <c r="L74" i="14"/>
  <c r="L107" i="14"/>
  <c r="L64" i="14"/>
  <c r="L108" i="14"/>
  <c r="K120" i="14"/>
  <c r="K121" i="14" s="1"/>
  <c r="K109" i="14"/>
  <c r="K110" i="14" s="1"/>
  <c r="L53" i="14"/>
  <c r="L52" i="14"/>
  <c r="L63" i="14"/>
  <c r="K54" i="14"/>
  <c r="K55" i="14" s="1"/>
  <c r="AJ171" i="1"/>
  <c r="BD37" i="1"/>
  <c r="C45" i="1"/>
  <c r="C46" i="1" s="1"/>
  <c r="D45" i="1"/>
  <c r="D46" i="1" s="1"/>
  <c r="E7" i="1"/>
  <c r="BY57" i="1"/>
  <c r="BZ57" i="1" s="1"/>
  <c r="BY56" i="1"/>
  <c r="BZ56" i="1" s="1"/>
  <c r="BY58" i="1"/>
  <c r="BZ58" i="1" s="1"/>
  <c r="BY55" i="1"/>
  <c r="BZ55" i="1" s="1"/>
  <c r="E60" i="1" l="1"/>
  <c r="U126" i="1"/>
  <c r="G93" i="1"/>
  <c r="AB71" i="1"/>
  <c r="N71" i="1"/>
  <c r="J71" i="1"/>
  <c r="D82" i="1"/>
  <c r="AA60" i="1"/>
  <c r="AG148" i="1"/>
  <c r="X82" i="1"/>
  <c r="W60" i="1"/>
  <c r="M60" i="1"/>
  <c r="I60" i="1"/>
  <c r="D60" i="1"/>
  <c r="AD82" i="1"/>
  <c r="AB60" i="1"/>
  <c r="Q60" i="1"/>
  <c r="L60" i="1"/>
  <c r="Y82" i="1"/>
  <c r="Z60" i="1"/>
  <c r="AC82" i="1"/>
  <c r="AE60" i="1"/>
  <c r="P82" i="1"/>
  <c r="K82" i="1"/>
  <c r="O82" i="1"/>
  <c r="AF60" i="1"/>
  <c r="V60" i="1"/>
  <c r="R60" i="1"/>
  <c r="Z49" i="1"/>
  <c r="Z187" i="1" s="1"/>
  <c r="AA49" i="1"/>
  <c r="AA187" i="1" s="1"/>
  <c r="O71" i="1"/>
  <c r="M49" i="1"/>
  <c r="M187" i="1" s="1"/>
  <c r="G71" i="1"/>
  <c r="Q49" i="1"/>
  <c r="Q187" i="1" s="1"/>
  <c r="W49" i="1"/>
  <c r="W187" i="1" s="1"/>
  <c r="J49" i="1"/>
  <c r="J187" i="1" s="1"/>
  <c r="K71" i="1"/>
  <c r="I49" i="1"/>
  <c r="I187" i="1" s="1"/>
  <c r="AF49" i="1"/>
  <c r="AF187" i="1" s="1"/>
  <c r="S71" i="1"/>
  <c r="AG71" i="1"/>
  <c r="Y71" i="1"/>
  <c r="AD71" i="1"/>
  <c r="R49" i="1"/>
  <c r="R187" i="1" s="1"/>
  <c r="T71" i="1"/>
  <c r="L49" i="1"/>
  <c r="L187" i="1" s="1"/>
  <c r="X71" i="1"/>
  <c r="AE49" i="1"/>
  <c r="AE187" i="1" s="1"/>
  <c r="AC71" i="1"/>
  <c r="P71" i="1"/>
  <c r="V49" i="1"/>
  <c r="V187" i="1" s="1"/>
  <c r="F21" i="1"/>
  <c r="H21" i="1"/>
  <c r="K21" i="1"/>
  <c r="AH139" i="1"/>
  <c r="AH17" i="1" s="1"/>
  <c r="B13" i="13" s="1"/>
  <c r="H27" i="13" s="1"/>
  <c r="AH117" i="1"/>
  <c r="AH15" i="1" s="1"/>
  <c r="B11" i="13" s="1"/>
  <c r="S11" i="13" s="1"/>
  <c r="Q21" i="1"/>
  <c r="R21" i="1"/>
  <c r="AH150" i="1"/>
  <c r="AH18" i="1" s="1"/>
  <c r="B14" i="13" s="1"/>
  <c r="AH106" i="1"/>
  <c r="AH14" i="1" s="1"/>
  <c r="AI14" i="1" s="1"/>
  <c r="X21" i="1"/>
  <c r="G21" i="1"/>
  <c r="AH84" i="1"/>
  <c r="AH12" i="1" s="1"/>
  <c r="B8" i="13" s="1"/>
  <c r="H22" i="13" s="1"/>
  <c r="I22" i="13" s="1"/>
  <c r="AH128" i="1"/>
  <c r="AH16" i="1" s="1"/>
  <c r="B12" i="13" s="1"/>
  <c r="H26" i="13" s="1"/>
  <c r="I26" i="13" s="1"/>
  <c r="C21" i="1"/>
  <c r="AH73" i="1"/>
  <c r="AH11" i="1" s="1"/>
  <c r="B7" i="13" s="1"/>
  <c r="H21" i="13" s="1"/>
  <c r="AH62" i="1"/>
  <c r="AH10" i="1" s="1"/>
  <c r="AI10" i="1" s="1"/>
  <c r="AH95" i="1"/>
  <c r="AH13" i="1" s="1"/>
  <c r="AI13" i="1" s="1"/>
  <c r="Y49" i="1"/>
  <c r="Y187" i="1" s="1"/>
  <c r="AB49" i="1"/>
  <c r="AB187" i="1" s="1"/>
  <c r="AD49" i="1"/>
  <c r="AD187" i="1" s="1"/>
  <c r="L71" i="1"/>
  <c r="G115" i="1"/>
  <c r="F71" i="1"/>
  <c r="S49" i="1"/>
  <c r="S187" i="1" s="1"/>
  <c r="O49" i="1"/>
  <c r="O187" i="1" s="1"/>
  <c r="U71" i="1"/>
  <c r="AC49" i="1"/>
  <c r="AC187" i="1" s="1"/>
  <c r="P49" i="1"/>
  <c r="P187" i="1" s="1"/>
  <c r="E71" i="1"/>
  <c r="N49" i="1"/>
  <c r="N187" i="1" s="1"/>
  <c r="AE71" i="1"/>
  <c r="W71" i="1"/>
  <c r="AA82" i="1"/>
  <c r="K159" i="1"/>
  <c r="T49" i="1"/>
  <c r="T187" i="1" s="1"/>
  <c r="M71" i="1"/>
  <c r="AF71" i="1"/>
  <c r="V71" i="1"/>
  <c r="R82" i="1"/>
  <c r="X49" i="1"/>
  <c r="X187" i="1" s="1"/>
  <c r="Z82" i="1"/>
  <c r="I115" i="1"/>
  <c r="Y21" i="1"/>
  <c r="T21" i="1"/>
  <c r="N21" i="1"/>
  <c r="AH51" i="1"/>
  <c r="AH9" i="1" s="1"/>
  <c r="AI9" i="1" s="1"/>
  <c r="E21" i="1"/>
  <c r="I21" i="1"/>
  <c r="D21" i="1"/>
  <c r="AE21" i="1"/>
  <c r="AD21" i="1"/>
  <c r="S21" i="1"/>
  <c r="V21" i="1"/>
  <c r="L21" i="1"/>
  <c r="AF21" i="1"/>
  <c r="J21" i="1"/>
  <c r="M21" i="1"/>
  <c r="O21" i="1"/>
  <c r="W21" i="1"/>
  <c r="Z71" i="1"/>
  <c r="Y60" i="1"/>
  <c r="Q71" i="1"/>
  <c r="AG60" i="1"/>
  <c r="O60" i="1"/>
  <c r="T60" i="1"/>
  <c r="F60" i="1"/>
  <c r="AA71" i="1"/>
  <c r="L82" i="1"/>
  <c r="X60" i="1"/>
  <c r="AF82" i="1"/>
  <c r="V82" i="1"/>
  <c r="P60" i="1"/>
  <c r="R71" i="1"/>
  <c r="M82" i="1"/>
  <c r="W82" i="1"/>
  <c r="K60" i="1"/>
  <c r="E49" i="1"/>
  <c r="E187" i="1" s="1"/>
  <c r="N60" i="1"/>
  <c r="S60" i="1"/>
  <c r="D115" i="1"/>
  <c r="AD60" i="1"/>
  <c r="AC60" i="1"/>
  <c r="J60" i="1"/>
  <c r="AA21" i="1"/>
  <c r="Z21" i="1"/>
  <c r="AG21" i="1"/>
  <c r="U21" i="1"/>
  <c r="AB21" i="1"/>
  <c r="P21" i="1"/>
  <c r="AC21" i="1"/>
  <c r="K165" i="17"/>
  <c r="AN32" i="1"/>
  <c r="BD32" i="1" s="1"/>
  <c r="AR32" i="1"/>
  <c r="K142" i="17"/>
  <c r="K143" i="17" s="1"/>
  <c r="K109" i="17"/>
  <c r="K110" i="17" s="1"/>
  <c r="L64" i="17"/>
  <c r="K87" i="17"/>
  <c r="K88" i="17" s="1"/>
  <c r="L152" i="17"/>
  <c r="L119" i="17"/>
  <c r="L53" i="17"/>
  <c r="L108" i="17"/>
  <c r="L151" i="17"/>
  <c r="L86" i="17"/>
  <c r="K65" i="17"/>
  <c r="K66" i="17" s="1"/>
  <c r="L129" i="17"/>
  <c r="L75" i="17"/>
  <c r="L52" i="17"/>
  <c r="L140" i="17"/>
  <c r="L96" i="17"/>
  <c r="L63" i="17"/>
  <c r="L163" i="17"/>
  <c r="K120" i="17"/>
  <c r="K121" i="17" s="1"/>
  <c r="L74" i="17"/>
  <c r="K54" i="17"/>
  <c r="K55" i="17" s="1"/>
  <c r="L141" i="17"/>
  <c r="L164" i="17"/>
  <c r="L97" i="17"/>
  <c r="L107" i="17"/>
  <c r="L175" i="17"/>
  <c r="L130" i="17"/>
  <c r="L85" i="17"/>
  <c r="L162" i="17"/>
  <c r="K153" i="17"/>
  <c r="K154" i="17" s="1"/>
  <c r="K76" i="17"/>
  <c r="K77" i="17" s="1"/>
  <c r="L173" i="17"/>
  <c r="K131" i="17"/>
  <c r="K132" i="17" s="1"/>
  <c r="L174" i="17"/>
  <c r="L118" i="17"/>
  <c r="K98" i="17"/>
  <c r="K99" i="17" s="1"/>
  <c r="K176" i="17"/>
  <c r="N7" i="17"/>
  <c r="M45" i="17"/>
  <c r="M46" i="17" s="1"/>
  <c r="AR33" i="1"/>
  <c r="AN33" i="1"/>
  <c r="BD33" i="1" s="1"/>
  <c r="AN40" i="1"/>
  <c r="BD40" i="1" s="1"/>
  <c r="BE34" i="1" s="1"/>
  <c r="AR40" i="1"/>
  <c r="K165" i="18"/>
  <c r="K176" i="18"/>
  <c r="K153" i="18"/>
  <c r="K154" i="18" s="1"/>
  <c r="L152" i="18"/>
  <c r="L108" i="18"/>
  <c r="L164" i="18"/>
  <c r="K131" i="18"/>
  <c r="K132" i="18" s="1"/>
  <c r="L74" i="18"/>
  <c r="L175" i="18"/>
  <c r="K120" i="18"/>
  <c r="K121" i="18" s="1"/>
  <c r="K98" i="18"/>
  <c r="K99" i="18" s="1"/>
  <c r="L151" i="18"/>
  <c r="L162" i="18"/>
  <c r="L119" i="18"/>
  <c r="K76" i="18"/>
  <c r="K77" i="18" s="1"/>
  <c r="L141" i="18"/>
  <c r="L118" i="18"/>
  <c r="L75" i="18"/>
  <c r="L173" i="18"/>
  <c r="L97" i="18"/>
  <c r="L85" i="18"/>
  <c r="L163" i="18"/>
  <c r="K65" i="18"/>
  <c r="K66" i="18" s="1"/>
  <c r="L63" i="18"/>
  <c r="L174" i="18"/>
  <c r="K109" i="18"/>
  <c r="K110" i="18" s="1"/>
  <c r="L86" i="18"/>
  <c r="K142" i="18"/>
  <c r="K143" i="18" s="1"/>
  <c r="L96" i="18"/>
  <c r="K54" i="18"/>
  <c r="K55" i="18" s="1"/>
  <c r="L52" i="18"/>
  <c r="L140" i="18"/>
  <c r="K87" i="18"/>
  <c r="K88" i="18" s="1"/>
  <c r="L64" i="18"/>
  <c r="L130" i="18"/>
  <c r="L107" i="18"/>
  <c r="L53" i="18"/>
  <c r="L129" i="18"/>
  <c r="N7" i="18"/>
  <c r="M45" i="18"/>
  <c r="M46" i="18" s="1"/>
  <c r="K176" i="24"/>
  <c r="K165" i="24"/>
  <c r="N7" i="24"/>
  <c r="M45" i="24"/>
  <c r="M46" i="24" s="1"/>
  <c r="L141" i="24"/>
  <c r="K98" i="24"/>
  <c r="K99" i="24" s="1"/>
  <c r="L63" i="24"/>
  <c r="L151" i="24"/>
  <c r="K87" i="24"/>
  <c r="K88" i="24" s="1"/>
  <c r="K54" i="24"/>
  <c r="K55" i="24" s="1"/>
  <c r="L174" i="24"/>
  <c r="K120" i="24"/>
  <c r="K121" i="24" s="1"/>
  <c r="L108" i="24"/>
  <c r="K76" i="24"/>
  <c r="K77" i="24" s="1"/>
  <c r="L173" i="24"/>
  <c r="L118" i="24"/>
  <c r="L97" i="24"/>
  <c r="L75" i="24"/>
  <c r="L140" i="24"/>
  <c r="L64" i="24"/>
  <c r="K65" i="24"/>
  <c r="K66" i="24" s="1"/>
  <c r="L130" i="24"/>
  <c r="L119" i="24"/>
  <c r="K153" i="24"/>
  <c r="K154" i="24" s="1"/>
  <c r="K131" i="24"/>
  <c r="K132" i="24" s="1"/>
  <c r="L53" i="24"/>
  <c r="L86" i="24"/>
  <c r="L164" i="24"/>
  <c r="L152" i="24"/>
  <c r="L52" i="24"/>
  <c r="L85" i="24"/>
  <c r="L175" i="24"/>
  <c r="L129" i="24"/>
  <c r="L107" i="24"/>
  <c r="L162" i="24"/>
  <c r="K142" i="24"/>
  <c r="K143" i="24" s="1"/>
  <c r="L96" i="24"/>
  <c r="L163" i="24"/>
  <c r="K109" i="24"/>
  <c r="K110" i="24" s="1"/>
  <c r="L74" i="24"/>
  <c r="L176" i="23"/>
  <c r="L165" i="23"/>
  <c r="N45" i="23"/>
  <c r="N46" i="23" s="1"/>
  <c r="O7" i="23"/>
  <c r="M164" i="23"/>
  <c r="M151" i="23"/>
  <c r="M175" i="23"/>
  <c r="M162" i="23"/>
  <c r="M173" i="23"/>
  <c r="M163" i="23"/>
  <c r="M174" i="23"/>
  <c r="L142" i="23"/>
  <c r="L143" i="23" s="1"/>
  <c r="M119" i="23"/>
  <c r="M152" i="23"/>
  <c r="L153" i="23"/>
  <c r="L154" i="23" s="1"/>
  <c r="M141" i="23"/>
  <c r="M140" i="23"/>
  <c r="L120" i="23"/>
  <c r="L121" i="23" s="1"/>
  <c r="M118" i="23"/>
  <c r="L98" i="23"/>
  <c r="L99" i="23" s="1"/>
  <c r="M130" i="23"/>
  <c r="M129" i="23"/>
  <c r="L109" i="23"/>
  <c r="L110" i="23" s="1"/>
  <c r="M86" i="23"/>
  <c r="L131" i="23"/>
  <c r="L132" i="23" s="1"/>
  <c r="M108" i="23"/>
  <c r="M107" i="23"/>
  <c r="M74" i="23"/>
  <c r="M97" i="23"/>
  <c r="M96" i="23"/>
  <c r="L54" i="23"/>
  <c r="L55" i="23" s="1"/>
  <c r="M53" i="23"/>
  <c r="M75" i="23"/>
  <c r="M63" i="23"/>
  <c r="L76" i="23"/>
  <c r="L77" i="23" s="1"/>
  <c r="M85" i="23"/>
  <c r="L65" i="23"/>
  <c r="L66" i="23" s="1"/>
  <c r="M52" i="23"/>
  <c r="L87" i="23"/>
  <c r="L88" i="23" s="1"/>
  <c r="M64" i="23"/>
  <c r="N45" i="22"/>
  <c r="N46" i="22" s="1"/>
  <c r="O7" i="22"/>
  <c r="M164" i="22"/>
  <c r="M151" i="22"/>
  <c r="M175" i="22"/>
  <c r="M162" i="22"/>
  <c r="M173" i="22"/>
  <c r="M163" i="22"/>
  <c r="M174" i="22"/>
  <c r="L142" i="22"/>
  <c r="L143" i="22" s="1"/>
  <c r="M152" i="22"/>
  <c r="M130" i="22"/>
  <c r="L153" i="22"/>
  <c r="L154" i="22" s="1"/>
  <c r="M141" i="22"/>
  <c r="M140" i="22"/>
  <c r="M108" i="22"/>
  <c r="L120" i="22"/>
  <c r="L121" i="22" s="1"/>
  <c r="M119" i="22"/>
  <c r="M118" i="22"/>
  <c r="M129" i="22"/>
  <c r="L109" i="22"/>
  <c r="L110" i="22" s="1"/>
  <c r="M107" i="22"/>
  <c r="L131" i="22"/>
  <c r="L132" i="22" s="1"/>
  <c r="M85" i="22"/>
  <c r="M97" i="22"/>
  <c r="M75" i="22"/>
  <c r="M96" i="22"/>
  <c r="M86" i="22"/>
  <c r="L98" i="22"/>
  <c r="L99" i="22" s="1"/>
  <c r="M74" i="22"/>
  <c r="M64" i="22"/>
  <c r="L87" i="22"/>
  <c r="L88" i="22" s="1"/>
  <c r="L54" i="22"/>
  <c r="L55" i="22" s="1"/>
  <c r="M53" i="22"/>
  <c r="M63" i="22"/>
  <c r="M52" i="22"/>
  <c r="L65" i="22"/>
  <c r="L66" i="22" s="1"/>
  <c r="L76" i="22"/>
  <c r="L77" i="22" s="1"/>
  <c r="L176" i="22"/>
  <c r="L165" i="22"/>
  <c r="L176" i="21"/>
  <c r="L165" i="21"/>
  <c r="N45" i="21"/>
  <c r="N46" i="21" s="1"/>
  <c r="O7" i="21"/>
  <c r="M164" i="21"/>
  <c r="M151" i="21"/>
  <c r="M175" i="21"/>
  <c r="M162" i="21"/>
  <c r="M173" i="21"/>
  <c r="M163" i="21"/>
  <c r="M174" i="21"/>
  <c r="M152" i="21"/>
  <c r="L142" i="21"/>
  <c r="L143" i="21" s="1"/>
  <c r="M130" i="21"/>
  <c r="L153" i="21"/>
  <c r="L154" i="21" s="1"/>
  <c r="M141" i="21"/>
  <c r="M118" i="21"/>
  <c r="M140" i="21"/>
  <c r="M129" i="21"/>
  <c r="M108" i="21"/>
  <c r="M119" i="21"/>
  <c r="L131" i="21"/>
  <c r="L132" i="21" s="1"/>
  <c r="M74" i="21"/>
  <c r="M97" i="21"/>
  <c r="L87" i="21"/>
  <c r="L88" i="21" s="1"/>
  <c r="L120" i="21"/>
  <c r="L121" i="21" s="1"/>
  <c r="L109" i="21"/>
  <c r="L110" i="21" s="1"/>
  <c r="M107" i="21"/>
  <c r="L98" i="21"/>
  <c r="L99" i="21" s="1"/>
  <c r="M85" i="21"/>
  <c r="M96" i="21"/>
  <c r="L76" i="21"/>
  <c r="L77" i="21" s="1"/>
  <c r="M63" i="21"/>
  <c r="L65" i="21"/>
  <c r="L66" i="21" s="1"/>
  <c r="M53" i="21"/>
  <c r="M52" i="21"/>
  <c r="M86" i="21"/>
  <c r="M75" i="21"/>
  <c r="M64" i="21"/>
  <c r="L54" i="21"/>
  <c r="L55" i="21" s="1"/>
  <c r="N175" i="20"/>
  <c r="N162" i="20"/>
  <c r="N141" i="20"/>
  <c r="N173" i="20"/>
  <c r="N152" i="20"/>
  <c r="N163" i="20"/>
  <c r="N174" i="20"/>
  <c r="M153" i="20"/>
  <c r="M154" i="20" s="1"/>
  <c r="M131" i="20"/>
  <c r="M132" i="20" s="1"/>
  <c r="N97" i="20"/>
  <c r="N140" i="20"/>
  <c r="N164" i="20"/>
  <c r="N151" i="20"/>
  <c r="M142" i="20"/>
  <c r="M143" i="20" s="1"/>
  <c r="N130" i="20"/>
  <c r="M109" i="20"/>
  <c r="M110" i="20" s="1"/>
  <c r="M120" i="20"/>
  <c r="M121" i="20" s="1"/>
  <c r="N85" i="20"/>
  <c r="N108" i="20"/>
  <c r="N129" i="20"/>
  <c r="N118" i="20"/>
  <c r="N107" i="20"/>
  <c r="N119" i="20"/>
  <c r="M98" i="20"/>
  <c r="M99" i="20" s="1"/>
  <c r="N74" i="20"/>
  <c r="N86" i="20"/>
  <c r="N96" i="20"/>
  <c r="M87" i="20"/>
  <c r="M88" i="20" s="1"/>
  <c r="M54" i="20"/>
  <c r="M55" i="20" s="1"/>
  <c r="N63" i="20"/>
  <c r="N64" i="20"/>
  <c r="M76" i="20"/>
  <c r="M77" i="20" s="1"/>
  <c r="M65" i="20"/>
  <c r="M66" i="20" s="1"/>
  <c r="N52" i="20"/>
  <c r="N75" i="20"/>
  <c r="N53" i="20"/>
  <c r="M176" i="20"/>
  <c r="P7" i="20"/>
  <c r="O45" i="20"/>
  <c r="O46" i="20" s="1"/>
  <c r="M165" i="20"/>
  <c r="L176" i="19"/>
  <c r="L165" i="19"/>
  <c r="N45" i="19"/>
  <c r="N46" i="19" s="1"/>
  <c r="O7" i="19"/>
  <c r="M164" i="19"/>
  <c r="M175" i="19"/>
  <c r="M162" i="19"/>
  <c r="M141" i="19"/>
  <c r="M173" i="19"/>
  <c r="M151" i="19"/>
  <c r="L142" i="19"/>
  <c r="L143" i="19" s="1"/>
  <c r="M163" i="19"/>
  <c r="M140" i="19"/>
  <c r="L153" i="19"/>
  <c r="L154" i="19" s="1"/>
  <c r="M152" i="19"/>
  <c r="M174" i="19"/>
  <c r="M107" i="19"/>
  <c r="L131" i="19"/>
  <c r="L132" i="19" s="1"/>
  <c r="M97" i="19"/>
  <c r="M130" i="19"/>
  <c r="M129" i="19"/>
  <c r="L120" i="19"/>
  <c r="L121" i="19" s="1"/>
  <c r="M119" i="19"/>
  <c r="L98" i="19"/>
  <c r="L99" i="19" s="1"/>
  <c r="M118" i="19"/>
  <c r="M75" i="19"/>
  <c r="L87" i="19"/>
  <c r="L88" i="19" s="1"/>
  <c r="L109" i="19"/>
  <c r="L110" i="19" s="1"/>
  <c r="M86" i="19"/>
  <c r="M96" i="19"/>
  <c r="L76" i="19"/>
  <c r="L77" i="19" s="1"/>
  <c r="M85" i="19"/>
  <c r="M64" i="19"/>
  <c r="M53" i="19"/>
  <c r="M52" i="19"/>
  <c r="M63" i="19"/>
  <c r="L65" i="19"/>
  <c r="L66" i="19" s="1"/>
  <c r="M74" i="19"/>
  <c r="M108" i="19"/>
  <c r="L54" i="19"/>
  <c r="L55" i="19" s="1"/>
  <c r="P7" i="16"/>
  <c r="O45" i="16"/>
  <c r="O46" i="16" s="1"/>
  <c r="M176" i="16"/>
  <c r="M165" i="16"/>
  <c r="N175" i="16"/>
  <c r="N162" i="16"/>
  <c r="N141" i="16"/>
  <c r="N173" i="16"/>
  <c r="N152" i="16"/>
  <c r="N163" i="16"/>
  <c r="N174" i="16"/>
  <c r="N164" i="16"/>
  <c r="N140" i="16"/>
  <c r="M153" i="16"/>
  <c r="M154" i="16" s="1"/>
  <c r="N151" i="16"/>
  <c r="M142" i="16"/>
  <c r="M143" i="16" s="1"/>
  <c r="N107" i="16"/>
  <c r="N118" i="16"/>
  <c r="N129" i="16"/>
  <c r="M131" i="16"/>
  <c r="M132" i="16" s="1"/>
  <c r="N86" i="16"/>
  <c r="N119" i="16"/>
  <c r="M109" i="16"/>
  <c r="M110" i="16" s="1"/>
  <c r="M98" i="16"/>
  <c r="M99" i="16" s="1"/>
  <c r="N74" i="16"/>
  <c r="N130" i="16"/>
  <c r="N108" i="16"/>
  <c r="M120" i="16"/>
  <c r="M121" i="16" s="1"/>
  <c r="N96" i="16"/>
  <c r="N63" i="16"/>
  <c r="M87" i="16"/>
  <c r="M88" i="16" s="1"/>
  <c r="M65" i="16"/>
  <c r="M66" i="16" s="1"/>
  <c r="N75" i="16"/>
  <c r="N97" i="16"/>
  <c r="N85" i="16"/>
  <c r="N64" i="16"/>
  <c r="N53" i="16"/>
  <c r="N52" i="16"/>
  <c r="M54" i="16"/>
  <c r="M55" i="16" s="1"/>
  <c r="M76" i="16"/>
  <c r="M77" i="16" s="1"/>
  <c r="L176" i="15"/>
  <c r="L165" i="15"/>
  <c r="N45" i="15"/>
  <c r="N46" i="15" s="1"/>
  <c r="O7" i="15"/>
  <c r="M164" i="15"/>
  <c r="M175" i="15"/>
  <c r="M162" i="15"/>
  <c r="M173" i="15"/>
  <c r="M163" i="15"/>
  <c r="M174" i="15"/>
  <c r="M151" i="15"/>
  <c r="M141" i="15"/>
  <c r="M118" i="15"/>
  <c r="M152" i="15"/>
  <c r="L131" i="15"/>
  <c r="L132" i="15" s="1"/>
  <c r="M140" i="15"/>
  <c r="L153" i="15"/>
  <c r="L154" i="15" s="1"/>
  <c r="M119" i="15"/>
  <c r="L142" i="15"/>
  <c r="L143" i="15" s="1"/>
  <c r="M130" i="15"/>
  <c r="L120" i="15"/>
  <c r="L121" i="15" s="1"/>
  <c r="L98" i="15"/>
  <c r="L99" i="15" s="1"/>
  <c r="M129" i="15"/>
  <c r="M97" i="15"/>
  <c r="M108" i="15"/>
  <c r="L76" i="15"/>
  <c r="L77" i="15" s="1"/>
  <c r="M107" i="15"/>
  <c r="M74" i="15"/>
  <c r="L87" i="15"/>
  <c r="L88" i="15" s="1"/>
  <c r="M86" i="15"/>
  <c r="M85" i="15"/>
  <c r="L65" i="15"/>
  <c r="L66" i="15" s="1"/>
  <c r="L109" i="15"/>
  <c r="L110" i="15" s="1"/>
  <c r="M53" i="15"/>
  <c r="M96" i="15"/>
  <c r="M75" i="15"/>
  <c r="L54" i="15"/>
  <c r="L55" i="15" s="1"/>
  <c r="M63" i="15"/>
  <c r="M64" i="15"/>
  <c r="M52" i="15"/>
  <c r="L165" i="14"/>
  <c r="M164" i="14"/>
  <c r="M175" i="14"/>
  <c r="M162" i="14"/>
  <c r="M173" i="14"/>
  <c r="M163" i="14"/>
  <c r="M174" i="14"/>
  <c r="L142" i="14"/>
  <c r="L143" i="14" s="1"/>
  <c r="M151" i="14"/>
  <c r="L131" i="14"/>
  <c r="L132" i="14" s="1"/>
  <c r="L153" i="14"/>
  <c r="L154" i="14" s="1"/>
  <c r="M152" i="14"/>
  <c r="M119" i="14"/>
  <c r="L65" i="14"/>
  <c r="L66" i="14" s="1"/>
  <c r="M140" i="14"/>
  <c r="M130" i="14"/>
  <c r="M129" i="14"/>
  <c r="M118" i="14"/>
  <c r="M141" i="14"/>
  <c r="M74" i="14"/>
  <c r="L120" i="14"/>
  <c r="L121" i="14" s="1"/>
  <c r="L87" i="14"/>
  <c r="L88" i="14" s="1"/>
  <c r="M96" i="14"/>
  <c r="M86" i="14"/>
  <c r="L98" i="14"/>
  <c r="L99" i="14" s="1"/>
  <c r="M97" i="14"/>
  <c r="M85" i="14"/>
  <c r="L76" i="14"/>
  <c r="L77" i="14" s="1"/>
  <c r="M75" i="14"/>
  <c r="M63" i="14"/>
  <c r="M107" i="14"/>
  <c r="M108" i="14"/>
  <c r="L109" i="14"/>
  <c r="L110" i="14" s="1"/>
  <c r="M64" i="14"/>
  <c r="M53" i="14"/>
  <c r="M52" i="14"/>
  <c r="L54" i="14"/>
  <c r="L55" i="14" s="1"/>
  <c r="N45" i="14"/>
  <c r="N46" i="14" s="1"/>
  <c r="O7" i="14"/>
  <c r="L176" i="14"/>
  <c r="H71" i="1"/>
  <c r="H126" i="1"/>
  <c r="H115" i="1"/>
  <c r="H60" i="1"/>
  <c r="H82" i="1"/>
  <c r="H49" i="1"/>
  <c r="H187" i="1" s="1"/>
  <c r="G159" i="1"/>
  <c r="G170" i="1"/>
  <c r="G148" i="1"/>
  <c r="D164" i="1"/>
  <c r="D162" i="1"/>
  <c r="D173" i="1"/>
  <c r="D174" i="1"/>
  <c r="D175" i="1"/>
  <c r="D163" i="1"/>
  <c r="C119" i="1"/>
  <c r="C173" i="1"/>
  <c r="C174" i="1"/>
  <c r="C162" i="1"/>
  <c r="C163" i="1"/>
  <c r="C175" i="1"/>
  <c r="C164" i="1"/>
  <c r="C151" i="1"/>
  <c r="D49" i="1"/>
  <c r="D187" i="1" s="1"/>
  <c r="E148" i="1"/>
  <c r="F148" i="1"/>
  <c r="E137" i="1"/>
  <c r="C129" i="1"/>
  <c r="C107" i="1"/>
  <c r="C152" i="1"/>
  <c r="C140" i="1"/>
  <c r="C108" i="1"/>
  <c r="C141" i="1"/>
  <c r="C96" i="1"/>
  <c r="C85" i="1"/>
  <c r="C97" i="1"/>
  <c r="C74" i="1"/>
  <c r="C86" i="1"/>
  <c r="C75" i="1"/>
  <c r="C53" i="1"/>
  <c r="C130" i="1"/>
  <c r="C52" i="1"/>
  <c r="C118" i="1"/>
  <c r="C64" i="1"/>
  <c r="C63" i="1"/>
  <c r="BD36" i="1"/>
  <c r="BZ59" i="1"/>
  <c r="CA59" i="1" s="1"/>
  <c r="AF5" i="1" s="1"/>
  <c r="BD39" i="1"/>
  <c r="BE33" i="1" s="1"/>
  <c r="D52" i="1"/>
  <c r="D53" i="1"/>
  <c r="D63" i="1"/>
  <c r="C65" i="1"/>
  <c r="C54" i="1"/>
  <c r="D64" i="1"/>
  <c r="D75" i="1"/>
  <c r="D86" i="1"/>
  <c r="D97" i="1"/>
  <c r="C120" i="1"/>
  <c r="D129" i="1"/>
  <c r="D141" i="1"/>
  <c r="D74" i="1"/>
  <c r="D85" i="1"/>
  <c r="D96" i="1"/>
  <c r="D108" i="1"/>
  <c r="C131" i="1"/>
  <c r="D140" i="1"/>
  <c r="D152" i="1"/>
  <c r="C76" i="1"/>
  <c r="C87" i="1"/>
  <c r="C98" i="1"/>
  <c r="D107" i="1"/>
  <c r="D119" i="1"/>
  <c r="C142" i="1"/>
  <c r="D151" i="1"/>
  <c r="C109" i="1"/>
  <c r="D118" i="1"/>
  <c r="D130" i="1"/>
  <c r="C153" i="1"/>
  <c r="E45" i="1"/>
  <c r="E46" i="1" s="1"/>
  <c r="F7" i="1"/>
  <c r="AE104" i="1" l="1"/>
  <c r="R148" i="1"/>
  <c r="X93" i="1"/>
  <c r="Z104" i="1"/>
  <c r="AA104" i="1"/>
  <c r="F93" i="1"/>
  <c r="Q82" i="1"/>
  <c r="Y137" i="1"/>
  <c r="Z137" i="1"/>
  <c r="O159" i="1"/>
  <c r="V159" i="1"/>
  <c r="AD159" i="1"/>
  <c r="D159" i="1"/>
  <c r="AF159" i="1"/>
  <c r="W159" i="1"/>
  <c r="M137" i="1"/>
  <c r="L137" i="1"/>
  <c r="AC159" i="1"/>
  <c r="E159" i="1"/>
  <c r="R159" i="1"/>
  <c r="T159" i="1"/>
  <c r="I159" i="1"/>
  <c r="P159" i="1"/>
  <c r="H104" i="1"/>
  <c r="AB159" i="1"/>
  <c r="J159" i="1"/>
  <c r="AG159" i="1"/>
  <c r="Q137" i="1"/>
  <c r="P148" i="1"/>
  <c r="F115" i="1"/>
  <c r="I82" i="1"/>
  <c r="J82" i="1"/>
  <c r="H25" i="13"/>
  <c r="O25" i="13" s="1"/>
  <c r="P25" i="13" s="1"/>
  <c r="J25" i="13" s="1"/>
  <c r="J104" i="1"/>
  <c r="F104" i="1"/>
  <c r="M93" i="1"/>
  <c r="I71" i="1"/>
  <c r="Q93" i="1"/>
  <c r="AD104" i="1"/>
  <c r="R93" i="1"/>
  <c r="X104" i="1"/>
  <c r="S104" i="1"/>
  <c r="T104" i="1"/>
  <c r="AG104" i="1"/>
  <c r="K104" i="1"/>
  <c r="P104" i="1"/>
  <c r="Z93" i="1"/>
  <c r="AA93" i="1"/>
  <c r="L93" i="1"/>
  <c r="V93" i="1"/>
  <c r="W93" i="1"/>
  <c r="AF93" i="1"/>
  <c r="O104" i="1"/>
  <c r="Y104" i="1"/>
  <c r="AC104" i="1"/>
  <c r="AE93" i="1"/>
  <c r="H93" i="1"/>
  <c r="G82" i="1"/>
  <c r="AG82" i="1"/>
  <c r="O115" i="1"/>
  <c r="D137" i="1"/>
  <c r="AC115" i="1"/>
  <c r="X148" i="1"/>
  <c r="V137" i="1"/>
  <c r="K137" i="1"/>
  <c r="S82" i="1"/>
  <c r="AA115" i="1"/>
  <c r="AB115" i="1"/>
  <c r="AD148" i="1"/>
  <c r="N148" i="1"/>
  <c r="F82" i="1"/>
  <c r="W137" i="1"/>
  <c r="T82" i="1"/>
  <c r="E82" i="1"/>
  <c r="Y115" i="1"/>
  <c r="AD115" i="1"/>
  <c r="AC148" i="1"/>
  <c r="M126" i="1"/>
  <c r="R126" i="1"/>
  <c r="AE126" i="1"/>
  <c r="I126" i="1"/>
  <c r="S115" i="1"/>
  <c r="K115" i="1"/>
  <c r="Z126" i="1"/>
  <c r="U115" i="1"/>
  <c r="L126" i="1"/>
  <c r="V126" i="1"/>
  <c r="J115" i="1"/>
  <c r="W126" i="1"/>
  <c r="Q126" i="1"/>
  <c r="AF126" i="1"/>
  <c r="X115" i="1"/>
  <c r="T115" i="1"/>
  <c r="N126" i="1"/>
  <c r="AA126" i="1"/>
  <c r="O148" i="1"/>
  <c r="P115" i="1"/>
  <c r="AG115" i="1"/>
  <c r="AE82" i="1"/>
  <c r="U82" i="1"/>
  <c r="S13" i="13"/>
  <c r="AI17" i="1"/>
  <c r="AI15" i="1"/>
  <c r="AI18" i="1"/>
  <c r="S8" i="13"/>
  <c r="AI12" i="1"/>
  <c r="AI11" i="1"/>
  <c r="AI16" i="1"/>
  <c r="B10" i="13"/>
  <c r="S10" i="13" s="1"/>
  <c r="B9" i="13"/>
  <c r="S9" i="13" s="1"/>
  <c r="B6" i="13"/>
  <c r="H20" i="13" s="1"/>
  <c r="Z115" i="1"/>
  <c r="AB93" i="1"/>
  <c r="AD93" i="1"/>
  <c r="Y126" i="1"/>
  <c r="S159" i="1"/>
  <c r="AE137" i="1"/>
  <c r="F49" i="1"/>
  <c r="F187" i="1" s="1"/>
  <c r="X126" i="1"/>
  <c r="G137" i="1"/>
  <c r="J126" i="1"/>
  <c r="AF115" i="1"/>
  <c r="H137" i="1"/>
  <c r="W115" i="1"/>
  <c r="L115" i="1"/>
  <c r="AC93" i="1"/>
  <c r="AA159" i="1"/>
  <c r="N159" i="1"/>
  <c r="Q104" i="1"/>
  <c r="I137" i="1"/>
  <c r="AG126" i="1"/>
  <c r="V115" i="1"/>
  <c r="D104" i="1"/>
  <c r="E115" i="1"/>
  <c r="M115" i="1"/>
  <c r="T93" i="1"/>
  <c r="P126" i="1"/>
  <c r="R104" i="1"/>
  <c r="U148" i="1"/>
  <c r="K126" i="1"/>
  <c r="O126" i="1"/>
  <c r="AD137" i="1"/>
  <c r="Q148" i="1"/>
  <c r="K148" i="1"/>
  <c r="L148" i="1"/>
  <c r="I148" i="1"/>
  <c r="W148" i="1"/>
  <c r="J137" i="1"/>
  <c r="D148" i="1"/>
  <c r="AC137" i="1"/>
  <c r="Z148" i="1"/>
  <c r="AE148" i="1"/>
  <c r="P137" i="1"/>
  <c r="N137" i="1"/>
  <c r="AF137" i="1"/>
  <c r="Y148" i="1"/>
  <c r="AB148" i="1"/>
  <c r="U159" i="1"/>
  <c r="M148" i="1"/>
  <c r="V148" i="1"/>
  <c r="X137" i="1"/>
  <c r="AA148" i="1"/>
  <c r="T148" i="1"/>
  <c r="H148" i="1"/>
  <c r="R137" i="1"/>
  <c r="AG137" i="1"/>
  <c r="S148" i="1"/>
  <c r="O137" i="1"/>
  <c r="C104" i="1"/>
  <c r="F137" i="1"/>
  <c r="E93" i="1"/>
  <c r="Y93" i="1"/>
  <c r="AC126" i="1"/>
  <c r="V104" i="1"/>
  <c r="AF104" i="1"/>
  <c r="R115" i="1"/>
  <c r="W104" i="1"/>
  <c r="Q115" i="1"/>
  <c r="AD126" i="1"/>
  <c r="L104" i="1"/>
  <c r="O93" i="1"/>
  <c r="AB126" i="1"/>
  <c r="X159" i="1"/>
  <c r="P93" i="1"/>
  <c r="K93" i="1"/>
  <c r="N93" i="1"/>
  <c r="S126" i="1"/>
  <c r="M104" i="1"/>
  <c r="AA137" i="1"/>
  <c r="F159" i="1"/>
  <c r="AE159" i="1"/>
  <c r="J93" i="1"/>
  <c r="I104" i="1"/>
  <c r="T126" i="1"/>
  <c r="Z159" i="1"/>
  <c r="AG93" i="1"/>
  <c r="G104" i="1"/>
  <c r="U104" i="1"/>
  <c r="D93" i="1"/>
  <c r="L176" i="17"/>
  <c r="L165" i="17"/>
  <c r="L153" i="17"/>
  <c r="L154" i="17" s="1"/>
  <c r="M63" i="17"/>
  <c r="M64" i="17"/>
  <c r="M164" i="17"/>
  <c r="L120" i="17"/>
  <c r="L121" i="17" s="1"/>
  <c r="M107" i="17"/>
  <c r="M175" i="17"/>
  <c r="M130" i="17"/>
  <c r="M85" i="17"/>
  <c r="M162" i="17"/>
  <c r="M129" i="17"/>
  <c r="L76" i="17"/>
  <c r="L77" i="17" s="1"/>
  <c r="M86" i="17"/>
  <c r="M173" i="17"/>
  <c r="L131" i="17"/>
  <c r="L132" i="17" s="1"/>
  <c r="L87" i="17"/>
  <c r="L88" i="17" s="1"/>
  <c r="L54" i="17"/>
  <c r="L55" i="17" s="1"/>
  <c r="M163" i="17"/>
  <c r="M152" i="17"/>
  <c r="M53" i="17"/>
  <c r="M96" i="17"/>
  <c r="M174" i="17"/>
  <c r="M118" i="17"/>
  <c r="L65" i="17"/>
  <c r="L66" i="17" s="1"/>
  <c r="L142" i="17"/>
  <c r="L143" i="17" s="1"/>
  <c r="M108" i="17"/>
  <c r="M140" i="17"/>
  <c r="M97" i="17"/>
  <c r="M75" i="17"/>
  <c r="M141" i="17"/>
  <c r="M151" i="17"/>
  <c r="L109" i="17"/>
  <c r="L110" i="17" s="1"/>
  <c r="M52" i="17"/>
  <c r="M119" i="17"/>
  <c r="M74" i="17"/>
  <c r="L98" i="17"/>
  <c r="L99" i="17" s="1"/>
  <c r="O7" i="17"/>
  <c r="N45" i="17"/>
  <c r="N46" i="17" s="1"/>
  <c r="C49" i="1"/>
  <c r="C60" i="1"/>
  <c r="AH60" i="1" s="1"/>
  <c r="AK33" i="1" s="1"/>
  <c r="AK10" i="1" s="1"/>
  <c r="C82" i="1"/>
  <c r="C115" i="1"/>
  <c r="C71" i="1"/>
  <c r="C159" i="1"/>
  <c r="C126" i="1"/>
  <c r="C93" i="1"/>
  <c r="C170" i="1"/>
  <c r="AH170" i="1" s="1"/>
  <c r="AK43" i="1" s="1"/>
  <c r="AK20" i="1" s="1"/>
  <c r="C137" i="1"/>
  <c r="C148" i="1"/>
  <c r="L165" i="18"/>
  <c r="L176" i="18"/>
  <c r="M140" i="18"/>
  <c r="L87" i="18"/>
  <c r="L88" i="18" s="1"/>
  <c r="M74" i="18"/>
  <c r="L142" i="18"/>
  <c r="L143" i="18" s="1"/>
  <c r="M75" i="18"/>
  <c r="L65" i="18"/>
  <c r="L66" i="18" s="1"/>
  <c r="M141" i="18"/>
  <c r="M107" i="18"/>
  <c r="L76" i="18"/>
  <c r="L77" i="18" s="1"/>
  <c r="M130" i="18"/>
  <c r="M86" i="18"/>
  <c r="L54" i="18"/>
  <c r="L55" i="18" s="1"/>
  <c r="M164" i="18"/>
  <c r="M129" i="18"/>
  <c r="M108" i="18"/>
  <c r="M96" i="18"/>
  <c r="M151" i="18"/>
  <c r="L120" i="18"/>
  <c r="L121" i="18" s="1"/>
  <c r="L98" i="18"/>
  <c r="L99" i="18" s="1"/>
  <c r="M175" i="18"/>
  <c r="M119" i="18"/>
  <c r="M85" i="18"/>
  <c r="M162" i="18"/>
  <c r="M118" i="18"/>
  <c r="M53" i="18"/>
  <c r="M173" i="18"/>
  <c r="L153" i="18"/>
  <c r="L154" i="18" s="1"/>
  <c r="M52" i="18"/>
  <c r="M64" i="18"/>
  <c r="M152" i="18"/>
  <c r="L131" i="18"/>
  <c r="L132" i="18" s="1"/>
  <c r="M63" i="18"/>
  <c r="M163" i="18"/>
  <c r="L109" i="18"/>
  <c r="L110" i="18" s="1"/>
  <c r="M97" i="18"/>
  <c r="M174" i="18"/>
  <c r="N45" i="18"/>
  <c r="N46" i="18" s="1"/>
  <c r="O7" i="18"/>
  <c r="S12" i="13"/>
  <c r="O26" i="13"/>
  <c r="P26" i="13" s="1"/>
  <c r="J26" i="13" s="1"/>
  <c r="S14" i="13"/>
  <c r="H28" i="13"/>
  <c r="I27" i="13"/>
  <c r="O27" i="13"/>
  <c r="P27" i="13" s="1"/>
  <c r="J27" i="13" s="1"/>
  <c r="M176" i="19"/>
  <c r="M164" i="24"/>
  <c r="M152" i="24"/>
  <c r="L54" i="24"/>
  <c r="L55" i="24" s="1"/>
  <c r="M151" i="24"/>
  <c r="M129" i="24"/>
  <c r="M96" i="24"/>
  <c r="M118" i="24"/>
  <c r="L131" i="24"/>
  <c r="L132" i="24" s="1"/>
  <c r="M175" i="24"/>
  <c r="M130" i="24"/>
  <c r="M85" i="24"/>
  <c r="M162" i="24"/>
  <c r="L98" i="24"/>
  <c r="L99" i="24" s="1"/>
  <c r="M75" i="24"/>
  <c r="M108" i="24"/>
  <c r="M173" i="24"/>
  <c r="L153" i="24"/>
  <c r="L154" i="24" s="1"/>
  <c r="M74" i="24"/>
  <c r="M163" i="24"/>
  <c r="M141" i="24"/>
  <c r="M63" i="24"/>
  <c r="M174" i="24"/>
  <c r="L109" i="24"/>
  <c r="L110" i="24" s="1"/>
  <c r="M53" i="24"/>
  <c r="M64" i="24"/>
  <c r="M107" i="24"/>
  <c r="L142" i="24"/>
  <c r="L143" i="24" s="1"/>
  <c r="M119" i="24"/>
  <c r="L76" i="24"/>
  <c r="L77" i="24" s="1"/>
  <c r="L120" i="24"/>
  <c r="L121" i="24" s="1"/>
  <c r="L87" i="24"/>
  <c r="L88" i="24" s="1"/>
  <c r="M86" i="24"/>
  <c r="M140" i="24"/>
  <c r="M97" i="24"/>
  <c r="M52" i="24"/>
  <c r="L65" i="24"/>
  <c r="L66" i="24" s="1"/>
  <c r="L176" i="24"/>
  <c r="N45" i="24"/>
  <c r="N46" i="24" s="1"/>
  <c r="O7" i="24"/>
  <c r="L165" i="24"/>
  <c r="M176" i="23"/>
  <c r="O45" i="23"/>
  <c r="O46" i="23" s="1"/>
  <c r="P7" i="23"/>
  <c r="N175" i="23"/>
  <c r="N162" i="23"/>
  <c r="N173" i="23"/>
  <c r="N163" i="23"/>
  <c r="N174" i="23"/>
  <c r="N140" i="23"/>
  <c r="N152" i="23"/>
  <c r="N151" i="23"/>
  <c r="M153" i="23"/>
  <c r="M154" i="23" s="1"/>
  <c r="N164" i="23"/>
  <c r="M142" i="23"/>
  <c r="M143" i="23" s="1"/>
  <c r="N141" i="23"/>
  <c r="N118" i="23"/>
  <c r="N96" i="23"/>
  <c r="N130" i="23"/>
  <c r="N129" i="23"/>
  <c r="M131" i="23"/>
  <c r="M132" i="23" s="1"/>
  <c r="M109" i="23"/>
  <c r="M110" i="23" s="1"/>
  <c r="N86" i="23"/>
  <c r="M120" i="23"/>
  <c r="M121" i="23" s="1"/>
  <c r="N108" i="23"/>
  <c r="N107" i="23"/>
  <c r="M98" i="23"/>
  <c r="M99" i="23" s="1"/>
  <c r="N97" i="23"/>
  <c r="N119" i="23"/>
  <c r="N74" i="23"/>
  <c r="N53" i="23"/>
  <c r="N75" i="23"/>
  <c r="N63" i="23"/>
  <c r="M76" i="23"/>
  <c r="M77" i="23" s="1"/>
  <c r="N85" i="23"/>
  <c r="M65" i="23"/>
  <c r="M66" i="23" s="1"/>
  <c r="N52" i="23"/>
  <c r="N64" i="23"/>
  <c r="M87" i="23"/>
  <c r="M88" i="23" s="1"/>
  <c r="M54" i="23"/>
  <c r="M55" i="23" s="1"/>
  <c r="M165" i="23"/>
  <c r="O45" i="22"/>
  <c r="O46" i="22" s="1"/>
  <c r="P7" i="22"/>
  <c r="N175" i="22"/>
  <c r="N162" i="22"/>
  <c r="N173" i="22"/>
  <c r="N163" i="22"/>
  <c r="N174" i="22"/>
  <c r="N140" i="22"/>
  <c r="N152" i="22"/>
  <c r="N151" i="22"/>
  <c r="M153" i="22"/>
  <c r="M154" i="22" s="1"/>
  <c r="M142" i="22"/>
  <c r="M143" i="22" s="1"/>
  <c r="N141" i="22"/>
  <c r="N164" i="22"/>
  <c r="N119" i="22"/>
  <c r="N108" i="22"/>
  <c r="M120" i="22"/>
  <c r="M121" i="22" s="1"/>
  <c r="N118" i="22"/>
  <c r="N130" i="22"/>
  <c r="N129" i="22"/>
  <c r="M131" i="22"/>
  <c r="M132" i="22" s="1"/>
  <c r="N97" i="22"/>
  <c r="M65" i="22"/>
  <c r="M66" i="22" s="1"/>
  <c r="N75" i="22"/>
  <c r="N107" i="22"/>
  <c r="N96" i="22"/>
  <c r="N86" i="22"/>
  <c r="M98" i="22"/>
  <c r="M99" i="22" s="1"/>
  <c r="N63" i="22"/>
  <c r="M87" i="22"/>
  <c r="M88" i="22" s="1"/>
  <c r="M54" i="22"/>
  <c r="M55" i="22" s="1"/>
  <c r="N53" i="22"/>
  <c r="M109" i="22"/>
  <c r="M110" i="22" s="1"/>
  <c r="N85" i="22"/>
  <c r="N74" i="22"/>
  <c r="N52" i="22"/>
  <c r="M76" i="22"/>
  <c r="M77" i="22" s="1"/>
  <c r="N64" i="22"/>
  <c r="M176" i="22"/>
  <c r="M165" i="22"/>
  <c r="N175" i="21"/>
  <c r="N162" i="21"/>
  <c r="N173" i="21"/>
  <c r="N152" i="21"/>
  <c r="N163" i="21"/>
  <c r="N174" i="21"/>
  <c r="M153" i="21"/>
  <c r="M154" i="21" s="1"/>
  <c r="M142" i="21"/>
  <c r="M143" i="21" s="1"/>
  <c r="N130" i="21"/>
  <c r="N151" i="21"/>
  <c r="M109" i="21"/>
  <c r="M110" i="21" s="1"/>
  <c r="N141" i="21"/>
  <c r="N164" i="21"/>
  <c r="M131" i="21"/>
  <c r="M132" i="21" s="1"/>
  <c r="N140" i="21"/>
  <c r="N107" i="21"/>
  <c r="N97" i="21"/>
  <c r="N118" i="21"/>
  <c r="N129" i="21"/>
  <c r="N119" i="21"/>
  <c r="M98" i="21"/>
  <c r="M99" i="21" s="1"/>
  <c r="M120" i="21"/>
  <c r="M121" i="21" s="1"/>
  <c r="M87" i="21"/>
  <c r="M88" i="21" s="1"/>
  <c r="N63" i="21"/>
  <c r="M65" i="21"/>
  <c r="M66" i="21" s="1"/>
  <c r="N108" i="21"/>
  <c r="N96" i="21"/>
  <c r="M76" i="21"/>
  <c r="M77" i="21" s="1"/>
  <c r="N74" i="21"/>
  <c r="N53" i="21"/>
  <c r="N86" i="21"/>
  <c r="N75" i="21"/>
  <c r="M54" i="21"/>
  <c r="M55" i="21" s="1"/>
  <c r="N64" i="21"/>
  <c r="N85" i="21"/>
  <c r="N52" i="21"/>
  <c r="M176" i="21"/>
  <c r="M165" i="21"/>
  <c r="O45" i="21"/>
  <c r="O46" i="21" s="1"/>
  <c r="P7" i="21"/>
  <c r="N165" i="20"/>
  <c r="P45" i="20"/>
  <c r="P46" i="20" s="1"/>
  <c r="Q7" i="20"/>
  <c r="O175" i="20"/>
  <c r="O162" i="20"/>
  <c r="O173" i="20"/>
  <c r="O163" i="20"/>
  <c r="O174" i="20"/>
  <c r="O164" i="20"/>
  <c r="O151" i="20"/>
  <c r="N131" i="20"/>
  <c r="N132" i="20" s="1"/>
  <c r="O140" i="20"/>
  <c r="O129" i="20"/>
  <c r="N153" i="20"/>
  <c r="N154" i="20" s="1"/>
  <c r="N142" i="20"/>
  <c r="N143" i="20" s="1"/>
  <c r="O141" i="20"/>
  <c r="N98" i="20"/>
  <c r="N99" i="20" s="1"/>
  <c r="N120" i="20"/>
  <c r="N121" i="20" s="1"/>
  <c r="O108" i="20"/>
  <c r="O97" i="20"/>
  <c r="O130" i="20"/>
  <c r="O118" i="20"/>
  <c r="O152" i="20"/>
  <c r="O96" i="20"/>
  <c r="O119" i="20"/>
  <c r="O74" i="20"/>
  <c r="O63" i="20"/>
  <c r="O85" i="20"/>
  <c r="O107" i="20"/>
  <c r="O86" i="20"/>
  <c r="N109" i="20"/>
  <c r="N110" i="20" s="1"/>
  <c r="N87" i="20"/>
  <c r="N88" i="20" s="1"/>
  <c r="N54" i="20"/>
  <c r="N55" i="20" s="1"/>
  <c r="O64" i="20"/>
  <c r="N76" i="20"/>
  <c r="N77" i="20" s="1"/>
  <c r="N65" i="20"/>
  <c r="N66" i="20" s="1"/>
  <c r="O52" i="20"/>
  <c r="O75" i="20"/>
  <c r="O53" i="20"/>
  <c r="N176" i="20"/>
  <c r="O45" i="19"/>
  <c r="O46" i="19" s="1"/>
  <c r="P7" i="19"/>
  <c r="N175" i="19"/>
  <c r="N162" i="19"/>
  <c r="N141" i="19"/>
  <c r="N173" i="19"/>
  <c r="N163" i="19"/>
  <c r="N174" i="19"/>
  <c r="N164" i="19"/>
  <c r="M142" i="19"/>
  <c r="M143" i="19" s="1"/>
  <c r="N140" i="19"/>
  <c r="M153" i="19"/>
  <c r="M154" i="19" s="1"/>
  <c r="N152" i="19"/>
  <c r="M131" i="19"/>
  <c r="M132" i="19" s="1"/>
  <c r="N151" i="19"/>
  <c r="N130" i="19"/>
  <c r="N129" i="19"/>
  <c r="M120" i="19"/>
  <c r="M121" i="19" s="1"/>
  <c r="N119" i="19"/>
  <c r="N118" i="19"/>
  <c r="N96" i="19"/>
  <c r="M87" i="19"/>
  <c r="M88" i="19" s="1"/>
  <c r="M109" i="19"/>
  <c r="M110" i="19" s="1"/>
  <c r="M98" i="19"/>
  <c r="M99" i="19" s="1"/>
  <c r="N97" i="19"/>
  <c r="N86" i="19"/>
  <c r="M76" i="19"/>
  <c r="M77" i="19" s="1"/>
  <c r="N74" i="19"/>
  <c r="N107" i="19"/>
  <c r="N85" i="19"/>
  <c r="M54" i="19"/>
  <c r="M55" i="19" s="1"/>
  <c r="N108" i="19"/>
  <c r="N63" i="19"/>
  <c r="N53" i="19"/>
  <c r="M65" i="19"/>
  <c r="M66" i="19" s="1"/>
  <c r="N52" i="19"/>
  <c r="N64" i="19"/>
  <c r="N75" i="19"/>
  <c r="M165" i="19"/>
  <c r="N176" i="16"/>
  <c r="O175" i="16"/>
  <c r="O162" i="16"/>
  <c r="O141" i="16"/>
  <c r="O173" i="16"/>
  <c r="O163" i="16"/>
  <c r="O174" i="16"/>
  <c r="N153" i="16"/>
  <c r="N154" i="16" s="1"/>
  <c r="O164" i="16"/>
  <c r="O140" i="16"/>
  <c r="O151" i="16"/>
  <c r="N120" i="16"/>
  <c r="N121" i="16" s="1"/>
  <c r="N142" i="16"/>
  <c r="N143" i="16" s="1"/>
  <c r="N131" i="16"/>
  <c r="N132" i="16" s="1"/>
  <c r="O152" i="16"/>
  <c r="O119" i="16"/>
  <c r="O118" i="16"/>
  <c r="O129" i="16"/>
  <c r="O97" i="16"/>
  <c r="O108" i="16"/>
  <c r="N98" i="16"/>
  <c r="N99" i="16" s="1"/>
  <c r="O130" i="16"/>
  <c r="O86" i="16"/>
  <c r="N76" i="16"/>
  <c r="N77" i="16" s="1"/>
  <c r="N109" i="16"/>
  <c r="N110" i="16" s="1"/>
  <c r="O107" i="16"/>
  <c r="O63" i="16"/>
  <c r="O96" i="16"/>
  <c r="N87" i="16"/>
  <c r="N88" i="16" s="1"/>
  <c r="O74" i="16"/>
  <c r="N65" i="16"/>
  <c r="N66" i="16" s="1"/>
  <c r="O75" i="16"/>
  <c r="O85" i="16"/>
  <c r="N54" i="16"/>
  <c r="N55" i="16" s="1"/>
  <c r="O53" i="16"/>
  <c r="O52" i="16"/>
  <c r="O64" i="16"/>
  <c r="Q7" i="16"/>
  <c r="P45" i="16"/>
  <c r="P46" i="16" s="1"/>
  <c r="N165" i="16"/>
  <c r="M165" i="15"/>
  <c r="O45" i="15"/>
  <c r="O46" i="15" s="1"/>
  <c r="P7" i="15"/>
  <c r="N175" i="15"/>
  <c r="N162" i="15"/>
  <c r="N141" i="15"/>
  <c r="N173" i="15"/>
  <c r="N163" i="15"/>
  <c r="N174" i="15"/>
  <c r="M153" i="15"/>
  <c r="M154" i="15" s="1"/>
  <c r="N152" i="15"/>
  <c r="M131" i="15"/>
  <c r="M132" i="15" s="1"/>
  <c r="N140" i="15"/>
  <c r="N129" i="15"/>
  <c r="N164" i="15"/>
  <c r="M142" i="15"/>
  <c r="M143" i="15" s="1"/>
  <c r="M120" i="15"/>
  <c r="M121" i="15" s="1"/>
  <c r="M98" i="15"/>
  <c r="M99" i="15" s="1"/>
  <c r="N96" i="15"/>
  <c r="N118" i="15"/>
  <c r="N97" i="15"/>
  <c r="N151" i="15"/>
  <c r="N119" i="15"/>
  <c r="N108" i="15"/>
  <c r="N107" i="15"/>
  <c r="N74" i="15"/>
  <c r="N130" i="15"/>
  <c r="M87" i="15"/>
  <c r="M88" i="15" s="1"/>
  <c r="N86" i="15"/>
  <c r="N63" i="15"/>
  <c r="N85" i="15"/>
  <c r="M109" i="15"/>
  <c r="M110" i="15" s="1"/>
  <c r="N75" i="15"/>
  <c r="N53" i="15"/>
  <c r="M76" i="15"/>
  <c r="M77" i="15" s="1"/>
  <c r="N64" i="15"/>
  <c r="N52" i="15"/>
  <c r="M65" i="15"/>
  <c r="M66" i="15" s="1"/>
  <c r="M54" i="15"/>
  <c r="M55" i="15" s="1"/>
  <c r="M176" i="15"/>
  <c r="M176" i="14"/>
  <c r="P7" i="14"/>
  <c r="O45" i="14"/>
  <c r="O46" i="14" s="1"/>
  <c r="N175" i="14"/>
  <c r="N162" i="14"/>
  <c r="N173" i="14"/>
  <c r="N163" i="14"/>
  <c r="N174" i="14"/>
  <c r="N140" i="14"/>
  <c r="N129" i="14"/>
  <c r="M142" i="14"/>
  <c r="M143" i="14" s="1"/>
  <c r="N141" i="14"/>
  <c r="N164" i="14"/>
  <c r="M153" i="14"/>
  <c r="M154" i="14" s="1"/>
  <c r="N152" i="14"/>
  <c r="N151" i="14"/>
  <c r="N119" i="14"/>
  <c r="M131" i="14"/>
  <c r="M132" i="14" s="1"/>
  <c r="M98" i="14"/>
  <c r="M99" i="14" s="1"/>
  <c r="N75" i="14"/>
  <c r="N130" i="14"/>
  <c r="M109" i="14"/>
  <c r="M110" i="14" s="1"/>
  <c r="N118" i="14"/>
  <c r="M120" i="14"/>
  <c r="M121" i="14" s="1"/>
  <c r="N108" i="14"/>
  <c r="N96" i="14"/>
  <c r="N86" i="14"/>
  <c r="M65" i="14"/>
  <c r="M66" i="14" s="1"/>
  <c r="N97" i="14"/>
  <c r="N85" i="14"/>
  <c r="M76" i="14"/>
  <c r="M77" i="14" s="1"/>
  <c r="N63" i="14"/>
  <c r="N74" i="14"/>
  <c r="N107" i="14"/>
  <c r="N64" i="14"/>
  <c r="N53" i="14"/>
  <c r="N52" i="14"/>
  <c r="M54" i="14"/>
  <c r="M55" i="14" s="1"/>
  <c r="M87" i="14"/>
  <c r="M88" i="14" s="1"/>
  <c r="M165" i="14"/>
  <c r="CB9" i="1"/>
  <c r="B5" i="13"/>
  <c r="S5" i="13" s="1"/>
  <c r="CC9" i="1"/>
  <c r="CD9" i="1" s="1"/>
  <c r="C176" i="1"/>
  <c r="C165" i="1"/>
  <c r="D176" i="1"/>
  <c r="E164" i="1"/>
  <c r="E162" i="1"/>
  <c r="E173" i="1"/>
  <c r="E174" i="1"/>
  <c r="E175" i="1"/>
  <c r="E163" i="1"/>
  <c r="D165" i="1"/>
  <c r="C143" i="1"/>
  <c r="C154" i="1"/>
  <c r="O22" i="13"/>
  <c r="P22" i="13" s="1"/>
  <c r="J22" i="13" s="1"/>
  <c r="C110" i="1"/>
  <c r="C66" i="1"/>
  <c r="S7" i="13"/>
  <c r="C99" i="1"/>
  <c r="C121" i="1"/>
  <c r="C88" i="1"/>
  <c r="C77" i="1"/>
  <c r="C132" i="1"/>
  <c r="C55" i="1"/>
  <c r="BX63" i="1"/>
  <c r="AF8" i="1"/>
  <c r="BW63" i="1"/>
  <c r="AE5" i="1"/>
  <c r="AE8" i="1"/>
  <c r="AH5" i="1"/>
  <c r="BV63" i="1"/>
  <c r="AG5" i="1"/>
  <c r="BY63" i="1"/>
  <c r="CA60" i="1"/>
  <c r="AI47" i="1"/>
  <c r="AG8" i="1"/>
  <c r="O21" i="13"/>
  <c r="P21" i="13" s="1"/>
  <c r="J21" i="13" s="1"/>
  <c r="I21" i="13"/>
  <c r="G7" i="1"/>
  <c r="F45" i="1"/>
  <c r="F46" i="1" s="1"/>
  <c r="D54" i="1"/>
  <c r="D55" i="1" s="1"/>
  <c r="E64" i="1"/>
  <c r="E52" i="1"/>
  <c r="E53" i="1"/>
  <c r="E63" i="1"/>
  <c r="E74" i="1"/>
  <c r="D65" i="1"/>
  <c r="D66" i="1" s="1"/>
  <c r="E75" i="1"/>
  <c r="D109" i="1"/>
  <c r="D110" i="1" s="1"/>
  <c r="E118" i="1"/>
  <c r="E130" i="1"/>
  <c r="D153" i="1"/>
  <c r="D154" i="1" s="1"/>
  <c r="E86" i="1"/>
  <c r="E97" i="1"/>
  <c r="D120" i="1"/>
  <c r="D121" i="1" s="1"/>
  <c r="E129" i="1"/>
  <c r="E141" i="1"/>
  <c r="E85" i="1"/>
  <c r="E96" i="1"/>
  <c r="E108" i="1"/>
  <c r="D131" i="1"/>
  <c r="D132" i="1" s="1"/>
  <c r="E140" i="1"/>
  <c r="E152" i="1"/>
  <c r="D76" i="1"/>
  <c r="D77" i="1" s="1"/>
  <c r="D87" i="1"/>
  <c r="D88" i="1" s="1"/>
  <c r="D98" i="1"/>
  <c r="D99" i="1" s="1"/>
  <c r="E107" i="1"/>
  <c r="E119" i="1"/>
  <c r="D142" i="1"/>
  <c r="D143" i="1" s="1"/>
  <c r="E151" i="1"/>
  <c r="I25" i="13" l="1"/>
  <c r="AH49" i="1"/>
  <c r="AK32" i="1" s="1"/>
  <c r="AK9" i="1" s="1"/>
  <c r="AH71" i="1"/>
  <c r="AK34" i="1" s="1"/>
  <c r="AK11" i="1" s="1"/>
  <c r="AH82" i="1"/>
  <c r="AK35" i="1" s="1"/>
  <c r="AK12" i="1" s="1"/>
  <c r="H24" i="13"/>
  <c r="I24" i="13" s="1"/>
  <c r="S6" i="13"/>
  <c r="H23" i="13"/>
  <c r="I23" i="13" s="1"/>
  <c r="AH104" i="1"/>
  <c r="AK37" i="1" s="1"/>
  <c r="AK14" i="1" s="1"/>
  <c r="AH137" i="1"/>
  <c r="AK40" i="1" s="1"/>
  <c r="AK17" i="1" s="1"/>
  <c r="AH159" i="1"/>
  <c r="AK42" i="1" s="1"/>
  <c r="AK19" i="1" s="1"/>
  <c r="AH115" i="1"/>
  <c r="AK38" i="1" s="1"/>
  <c r="AK15" i="1" s="1"/>
  <c r="AH93" i="1"/>
  <c r="AK36" i="1" s="1"/>
  <c r="AK13" i="1" s="1"/>
  <c r="AH148" i="1"/>
  <c r="AK41" i="1" s="1"/>
  <c r="AK18" i="1" s="1"/>
  <c r="AH126" i="1"/>
  <c r="AK39" i="1" s="1"/>
  <c r="AK16" i="1" s="1"/>
  <c r="C187" i="1"/>
  <c r="AH187" i="1" s="1"/>
  <c r="M165" i="17"/>
  <c r="N162" i="17"/>
  <c r="M120" i="17"/>
  <c r="M121" i="17" s="1"/>
  <c r="N107" i="17"/>
  <c r="N173" i="17"/>
  <c r="N151" i="17"/>
  <c r="N85" i="17"/>
  <c r="N163" i="17"/>
  <c r="N119" i="17"/>
  <c r="N64" i="17"/>
  <c r="N130" i="17"/>
  <c r="N174" i="17"/>
  <c r="N108" i="17"/>
  <c r="N53" i="17"/>
  <c r="N140" i="17"/>
  <c r="M131" i="17"/>
  <c r="M132" i="17" s="1"/>
  <c r="N52" i="17"/>
  <c r="M153" i="17"/>
  <c r="M154" i="17" s="1"/>
  <c r="M109" i="17"/>
  <c r="M110" i="17" s="1"/>
  <c r="M65" i="17"/>
  <c r="M66" i="17" s="1"/>
  <c r="M142" i="17"/>
  <c r="M143" i="17" s="1"/>
  <c r="N152" i="17"/>
  <c r="M76" i="17"/>
  <c r="M77" i="17" s="1"/>
  <c r="N141" i="17"/>
  <c r="M98" i="17"/>
  <c r="M99" i="17" s="1"/>
  <c r="M87" i="17"/>
  <c r="M88" i="17" s="1"/>
  <c r="M54" i="17"/>
  <c r="M55" i="17" s="1"/>
  <c r="N164" i="17"/>
  <c r="N86" i="17"/>
  <c r="N97" i="17"/>
  <c r="N118" i="17"/>
  <c r="N96" i="17"/>
  <c r="N75" i="17"/>
  <c r="N175" i="17"/>
  <c r="N129" i="17"/>
  <c r="N63" i="17"/>
  <c r="N74" i="17"/>
  <c r="M176" i="17"/>
  <c r="O45" i="17"/>
  <c r="O46" i="17" s="1"/>
  <c r="P7" i="17"/>
  <c r="M165" i="18"/>
  <c r="P7" i="18"/>
  <c r="O45" i="18"/>
  <c r="O46" i="18" s="1"/>
  <c r="M176" i="18"/>
  <c r="N130" i="18"/>
  <c r="N107" i="18"/>
  <c r="N64" i="18"/>
  <c r="N140" i="18"/>
  <c r="N86" i="18"/>
  <c r="N75" i="18"/>
  <c r="M109" i="18"/>
  <c r="M110" i="18" s="1"/>
  <c r="M142" i="18"/>
  <c r="M143" i="18" s="1"/>
  <c r="N85" i="18"/>
  <c r="N164" i="18"/>
  <c r="N129" i="18"/>
  <c r="M76" i="18"/>
  <c r="M77" i="18" s="1"/>
  <c r="N108" i="18"/>
  <c r="N175" i="18"/>
  <c r="N151" i="18"/>
  <c r="N96" i="18"/>
  <c r="M65" i="18"/>
  <c r="M66" i="18" s="1"/>
  <c r="N118" i="18"/>
  <c r="N162" i="18"/>
  <c r="M131" i="18"/>
  <c r="M132" i="18" s="1"/>
  <c r="N74" i="18"/>
  <c r="N173" i="18"/>
  <c r="N152" i="18"/>
  <c r="M87" i="18"/>
  <c r="M88" i="18" s="1"/>
  <c r="N53" i="18"/>
  <c r="N163" i="18"/>
  <c r="M120" i="18"/>
  <c r="M121" i="18" s="1"/>
  <c r="N52" i="18"/>
  <c r="N141" i="18"/>
  <c r="N97" i="18"/>
  <c r="N174" i="18"/>
  <c r="N119" i="18"/>
  <c r="N63" i="18"/>
  <c r="M153" i="18"/>
  <c r="M154" i="18" s="1"/>
  <c r="M98" i="18"/>
  <c r="M99" i="18" s="1"/>
  <c r="M54" i="18"/>
  <c r="M55" i="18" s="1"/>
  <c r="I28" i="13"/>
  <c r="O28" i="13"/>
  <c r="P28" i="13" s="1"/>
  <c r="J28" i="13" s="1"/>
  <c r="H19" i="13"/>
  <c r="I19" i="13" s="1"/>
  <c r="M176" i="24"/>
  <c r="O45" i="24"/>
  <c r="O46" i="24" s="1"/>
  <c r="P7" i="24"/>
  <c r="N163" i="24"/>
  <c r="M153" i="24"/>
  <c r="M154" i="24" s="1"/>
  <c r="N75" i="24"/>
  <c r="N174" i="24"/>
  <c r="N96" i="24"/>
  <c r="N86" i="24"/>
  <c r="N140" i="24"/>
  <c r="N141" i="24"/>
  <c r="N74" i="24"/>
  <c r="N162" i="24"/>
  <c r="M76" i="24"/>
  <c r="M77" i="24" s="1"/>
  <c r="M120" i="24"/>
  <c r="M121" i="24" s="1"/>
  <c r="M109" i="24"/>
  <c r="M110" i="24" s="1"/>
  <c r="N63" i="24"/>
  <c r="N119" i="24"/>
  <c r="N151" i="24"/>
  <c r="M98" i="24"/>
  <c r="M99" i="24" s="1"/>
  <c r="M54" i="24"/>
  <c r="M55" i="24" s="1"/>
  <c r="M65" i="24"/>
  <c r="M66" i="24" s="1"/>
  <c r="N118" i="24"/>
  <c r="M87" i="24"/>
  <c r="M88" i="24" s="1"/>
  <c r="N53" i="24"/>
  <c r="M131" i="24"/>
  <c r="M132" i="24" s="1"/>
  <c r="N108" i="24"/>
  <c r="N52" i="24"/>
  <c r="N130" i="24"/>
  <c r="N129" i="24"/>
  <c r="N97" i="24"/>
  <c r="N64" i="24"/>
  <c r="N152" i="24"/>
  <c r="N175" i="24"/>
  <c r="N164" i="24"/>
  <c r="N107" i="24"/>
  <c r="N173" i="24"/>
  <c r="M142" i="24"/>
  <c r="M143" i="24" s="1"/>
  <c r="N85" i="24"/>
  <c r="M165" i="24"/>
  <c r="N176" i="23"/>
  <c r="N165" i="23"/>
  <c r="P45" i="23"/>
  <c r="P46" i="23" s="1"/>
  <c r="Q7" i="23"/>
  <c r="O175" i="23"/>
  <c r="O162" i="23"/>
  <c r="O141" i="23"/>
  <c r="O173" i="23"/>
  <c r="O163" i="23"/>
  <c r="O174" i="23"/>
  <c r="N153" i="23"/>
  <c r="N154" i="23" s="1"/>
  <c r="O152" i="23"/>
  <c r="O151" i="23"/>
  <c r="O130" i="23"/>
  <c r="O164" i="23"/>
  <c r="N142" i="23"/>
  <c r="N143" i="23" s="1"/>
  <c r="O140" i="23"/>
  <c r="N131" i="23"/>
  <c r="N132" i="23" s="1"/>
  <c r="O118" i="23"/>
  <c r="N98" i="23"/>
  <c r="N99" i="23" s="1"/>
  <c r="N109" i="23"/>
  <c r="N110" i="23" s="1"/>
  <c r="O129" i="23"/>
  <c r="O86" i="23"/>
  <c r="N120" i="23"/>
  <c r="N121" i="23" s="1"/>
  <c r="O108" i="23"/>
  <c r="O107" i="23"/>
  <c r="N76" i="23"/>
  <c r="N77" i="23" s="1"/>
  <c r="O97" i="23"/>
  <c r="O119" i="23"/>
  <c r="N87" i="23"/>
  <c r="N88" i="23" s="1"/>
  <c r="O96" i="23"/>
  <c r="O74" i="23"/>
  <c r="O53" i="23"/>
  <c r="O75" i="23"/>
  <c r="O63" i="23"/>
  <c r="O85" i="23"/>
  <c r="N65" i="23"/>
  <c r="N66" i="23" s="1"/>
  <c r="O52" i="23"/>
  <c r="N54" i="23"/>
  <c r="N55" i="23" s="1"/>
  <c r="O64" i="23"/>
  <c r="N176" i="22"/>
  <c r="N165" i="22"/>
  <c r="P45" i="22"/>
  <c r="P46" i="22" s="1"/>
  <c r="Q7" i="22"/>
  <c r="O175" i="22"/>
  <c r="O162" i="22"/>
  <c r="O141" i="22"/>
  <c r="O173" i="22"/>
  <c r="O163" i="22"/>
  <c r="O174" i="22"/>
  <c r="N153" i="22"/>
  <c r="N154" i="22" s="1"/>
  <c r="N142" i="22"/>
  <c r="N143" i="22" s="1"/>
  <c r="O164" i="22"/>
  <c r="O119" i="22"/>
  <c r="O108" i="22"/>
  <c r="N120" i="22"/>
  <c r="N121" i="22" s="1"/>
  <c r="O140" i="22"/>
  <c r="O118" i="22"/>
  <c r="O130" i="22"/>
  <c r="O129" i="22"/>
  <c r="N131" i="22"/>
  <c r="N132" i="22" s="1"/>
  <c r="O152" i="22"/>
  <c r="O75" i="22"/>
  <c r="O151" i="22"/>
  <c r="O107" i="22"/>
  <c r="O96" i="22"/>
  <c r="O86" i="22"/>
  <c r="N76" i="22"/>
  <c r="N77" i="22" s="1"/>
  <c r="N98" i="22"/>
  <c r="N99" i="22" s="1"/>
  <c r="N87" i="22"/>
  <c r="N88" i="22" s="1"/>
  <c r="O64" i="22"/>
  <c r="O53" i="22"/>
  <c r="O52" i="22"/>
  <c r="N109" i="22"/>
  <c r="N110" i="22" s="1"/>
  <c r="O85" i="22"/>
  <c r="O63" i="22"/>
  <c r="O74" i="22"/>
  <c r="N65" i="22"/>
  <c r="N66" i="22" s="1"/>
  <c r="O97" i="22"/>
  <c r="N54" i="22"/>
  <c r="N55" i="22" s="1"/>
  <c r="N176" i="21"/>
  <c r="P45" i="21"/>
  <c r="P46" i="21" s="1"/>
  <c r="Q7" i="21"/>
  <c r="N165" i="21"/>
  <c r="O175" i="21"/>
  <c r="O162" i="21"/>
  <c r="O173" i="21"/>
  <c r="O152" i="21"/>
  <c r="O163" i="21"/>
  <c r="O174" i="21"/>
  <c r="N153" i="21"/>
  <c r="N154" i="21" s="1"/>
  <c r="O164" i="21"/>
  <c r="O151" i="21"/>
  <c r="O130" i="21"/>
  <c r="O141" i="21"/>
  <c r="O107" i="21"/>
  <c r="N120" i="21"/>
  <c r="N121" i="21" s="1"/>
  <c r="N131" i="21"/>
  <c r="N132" i="21" s="1"/>
  <c r="O140" i="21"/>
  <c r="O129" i="21"/>
  <c r="O97" i="21"/>
  <c r="O118" i="21"/>
  <c r="O119" i="21"/>
  <c r="N142" i="21"/>
  <c r="N143" i="21" s="1"/>
  <c r="O96" i="21"/>
  <c r="O64" i="21"/>
  <c r="N109" i="21"/>
  <c r="N110" i="21" s="1"/>
  <c r="O108" i="21"/>
  <c r="O86" i="21"/>
  <c r="O75" i="21"/>
  <c r="N98" i="21"/>
  <c r="N99" i="21" s="1"/>
  <c r="O85" i="21"/>
  <c r="N76" i="21"/>
  <c r="N77" i="21" s="1"/>
  <c r="O63" i="21"/>
  <c r="N65" i="21"/>
  <c r="N66" i="21" s="1"/>
  <c r="O74" i="21"/>
  <c r="N87" i="21"/>
  <c r="N88" i="21" s="1"/>
  <c r="N54" i="21"/>
  <c r="N55" i="21" s="1"/>
  <c r="O53" i="21"/>
  <c r="O52" i="21"/>
  <c r="O165" i="20"/>
  <c r="O176" i="20"/>
  <c r="R7" i="20"/>
  <c r="Q45" i="20"/>
  <c r="Q46" i="20" s="1"/>
  <c r="P173" i="20"/>
  <c r="P152" i="20"/>
  <c r="P163" i="20"/>
  <c r="P174" i="20"/>
  <c r="O153" i="20"/>
  <c r="O154" i="20" s="1"/>
  <c r="P164" i="20"/>
  <c r="O131" i="20"/>
  <c r="O132" i="20" s="1"/>
  <c r="P140" i="20"/>
  <c r="P129" i="20"/>
  <c r="P108" i="20"/>
  <c r="P119" i="20"/>
  <c r="O142" i="20"/>
  <c r="O143" i="20" s="1"/>
  <c r="P151" i="20"/>
  <c r="P130" i="20"/>
  <c r="P175" i="20"/>
  <c r="P141" i="20"/>
  <c r="P162" i="20"/>
  <c r="O120" i="20"/>
  <c r="O121" i="20" s="1"/>
  <c r="P75" i="20"/>
  <c r="P97" i="20"/>
  <c r="P118" i="20"/>
  <c r="P107" i="20"/>
  <c r="O109" i="20"/>
  <c r="O110" i="20" s="1"/>
  <c r="O98" i="20"/>
  <c r="O99" i="20" s="1"/>
  <c r="P64" i="20"/>
  <c r="P53" i="20"/>
  <c r="P85" i="20"/>
  <c r="P86" i="20"/>
  <c r="P96" i="20"/>
  <c r="O87" i="20"/>
  <c r="O88" i="20" s="1"/>
  <c r="O54" i="20"/>
  <c r="O55" i="20" s="1"/>
  <c r="P63" i="20"/>
  <c r="O76" i="20"/>
  <c r="O77" i="20" s="1"/>
  <c r="O65" i="20"/>
  <c r="O66" i="20" s="1"/>
  <c r="P52" i="20"/>
  <c r="P74" i="20"/>
  <c r="N176" i="19"/>
  <c r="N165" i="19"/>
  <c r="P45" i="19"/>
  <c r="P46" i="19" s="1"/>
  <c r="Q7" i="19"/>
  <c r="O175" i="19"/>
  <c r="O162" i="19"/>
  <c r="O173" i="19"/>
  <c r="O152" i="19"/>
  <c r="O163" i="19"/>
  <c r="O174" i="19"/>
  <c r="N142" i="19"/>
  <c r="N143" i="19" s="1"/>
  <c r="O141" i="19"/>
  <c r="O140" i="19"/>
  <c r="O119" i="19"/>
  <c r="N153" i="19"/>
  <c r="N154" i="19" s="1"/>
  <c r="O164" i="19"/>
  <c r="N120" i="19"/>
  <c r="N121" i="19" s="1"/>
  <c r="O151" i="19"/>
  <c r="N131" i="19"/>
  <c r="N132" i="19" s="1"/>
  <c r="O130" i="19"/>
  <c r="O108" i="19"/>
  <c r="O129" i="19"/>
  <c r="O118" i="19"/>
  <c r="N109" i="19"/>
  <c r="N110" i="19" s="1"/>
  <c r="N98" i="19"/>
  <c r="N99" i="19" s="1"/>
  <c r="O97" i="19"/>
  <c r="O86" i="19"/>
  <c r="N76" i="19"/>
  <c r="N77" i="19" s="1"/>
  <c r="O96" i="19"/>
  <c r="O74" i="19"/>
  <c r="O107" i="19"/>
  <c r="O85" i="19"/>
  <c r="N65" i="19"/>
  <c r="N66" i="19" s="1"/>
  <c r="O75" i="19"/>
  <c r="O63" i="19"/>
  <c r="O53" i="19"/>
  <c r="N87" i="19"/>
  <c r="N88" i="19" s="1"/>
  <c r="O52" i="19"/>
  <c r="O64" i="19"/>
  <c r="N54" i="19"/>
  <c r="N55" i="19" s="1"/>
  <c r="O176" i="16"/>
  <c r="O165" i="16"/>
  <c r="Q45" i="16"/>
  <c r="Q46" i="16" s="1"/>
  <c r="R7" i="16"/>
  <c r="P173" i="16"/>
  <c r="P152" i="16"/>
  <c r="P163" i="16"/>
  <c r="P174" i="16"/>
  <c r="P164" i="16"/>
  <c r="P151" i="16"/>
  <c r="O153" i="16"/>
  <c r="O154" i="16" s="1"/>
  <c r="P141" i="16"/>
  <c r="O142" i="16"/>
  <c r="O143" i="16" s="1"/>
  <c r="P118" i="16"/>
  <c r="P162" i="16"/>
  <c r="O131" i="16"/>
  <c r="O132" i="16" s="1"/>
  <c r="P175" i="16"/>
  <c r="P129" i="16"/>
  <c r="P97" i="16"/>
  <c r="P140" i="16"/>
  <c r="P96" i="16"/>
  <c r="P86" i="16"/>
  <c r="O109" i="16"/>
  <c r="O110" i="16" s="1"/>
  <c r="P107" i="16"/>
  <c r="P74" i="16"/>
  <c r="P119" i="16"/>
  <c r="O98" i="16"/>
  <c r="O99" i="16" s="1"/>
  <c r="P64" i="16"/>
  <c r="P85" i="16"/>
  <c r="P130" i="16"/>
  <c r="P108" i="16"/>
  <c r="O120" i="16"/>
  <c r="O121" i="16" s="1"/>
  <c r="P63" i="16"/>
  <c r="O87" i="16"/>
  <c r="O88" i="16" s="1"/>
  <c r="O65" i="16"/>
  <c r="O66" i="16" s="1"/>
  <c r="P75" i="16"/>
  <c r="O76" i="16"/>
  <c r="O77" i="16" s="1"/>
  <c r="P53" i="16"/>
  <c r="P52" i="16"/>
  <c r="O54" i="16"/>
  <c r="O55" i="16" s="1"/>
  <c r="N176" i="15"/>
  <c r="N165" i="15"/>
  <c r="P45" i="15"/>
  <c r="P46" i="15" s="1"/>
  <c r="Q7" i="15"/>
  <c r="O175" i="15"/>
  <c r="O162" i="15"/>
  <c r="O173" i="15"/>
  <c r="O163" i="15"/>
  <c r="O174" i="15"/>
  <c r="O164" i="15"/>
  <c r="O151" i="15"/>
  <c r="O152" i="15"/>
  <c r="N131" i="15"/>
  <c r="N132" i="15" s="1"/>
  <c r="O140" i="15"/>
  <c r="O129" i="15"/>
  <c r="N153" i="15"/>
  <c r="N154" i="15" s="1"/>
  <c r="N142" i="15"/>
  <c r="N143" i="15" s="1"/>
  <c r="O130" i="15"/>
  <c r="N120" i="15"/>
  <c r="N121" i="15" s="1"/>
  <c r="O96" i="15"/>
  <c r="N109" i="15"/>
  <c r="N110" i="15" s="1"/>
  <c r="O118" i="15"/>
  <c r="O119" i="15"/>
  <c r="O108" i="15"/>
  <c r="O141" i="15"/>
  <c r="N76" i="15"/>
  <c r="N77" i="15" s="1"/>
  <c r="O107" i="15"/>
  <c r="O97" i="15"/>
  <c r="N87" i="15"/>
  <c r="N88" i="15" s="1"/>
  <c r="O86" i="15"/>
  <c r="O63" i="15"/>
  <c r="O64" i="15"/>
  <c r="O53" i="15"/>
  <c r="O52" i="15"/>
  <c r="N98" i="15"/>
  <c r="N99" i="15" s="1"/>
  <c r="O85" i="15"/>
  <c r="O75" i="15"/>
  <c r="N65" i="15"/>
  <c r="N66" i="15" s="1"/>
  <c r="N54" i="15"/>
  <c r="N55" i="15" s="1"/>
  <c r="O74" i="15"/>
  <c r="N176" i="14"/>
  <c r="N165" i="14"/>
  <c r="O175" i="14"/>
  <c r="O162" i="14"/>
  <c r="O141" i="14"/>
  <c r="O173" i="14"/>
  <c r="O163" i="14"/>
  <c r="O174" i="14"/>
  <c r="N153" i="14"/>
  <c r="N154" i="14" s="1"/>
  <c r="O164" i="14"/>
  <c r="N142" i="14"/>
  <c r="N143" i="14" s="1"/>
  <c r="O152" i="14"/>
  <c r="O151" i="14"/>
  <c r="N131" i="14"/>
  <c r="N132" i="14" s="1"/>
  <c r="N98" i="14"/>
  <c r="N99" i="14" s="1"/>
  <c r="O140" i="14"/>
  <c r="O130" i="14"/>
  <c r="O96" i="14"/>
  <c r="O129" i="14"/>
  <c r="O118" i="14"/>
  <c r="N120" i="14"/>
  <c r="N121" i="14" s="1"/>
  <c r="N87" i="14"/>
  <c r="N88" i="14" s="1"/>
  <c r="N65" i="14"/>
  <c r="N66" i="14" s="1"/>
  <c r="O119" i="14"/>
  <c r="O97" i="14"/>
  <c r="O85" i="14"/>
  <c r="O53" i="14"/>
  <c r="O52" i="14"/>
  <c r="N76" i="14"/>
  <c r="N77" i="14" s="1"/>
  <c r="O63" i="14"/>
  <c r="O75" i="14"/>
  <c r="O74" i="14"/>
  <c r="O107" i="14"/>
  <c r="O108" i="14"/>
  <c r="N109" i="14"/>
  <c r="N110" i="14" s="1"/>
  <c r="O86" i="14"/>
  <c r="O64" i="14"/>
  <c r="N54" i="14"/>
  <c r="N55" i="14" s="1"/>
  <c r="P45" i="14"/>
  <c r="P46" i="14" s="1"/>
  <c r="Q7" i="14"/>
  <c r="E176" i="1"/>
  <c r="E165" i="1"/>
  <c r="F164" i="1"/>
  <c r="F162" i="1"/>
  <c r="F173" i="1"/>
  <c r="F174" i="1"/>
  <c r="F175" i="1"/>
  <c r="F163" i="1"/>
  <c r="O20" i="13"/>
  <c r="P20" i="13" s="1"/>
  <c r="J20" i="13" s="1"/>
  <c r="I20" i="13"/>
  <c r="E54" i="1"/>
  <c r="E55" i="1" s="1"/>
  <c r="F64" i="1"/>
  <c r="F75" i="1"/>
  <c r="F52" i="1"/>
  <c r="F53" i="1"/>
  <c r="F63" i="1"/>
  <c r="F74" i="1"/>
  <c r="E65" i="1"/>
  <c r="E66" i="1" s="1"/>
  <c r="E76" i="1"/>
  <c r="E77" i="1" s="1"/>
  <c r="E87" i="1"/>
  <c r="E88" i="1" s="1"/>
  <c r="E98" i="1"/>
  <c r="E99" i="1" s="1"/>
  <c r="F107" i="1"/>
  <c r="F119" i="1"/>
  <c r="E142" i="1"/>
  <c r="E143" i="1" s="1"/>
  <c r="F151" i="1"/>
  <c r="E109" i="1"/>
  <c r="E110" i="1" s="1"/>
  <c r="F118" i="1"/>
  <c r="F130" i="1"/>
  <c r="E153" i="1"/>
  <c r="E154" i="1" s="1"/>
  <c r="F86" i="1"/>
  <c r="F97" i="1"/>
  <c r="E120" i="1"/>
  <c r="E121" i="1" s="1"/>
  <c r="F129" i="1"/>
  <c r="F141" i="1"/>
  <c r="F85" i="1"/>
  <c r="F96" i="1"/>
  <c r="F108" i="1"/>
  <c r="E131" i="1"/>
  <c r="E132" i="1" s="1"/>
  <c r="F140" i="1"/>
  <c r="F152" i="1"/>
  <c r="H7" i="1"/>
  <c r="G45" i="1"/>
  <c r="G46" i="1" s="1"/>
  <c r="O23" i="13" l="1"/>
  <c r="P23" i="13" s="1"/>
  <c r="J23" i="13" s="1"/>
  <c r="O24" i="13"/>
  <c r="P24" i="13" s="1"/>
  <c r="J24" i="13" s="1"/>
  <c r="N176" i="17"/>
  <c r="Q7" i="17"/>
  <c r="P45" i="17"/>
  <c r="P46" i="17" s="1"/>
  <c r="N165" i="18"/>
  <c r="N142" i="17"/>
  <c r="N143" i="17" s="1"/>
  <c r="N109" i="17"/>
  <c r="N110" i="17" s="1"/>
  <c r="O97" i="17"/>
  <c r="O141" i="17"/>
  <c r="O74" i="17"/>
  <c r="O86" i="17"/>
  <c r="O130" i="17"/>
  <c r="O85" i="17"/>
  <c r="O52" i="17"/>
  <c r="O152" i="17"/>
  <c r="O64" i="17"/>
  <c r="O63" i="17"/>
  <c r="O164" i="17"/>
  <c r="O175" i="17"/>
  <c r="N131" i="17"/>
  <c r="N132" i="17" s="1"/>
  <c r="N54" i="17"/>
  <c r="N55" i="17" s="1"/>
  <c r="O162" i="17"/>
  <c r="O119" i="17"/>
  <c r="N76" i="17"/>
  <c r="N77" i="17" s="1"/>
  <c r="O173" i="17"/>
  <c r="O140" i="17"/>
  <c r="N87" i="17"/>
  <c r="N88" i="17" s="1"/>
  <c r="O163" i="17"/>
  <c r="O107" i="17"/>
  <c r="O108" i="17"/>
  <c r="O174" i="17"/>
  <c r="O129" i="17"/>
  <c r="N98" i="17"/>
  <c r="N99" i="17" s="1"/>
  <c r="N153" i="17"/>
  <c r="N154" i="17" s="1"/>
  <c r="O118" i="17"/>
  <c r="O75" i="17"/>
  <c r="N120" i="17"/>
  <c r="N121" i="17" s="1"/>
  <c r="O151" i="17"/>
  <c r="O96" i="17"/>
  <c r="N65" i="17"/>
  <c r="N66" i="17" s="1"/>
  <c r="O53" i="17"/>
  <c r="N165" i="17"/>
  <c r="O107" i="18"/>
  <c r="O85" i="18"/>
  <c r="O52" i="18"/>
  <c r="O175" i="18"/>
  <c r="N131" i="18"/>
  <c r="N132" i="18" s="1"/>
  <c r="O97" i="18"/>
  <c r="O162" i="18"/>
  <c r="O129" i="18"/>
  <c r="O74" i="18"/>
  <c r="O173" i="18"/>
  <c r="N120" i="18"/>
  <c r="N121" i="18" s="1"/>
  <c r="N65" i="18"/>
  <c r="N66" i="18" s="1"/>
  <c r="O152" i="18"/>
  <c r="O119" i="18"/>
  <c r="O63" i="18"/>
  <c r="N98" i="18"/>
  <c r="N99" i="18" s="1"/>
  <c r="O163" i="18"/>
  <c r="O141" i="18"/>
  <c r="N54" i="18"/>
  <c r="N55" i="18" s="1"/>
  <c r="O174" i="18"/>
  <c r="O118" i="18"/>
  <c r="N87" i="18"/>
  <c r="N88" i="18" s="1"/>
  <c r="N153" i="18"/>
  <c r="N154" i="18" s="1"/>
  <c r="O96" i="18"/>
  <c r="N109" i="18"/>
  <c r="N110" i="18" s="1"/>
  <c r="O164" i="18"/>
  <c r="N142" i="18"/>
  <c r="N143" i="18" s="1"/>
  <c r="O64" i="18"/>
  <c r="O140" i="18"/>
  <c r="O151" i="18"/>
  <c r="O86" i="18"/>
  <c r="N76" i="18"/>
  <c r="N77" i="18" s="1"/>
  <c r="O130" i="18"/>
  <c r="O108" i="18"/>
  <c r="O75" i="18"/>
  <c r="O53" i="18"/>
  <c r="N176" i="18"/>
  <c r="Q7" i="18"/>
  <c r="P45" i="18"/>
  <c r="P46" i="18" s="1"/>
  <c r="O19" i="13"/>
  <c r="P19" i="13" s="1"/>
  <c r="J19" i="13" s="1"/>
  <c r="Q7" i="24"/>
  <c r="P45" i="24"/>
  <c r="P46" i="24" s="1"/>
  <c r="O140" i="24"/>
  <c r="O86" i="24"/>
  <c r="O74" i="24"/>
  <c r="N131" i="24"/>
  <c r="N132" i="24" s="1"/>
  <c r="O129" i="24"/>
  <c r="O107" i="24"/>
  <c r="O64" i="24"/>
  <c r="O175" i="24"/>
  <c r="O152" i="24"/>
  <c r="O96" i="24"/>
  <c r="O162" i="24"/>
  <c r="N142" i="24"/>
  <c r="N143" i="24" s="1"/>
  <c r="O85" i="24"/>
  <c r="O53" i="24"/>
  <c r="O173" i="24"/>
  <c r="O130" i="24"/>
  <c r="O75" i="24"/>
  <c r="O118" i="24"/>
  <c r="O97" i="24"/>
  <c r="O163" i="24"/>
  <c r="O141" i="24"/>
  <c r="N120" i="24"/>
  <c r="N121" i="24" s="1"/>
  <c r="O174" i="24"/>
  <c r="N109" i="24"/>
  <c r="N110" i="24" s="1"/>
  <c r="N76" i="24"/>
  <c r="N77" i="24" s="1"/>
  <c r="N65" i="24"/>
  <c r="N66" i="24" s="1"/>
  <c r="N153" i="24"/>
  <c r="N154" i="24" s="1"/>
  <c r="O119" i="24"/>
  <c r="O52" i="24"/>
  <c r="O108" i="24"/>
  <c r="O164" i="24"/>
  <c r="N98" i="24"/>
  <c r="N99" i="24" s="1"/>
  <c r="O63" i="24"/>
  <c r="O151" i="24"/>
  <c r="N87" i="24"/>
  <c r="N88" i="24" s="1"/>
  <c r="N54" i="24"/>
  <c r="N55" i="24" s="1"/>
  <c r="N176" i="24"/>
  <c r="N165" i="24"/>
  <c r="O176" i="23"/>
  <c r="O165" i="23"/>
  <c r="Q45" i="23"/>
  <c r="Q46" i="23" s="1"/>
  <c r="R7" i="23"/>
  <c r="P173" i="23"/>
  <c r="P163" i="23"/>
  <c r="P174" i="23"/>
  <c r="P164" i="23"/>
  <c r="P151" i="23"/>
  <c r="P152" i="23"/>
  <c r="O153" i="23"/>
  <c r="O154" i="23" s="1"/>
  <c r="O142" i="23"/>
  <c r="O143" i="23" s="1"/>
  <c r="P141" i="23"/>
  <c r="P140" i="23"/>
  <c r="P175" i="23"/>
  <c r="P162" i="23"/>
  <c r="P129" i="23"/>
  <c r="P96" i="23"/>
  <c r="P107" i="23"/>
  <c r="P130" i="23"/>
  <c r="O131" i="23"/>
  <c r="O132" i="23" s="1"/>
  <c r="O120" i="23"/>
  <c r="O121" i="23" s="1"/>
  <c r="O109" i="23"/>
  <c r="O110" i="23" s="1"/>
  <c r="P108" i="23"/>
  <c r="P74" i="23"/>
  <c r="O98" i="23"/>
  <c r="O99" i="23" s="1"/>
  <c r="P97" i="23"/>
  <c r="P119" i="23"/>
  <c r="O87" i="23"/>
  <c r="O88" i="23" s="1"/>
  <c r="P85" i="23"/>
  <c r="P53" i="23"/>
  <c r="P75" i="23"/>
  <c r="P63" i="23"/>
  <c r="P118" i="23"/>
  <c r="O76" i="23"/>
  <c r="O77" i="23" s="1"/>
  <c r="O65" i="23"/>
  <c r="O66" i="23" s="1"/>
  <c r="P52" i="23"/>
  <c r="P86" i="23"/>
  <c r="P64" i="23"/>
  <c r="O54" i="23"/>
  <c r="O55" i="23" s="1"/>
  <c r="O165" i="22"/>
  <c r="R7" i="22"/>
  <c r="Q45" i="22"/>
  <c r="Q46" i="22" s="1"/>
  <c r="P173" i="22"/>
  <c r="P163" i="22"/>
  <c r="P174" i="22"/>
  <c r="P164" i="22"/>
  <c r="P151" i="22"/>
  <c r="O153" i="22"/>
  <c r="O154" i="22" s="1"/>
  <c r="O142" i="22"/>
  <c r="O143" i="22" s="1"/>
  <c r="P141" i="22"/>
  <c r="P140" i="22"/>
  <c r="P162" i="22"/>
  <c r="P175" i="22"/>
  <c r="P152" i="22"/>
  <c r="P130" i="22"/>
  <c r="O120" i="22"/>
  <c r="O121" i="22" s="1"/>
  <c r="P119" i="22"/>
  <c r="P118" i="22"/>
  <c r="P129" i="22"/>
  <c r="O131" i="22"/>
  <c r="O132" i="22" s="1"/>
  <c r="P107" i="22"/>
  <c r="P96" i="22"/>
  <c r="P86" i="22"/>
  <c r="P108" i="22"/>
  <c r="O76" i="22"/>
  <c r="O77" i="22" s="1"/>
  <c r="O98" i="22"/>
  <c r="O99" i="22" s="1"/>
  <c r="P74" i="22"/>
  <c r="O87" i="22"/>
  <c r="O88" i="22" s="1"/>
  <c r="O109" i="22"/>
  <c r="O110" i="22" s="1"/>
  <c r="P85" i="22"/>
  <c r="O54" i="22"/>
  <c r="O55" i="22" s="1"/>
  <c r="P97" i="22"/>
  <c r="P53" i="22"/>
  <c r="P63" i="22"/>
  <c r="P52" i="22"/>
  <c r="O65" i="22"/>
  <c r="O66" i="22" s="1"/>
  <c r="P75" i="22"/>
  <c r="P64" i="22"/>
  <c r="O176" i="22"/>
  <c r="P173" i="21"/>
  <c r="P152" i="21"/>
  <c r="P163" i="21"/>
  <c r="P174" i="21"/>
  <c r="O142" i="21"/>
  <c r="O143" i="21" s="1"/>
  <c r="O153" i="21"/>
  <c r="O154" i="21" s="1"/>
  <c r="P164" i="21"/>
  <c r="P151" i="21"/>
  <c r="P141" i="21"/>
  <c r="O120" i="21"/>
  <c r="O121" i="21" s="1"/>
  <c r="P118" i="21"/>
  <c r="O131" i="21"/>
  <c r="O132" i="21" s="1"/>
  <c r="P140" i="21"/>
  <c r="P108" i="21"/>
  <c r="P175" i="21"/>
  <c r="P119" i="21"/>
  <c r="P107" i="21"/>
  <c r="P162" i="21"/>
  <c r="P129" i="21"/>
  <c r="P130" i="21"/>
  <c r="P97" i="21"/>
  <c r="O109" i="21"/>
  <c r="O110" i="21" s="1"/>
  <c r="O98" i="21"/>
  <c r="O99" i="21" s="1"/>
  <c r="P85" i="21"/>
  <c r="P96" i="21"/>
  <c r="P74" i="21"/>
  <c r="O76" i="21"/>
  <c r="O77" i="21" s="1"/>
  <c r="P63" i="21"/>
  <c r="O65" i="21"/>
  <c r="O66" i="21" s="1"/>
  <c r="O87" i="21"/>
  <c r="O88" i="21" s="1"/>
  <c r="P86" i="21"/>
  <c r="P75" i="21"/>
  <c r="P64" i="21"/>
  <c r="O54" i="21"/>
  <c r="O55" i="21" s="1"/>
  <c r="P53" i="21"/>
  <c r="P52" i="21"/>
  <c r="O176" i="21"/>
  <c r="O165" i="21"/>
  <c r="R7" i="21"/>
  <c r="Q45" i="21"/>
  <c r="Q46" i="21" s="1"/>
  <c r="Q173" i="20"/>
  <c r="Q163" i="20"/>
  <c r="Q174" i="20"/>
  <c r="Q164" i="20"/>
  <c r="Q151" i="20"/>
  <c r="Q175" i="20"/>
  <c r="Q162" i="20"/>
  <c r="Q140" i="20"/>
  <c r="Q129" i="20"/>
  <c r="P142" i="20"/>
  <c r="P143" i="20" s="1"/>
  <c r="P153" i="20"/>
  <c r="P154" i="20" s="1"/>
  <c r="Q141" i="20"/>
  <c r="Q152" i="20"/>
  <c r="Q118" i="20"/>
  <c r="P120" i="20"/>
  <c r="P121" i="20" s="1"/>
  <c r="Q108" i="20"/>
  <c r="Q97" i="20"/>
  <c r="Q130" i="20"/>
  <c r="Q86" i="20"/>
  <c r="P131" i="20"/>
  <c r="P132" i="20" s="1"/>
  <c r="Q107" i="20"/>
  <c r="Q119" i="20"/>
  <c r="P109" i="20"/>
  <c r="P110" i="20" s="1"/>
  <c r="P98" i="20"/>
  <c r="P99" i="20" s="1"/>
  <c r="P87" i="20"/>
  <c r="P88" i="20" s="1"/>
  <c r="P54" i="20"/>
  <c r="P55" i="20" s="1"/>
  <c r="Q85" i="20"/>
  <c r="P76" i="20"/>
  <c r="P77" i="20" s="1"/>
  <c r="Q96" i="20"/>
  <c r="Q75" i="20"/>
  <c r="Q74" i="20"/>
  <c r="Q63" i="20"/>
  <c r="Q64" i="20"/>
  <c r="P65" i="20"/>
  <c r="P66" i="20" s="1"/>
  <c r="Q52" i="20"/>
  <c r="Q53" i="20"/>
  <c r="R45" i="20"/>
  <c r="R46" i="20" s="1"/>
  <c r="S7" i="20"/>
  <c r="P165" i="20"/>
  <c r="P176" i="20"/>
  <c r="Q45" i="19"/>
  <c r="Q46" i="19" s="1"/>
  <c r="R7" i="19"/>
  <c r="P173" i="19"/>
  <c r="P152" i="19"/>
  <c r="P163" i="19"/>
  <c r="P174" i="19"/>
  <c r="P175" i="19"/>
  <c r="P162" i="19"/>
  <c r="P141" i="19"/>
  <c r="P140" i="19"/>
  <c r="O153" i="19"/>
  <c r="O154" i="19" s="1"/>
  <c r="P164" i="19"/>
  <c r="P151" i="19"/>
  <c r="P118" i="19"/>
  <c r="O142" i="19"/>
  <c r="O143" i="19" s="1"/>
  <c r="O131" i="19"/>
  <c r="O132" i="19" s="1"/>
  <c r="P130" i="19"/>
  <c r="P108" i="19"/>
  <c r="P129" i="19"/>
  <c r="O87" i="19"/>
  <c r="O88" i="19" s="1"/>
  <c r="O120" i="19"/>
  <c r="O121" i="19" s="1"/>
  <c r="P119" i="19"/>
  <c r="P107" i="19"/>
  <c r="O98" i="19"/>
  <c r="O99" i="19" s="1"/>
  <c r="O109" i="19"/>
  <c r="O110" i="19" s="1"/>
  <c r="P97" i="19"/>
  <c r="P86" i="19"/>
  <c r="O76" i="19"/>
  <c r="O77" i="19" s="1"/>
  <c r="P96" i="19"/>
  <c r="P74" i="19"/>
  <c r="P85" i="19"/>
  <c r="P75" i="19"/>
  <c r="O65" i="19"/>
  <c r="O66" i="19" s="1"/>
  <c r="P52" i="19"/>
  <c r="P64" i="19"/>
  <c r="O54" i="19"/>
  <c r="O55" i="19" s="1"/>
  <c r="P63" i="19"/>
  <c r="P53" i="19"/>
  <c r="O176" i="19"/>
  <c r="O165" i="19"/>
  <c r="P176" i="16"/>
  <c r="P165" i="16"/>
  <c r="R45" i="16"/>
  <c r="R46" i="16" s="1"/>
  <c r="S7" i="16"/>
  <c r="Q173" i="16"/>
  <c r="Q152" i="16"/>
  <c r="Q163" i="16"/>
  <c r="Q174" i="16"/>
  <c r="Q175" i="16"/>
  <c r="P153" i="16"/>
  <c r="P154" i="16" s="1"/>
  <c r="Q151" i="16"/>
  <c r="Q141" i="16"/>
  <c r="P142" i="16"/>
  <c r="P143" i="16" s="1"/>
  <c r="Q162" i="16"/>
  <c r="P131" i="16"/>
  <c r="P132" i="16" s="1"/>
  <c r="Q129" i="16"/>
  <c r="Q130" i="16"/>
  <c r="Q108" i="16"/>
  <c r="Q164" i="16"/>
  <c r="Q140" i="16"/>
  <c r="P120" i="16"/>
  <c r="P121" i="16" s="1"/>
  <c r="P109" i="16"/>
  <c r="P110" i="16" s="1"/>
  <c r="Q107" i="16"/>
  <c r="Q119" i="16"/>
  <c r="P98" i="16"/>
  <c r="P99" i="16" s="1"/>
  <c r="Q85" i="16"/>
  <c r="Q96" i="16"/>
  <c r="Q118" i="16"/>
  <c r="Q74" i="16"/>
  <c r="P87" i="16"/>
  <c r="P88" i="16" s="1"/>
  <c r="P65" i="16"/>
  <c r="P66" i="16" s="1"/>
  <c r="Q75" i="16"/>
  <c r="Q86" i="16"/>
  <c r="Q97" i="16"/>
  <c r="P76" i="16"/>
  <c r="P77" i="16" s="1"/>
  <c r="P54" i="16"/>
  <c r="P55" i="16" s="1"/>
  <c r="Q53" i="16"/>
  <c r="Q64" i="16"/>
  <c r="Q52" i="16"/>
  <c r="Q63" i="16"/>
  <c r="O176" i="15"/>
  <c r="O165" i="15"/>
  <c r="Q45" i="15"/>
  <c r="Q46" i="15" s="1"/>
  <c r="R7" i="15"/>
  <c r="P173" i="15"/>
  <c r="P152" i="15"/>
  <c r="P163" i="15"/>
  <c r="P174" i="15"/>
  <c r="O153" i="15"/>
  <c r="O154" i="15" s="1"/>
  <c r="P164" i="15"/>
  <c r="P140" i="15"/>
  <c r="O142" i="15"/>
  <c r="O143" i="15" s="1"/>
  <c r="P175" i="15"/>
  <c r="P162" i="15"/>
  <c r="P151" i="15"/>
  <c r="P141" i="15"/>
  <c r="O120" i="15"/>
  <c r="O121" i="15" s="1"/>
  <c r="O109" i="15"/>
  <c r="O110" i="15" s="1"/>
  <c r="P107" i="15"/>
  <c r="P86" i="15"/>
  <c r="O131" i="15"/>
  <c r="O132" i="15" s="1"/>
  <c r="P118" i="15"/>
  <c r="P129" i="15"/>
  <c r="P119" i="15"/>
  <c r="P108" i="15"/>
  <c r="P130" i="15"/>
  <c r="P97" i="15"/>
  <c r="O87" i="15"/>
  <c r="O88" i="15" s="1"/>
  <c r="P64" i="15"/>
  <c r="O54" i="15"/>
  <c r="O55" i="15" s="1"/>
  <c r="O98" i="15"/>
  <c r="O99" i="15" s="1"/>
  <c r="P85" i="15"/>
  <c r="P96" i="15"/>
  <c r="P75" i="15"/>
  <c r="O76" i="15"/>
  <c r="O77" i="15" s="1"/>
  <c r="P63" i="15"/>
  <c r="O65" i="15"/>
  <c r="O66" i="15" s="1"/>
  <c r="P74" i="15"/>
  <c r="P52" i="15"/>
  <c r="P53" i="15"/>
  <c r="O165" i="14"/>
  <c r="Q45" i="14"/>
  <c r="Q46" i="14" s="1"/>
  <c r="R7" i="14"/>
  <c r="O176" i="14"/>
  <c r="P173" i="14"/>
  <c r="P163" i="14"/>
  <c r="P174" i="14"/>
  <c r="P164" i="14"/>
  <c r="P151" i="14"/>
  <c r="O142" i="14"/>
  <c r="O143" i="14" s="1"/>
  <c r="P141" i="14"/>
  <c r="O153" i="14"/>
  <c r="O154" i="14" s="1"/>
  <c r="P152" i="14"/>
  <c r="P175" i="14"/>
  <c r="P162" i="14"/>
  <c r="P140" i="14"/>
  <c r="P130" i="14"/>
  <c r="P96" i="14"/>
  <c r="O109" i="14"/>
  <c r="O110" i="14" s="1"/>
  <c r="P129" i="14"/>
  <c r="P118" i="14"/>
  <c r="O120" i="14"/>
  <c r="O121" i="14" s="1"/>
  <c r="P85" i="14"/>
  <c r="P119" i="14"/>
  <c r="P97" i="14"/>
  <c r="P53" i="14"/>
  <c r="P52" i="14"/>
  <c r="O76" i="14"/>
  <c r="O77" i="14" s="1"/>
  <c r="P63" i="14"/>
  <c r="O54" i="14"/>
  <c r="O55" i="14" s="1"/>
  <c r="O98" i="14"/>
  <c r="O99" i="14" s="1"/>
  <c r="P75" i="14"/>
  <c r="P74" i="14"/>
  <c r="P107" i="14"/>
  <c r="O131" i="14"/>
  <c r="O132" i="14" s="1"/>
  <c r="P108" i="14"/>
  <c r="O87" i="14"/>
  <c r="O88" i="14" s="1"/>
  <c r="P86" i="14"/>
  <c r="O65" i="14"/>
  <c r="O66" i="14" s="1"/>
  <c r="P64" i="14"/>
  <c r="F176" i="1"/>
  <c r="F165" i="1"/>
  <c r="F65" i="1"/>
  <c r="F66" i="1" s="1"/>
  <c r="F54" i="1"/>
  <c r="F55" i="1" s="1"/>
  <c r="G64" i="1"/>
  <c r="G52" i="1"/>
  <c r="G53" i="1"/>
  <c r="G63" i="1"/>
  <c r="G74" i="1"/>
  <c r="G85" i="1"/>
  <c r="G96" i="1"/>
  <c r="G108" i="1"/>
  <c r="F131" i="1"/>
  <c r="F132" i="1" s="1"/>
  <c r="G140" i="1"/>
  <c r="G152" i="1"/>
  <c r="G75" i="1"/>
  <c r="F76" i="1"/>
  <c r="F77" i="1" s="1"/>
  <c r="F87" i="1"/>
  <c r="F88" i="1" s="1"/>
  <c r="F98" i="1"/>
  <c r="F99" i="1" s="1"/>
  <c r="G107" i="1"/>
  <c r="G119" i="1"/>
  <c r="F142" i="1"/>
  <c r="F143" i="1" s="1"/>
  <c r="G151" i="1"/>
  <c r="F109" i="1"/>
  <c r="F110" i="1" s="1"/>
  <c r="G118" i="1"/>
  <c r="G130" i="1"/>
  <c r="F153" i="1"/>
  <c r="F154" i="1" s="1"/>
  <c r="G86" i="1"/>
  <c r="G97" i="1"/>
  <c r="F120" i="1"/>
  <c r="F121" i="1" s="1"/>
  <c r="G129" i="1"/>
  <c r="G141" i="1"/>
  <c r="H45" i="1"/>
  <c r="H46" i="1" s="1"/>
  <c r="I7" i="1"/>
  <c r="O176" i="17" l="1"/>
  <c r="O165" i="17"/>
  <c r="O165" i="18"/>
  <c r="O176" i="18"/>
  <c r="P163" i="17"/>
  <c r="P118" i="17"/>
  <c r="O87" i="17"/>
  <c r="O88" i="17" s="1"/>
  <c r="P174" i="17"/>
  <c r="P162" i="17"/>
  <c r="P108" i="17"/>
  <c r="P140" i="17"/>
  <c r="P164" i="17"/>
  <c r="P130" i="17"/>
  <c r="O98" i="17"/>
  <c r="O99" i="17" s="1"/>
  <c r="P52" i="17"/>
  <c r="P151" i="17"/>
  <c r="O120" i="17"/>
  <c r="O121" i="17" s="1"/>
  <c r="P75" i="17"/>
  <c r="P53" i="17"/>
  <c r="O142" i="17"/>
  <c r="O143" i="17" s="1"/>
  <c r="P119" i="17"/>
  <c r="P97" i="17"/>
  <c r="P141" i="17"/>
  <c r="P107" i="17"/>
  <c r="P86" i="17"/>
  <c r="O109" i="17"/>
  <c r="O110" i="17" s="1"/>
  <c r="P175" i="17"/>
  <c r="P74" i="17"/>
  <c r="P96" i="17"/>
  <c r="P129" i="17"/>
  <c r="O153" i="17"/>
  <c r="O154" i="17" s="1"/>
  <c r="P63" i="17"/>
  <c r="O54" i="17"/>
  <c r="O55" i="17" s="1"/>
  <c r="P152" i="17"/>
  <c r="P85" i="17"/>
  <c r="P64" i="17"/>
  <c r="P173" i="17"/>
  <c r="O131" i="17"/>
  <c r="O132" i="17" s="1"/>
  <c r="O76" i="17"/>
  <c r="O77" i="17" s="1"/>
  <c r="O65" i="17"/>
  <c r="O66" i="17" s="1"/>
  <c r="Q45" i="17"/>
  <c r="Q46" i="17" s="1"/>
  <c r="R7" i="17"/>
  <c r="P163" i="18"/>
  <c r="P118" i="18"/>
  <c r="P53" i="18"/>
  <c r="P174" i="18"/>
  <c r="P162" i="18"/>
  <c r="P52" i="18"/>
  <c r="O153" i="18"/>
  <c r="O154" i="18" s="1"/>
  <c r="O109" i="18"/>
  <c r="O110" i="18" s="1"/>
  <c r="O87" i="18"/>
  <c r="O88" i="18" s="1"/>
  <c r="P164" i="18"/>
  <c r="O131" i="18"/>
  <c r="O132" i="18" s="1"/>
  <c r="P64" i="18"/>
  <c r="P151" i="18"/>
  <c r="P130" i="18"/>
  <c r="O76" i="18"/>
  <c r="O77" i="18" s="1"/>
  <c r="P140" i="18"/>
  <c r="P86" i="18"/>
  <c r="P75" i="18"/>
  <c r="P152" i="18"/>
  <c r="O120" i="18"/>
  <c r="O121" i="18" s="1"/>
  <c r="P107" i="18"/>
  <c r="O54" i="18"/>
  <c r="O55" i="18" s="1"/>
  <c r="P129" i="18"/>
  <c r="P108" i="18"/>
  <c r="O65" i="18"/>
  <c r="O66" i="18" s="1"/>
  <c r="P175" i="18"/>
  <c r="O98" i="18"/>
  <c r="O99" i="18" s="1"/>
  <c r="P74" i="18"/>
  <c r="P141" i="18"/>
  <c r="O142" i="18"/>
  <c r="O143" i="18" s="1"/>
  <c r="P97" i="18"/>
  <c r="P63" i="18"/>
  <c r="P85" i="18"/>
  <c r="P173" i="18"/>
  <c r="P119" i="18"/>
  <c r="P96" i="18"/>
  <c r="Q45" i="18"/>
  <c r="Q46" i="18" s="1"/>
  <c r="R7" i="18"/>
  <c r="Q165" i="20"/>
  <c r="O176" i="24"/>
  <c r="P151" i="24"/>
  <c r="P119" i="24"/>
  <c r="O65" i="24"/>
  <c r="O66" i="24" s="1"/>
  <c r="P97" i="24"/>
  <c r="P163" i="24"/>
  <c r="O131" i="24"/>
  <c r="O132" i="24" s="1"/>
  <c r="O98" i="24"/>
  <c r="O99" i="24" s="1"/>
  <c r="O87" i="24"/>
  <c r="O88" i="24" s="1"/>
  <c r="P107" i="24"/>
  <c r="P162" i="24"/>
  <c r="P140" i="24"/>
  <c r="P108" i="24"/>
  <c r="P63" i="24"/>
  <c r="P129" i="24"/>
  <c r="O54" i="24"/>
  <c r="O55" i="24" s="1"/>
  <c r="O142" i="24"/>
  <c r="O143" i="24" s="1"/>
  <c r="P118" i="24"/>
  <c r="P53" i="24"/>
  <c r="P130" i="24"/>
  <c r="P96" i="24"/>
  <c r="P52" i="24"/>
  <c r="P74" i="24"/>
  <c r="P175" i="24"/>
  <c r="O120" i="24"/>
  <c r="O121" i="24" s="1"/>
  <c r="P64" i="24"/>
  <c r="P173" i="24"/>
  <c r="O153" i="24"/>
  <c r="O154" i="24" s="1"/>
  <c r="O109" i="24"/>
  <c r="O110" i="24" s="1"/>
  <c r="P152" i="24"/>
  <c r="P141" i="24"/>
  <c r="P85" i="24"/>
  <c r="O76" i="24"/>
  <c r="O77" i="24" s="1"/>
  <c r="P164" i="24"/>
  <c r="P174" i="24"/>
  <c r="P86" i="24"/>
  <c r="P75" i="24"/>
  <c r="O165" i="24"/>
  <c r="Q45" i="24"/>
  <c r="Q46" i="24" s="1"/>
  <c r="R7" i="24"/>
  <c r="P165" i="23"/>
  <c r="P176" i="23"/>
  <c r="S7" i="23"/>
  <c r="R45" i="23"/>
  <c r="R46" i="23" s="1"/>
  <c r="Q173" i="23"/>
  <c r="Q152" i="23"/>
  <c r="Q163" i="23"/>
  <c r="Q174" i="23"/>
  <c r="Q164" i="23"/>
  <c r="Q175" i="23"/>
  <c r="Q151" i="23"/>
  <c r="Q130" i="23"/>
  <c r="P153" i="23"/>
  <c r="P154" i="23" s="1"/>
  <c r="P142" i="23"/>
  <c r="P143" i="23" s="1"/>
  <c r="Q141" i="23"/>
  <c r="Q140" i="23"/>
  <c r="Q162" i="23"/>
  <c r="P109" i="23"/>
  <c r="P110" i="23" s="1"/>
  <c r="Q129" i="23"/>
  <c r="P131" i="23"/>
  <c r="P132" i="23" s="1"/>
  <c r="Q108" i="23"/>
  <c r="P76" i="23"/>
  <c r="P77" i="23" s="1"/>
  <c r="Q107" i="23"/>
  <c r="P98" i="23"/>
  <c r="P99" i="23" s="1"/>
  <c r="Q97" i="23"/>
  <c r="Q63" i="23"/>
  <c r="Q119" i="23"/>
  <c r="P87" i="23"/>
  <c r="P88" i="23" s="1"/>
  <c r="Q85" i="23"/>
  <c r="Q96" i="23"/>
  <c r="Q118" i="23"/>
  <c r="Q86" i="23"/>
  <c r="Q75" i="23"/>
  <c r="Q74" i="23"/>
  <c r="P65" i="23"/>
  <c r="P66" i="23" s="1"/>
  <c r="Q52" i="23"/>
  <c r="Q64" i="23"/>
  <c r="P120" i="23"/>
  <c r="P121" i="23" s="1"/>
  <c r="P54" i="23"/>
  <c r="P55" i="23" s="1"/>
  <c r="Q53" i="23"/>
  <c r="P176" i="22"/>
  <c r="Q173" i="22"/>
  <c r="Q152" i="22"/>
  <c r="Q163" i="22"/>
  <c r="Q174" i="22"/>
  <c r="Q164" i="22"/>
  <c r="Q175" i="22"/>
  <c r="P153" i="22"/>
  <c r="P154" i="22" s="1"/>
  <c r="P142" i="22"/>
  <c r="P143" i="22" s="1"/>
  <c r="Q141" i="22"/>
  <c r="Q140" i="22"/>
  <c r="Q162" i="22"/>
  <c r="Q130" i="22"/>
  <c r="Q151" i="22"/>
  <c r="P120" i="22"/>
  <c r="P121" i="22" s="1"/>
  <c r="Q119" i="22"/>
  <c r="P98" i="22"/>
  <c r="P99" i="22" s="1"/>
  <c r="Q118" i="22"/>
  <c r="Q129" i="22"/>
  <c r="P131" i="22"/>
  <c r="P132" i="22" s="1"/>
  <c r="Q107" i="22"/>
  <c r="Q96" i="22"/>
  <c r="Q86" i="22"/>
  <c r="Q108" i="22"/>
  <c r="P76" i="22"/>
  <c r="P77" i="22" s="1"/>
  <c r="P87" i="22"/>
  <c r="P88" i="22" s="1"/>
  <c r="P109" i="22"/>
  <c r="P110" i="22" s="1"/>
  <c r="Q85" i="22"/>
  <c r="Q97" i="22"/>
  <c r="P65" i="22"/>
  <c r="P66" i="22" s="1"/>
  <c r="Q53" i="22"/>
  <c r="Q63" i="22"/>
  <c r="Q74" i="22"/>
  <c r="Q52" i="22"/>
  <c r="Q75" i="22"/>
  <c r="Q64" i="22"/>
  <c r="P54" i="22"/>
  <c r="P55" i="22" s="1"/>
  <c r="P165" i="22"/>
  <c r="R45" i="22"/>
  <c r="R46" i="22" s="1"/>
  <c r="S7" i="22"/>
  <c r="P165" i="21"/>
  <c r="Q173" i="21"/>
  <c r="Q163" i="21"/>
  <c r="Q174" i="21"/>
  <c r="Q140" i="21"/>
  <c r="P153" i="21"/>
  <c r="P154" i="21" s="1"/>
  <c r="Q164" i="21"/>
  <c r="Q151" i="21"/>
  <c r="Q175" i="21"/>
  <c r="Q162" i="21"/>
  <c r="Q152" i="21"/>
  <c r="Q141" i="21"/>
  <c r="Q118" i="21"/>
  <c r="P131" i="21"/>
  <c r="P132" i="21" s="1"/>
  <c r="Q129" i="21"/>
  <c r="Q130" i="21"/>
  <c r="Q119" i="21"/>
  <c r="P142" i="21"/>
  <c r="P143" i="21" s="1"/>
  <c r="P120" i="21"/>
  <c r="P121" i="21" s="1"/>
  <c r="P109" i="21"/>
  <c r="P110" i="21" s="1"/>
  <c r="Q97" i="21"/>
  <c r="P65" i="21"/>
  <c r="P66" i="21" s="1"/>
  <c r="Q86" i="21"/>
  <c r="Q75" i="21"/>
  <c r="Q108" i="21"/>
  <c r="P98" i="21"/>
  <c r="P99" i="21" s="1"/>
  <c r="Q107" i="21"/>
  <c r="Q96" i="21"/>
  <c r="P87" i="21"/>
  <c r="P88" i="21" s="1"/>
  <c r="Q63" i="21"/>
  <c r="Q74" i="21"/>
  <c r="Q53" i="21"/>
  <c r="Q52" i="21"/>
  <c r="Q64" i="21"/>
  <c r="Q85" i="21"/>
  <c r="P54" i="21"/>
  <c r="P55" i="21" s="1"/>
  <c r="P76" i="21"/>
  <c r="P77" i="21" s="1"/>
  <c r="S7" i="21"/>
  <c r="R45" i="21"/>
  <c r="R46" i="21" s="1"/>
  <c r="P176" i="21"/>
  <c r="T7" i="20"/>
  <c r="S45" i="20"/>
  <c r="S46" i="20" s="1"/>
  <c r="R152" i="20"/>
  <c r="R163" i="20"/>
  <c r="R174" i="20"/>
  <c r="R164" i="20"/>
  <c r="R175" i="20"/>
  <c r="R162" i="20"/>
  <c r="R173" i="20"/>
  <c r="R119" i="20"/>
  <c r="Q142" i="20"/>
  <c r="Q143" i="20" s="1"/>
  <c r="Q153" i="20"/>
  <c r="Q154" i="20" s="1"/>
  <c r="R130" i="20"/>
  <c r="R151" i="20"/>
  <c r="R141" i="20"/>
  <c r="Q120" i="20"/>
  <c r="Q121" i="20" s="1"/>
  <c r="Q131" i="20"/>
  <c r="Q132" i="20" s="1"/>
  <c r="R108" i="20"/>
  <c r="R140" i="20"/>
  <c r="R118" i="20"/>
  <c r="R107" i="20"/>
  <c r="R129" i="20"/>
  <c r="Q109" i="20"/>
  <c r="Q110" i="20" s="1"/>
  <c r="R85" i="20"/>
  <c r="Q65" i="20"/>
  <c r="Q66" i="20" s="1"/>
  <c r="Q76" i="20"/>
  <c r="Q77" i="20" s="1"/>
  <c r="R97" i="20"/>
  <c r="R86" i="20"/>
  <c r="R96" i="20"/>
  <c r="Q87" i="20"/>
  <c r="Q88" i="20" s="1"/>
  <c r="R74" i="20"/>
  <c r="R63" i="20"/>
  <c r="R64" i="20"/>
  <c r="Q98" i="20"/>
  <c r="Q99" i="20" s="1"/>
  <c r="R52" i="20"/>
  <c r="R75" i="20"/>
  <c r="R53" i="20"/>
  <c r="Q54" i="20"/>
  <c r="Q55" i="20" s="1"/>
  <c r="Q176" i="20"/>
  <c r="P165" i="19"/>
  <c r="P176" i="19"/>
  <c r="R45" i="19"/>
  <c r="R46" i="19" s="1"/>
  <c r="S7" i="19"/>
  <c r="Q173" i="19"/>
  <c r="Q163" i="19"/>
  <c r="Q174" i="19"/>
  <c r="Q164" i="19"/>
  <c r="Q175" i="19"/>
  <c r="Q162" i="19"/>
  <c r="Q141" i="19"/>
  <c r="Q140" i="19"/>
  <c r="Q130" i="19"/>
  <c r="P153" i="19"/>
  <c r="P154" i="19" s="1"/>
  <c r="Q152" i="19"/>
  <c r="Q151" i="19"/>
  <c r="P131" i="19"/>
  <c r="P132" i="19" s="1"/>
  <c r="Q129" i="19"/>
  <c r="Q85" i="19"/>
  <c r="P120" i="19"/>
  <c r="P121" i="19" s="1"/>
  <c r="Q119" i="19"/>
  <c r="Q118" i="19"/>
  <c r="P142" i="19"/>
  <c r="P143" i="19" s="1"/>
  <c r="P98" i="19"/>
  <c r="P99" i="19" s="1"/>
  <c r="P109" i="19"/>
  <c r="P110" i="19" s="1"/>
  <c r="Q97" i="19"/>
  <c r="Q86" i="19"/>
  <c r="P76" i="19"/>
  <c r="P77" i="19" s="1"/>
  <c r="Q96" i="19"/>
  <c r="Q74" i="19"/>
  <c r="Q107" i="19"/>
  <c r="Q108" i="19"/>
  <c r="P87" i="19"/>
  <c r="P88" i="19" s="1"/>
  <c r="P65" i="19"/>
  <c r="P66" i="19" s="1"/>
  <c r="Q52" i="19"/>
  <c r="Q64" i="19"/>
  <c r="P54" i="19"/>
  <c r="P55" i="19" s="1"/>
  <c r="Q75" i="19"/>
  <c r="Q63" i="19"/>
  <c r="Q53" i="19"/>
  <c r="Q176" i="16"/>
  <c r="S45" i="16"/>
  <c r="S46" i="16" s="1"/>
  <c r="T7" i="16"/>
  <c r="R152" i="16"/>
  <c r="R163" i="16"/>
  <c r="R174" i="16"/>
  <c r="Q142" i="16"/>
  <c r="Q143" i="16" s="1"/>
  <c r="R164" i="16"/>
  <c r="R175" i="16"/>
  <c r="R162" i="16"/>
  <c r="R173" i="16"/>
  <c r="Q131" i="16"/>
  <c r="Q132" i="16" s="1"/>
  <c r="R129" i="16"/>
  <c r="R140" i="16"/>
  <c r="R141" i="16"/>
  <c r="R108" i="16"/>
  <c r="R151" i="16"/>
  <c r="Q120" i="16"/>
  <c r="Q121" i="16" s="1"/>
  <c r="Q153" i="16"/>
  <c r="Q154" i="16" s="1"/>
  <c r="R130" i="16"/>
  <c r="R119" i="16"/>
  <c r="R107" i="16"/>
  <c r="Q109" i="16"/>
  <c r="Q110" i="16" s="1"/>
  <c r="Q98" i="16"/>
  <c r="Q99" i="16" s="1"/>
  <c r="Q65" i="16"/>
  <c r="Q66" i="16" s="1"/>
  <c r="R75" i="16"/>
  <c r="R96" i="16"/>
  <c r="R118" i="16"/>
  <c r="R97" i="16"/>
  <c r="Q87" i="16"/>
  <c r="Q88" i="16" s="1"/>
  <c r="R86" i="16"/>
  <c r="R85" i="16"/>
  <c r="Q76" i="16"/>
  <c r="Q77" i="16" s="1"/>
  <c r="R63" i="16"/>
  <c r="R64" i="16"/>
  <c r="R74" i="16"/>
  <c r="Q54" i="16"/>
  <c r="Q55" i="16" s="1"/>
  <c r="R53" i="16"/>
  <c r="R52" i="16"/>
  <c r="Q165" i="16"/>
  <c r="P176" i="15"/>
  <c r="P165" i="15"/>
  <c r="S7" i="15"/>
  <c r="R45" i="15"/>
  <c r="R46" i="15" s="1"/>
  <c r="Q173" i="15"/>
  <c r="Q163" i="15"/>
  <c r="Q174" i="15"/>
  <c r="P153" i="15"/>
  <c r="P154" i="15" s="1"/>
  <c r="Q164" i="15"/>
  <c r="Q151" i="15"/>
  <c r="Q175" i="15"/>
  <c r="Q162" i="15"/>
  <c r="Q152" i="15"/>
  <c r="Q140" i="15"/>
  <c r="Q119" i="15"/>
  <c r="P142" i="15"/>
  <c r="P143" i="15" s="1"/>
  <c r="Q141" i="15"/>
  <c r="P120" i="15"/>
  <c r="P121" i="15" s="1"/>
  <c r="P109" i="15"/>
  <c r="P110" i="15" s="1"/>
  <c r="Q107" i="15"/>
  <c r="Q86" i="15"/>
  <c r="P131" i="15"/>
  <c r="P132" i="15" s="1"/>
  <c r="Q118" i="15"/>
  <c r="Q129" i="15"/>
  <c r="Q130" i="15"/>
  <c r="Q97" i="15"/>
  <c r="P87" i="15"/>
  <c r="P88" i="15" s="1"/>
  <c r="P98" i="15"/>
  <c r="P99" i="15" s="1"/>
  <c r="Q85" i="15"/>
  <c r="P65" i="15"/>
  <c r="P66" i="15" s="1"/>
  <c r="Q96" i="15"/>
  <c r="Q75" i="15"/>
  <c r="Q108" i="15"/>
  <c r="P54" i="15"/>
  <c r="P55" i="15" s="1"/>
  <c r="P76" i="15"/>
  <c r="P77" i="15" s="1"/>
  <c r="Q63" i="15"/>
  <c r="Q52" i="15"/>
  <c r="Q64" i="15"/>
  <c r="Q74" i="15"/>
  <c r="Q53" i="15"/>
  <c r="P165" i="14"/>
  <c r="Q173" i="14"/>
  <c r="Q152" i="14"/>
  <c r="Q163" i="14"/>
  <c r="Q174" i="14"/>
  <c r="Q164" i="14"/>
  <c r="Q175" i="14"/>
  <c r="Q162" i="14"/>
  <c r="Q141" i="14"/>
  <c r="Q119" i="14"/>
  <c r="Q140" i="14"/>
  <c r="P153" i="14"/>
  <c r="P154" i="14" s="1"/>
  <c r="Q151" i="14"/>
  <c r="P131" i="14"/>
  <c r="P132" i="14" s="1"/>
  <c r="P109" i="14"/>
  <c r="P110" i="14" s="1"/>
  <c r="Q129" i="14"/>
  <c r="Q107" i="14"/>
  <c r="Q86" i="14"/>
  <c r="Q118" i="14"/>
  <c r="P142" i="14"/>
  <c r="P143" i="14" s="1"/>
  <c r="P120" i="14"/>
  <c r="P121" i="14" s="1"/>
  <c r="P65" i="14"/>
  <c r="P66" i="14" s="1"/>
  <c r="Q85" i="14"/>
  <c r="P76" i="14"/>
  <c r="P77" i="14" s="1"/>
  <c r="Q63" i="14"/>
  <c r="P54" i="14"/>
  <c r="P55" i="14" s="1"/>
  <c r="P98" i="14"/>
  <c r="P99" i="14" s="1"/>
  <c r="Q75" i="14"/>
  <c r="Q74" i="14"/>
  <c r="Q64" i="14"/>
  <c r="Q108" i="14"/>
  <c r="Q130" i="14"/>
  <c r="P87" i="14"/>
  <c r="P88" i="14" s="1"/>
  <c r="Q53" i="14"/>
  <c r="Q52" i="14"/>
  <c r="Q97" i="14"/>
  <c r="Q96" i="14"/>
  <c r="S7" i="14"/>
  <c r="R45" i="14"/>
  <c r="R46" i="14" s="1"/>
  <c r="P176" i="14"/>
  <c r="H175" i="1"/>
  <c r="H173" i="1"/>
  <c r="H174" i="1"/>
  <c r="H163" i="1"/>
  <c r="H164" i="1"/>
  <c r="H162" i="1"/>
  <c r="I45" i="1"/>
  <c r="I46" i="1" s="1"/>
  <c r="J7" i="1"/>
  <c r="H52" i="1"/>
  <c r="H53" i="1"/>
  <c r="H63" i="1"/>
  <c r="G65" i="1"/>
  <c r="G66" i="1" s="1"/>
  <c r="G54" i="1"/>
  <c r="G55" i="1" s="1"/>
  <c r="H64" i="1"/>
  <c r="H75" i="1"/>
  <c r="H86" i="1"/>
  <c r="H97" i="1"/>
  <c r="G120" i="1"/>
  <c r="G121" i="1" s="1"/>
  <c r="H129" i="1"/>
  <c r="H141" i="1"/>
  <c r="H85" i="1"/>
  <c r="H96" i="1"/>
  <c r="H108" i="1"/>
  <c r="G131" i="1"/>
  <c r="G132" i="1" s="1"/>
  <c r="H140" i="1"/>
  <c r="H152" i="1"/>
  <c r="H74" i="1"/>
  <c r="G76" i="1"/>
  <c r="G77" i="1" s="1"/>
  <c r="G87" i="1"/>
  <c r="G88" i="1" s="1"/>
  <c r="G98" i="1"/>
  <c r="G99" i="1" s="1"/>
  <c r="H107" i="1"/>
  <c r="H119" i="1"/>
  <c r="G142" i="1"/>
  <c r="G143" i="1" s="1"/>
  <c r="H151" i="1"/>
  <c r="G109" i="1"/>
  <c r="G110" i="1" s="1"/>
  <c r="H118" i="1"/>
  <c r="H130" i="1"/>
  <c r="G153" i="1"/>
  <c r="G154" i="1" s="1"/>
  <c r="P176" i="17" l="1"/>
  <c r="P165" i="17"/>
  <c r="R45" i="17"/>
  <c r="R46" i="17" s="1"/>
  <c r="S7" i="17"/>
  <c r="Q173" i="17"/>
  <c r="P131" i="17"/>
  <c r="P132" i="17" s="1"/>
  <c r="P87" i="17"/>
  <c r="P88" i="17" s="1"/>
  <c r="Q163" i="17"/>
  <c r="Q118" i="17"/>
  <c r="Q108" i="17"/>
  <c r="Q107" i="17"/>
  <c r="Q174" i="17"/>
  <c r="P142" i="17"/>
  <c r="P143" i="17" s="1"/>
  <c r="P98" i="17"/>
  <c r="P99" i="17" s="1"/>
  <c r="Q152" i="17"/>
  <c r="Q164" i="17"/>
  <c r="Q141" i="17"/>
  <c r="Q75" i="17"/>
  <c r="Q175" i="17"/>
  <c r="Q129" i="17"/>
  <c r="Q97" i="17"/>
  <c r="Q162" i="17"/>
  <c r="P76" i="17"/>
  <c r="P77" i="17" s="1"/>
  <c r="Q86" i="17"/>
  <c r="Q53" i="17"/>
  <c r="Q130" i="17"/>
  <c r="P120" i="17"/>
  <c r="P121" i="17" s="1"/>
  <c r="Q52" i="17"/>
  <c r="Q140" i="17"/>
  <c r="Q119" i="17"/>
  <c r="Q96" i="17"/>
  <c r="P109" i="17"/>
  <c r="P110" i="17" s="1"/>
  <c r="Q85" i="17"/>
  <c r="P54" i="17"/>
  <c r="P55" i="17" s="1"/>
  <c r="P153" i="17"/>
  <c r="P154" i="17" s="1"/>
  <c r="Q64" i="17"/>
  <c r="Q74" i="17"/>
  <c r="Q151" i="17"/>
  <c r="P65" i="17"/>
  <c r="P66" i="17" s="1"/>
  <c r="Q63" i="17"/>
  <c r="P176" i="18"/>
  <c r="P165" i="18"/>
  <c r="S7" i="18"/>
  <c r="R45" i="18"/>
  <c r="R46" i="18" s="1"/>
  <c r="Q141" i="18"/>
  <c r="Q85" i="18"/>
  <c r="Q74" i="18"/>
  <c r="Q173" i="18"/>
  <c r="Q119" i="18"/>
  <c r="Q53" i="18"/>
  <c r="Q163" i="18"/>
  <c r="P98" i="18"/>
  <c r="P99" i="18" s="1"/>
  <c r="Q52" i="18"/>
  <c r="Q174" i="18"/>
  <c r="Q108" i="18"/>
  <c r="Q63" i="18"/>
  <c r="Q164" i="18"/>
  <c r="Q140" i="18"/>
  <c r="P54" i="18"/>
  <c r="P55" i="18" s="1"/>
  <c r="P65" i="18"/>
  <c r="P66" i="18" s="1"/>
  <c r="Q151" i="18"/>
  <c r="P131" i="18"/>
  <c r="P132" i="18" s="1"/>
  <c r="P87" i="18"/>
  <c r="P88" i="18" s="1"/>
  <c r="Q175" i="18"/>
  <c r="Q130" i="18"/>
  <c r="P109" i="18"/>
  <c r="P110" i="18" s="1"/>
  <c r="Q162" i="18"/>
  <c r="Q129" i="18"/>
  <c r="Q97" i="18"/>
  <c r="P153" i="18"/>
  <c r="P154" i="18" s="1"/>
  <c r="Q118" i="18"/>
  <c r="Q107" i="18"/>
  <c r="Q64" i="18"/>
  <c r="Q152" i="18"/>
  <c r="P120" i="18"/>
  <c r="P121" i="18" s="1"/>
  <c r="Q86" i="18"/>
  <c r="P142" i="18"/>
  <c r="P143" i="18" s="1"/>
  <c r="Q75" i="18"/>
  <c r="P76" i="18"/>
  <c r="P77" i="18" s="1"/>
  <c r="Q96" i="18"/>
  <c r="Q165" i="19"/>
  <c r="Q165" i="15"/>
  <c r="R176" i="16"/>
  <c r="Q165" i="14"/>
  <c r="R165" i="20"/>
  <c r="P176" i="24"/>
  <c r="R45" i="24"/>
  <c r="R46" i="24" s="1"/>
  <c r="S7" i="24"/>
  <c r="Q119" i="24"/>
  <c r="Q96" i="24"/>
  <c r="Q52" i="24"/>
  <c r="Q129" i="24"/>
  <c r="Q107" i="24"/>
  <c r="P142" i="24"/>
  <c r="P143" i="24" s="1"/>
  <c r="Q151" i="24"/>
  <c r="P65" i="24"/>
  <c r="P66" i="24" s="1"/>
  <c r="P54" i="24"/>
  <c r="P55" i="24" s="1"/>
  <c r="Q130" i="24"/>
  <c r="P109" i="24"/>
  <c r="P110" i="24" s="1"/>
  <c r="Q63" i="24"/>
  <c r="Q173" i="24"/>
  <c r="P153" i="24"/>
  <c r="P154" i="24" s="1"/>
  <c r="P98" i="24"/>
  <c r="P99" i="24" s="1"/>
  <c r="Q163" i="24"/>
  <c r="Q141" i="24"/>
  <c r="P87" i="24"/>
  <c r="P88" i="24" s="1"/>
  <c r="Q174" i="24"/>
  <c r="P120" i="24"/>
  <c r="P121" i="24" s="1"/>
  <c r="Q85" i="24"/>
  <c r="Q118" i="24"/>
  <c r="Q164" i="24"/>
  <c r="Q108" i="24"/>
  <c r="Q64" i="24"/>
  <c r="Q53" i="24"/>
  <c r="Q175" i="24"/>
  <c r="Q97" i="24"/>
  <c r="P76" i="24"/>
  <c r="P77" i="24" s="1"/>
  <c r="Q162" i="24"/>
  <c r="Q86" i="24"/>
  <c r="Q75" i="24"/>
  <c r="Q152" i="24"/>
  <c r="Q140" i="24"/>
  <c r="P131" i="24"/>
  <c r="P132" i="24" s="1"/>
  <c r="Q74" i="24"/>
  <c r="P165" i="24"/>
  <c r="T7" i="23"/>
  <c r="S45" i="23"/>
  <c r="S46" i="23" s="1"/>
  <c r="R152" i="23"/>
  <c r="R163" i="23"/>
  <c r="R174" i="23"/>
  <c r="R164" i="23"/>
  <c r="R175" i="23"/>
  <c r="R162" i="23"/>
  <c r="R151" i="23"/>
  <c r="R173" i="23"/>
  <c r="Q153" i="23"/>
  <c r="Q154" i="23" s="1"/>
  <c r="Q142" i="23"/>
  <c r="Q143" i="23" s="1"/>
  <c r="R141" i="23"/>
  <c r="R140" i="23"/>
  <c r="R107" i="23"/>
  <c r="R129" i="23"/>
  <c r="R130" i="23"/>
  <c r="Q131" i="23"/>
  <c r="Q132" i="23" s="1"/>
  <c r="R74" i="23"/>
  <c r="Q98" i="23"/>
  <c r="Q99" i="23" s="1"/>
  <c r="R97" i="23"/>
  <c r="R119" i="23"/>
  <c r="Q87" i="23"/>
  <c r="Q88" i="23" s="1"/>
  <c r="R64" i="23"/>
  <c r="R53" i="23"/>
  <c r="R52" i="23"/>
  <c r="R85" i="23"/>
  <c r="R96" i="23"/>
  <c r="R75" i="23"/>
  <c r="Q120" i="23"/>
  <c r="Q121" i="23" s="1"/>
  <c r="R63" i="23"/>
  <c r="R118" i="23"/>
  <c r="R108" i="23"/>
  <c r="Q76" i="23"/>
  <c r="Q77" i="23" s="1"/>
  <c r="Q65" i="23"/>
  <c r="Q66" i="23" s="1"/>
  <c r="R86" i="23"/>
  <c r="Q54" i="23"/>
  <c r="Q55" i="23" s="1"/>
  <c r="Q109" i="23"/>
  <c r="Q110" i="23" s="1"/>
  <c r="Q165" i="23"/>
  <c r="Q176" i="23"/>
  <c r="S45" i="22"/>
  <c r="S46" i="22" s="1"/>
  <c r="T7" i="22"/>
  <c r="R152" i="22"/>
  <c r="R163" i="22"/>
  <c r="R174" i="22"/>
  <c r="R164" i="22"/>
  <c r="R175" i="22"/>
  <c r="R162" i="22"/>
  <c r="R141" i="22"/>
  <c r="R173" i="22"/>
  <c r="R140" i="22"/>
  <c r="R151" i="22"/>
  <c r="Q109" i="22"/>
  <c r="Q110" i="22" s="1"/>
  <c r="R119" i="22"/>
  <c r="R118" i="22"/>
  <c r="R96" i="22"/>
  <c r="R129" i="22"/>
  <c r="Q131" i="22"/>
  <c r="Q132" i="22" s="1"/>
  <c r="R130" i="22"/>
  <c r="Q153" i="22"/>
  <c r="Q154" i="22" s="1"/>
  <c r="R108" i="22"/>
  <c r="Q142" i="22"/>
  <c r="Q143" i="22" s="1"/>
  <c r="R86" i="22"/>
  <c r="Q120" i="22"/>
  <c r="Q121" i="22" s="1"/>
  <c r="Q76" i="22"/>
  <c r="Q77" i="22" s="1"/>
  <c r="R74" i="22"/>
  <c r="Q98" i="22"/>
  <c r="Q99" i="22" s="1"/>
  <c r="Q87" i="22"/>
  <c r="Q88" i="22" s="1"/>
  <c r="R85" i="22"/>
  <c r="R97" i="22"/>
  <c r="R75" i="22"/>
  <c r="R53" i="22"/>
  <c r="R63" i="22"/>
  <c r="R52" i="22"/>
  <c r="Q65" i="22"/>
  <c r="Q66" i="22" s="1"/>
  <c r="R107" i="22"/>
  <c r="R64" i="22"/>
  <c r="Q54" i="22"/>
  <c r="Q55" i="22" s="1"/>
  <c r="Q176" i="22"/>
  <c r="Q165" i="22"/>
  <c r="T7" i="21"/>
  <c r="S45" i="21"/>
  <c r="S46" i="21" s="1"/>
  <c r="Q176" i="21"/>
  <c r="Q165" i="21"/>
  <c r="R152" i="21"/>
  <c r="R163" i="21"/>
  <c r="R174" i="21"/>
  <c r="Q153" i="21"/>
  <c r="Q154" i="21" s="1"/>
  <c r="R164" i="21"/>
  <c r="R151" i="21"/>
  <c r="R175" i="21"/>
  <c r="R162" i="21"/>
  <c r="R141" i="21"/>
  <c r="R173" i="21"/>
  <c r="Q131" i="21"/>
  <c r="Q132" i="21" s="1"/>
  <c r="R129" i="21"/>
  <c r="R140" i="21"/>
  <c r="R119" i="21"/>
  <c r="Q142" i="21"/>
  <c r="Q143" i="21" s="1"/>
  <c r="R130" i="21"/>
  <c r="R118" i="21"/>
  <c r="Q87" i="21"/>
  <c r="Q88" i="21" s="1"/>
  <c r="Q98" i="21"/>
  <c r="Q99" i="21" s="1"/>
  <c r="Q120" i="21"/>
  <c r="Q121" i="21" s="1"/>
  <c r="Q109" i="21"/>
  <c r="Q110" i="21" s="1"/>
  <c r="R108" i="21"/>
  <c r="R86" i="21"/>
  <c r="R75" i="21"/>
  <c r="R107" i="21"/>
  <c r="R96" i="21"/>
  <c r="Q65" i="21"/>
  <c r="Q66" i="21" s="1"/>
  <c r="R74" i="21"/>
  <c r="Q54" i="21"/>
  <c r="Q55" i="21" s="1"/>
  <c r="R85" i="21"/>
  <c r="Q76" i="21"/>
  <c r="Q77" i="21" s="1"/>
  <c r="R53" i="21"/>
  <c r="R64" i="21"/>
  <c r="R52" i="21"/>
  <c r="R97" i="21"/>
  <c r="R63" i="21"/>
  <c r="S163" i="20"/>
  <c r="S174" i="20"/>
  <c r="S164" i="20"/>
  <c r="S175" i="20"/>
  <c r="S162" i="20"/>
  <c r="S173" i="20"/>
  <c r="R142" i="20"/>
  <c r="R143" i="20" s="1"/>
  <c r="R153" i="20"/>
  <c r="R154" i="20" s="1"/>
  <c r="S151" i="20"/>
  <c r="S141" i="20"/>
  <c r="S118" i="20"/>
  <c r="S152" i="20"/>
  <c r="R131" i="20"/>
  <c r="R132" i="20" s="1"/>
  <c r="S140" i="20"/>
  <c r="S129" i="20"/>
  <c r="S86" i="20"/>
  <c r="S130" i="20"/>
  <c r="S107" i="20"/>
  <c r="S96" i="20"/>
  <c r="S119" i="20"/>
  <c r="R98" i="20"/>
  <c r="R99" i="20" s="1"/>
  <c r="R87" i="20"/>
  <c r="R88" i="20" s="1"/>
  <c r="S108" i="20"/>
  <c r="S85" i="20"/>
  <c r="R76" i="20"/>
  <c r="R77" i="20" s="1"/>
  <c r="S97" i="20"/>
  <c r="R120" i="20"/>
  <c r="R121" i="20" s="1"/>
  <c r="R109" i="20"/>
  <c r="R110" i="20" s="1"/>
  <c r="S64" i="20"/>
  <c r="S63" i="20"/>
  <c r="S52" i="20"/>
  <c r="R65" i="20"/>
  <c r="R66" i="20" s="1"/>
  <c r="S75" i="20"/>
  <c r="S53" i="20"/>
  <c r="S74" i="20"/>
  <c r="R54" i="20"/>
  <c r="R55" i="20" s="1"/>
  <c r="U7" i="20"/>
  <c r="T45" i="20"/>
  <c r="T46" i="20" s="1"/>
  <c r="R176" i="20"/>
  <c r="T7" i="19"/>
  <c r="S45" i="19"/>
  <c r="S46" i="19" s="1"/>
  <c r="R163" i="19"/>
  <c r="R174" i="19"/>
  <c r="R164" i="19"/>
  <c r="R173" i="19"/>
  <c r="R140" i="19"/>
  <c r="Q153" i="19"/>
  <c r="Q154" i="19" s="1"/>
  <c r="R152" i="19"/>
  <c r="R175" i="19"/>
  <c r="R151" i="19"/>
  <c r="Q142" i="19"/>
  <c r="Q143" i="19" s="1"/>
  <c r="R129" i="19"/>
  <c r="R130" i="19"/>
  <c r="R108" i="19"/>
  <c r="R162" i="19"/>
  <c r="Q120" i="19"/>
  <c r="Q121" i="19" s="1"/>
  <c r="R119" i="19"/>
  <c r="R141" i="19"/>
  <c r="R118" i="19"/>
  <c r="Q109" i="19"/>
  <c r="Q110" i="19" s="1"/>
  <c r="R97" i="19"/>
  <c r="R86" i="19"/>
  <c r="Q76" i="19"/>
  <c r="Q77" i="19" s="1"/>
  <c r="R96" i="19"/>
  <c r="R74" i="19"/>
  <c r="R63" i="19"/>
  <c r="R107" i="19"/>
  <c r="R85" i="19"/>
  <c r="Q131" i="19"/>
  <c r="Q132" i="19" s="1"/>
  <c r="Q87" i="19"/>
  <c r="Q88" i="19" s="1"/>
  <c r="Q65" i="19"/>
  <c r="Q66" i="19" s="1"/>
  <c r="R52" i="19"/>
  <c r="R64" i="19"/>
  <c r="Q54" i="19"/>
  <c r="Q55" i="19" s="1"/>
  <c r="Q98" i="19"/>
  <c r="Q99" i="19" s="1"/>
  <c r="R75" i="19"/>
  <c r="R53" i="19"/>
  <c r="Q176" i="19"/>
  <c r="T45" i="16"/>
  <c r="T46" i="16" s="1"/>
  <c r="U7" i="16"/>
  <c r="S163" i="16"/>
  <c r="S174" i="16"/>
  <c r="S140" i="16"/>
  <c r="S164" i="16"/>
  <c r="S175" i="16"/>
  <c r="S173" i="16"/>
  <c r="R142" i="16"/>
  <c r="R143" i="16" s="1"/>
  <c r="R131" i="16"/>
  <c r="R132" i="16" s="1"/>
  <c r="S162" i="16"/>
  <c r="S129" i="16"/>
  <c r="S152" i="16"/>
  <c r="S141" i="16"/>
  <c r="S108" i="16"/>
  <c r="S151" i="16"/>
  <c r="R87" i="16"/>
  <c r="R88" i="16" s="1"/>
  <c r="R98" i="16"/>
  <c r="R99" i="16" s="1"/>
  <c r="R120" i="16"/>
  <c r="R121" i="16" s="1"/>
  <c r="R153" i="16"/>
  <c r="R154" i="16" s="1"/>
  <c r="S130" i="16"/>
  <c r="S119" i="16"/>
  <c r="S85" i="16"/>
  <c r="S75" i="16"/>
  <c r="S96" i="16"/>
  <c r="S118" i="16"/>
  <c r="S97" i="16"/>
  <c r="S86" i="16"/>
  <c r="R76" i="16"/>
  <c r="R77" i="16" s="1"/>
  <c r="R65" i="16"/>
  <c r="R66" i="16" s="1"/>
  <c r="R109" i="16"/>
  <c r="R110" i="16" s="1"/>
  <c r="S64" i="16"/>
  <c r="S107" i="16"/>
  <c r="S74" i="16"/>
  <c r="R54" i="16"/>
  <c r="R55" i="16" s="1"/>
  <c r="S63" i="16"/>
  <c r="S53" i="16"/>
  <c r="S52" i="16"/>
  <c r="R165" i="16"/>
  <c r="Q176" i="15"/>
  <c r="R163" i="15"/>
  <c r="R174" i="15"/>
  <c r="R164" i="15"/>
  <c r="R151" i="15"/>
  <c r="R175" i="15"/>
  <c r="R162" i="15"/>
  <c r="R152" i="15"/>
  <c r="R140" i="15"/>
  <c r="R173" i="15"/>
  <c r="R119" i="15"/>
  <c r="Q142" i="15"/>
  <c r="Q143" i="15" s="1"/>
  <c r="Q153" i="15"/>
  <c r="Q154" i="15" s="1"/>
  <c r="R141" i="15"/>
  <c r="R118" i="15"/>
  <c r="Q109" i="15"/>
  <c r="Q110" i="15" s="1"/>
  <c r="R107" i="15"/>
  <c r="Q131" i="15"/>
  <c r="Q132" i="15" s="1"/>
  <c r="R129" i="15"/>
  <c r="R130" i="15"/>
  <c r="Q87" i="15"/>
  <c r="Q88" i="15" s="1"/>
  <c r="R86" i="15"/>
  <c r="Q98" i="15"/>
  <c r="Q99" i="15" s="1"/>
  <c r="R85" i="15"/>
  <c r="Q65" i="15"/>
  <c r="Q66" i="15" s="1"/>
  <c r="Q120" i="15"/>
  <c r="Q121" i="15" s="1"/>
  <c r="R75" i="15"/>
  <c r="R96" i="15"/>
  <c r="R108" i="15"/>
  <c r="Q76" i="15"/>
  <c r="Q77" i="15" s="1"/>
  <c r="R97" i="15"/>
  <c r="Q54" i="15"/>
  <c r="Q55" i="15" s="1"/>
  <c r="R63" i="15"/>
  <c r="R64" i="15"/>
  <c r="R74" i="15"/>
  <c r="R53" i="15"/>
  <c r="R52" i="15"/>
  <c r="T7" i="15"/>
  <c r="S45" i="15"/>
  <c r="S46" i="15" s="1"/>
  <c r="R163" i="14"/>
  <c r="R174" i="14"/>
  <c r="R164" i="14"/>
  <c r="R175" i="14"/>
  <c r="R162" i="14"/>
  <c r="R173" i="14"/>
  <c r="R140" i="14"/>
  <c r="Q153" i="14"/>
  <c r="Q154" i="14" s="1"/>
  <c r="R152" i="14"/>
  <c r="R151" i="14"/>
  <c r="R129" i="14"/>
  <c r="R107" i="14"/>
  <c r="R118" i="14"/>
  <c r="Q142" i="14"/>
  <c r="Q143" i="14" s="1"/>
  <c r="Q120" i="14"/>
  <c r="Q121" i="14" s="1"/>
  <c r="R141" i="14"/>
  <c r="R119" i="14"/>
  <c r="Q98" i="14"/>
  <c r="Q99" i="14" s="1"/>
  <c r="R75" i="14"/>
  <c r="Q131" i="14"/>
  <c r="Q132" i="14" s="1"/>
  <c r="R130" i="14"/>
  <c r="R74" i="14"/>
  <c r="R64" i="14"/>
  <c r="R108" i="14"/>
  <c r="Q109" i="14"/>
  <c r="Q110" i="14" s="1"/>
  <c r="Q87" i="14"/>
  <c r="Q88" i="14" s="1"/>
  <c r="R86" i="14"/>
  <c r="R97" i="14"/>
  <c r="R96" i="14"/>
  <c r="R53" i="14"/>
  <c r="R52" i="14"/>
  <c r="Q54" i="14"/>
  <c r="Q55" i="14" s="1"/>
  <c r="R85" i="14"/>
  <c r="Q76" i="14"/>
  <c r="Q77" i="14" s="1"/>
  <c r="R63" i="14"/>
  <c r="Q65" i="14"/>
  <c r="Q66" i="14" s="1"/>
  <c r="S45" i="14"/>
  <c r="S46" i="14" s="1"/>
  <c r="T7" i="14"/>
  <c r="Q176" i="14"/>
  <c r="H165" i="1"/>
  <c r="I162" i="1"/>
  <c r="I164" i="1"/>
  <c r="I163" i="1"/>
  <c r="I173" i="1"/>
  <c r="I174" i="1"/>
  <c r="I175" i="1"/>
  <c r="H176" i="1"/>
  <c r="H54" i="1"/>
  <c r="H55" i="1" s="1"/>
  <c r="I64" i="1"/>
  <c r="I52" i="1"/>
  <c r="I53" i="1"/>
  <c r="I63" i="1"/>
  <c r="I74" i="1"/>
  <c r="H65" i="1"/>
  <c r="H66" i="1" s="1"/>
  <c r="H109" i="1"/>
  <c r="H110" i="1" s="1"/>
  <c r="I118" i="1"/>
  <c r="I130" i="1"/>
  <c r="H153" i="1"/>
  <c r="H154" i="1" s="1"/>
  <c r="I86" i="1"/>
  <c r="I97" i="1"/>
  <c r="H120" i="1"/>
  <c r="H121" i="1" s="1"/>
  <c r="I129" i="1"/>
  <c r="I141" i="1"/>
  <c r="I75" i="1"/>
  <c r="I85" i="1"/>
  <c r="I96" i="1"/>
  <c r="I108" i="1"/>
  <c r="H131" i="1"/>
  <c r="H132" i="1" s="1"/>
  <c r="I140" i="1"/>
  <c r="I152" i="1"/>
  <c r="H76" i="1"/>
  <c r="H77" i="1" s="1"/>
  <c r="H87" i="1"/>
  <c r="H88" i="1" s="1"/>
  <c r="H98" i="1"/>
  <c r="H99" i="1" s="1"/>
  <c r="I107" i="1"/>
  <c r="I119" i="1"/>
  <c r="H142" i="1"/>
  <c r="H143" i="1" s="1"/>
  <c r="I151" i="1"/>
  <c r="K7" i="1"/>
  <c r="J45" i="1"/>
  <c r="J46" i="1" s="1"/>
  <c r="Q165" i="17" l="1"/>
  <c r="Q176" i="17"/>
  <c r="T7" i="17"/>
  <c r="S45" i="17"/>
  <c r="S46" i="17" s="1"/>
  <c r="R175" i="17"/>
  <c r="Q120" i="17"/>
  <c r="Q121" i="17" s="1"/>
  <c r="Q65" i="17"/>
  <c r="Q66" i="17" s="1"/>
  <c r="R162" i="17"/>
  <c r="R97" i="17"/>
  <c r="R52" i="17"/>
  <c r="R141" i="17"/>
  <c r="R74" i="17"/>
  <c r="Q54" i="17"/>
  <c r="Q55" i="17" s="1"/>
  <c r="R129" i="17"/>
  <c r="R173" i="17"/>
  <c r="R118" i="17"/>
  <c r="Q109" i="17"/>
  <c r="Q110" i="17" s="1"/>
  <c r="R140" i="17"/>
  <c r="R119" i="17"/>
  <c r="R63" i="17"/>
  <c r="R174" i="17"/>
  <c r="Q153" i="17"/>
  <c r="Q154" i="17" s="1"/>
  <c r="R107" i="17"/>
  <c r="R85" i="17"/>
  <c r="R152" i="17"/>
  <c r="Q87" i="17"/>
  <c r="Q88" i="17" s="1"/>
  <c r="R64" i="17"/>
  <c r="R86" i="17"/>
  <c r="R151" i="17"/>
  <c r="Q76" i="17"/>
  <c r="Q77" i="17" s="1"/>
  <c r="Q131" i="17"/>
  <c r="Q132" i="17" s="1"/>
  <c r="Q98" i="17"/>
  <c r="Q99" i="17" s="1"/>
  <c r="R108" i="17"/>
  <c r="R53" i="17"/>
  <c r="R163" i="17"/>
  <c r="Q142" i="17"/>
  <c r="Q143" i="17" s="1"/>
  <c r="R75" i="17"/>
  <c r="R164" i="17"/>
  <c r="R130" i="17"/>
  <c r="R96" i="17"/>
  <c r="Q176" i="18"/>
  <c r="R141" i="18"/>
  <c r="R108" i="18"/>
  <c r="R74" i="18"/>
  <c r="R173" i="18"/>
  <c r="Q98" i="18"/>
  <c r="Q99" i="18" s="1"/>
  <c r="Q65" i="18"/>
  <c r="Q66" i="18" s="1"/>
  <c r="Q131" i="18"/>
  <c r="Q132" i="18" s="1"/>
  <c r="R97" i="18"/>
  <c r="R53" i="18"/>
  <c r="R75" i="18"/>
  <c r="R151" i="18"/>
  <c r="Q87" i="18"/>
  <c r="Q88" i="18" s="1"/>
  <c r="R52" i="18"/>
  <c r="Q153" i="18"/>
  <c r="Q154" i="18" s="1"/>
  <c r="R107" i="18"/>
  <c r="R85" i="18"/>
  <c r="R152" i="18"/>
  <c r="R130" i="18"/>
  <c r="R63" i="18"/>
  <c r="R163" i="18"/>
  <c r="R96" i="18"/>
  <c r="Q54" i="18"/>
  <c r="Q55" i="18" s="1"/>
  <c r="R174" i="18"/>
  <c r="R118" i="18"/>
  <c r="R64" i="18"/>
  <c r="Q142" i="18"/>
  <c r="Q143" i="18" s="1"/>
  <c r="Q109" i="18"/>
  <c r="Q110" i="18" s="1"/>
  <c r="R119" i="18"/>
  <c r="R162" i="18"/>
  <c r="R164" i="18"/>
  <c r="R140" i="18"/>
  <c r="R86" i="18"/>
  <c r="R175" i="18"/>
  <c r="R129" i="18"/>
  <c r="Q76" i="18"/>
  <c r="Q77" i="18" s="1"/>
  <c r="Q120" i="18"/>
  <c r="Q121" i="18" s="1"/>
  <c r="Q165" i="18"/>
  <c r="S45" i="18"/>
  <c r="S46" i="18" s="1"/>
  <c r="T7" i="18"/>
  <c r="R176" i="14"/>
  <c r="S165" i="20"/>
  <c r="R165" i="14"/>
  <c r="R165" i="22"/>
  <c r="R176" i="22"/>
  <c r="Q165" i="24"/>
  <c r="Q176" i="24"/>
  <c r="S45" i="24"/>
  <c r="S46" i="24" s="1"/>
  <c r="T7" i="24"/>
  <c r="R175" i="24"/>
  <c r="R140" i="24"/>
  <c r="Q87" i="24"/>
  <c r="Q88" i="24" s="1"/>
  <c r="Q142" i="24"/>
  <c r="Q143" i="24" s="1"/>
  <c r="R174" i="24"/>
  <c r="R164" i="24"/>
  <c r="R162" i="24"/>
  <c r="R86" i="24"/>
  <c r="R85" i="24"/>
  <c r="R129" i="24"/>
  <c r="R173" i="24"/>
  <c r="R107" i="24"/>
  <c r="R52" i="24"/>
  <c r="R119" i="24"/>
  <c r="R96" i="24"/>
  <c r="Q65" i="24"/>
  <c r="Q66" i="24" s="1"/>
  <c r="R64" i="24"/>
  <c r="Q76" i="24"/>
  <c r="Q77" i="24" s="1"/>
  <c r="Q131" i="24"/>
  <c r="Q132" i="24" s="1"/>
  <c r="R97" i="24"/>
  <c r="R130" i="24"/>
  <c r="Q120" i="24"/>
  <c r="Q121" i="24" s="1"/>
  <c r="R63" i="24"/>
  <c r="R141" i="24"/>
  <c r="Q109" i="24"/>
  <c r="Q110" i="24" s="1"/>
  <c r="R53" i="24"/>
  <c r="R152" i="24"/>
  <c r="R118" i="24"/>
  <c r="Q98" i="24"/>
  <c r="Q99" i="24" s="1"/>
  <c r="R74" i="24"/>
  <c r="R163" i="24"/>
  <c r="R151" i="24"/>
  <c r="Q54" i="24"/>
  <c r="Q55" i="24" s="1"/>
  <c r="Q153" i="24"/>
  <c r="Q154" i="24" s="1"/>
  <c r="R108" i="24"/>
  <c r="R75" i="24"/>
  <c r="R176" i="23"/>
  <c r="S163" i="23"/>
  <c r="S174" i="23"/>
  <c r="S164" i="23"/>
  <c r="S175" i="23"/>
  <c r="S141" i="23"/>
  <c r="S173" i="23"/>
  <c r="S152" i="23"/>
  <c r="R153" i="23"/>
  <c r="R154" i="23" s="1"/>
  <c r="R142" i="23"/>
  <c r="R143" i="23" s="1"/>
  <c r="R120" i="23"/>
  <c r="R121" i="23" s="1"/>
  <c r="S140" i="23"/>
  <c r="S162" i="23"/>
  <c r="S119" i="23"/>
  <c r="S151" i="23"/>
  <c r="S129" i="23"/>
  <c r="S130" i="23"/>
  <c r="S97" i="23"/>
  <c r="R131" i="23"/>
  <c r="R132" i="23" s="1"/>
  <c r="S107" i="23"/>
  <c r="R98" i="23"/>
  <c r="R99" i="23" s="1"/>
  <c r="S63" i="23"/>
  <c r="R87" i="23"/>
  <c r="R88" i="23" s="1"/>
  <c r="S85" i="23"/>
  <c r="R54" i="23"/>
  <c r="R55" i="23" s="1"/>
  <c r="S96" i="23"/>
  <c r="S118" i="23"/>
  <c r="R109" i="23"/>
  <c r="R110" i="23" s="1"/>
  <c r="S108" i="23"/>
  <c r="R76" i="23"/>
  <c r="R77" i="23" s="1"/>
  <c r="R65" i="23"/>
  <c r="R66" i="23" s="1"/>
  <c r="S52" i="23"/>
  <c r="S86" i="23"/>
  <c r="S64" i="23"/>
  <c r="S53" i="23"/>
  <c r="S74" i="23"/>
  <c r="S75" i="23"/>
  <c r="R165" i="23"/>
  <c r="U7" i="23"/>
  <c r="T45" i="23"/>
  <c r="T46" i="23" s="1"/>
  <c r="T45" i="22"/>
  <c r="T46" i="22" s="1"/>
  <c r="U7" i="22"/>
  <c r="S163" i="22"/>
  <c r="S174" i="22"/>
  <c r="S164" i="22"/>
  <c r="S175" i="22"/>
  <c r="S141" i="22"/>
  <c r="S173" i="22"/>
  <c r="S140" i="22"/>
  <c r="R131" i="22"/>
  <c r="R132" i="22" s="1"/>
  <c r="S162" i="22"/>
  <c r="S151" i="22"/>
  <c r="S152" i="22"/>
  <c r="R109" i="22"/>
  <c r="R110" i="22" s="1"/>
  <c r="R153" i="22"/>
  <c r="R154" i="22" s="1"/>
  <c r="R142" i="22"/>
  <c r="R143" i="22" s="1"/>
  <c r="S119" i="22"/>
  <c r="S118" i="22"/>
  <c r="S129" i="22"/>
  <c r="S130" i="22"/>
  <c r="R120" i="22"/>
  <c r="R121" i="22" s="1"/>
  <c r="S96" i="22"/>
  <c r="R76" i="22"/>
  <c r="R77" i="22" s="1"/>
  <c r="S108" i="22"/>
  <c r="S74" i="22"/>
  <c r="R98" i="22"/>
  <c r="R99" i="22" s="1"/>
  <c r="R87" i="22"/>
  <c r="R88" i="22" s="1"/>
  <c r="S85" i="22"/>
  <c r="S97" i="22"/>
  <c r="S107" i="22"/>
  <c r="S63" i="22"/>
  <c r="S86" i="22"/>
  <c r="S52" i="22"/>
  <c r="R65" i="22"/>
  <c r="R66" i="22" s="1"/>
  <c r="S75" i="22"/>
  <c r="S64" i="22"/>
  <c r="R54" i="22"/>
  <c r="R55" i="22" s="1"/>
  <c r="S53" i="22"/>
  <c r="R176" i="21"/>
  <c r="R165" i="21"/>
  <c r="S163" i="21"/>
  <c r="S174" i="21"/>
  <c r="S164" i="21"/>
  <c r="S151" i="21"/>
  <c r="S175" i="21"/>
  <c r="S162" i="21"/>
  <c r="S173" i="21"/>
  <c r="R131" i="21"/>
  <c r="R132" i="21" s="1"/>
  <c r="S129" i="21"/>
  <c r="R153" i="21"/>
  <c r="R154" i="21" s="1"/>
  <c r="S140" i="21"/>
  <c r="R142" i="21"/>
  <c r="R143" i="21" s="1"/>
  <c r="S118" i="21"/>
  <c r="S85" i="21"/>
  <c r="S130" i="21"/>
  <c r="S119" i="21"/>
  <c r="S96" i="21"/>
  <c r="R120" i="21"/>
  <c r="R121" i="21" s="1"/>
  <c r="R109" i="21"/>
  <c r="R110" i="21" s="1"/>
  <c r="S108" i="21"/>
  <c r="S152" i="21"/>
  <c r="S141" i="21"/>
  <c r="R98" i="21"/>
  <c r="R99" i="21" s="1"/>
  <c r="S107" i="21"/>
  <c r="S97" i="21"/>
  <c r="R65" i="21"/>
  <c r="R66" i="21" s="1"/>
  <c r="S74" i="21"/>
  <c r="S53" i="21"/>
  <c r="S52" i="21"/>
  <c r="R87" i="21"/>
  <c r="R88" i="21" s="1"/>
  <c r="S64" i="21"/>
  <c r="S86" i="21"/>
  <c r="S75" i="21"/>
  <c r="R76" i="21"/>
  <c r="R77" i="21" s="1"/>
  <c r="S63" i="21"/>
  <c r="R54" i="21"/>
  <c r="R55" i="21" s="1"/>
  <c r="U7" i="21"/>
  <c r="T45" i="21"/>
  <c r="T46" i="21" s="1"/>
  <c r="R176" i="19"/>
  <c r="R165" i="19"/>
  <c r="S176" i="20"/>
  <c r="T163" i="20"/>
  <c r="T174" i="20"/>
  <c r="S142" i="20"/>
  <c r="S143" i="20" s="1"/>
  <c r="S153" i="20"/>
  <c r="S154" i="20" s="1"/>
  <c r="T164" i="20"/>
  <c r="T175" i="20"/>
  <c r="T162" i="20"/>
  <c r="T173" i="20"/>
  <c r="T152" i="20"/>
  <c r="T130" i="20"/>
  <c r="S98" i="20"/>
  <c r="S99" i="20" s="1"/>
  <c r="T151" i="20"/>
  <c r="T141" i="20"/>
  <c r="S131" i="20"/>
  <c r="S132" i="20" s="1"/>
  <c r="T140" i="20"/>
  <c r="T107" i="20"/>
  <c r="T118" i="20"/>
  <c r="T96" i="20"/>
  <c r="T129" i="20"/>
  <c r="T119" i="20"/>
  <c r="S109" i="20"/>
  <c r="S110" i="20" s="1"/>
  <c r="T85" i="20"/>
  <c r="S120" i="20"/>
  <c r="S121" i="20" s="1"/>
  <c r="T108" i="20"/>
  <c r="T97" i="20"/>
  <c r="T86" i="20"/>
  <c r="S87" i="20"/>
  <c r="S88" i="20" s="1"/>
  <c r="S65" i="20"/>
  <c r="S66" i="20" s="1"/>
  <c r="T63" i="20"/>
  <c r="T52" i="20"/>
  <c r="T64" i="20"/>
  <c r="S76" i="20"/>
  <c r="S77" i="20" s="1"/>
  <c r="T75" i="20"/>
  <c r="T53" i="20"/>
  <c r="T74" i="20"/>
  <c r="S54" i="20"/>
  <c r="S55" i="20" s="1"/>
  <c r="U45" i="20"/>
  <c r="U46" i="20" s="1"/>
  <c r="V7" i="20"/>
  <c r="S163" i="19"/>
  <c r="S174" i="19"/>
  <c r="R142" i="19"/>
  <c r="R143" i="19" s="1"/>
  <c r="S164" i="19"/>
  <c r="S175" i="19"/>
  <c r="S162" i="19"/>
  <c r="S173" i="19"/>
  <c r="R153" i="19"/>
  <c r="R154" i="19" s="1"/>
  <c r="S152" i="19"/>
  <c r="S151" i="19"/>
  <c r="S140" i="19"/>
  <c r="S129" i="19"/>
  <c r="R120" i="19"/>
  <c r="R121" i="19" s="1"/>
  <c r="S119" i="19"/>
  <c r="R98" i="19"/>
  <c r="R99" i="19" s="1"/>
  <c r="S141" i="19"/>
  <c r="S118" i="19"/>
  <c r="S97" i="19"/>
  <c r="R131" i="19"/>
  <c r="R132" i="19" s="1"/>
  <c r="R76" i="19"/>
  <c r="R77" i="19" s="1"/>
  <c r="S96" i="19"/>
  <c r="S74" i="19"/>
  <c r="S64" i="19"/>
  <c r="S53" i="19"/>
  <c r="S52" i="19"/>
  <c r="S107" i="19"/>
  <c r="S85" i="19"/>
  <c r="S75" i="19"/>
  <c r="S108" i="19"/>
  <c r="R87" i="19"/>
  <c r="R88" i="19" s="1"/>
  <c r="S130" i="19"/>
  <c r="S86" i="19"/>
  <c r="R109" i="19"/>
  <c r="R110" i="19" s="1"/>
  <c r="R54" i="19"/>
  <c r="R55" i="19" s="1"/>
  <c r="S63" i="19"/>
  <c r="R65" i="19"/>
  <c r="R66" i="19" s="1"/>
  <c r="T45" i="19"/>
  <c r="T46" i="19" s="1"/>
  <c r="U7" i="19"/>
  <c r="U45" i="16"/>
  <c r="U46" i="16" s="1"/>
  <c r="V7" i="16"/>
  <c r="T163" i="16"/>
  <c r="T174" i="16"/>
  <c r="S142" i="16"/>
  <c r="S143" i="16" s="1"/>
  <c r="S153" i="16"/>
  <c r="S154" i="16" s="1"/>
  <c r="T164" i="16"/>
  <c r="T175" i="16"/>
  <c r="T162" i="16"/>
  <c r="T173" i="16"/>
  <c r="T129" i="16"/>
  <c r="T152" i="16"/>
  <c r="T140" i="16"/>
  <c r="T151" i="16"/>
  <c r="T141" i="16"/>
  <c r="T85" i="16"/>
  <c r="T96" i="16"/>
  <c r="S131" i="16"/>
  <c r="S132" i="16" s="1"/>
  <c r="S120" i="16"/>
  <c r="S121" i="16" s="1"/>
  <c r="T130" i="16"/>
  <c r="T119" i="16"/>
  <c r="T118" i="16"/>
  <c r="T108" i="16"/>
  <c r="T97" i="16"/>
  <c r="T74" i="16"/>
  <c r="S109" i="16"/>
  <c r="S110" i="16" s="1"/>
  <c r="T75" i="16"/>
  <c r="T86" i="16"/>
  <c r="S98" i="16"/>
  <c r="S99" i="16" s="1"/>
  <c r="T64" i="16"/>
  <c r="S76" i="16"/>
  <c r="S77" i="16" s="1"/>
  <c r="T107" i="16"/>
  <c r="T63" i="16"/>
  <c r="S54" i="16"/>
  <c r="S55" i="16" s="1"/>
  <c r="S65" i="16"/>
  <c r="S66" i="16" s="1"/>
  <c r="T53" i="16"/>
  <c r="T52" i="16"/>
  <c r="S87" i="16"/>
  <c r="S88" i="16" s="1"/>
  <c r="S165" i="16"/>
  <c r="S176" i="16"/>
  <c r="S163" i="15"/>
  <c r="S174" i="15"/>
  <c r="S164" i="15"/>
  <c r="S175" i="15"/>
  <c r="S162" i="15"/>
  <c r="S173" i="15"/>
  <c r="R142" i="15"/>
  <c r="R143" i="15" s="1"/>
  <c r="R153" i="15"/>
  <c r="R154" i="15" s="1"/>
  <c r="S130" i="15"/>
  <c r="S141" i="15"/>
  <c r="R120" i="15"/>
  <c r="R121" i="15" s="1"/>
  <c r="S151" i="15"/>
  <c r="R131" i="15"/>
  <c r="R132" i="15" s="1"/>
  <c r="S107" i="15"/>
  <c r="S140" i="15"/>
  <c r="S118" i="15"/>
  <c r="S97" i="15"/>
  <c r="S129" i="15"/>
  <c r="S119" i="15"/>
  <c r="S152" i="15"/>
  <c r="R98" i="15"/>
  <c r="R99" i="15" s="1"/>
  <c r="S86" i="15"/>
  <c r="S85" i="15"/>
  <c r="S75" i="15"/>
  <c r="R109" i="15"/>
  <c r="R110" i="15" s="1"/>
  <c r="S96" i="15"/>
  <c r="S108" i="15"/>
  <c r="S74" i="15"/>
  <c r="R54" i="15"/>
  <c r="R55" i="15" s="1"/>
  <c r="R87" i="15"/>
  <c r="R88" i="15" s="1"/>
  <c r="R76" i="15"/>
  <c r="R77" i="15" s="1"/>
  <c r="S63" i="15"/>
  <c r="S64" i="15"/>
  <c r="R65" i="15"/>
  <c r="R66" i="15" s="1"/>
  <c r="S53" i="15"/>
  <c r="S52" i="15"/>
  <c r="R176" i="15"/>
  <c r="T45" i="15"/>
  <c r="T46" i="15" s="1"/>
  <c r="U7" i="15"/>
  <c r="R165" i="15"/>
  <c r="U7" i="14"/>
  <c r="T45" i="14"/>
  <c r="T46" i="14" s="1"/>
  <c r="S163" i="14"/>
  <c r="S174" i="14"/>
  <c r="S164" i="14"/>
  <c r="S175" i="14"/>
  <c r="S162" i="14"/>
  <c r="S141" i="14"/>
  <c r="S173" i="14"/>
  <c r="S140" i="14"/>
  <c r="S130" i="14"/>
  <c r="R153" i="14"/>
  <c r="R154" i="14" s="1"/>
  <c r="S152" i="14"/>
  <c r="S151" i="14"/>
  <c r="R142" i="14"/>
  <c r="R143" i="14" s="1"/>
  <c r="S129" i="14"/>
  <c r="S118" i="14"/>
  <c r="R120" i="14"/>
  <c r="R121" i="14" s="1"/>
  <c r="S119" i="14"/>
  <c r="R131" i="14"/>
  <c r="R132" i="14" s="1"/>
  <c r="S96" i="14"/>
  <c r="R98" i="14"/>
  <c r="R99" i="14" s="1"/>
  <c r="S75" i="14"/>
  <c r="S74" i="14"/>
  <c r="S64" i="14"/>
  <c r="S108" i="14"/>
  <c r="S107" i="14"/>
  <c r="R109" i="14"/>
  <c r="R110" i="14" s="1"/>
  <c r="R87" i="14"/>
  <c r="R88" i="14" s="1"/>
  <c r="S86" i="14"/>
  <c r="S97" i="14"/>
  <c r="R65" i="14"/>
  <c r="R66" i="14" s="1"/>
  <c r="S53" i="14"/>
  <c r="S52" i="14"/>
  <c r="S85" i="14"/>
  <c r="R76" i="14"/>
  <c r="R77" i="14" s="1"/>
  <c r="R54" i="14"/>
  <c r="R55" i="14" s="1"/>
  <c r="S63" i="14"/>
  <c r="I176" i="1"/>
  <c r="J163" i="1"/>
  <c r="J164" i="1"/>
  <c r="J162" i="1"/>
  <c r="J173" i="1"/>
  <c r="J174" i="1"/>
  <c r="J175" i="1"/>
  <c r="I165" i="1"/>
  <c r="I54" i="1"/>
  <c r="I55" i="1" s="1"/>
  <c r="J64" i="1"/>
  <c r="J75" i="1"/>
  <c r="J52" i="1"/>
  <c r="J53" i="1"/>
  <c r="J63" i="1"/>
  <c r="I65" i="1"/>
  <c r="I66" i="1" s="1"/>
  <c r="I76" i="1"/>
  <c r="I77" i="1" s="1"/>
  <c r="I87" i="1"/>
  <c r="I88" i="1" s="1"/>
  <c r="I98" i="1"/>
  <c r="I99" i="1" s="1"/>
  <c r="J107" i="1"/>
  <c r="J119" i="1"/>
  <c r="I142" i="1"/>
  <c r="I143" i="1" s="1"/>
  <c r="J151" i="1"/>
  <c r="I109" i="1"/>
  <c r="I110" i="1" s="1"/>
  <c r="J118" i="1"/>
  <c r="J130" i="1"/>
  <c r="I153" i="1"/>
  <c r="I154" i="1" s="1"/>
  <c r="J86" i="1"/>
  <c r="J97" i="1"/>
  <c r="I120" i="1"/>
  <c r="I121" i="1" s="1"/>
  <c r="J129" i="1"/>
  <c r="J141" i="1"/>
  <c r="J74" i="1"/>
  <c r="J85" i="1"/>
  <c r="J96" i="1"/>
  <c r="J108" i="1"/>
  <c r="I131" i="1"/>
  <c r="I132" i="1" s="1"/>
  <c r="J140" i="1"/>
  <c r="J152" i="1"/>
  <c r="L7" i="1"/>
  <c r="K45" i="1"/>
  <c r="K46" i="1" s="1"/>
  <c r="R165" i="17" l="1"/>
  <c r="S151" i="17"/>
  <c r="R87" i="17"/>
  <c r="R88" i="17" s="1"/>
  <c r="S53" i="17"/>
  <c r="R142" i="17"/>
  <c r="R143" i="17" s="1"/>
  <c r="R76" i="17"/>
  <c r="R77" i="17" s="1"/>
  <c r="R153" i="17"/>
  <c r="R154" i="17" s="1"/>
  <c r="S163" i="17"/>
  <c r="S174" i="17"/>
  <c r="S119" i="17"/>
  <c r="S75" i="17"/>
  <c r="S74" i="17"/>
  <c r="S164" i="17"/>
  <c r="S96" i="17"/>
  <c r="R98" i="17"/>
  <c r="R99" i="17" s="1"/>
  <c r="S107" i="17"/>
  <c r="S175" i="17"/>
  <c r="S129" i="17"/>
  <c r="S86" i="17"/>
  <c r="S162" i="17"/>
  <c r="S130" i="17"/>
  <c r="S97" i="17"/>
  <c r="S141" i="17"/>
  <c r="R131" i="17"/>
  <c r="R132" i="17" s="1"/>
  <c r="S63" i="17"/>
  <c r="S173" i="17"/>
  <c r="S118" i="17"/>
  <c r="S52" i="17"/>
  <c r="S140" i="17"/>
  <c r="R109" i="17"/>
  <c r="R110" i="17" s="1"/>
  <c r="R54" i="17"/>
  <c r="R55" i="17" s="1"/>
  <c r="R120" i="17"/>
  <c r="R121" i="17" s="1"/>
  <c r="S108" i="17"/>
  <c r="S85" i="17"/>
  <c r="S152" i="17"/>
  <c r="R65" i="17"/>
  <c r="R66" i="17" s="1"/>
  <c r="S64" i="17"/>
  <c r="R176" i="17"/>
  <c r="T45" i="17"/>
  <c r="T46" i="17" s="1"/>
  <c r="U7" i="17"/>
  <c r="R165" i="18"/>
  <c r="R176" i="18"/>
  <c r="U7" i="18"/>
  <c r="T45" i="18"/>
  <c r="T46" i="18" s="1"/>
  <c r="S163" i="18"/>
  <c r="R142" i="18"/>
  <c r="R143" i="18" s="1"/>
  <c r="S64" i="18"/>
  <c r="S174" i="18"/>
  <c r="S141" i="18"/>
  <c r="S119" i="18"/>
  <c r="S140" i="18"/>
  <c r="S118" i="18"/>
  <c r="S86" i="18"/>
  <c r="R153" i="18"/>
  <c r="R154" i="18" s="1"/>
  <c r="R109" i="18"/>
  <c r="R110" i="18" s="1"/>
  <c r="S75" i="18"/>
  <c r="S164" i="18"/>
  <c r="S108" i="18"/>
  <c r="S74" i="18"/>
  <c r="S175" i="18"/>
  <c r="S107" i="18"/>
  <c r="R65" i="18"/>
  <c r="R66" i="18" s="1"/>
  <c r="S162" i="18"/>
  <c r="S130" i="18"/>
  <c r="S85" i="18"/>
  <c r="S173" i="18"/>
  <c r="R76" i="18"/>
  <c r="R77" i="18" s="1"/>
  <c r="S53" i="18"/>
  <c r="R131" i="18"/>
  <c r="R132" i="18" s="1"/>
  <c r="R120" i="18"/>
  <c r="R121" i="18" s="1"/>
  <c r="R87" i="18"/>
  <c r="R88" i="18" s="1"/>
  <c r="R54" i="18"/>
  <c r="R55" i="18" s="1"/>
  <c r="S129" i="18"/>
  <c r="R98" i="18"/>
  <c r="R99" i="18" s="1"/>
  <c r="S63" i="18"/>
  <c r="S96" i="18"/>
  <c r="S151" i="18"/>
  <c r="S97" i="18"/>
  <c r="S52" i="18"/>
  <c r="S152" i="18"/>
  <c r="T165" i="16"/>
  <c r="R165" i="24"/>
  <c r="S165" i="22"/>
  <c r="S176" i="22"/>
  <c r="S176" i="15"/>
  <c r="S165" i="15"/>
  <c r="T176" i="16"/>
  <c r="R176" i="24"/>
  <c r="T45" i="24"/>
  <c r="T46" i="24" s="1"/>
  <c r="U7" i="24"/>
  <c r="S175" i="24"/>
  <c r="S140" i="24"/>
  <c r="S75" i="24"/>
  <c r="R87" i="24"/>
  <c r="R88" i="24" s="1"/>
  <c r="S162" i="24"/>
  <c r="S129" i="24"/>
  <c r="S74" i="24"/>
  <c r="S141" i="24"/>
  <c r="S86" i="24"/>
  <c r="S63" i="24"/>
  <c r="S163" i="24"/>
  <c r="S97" i="24"/>
  <c r="S173" i="24"/>
  <c r="S118" i="24"/>
  <c r="S53" i="24"/>
  <c r="S152" i="24"/>
  <c r="S107" i="24"/>
  <c r="S85" i="24"/>
  <c r="S119" i="24"/>
  <c r="S96" i="24"/>
  <c r="R65" i="24"/>
  <c r="R66" i="24" s="1"/>
  <c r="R142" i="24"/>
  <c r="R143" i="24" s="1"/>
  <c r="R120" i="24"/>
  <c r="R121" i="24" s="1"/>
  <c r="S64" i="24"/>
  <c r="R76" i="24"/>
  <c r="R77" i="24" s="1"/>
  <c r="S130" i="24"/>
  <c r="R109" i="24"/>
  <c r="R110" i="24" s="1"/>
  <c r="R54" i="24"/>
  <c r="R55" i="24" s="1"/>
  <c r="S151" i="24"/>
  <c r="R153" i="24"/>
  <c r="R154" i="24" s="1"/>
  <c r="R98" i="24"/>
  <c r="R99" i="24" s="1"/>
  <c r="S52" i="24"/>
  <c r="S164" i="24"/>
  <c r="S174" i="24"/>
  <c r="R131" i="24"/>
  <c r="R132" i="24" s="1"/>
  <c r="S108" i="24"/>
  <c r="S165" i="23"/>
  <c r="S176" i="23"/>
  <c r="T163" i="23"/>
  <c r="T174" i="23"/>
  <c r="S153" i="23"/>
  <c r="S154" i="23" s="1"/>
  <c r="T164" i="23"/>
  <c r="T175" i="23"/>
  <c r="T162" i="23"/>
  <c r="T173" i="23"/>
  <c r="S142" i="23"/>
  <c r="S143" i="23" s="1"/>
  <c r="T141" i="23"/>
  <c r="T140" i="23"/>
  <c r="T118" i="23"/>
  <c r="T129" i="23"/>
  <c r="T130" i="23"/>
  <c r="S131" i="23"/>
  <c r="S132" i="23" s="1"/>
  <c r="T152" i="23"/>
  <c r="T107" i="23"/>
  <c r="S98" i="23"/>
  <c r="S99" i="23" s="1"/>
  <c r="T151" i="23"/>
  <c r="T97" i="23"/>
  <c r="S87" i="23"/>
  <c r="S88" i="23" s="1"/>
  <c r="T64" i="23"/>
  <c r="T53" i="23"/>
  <c r="T52" i="23"/>
  <c r="T119" i="23"/>
  <c r="T85" i="23"/>
  <c r="T96" i="23"/>
  <c r="S65" i="23"/>
  <c r="S66" i="23" s="1"/>
  <c r="T108" i="23"/>
  <c r="S76" i="23"/>
  <c r="S77" i="23" s="1"/>
  <c r="T86" i="23"/>
  <c r="S54" i="23"/>
  <c r="S55" i="23" s="1"/>
  <c r="S120" i="23"/>
  <c r="S121" i="23" s="1"/>
  <c r="S109" i="23"/>
  <c r="S110" i="23" s="1"/>
  <c r="T75" i="23"/>
  <c r="T74" i="23"/>
  <c r="T63" i="23"/>
  <c r="U45" i="23"/>
  <c r="U46" i="23" s="1"/>
  <c r="V7" i="23"/>
  <c r="V7" i="22"/>
  <c r="U45" i="22"/>
  <c r="U46" i="22" s="1"/>
  <c r="T163" i="22"/>
  <c r="T174" i="22"/>
  <c r="T164" i="22"/>
  <c r="T175" i="22"/>
  <c r="T162" i="22"/>
  <c r="T173" i="22"/>
  <c r="T140" i="22"/>
  <c r="T129" i="22"/>
  <c r="T151" i="22"/>
  <c r="T152" i="22"/>
  <c r="S153" i="22"/>
  <c r="S154" i="22" s="1"/>
  <c r="S142" i="22"/>
  <c r="S143" i="22" s="1"/>
  <c r="S120" i="22"/>
  <c r="S121" i="22" s="1"/>
  <c r="T141" i="22"/>
  <c r="T118" i="22"/>
  <c r="T107" i="22"/>
  <c r="T130" i="22"/>
  <c r="S131" i="22"/>
  <c r="S132" i="22" s="1"/>
  <c r="S76" i="22"/>
  <c r="S77" i="22" s="1"/>
  <c r="T108" i="22"/>
  <c r="T74" i="22"/>
  <c r="S98" i="22"/>
  <c r="S99" i="22" s="1"/>
  <c r="S87" i="22"/>
  <c r="S88" i="22" s="1"/>
  <c r="T119" i="22"/>
  <c r="T85" i="22"/>
  <c r="T97" i="22"/>
  <c r="S109" i="22"/>
  <c r="S110" i="22" s="1"/>
  <c r="T86" i="22"/>
  <c r="T52" i="22"/>
  <c r="S65" i="22"/>
  <c r="S66" i="22" s="1"/>
  <c r="T75" i="22"/>
  <c r="T64" i="22"/>
  <c r="S54" i="22"/>
  <c r="S55" i="22" s="1"/>
  <c r="T53" i="22"/>
  <c r="T96" i="22"/>
  <c r="T63" i="22"/>
  <c r="T163" i="21"/>
  <c r="T174" i="21"/>
  <c r="S153" i="21"/>
  <c r="S154" i="21" s="1"/>
  <c r="T164" i="21"/>
  <c r="T175" i="21"/>
  <c r="T162" i="21"/>
  <c r="T173" i="21"/>
  <c r="T152" i="21"/>
  <c r="T151" i="21"/>
  <c r="S131" i="21"/>
  <c r="S132" i="21" s="1"/>
  <c r="T129" i="21"/>
  <c r="T140" i="21"/>
  <c r="T108" i="21"/>
  <c r="S142" i="21"/>
  <c r="S143" i="21" s="1"/>
  <c r="T130" i="21"/>
  <c r="T119" i="21"/>
  <c r="S98" i="21"/>
  <c r="S99" i="21" s="1"/>
  <c r="S120" i="21"/>
  <c r="S121" i="21" s="1"/>
  <c r="T97" i="21"/>
  <c r="T107" i="21"/>
  <c r="T141" i="21"/>
  <c r="S109" i="21"/>
  <c r="S110" i="21" s="1"/>
  <c r="T85" i="21"/>
  <c r="T118" i="21"/>
  <c r="T96" i="21"/>
  <c r="S87" i="21"/>
  <c r="S88" i="21" s="1"/>
  <c r="S65" i="21"/>
  <c r="S66" i="21" s="1"/>
  <c r="T74" i="21"/>
  <c r="T53" i="21"/>
  <c r="T52" i="21"/>
  <c r="S54" i="21"/>
  <c r="S55" i="21" s="1"/>
  <c r="T64" i="21"/>
  <c r="T86" i="21"/>
  <c r="T75" i="21"/>
  <c r="S76" i="21"/>
  <c r="S77" i="21" s="1"/>
  <c r="T63" i="21"/>
  <c r="S176" i="21"/>
  <c r="S165" i="21"/>
  <c r="V7" i="21"/>
  <c r="U45" i="21"/>
  <c r="U46" i="21" s="1"/>
  <c r="V45" i="20"/>
  <c r="V46" i="20" s="1"/>
  <c r="W7" i="20"/>
  <c r="U174" i="20"/>
  <c r="U140" i="20"/>
  <c r="U164" i="20"/>
  <c r="U151" i="20"/>
  <c r="U175" i="20"/>
  <c r="U162" i="20"/>
  <c r="U173" i="20"/>
  <c r="T142" i="20"/>
  <c r="T143" i="20" s="1"/>
  <c r="U130" i="20"/>
  <c r="T153" i="20"/>
  <c r="T154" i="20" s="1"/>
  <c r="U96" i="20"/>
  <c r="U141" i="20"/>
  <c r="U163" i="20"/>
  <c r="U152" i="20"/>
  <c r="U129" i="20"/>
  <c r="U107" i="20"/>
  <c r="U118" i="20"/>
  <c r="T131" i="20"/>
  <c r="T132" i="20" s="1"/>
  <c r="U119" i="20"/>
  <c r="T109" i="20"/>
  <c r="T110" i="20" s="1"/>
  <c r="T120" i="20"/>
  <c r="T121" i="20" s="1"/>
  <c r="U108" i="20"/>
  <c r="U97" i="20"/>
  <c r="U86" i="20"/>
  <c r="U75" i="20"/>
  <c r="T87" i="20"/>
  <c r="T88" i="20" s="1"/>
  <c r="U74" i="20"/>
  <c r="U63" i="20"/>
  <c r="T65" i="20"/>
  <c r="T66" i="20" s="1"/>
  <c r="T98" i="20"/>
  <c r="T99" i="20" s="1"/>
  <c r="T76" i="20"/>
  <c r="T77" i="20" s="1"/>
  <c r="U52" i="20"/>
  <c r="U64" i="20"/>
  <c r="U85" i="20"/>
  <c r="U53" i="20"/>
  <c r="T54" i="20"/>
  <c r="T55" i="20" s="1"/>
  <c r="T176" i="20"/>
  <c r="T165" i="20"/>
  <c r="U45" i="19"/>
  <c r="U46" i="19" s="1"/>
  <c r="V7" i="19"/>
  <c r="T163" i="19"/>
  <c r="T174" i="19"/>
  <c r="S142" i="19"/>
  <c r="S143" i="19" s="1"/>
  <c r="T140" i="19"/>
  <c r="T164" i="19"/>
  <c r="T175" i="19"/>
  <c r="T173" i="19"/>
  <c r="S153" i="19"/>
  <c r="S154" i="19" s="1"/>
  <c r="T152" i="19"/>
  <c r="T151" i="19"/>
  <c r="T141" i="19"/>
  <c r="T162" i="19"/>
  <c r="T129" i="19"/>
  <c r="S120" i="19"/>
  <c r="S121" i="19" s="1"/>
  <c r="T119" i="19"/>
  <c r="T96" i="19"/>
  <c r="T118" i="19"/>
  <c r="S131" i="19"/>
  <c r="S132" i="19" s="1"/>
  <c r="T130" i="19"/>
  <c r="T74" i="19"/>
  <c r="T107" i="19"/>
  <c r="T85" i="19"/>
  <c r="S54" i="19"/>
  <c r="S55" i="19" s="1"/>
  <c r="T75" i="19"/>
  <c r="T108" i="19"/>
  <c r="S87" i="19"/>
  <c r="S88" i="19" s="1"/>
  <c r="S109" i="19"/>
  <c r="S110" i="19" s="1"/>
  <c r="S98" i="19"/>
  <c r="S99" i="19" s="1"/>
  <c r="T86" i="19"/>
  <c r="T52" i="19"/>
  <c r="S76" i="19"/>
  <c r="S77" i="19" s="1"/>
  <c r="T64" i="19"/>
  <c r="T63" i="19"/>
  <c r="T53" i="19"/>
  <c r="T97" i="19"/>
  <c r="S65" i="19"/>
  <c r="S66" i="19" s="1"/>
  <c r="S176" i="19"/>
  <c r="S165" i="19"/>
  <c r="W7" i="16"/>
  <c r="V45" i="16"/>
  <c r="V46" i="16" s="1"/>
  <c r="U174" i="16"/>
  <c r="T142" i="16"/>
  <c r="T143" i="16" s="1"/>
  <c r="U140" i="16"/>
  <c r="U164" i="16"/>
  <c r="U151" i="16"/>
  <c r="U175" i="16"/>
  <c r="U162" i="16"/>
  <c r="U173" i="16"/>
  <c r="U152" i="16"/>
  <c r="U119" i="16"/>
  <c r="U130" i="16"/>
  <c r="U163" i="16"/>
  <c r="U141" i="16"/>
  <c r="T153" i="16"/>
  <c r="T154" i="16" s="1"/>
  <c r="T120" i="16"/>
  <c r="T121" i="16" s="1"/>
  <c r="U129" i="16"/>
  <c r="T98" i="16"/>
  <c r="T99" i="16" s="1"/>
  <c r="T131" i="16"/>
  <c r="T132" i="16" s="1"/>
  <c r="T109" i="16"/>
  <c r="T110" i="16" s="1"/>
  <c r="U118" i="16"/>
  <c r="U97" i="16"/>
  <c r="U85" i="16"/>
  <c r="U75" i="16"/>
  <c r="U96" i="16"/>
  <c r="U108" i="16"/>
  <c r="T87" i="16"/>
  <c r="T88" i="16" s="1"/>
  <c r="U107" i="16"/>
  <c r="U63" i="16"/>
  <c r="U86" i="16"/>
  <c r="U64" i="16"/>
  <c r="U53" i="16"/>
  <c r="U52" i="16"/>
  <c r="T76" i="16"/>
  <c r="T77" i="16" s="1"/>
  <c r="T65" i="16"/>
  <c r="T66" i="16" s="1"/>
  <c r="T54" i="16"/>
  <c r="T55" i="16" s="1"/>
  <c r="U74" i="16"/>
  <c r="U45" i="15"/>
  <c r="U46" i="15" s="1"/>
  <c r="V7" i="15"/>
  <c r="T163" i="15"/>
  <c r="T174" i="15"/>
  <c r="S142" i="15"/>
  <c r="S143" i="15" s="1"/>
  <c r="T164" i="15"/>
  <c r="T175" i="15"/>
  <c r="T162" i="15"/>
  <c r="T173" i="15"/>
  <c r="T152" i="15"/>
  <c r="S153" i="15"/>
  <c r="S154" i="15" s="1"/>
  <c r="T130" i="15"/>
  <c r="T141" i="15"/>
  <c r="T151" i="15"/>
  <c r="T118" i="15"/>
  <c r="T140" i="15"/>
  <c r="T129" i="15"/>
  <c r="S131" i="15"/>
  <c r="S132" i="15" s="1"/>
  <c r="T97" i="15"/>
  <c r="T119" i="15"/>
  <c r="S98" i="15"/>
  <c r="S99" i="15" s="1"/>
  <c r="T96" i="15"/>
  <c r="S120" i="15"/>
  <c r="S121" i="15" s="1"/>
  <c r="T86" i="15"/>
  <c r="T107" i="15"/>
  <c r="T85" i="15"/>
  <c r="S109" i="15"/>
  <c r="S110" i="15" s="1"/>
  <c r="T108" i="15"/>
  <c r="S76" i="15"/>
  <c r="S77" i="15" s="1"/>
  <c r="S87" i="15"/>
  <c r="S88" i="15" s="1"/>
  <c r="T63" i="15"/>
  <c r="S54" i="15"/>
  <c r="S55" i="15" s="1"/>
  <c r="T52" i="15"/>
  <c r="T64" i="15"/>
  <c r="S65" i="15"/>
  <c r="S66" i="15" s="1"/>
  <c r="T74" i="15"/>
  <c r="T75" i="15"/>
  <c r="T53" i="15"/>
  <c r="T163" i="14"/>
  <c r="T174" i="14"/>
  <c r="T164" i="14"/>
  <c r="T175" i="14"/>
  <c r="T162" i="14"/>
  <c r="T173" i="14"/>
  <c r="S153" i="14"/>
  <c r="S154" i="14" s="1"/>
  <c r="T152" i="14"/>
  <c r="T151" i="14"/>
  <c r="T97" i="14"/>
  <c r="S76" i="14"/>
  <c r="S77" i="14" s="1"/>
  <c r="S142" i="14"/>
  <c r="S143" i="14" s="1"/>
  <c r="S120" i="14"/>
  <c r="S121" i="14" s="1"/>
  <c r="T141" i="14"/>
  <c r="T119" i="14"/>
  <c r="S131" i="14"/>
  <c r="S132" i="14" s="1"/>
  <c r="T130" i="14"/>
  <c r="S109" i="14"/>
  <c r="S110" i="14" s="1"/>
  <c r="T74" i="14"/>
  <c r="T64" i="14"/>
  <c r="T118" i="14"/>
  <c r="T108" i="14"/>
  <c r="T107" i="14"/>
  <c r="S87" i="14"/>
  <c r="S88" i="14" s="1"/>
  <c r="T140" i="14"/>
  <c r="T86" i="14"/>
  <c r="T96" i="14"/>
  <c r="T85" i="14"/>
  <c r="T63" i="14"/>
  <c r="S54" i="14"/>
  <c r="S55" i="14" s="1"/>
  <c r="T129" i="14"/>
  <c r="S98" i="14"/>
  <c r="S99" i="14" s="1"/>
  <c r="T75" i="14"/>
  <c r="S65" i="14"/>
  <c r="S66" i="14" s="1"/>
  <c r="T53" i="14"/>
  <c r="T52" i="14"/>
  <c r="V7" i="14"/>
  <c r="U45" i="14"/>
  <c r="U46" i="14" s="1"/>
  <c r="S176" i="14"/>
  <c r="S165" i="14"/>
  <c r="J176" i="1"/>
  <c r="J165" i="1"/>
  <c r="K163" i="1"/>
  <c r="K164" i="1"/>
  <c r="K162" i="1"/>
  <c r="K173" i="1"/>
  <c r="K174" i="1"/>
  <c r="K175" i="1"/>
  <c r="J65" i="1"/>
  <c r="J66" i="1" s="1"/>
  <c r="J54" i="1"/>
  <c r="J55" i="1" s="1"/>
  <c r="K64" i="1"/>
  <c r="K52" i="1"/>
  <c r="K53" i="1"/>
  <c r="K63" i="1"/>
  <c r="K74" i="1"/>
  <c r="K85" i="1"/>
  <c r="K96" i="1"/>
  <c r="K108" i="1"/>
  <c r="J131" i="1"/>
  <c r="J132" i="1" s="1"/>
  <c r="K140" i="1"/>
  <c r="K152" i="1"/>
  <c r="J76" i="1"/>
  <c r="J77" i="1" s="1"/>
  <c r="J87" i="1"/>
  <c r="J88" i="1" s="1"/>
  <c r="J98" i="1"/>
  <c r="J99" i="1" s="1"/>
  <c r="K107" i="1"/>
  <c r="K119" i="1"/>
  <c r="J142" i="1"/>
  <c r="J143" i="1" s="1"/>
  <c r="K151" i="1"/>
  <c r="J109" i="1"/>
  <c r="J110" i="1" s="1"/>
  <c r="K118" i="1"/>
  <c r="K130" i="1"/>
  <c r="J153" i="1"/>
  <c r="J154" i="1" s="1"/>
  <c r="K75" i="1"/>
  <c r="K86" i="1"/>
  <c r="K97" i="1"/>
  <c r="J120" i="1"/>
  <c r="J121" i="1" s="1"/>
  <c r="K129" i="1"/>
  <c r="K141" i="1"/>
  <c r="L45" i="1"/>
  <c r="L46" i="1" s="1"/>
  <c r="M7" i="1"/>
  <c r="S165" i="17" l="1"/>
  <c r="U45" i="17"/>
  <c r="U46" i="17" s="1"/>
  <c r="V7" i="17"/>
  <c r="S165" i="18"/>
  <c r="S153" i="17"/>
  <c r="S154" i="17" s="1"/>
  <c r="T108" i="17"/>
  <c r="T96" i="17"/>
  <c r="T164" i="17"/>
  <c r="T141" i="17"/>
  <c r="T85" i="17"/>
  <c r="T175" i="17"/>
  <c r="T130" i="17"/>
  <c r="T74" i="17"/>
  <c r="T118" i="17"/>
  <c r="T162" i="17"/>
  <c r="S131" i="17"/>
  <c r="S132" i="17" s="1"/>
  <c r="T64" i="17"/>
  <c r="T119" i="17"/>
  <c r="T163" i="17"/>
  <c r="T173" i="17"/>
  <c r="S87" i="17"/>
  <c r="S88" i="17" s="1"/>
  <c r="T53" i="17"/>
  <c r="T86" i="17"/>
  <c r="T152" i="17"/>
  <c r="S109" i="17"/>
  <c r="S110" i="17" s="1"/>
  <c r="T52" i="17"/>
  <c r="T107" i="17"/>
  <c r="T151" i="17"/>
  <c r="S76" i="17"/>
  <c r="S77" i="17" s="1"/>
  <c r="S54" i="17"/>
  <c r="S55" i="17" s="1"/>
  <c r="T129" i="17"/>
  <c r="S142" i="17"/>
  <c r="S143" i="17" s="1"/>
  <c r="T75" i="17"/>
  <c r="T63" i="17"/>
  <c r="T140" i="17"/>
  <c r="S98" i="17"/>
  <c r="S99" i="17" s="1"/>
  <c r="S65" i="17"/>
  <c r="S66" i="17" s="1"/>
  <c r="T174" i="17"/>
  <c r="S120" i="17"/>
  <c r="S121" i="17" s="1"/>
  <c r="T97" i="17"/>
  <c r="S176" i="17"/>
  <c r="T164" i="18"/>
  <c r="T140" i="18"/>
  <c r="T75" i="18"/>
  <c r="T151" i="18"/>
  <c r="S109" i="18"/>
  <c r="S110" i="18" s="1"/>
  <c r="S65" i="18"/>
  <c r="S66" i="18" s="1"/>
  <c r="T175" i="18"/>
  <c r="T97" i="18"/>
  <c r="T64" i="18"/>
  <c r="T162" i="18"/>
  <c r="S120" i="18"/>
  <c r="S121" i="18" s="1"/>
  <c r="T52" i="18"/>
  <c r="T74" i="18"/>
  <c r="T173" i="18"/>
  <c r="T96" i="18"/>
  <c r="T141" i="18"/>
  <c r="T152" i="18"/>
  <c r="T85" i="18"/>
  <c r="S54" i="18"/>
  <c r="S55" i="18" s="1"/>
  <c r="S131" i="18"/>
  <c r="S132" i="18" s="1"/>
  <c r="S98" i="18"/>
  <c r="S99" i="18" s="1"/>
  <c r="T63" i="18"/>
  <c r="T174" i="18"/>
  <c r="T129" i="18"/>
  <c r="T118" i="18"/>
  <c r="T53" i="18"/>
  <c r="T108" i="18"/>
  <c r="T86" i="18"/>
  <c r="T107" i="18"/>
  <c r="T163" i="18"/>
  <c r="S142" i="18"/>
  <c r="S143" i="18" s="1"/>
  <c r="T119" i="18"/>
  <c r="S87" i="18"/>
  <c r="S88" i="18" s="1"/>
  <c r="S153" i="18"/>
  <c r="S154" i="18" s="1"/>
  <c r="T130" i="18"/>
  <c r="S76" i="18"/>
  <c r="S77" i="18" s="1"/>
  <c r="U45" i="18"/>
  <c r="U46" i="18" s="1"/>
  <c r="V7" i="18"/>
  <c r="S176" i="18"/>
  <c r="T176" i="19"/>
  <c r="U176" i="20"/>
  <c r="T176" i="22"/>
  <c r="U165" i="20"/>
  <c r="T165" i="22"/>
  <c r="S176" i="24"/>
  <c r="U45" i="24"/>
  <c r="U46" i="24" s="1"/>
  <c r="V7" i="24"/>
  <c r="T164" i="24"/>
  <c r="T140" i="24"/>
  <c r="T75" i="24"/>
  <c r="T151" i="24"/>
  <c r="T175" i="24"/>
  <c r="T129" i="24"/>
  <c r="S87" i="24"/>
  <c r="S88" i="24" s="1"/>
  <c r="T162" i="24"/>
  <c r="T97" i="24"/>
  <c r="T86" i="24"/>
  <c r="T173" i="24"/>
  <c r="T118" i="24"/>
  <c r="S65" i="24"/>
  <c r="S66" i="24" s="1"/>
  <c r="S76" i="24"/>
  <c r="S77" i="24" s="1"/>
  <c r="T152" i="24"/>
  <c r="T107" i="24"/>
  <c r="T64" i="24"/>
  <c r="T119" i="24"/>
  <c r="T96" i="24"/>
  <c r="T63" i="24"/>
  <c r="T74" i="24"/>
  <c r="S153" i="24"/>
  <c r="S154" i="24" s="1"/>
  <c r="S142" i="24"/>
  <c r="S143" i="24" s="1"/>
  <c r="T85" i="24"/>
  <c r="S54" i="24"/>
  <c r="S55" i="24" s="1"/>
  <c r="T174" i="24"/>
  <c r="T130" i="24"/>
  <c r="S109" i="24"/>
  <c r="S110" i="24" s="1"/>
  <c r="T53" i="24"/>
  <c r="T141" i="24"/>
  <c r="S98" i="24"/>
  <c r="S99" i="24" s="1"/>
  <c r="T52" i="24"/>
  <c r="S131" i="24"/>
  <c r="S132" i="24" s="1"/>
  <c r="T163" i="24"/>
  <c r="S120" i="24"/>
  <c r="S121" i="24" s="1"/>
  <c r="T108" i="24"/>
  <c r="S165" i="24"/>
  <c r="U174" i="23"/>
  <c r="T142" i="23"/>
  <c r="T143" i="23" s="1"/>
  <c r="U164" i="23"/>
  <c r="U175" i="23"/>
  <c r="U162" i="23"/>
  <c r="U173" i="23"/>
  <c r="U152" i="23"/>
  <c r="U163" i="23"/>
  <c r="T153" i="23"/>
  <c r="T154" i="23" s="1"/>
  <c r="U141" i="23"/>
  <c r="U140" i="23"/>
  <c r="T131" i="23"/>
  <c r="T132" i="23" s="1"/>
  <c r="U151" i="23"/>
  <c r="U130" i="23"/>
  <c r="U129" i="23"/>
  <c r="U97" i="23"/>
  <c r="U108" i="23"/>
  <c r="T87" i="23"/>
  <c r="T88" i="23" s="1"/>
  <c r="U119" i="23"/>
  <c r="U85" i="23"/>
  <c r="T54" i="23"/>
  <c r="T55" i="23" s="1"/>
  <c r="U96" i="23"/>
  <c r="U75" i="23"/>
  <c r="U86" i="23"/>
  <c r="U118" i="23"/>
  <c r="T120" i="23"/>
  <c r="T121" i="23" s="1"/>
  <c r="T109" i="23"/>
  <c r="T110" i="23" s="1"/>
  <c r="T65" i="23"/>
  <c r="T66" i="23" s="1"/>
  <c r="U52" i="23"/>
  <c r="U107" i="23"/>
  <c r="T98" i="23"/>
  <c r="T99" i="23" s="1"/>
  <c r="U64" i="23"/>
  <c r="U63" i="23"/>
  <c r="U53" i="23"/>
  <c r="U74" i="23"/>
  <c r="T76" i="23"/>
  <c r="T77" i="23" s="1"/>
  <c r="W7" i="23"/>
  <c r="V45" i="23"/>
  <c r="V46" i="23" s="1"/>
  <c r="T176" i="23"/>
  <c r="T165" i="23"/>
  <c r="U174" i="22"/>
  <c r="T142" i="22"/>
  <c r="T143" i="22" s="1"/>
  <c r="U164" i="22"/>
  <c r="U175" i="22"/>
  <c r="U162" i="22"/>
  <c r="U173" i="22"/>
  <c r="U152" i="22"/>
  <c r="U163" i="22"/>
  <c r="U151" i="22"/>
  <c r="T153" i="22"/>
  <c r="T154" i="22" s="1"/>
  <c r="T120" i="22"/>
  <c r="T121" i="22" s="1"/>
  <c r="U141" i="22"/>
  <c r="U118" i="22"/>
  <c r="U129" i="22"/>
  <c r="U107" i="22"/>
  <c r="U130" i="22"/>
  <c r="U140" i="22"/>
  <c r="T131" i="22"/>
  <c r="T132" i="22" s="1"/>
  <c r="T76" i="22"/>
  <c r="T77" i="22" s="1"/>
  <c r="U108" i="22"/>
  <c r="U74" i="22"/>
  <c r="T98" i="22"/>
  <c r="T99" i="22" s="1"/>
  <c r="U63" i="22"/>
  <c r="T87" i="22"/>
  <c r="T88" i="22" s="1"/>
  <c r="U119" i="22"/>
  <c r="U85" i="22"/>
  <c r="U97" i="22"/>
  <c r="T109" i="22"/>
  <c r="T110" i="22" s="1"/>
  <c r="U75" i="22"/>
  <c r="U86" i="22"/>
  <c r="U96" i="22"/>
  <c r="U52" i="22"/>
  <c r="T65" i="22"/>
  <c r="T66" i="22" s="1"/>
  <c r="U64" i="22"/>
  <c r="T54" i="22"/>
  <c r="T55" i="22" s="1"/>
  <c r="U53" i="22"/>
  <c r="W7" i="22"/>
  <c r="V45" i="22"/>
  <c r="V46" i="22" s="1"/>
  <c r="U174" i="21"/>
  <c r="T153" i="21"/>
  <c r="T154" i="21" s="1"/>
  <c r="U164" i="21"/>
  <c r="U175" i="21"/>
  <c r="U162" i="21"/>
  <c r="U173" i="21"/>
  <c r="U152" i="21"/>
  <c r="T131" i="21"/>
  <c r="T132" i="21" s="1"/>
  <c r="U129" i="21"/>
  <c r="U140" i="21"/>
  <c r="U119" i="21"/>
  <c r="T142" i="21"/>
  <c r="T143" i="21" s="1"/>
  <c r="U130" i="21"/>
  <c r="U163" i="21"/>
  <c r="U141" i="21"/>
  <c r="T98" i="21"/>
  <c r="T99" i="21" s="1"/>
  <c r="U96" i="21"/>
  <c r="T120" i="21"/>
  <c r="T121" i="21" s="1"/>
  <c r="U108" i="21"/>
  <c r="U107" i="21"/>
  <c r="U118" i="21"/>
  <c r="U151" i="21"/>
  <c r="T109" i="21"/>
  <c r="T110" i="21" s="1"/>
  <c r="T76" i="21"/>
  <c r="T77" i="21" s="1"/>
  <c r="T87" i="21"/>
  <c r="T88" i="21" s="1"/>
  <c r="U97" i="21"/>
  <c r="U86" i="21"/>
  <c r="U75" i="21"/>
  <c r="U74" i="21"/>
  <c r="T54" i="21"/>
  <c r="T55" i="21" s="1"/>
  <c r="U64" i="21"/>
  <c r="U85" i="21"/>
  <c r="U63" i="21"/>
  <c r="T65" i="21"/>
  <c r="T66" i="21" s="1"/>
  <c r="U53" i="21"/>
  <c r="U52" i="21"/>
  <c r="T165" i="21"/>
  <c r="W7" i="21"/>
  <c r="V45" i="21"/>
  <c r="V46" i="21" s="1"/>
  <c r="T176" i="21"/>
  <c r="T165" i="19"/>
  <c r="W45" i="20"/>
  <c r="W46" i="20" s="1"/>
  <c r="X7" i="20"/>
  <c r="V174" i="20"/>
  <c r="U153" i="20"/>
  <c r="U154" i="20" s="1"/>
  <c r="V164" i="20"/>
  <c r="V175" i="20"/>
  <c r="V162" i="20"/>
  <c r="V173" i="20"/>
  <c r="V152" i="20"/>
  <c r="V163" i="20"/>
  <c r="U142" i="20"/>
  <c r="U143" i="20" s="1"/>
  <c r="V130" i="20"/>
  <c r="V151" i="20"/>
  <c r="U109" i="20"/>
  <c r="U110" i="20" s="1"/>
  <c r="V141" i="20"/>
  <c r="U120" i="20"/>
  <c r="U121" i="20" s="1"/>
  <c r="U131" i="20"/>
  <c r="U132" i="20" s="1"/>
  <c r="V140" i="20"/>
  <c r="V119" i="20"/>
  <c r="V107" i="20"/>
  <c r="V118" i="20"/>
  <c r="V96" i="20"/>
  <c r="U76" i="20"/>
  <c r="U77" i="20" s="1"/>
  <c r="V129" i="20"/>
  <c r="V108" i="20"/>
  <c r="V86" i="20"/>
  <c r="V75" i="20"/>
  <c r="U87" i="20"/>
  <c r="U88" i="20" s="1"/>
  <c r="V64" i="20"/>
  <c r="U98" i="20"/>
  <c r="U99" i="20" s="1"/>
  <c r="V85" i="20"/>
  <c r="V63" i="20"/>
  <c r="V97" i="20"/>
  <c r="U65" i="20"/>
  <c r="U66" i="20" s="1"/>
  <c r="V53" i="20"/>
  <c r="V74" i="20"/>
  <c r="U54" i="20"/>
  <c r="U55" i="20" s="1"/>
  <c r="V52" i="20"/>
  <c r="V45" i="19"/>
  <c r="V46" i="19" s="1"/>
  <c r="W7" i="19"/>
  <c r="U174" i="19"/>
  <c r="U140" i="19"/>
  <c r="T153" i="19"/>
  <c r="T154" i="19" s="1"/>
  <c r="U164" i="19"/>
  <c r="U175" i="19"/>
  <c r="U162" i="19"/>
  <c r="U173" i="19"/>
  <c r="U163" i="19"/>
  <c r="U152" i="19"/>
  <c r="T120" i="19"/>
  <c r="T121" i="19" s="1"/>
  <c r="U151" i="19"/>
  <c r="T142" i="19"/>
  <c r="T143" i="19" s="1"/>
  <c r="U141" i="19"/>
  <c r="U119" i="19"/>
  <c r="U118" i="19"/>
  <c r="T109" i="19"/>
  <c r="T110" i="19" s="1"/>
  <c r="T131" i="19"/>
  <c r="T132" i="19" s="1"/>
  <c r="U130" i="19"/>
  <c r="U108" i="19"/>
  <c r="U129" i="19"/>
  <c r="U96" i="19"/>
  <c r="U107" i="19"/>
  <c r="U85" i="19"/>
  <c r="T65" i="19"/>
  <c r="T66" i="19" s="1"/>
  <c r="U75" i="19"/>
  <c r="T87" i="19"/>
  <c r="T88" i="19" s="1"/>
  <c r="T98" i="19"/>
  <c r="T99" i="19" s="1"/>
  <c r="U86" i="19"/>
  <c r="U97" i="19"/>
  <c r="T76" i="19"/>
  <c r="T77" i="19" s="1"/>
  <c r="U64" i="19"/>
  <c r="U74" i="19"/>
  <c r="T54" i="19"/>
  <c r="T55" i="19" s="1"/>
  <c r="U63" i="19"/>
  <c r="U53" i="19"/>
  <c r="U52" i="19"/>
  <c r="V174" i="16"/>
  <c r="V140" i="16"/>
  <c r="U153" i="16"/>
  <c r="U154" i="16" s="1"/>
  <c r="V164" i="16"/>
  <c r="V175" i="16"/>
  <c r="V162" i="16"/>
  <c r="V173" i="16"/>
  <c r="U142" i="16"/>
  <c r="U143" i="16" s="1"/>
  <c r="V152" i="16"/>
  <c r="V130" i="16"/>
  <c r="V163" i="16"/>
  <c r="V141" i="16"/>
  <c r="V151" i="16"/>
  <c r="V118" i="16"/>
  <c r="U98" i="16"/>
  <c r="U99" i="16" s="1"/>
  <c r="V96" i="16"/>
  <c r="U131" i="16"/>
  <c r="U132" i="16" s="1"/>
  <c r="U120" i="16"/>
  <c r="U121" i="16" s="1"/>
  <c r="V107" i="16"/>
  <c r="V119" i="16"/>
  <c r="V108" i="16"/>
  <c r="U87" i="16"/>
  <c r="U88" i="16" s="1"/>
  <c r="V97" i="16"/>
  <c r="V129" i="16"/>
  <c r="U109" i="16"/>
  <c r="U110" i="16" s="1"/>
  <c r="V64" i="16"/>
  <c r="V86" i="16"/>
  <c r="V75" i="16"/>
  <c r="U76" i="16"/>
  <c r="U77" i="16" s="1"/>
  <c r="U54" i="16"/>
  <c r="U55" i="16" s="1"/>
  <c r="V85" i="16"/>
  <c r="V74" i="16"/>
  <c r="U65" i="16"/>
  <c r="U66" i="16" s="1"/>
  <c r="V63" i="16"/>
  <c r="V53" i="16"/>
  <c r="V52" i="16"/>
  <c r="X7" i="16"/>
  <c r="W45" i="16"/>
  <c r="W46" i="16" s="1"/>
  <c r="U176" i="16"/>
  <c r="U165" i="16"/>
  <c r="V45" i="15"/>
  <c r="V46" i="15" s="1"/>
  <c r="W7" i="15"/>
  <c r="U174" i="15"/>
  <c r="U140" i="15"/>
  <c r="U164" i="15"/>
  <c r="U175" i="15"/>
  <c r="U162" i="15"/>
  <c r="U173" i="15"/>
  <c r="T153" i="15"/>
  <c r="T154" i="15" s="1"/>
  <c r="T142" i="15"/>
  <c r="T143" i="15" s="1"/>
  <c r="U130" i="15"/>
  <c r="T109" i="15"/>
  <c r="T110" i="15" s="1"/>
  <c r="U141" i="15"/>
  <c r="U163" i="15"/>
  <c r="U151" i="15"/>
  <c r="T131" i="15"/>
  <c r="T132" i="15" s="1"/>
  <c r="U152" i="15"/>
  <c r="U118" i="15"/>
  <c r="U129" i="15"/>
  <c r="U108" i="15"/>
  <c r="U119" i="15"/>
  <c r="U96" i="15"/>
  <c r="T120" i="15"/>
  <c r="T121" i="15" s="1"/>
  <c r="U107" i="15"/>
  <c r="U85" i="15"/>
  <c r="T98" i="15"/>
  <c r="T99" i="15" s="1"/>
  <c r="U74" i="15"/>
  <c r="T87" i="15"/>
  <c r="T88" i="15" s="1"/>
  <c r="U97" i="15"/>
  <c r="U64" i="15"/>
  <c r="U52" i="15"/>
  <c r="T76" i="15"/>
  <c r="T77" i="15" s="1"/>
  <c r="U63" i="15"/>
  <c r="U86" i="15"/>
  <c r="T65" i="15"/>
  <c r="T66" i="15" s="1"/>
  <c r="U53" i="15"/>
  <c r="U75" i="15"/>
  <c r="T54" i="15"/>
  <c r="T55" i="15" s="1"/>
  <c r="T176" i="15"/>
  <c r="T165" i="15"/>
  <c r="T165" i="14"/>
  <c r="V45" i="14"/>
  <c r="V46" i="14" s="1"/>
  <c r="W7" i="14"/>
  <c r="U174" i="14"/>
  <c r="T142" i="14"/>
  <c r="T143" i="14" s="1"/>
  <c r="U164" i="14"/>
  <c r="U175" i="14"/>
  <c r="U162" i="14"/>
  <c r="U173" i="14"/>
  <c r="U152" i="14"/>
  <c r="T153" i="14"/>
  <c r="T154" i="14" s="1"/>
  <c r="U151" i="14"/>
  <c r="U163" i="14"/>
  <c r="U141" i="14"/>
  <c r="U97" i="14"/>
  <c r="U74" i="14"/>
  <c r="T120" i="14"/>
  <c r="T121" i="14" s="1"/>
  <c r="U119" i="14"/>
  <c r="T131" i="14"/>
  <c r="T132" i="14" s="1"/>
  <c r="U130" i="14"/>
  <c r="U107" i="14"/>
  <c r="U86" i="14"/>
  <c r="U140" i="14"/>
  <c r="U129" i="14"/>
  <c r="U118" i="14"/>
  <c r="U64" i="14"/>
  <c r="U108" i="14"/>
  <c r="T87" i="14"/>
  <c r="T88" i="14" s="1"/>
  <c r="T109" i="14"/>
  <c r="T110" i="14" s="1"/>
  <c r="U96" i="14"/>
  <c r="U85" i="14"/>
  <c r="T76" i="14"/>
  <c r="T77" i="14" s="1"/>
  <c r="T98" i="14"/>
  <c r="T99" i="14" s="1"/>
  <c r="U75" i="14"/>
  <c r="U63" i="14"/>
  <c r="T65" i="14"/>
  <c r="T66" i="14" s="1"/>
  <c r="U53" i="14"/>
  <c r="U52" i="14"/>
  <c r="T54" i="14"/>
  <c r="T55" i="14" s="1"/>
  <c r="T176" i="14"/>
  <c r="K165" i="1"/>
  <c r="L175" i="1"/>
  <c r="L163" i="1"/>
  <c r="L164" i="1"/>
  <c r="L162" i="1"/>
  <c r="L173" i="1"/>
  <c r="L174" i="1"/>
  <c r="K176" i="1"/>
  <c r="M45" i="1"/>
  <c r="M46" i="1" s="1"/>
  <c r="N7" i="1"/>
  <c r="L52" i="1"/>
  <c r="L53" i="1"/>
  <c r="L63" i="1"/>
  <c r="K65" i="1"/>
  <c r="K66" i="1" s="1"/>
  <c r="K54" i="1"/>
  <c r="K55" i="1" s="1"/>
  <c r="L64" i="1"/>
  <c r="L75" i="1"/>
  <c r="L74" i="1"/>
  <c r="L86" i="1"/>
  <c r="L97" i="1"/>
  <c r="K120" i="1"/>
  <c r="K121" i="1" s="1"/>
  <c r="L129" i="1"/>
  <c r="L141" i="1"/>
  <c r="L85" i="1"/>
  <c r="L96" i="1"/>
  <c r="L108" i="1"/>
  <c r="K131" i="1"/>
  <c r="K132" i="1" s="1"/>
  <c r="L140" i="1"/>
  <c r="L152" i="1"/>
  <c r="K76" i="1"/>
  <c r="K77" i="1" s="1"/>
  <c r="K87" i="1"/>
  <c r="K88" i="1" s="1"/>
  <c r="K98" i="1"/>
  <c r="K99" i="1" s="1"/>
  <c r="L107" i="1"/>
  <c r="L119" i="1"/>
  <c r="K142" i="1"/>
  <c r="K143" i="1" s="1"/>
  <c r="L151" i="1"/>
  <c r="K109" i="1"/>
  <c r="K110" i="1" s="1"/>
  <c r="L118" i="1"/>
  <c r="L130" i="1"/>
  <c r="K153" i="1"/>
  <c r="K154" i="1" s="1"/>
  <c r="T176" i="17" l="1"/>
  <c r="T165" i="18"/>
  <c r="T165" i="17"/>
  <c r="V45" i="17"/>
  <c r="V46" i="17" s="1"/>
  <c r="W7" i="17"/>
  <c r="U151" i="17"/>
  <c r="T87" i="17"/>
  <c r="T88" i="17" s="1"/>
  <c r="U64" i="17"/>
  <c r="U118" i="17"/>
  <c r="U53" i="17"/>
  <c r="U163" i="17"/>
  <c r="T142" i="17"/>
  <c r="T143" i="17" s="1"/>
  <c r="U75" i="17"/>
  <c r="T65" i="17"/>
  <c r="T66" i="17" s="1"/>
  <c r="U162" i="17"/>
  <c r="U141" i="17"/>
  <c r="U108" i="17"/>
  <c r="U52" i="17"/>
  <c r="U174" i="17"/>
  <c r="U130" i="17"/>
  <c r="T98" i="17"/>
  <c r="T99" i="17" s="1"/>
  <c r="U164" i="17"/>
  <c r="T109" i="17"/>
  <c r="T110" i="17" s="1"/>
  <c r="U86" i="17"/>
  <c r="U140" i="17"/>
  <c r="U175" i="17"/>
  <c r="U107" i="17"/>
  <c r="U97" i="17"/>
  <c r="T120" i="17"/>
  <c r="T121" i="17" s="1"/>
  <c r="T54" i="17"/>
  <c r="T55" i="17" s="1"/>
  <c r="T131" i="17"/>
  <c r="T132" i="17" s="1"/>
  <c r="U173" i="17"/>
  <c r="U129" i="17"/>
  <c r="U96" i="17"/>
  <c r="U152" i="17"/>
  <c r="U119" i="17"/>
  <c r="U74" i="17"/>
  <c r="T153" i="17"/>
  <c r="T154" i="17" s="1"/>
  <c r="T76" i="17"/>
  <c r="T77" i="17" s="1"/>
  <c r="U63" i="17"/>
  <c r="U85" i="17"/>
  <c r="V45" i="18"/>
  <c r="V46" i="18" s="1"/>
  <c r="W7" i="18"/>
  <c r="T176" i="18"/>
  <c r="U141" i="18"/>
  <c r="U118" i="18"/>
  <c r="T54" i="18"/>
  <c r="T55" i="18" s="1"/>
  <c r="U174" i="18"/>
  <c r="U130" i="18"/>
  <c r="U96" i="18"/>
  <c r="T153" i="18"/>
  <c r="T154" i="18" s="1"/>
  <c r="U163" i="18"/>
  <c r="T109" i="18"/>
  <c r="T110" i="18" s="1"/>
  <c r="T142" i="18"/>
  <c r="T143" i="18" s="1"/>
  <c r="U52" i="18"/>
  <c r="U164" i="18"/>
  <c r="U140" i="18"/>
  <c r="T87" i="18"/>
  <c r="T88" i="18" s="1"/>
  <c r="U151" i="18"/>
  <c r="U107" i="18"/>
  <c r="U64" i="18"/>
  <c r="U175" i="18"/>
  <c r="U108" i="18"/>
  <c r="U86" i="18"/>
  <c r="U162" i="18"/>
  <c r="U119" i="18"/>
  <c r="T76" i="18"/>
  <c r="T77" i="18" s="1"/>
  <c r="U173" i="18"/>
  <c r="T120" i="18"/>
  <c r="T121" i="18" s="1"/>
  <c r="U75" i="18"/>
  <c r="U152" i="18"/>
  <c r="U63" i="18"/>
  <c r="T65" i="18"/>
  <c r="T66" i="18" s="1"/>
  <c r="T131" i="18"/>
  <c r="T132" i="18" s="1"/>
  <c r="U85" i="18"/>
  <c r="U74" i="18"/>
  <c r="U97" i="18"/>
  <c r="U129" i="18"/>
  <c r="T98" i="18"/>
  <c r="T99" i="18" s="1"/>
  <c r="U53" i="18"/>
  <c r="U165" i="21"/>
  <c r="V176" i="16"/>
  <c r="U176" i="23"/>
  <c r="U176" i="21"/>
  <c r="T165" i="24"/>
  <c r="W7" i="24"/>
  <c r="V45" i="24"/>
  <c r="V46" i="24" s="1"/>
  <c r="T176" i="24"/>
  <c r="U118" i="24"/>
  <c r="T76" i="24"/>
  <c r="T77" i="24" s="1"/>
  <c r="U53" i="24"/>
  <c r="T109" i="24"/>
  <c r="T110" i="24" s="1"/>
  <c r="T98" i="24"/>
  <c r="T99" i="24" s="1"/>
  <c r="U174" i="24"/>
  <c r="U163" i="24"/>
  <c r="U119" i="24"/>
  <c r="U64" i="24"/>
  <c r="T153" i="24"/>
  <c r="T154" i="24" s="1"/>
  <c r="U164" i="24"/>
  <c r="T131" i="24"/>
  <c r="T132" i="24" s="1"/>
  <c r="U97" i="24"/>
  <c r="U151" i="24"/>
  <c r="U140" i="24"/>
  <c r="U86" i="24"/>
  <c r="U175" i="24"/>
  <c r="U129" i="24"/>
  <c r="U75" i="24"/>
  <c r="U130" i="24"/>
  <c r="U162" i="24"/>
  <c r="U108" i="24"/>
  <c r="U52" i="24"/>
  <c r="U173" i="24"/>
  <c r="U107" i="24"/>
  <c r="U74" i="24"/>
  <c r="U152" i="24"/>
  <c r="U96" i="24"/>
  <c r="T87" i="24"/>
  <c r="T88" i="24" s="1"/>
  <c r="T54" i="24"/>
  <c r="T55" i="24" s="1"/>
  <c r="T142" i="24"/>
  <c r="T143" i="24" s="1"/>
  <c r="U85" i="24"/>
  <c r="T65" i="24"/>
  <c r="T66" i="24" s="1"/>
  <c r="U141" i="24"/>
  <c r="T120" i="24"/>
  <c r="T121" i="24" s="1"/>
  <c r="U63" i="24"/>
  <c r="U165" i="23"/>
  <c r="V174" i="23"/>
  <c r="V140" i="23"/>
  <c r="U153" i="23"/>
  <c r="U154" i="23" s="1"/>
  <c r="V164" i="23"/>
  <c r="V175" i="23"/>
  <c r="V162" i="23"/>
  <c r="V173" i="23"/>
  <c r="V141" i="23"/>
  <c r="V129" i="23"/>
  <c r="V151" i="23"/>
  <c r="U142" i="23"/>
  <c r="U143" i="23" s="1"/>
  <c r="V130" i="23"/>
  <c r="U131" i="23"/>
  <c r="U132" i="23" s="1"/>
  <c r="U120" i="23"/>
  <c r="U121" i="23" s="1"/>
  <c r="V163" i="23"/>
  <c r="V152" i="23"/>
  <c r="V119" i="23"/>
  <c r="V97" i="23"/>
  <c r="V85" i="23"/>
  <c r="V96" i="23"/>
  <c r="U65" i="23"/>
  <c r="U66" i="23" s="1"/>
  <c r="V86" i="23"/>
  <c r="V118" i="23"/>
  <c r="U109" i="23"/>
  <c r="U110" i="23" s="1"/>
  <c r="V108" i="23"/>
  <c r="V107" i="23"/>
  <c r="U98" i="23"/>
  <c r="U99" i="23" s="1"/>
  <c r="V52" i="23"/>
  <c r="V64" i="23"/>
  <c r="U54" i="23"/>
  <c r="U55" i="23" s="1"/>
  <c r="U87" i="23"/>
  <c r="U88" i="23" s="1"/>
  <c r="V74" i="23"/>
  <c r="V53" i="23"/>
  <c r="U76" i="23"/>
  <c r="U77" i="23" s="1"/>
  <c r="V63" i="23"/>
  <c r="V75" i="23"/>
  <c r="X7" i="23"/>
  <c r="W45" i="23"/>
  <c r="W46" i="23" s="1"/>
  <c r="U165" i="22"/>
  <c r="V174" i="22"/>
  <c r="V140" i="22"/>
  <c r="V164" i="22"/>
  <c r="V175" i="22"/>
  <c r="V162" i="22"/>
  <c r="V173" i="22"/>
  <c r="V151" i="22"/>
  <c r="U153" i="22"/>
  <c r="U154" i="22" s="1"/>
  <c r="V152" i="22"/>
  <c r="U142" i="22"/>
  <c r="U143" i="22" s="1"/>
  <c r="V141" i="22"/>
  <c r="V118" i="22"/>
  <c r="U131" i="22"/>
  <c r="U132" i="22" s="1"/>
  <c r="V129" i="22"/>
  <c r="V107" i="22"/>
  <c r="V130" i="22"/>
  <c r="V163" i="22"/>
  <c r="U109" i="22"/>
  <c r="U110" i="22" s="1"/>
  <c r="U120" i="22"/>
  <c r="U121" i="22" s="1"/>
  <c r="V119" i="22"/>
  <c r="V108" i="22"/>
  <c r="V74" i="22"/>
  <c r="U98" i="22"/>
  <c r="U99" i="22" s="1"/>
  <c r="U87" i="22"/>
  <c r="U88" i="22" s="1"/>
  <c r="V64" i="22"/>
  <c r="V53" i="22"/>
  <c r="V52" i="22"/>
  <c r="V85" i="22"/>
  <c r="V97" i="22"/>
  <c r="V75" i="22"/>
  <c r="V86" i="22"/>
  <c r="V96" i="22"/>
  <c r="U65" i="22"/>
  <c r="U66" i="22" s="1"/>
  <c r="U54" i="22"/>
  <c r="U55" i="22" s="1"/>
  <c r="U76" i="22"/>
  <c r="U77" i="22" s="1"/>
  <c r="V63" i="22"/>
  <c r="W45" i="22"/>
  <c r="W46" i="22" s="1"/>
  <c r="X7" i="22"/>
  <c r="U176" i="22"/>
  <c r="V174" i="21"/>
  <c r="U153" i="21"/>
  <c r="U154" i="21" s="1"/>
  <c r="V164" i="21"/>
  <c r="V151" i="21"/>
  <c r="V175" i="21"/>
  <c r="V162" i="21"/>
  <c r="V141" i="21"/>
  <c r="V173" i="21"/>
  <c r="V152" i="21"/>
  <c r="V163" i="21"/>
  <c r="V129" i="21"/>
  <c r="V140" i="21"/>
  <c r="V119" i="21"/>
  <c r="U142" i="21"/>
  <c r="U143" i="21" s="1"/>
  <c r="V130" i="21"/>
  <c r="U109" i="21"/>
  <c r="U110" i="21" s="1"/>
  <c r="U120" i="21"/>
  <c r="U121" i="21" s="1"/>
  <c r="V96" i="21"/>
  <c r="U131" i="21"/>
  <c r="U132" i="21" s="1"/>
  <c r="V107" i="21"/>
  <c r="V118" i="21"/>
  <c r="U98" i="21"/>
  <c r="U99" i="21" s="1"/>
  <c r="V108" i="21"/>
  <c r="V85" i="21"/>
  <c r="V74" i="21"/>
  <c r="V97" i="21"/>
  <c r="U54" i="21"/>
  <c r="U55" i="21" s="1"/>
  <c r="V64" i="21"/>
  <c r="U87" i="21"/>
  <c r="U88" i="21" s="1"/>
  <c r="V86" i="21"/>
  <c r="V75" i="21"/>
  <c r="U76" i="21"/>
  <c r="U77" i="21" s="1"/>
  <c r="V63" i="21"/>
  <c r="U65" i="21"/>
  <c r="U66" i="21" s="1"/>
  <c r="V52" i="21"/>
  <c r="V53" i="21"/>
  <c r="X7" i="21"/>
  <c r="W45" i="21"/>
  <c r="W46" i="21" s="1"/>
  <c r="U176" i="19"/>
  <c r="X45" i="20"/>
  <c r="X46" i="20" s="1"/>
  <c r="Y7" i="20"/>
  <c r="W164" i="20"/>
  <c r="W151" i="20"/>
  <c r="W175" i="20"/>
  <c r="W162" i="20"/>
  <c r="W173" i="20"/>
  <c r="W163" i="20"/>
  <c r="V153" i="20"/>
  <c r="V154" i="20" s="1"/>
  <c r="W141" i="20"/>
  <c r="W107" i="20"/>
  <c r="W118" i="20"/>
  <c r="W129" i="20"/>
  <c r="W152" i="20"/>
  <c r="W140" i="20"/>
  <c r="W174" i="20"/>
  <c r="W130" i="20"/>
  <c r="W74" i="20"/>
  <c r="V131" i="20"/>
  <c r="V132" i="20" s="1"/>
  <c r="W119" i="20"/>
  <c r="V109" i="20"/>
  <c r="V110" i="20" s="1"/>
  <c r="V87" i="20"/>
  <c r="V88" i="20" s="1"/>
  <c r="V120" i="20"/>
  <c r="V121" i="20" s="1"/>
  <c r="W97" i="20"/>
  <c r="V142" i="20"/>
  <c r="V143" i="20" s="1"/>
  <c r="W86" i="20"/>
  <c r="W75" i="20"/>
  <c r="W96" i="20"/>
  <c r="V98" i="20"/>
  <c r="V99" i="20" s="1"/>
  <c r="W85" i="20"/>
  <c r="V76" i="20"/>
  <c r="V77" i="20" s="1"/>
  <c r="W64" i="20"/>
  <c r="V65" i="20"/>
  <c r="V66" i="20" s="1"/>
  <c r="W53" i="20"/>
  <c r="V54" i="20"/>
  <c r="V55" i="20" s="1"/>
  <c r="W108" i="20"/>
  <c r="W52" i="20"/>
  <c r="W63" i="20"/>
  <c r="V176" i="20"/>
  <c r="V165" i="20"/>
  <c r="V174" i="19"/>
  <c r="U153" i="19"/>
  <c r="U154" i="19" s="1"/>
  <c r="V164" i="19"/>
  <c r="V151" i="19"/>
  <c r="V175" i="19"/>
  <c r="V162" i="19"/>
  <c r="V173" i="19"/>
  <c r="V152" i="19"/>
  <c r="V163" i="19"/>
  <c r="V118" i="19"/>
  <c r="U120" i="19"/>
  <c r="U121" i="19" s="1"/>
  <c r="V119" i="19"/>
  <c r="U109" i="19"/>
  <c r="U110" i="19" s="1"/>
  <c r="V107" i="19"/>
  <c r="V86" i="19"/>
  <c r="V141" i="19"/>
  <c r="U131" i="19"/>
  <c r="U132" i="19" s="1"/>
  <c r="V130" i="19"/>
  <c r="U142" i="19"/>
  <c r="U143" i="19" s="1"/>
  <c r="V129" i="19"/>
  <c r="V140" i="19"/>
  <c r="V85" i="19"/>
  <c r="V75" i="19"/>
  <c r="U87" i="19"/>
  <c r="U88" i="19" s="1"/>
  <c r="V108" i="19"/>
  <c r="U98" i="19"/>
  <c r="U99" i="19" s="1"/>
  <c r="V97" i="19"/>
  <c r="U76" i="19"/>
  <c r="U77" i="19" s="1"/>
  <c r="V74" i="19"/>
  <c r="V96" i="19"/>
  <c r="V64" i="19"/>
  <c r="U54" i="19"/>
  <c r="U55" i="19" s="1"/>
  <c r="V63" i="19"/>
  <c r="V53" i="19"/>
  <c r="U65" i="19"/>
  <c r="U66" i="19" s="1"/>
  <c r="V52" i="19"/>
  <c r="X7" i="19"/>
  <c r="W45" i="19"/>
  <c r="W46" i="19" s="1"/>
  <c r="U165" i="19"/>
  <c r="V165" i="16"/>
  <c r="V153" i="16"/>
  <c r="V154" i="16" s="1"/>
  <c r="W164" i="16"/>
  <c r="W151" i="16"/>
  <c r="W175" i="16"/>
  <c r="W162" i="16"/>
  <c r="W173" i="16"/>
  <c r="W163" i="16"/>
  <c r="W152" i="16"/>
  <c r="W130" i="16"/>
  <c r="W141" i="16"/>
  <c r="W140" i="16"/>
  <c r="V131" i="16"/>
  <c r="V132" i="16" s="1"/>
  <c r="W96" i="16"/>
  <c r="W174" i="16"/>
  <c r="V109" i="16"/>
  <c r="V110" i="16" s="1"/>
  <c r="V120" i="16"/>
  <c r="V121" i="16" s="1"/>
  <c r="W119" i="16"/>
  <c r="W118" i="16"/>
  <c r="W108" i="16"/>
  <c r="W129" i="16"/>
  <c r="V87" i="16"/>
  <c r="V88" i="16" s="1"/>
  <c r="V142" i="16"/>
  <c r="V143" i="16" s="1"/>
  <c r="W97" i="16"/>
  <c r="W107" i="16"/>
  <c r="W64" i="16"/>
  <c r="W53" i="16"/>
  <c r="W52" i="16"/>
  <c r="V98" i="16"/>
  <c r="V99" i="16" s="1"/>
  <c r="V76" i="16"/>
  <c r="V77" i="16" s="1"/>
  <c r="W85" i="16"/>
  <c r="W74" i="16"/>
  <c r="V65" i="16"/>
  <c r="V66" i="16" s="1"/>
  <c r="W63" i="16"/>
  <c r="V54" i="16"/>
  <c r="V55" i="16" s="1"/>
  <c r="W75" i="16"/>
  <c r="W86" i="16"/>
  <c r="Y7" i="16"/>
  <c r="X45" i="16"/>
  <c r="X46" i="16" s="1"/>
  <c r="W45" i="15"/>
  <c r="W46" i="15" s="1"/>
  <c r="X7" i="15"/>
  <c r="U176" i="15"/>
  <c r="U165" i="15"/>
  <c r="V174" i="15"/>
  <c r="U153" i="15"/>
  <c r="U154" i="15" s="1"/>
  <c r="V164" i="15"/>
  <c r="V175" i="15"/>
  <c r="V162" i="15"/>
  <c r="V173" i="15"/>
  <c r="V152" i="15"/>
  <c r="V163" i="15"/>
  <c r="U142" i="15"/>
  <c r="U143" i="15" s="1"/>
  <c r="V141" i="15"/>
  <c r="V151" i="15"/>
  <c r="V129" i="15"/>
  <c r="V140" i="15"/>
  <c r="U131" i="15"/>
  <c r="U132" i="15" s="1"/>
  <c r="V118" i="15"/>
  <c r="V108" i="15"/>
  <c r="U87" i="15"/>
  <c r="U88" i="15" s="1"/>
  <c r="V119" i="15"/>
  <c r="V130" i="15"/>
  <c r="U120" i="15"/>
  <c r="U121" i="15" s="1"/>
  <c r="U109" i="15"/>
  <c r="U110" i="15" s="1"/>
  <c r="V107" i="15"/>
  <c r="U98" i="15"/>
  <c r="U99" i="15" s="1"/>
  <c r="V96" i="15"/>
  <c r="V63" i="15"/>
  <c r="V97" i="15"/>
  <c r="V86" i="15"/>
  <c r="V52" i="15"/>
  <c r="U76" i="15"/>
  <c r="U77" i="15" s="1"/>
  <c r="V64" i="15"/>
  <c r="U65" i="15"/>
  <c r="U66" i="15" s="1"/>
  <c r="V74" i="15"/>
  <c r="V85" i="15"/>
  <c r="V75" i="15"/>
  <c r="U54" i="15"/>
  <c r="U55" i="15" s="1"/>
  <c r="V53" i="15"/>
  <c r="X7" i="14"/>
  <c r="W45" i="14"/>
  <c r="W46" i="14" s="1"/>
  <c r="V174" i="14"/>
  <c r="V140" i="14"/>
  <c r="V164" i="14"/>
  <c r="V175" i="14"/>
  <c r="V162" i="14"/>
  <c r="V173" i="14"/>
  <c r="V163" i="14"/>
  <c r="U153" i="14"/>
  <c r="U154" i="14" s="1"/>
  <c r="V152" i="14"/>
  <c r="V151" i="14"/>
  <c r="U120" i="14"/>
  <c r="U121" i="14" s="1"/>
  <c r="V108" i="14"/>
  <c r="V63" i="14"/>
  <c r="U142" i="14"/>
  <c r="U143" i="14" s="1"/>
  <c r="V141" i="14"/>
  <c r="V119" i="14"/>
  <c r="U131" i="14"/>
  <c r="U132" i="14" s="1"/>
  <c r="V130" i="14"/>
  <c r="V129" i="14"/>
  <c r="V118" i="14"/>
  <c r="V107" i="14"/>
  <c r="U87" i="14"/>
  <c r="U88" i="14" s="1"/>
  <c r="U109" i="14"/>
  <c r="U110" i="14" s="1"/>
  <c r="V86" i="14"/>
  <c r="V96" i="14"/>
  <c r="V85" i="14"/>
  <c r="V97" i="14"/>
  <c r="U76" i="14"/>
  <c r="U77" i="14" s="1"/>
  <c r="U98" i="14"/>
  <c r="U99" i="14" s="1"/>
  <c r="V75" i="14"/>
  <c r="U65" i="14"/>
  <c r="U66" i="14" s="1"/>
  <c r="V74" i="14"/>
  <c r="V53" i="14"/>
  <c r="V52" i="14"/>
  <c r="V64" i="14"/>
  <c r="U54" i="14"/>
  <c r="U55" i="14" s="1"/>
  <c r="U176" i="14"/>
  <c r="U165" i="14"/>
  <c r="L165" i="1"/>
  <c r="M175" i="1"/>
  <c r="M163" i="1"/>
  <c r="M164" i="1"/>
  <c r="M174" i="1"/>
  <c r="M162" i="1"/>
  <c r="M173" i="1"/>
  <c r="L176" i="1"/>
  <c r="L54" i="1"/>
  <c r="L55" i="1" s="1"/>
  <c r="M64" i="1"/>
  <c r="M52" i="1"/>
  <c r="M53" i="1"/>
  <c r="M63" i="1"/>
  <c r="M74" i="1"/>
  <c r="L65" i="1"/>
  <c r="L66" i="1" s="1"/>
  <c r="M75" i="1"/>
  <c r="L109" i="1"/>
  <c r="L110" i="1" s="1"/>
  <c r="M118" i="1"/>
  <c r="M130" i="1"/>
  <c r="L153" i="1"/>
  <c r="L154" i="1" s="1"/>
  <c r="M86" i="1"/>
  <c r="M97" i="1"/>
  <c r="L120" i="1"/>
  <c r="L121" i="1" s="1"/>
  <c r="M129" i="1"/>
  <c r="M141" i="1"/>
  <c r="M85" i="1"/>
  <c r="M96" i="1"/>
  <c r="M108" i="1"/>
  <c r="L131" i="1"/>
  <c r="L132" i="1" s="1"/>
  <c r="M140" i="1"/>
  <c r="M152" i="1"/>
  <c r="L76" i="1"/>
  <c r="L77" i="1" s="1"/>
  <c r="L87" i="1"/>
  <c r="L88" i="1" s="1"/>
  <c r="L98" i="1"/>
  <c r="L99" i="1" s="1"/>
  <c r="M107" i="1"/>
  <c r="M119" i="1"/>
  <c r="L142" i="1"/>
  <c r="L143" i="1" s="1"/>
  <c r="M151" i="1"/>
  <c r="O7" i="1"/>
  <c r="N45" i="1"/>
  <c r="N46" i="1" s="1"/>
  <c r="U176" i="17" l="1"/>
  <c r="X7" i="17"/>
  <c r="W45" i="17"/>
  <c r="W46" i="17" s="1"/>
  <c r="V164" i="17"/>
  <c r="V130" i="17"/>
  <c r="U120" i="17"/>
  <c r="U121" i="17" s="1"/>
  <c r="V175" i="17"/>
  <c r="U131" i="17"/>
  <c r="U132" i="17" s="1"/>
  <c r="V96" i="17"/>
  <c r="V162" i="17"/>
  <c r="U109" i="17"/>
  <c r="U110" i="17" s="1"/>
  <c r="V74" i="17"/>
  <c r="V173" i="17"/>
  <c r="V108" i="17"/>
  <c r="V85" i="17"/>
  <c r="V163" i="17"/>
  <c r="V107" i="17"/>
  <c r="U65" i="17"/>
  <c r="U66" i="17" s="1"/>
  <c r="V141" i="17"/>
  <c r="U153" i="17"/>
  <c r="U154" i="17" s="1"/>
  <c r="V119" i="17"/>
  <c r="U54" i="17"/>
  <c r="U55" i="17" s="1"/>
  <c r="V129" i="17"/>
  <c r="U87" i="17"/>
  <c r="U88" i="17" s="1"/>
  <c r="V63" i="17"/>
  <c r="V152" i="17"/>
  <c r="V118" i="17"/>
  <c r="V64" i="17"/>
  <c r="V151" i="17"/>
  <c r="V75" i="17"/>
  <c r="V53" i="17"/>
  <c r="U142" i="17"/>
  <c r="U143" i="17" s="1"/>
  <c r="U98" i="17"/>
  <c r="U99" i="17" s="1"/>
  <c r="V52" i="17"/>
  <c r="U76" i="17"/>
  <c r="U77" i="17" s="1"/>
  <c r="V174" i="17"/>
  <c r="V140" i="17"/>
  <c r="V97" i="17"/>
  <c r="V86" i="17"/>
  <c r="U165" i="17"/>
  <c r="V176" i="22"/>
  <c r="U165" i="18"/>
  <c r="U176" i="18"/>
  <c r="X7" i="18"/>
  <c r="W45" i="18"/>
  <c r="W46" i="18" s="1"/>
  <c r="V162" i="18"/>
  <c r="V130" i="18"/>
  <c r="U65" i="18"/>
  <c r="U66" i="18" s="1"/>
  <c r="U131" i="18"/>
  <c r="U132" i="18" s="1"/>
  <c r="V173" i="18"/>
  <c r="V64" i="18"/>
  <c r="V74" i="18"/>
  <c r="V152" i="18"/>
  <c r="V85" i="18"/>
  <c r="U54" i="18"/>
  <c r="U55" i="18" s="1"/>
  <c r="V163" i="18"/>
  <c r="U98" i="18"/>
  <c r="U99" i="18" s="1"/>
  <c r="V63" i="18"/>
  <c r="V75" i="18"/>
  <c r="V129" i="18"/>
  <c r="V108" i="18"/>
  <c r="U87" i="18"/>
  <c r="U88" i="18" s="1"/>
  <c r="V119" i="18"/>
  <c r="V97" i="18"/>
  <c r="V52" i="18"/>
  <c r="V118" i="18"/>
  <c r="U142" i="18"/>
  <c r="U143" i="18" s="1"/>
  <c r="V53" i="18"/>
  <c r="V174" i="18"/>
  <c r="V141" i="18"/>
  <c r="V96" i="18"/>
  <c r="U153" i="18"/>
  <c r="U154" i="18" s="1"/>
  <c r="V140" i="18"/>
  <c r="U109" i="18"/>
  <c r="U110" i="18" s="1"/>
  <c r="V175" i="18"/>
  <c r="V164" i="18"/>
  <c r="U120" i="18"/>
  <c r="U121" i="18" s="1"/>
  <c r="V86" i="18"/>
  <c r="V151" i="18"/>
  <c r="V107" i="18"/>
  <c r="U76" i="18"/>
  <c r="U77" i="18" s="1"/>
  <c r="W176" i="20"/>
  <c r="V176" i="15"/>
  <c r="M176" i="1"/>
  <c r="W176" i="16"/>
  <c r="W165" i="16"/>
  <c r="V176" i="14"/>
  <c r="U176" i="24"/>
  <c r="V175" i="24"/>
  <c r="V107" i="24"/>
  <c r="U76" i="24"/>
  <c r="U77" i="24" s="1"/>
  <c r="V174" i="24"/>
  <c r="V162" i="24"/>
  <c r="V96" i="24"/>
  <c r="V75" i="24"/>
  <c r="V164" i="24"/>
  <c r="V173" i="24"/>
  <c r="V85" i="24"/>
  <c r="U65" i="24"/>
  <c r="U66" i="24" s="1"/>
  <c r="V163" i="24"/>
  <c r="U109" i="24"/>
  <c r="U110" i="24" s="1"/>
  <c r="V86" i="24"/>
  <c r="V130" i="24"/>
  <c r="U120" i="24"/>
  <c r="U121" i="24" s="1"/>
  <c r="V64" i="24"/>
  <c r="V141" i="24"/>
  <c r="U98" i="24"/>
  <c r="U99" i="24" s="1"/>
  <c r="V63" i="24"/>
  <c r="U131" i="24"/>
  <c r="U132" i="24" s="1"/>
  <c r="V152" i="24"/>
  <c r="U54" i="24"/>
  <c r="U55" i="24" s="1"/>
  <c r="V129" i="24"/>
  <c r="V118" i="24"/>
  <c r="V151" i="24"/>
  <c r="U142" i="24"/>
  <c r="U143" i="24" s="1"/>
  <c r="V53" i="24"/>
  <c r="V74" i="24"/>
  <c r="V140" i="24"/>
  <c r="V108" i="24"/>
  <c r="V52" i="24"/>
  <c r="V97" i="24"/>
  <c r="U153" i="24"/>
  <c r="U154" i="24" s="1"/>
  <c r="U87" i="24"/>
  <c r="U88" i="24" s="1"/>
  <c r="V119" i="24"/>
  <c r="W45" i="24"/>
  <c r="W46" i="24" s="1"/>
  <c r="X7" i="24"/>
  <c r="U165" i="24"/>
  <c r="V153" i="23"/>
  <c r="V154" i="23" s="1"/>
  <c r="W164" i="23"/>
  <c r="W175" i="23"/>
  <c r="W162" i="23"/>
  <c r="W173" i="23"/>
  <c r="W163" i="23"/>
  <c r="W140" i="23"/>
  <c r="V131" i="23"/>
  <c r="V132" i="23" s="1"/>
  <c r="W151" i="23"/>
  <c r="W152" i="23"/>
  <c r="W130" i="23"/>
  <c r="W108" i="23"/>
  <c r="W174" i="23"/>
  <c r="V120" i="23"/>
  <c r="V121" i="23" s="1"/>
  <c r="W119" i="23"/>
  <c r="W141" i="23"/>
  <c r="W96" i="23"/>
  <c r="W75" i="23"/>
  <c r="V142" i="23"/>
  <c r="V143" i="23" s="1"/>
  <c r="W86" i="23"/>
  <c r="W118" i="23"/>
  <c r="V109" i="23"/>
  <c r="V110" i="23" s="1"/>
  <c r="V87" i="23"/>
  <c r="V88" i="23" s="1"/>
  <c r="W129" i="23"/>
  <c r="W64" i="23"/>
  <c r="W107" i="23"/>
  <c r="V98" i="23"/>
  <c r="V99" i="23" s="1"/>
  <c r="W85" i="23"/>
  <c r="V54" i="23"/>
  <c r="V55" i="23" s="1"/>
  <c r="W74" i="23"/>
  <c r="W53" i="23"/>
  <c r="W63" i="23"/>
  <c r="V76" i="23"/>
  <c r="V77" i="23" s="1"/>
  <c r="W97" i="23"/>
  <c r="W52" i="23"/>
  <c r="V65" i="23"/>
  <c r="V66" i="23" s="1"/>
  <c r="X45" i="23"/>
  <c r="X46" i="23" s="1"/>
  <c r="Y7" i="23"/>
  <c r="V176" i="23"/>
  <c r="V165" i="23"/>
  <c r="V165" i="22"/>
  <c r="X45" i="22"/>
  <c r="X46" i="22" s="1"/>
  <c r="Y7" i="22"/>
  <c r="V153" i="22"/>
  <c r="V154" i="22" s="1"/>
  <c r="W164" i="22"/>
  <c r="W175" i="22"/>
  <c r="W162" i="22"/>
  <c r="W173" i="22"/>
  <c r="W163" i="22"/>
  <c r="W151" i="22"/>
  <c r="W152" i="22"/>
  <c r="V142" i="22"/>
  <c r="V143" i="22" s="1"/>
  <c r="W141" i="22"/>
  <c r="V131" i="22"/>
  <c r="V132" i="22" s="1"/>
  <c r="W174" i="22"/>
  <c r="W140" i="22"/>
  <c r="W129" i="22"/>
  <c r="W130" i="22"/>
  <c r="V109" i="22"/>
  <c r="V110" i="22" s="1"/>
  <c r="W97" i="22"/>
  <c r="V120" i="22"/>
  <c r="V121" i="22" s="1"/>
  <c r="W119" i="22"/>
  <c r="V98" i="22"/>
  <c r="V99" i="22" s="1"/>
  <c r="V87" i="22"/>
  <c r="V88" i="22" s="1"/>
  <c r="W85" i="22"/>
  <c r="V54" i="22"/>
  <c r="V55" i="22" s="1"/>
  <c r="W75" i="22"/>
  <c r="W86" i="22"/>
  <c r="W96" i="22"/>
  <c r="W118" i="22"/>
  <c r="W107" i="22"/>
  <c r="W52" i="22"/>
  <c r="V65" i="22"/>
  <c r="V66" i="22" s="1"/>
  <c r="W74" i="22"/>
  <c r="W64" i="22"/>
  <c r="W108" i="22"/>
  <c r="V76" i="22"/>
  <c r="V77" i="22" s="1"/>
  <c r="W53" i="22"/>
  <c r="W63" i="22"/>
  <c r="V153" i="21"/>
  <c r="V154" i="21" s="1"/>
  <c r="W164" i="21"/>
  <c r="W175" i="21"/>
  <c r="W162" i="21"/>
  <c r="W173" i="21"/>
  <c r="W152" i="21"/>
  <c r="W163" i="21"/>
  <c r="W140" i="21"/>
  <c r="V142" i="21"/>
  <c r="V143" i="21" s="1"/>
  <c r="W130" i="21"/>
  <c r="W107" i="21"/>
  <c r="W141" i="21"/>
  <c r="W118" i="21"/>
  <c r="W129" i="21"/>
  <c r="W119" i="21"/>
  <c r="W174" i="21"/>
  <c r="V120" i="21"/>
  <c r="V121" i="21" s="1"/>
  <c r="V109" i="21"/>
  <c r="V110" i="21" s="1"/>
  <c r="V131" i="21"/>
  <c r="V132" i="21" s="1"/>
  <c r="W151" i="21"/>
  <c r="V98" i="21"/>
  <c r="V99" i="21" s="1"/>
  <c r="W108" i="21"/>
  <c r="W85" i="21"/>
  <c r="V76" i="21"/>
  <c r="V77" i="21" s="1"/>
  <c r="W63" i="21"/>
  <c r="W96" i="21"/>
  <c r="W97" i="21"/>
  <c r="W86" i="21"/>
  <c r="W64" i="21"/>
  <c r="V87" i="21"/>
  <c r="V88" i="21" s="1"/>
  <c r="W75" i="21"/>
  <c r="V65" i="21"/>
  <c r="V66" i="21" s="1"/>
  <c r="W74" i="21"/>
  <c r="W52" i="21"/>
  <c r="V54" i="21"/>
  <c r="V55" i="21" s="1"/>
  <c r="W53" i="21"/>
  <c r="Y7" i="21"/>
  <c r="X45" i="21"/>
  <c r="X46" i="21" s="1"/>
  <c r="V176" i="21"/>
  <c r="V165" i="21"/>
  <c r="W165" i="20"/>
  <c r="V176" i="19"/>
  <c r="Y45" i="20"/>
  <c r="Y46" i="20" s="1"/>
  <c r="Z7" i="20"/>
  <c r="W153" i="20"/>
  <c r="W154" i="20" s="1"/>
  <c r="X164" i="20"/>
  <c r="X175" i="20"/>
  <c r="X162" i="20"/>
  <c r="X173" i="20"/>
  <c r="X163" i="20"/>
  <c r="X174" i="20"/>
  <c r="X151" i="20"/>
  <c r="X141" i="20"/>
  <c r="W120" i="20"/>
  <c r="W121" i="20" s="1"/>
  <c r="W131" i="20"/>
  <c r="W132" i="20" s="1"/>
  <c r="X152" i="20"/>
  <c r="X140" i="20"/>
  <c r="X119" i="20"/>
  <c r="W142" i="20"/>
  <c r="W143" i="20" s="1"/>
  <c r="X130" i="20"/>
  <c r="X118" i="20"/>
  <c r="X129" i="20"/>
  <c r="W109" i="20"/>
  <c r="W110" i="20" s="1"/>
  <c r="W98" i="20"/>
  <c r="W99" i="20" s="1"/>
  <c r="X85" i="20"/>
  <c r="X108" i="20"/>
  <c r="X86" i="20"/>
  <c r="X96" i="20"/>
  <c r="X107" i="20"/>
  <c r="W87" i="20"/>
  <c r="W88" i="20" s="1"/>
  <c r="W65" i="20"/>
  <c r="W66" i="20" s="1"/>
  <c r="X97" i="20"/>
  <c r="X53" i="20"/>
  <c r="W76" i="20"/>
  <c r="W77" i="20" s="1"/>
  <c r="X75" i="20"/>
  <c r="X74" i="20"/>
  <c r="W54" i="20"/>
  <c r="W55" i="20" s="1"/>
  <c r="X52" i="20"/>
  <c r="X63" i="20"/>
  <c r="X64" i="20"/>
  <c r="V165" i="19"/>
  <c r="W164" i="19"/>
  <c r="W151" i="19"/>
  <c r="W175" i="19"/>
  <c r="W162" i="19"/>
  <c r="W173" i="19"/>
  <c r="W174" i="19"/>
  <c r="V153" i="19"/>
  <c r="V154" i="19" s="1"/>
  <c r="W152" i="19"/>
  <c r="W163" i="19"/>
  <c r="V131" i="19"/>
  <c r="V132" i="19" s="1"/>
  <c r="V142" i="19"/>
  <c r="V143" i="19" s="1"/>
  <c r="W141" i="19"/>
  <c r="W140" i="19"/>
  <c r="W130" i="19"/>
  <c r="W119" i="19"/>
  <c r="W118" i="19"/>
  <c r="W107" i="19"/>
  <c r="W129" i="19"/>
  <c r="W85" i="19"/>
  <c r="W75" i="19"/>
  <c r="V87" i="19"/>
  <c r="V88" i="19" s="1"/>
  <c r="W108" i="19"/>
  <c r="V98" i="19"/>
  <c r="V99" i="19" s="1"/>
  <c r="W97" i="19"/>
  <c r="W86" i="19"/>
  <c r="V109" i="19"/>
  <c r="V110" i="19" s="1"/>
  <c r="W74" i="19"/>
  <c r="W96" i="19"/>
  <c r="V76" i="19"/>
  <c r="V77" i="19" s="1"/>
  <c r="W64" i="19"/>
  <c r="V54" i="19"/>
  <c r="V55" i="19" s="1"/>
  <c r="W63" i="19"/>
  <c r="W53" i="19"/>
  <c r="V65" i="19"/>
  <c r="V66" i="19" s="1"/>
  <c r="W52" i="19"/>
  <c r="V120" i="19"/>
  <c r="V121" i="19" s="1"/>
  <c r="X45" i="19"/>
  <c r="X46" i="19" s="1"/>
  <c r="Y7" i="19"/>
  <c r="W153" i="16"/>
  <c r="W154" i="16" s="1"/>
  <c r="X164" i="16"/>
  <c r="X151" i="16"/>
  <c r="X175" i="16"/>
  <c r="X162" i="16"/>
  <c r="X141" i="16"/>
  <c r="X173" i="16"/>
  <c r="X174" i="16"/>
  <c r="X152" i="16"/>
  <c r="X130" i="16"/>
  <c r="X163" i="16"/>
  <c r="X140" i="16"/>
  <c r="X129" i="16"/>
  <c r="W109" i="16"/>
  <c r="W110" i="16" s="1"/>
  <c r="W131" i="16"/>
  <c r="W132" i="16" s="1"/>
  <c r="W120" i="16"/>
  <c r="W121" i="16" s="1"/>
  <c r="X107" i="16"/>
  <c r="X119" i="16"/>
  <c r="X118" i="16"/>
  <c r="W142" i="16"/>
  <c r="W143" i="16" s="1"/>
  <c r="W87" i="16"/>
  <c r="W88" i="16" s="1"/>
  <c r="X108" i="16"/>
  <c r="X96" i="16"/>
  <c r="X97" i="16"/>
  <c r="X86" i="16"/>
  <c r="W76" i="16"/>
  <c r="W77" i="16" s="1"/>
  <c r="W98" i="16"/>
  <c r="W99" i="16" s="1"/>
  <c r="X85" i="16"/>
  <c r="W65" i="16"/>
  <c r="W66" i="16" s="1"/>
  <c r="X64" i="16"/>
  <c r="W54" i="16"/>
  <c r="W55" i="16" s="1"/>
  <c r="X74" i="16"/>
  <c r="X75" i="16"/>
  <c r="X63" i="16"/>
  <c r="X53" i="16"/>
  <c r="X52" i="16"/>
  <c r="Z7" i="16"/>
  <c r="Y45" i="16"/>
  <c r="Y46" i="16" s="1"/>
  <c r="Y7" i="15"/>
  <c r="X45" i="15"/>
  <c r="X46" i="15" s="1"/>
  <c r="V165" i="15"/>
  <c r="W164" i="15"/>
  <c r="W151" i="15"/>
  <c r="W175" i="15"/>
  <c r="W162" i="15"/>
  <c r="W173" i="15"/>
  <c r="W152" i="15"/>
  <c r="W163" i="15"/>
  <c r="V142" i="15"/>
  <c r="V143" i="15" s="1"/>
  <c r="V153" i="15"/>
  <c r="V154" i="15" s="1"/>
  <c r="W141" i="15"/>
  <c r="V120" i="15"/>
  <c r="V121" i="15" s="1"/>
  <c r="W140" i="15"/>
  <c r="W174" i="15"/>
  <c r="W119" i="15"/>
  <c r="V131" i="15"/>
  <c r="V132" i="15" s="1"/>
  <c r="W118" i="15"/>
  <c r="W108" i="15"/>
  <c r="W129" i="15"/>
  <c r="V87" i="15"/>
  <c r="V88" i="15" s="1"/>
  <c r="W85" i="15"/>
  <c r="W130" i="15"/>
  <c r="V109" i="15"/>
  <c r="V110" i="15" s="1"/>
  <c r="W107" i="15"/>
  <c r="V98" i="15"/>
  <c r="V99" i="15" s="1"/>
  <c r="W96" i="15"/>
  <c r="W97" i="15"/>
  <c r="W64" i="15"/>
  <c r="V65" i="15"/>
  <c r="V66" i="15" s="1"/>
  <c r="V76" i="15"/>
  <c r="V77" i="15" s="1"/>
  <c r="W63" i="15"/>
  <c r="W86" i="15"/>
  <c r="W74" i="15"/>
  <c r="W75" i="15"/>
  <c r="V54" i="15"/>
  <c r="V55" i="15" s="1"/>
  <c r="W52" i="15"/>
  <c r="W53" i="15"/>
  <c r="V165" i="14"/>
  <c r="V153" i="14"/>
  <c r="V154" i="14" s="1"/>
  <c r="W164" i="14"/>
  <c r="W175" i="14"/>
  <c r="W162" i="14"/>
  <c r="W173" i="14"/>
  <c r="W163" i="14"/>
  <c r="V120" i="14"/>
  <c r="V121" i="14" s="1"/>
  <c r="W152" i="14"/>
  <c r="W151" i="14"/>
  <c r="W140" i="14"/>
  <c r="W130" i="14"/>
  <c r="W174" i="14"/>
  <c r="W108" i="14"/>
  <c r="V142" i="14"/>
  <c r="V143" i="14" s="1"/>
  <c r="V87" i="14"/>
  <c r="V88" i="14" s="1"/>
  <c r="W64" i="14"/>
  <c r="W141" i="14"/>
  <c r="W119" i="14"/>
  <c r="V131" i="14"/>
  <c r="V132" i="14" s="1"/>
  <c r="W129" i="14"/>
  <c r="W118" i="14"/>
  <c r="W107" i="14"/>
  <c r="V109" i="14"/>
  <c r="V110" i="14" s="1"/>
  <c r="W86" i="14"/>
  <c r="W96" i="14"/>
  <c r="W85" i="14"/>
  <c r="W97" i="14"/>
  <c r="V76" i="14"/>
  <c r="V77" i="14" s="1"/>
  <c r="V98" i="14"/>
  <c r="V99" i="14" s="1"/>
  <c r="W75" i="14"/>
  <c r="W74" i="14"/>
  <c r="W63" i="14"/>
  <c r="V65" i="14"/>
  <c r="V66" i="14" s="1"/>
  <c r="W53" i="14"/>
  <c r="W52" i="14"/>
  <c r="V54" i="14"/>
  <c r="V55" i="14" s="1"/>
  <c r="X45" i="14"/>
  <c r="X46" i="14" s="1"/>
  <c r="Y7" i="14"/>
  <c r="M165" i="1"/>
  <c r="N175" i="1"/>
  <c r="N174" i="1"/>
  <c r="N173" i="1"/>
  <c r="N162" i="1"/>
  <c r="N164" i="1"/>
  <c r="N163" i="1"/>
  <c r="P7" i="1"/>
  <c r="O45" i="1"/>
  <c r="O46" i="1" s="1"/>
  <c r="M54" i="1"/>
  <c r="M55" i="1" s="1"/>
  <c r="N64" i="1"/>
  <c r="N52" i="1"/>
  <c r="N53" i="1"/>
  <c r="N63" i="1"/>
  <c r="M65" i="1"/>
  <c r="M66" i="1" s="1"/>
  <c r="M76" i="1"/>
  <c r="M77" i="1" s="1"/>
  <c r="M87" i="1"/>
  <c r="M88" i="1" s="1"/>
  <c r="M98" i="1"/>
  <c r="M99" i="1" s="1"/>
  <c r="N107" i="1"/>
  <c r="N119" i="1"/>
  <c r="M142" i="1"/>
  <c r="M143" i="1" s="1"/>
  <c r="N151" i="1"/>
  <c r="N74" i="1"/>
  <c r="N75" i="1"/>
  <c r="M109" i="1"/>
  <c r="M110" i="1" s="1"/>
  <c r="N118" i="1"/>
  <c r="N130" i="1"/>
  <c r="M153" i="1"/>
  <c r="M154" i="1" s="1"/>
  <c r="N86" i="1"/>
  <c r="N97" i="1"/>
  <c r="M120" i="1"/>
  <c r="M121" i="1" s="1"/>
  <c r="N129" i="1"/>
  <c r="N141" i="1"/>
  <c r="N85" i="1"/>
  <c r="N96" i="1"/>
  <c r="N108" i="1"/>
  <c r="M131" i="1"/>
  <c r="M132" i="1" s="1"/>
  <c r="N140" i="1"/>
  <c r="N152" i="1"/>
  <c r="V165" i="17" l="1"/>
  <c r="V176" i="17"/>
  <c r="W164" i="17"/>
  <c r="W140" i="17"/>
  <c r="W74" i="17"/>
  <c r="W175" i="17"/>
  <c r="W129" i="17"/>
  <c r="W85" i="17"/>
  <c r="W162" i="17"/>
  <c r="W130" i="17"/>
  <c r="W107" i="17"/>
  <c r="W173" i="17"/>
  <c r="W118" i="17"/>
  <c r="V54" i="17"/>
  <c r="V55" i="17" s="1"/>
  <c r="W163" i="17"/>
  <c r="W96" i="17"/>
  <c r="W63" i="17"/>
  <c r="V87" i="17"/>
  <c r="V88" i="17" s="1"/>
  <c r="V131" i="17"/>
  <c r="V132" i="17" s="1"/>
  <c r="W75" i="17"/>
  <c r="W64" i="17"/>
  <c r="W141" i="17"/>
  <c r="V153" i="17"/>
  <c r="V154" i="17" s="1"/>
  <c r="W119" i="17"/>
  <c r="W53" i="17"/>
  <c r="W152" i="17"/>
  <c r="V98" i="17"/>
  <c r="V99" i="17" s="1"/>
  <c r="V109" i="17"/>
  <c r="V110" i="17" s="1"/>
  <c r="W151" i="17"/>
  <c r="W86" i="17"/>
  <c r="V65" i="17"/>
  <c r="V66" i="17" s="1"/>
  <c r="V142" i="17"/>
  <c r="V143" i="17" s="1"/>
  <c r="W108" i="17"/>
  <c r="V76" i="17"/>
  <c r="V77" i="17" s="1"/>
  <c r="W97" i="17"/>
  <c r="W174" i="17"/>
  <c r="V120" i="17"/>
  <c r="V121" i="17" s="1"/>
  <c r="W52" i="17"/>
  <c r="X45" i="17"/>
  <c r="X46" i="17" s="1"/>
  <c r="Y7" i="17"/>
  <c r="V176" i="18"/>
  <c r="V165" i="18"/>
  <c r="W163" i="18"/>
  <c r="W130" i="18"/>
  <c r="V65" i="18"/>
  <c r="V66" i="18" s="1"/>
  <c r="V142" i="18"/>
  <c r="V143" i="18" s="1"/>
  <c r="V120" i="18"/>
  <c r="V121" i="18" s="1"/>
  <c r="W74" i="18"/>
  <c r="W141" i="18"/>
  <c r="W129" i="18"/>
  <c r="W63" i="18"/>
  <c r="W152" i="18"/>
  <c r="W85" i="18"/>
  <c r="W52" i="18"/>
  <c r="V131" i="18"/>
  <c r="V132" i="18" s="1"/>
  <c r="W140" i="18"/>
  <c r="V98" i="18"/>
  <c r="V99" i="18" s="1"/>
  <c r="W86" i="18"/>
  <c r="W173" i="18"/>
  <c r="V153" i="18"/>
  <c r="V154" i="18" s="1"/>
  <c r="W108" i="18"/>
  <c r="V54" i="18"/>
  <c r="V55" i="18" s="1"/>
  <c r="W118" i="18"/>
  <c r="W96" i="18"/>
  <c r="W53" i="18"/>
  <c r="W164" i="18"/>
  <c r="W107" i="18"/>
  <c r="V109" i="18"/>
  <c r="V110" i="18" s="1"/>
  <c r="W151" i="18"/>
  <c r="W97" i="18"/>
  <c r="W119" i="18"/>
  <c r="W75" i="18"/>
  <c r="W175" i="18"/>
  <c r="W174" i="18"/>
  <c r="V76" i="18"/>
  <c r="V77" i="18" s="1"/>
  <c r="W162" i="18"/>
  <c r="V87" i="18"/>
  <c r="V88" i="18" s="1"/>
  <c r="W64" i="18"/>
  <c r="X45" i="18"/>
  <c r="X46" i="18" s="1"/>
  <c r="Y7" i="18"/>
  <c r="W176" i="15"/>
  <c r="W176" i="23"/>
  <c r="V176" i="24"/>
  <c r="V165" i="24"/>
  <c r="X45" i="24"/>
  <c r="X46" i="24" s="1"/>
  <c r="Y7" i="24"/>
  <c r="W175" i="24"/>
  <c r="W85" i="24"/>
  <c r="W63" i="24"/>
  <c r="W162" i="24"/>
  <c r="W174" i="24"/>
  <c r="V76" i="24"/>
  <c r="V77" i="24" s="1"/>
  <c r="W173" i="24"/>
  <c r="W152" i="24"/>
  <c r="W75" i="24"/>
  <c r="W151" i="24"/>
  <c r="W163" i="24"/>
  <c r="V142" i="24"/>
  <c r="V143" i="24" s="1"/>
  <c r="W74" i="24"/>
  <c r="V109" i="24"/>
  <c r="V110" i="24" s="1"/>
  <c r="W118" i="24"/>
  <c r="V87" i="24"/>
  <c r="V88" i="24" s="1"/>
  <c r="W97" i="24"/>
  <c r="W141" i="24"/>
  <c r="W107" i="24"/>
  <c r="W64" i="24"/>
  <c r="V120" i="24"/>
  <c r="V121" i="24" s="1"/>
  <c r="W96" i="24"/>
  <c r="V65" i="24"/>
  <c r="V66" i="24" s="1"/>
  <c r="W129" i="24"/>
  <c r="W119" i="24"/>
  <c r="V153" i="24"/>
  <c r="V154" i="24" s="1"/>
  <c r="V98" i="24"/>
  <c r="V99" i="24" s="1"/>
  <c r="V54" i="24"/>
  <c r="V55" i="24" s="1"/>
  <c r="W164" i="24"/>
  <c r="W86" i="24"/>
  <c r="V131" i="24"/>
  <c r="V132" i="24" s="1"/>
  <c r="W130" i="24"/>
  <c r="W53" i="24"/>
  <c r="W140" i="24"/>
  <c r="W108" i="24"/>
  <c r="W52" i="24"/>
  <c r="Z7" i="23"/>
  <c r="Y45" i="23"/>
  <c r="Y46" i="23" s="1"/>
  <c r="W165" i="23"/>
  <c r="W153" i="23"/>
  <c r="W154" i="23" s="1"/>
  <c r="X164" i="23"/>
  <c r="X151" i="23"/>
  <c r="X175" i="23"/>
  <c r="X162" i="23"/>
  <c r="X173" i="23"/>
  <c r="X174" i="23"/>
  <c r="X140" i="23"/>
  <c r="X129" i="23"/>
  <c r="X152" i="23"/>
  <c r="W142" i="23"/>
  <c r="W143" i="23" s="1"/>
  <c r="W131" i="23"/>
  <c r="W132" i="23" s="1"/>
  <c r="W120" i="23"/>
  <c r="W121" i="23" s="1"/>
  <c r="X119" i="23"/>
  <c r="X163" i="23"/>
  <c r="X141" i="23"/>
  <c r="X86" i="23"/>
  <c r="X118" i="23"/>
  <c r="W109" i="23"/>
  <c r="W110" i="23" s="1"/>
  <c r="W76" i="23"/>
  <c r="W77" i="23" s="1"/>
  <c r="X130" i="23"/>
  <c r="X108" i="23"/>
  <c r="X107" i="23"/>
  <c r="W98" i="23"/>
  <c r="W99" i="23" s="1"/>
  <c r="X97" i="23"/>
  <c r="X85" i="23"/>
  <c r="X96" i="23"/>
  <c r="X64" i="23"/>
  <c r="W54" i="23"/>
  <c r="W55" i="23" s="1"/>
  <c r="X74" i="23"/>
  <c r="X53" i="23"/>
  <c r="W87" i="23"/>
  <c r="W88" i="23" s="1"/>
  <c r="X63" i="23"/>
  <c r="X75" i="23"/>
  <c r="W65" i="23"/>
  <c r="W66" i="23" s="1"/>
  <c r="X52" i="23"/>
  <c r="Y45" i="22"/>
  <c r="Y46" i="22" s="1"/>
  <c r="Z7" i="22"/>
  <c r="W153" i="22"/>
  <c r="W154" i="22" s="1"/>
  <c r="X164" i="22"/>
  <c r="X151" i="22"/>
  <c r="X175" i="22"/>
  <c r="X162" i="22"/>
  <c r="X173" i="22"/>
  <c r="X163" i="22"/>
  <c r="X174" i="22"/>
  <c r="X152" i="22"/>
  <c r="W142" i="22"/>
  <c r="W143" i="22" s="1"/>
  <c r="X141" i="22"/>
  <c r="X140" i="22"/>
  <c r="X129" i="22"/>
  <c r="W109" i="22"/>
  <c r="W110" i="22" s="1"/>
  <c r="W131" i="22"/>
  <c r="W132" i="22" s="1"/>
  <c r="W120" i="22"/>
  <c r="W121" i="22" s="1"/>
  <c r="X119" i="22"/>
  <c r="W87" i="22"/>
  <c r="W88" i="22" s="1"/>
  <c r="X85" i="22"/>
  <c r="W65" i="22"/>
  <c r="W66" i="22" s="1"/>
  <c r="X97" i="22"/>
  <c r="X75" i="22"/>
  <c r="X86" i="22"/>
  <c r="X96" i="22"/>
  <c r="X118" i="22"/>
  <c r="X107" i="22"/>
  <c r="X130" i="22"/>
  <c r="W76" i="22"/>
  <c r="W77" i="22" s="1"/>
  <c r="X108" i="22"/>
  <c r="X74" i="22"/>
  <c r="X64" i="22"/>
  <c r="W54" i="22"/>
  <c r="W55" i="22" s="1"/>
  <c r="W98" i="22"/>
  <c r="W99" i="22" s="1"/>
  <c r="X53" i="22"/>
  <c r="X63" i="22"/>
  <c r="X52" i="22"/>
  <c r="W176" i="22"/>
  <c r="W165" i="22"/>
  <c r="W176" i="21"/>
  <c r="W165" i="21"/>
  <c r="W153" i="21"/>
  <c r="W154" i="21" s="1"/>
  <c r="X164" i="21"/>
  <c r="X175" i="21"/>
  <c r="X162" i="21"/>
  <c r="X173" i="21"/>
  <c r="X152" i="21"/>
  <c r="X163" i="21"/>
  <c r="X174" i="21"/>
  <c r="W142" i="21"/>
  <c r="W143" i="21" s="1"/>
  <c r="X130" i="21"/>
  <c r="X141" i="21"/>
  <c r="W120" i="21"/>
  <c r="W121" i="21" s="1"/>
  <c r="X151" i="21"/>
  <c r="W131" i="21"/>
  <c r="W132" i="21" s="1"/>
  <c r="X129" i="21"/>
  <c r="X119" i="21"/>
  <c r="X86" i="21"/>
  <c r="X140" i="21"/>
  <c r="X108" i="21"/>
  <c r="X97" i="21"/>
  <c r="X118" i="21"/>
  <c r="W109" i="21"/>
  <c r="W110" i="21" s="1"/>
  <c r="W76" i="21"/>
  <c r="W77" i="21" s="1"/>
  <c r="X107" i="21"/>
  <c r="X74" i="21"/>
  <c r="X96" i="21"/>
  <c r="W87" i="21"/>
  <c r="W88" i="21" s="1"/>
  <c r="X64" i="21"/>
  <c r="X75" i="21"/>
  <c r="X85" i="21"/>
  <c r="W65" i="21"/>
  <c r="W66" i="21" s="1"/>
  <c r="W98" i="21"/>
  <c r="W99" i="21" s="1"/>
  <c r="X52" i="21"/>
  <c r="X63" i="21"/>
  <c r="X53" i="21"/>
  <c r="W54" i="21"/>
  <c r="W55" i="21" s="1"/>
  <c r="Z7" i="21"/>
  <c r="Y45" i="21"/>
  <c r="Y46" i="21" s="1"/>
  <c r="AA7" i="20"/>
  <c r="Z45" i="20"/>
  <c r="Z46" i="20" s="1"/>
  <c r="Y164" i="20"/>
  <c r="Y175" i="20"/>
  <c r="Y162" i="20"/>
  <c r="Y173" i="20"/>
  <c r="Y163" i="20"/>
  <c r="Y174" i="20"/>
  <c r="X153" i="20"/>
  <c r="X154" i="20" s="1"/>
  <c r="Y151" i="20"/>
  <c r="Y141" i="20"/>
  <c r="Y118" i="20"/>
  <c r="Y129" i="20"/>
  <c r="Y152" i="20"/>
  <c r="Y140" i="20"/>
  <c r="X142" i="20"/>
  <c r="X143" i="20" s="1"/>
  <c r="Y130" i="20"/>
  <c r="X131" i="20"/>
  <c r="X132" i="20" s="1"/>
  <c r="X109" i="20"/>
  <c r="X110" i="20" s="1"/>
  <c r="X87" i="20"/>
  <c r="X88" i="20" s="1"/>
  <c r="Y119" i="20"/>
  <c r="X98" i="20"/>
  <c r="X99" i="20" s="1"/>
  <c r="Y108" i="20"/>
  <c r="X120" i="20"/>
  <c r="X121" i="20" s="1"/>
  <c r="Y86" i="20"/>
  <c r="Y107" i="20"/>
  <c r="Y96" i="20"/>
  <c r="Y85" i="20"/>
  <c r="Y97" i="20"/>
  <c r="Y75" i="20"/>
  <c r="X65" i="20"/>
  <c r="X66" i="20" s="1"/>
  <c r="X76" i="20"/>
  <c r="X77" i="20" s="1"/>
  <c r="Y74" i="20"/>
  <c r="X54" i="20"/>
  <c r="X55" i="20" s="1"/>
  <c r="Y63" i="20"/>
  <c r="Y64" i="20"/>
  <c r="Y53" i="20"/>
  <c r="Y52" i="20"/>
  <c r="X176" i="20"/>
  <c r="X165" i="20"/>
  <c r="X164" i="19"/>
  <c r="X175" i="19"/>
  <c r="X162" i="19"/>
  <c r="X173" i="19"/>
  <c r="X163" i="19"/>
  <c r="X174" i="19"/>
  <c r="W153" i="19"/>
  <c r="W154" i="19" s="1"/>
  <c r="X152" i="19"/>
  <c r="X151" i="19"/>
  <c r="X129" i="19"/>
  <c r="W142" i="19"/>
  <c r="W143" i="19" s="1"/>
  <c r="X141" i="19"/>
  <c r="X140" i="19"/>
  <c r="W109" i="19"/>
  <c r="W110" i="19" s="1"/>
  <c r="X118" i="19"/>
  <c r="W131" i="19"/>
  <c r="W132" i="19" s="1"/>
  <c r="X130" i="19"/>
  <c r="W120" i="19"/>
  <c r="W121" i="19" s="1"/>
  <c r="W65" i="19"/>
  <c r="W66" i="19" s="1"/>
  <c r="X119" i="19"/>
  <c r="X107" i="19"/>
  <c r="X75" i="19"/>
  <c r="W87" i="19"/>
  <c r="W88" i="19" s="1"/>
  <c r="X108" i="19"/>
  <c r="W98" i="19"/>
  <c r="W99" i="19" s="1"/>
  <c r="X97" i="19"/>
  <c r="X86" i="19"/>
  <c r="X96" i="19"/>
  <c r="X63" i="19"/>
  <c r="W54" i="19"/>
  <c r="W55" i="19" s="1"/>
  <c r="X74" i="19"/>
  <c r="X53" i="19"/>
  <c r="X85" i="19"/>
  <c r="X52" i="19"/>
  <c r="W76" i="19"/>
  <c r="W77" i="19" s="1"/>
  <c r="X64" i="19"/>
  <c r="W176" i="19"/>
  <c r="W165" i="19"/>
  <c r="Y45" i="19"/>
  <c r="Y46" i="19" s="1"/>
  <c r="Z7" i="19"/>
  <c r="X176" i="16"/>
  <c r="X165" i="16"/>
  <c r="Y164" i="16"/>
  <c r="Y151" i="16"/>
  <c r="Y175" i="16"/>
  <c r="Y162" i="16"/>
  <c r="Y173" i="16"/>
  <c r="Y163" i="16"/>
  <c r="Y174" i="16"/>
  <c r="X142" i="16"/>
  <c r="X143" i="16" s="1"/>
  <c r="Y152" i="16"/>
  <c r="Y130" i="16"/>
  <c r="Y141" i="16"/>
  <c r="Y140" i="16"/>
  <c r="X153" i="16"/>
  <c r="X154" i="16" s="1"/>
  <c r="X109" i="16"/>
  <c r="X110" i="16" s="1"/>
  <c r="X131" i="16"/>
  <c r="X132" i="16" s="1"/>
  <c r="X120" i="16"/>
  <c r="X121" i="16" s="1"/>
  <c r="Y107" i="16"/>
  <c r="Y86" i="16"/>
  <c r="Y119" i="16"/>
  <c r="Y118" i="16"/>
  <c r="Y97" i="16"/>
  <c r="X87" i="16"/>
  <c r="X88" i="16" s="1"/>
  <c r="Y108" i="16"/>
  <c r="Y96" i="16"/>
  <c r="X76" i="16"/>
  <c r="X77" i="16" s="1"/>
  <c r="Y74" i="16"/>
  <c r="Y129" i="16"/>
  <c r="X98" i="16"/>
  <c r="X99" i="16" s="1"/>
  <c r="Y75" i="16"/>
  <c r="Y85" i="16"/>
  <c r="Y63" i="16"/>
  <c r="X65" i="16"/>
  <c r="X66" i="16" s="1"/>
  <c r="Y64" i="16"/>
  <c r="Y53" i="16"/>
  <c r="Y52" i="16"/>
  <c r="X54" i="16"/>
  <c r="X55" i="16" s="1"/>
  <c r="AA7" i="16"/>
  <c r="Z45" i="16"/>
  <c r="Z46" i="16" s="1"/>
  <c r="W165" i="15"/>
  <c r="X164" i="15"/>
  <c r="X175" i="15"/>
  <c r="X162" i="15"/>
  <c r="X173" i="15"/>
  <c r="X163" i="15"/>
  <c r="X174" i="15"/>
  <c r="W153" i="15"/>
  <c r="W154" i="15" s="1"/>
  <c r="X141" i="15"/>
  <c r="W120" i="15"/>
  <c r="W121" i="15" s="1"/>
  <c r="X118" i="15"/>
  <c r="X151" i="15"/>
  <c r="X140" i="15"/>
  <c r="X152" i="15"/>
  <c r="X108" i="15"/>
  <c r="X129" i="15"/>
  <c r="X85" i="15"/>
  <c r="X119" i="15"/>
  <c r="X130" i="15"/>
  <c r="W142" i="15"/>
  <c r="W143" i="15" s="1"/>
  <c r="W131" i="15"/>
  <c r="W132" i="15" s="1"/>
  <c r="X96" i="15"/>
  <c r="W76" i="15"/>
  <c r="W77" i="15" s="1"/>
  <c r="W109" i="15"/>
  <c r="W110" i="15" s="1"/>
  <c r="X97" i="15"/>
  <c r="W87" i="15"/>
  <c r="W88" i="15" s="1"/>
  <c r="X86" i="15"/>
  <c r="X75" i="15"/>
  <c r="X63" i="15"/>
  <c r="X107" i="15"/>
  <c r="X64" i="15"/>
  <c r="W65" i="15"/>
  <c r="W66" i="15" s="1"/>
  <c r="X53" i="15"/>
  <c r="X74" i="15"/>
  <c r="W54" i="15"/>
  <c r="W55" i="15" s="1"/>
  <c r="X52" i="15"/>
  <c r="W98" i="15"/>
  <c r="W99" i="15" s="1"/>
  <c r="Y45" i="15"/>
  <c r="Y46" i="15" s="1"/>
  <c r="Z7" i="15"/>
  <c r="X164" i="14"/>
  <c r="X151" i="14"/>
  <c r="X175" i="14"/>
  <c r="X162" i="14"/>
  <c r="X173" i="14"/>
  <c r="X163" i="14"/>
  <c r="X174" i="14"/>
  <c r="W153" i="14"/>
  <c r="W154" i="14" s="1"/>
  <c r="X152" i="14"/>
  <c r="X118" i="14"/>
  <c r="W142" i="14"/>
  <c r="W143" i="14" s="1"/>
  <c r="W120" i="14"/>
  <c r="W121" i="14" s="1"/>
  <c r="X85" i="14"/>
  <c r="X141" i="14"/>
  <c r="X119" i="14"/>
  <c r="W131" i="14"/>
  <c r="W132" i="14" s="1"/>
  <c r="X130" i="14"/>
  <c r="X129" i="14"/>
  <c r="X140" i="14"/>
  <c r="X97" i="14"/>
  <c r="W76" i="14"/>
  <c r="W77" i="14" s="1"/>
  <c r="X107" i="14"/>
  <c r="X108" i="14"/>
  <c r="W109" i="14"/>
  <c r="W110" i="14" s="1"/>
  <c r="W87" i="14"/>
  <c r="W88" i="14" s="1"/>
  <c r="X86" i="14"/>
  <c r="W65" i="14"/>
  <c r="W66" i="14" s="1"/>
  <c r="X96" i="14"/>
  <c r="W98" i="14"/>
  <c r="W99" i="14" s="1"/>
  <c r="X75" i="14"/>
  <c r="X74" i="14"/>
  <c r="X63" i="14"/>
  <c r="X53" i="14"/>
  <c r="X52" i="14"/>
  <c r="W54" i="14"/>
  <c r="W55" i="14" s="1"/>
  <c r="X64" i="14"/>
  <c r="W176" i="14"/>
  <c r="W165" i="14"/>
  <c r="Z7" i="14"/>
  <c r="Y45" i="14"/>
  <c r="Y46" i="14" s="1"/>
  <c r="N176" i="1"/>
  <c r="N165" i="1"/>
  <c r="O174" i="1"/>
  <c r="O175" i="1"/>
  <c r="O173" i="1"/>
  <c r="O164" i="1"/>
  <c r="O163" i="1"/>
  <c r="O162" i="1"/>
  <c r="N65" i="1"/>
  <c r="N66" i="1" s="1"/>
  <c r="N54" i="1"/>
  <c r="N55" i="1" s="1"/>
  <c r="O64" i="1"/>
  <c r="O52" i="1"/>
  <c r="O53" i="1"/>
  <c r="O63" i="1"/>
  <c r="O74" i="1"/>
  <c r="O85" i="1"/>
  <c r="O96" i="1"/>
  <c r="O108" i="1"/>
  <c r="N131" i="1"/>
  <c r="N132" i="1" s="1"/>
  <c r="O140" i="1"/>
  <c r="O152" i="1"/>
  <c r="N76" i="1"/>
  <c r="N77" i="1" s="1"/>
  <c r="N87" i="1"/>
  <c r="N88" i="1" s="1"/>
  <c r="N98" i="1"/>
  <c r="N99" i="1" s="1"/>
  <c r="O107" i="1"/>
  <c r="O119" i="1"/>
  <c r="N142" i="1"/>
  <c r="N143" i="1" s="1"/>
  <c r="O151" i="1"/>
  <c r="O75" i="1"/>
  <c r="N109" i="1"/>
  <c r="N110" i="1" s="1"/>
  <c r="O118" i="1"/>
  <c r="O130" i="1"/>
  <c r="N153" i="1"/>
  <c r="N154" i="1" s="1"/>
  <c r="O86" i="1"/>
  <c r="O97" i="1"/>
  <c r="N120" i="1"/>
  <c r="N121" i="1" s="1"/>
  <c r="O129" i="1"/>
  <c r="O141" i="1"/>
  <c r="P45" i="1"/>
  <c r="P46" i="1" s="1"/>
  <c r="Q7" i="1"/>
  <c r="W176" i="17" l="1"/>
  <c r="W165" i="17"/>
  <c r="Z7" i="17"/>
  <c r="Y45" i="17"/>
  <c r="Y46" i="17" s="1"/>
  <c r="W153" i="17"/>
  <c r="W154" i="17" s="1"/>
  <c r="X118" i="17"/>
  <c r="X64" i="17"/>
  <c r="W98" i="17"/>
  <c r="W99" i="17" s="1"/>
  <c r="X129" i="17"/>
  <c r="X53" i="17"/>
  <c r="X152" i="17"/>
  <c r="X86" i="17"/>
  <c r="W65" i="17"/>
  <c r="W66" i="17" s="1"/>
  <c r="X151" i="17"/>
  <c r="X75" i="17"/>
  <c r="X52" i="17"/>
  <c r="X141" i="17"/>
  <c r="X108" i="17"/>
  <c r="W87" i="17"/>
  <c r="W88" i="17" s="1"/>
  <c r="X164" i="17"/>
  <c r="X140" i="17"/>
  <c r="X96" i="17"/>
  <c r="X175" i="17"/>
  <c r="X97" i="17"/>
  <c r="X74" i="17"/>
  <c r="X162" i="17"/>
  <c r="W120" i="17"/>
  <c r="W121" i="17" s="1"/>
  <c r="X85" i="17"/>
  <c r="X173" i="17"/>
  <c r="X130" i="17"/>
  <c r="W109" i="17"/>
  <c r="W110" i="17" s="1"/>
  <c r="X107" i="17"/>
  <c r="X163" i="17"/>
  <c r="W131" i="17"/>
  <c r="W132" i="17" s="1"/>
  <c r="W76" i="17"/>
  <c r="W77" i="17" s="1"/>
  <c r="X174" i="17"/>
  <c r="W54" i="17"/>
  <c r="W55" i="17" s="1"/>
  <c r="W142" i="17"/>
  <c r="W143" i="17" s="1"/>
  <c r="X119" i="17"/>
  <c r="X63" i="17"/>
  <c r="W165" i="18"/>
  <c r="W176" i="18"/>
  <c r="Y45" i="18"/>
  <c r="Y46" i="18" s="1"/>
  <c r="Z7" i="18"/>
  <c r="X130" i="18"/>
  <c r="X96" i="18"/>
  <c r="W76" i="18"/>
  <c r="W77" i="18" s="1"/>
  <c r="X152" i="18"/>
  <c r="W87" i="18"/>
  <c r="W88" i="18" s="1"/>
  <c r="X53" i="18"/>
  <c r="W54" i="18"/>
  <c r="W55" i="18" s="1"/>
  <c r="W153" i="18"/>
  <c r="W154" i="18" s="1"/>
  <c r="X140" i="18"/>
  <c r="W109" i="18"/>
  <c r="W110" i="18" s="1"/>
  <c r="X164" i="18"/>
  <c r="W131" i="18"/>
  <c r="W132" i="18" s="1"/>
  <c r="X74" i="18"/>
  <c r="X175" i="18"/>
  <c r="W120" i="18"/>
  <c r="W121" i="18" s="1"/>
  <c r="X107" i="18"/>
  <c r="X162" i="18"/>
  <c r="X129" i="18"/>
  <c r="X86" i="18"/>
  <c r="X97" i="18"/>
  <c r="X141" i="18"/>
  <c r="X119" i="18"/>
  <c r="X63" i="18"/>
  <c r="X173" i="18"/>
  <c r="X118" i="18"/>
  <c r="X85" i="18"/>
  <c r="X151" i="18"/>
  <c r="X163" i="18"/>
  <c r="W98" i="18"/>
  <c r="W99" i="18" s="1"/>
  <c r="X52" i="18"/>
  <c r="X174" i="18"/>
  <c r="W65" i="18"/>
  <c r="W66" i="18" s="1"/>
  <c r="X75" i="18"/>
  <c r="W142" i="18"/>
  <c r="W143" i="18" s="1"/>
  <c r="X108" i="18"/>
  <c r="X64" i="18"/>
  <c r="O176" i="1"/>
  <c r="W165" i="24"/>
  <c r="Y45" i="24"/>
  <c r="Y46" i="24" s="1"/>
  <c r="Z7" i="24"/>
  <c r="X162" i="24"/>
  <c r="W142" i="24"/>
  <c r="W143" i="24" s="1"/>
  <c r="X52" i="24"/>
  <c r="X173" i="24"/>
  <c r="X130" i="24"/>
  <c r="X107" i="24"/>
  <c r="X163" i="24"/>
  <c r="X96" i="24"/>
  <c r="W76" i="24"/>
  <c r="W77" i="24" s="1"/>
  <c r="X129" i="24"/>
  <c r="X174" i="24"/>
  <c r="X85" i="24"/>
  <c r="X75" i="24"/>
  <c r="X53" i="24"/>
  <c r="X141" i="24"/>
  <c r="W109" i="24"/>
  <c r="W110" i="24" s="1"/>
  <c r="X74" i="24"/>
  <c r="W153" i="24"/>
  <c r="W154" i="24" s="1"/>
  <c r="W120" i="24"/>
  <c r="W121" i="24" s="1"/>
  <c r="W98" i="24"/>
  <c r="W99" i="24" s="1"/>
  <c r="X86" i="24"/>
  <c r="X119" i="24"/>
  <c r="X118" i="24"/>
  <c r="W87" i="24"/>
  <c r="W88" i="24" s="1"/>
  <c r="W54" i="24"/>
  <c r="W55" i="24" s="1"/>
  <c r="W131" i="24"/>
  <c r="W132" i="24" s="1"/>
  <c r="X108" i="24"/>
  <c r="W65" i="24"/>
  <c r="W66" i="24" s="1"/>
  <c r="X175" i="24"/>
  <c r="X140" i="24"/>
  <c r="X97" i="24"/>
  <c r="X63" i="24"/>
  <c r="X152" i="24"/>
  <c r="X164" i="24"/>
  <c r="X151" i="24"/>
  <c r="X64" i="24"/>
  <c r="W176" i="24"/>
  <c r="X165" i="23"/>
  <c r="Y164" i="23"/>
  <c r="Y151" i="23"/>
  <c r="Y175" i="23"/>
  <c r="Y162" i="23"/>
  <c r="Y173" i="23"/>
  <c r="Y163" i="23"/>
  <c r="Y174" i="23"/>
  <c r="X142" i="23"/>
  <c r="X143" i="23" s="1"/>
  <c r="Y119" i="23"/>
  <c r="Y152" i="23"/>
  <c r="Y141" i="23"/>
  <c r="X120" i="23"/>
  <c r="X121" i="23" s="1"/>
  <c r="X131" i="23"/>
  <c r="X132" i="23" s="1"/>
  <c r="Y118" i="23"/>
  <c r="X98" i="23"/>
  <c r="X99" i="23" s="1"/>
  <c r="X153" i="23"/>
  <c r="X154" i="23" s="1"/>
  <c r="Y140" i="23"/>
  <c r="Y130" i="23"/>
  <c r="Y129" i="23"/>
  <c r="Y86" i="23"/>
  <c r="X109" i="23"/>
  <c r="X110" i="23" s="1"/>
  <c r="Y108" i="23"/>
  <c r="Y74" i="23"/>
  <c r="Y107" i="23"/>
  <c r="Y96" i="23"/>
  <c r="Y64" i="23"/>
  <c r="X54" i="23"/>
  <c r="X55" i="23" s="1"/>
  <c r="Y85" i="23"/>
  <c r="Y53" i="23"/>
  <c r="X87" i="23"/>
  <c r="X88" i="23" s="1"/>
  <c r="Y63" i="23"/>
  <c r="Y75" i="23"/>
  <c r="Y97" i="23"/>
  <c r="X76" i="23"/>
  <c r="X77" i="23" s="1"/>
  <c r="Y52" i="23"/>
  <c r="X65" i="23"/>
  <c r="X66" i="23" s="1"/>
  <c r="Z45" i="23"/>
  <c r="Z46" i="23" s="1"/>
  <c r="AA7" i="23"/>
  <c r="X176" i="23"/>
  <c r="Z45" i="22"/>
  <c r="Z46" i="22" s="1"/>
  <c r="AA7" i="22"/>
  <c r="Y164" i="22"/>
  <c r="Y151" i="22"/>
  <c r="Y175" i="22"/>
  <c r="Y162" i="22"/>
  <c r="Y173" i="22"/>
  <c r="Y163" i="22"/>
  <c r="Y174" i="22"/>
  <c r="X142" i="22"/>
  <c r="X143" i="22" s="1"/>
  <c r="Y130" i="22"/>
  <c r="Y152" i="22"/>
  <c r="X153" i="22"/>
  <c r="X154" i="22" s="1"/>
  <c r="Y141" i="22"/>
  <c r="Y140" i="22"/>
  <c r="X131" i="22"/>
  <c r="X132" i="22" s="1"/>
  <c r="Y108" i="22"/>
  <c r="X120" i="22"/>
  <c r="X121" i="22" s="1"/>
  <c r="Y119" i="22"/>
  <c r="Y118" i="22"/>
  <c r="Y107" i="22"/>
  <c r="Y85" i="22"/>
  <c r="Y97" i="22"/>
  <c r="Y75" i="22"/>
  <c r="X109" i="22"/>
  <c r="X110" i="22" s="1"/>
  <c r="Y86" i="22"/>
  <c r="Y96" i="22"/>
  <c r="Y74" i="22"/>
  <c r="X98" i="22"/>
  <c r="X99" i="22" s="1"/>
  <c r="X87" i="22"/>
  <c r="X88" i="22" s="1"/>
  <c r="X65" i="22"/>
  <c r="X66" i="22" s="1"/>
  <c r="Y64" i="22"/>
  <c r="X54" i="22"/>
  <c r="X55" i="22" s="1"/>
  <c r="X76" i="22"/>
  <c r="X77" i="22" s="1"/>
  <c r="Y53" i="22"/>
  <c r="Y63" i="22"/>
  <c r="Y52" i="22"/>
  <c r="Y129" i="22"/>
  <c r="X176" i="22"/>
  <c r="X165" i="22"/>
  <c r="X165" i="21"/>
  <c r="Z45" i="21"/>
  <c r="Z46" i="21" s="1"/>
  <c r="AA7" i="21"/>
  <c r="Y164" i="21"/>
  <c r="Y151" i="21"/>
  <c r="Y175" i="21"/>
  <c r="Y162" i="21"/>
  <c r="Y173" i="21"/>
  <c r="Y163" i="21"/>
  <c r="Y174" i="21"/>
  <c r="X142" i="21"/>
  <c r="X143" i="21" s="1"/>
  <c r="Y130" i="21"/>
  <c r="X153" i="21"/>
  <c r="X154" i="21" s="1"/>
  <c r="Y141" i="21"/>
  <c r="Y118" i="21"/>
  <c r="Y129" i="21"/>
  <c r="Y140" i="21"/>
  <c r="X109" i="21"/>
  <c r="X110" i="21" s="1"/>
  <c r="X120" i="21"/>
  <c r="X121" i="21" s="1"/>
  <c r="X131" i="21"/>
  <c r="X132" i="21" s="1"/>
  <c r="Y152" i="21"/>
  <c r="Y108" i="21"/>
  <c r="Y107" i="21"/>
  <c r="Y74" i="21"/>
  <c r="Y96" i="21"/>
  <c r="Y119" i="21"/>
  <c r="Y97" i="21"/>
  <c r="Y86" i="21"/>
  <c r="X98" i="21"/>
  <c r="X99" i="21" s="1"/>
  <c r="Y64" i="21"/>
  <c r="X87" i="21"/>
  <c r="X88" i="21" s="1"/>
  <c r="Y75" i="21"/>
  <c r="Y85" i="21"/>
  <c r="Y63" i="21"/>
  <c r="X76" i="21"/>
  <c r="X77" i="21" s="1"/>
  <c r="X65" i="21"/>
  <c r="X66" i="21" s="1"/>
  <c r="Y53" i="21"/>
  <c r="Y52" i="21"/>
  <c r="X54" i="21"/>
  <c r="X55" i="21" s="1"/>
  <c r="X176" i="21"/>
  <c r="Y176" i="20"/>
  <c r="Y165" i="20"/>
  <c r="Z175" i="20"/>
  <c r="Z162" i="20"/>
  <c r="Z141" i="20"/>
  <c r="Z173" i="20"/>
  <c r="Z152" i="20"/>
  <c r="Z163" i="20"/>
  <c r="Z174" i="20"/>
  <c r="Y153" i="20"/>
  <c r="Y154" i="20" s="1"/>
  <c r="Y131" i="20"/>
  <c r="Y132" i="20" s="1"/>
  <c r="Z97" i="20"/>
  <c r="Z164" i="20"/>
  <c r="Z140" i="20"/>
  <c r="Y142" i="20"/>
  <c r="Y143" i="20" s="1"/>
  <c r="Z130" i="20"/>
  <c r="Z129" i="20"/>
  <c r="Y109" i="20"/>
  <c r="Y110" i="20" s="1"/>
  <c r="Z119" i="20"/>
  <c r="Y98" i="20"/>
  <c r="Y99" i="20" s="1"/>
  <c r="Z85" i="20"/>
  <c r="Z108" i="20"/>
  <c r="Y120" i="20"/>
  <c r="Y121" i="20" s="1"/>
  <c r="Z151" i="20"/>
  <c r="Z107" i="20"/>
  <c r="Z96" i="20"/>
  <c r="Z74" i="20"/>
  <c r="Y87" i="20"/>
  <c r="Y88" i="20" s="1"/>
  <c r="Z118" i="20"/>
  <c r="Y76" i="20"/>
  <c r="Y77" i="20" s="1"/>
  <c r="Z75" i="20"/>
  <c r="Z86" i="20"/>
  <c r="Y54" i="20"/>
  <c r="Y55" i="20" s="1"/>
  <c r="Z52" i="20"/>
  <c r="Z63" i="20"/>
  <c r="Z64" i="20"/>
  <c r="Z53" i="20"/>
  <c r="Y65" i="20"/>
  <c r="Y66" i="20" s="1"/>
  <c r="AA45" i="20"/>
  <c r="AA46" i="20" s="1"/>
  <c r="AB7" i="20"/>
  <c r="X176" i="19"/>
  <c r="X165" i="19"/>
  <c r="Y164" i="19"/>
  <c r="Y175" i="19"/>
  <c r="Y162" i="19"/>
  <c r="Y141" i="19"/>
  <c r="Y173" i="19"/>
  <c r="Y163" i="19"/>
  <c r="Y151" i="19"/>
  <c r="X142" i="19"/>
  <c r="X143" i="19" s="1"/>
  <c r="Y174" i="19"/>
  <c r="Y152" i="19"/>
  <c r="Y118" i="19"/>
  <c r="Y107" i="19"/>
  <c r="Y97" i="19"/>
  <c r="X131" i="19"/>
  <c r="X132" i="19" s="1"/>
  <c r="Y130" i="19"/>
  <c r="Y129" i="19"/>
  <c r="X120" i="19"/>
  <c r="X121" i="19" s="1"/>
  <c r="X98" i="19"/>
  <c r="X99" i="19" s="1"/>
  <c r="X153" i="19"/>
  <c r="X154" i="19" s="1"/>
  <c r="Y140" i="19"/>
  <c r="Y119" i="19"/>
  <c r="Y75" i="19"/>
  <c r="X87" i="19"/>
  <c r="X88" i="19" s="1"/>
  <c r="Y108" i="19"/>
  <c r="Y86" i="19"/>
  <c r="X76" i="19"/>
  <c r="X77" i="19" s="1"/>
  <c r="X109" i="19"/>
  <c r="X110" i="19" s="1"/>
  <c r="Y96" i="19"/>
  <c r="Y64" i="19"/>
  <c r="Y53" i="19"/>
  <c r="Y52" i="19"/>
  <c r="Y85" i="19"/>
  <c r="X54" i="19"/>
  <c r="X55" i="19" s="1"/>
  <c r="Y74" i="19"/>
  <c r="Y63" i="19"/>
  <c r="X65" i="19"/>
  <c r="X66" i="19" s="1"/>
  <c r="Z45" i="19"/>
  <c r="Z46" i="19" s="1"/>
  <c r="AA7" i="19"/>
  <c r="AB7" i="16"/>
  <c r="AA45" i="16"/>
  <c r="AA46" i="16" s="1"/>
  <c r="Y176" i="16"/>
  <c r="Y165" i="16"/>
  <c r="Z175" i="16"/>
  <c r="Z162" i="16"/>
  <c r="Z141" i="16"/>
  <c r="Z173" i="16"/>
  <c r="Z152" i="16"/>
  <c r="Z163" i="16"/>
  <c r="Z174" i="16"/>
  <c r="Z140" i="16"/>
  <c r="Y153" i="16"/>
  <c r="Y154" i="16" s="1"/>
  <c r="Z151" i="16"/>
  <c r="Y142" i="16"/>
  <c r="Y143" i="16" s="1"/>
  <c r="Y131" i="16"/>
  <c r="Y132" i="16" s="1"/>
  <c r="Y120" i="16"/>
  <c r="Y121" i="16" s="1"/>
  <c r="Z107" i="16"/>
  <c r="Z119" i="16"/>
  <c r="Z164" i="16"/>
  <c r="Z118" i="16"/>
  <c r="Z130" i="16"/>
  <c r="Z129" i="16"/>
  <c r="Z108" i="16"/>
  <c r="Z96" i="16"/>
  <c r="Z97" i="16"/>
  <c r="Z86" i="16"/>
  <c r="Z74" i="16"/>
  <c r="Y98" i="16"/>
  <c r="Y99" i="16" s="1"/>
  <c r="Y109" i="16"/>
  <c r="Y110" i="16" s="1"/>
  <c r="Z85" i="16"/>
  <c r="Y76" i="16"/>
  <c r="Y77" i="16" s="1"/>
  <c r="Z63" i="16"/>
  <c r="Y87" i="16"/>
  <c r="Y88" i="16" s="1"/>
  <c r="Z64" i="16"/>
  <c r="Z53" i="16"/>
  <c r="Y65" i="16"/>
  <c r="Y66" i="16" s="1"/>
  <c r="Z52" i="16"/>
  <c r="Y54" i="16"/>
  <c r="Y55" i="16" s="1"/>
  <c r="Z75" i="16"/>
  <c r="X165" i="15"/>
  <c r="Z45" i="15"/>
  <c r="Z46" i="15" s="1"/>
  <c r="AA7" i="15"/>
  <c r="Y164" i="15"/>
  <c r="Y175" i="15"/>
  <c r="Y162" i="15"/>
  <c r="Y173" i="15"/>
  <c r="Y163" i="15"/>
  <c r="Y174" i="15"/>
  <c r="Y141" i="15"/>
  <c r="Y118" i="15"/>
  <c r="Y151" i="15"/>
  <c r="X131" i="15"/>
  <c r="X132" i="15" s="1"/>
  <c r="Y140" i="15"/>
  <c r="Y152" i="15"/>
  <c r="Y119" i="15"/>
  <c r="X142" i="15"/>
  <c r="X143" i="15" s="1"/>
  <c r="Y130" i="15"/>
  <c r="Y129" i="15"/>
  <c r="X98" i="15"/>
  <c r="X99" i="15" s="1"/>
  <c r="X153" i="15"/>
  <c r="X154" i="15" s="1"/>
  <c r="X120" i="15"/>
  <c r="X121" i="15" s="1"/>
  <c r="Y97" i="15"/>
  <c r="Y96" i="15"/>
  <c r="X76" i="15"/>
  <c r="X77" i="15" s="1"/>
  <c r="X109" i="15"/>
  <c r="X110" i="15" s="1"/>
  <c r="Y74" i="15"/>
  <c r="Y108" i="15"/>
  <c r="X87" i="15"/>
  <c r="X88" i="15" s="1"/>
  <c r="Y86" i="15"/>
  <c r="X65" i="15"/>
  <c r="X66" i="15" s="1"/>
  <c r="Y107" i="15"/>
  <c r="Y85" i="15"/>
  <c r="Y63" i="15"/>
  <c r="Y64" i="15"/>
  <c r="Y53" i="15"/>
  <c r="Y75" i="15"/>
  <c r="X54" i="15"/>
  <c r="X55" i="15" s="1"/>
  <c r="Y52" i="15"/>
  <c r="X176" i="15"/>
  <c r="Z45" i="14"/>
  <c r="Z46" i="14" s="1"/>
  <c r="AA7" i="14"/>
  <c r="X176" i="14"/>
  <c r="X165" i="14"/>
  <c r="Y164" i="14"/>
  <c r="Y175" i="14"/>
  <c r="Y162" i="14"/>
  <c r="Y173" i="14"/>
  <c r="Y163" i="14"/>
  <c r="Y174" i="14"/>
  <c r="X142" i="14"/>
  <c r="X143" i="14" s="1"/>
  <c r="Y152" i="14"/>
  <c r="X131" i="14"/>
  <c r="X132" i="14" s="1"/>
  <c r="Y151" i="14"/>
  <c r="X65" i="14"/>
  <c r="X66" i="14" s="1"/>
  <c r="Y141" i="14"/>
  <c r="Y119" i="14"/>
  <c r="X109" i="14"/>
  <c r="X110" i="14" s="1"/>
  <c r="Y130" i="14"/>
  <c r="Y129" i="14"/>
  <c r="X153" i="14"/>
  <c r="X154" i="14" s="1"/>
  <c r="Y118" i="14"/>
  <c r="Y140" i="14"/>
  <c r="Y74" i="14"/>
  <c r="Y108" i="14"/>
  <c r="X87" i="14"/>
  <c r="X88" i="14" s="1"/>
  <c r="Y86" i="14"/>
  <c r="Y96" i="14"/>
  <c r="Y85" i="14"/>
  <c r="X98" i="14"/>
  <c r="X99" i="14" s="1"/>
  <c r="Y97" i="14"/>
  <c r="X76" i="14"/>
  <c r="X77" i="14" s="1"/>
  <c r="Y75" i="14"/>
  <c r="Y64" i="14"/>
  <c r="X120" i="14"/>
  <c r="X121" i="14" s="1"/>
  <c r="Y53" i="14"/>
  <c r="Y52" i="14"/>
  <c r="Y107" i="14"/>
  <c r="X54" i="14"/>
  <c r="X55" i="14" s="1"/>
  <c r="Y63" i="14"/>
  <c r="O165" i="1"/>
  <c r="P173" i="1"/>
  <c r="P174" i="1"/>
  <c r="P175" i="1"/>
  <c r="P162" i="1"/>
  <c r="P163" i="1"/>
  <c r="P164" i="1"/>
  <c r="Q45" i="1"/>
  <c r="Q46" i="1" s="1"/>
  <c r="R7" i="1"/>
  <c r="P52" i="1"/>
  <c r="P53" i="1"/>
  <c r="P63" i="1"/>
  <c r="O65" i="1"/>
  <c r="O66" i="1" s="1"/>
  <c r="O54" i="1"/>
  <c r="O55" i="1" s="1"/>
  <c r="P64" i="1"/>
  <c r="P75" i="1"/>
  <c r="P86" i="1"/>
  <c r="P97" i="1"/>
  <c r="O120" i="1"/>
  <c r="O121" i="1" s="1"/>
  <c r="P129" i="1"/>
  <c r="P141" i="1"/>
  <c r="P85" i="1"/>
  <c r="P96" i="1"/>
  <c r="P108" i="1"/>
  <c r="O131" i="1"/>
  <c r="O132" i="1" s="1"/>
  <c r="P140" i="1"/>
  <c r="P152" i="1"/>
  <c r="P74" i="1"/>
  <c r="O76" i="1"/>
  <c r="O77" i="1" s="1"/>
  <c r="O87" i="1"/>
  <c r="O88" i="1" s="1"/>
  <c r="O98" i="1"/>
  <c r="O99" i="1" s="1"/>
  <c r="P107" i="1"/>
  <c r="P119" i="1"/>
  <c r="O142" i="1"/>
  <c r="O143" i="1" s="1"/>
  <c r="P151" i="1"/>
  <c r="O109" i="1"/>
  <c r="O110" i="1" s="1"/>
  <c r="P118" i="1"/>
  <c r="P130" i="1"/>
  <c r="O153" i="1"/>
  <c r="O154" i="1" s="1"/>
  <c r="X165" i="17" l="1"/>
  <c r="X176" i="17"/>
  <c r="Y163" i="17"/>
  <c r="X131" i="17"/>
  <c r="X132" i="17" s="1"/>
  <c r="X76" i="17"/>
  <c r="X77" i="17" s="1"/>
  <c r="Y174" i="17"/>
  <c r="Y118" i="17"/>
  <c r="Y107" i="17"/>
  <c r="X142" i="17"/>
  <c r="X143" i="17" s="1"/>
  <c r="X98" i="17"/>
  <c r="X99" i="17" s="1"/>
  <c r="X87" i="17"/>
  <c r="X88" i="17" s="1"/>
  <c r="Y140" i="17"/>
  <c r="Y86" i="17"/>
  <c r="X54" i="17"/>
  <c r="X55" i="17" s="1"/>
  <c r="X153" i="17"/>
  <c r="X154" i="17" s="1"/>
  <c r="Y75" i="17"/>
  <c r="Y64" i="17"/>
  <c r="Y130" i="17"/>
  <c r="Y152" i="17"/>
  <c r="Y108" i="17"/>
  <c r="Y53" i="17"/>
  <c r="Y151" i="17"/>
  <c r="Y97" i="17"/>
  <c r="X65" i="17"/>
  <c r="X66" i="17" s="1"/>
  <c r="Y119" i="17"/>
  <c r="Y63" i="17"/>
  <c r="Y52" i="17"/>
  <c r="Y164" i="17"/>
  <c r="Y141" i="17"/>
  <c r="Y96" i="17"/>
  <c r="Y175" i="17"/>
  <c r="X120" i="17"/>
  <c r="X121" i="17" s="1"/>
  <c r="Y74" i="17"/>
  <c r="Y162" i="17"/>
  <c r="Y85" i="17"/>
  <c r="Y173" i="17"/>
  <c r="Y129" i="17"/>
  <c r="X109" i="17"/>
  <c r="X110" i="17" s="1"/>
  <c r="AA7" i="17"/>
  <c r="Z45" i="17"/>
  <c r="Z46" i="17" s="1"/>
  <c r="X165" i="18"/>
  <c r="X176" i="18"/>
  <c r="Z45" i="18"/>
  <c r="Z46" i="18" s="1"/>
  <c r="AA7" i="18"/>
  <c r="Y152" i="18"/>
  <c r="Y108" i="18"/>
  <c r="Y53" i="18"/>
  <c r="Y163" i="18"/>
  <c r="Y75" i="18"/>
  <c r="Y52" i="18"/>
  <c r="Y174" i="18"/>
  <c r="Y97" i="18"/>
  <c r="Y63" i="18"/>
  <c r="Y140" i="18"/>
  <c r="Y96" i="18"/>
  <c r="Y85" i="18"/>
  <c r="Y119" i="18"/>
  <c r="X142" i="18"/>
  <c r="X143" i="18" s="1"/>
  <c r="X87" i="18"/>
  <c r="X88" i="18" s="1"/>
  <c r="Y64" i="18"/>
  <c r="Y130" i="18"/>
  <c r="Y86" i="18"/>
  <c r="X98" i="18"/>
  <c r="X99" i="18" s="1"/>
  <c r="Y141" i="18"/>
  <c r="Y118" i="18"/>
  <c r="X54" i="18"/>
  <c r="X55" i="18" s="1"/>
  <c r="Y164" i="18"/>
  <c r="X153" i="18"/>
  <c r="X154" i="18" s="1"/>
  <c r="X109" i="18"/>
  <c r="X110" i="18" s="1"/>
  <c r="Y151" i="18"/>
  <c r="Y129" i="18"/>
  <c r="Y107" i="18"/>
  <c r="Y173" i="18"/>
  <c r="Y175" i="18"/>
  <c r="X131" i="18"/>
  <c r="X132" i="18" s="1"/>
  <c r="X76" i="18"/>
  <c r="X77" i="18" s="1"/>
  <c r="Y162" i="18"/>
  <c r="X120" i="18"/>
  <c r="X121" i="18" s="1"/>
  <c r="X65" i="18"/>
  <c r="X66" i="18" s="1"/>
  <c r="Y74" i="18"/>
  <c r="X165" i="24"/>
  <c r="X176" i="24"/>
  <c r="AA7" i="24"/>
  <c r="Z45" i="24"/>
  <c r="Z46" i="24" s="1"/>
  <c r="Y162" i="24"/>
  <c r="Y152" i="24"/>
  <c r="Y74" i="24"/>
  <c r="Y151" i="24"/>
  <c r="Y173" i="24"/>
  <c r="Y130" i="24"/>
  <c r="Y86" i="24"/>
  <c r="Y175" i="24"/>
  <c r="Y163" i="24"/>
  <c r="X98" i="24"/>
  <c r="X99" i="24" s="1"/>
  <c r="Y85" i="24"/>
  <c r="Y174" i="24"/>
  <c r="X109" i="24"/>
  <c r="X110" i="24" s="1"/>
  <c r="X76" i="24"/>
  <c r="X77" i="24" s="1"/>
  <c r="Y96" i="24"/>
  <c r="X142" i="24"/>
  <c r="X143" i="24" s="1"/>
  <c r="X87" i="24"/>
  <c r="X88" i="24" s="1"/>
  <c r="X65" i="24"/>
  <c r="X66" i="24" s="1"/>
  <c r="Y141" i="24"/>
  <c r="Y108" i="24"/>
  <c r="Y64" i="24"/>
  <c r="Y140" i="24"/>
  <c r="Y75" i="24"/>
  <c r="X120" i="24"/>
  <c r="X121" i="24" s="1"/>
  <c r="Y97" i="24"/>
  <c r="Y63" i="24"/>
  <c r="Y129" i="24"/>
  <c r="Y118" i="24"/>
  <c r="Y119" i="24"/>
  <c r="Y53" i="24"/>
  <c r="X153" i="24"/>
  <c r="X154" i="24" s="1"/>
  <c r="X54" i="24"/>
  <c r="X55" i="24" s="1"/>
  <c r="Y52" i="24"/>
  <c r="Y164" i="24"/>
  <c r="X131" i="24"/>
  <c r="X132" i="24" s="1"/>
  <c r="Y107" i="24"/>
  <c r="Y176" i="23"/>
  <c r="Y165" i="23"/>
  <c r="AA45" i="23"/>
  <c r="AA46" i="23" s="1"/>
  <c r="AB7" i="23"/>
  <c r="Z175" i="23"/>
  <c r="Z162" i="23"/>
  <c r="Z173" i="23"/>
  <c r="Z163" i="23"/>
  <c r="Z174" i="23"/>
  <c r="Z140" i="23"/>
  <c r="Z164" i="23"/>
  <c r="Z152" i="23"/>
  <c r="Z151" i="23"/>
  <c r="Y142" i="23"/>
  <c r="Y143" i="23" s="1"/>
  <c r="Z141" i="23"/>
  <c r="Z118" i="23"/>
  <c r="Y120" i="23"/>
  <c r="Y121" i="23" s="1"/>
  <c r="Z119" i="23"/>
  <c r="Y153" i="23"/>
  <c r="Y154" i="23" s="1"/>
  <c r="Z96" i="23"/>
  <c r="Z86" i="23"/>
  <c r="Y131" i="23"/>
  <c r="Y132" i="23" s="1"/>
  <c r="Y109" i="23"/>
  <c r="Y110" i="23" s="1"/>
  <c r="Z108" i="23"/>
  <c r="Z130" i="23"/>
  <c r="Z107" i="23"/>
  <c r="Y98" i="23"/>
  <c r="Y99" i="23" s="1"/>
  <c r="Z97" i="23"/>
  <c r="Z129" i="23"/>
  <c r="Z64" i="23"/>
  <c r="Y54" i="23"/>
  <c r="Y55" i="23" s="1"/>
  <c r="Z85" i="23"/>
  <c r="Z53" i="23"/>
  <c r="Y87" i="23"/>
  <c r="Y88" i="23" s="1"/>
  <c r="Z74" i="23"/>
  <c r="Z63" i="23"/>
  <c r="Z75" i="23"/>
  <c r="Y76" i="23"/>
  <c r="Y77" i="23" s="1"/>
  <c r="Y65" i="23"/>
  <c r="Y66" i="23" s="1"/>
  <c r="Z52" i="23"/>
  <c r="AA45" i="22"/>
  <c r="AA46" i="22" s="1"/>
  <c r="AB7" i="22"/>
  <c r="Z175" i="22"/>
  <c r="Z162" i="22"/>
  <c r="Z173" i="22"/>
  <c r="Z163" i="22"/>
  <c r="Z174" i="22"/>
  <c r="Z140" i="22"/>
  <c r="Z152" i="22"/>
  <c r="Z151" i="22"/>
  <c r="Y153" i="22"/>
  <c r="Y154" i="22" s="1"/>
  <c r="Y142" i="22"/>
  <c r="Y143" i="22" s="1"/>
  <c r="Z141" i="22"/>
  <c r="Z164" i="22"/>
  <c r="Z119" i="22"/>
  <c r="Y131" i="22"/>
  <c r="Y132" i="22" s="1"/>
  <c r="Z108" i="22"/>
  <c r="Y120" i="22"/>
  <c r="Y121" i="22" s="1"/>
  <c r="Z118" i="22"/>
  <c r="Z130" i="22"/>
  <c r="Z129" i="22"/>
  <c r="Y65" i="22"/>
  <c r="Y66" i="22" s="1"/>
  <c r="Z97" i="22"/>
  <c r="Z75" i="22"/>
  <c r="Y109" i="22"/>
  <c r="Y110" i="22" s="1"/>
  <c r="Z86" i="22"/>
  <c r="Z96" i="22"/>
  <c r="Z107" i="22"/>
  <c r="Y98" i="22"/>
  <c r="Y99" i="22" s="1"/>
  <c r="Z63" i="22"/>
  <c r="Y87" i="22"/>
  <c r="Y88" i="22" s="1"/>
  <c r="Z64" i="22"/>
  <c r="Z74" i="22"/>
  <c r="Y54" i="22"/>
  <c r="Y55" i="22" s="1"/>
  <c r="Z85" i="22"/>
  <c r="Y76" i="22"/>
  <c r="Y77" i="22" s="1"/>
  <c r="Z53" i="22"/>
  <c r="Z52" i="22"/>
  <c r="Y176" i="22"/>
  <c r="Y165" i="22"/>
  <c r="Y176" i="21"/>
  <c r="Y165" i="21"/>
  <c r="AA45" i="21"/>
  <c r="AA46" i="21" s="1"/>
  <c r="AB7" i="21"/>
  <c r="Z175" i="21"/>
  <c r="Z162" i="21"/>
  <c r="Z173" i="21"/>
  <c r="Z152" i="21"/>
  <c r="Z163" i="21"/>
  <c r="Z174" i="21"/>
  <c r="Y153" i="21"/>
  <c r="Y154" i="21" s="1"/>
  <c r="Y142" i="21"/>
  <c r="Y143" i="21" s="1"/>
  <c r="Z130" i="21"/>
  <c r="Y109" i="21"/>
  <c r="Y110" i="21" s="1"/>
  <c r="Z164" i="21"/>
  <c r="Z141" i="21"/>
  <c r="Y131" i="21"/>
  <c r="Y132" i="21" s="1"/>
  <c r="Z151" i="21"/>
  <c r="Z140" i="21"/>
  <c r="Y120" i="21"/>
  <c r="Y121" i="21" s="1"/>
  <c r="Z108" i="21"/>
  <c r="Z97" i="21"/>
  <c r="Z107" i="21"/>
  <c r="Z118" i="21"/>
  <c r="Y98" i="21"/>
  <c r="Y99" i="21" s="1"/>
  <c r="Z119" i="21"/>
  <c r="Z63" i="21"/>
  <c r="Z96" i="21"/>
  <c r="Y87" i="21"/>
  <c r="Y88" i="21" s="1"/>
  <c r="Y65" i="21"/>
  <c r="Y66" i="21" s="1"/>
  <c r="Z129" i="21"/>
  <c r="Z85" i="21"/>
  <c r="Z75" i="21"/>
  <c r="Z86" i="21"/>
  <c r="Y76" i="21"/>
  <c r="Y77" i="21" s="1"/>
  <c r="Z53" i="21"/>
  <c r="Y54" i="21"/>
  <c r="Y55" i="21" s="1"/>
  <c r="Z74" i="21"/>
  <c r="Z52" i="21"/>
  <c r="Z64" i="21"/>
  <c r="Z176" i="20"/>
  <c r="Z165" i="20"/>
  <c r="Y176" i="19"/>
  <c r="AB45" i="20"/>
  <c r="AB46" i="20" s="1"/>
  <c r="AC7" i="20"/>
  <c r="AA175" i="20"/>
  <c r="AA162" i="20"/>
  <c r="AA173" i="20"/>
  <c r="AA163" i="20"/>
  <c r="AA174" i="20"/>
  <c r="AA164" i="20"/>
  <c r="AA151" i="20"/>
  <c r="Z131" i="20"/>
  <c r="Z132" i="20" s="1"/>
  <c r="AA129" i="20"/>
  <c r="AA140" i="20"/>
  <c r="AA152" i="20"/>
  <c r="Z142" i="20"/>
  <c r="Z143" i="20" s="1"/>
  <c r="AA130" i="20"/>
  <c r="Z109" i="20"/>
  <c r="Z110" i="20" s="1"/>
  <c r="AA119" i="20"/>
  <c r="AA108" i="20"/>
  <c r="Z120" i="20"/>
  <c r="Z121" i="20" s="1"/>
  <c r="Z153" i="20"/>
  <c r="Z154" i="20" s="1"/>
  <c r="AA107" i="20"/>
  <c r="AA118" i="20"/>
  <c r="AA63" i="20"/>
  <c r="AA96" i="20"/>
  <c r="AA74" i="20"/>
  <c r="AA141" i="20"/>
  <c r="Z87" i="20"/>
  <c r="Z88" i="20" s="1"/>
  <c r="Z98" i="20"/>
  <c r="Z99" i="20" s="1"/>
  <c r="AA85" i="20"/>
  <c r="AA97" i="20"/>
  <c r="AA86" i="20"/>
  <c r="Z76" i="20"/>
  <c r="Z77" i="20" s="1"/>
  <c r="AA75" i="20"/>
  <c r="Z54" i="20"/>
  <c r="Z55" i="20" s="1"/>
  <c r="AA52" i="20"/>
  <c r="AA64" i="20"/>
  <c r="AA53" i="20"/>
  <c r="Z65" i="20"/>
  <c r="Z66" i="20" s="1"/>
  <c r="Y165" i="19"/>
  <c r="AA45" i="19"/>
  <c r="AA46" i="19" s="1"/>
  <c r="AB7" i="19"/>
  <c r="Z175" i="19"/>
  <c r="Z162" i="19"/>
  <c r="Z141" i="19"/>
  <c r="Z173" i="19"/>
  <c r="Z163" i="19"/>
  <c r="Z174" i="19"/>
  <c r="Z164" i="19"/>
  <c r="Z151" i="19"/>
  <c r="Y142" i="19"/>
  <c r="Y143" i="19" s="1"/>
  <c r="Z140" i="19"/>
  <c r="Y153" i="19"/>
  <c r="Y154" i="19" s="1"/>
  <c r="Z152" i="19"/>
  <c r="Y131" i="19"/>
  <c r="Y132" i="19" s="1"/>
  <c r="Z130" i="19"/>
  <c r="Z129" i="19"/>
  <c r="Y120" i="19"/>
  <c r="Y121" i="19" s="1"/>
  <c r="Z119" i="19"/>
  <c r="Z96" i="19"/>
  <c r="Z107" i="19"/>
  <c r="Y87" i="19"/>
  <c r="Y88" i="19" s="1"/>
  <c r="Z108" i="19"/>
  <c r="Z118" i="19"/>
  <c r="Y98" i="19"/>
  <c r="Y99" i="19" s="1"/>
  <c r="Z86" i="19"/>
  <c r="Y76" i="19"/>
  <c r="Y77" i="19" s="1"/>
  <c r="Z97" i="19"/>
  <c r="Z74" i="19"/>
  <c r="Y109" i="19"/>
  <c r="Y110" i="19" s="1"/>
  <c r="Z85" i="19"/>
  <c r="Y54" i="19"/>
  <c r="Y55" i="19" s="1"/>
  <c r="Z63" i="19"/>
  <c r="Z53" i="19"/>
  <c r="Y65" i="19"/>
  <c r="Y66" i="19" s="1"/>
  <c r="Z75" i="19"/>
  <c r="Z52" i="19"/>
  <c r="Z64" i="19"/>
  <c r="Z176" i="16"/>
  <c r="Z165" i="16"/>
  <c r="AA175" i="16"/>
  <c r="AA162" i="16"/>
  <c r="AA141" i="16"/>
  <c r="AA173" i="16"/>
  <c r="AA163" i="16"/>
  <c r="AA174" i="16"/>
  <c r="Z153" i="16"/>
  <c r="Z154" i="16" s="1"/>
  <c r="AA140" i="16"/>
  <c r="Z120" i="16"/>
  <c r="Z121" i="16" s="1"/>
  <c r="Z131" i="16"/>
  <c r="Z132" i="16" s="1"/>
  <c r="AA151" i="16"/>
  <c r="Z142" i="16"/>
  <c r="Z143" i="16" s="1"/>
  <c r="AA164" i="16"/>
  <c r="AA119" i="16"/>
  <c r="AA118" i="16"/>
  <c r="AA97" i="16"/>
  <c r="AA130" i="16"/>
  <c r="AA108" i="16"/>
  <c r="AA129" i="16"/>
  <c r="Z98" i="16"/>
  <c r="Z99" i="16" s="1"/>
  <c r="AA152" i="16"/>
  <c r="Z76" i="16"/>
  <c r="Z77" i="16" s="1"/>
  <c r="AA86" i="16"/>
  <c r="AA63" i="16"/>
  <c r="Z109" i="16"/>
  <c r="Z110" i="16" s="1"/>
  <c r="AA107" i="16"/>
  <c r="AA85" i="16"/>
  <c r="AA74" i="16"/>
  <c r="AA75" i="16"/>
  <c r="Z54" i="16"/>
  <c r="Z55" i="16" s="1"/>
  <c r="AA64" i="16"/>
  <c r="AA96" i="16"/>
  <c r="AA52" i="16"/>
  <c r="AA53" i="16"/>
  <c r="Z87" i="16"/>
  <c r="Z88" i="16" s="1"/>
  <c r="Z65" i="16"/>
  <c r="Z66" i="16" s="1"/>
  <c r="AC7" i="16"/>
  <c r="AB45" i="16"/>
  <c r="AB46" i="16" s="1"/>
  <c r="Y176" i="15"/>
  <c r="Y165" i="15"/>
  <c r="AA45" i="15"/>
  <c r="AA46" i="15" s="1"/>
  <c r="AB7" i="15"/>
  <c r="Z175" i="15"/>
  <c r="Z162" i="15"/>
  <c r="Z141" i="15"/>
  <c r="Z173" i="15"/>
  <c r="Z163" i="15"/>
  <c r="Z174" i="15"/>
  <c r="Y153" i="15"/>
  <c r="Y154" i="15" s="1"/>
  <c r="Z151" i="15"/>
  <c r="Y131" i="15"/>
  <c r="Y132" i="15" s="1"/>
  <c r="Z164" i="15"/>
  <c r="Z129" i="15"/>
  <c r="Z140" i="15"/>
  <c r="Z152" i="15"/>
  <c r="Y142" i="15"/>
  <c r="Y143" i="15" s="1"/>
  <c r="Z119" i="15"/>
  <c r="Y98" i="15"/>
  <c r="Y99" i="15" s="1"/>
  <c r="Z96" i="15"/>
  <c r="Z130" i="15"/>
  <c r="Y120" i="15"/>
  <c r="Y121" i="15" s="1"/>
  <c r="Z97" i="15"/>
  <c r="Y109" i="15"/>
  <c r="Y110" i="15" s="1"/>
  <c r="Z74" i="15"/>
  <c r="Z63" i="15"/>
  <c r="Z108" i="15"/>
  <c r="Y87" i="15"/>
  <c r="Y88" i="15" s="1"/>
  <c r="Z86" i="15"/>
  <c r="Z118" i="15"/>
  <c r="Z75" i="15"/>
  <c r="Z107" i="15"/>
  <c r="Y76" i="15"/>
  <c r="Y77" i="15" s="1"/>
  <c r="Z64" i="15"/>
  <c r="Z53" i="15"/>
  <c r="Y65" i="15"/>
  <c r="Y66" i="15" s="1"/>
  <c r="Y54" i="15"/>
  <c r="Y55" i="15" s="1"/>
  <c r="Z85" i="15"/>
  <c r="Z52" i="15"/>
  <c r="Y176" i="14"/>
  <c r="Y165" i="14"/>
  <c r="AA45" i="14"/>
  <c r="AA46" i="14" s="1"/>
  <c r="AB7" i="14"/>
  <c r="Z175" i="14"/>
  <c r="Z162" i="14"/>
  <c r="Z173" i="14"/>
  <c r="Z163" i="14"/>
  <c r="Z174" i="14"/>
  <c r="Z140" i="14"/>
  <c r="Z151" i="14"/>
  <c r="Z129" i="14"/>
  <c r="Z164" i="14"/>
  <c r="Y153" i="14"/>
  <c r="Y154" i="14" s="1"/>
  <c r="Z141" i="14"/>
  <c r="Z119" i="14"/>
  <c r="Y98" i="14"/>
  <c r="Y99" i="14" s="1"/>
  <c r="Z75" i="14"/>
  <c r="Y131" i="14"/>
  <c r="Y132" i="14" s="1"/>
  <c r="Y109" i="14"/>
  <c r="Y110" i="14" s="1"/>
  <c r="Z130" i="14"/>
  <c r="Z118" i="14"/>
  <c r="Z152" i="14"/>
  <c r="Z108" i="14"/>
  <c r="Y120" i="14"/>
  <c r="Y121" i="14" s="1"/>
  <c r="Y87" i="14"/>
  <c r="Y88" i="14" s="1"/>
  <c r="Z86" i="14"/>
  <c r="Z96" i="14"/>
  <c r="Y65" i="14"/>
  <c r="Y66" i="14" s="1"/>
  <c r="Y142" i="14"/>
  <c r="Y143" i="14" s="1"/>
  <c r="Z85" i="14"/>
  <c r="Z63" i="14"/>
  <c r="Z97" i="14"/>
  <c r="Y76" i="14"/>
  <c r="Y77" i="14" s="1"/>
  <c r="Z74" i="14"/>
  <c r="Z107" i="14"/>
  <c r="Z53" i="14"/>
  <c r="Z52" i="14"/>
  <c r="Y54" i="14"/>
  <c r="Y55" i="14" s="1"/>
  <c r="Z64" i="14"/>
  <c r="Q173" i="1"/>
  <c r="Q162" i="1"/>
  <c r="Q174" i="1"/>
  <c r="Q163" i="1"/>
  <c r="Q175" i="1"/>
  <c r="Q164" i="1"/>
  <c r="P165" i="1"/>
  <c r="P176" i="1"/>
  <c r="P54" i="1"/>
  <c r="P55" i="1" s="1"/>
  <c r="Q64" i="1"/>
  <c r="Q52" i="1"/>
  <c r="Q53" i="1"/>
  <c r="Q63" i="1"/>
  <c r="Q74" i="1"/>
  <c r="P65" i="1"/>
  <c r="P66" i="1" s="1"/>
  <c r="P109" i="1"/>
  <c r="P110" i="1" s="1"/>
  <c r="Q118" i="1"/>
  <c r="Q130" i="1"/>
  <c r="P153" i="1"/>
  <c r="P154" i="1" s="1"/>
  <c r="Q86" i="1"/>
  <c r="Q97" i="1"/>
  <c r="P120" i="1"/>
  <c r="P121" i="1" s="1"/>
  <c r="Q129" i="1"/>
  <c r="Q141" i="1"/>
  <c r="Q85" i="1"/>
  <c r="Q96" i="1"/>
  <c r="Q108" i="1"/>
  <c r="P131" i="1"/>
  <c r="P132" i="1" s="1"/>
  <c r="Q140" i="1"/>
  <c r="Q152" i="1"/>
  <c r="Q75" i="1"/>
  <c r="P76" i="1"/>
  <c r="P77" i="1" s="1"/>
  <c r="P87" i="1"/>
  <c r="P88" i="1" s="1"/>
  <c r="P98" i="1"/>
  <c r="P99" i="1" s="1"/>
  <c r="Q107" i="1"/>
  <c r="Q119" i="1"/>
  <c r="P142" i="1"/>
  <c r="P143" i="1" s="1"/>
  <c r="Q151" i="1"/>
  <c r="S7" i="1"/>
  <c r="R45" i="1"/>
  <c r="Y176" i="17" l="1"/>
  <c r="Y165" i="17"/>
  <c r="Z163" i="17"/>
  <c r="Z119" i="17"/>
  <c r="Z85" i="17"/>
  <c r="Z53" i="17"/>
  <c r="Z174" i="17"/>
  <c r="Y131" i="17"/>
  <c r="Y132" i="17" s="1"/>
  <c r="Y65" i="17"/>
  <c r="Y66" i="17" s="1"/>
  <c r="Z162" i="17"/>
  <c r="Z140" i="17"/>
  <c r="Z141" i="17"/>
  <c r="Y109" i="17"/>
  <c r="Y110" i="17" s="1"/>
  <c r="Y153" i="17"/>
  <c r="Y154" i="17" s="1"/>
  <c r="Z86" i="17"/>
  <c r="Y76" i="17"/>
  <c r="Y77" i="17" s="1"/>
  <c r="Z152" i="17"/>
  <c r="Y120" i="17"/>
  <c r="Y121" i="17" s="1"/>
  <c r="Z107" i="17"/>
  <c r="Z151" i="17"/>
  <c r="Z97" i="17"/>
  <c r="Y87" i="17"/>
  <c r="Y88" i="17" s="1"/>
  <c r="Z164" i="17"/>
  <c r="Z63" i="17"/>
  <c r="Z75" i="17"/>
  <c r="Y142" i="17"/>
  <c r="Y143" i="17" s="1"/>
  <c r="Z96" i="17"/>
  <c r="Y98" i="17"/>
  <c r="Y99" i="17" s="1"/>
  <c r="Z118" i="17"/>
  <c r="Z74" i="17"/>
  <c r="Y54" i="17"/>
  <c r="Y55" i="17" s="1"/>
  <c r="Z130" i="17"/>
  <c r="Z175" i="17"/>
  <c r="Z108" i="17"/>
  <c r="Z64" i="17"/>
  <c r="Z173" i="17"/>
  <c r="Z129" i="17"/>
  <c r="Z52" i="17"/>
  <c r="AB7" i="17"/>
  <c r="AA45" i="17"/>
  <c r="AA46" i="17" s="1"/>
  <c r="Y176" i="18"/>
  <c r="Y165" i="18"/>
  <c r="AA45" i="18"/>
  <c r="AA46" i="18" s="1"/>
  <c r="AB7" i="18"/>
  <c r="Z175" i="18"/>
  <c r="Z164" i="18"/>
  <c r="Z86" i="18"/>
  <c r="Z162" i="18"/>
  <c r="Z140" i="18"/>
  <c r="Z107" i="18"/>
  <c r="Z173" i="18"/>
  <c r="Y131" i="18"/>
  <c r="Y132" i="18" s="1"/>
  <c r="Y76" i="18"/>
  <c r="Y77" i="18" s="1"/>
  <c r="Z152" i="18"/>
  <c r="Z108" i="18"/>
  <c r="Z75" i="18"/>
  <c r="Y65" i="18"/>
  <c r="Y66" i="18" s="1"/>
  <c r="Z163" i="18"/>
  <c r="Y87" i="18"/>
  <c r="Y88" i="18" s="1"/>
  <c r="Z74" i="18"/>
  <c r="Y109" i="18"/>
  <c r="Y110" i="18" s="1"/>
  <c r="Z174" i="18"/>
  <c r="Y120" i="18"/>
  <c r="Y121" i="18" s="1"/>
  <c r="Z53" i="18"/>
  <c r="Y153" i="18"/>
  <c r="Y154" i="18" s="1"/>
  <c r="Y98" i="18"/>
  <c r="Y99" i="18" s="1"/>
  <c r="Z52" i="18"/>
  <c r="Y142" i="18"/>
  <c r="Y143" i="18" s="1"/>
  <c r="Z119" i="18"/>
  <c r="Y54" i="18"/>
  <c r="Y55" i="18" s="1"/>
  <c r="Z130" i="18"/>
  <c r="Z129" i="18"/>
  <c r="Z63" i="18"/>
  <c r="Z151" i="18"/>
  <c r="Z118" i="18"/>
  <c r="Z85" i="18"/>
  <c r="Z141" i="18"/>
  <c r="Z97" i="18"/>
  <c r="Z64" i="18"/>
  <c r="Z96" i="18"/>
  <c r="Y165" i="24"/>
  <c r="Y176" i="24"/>
  <c r="Z173" i="24"/>
  <c r="Z119" i="24"/>
  <c r="Z85" i="24"/>
  <c r="Z175" i="24"/>
  <c r="Z152" i="24"/>
  <c r="Y142" i="24"/>
  <c r="Y143" i="24" s="1"/>
  <c r="Z74" i="24"/>
  <c r="Z141" i="24"/>
  <c r="Z163" i="24"/>
  <c r="Z130" i="24"/>
  <c r="Z63" i="24"/>
  <c r="Z174" i="24"/>
  <c r="Z96" i="24"/>
  <c r="Z53" i="24"/>
  <c r="Z140" i="24"/>
  <c r="Y109" i="24"/>
  <c r="Y110" i="24" s="1"/>
  <c r="Z86" i="24"/>
  <c r="Y120" i="24"/>
  <c r="Y121" i="24" s="1"/>
  <c r="Y98" i="24"/>
  <c r="Y99" i="24" s="1"/>
  <c r="Y76" i="24"/>
  <c r="Y77" i="24" s="1"/>
  <c r="Z164" i="24"/>
  <c r="Z118" i="24"/>
  <c r="Y87" i="24"/>
  <c r="Y88" i="24" s="1"/>
  <c r="Z75" i="24"/>
  <c r="Z129" i="24"/>
  <c r="Y65" i="24"/>
  <c r="Y66" i="24" s="1"/>
  <c r="Z162" i="24"/>
  <c r="Y153" i="24"/>
  <c r="Y154" i="24" s="1"/>
  <c r="Z108" i="24"/>
  <c r="Z64" i="24"/>
  <c r="Z52" i="24"/>
  <c r="Y131" i="24"/>
  <c r="Y132" i="24" s="1"/>
  <c r="Z97" i="24"/>
  <c r="Y54" i="24"/>
  <c r="Y55" i="24" s="1"/>
  <c r="Z151" i="24"/>
  <c r="Z107" i="24"/>
  <c r="AB7" i="24"/>
  <c r="AA45" i="24"/>
  <c r="AA46" i="24" s="1"/>
  <c r="Z176" i="23"/>
  <c r="Z165" i="23"/>
  <c r="AC7" i="23"/>
  <c r="AB45" i="23"/>
  <c r="AB46" i="23" s="1"/>
  <c r="AA175" i="23"/>
  <c r="AA162" i="23"/>
  <c r="AA141" i="23"/>
  <c r="AA173" i="23"/>
  <c r="AA163" i="23"/>
  <c r="AA174" i="23"/>
  <c r="Z153" i="23"/>
  <c r="Z154" i="23" s="1"/>
  <c r="AA164" i="23"/>
  <c r="AA130" i="23"/>
  <c r="AA152" i="23"/>
  <c r="AA151" i="23"/>
  <c r="Z142" i="23"/>
  <c r="Z143" i="23" s="1"/>
  <c r="Z131" i="23"/>
  <c r="Z132" i="23" s="1"/>
  <c r="AA119" i="23"/>
  <c r="Z98" i="23"/>
  <c r="Z99" i="23" s="1"/>
  <c r="AA118" i="23"/>
  <c r="Z109" i="23"/>
  <c r="Z110" i="23" s="1"/>
  <c r="AA140" i="23"/>
  <c r="AA129" i="23"/>
  <c r="AA86" i="23"/>
  <c r="Z76" i="23"/>
  <c r="Z77" i="23" s="1"/>
  <c r="AA108" i="23"/>
  <c r="AA107" i="23"/>
  <c r="Z87" i="23"/>
  <c r="Z88" i="23" s="1"/>
  <c r="Z120" i="23"/>
  <c r="Z121" i="23" s="1"/>
  <c r="AA97" i="23"/>
  <c r="AA96" i="23"/>
  <c r="Z54" i="23"/>
  <c r="Z55" i="23" s="1"/>
  <c r="AA85" i="23"/>
  <c r="AA53" i="23"/>
  <c r="AA74" i="23"/>
  <c r="AA63" i="23"/>
  <c r="AA75" i="23"/>
  <c r="Z65" i="23"/>
  <c r="Z66" i="23" s="1"/>
  <c r="AA52" i="23"/>
  <c r="AA64" i="23"/>
  <c r="Z176" i="22"/>
  <c r="Z165" i="22"/>
  <c r="AB45" i="22"/>
  <c r="AB46" i="22" s="1"/>
  <c r="AC7" i="22"/>
  <c r="AA175" i="22"/>
  <c r="AA162" i="22"/>
  <c r="AA141" i="22"/>
  <c r="AA173" i="22"/>
  <c r="AA163" i="22"/>
  <c r="AA174" i="22"/>
  <c r="Z153" i="22"/>
  <c r="Z154" i="22" s="1"/>
  <c r="AA152" i="22"/>
  <c r="AA151" i="22"/>
  <c r="Z142" i="22"/>
  <c r="Z143" i="22" s="1"/>
  <c r="AA164" i="22"/>
  <c r="AA140" i="22"/>
  <c r="AA119" i="22"/>
  <c r="AA108" i="22"/>
  <c r="Z120" i="22"/>
  <c r="Z121" i="22" s="1"/>
  <c r="AA118" i="22"/>
  <c r="AA130" i="22"/>
  <c r="AA129" i="22"/>
  <c r="Z109" i="22"/>
  <c r="Z110" i="22" s="1"/>
  <c r="AA97" i="22"/>
  <c r="AA75" i="22"/>
  <c r="AA86" i="22"/>
  <c r="AA96" i="22"/>
  <c r="AA107" i="22"/>
  <c r="Z76" i="22"/>
  <c r="Z77" i="22" s="1"/>
  <c r="Z131" i="22"/>
  <c r="Z132" i="22" s="1"/>
  <c r="Z98" i="22"/>
  <c r="Z99" i="22" s="1"/>
  <c r="Z87" i="22"/>
  <c r="Z88" i="22" s="1"/>
  <c r="AA64" i="22"/>
  <c r="AA53" i="22"/>
  <c r="AA52" i="22"/>
  <c r="AA85" i="22"/>
  <c r="AA74" i="22"/>
  <c r="Z54" i="22"/>
  <c r="Z55" i="22" s="1"/>
  <c r="AA63" i="22"/>
  <c r="Z65" i="22"/>
  <c r="Z66" i="22" s="1"/>
  <c r="AA175" i="21"/>
  <c r="AA162" i="21"/>
  <c r="AA173" i="21"/>
  <c r="AA152" i="21"/>
  <c r="AA163" i="21"/>
  <c r="AA174" i="21"/>
  <c r="Z142" i="21"/>
  <c r="Z143" i="21" s="1"/>
  <c r="Z153" i="21"/>
  <c r="Z154" i="21" s="1"/>
  <c r="AA164" i="21"/>
  <c r="AA151" i="21"/>
  <c r="AA130" i="21"/>
  <c r="AA107" i="21"/>
  <c r="AA141" i="21"/>
  <c r="Z120" i="21"/>
  <c r="Z121" i="21" s="1"/>
  <c r="Z131" i="21"/>
  <c r="Z132" i="21" s="1"/>
  <c r="AA129" i="21"/>
  <c r="AA140" i="21"/>
  <c r="Z109" i="21"/>
  <c r="Z110" i="21" s="1"/>
  <c r="AA108" i="21"/>
  <c r="AA97" i="21"/>
  <c r="AA118" i="21"/>
  <c r="AA96" i="21"/>
  <c r="AA119" i="21"/>
  <c r="Z87" i="21"/>
  <c r="Z88" i="21" s="1"/>
  <c r="AA64" i="21"/>
  <c r="AA75" i="21"/>
  <c r="Z98" i="21"/>
  <c r="Z76" i="21"/>
  <c r="Z77" i="21" s="1"/>
  <c r="AA86" i="21"/>
  <c r="AA85" i="21"/>
  <c r="AA63" i="21"/>
  <c r="Z54" i="21"/>
  <c r="Z55" i="21" s="1"/>
  <c r="AA74" i="21"/>
  <c r="AA52" i="21"/>
  <c r="AA53" i="21"/>
  <c r="Z65" i="21"/>
  <c r="Z66" i="21" s="1"/>
  <c r="Z176" i="21"/>
  <c r="Z165" i="21"/>
  <c r="Z99" i="21"/>
  <c r="AB45" i="21"/>
  <c r="AB46" i="21" s="1"/>
  <c r="AC7" i="21"/>
  <c r="Z165" i="19"/>
  <c r="AD7" i="20"/>
  <c r="AC45" i="20"/>
  <c r="AC46" i="20" s="1"/>
  <c r="AA176" i="20"/>
  <c r="AA165" i="20"/>
  <c r="AB173" i="20"/>
  <c r="AB152" i="20"/>
  <c r="AB163" i="20"/>
  <c r="AB174" i="20"/>
  <c r="AA153" i="20"/>
  <c r="AA154" i="20" s="1"/>
  <c r="AB164" i="20"/>
  <c r="AA131" i="20"/>
  <c r="AA132" i="20" s="1"/>
  <c r="AB129" i="20"/>
  <c r="AB140" i="20"/>
  <c r="AB108" i="20"/>
  <c r="AB119" i="20"/>
  <c r="AA142" i="20"/>
  <c r="AA143" i="20" s="1"/>
  <c r="AB130" i="20"/>
  <c r="AB175" i="20"/>
  <c r="AA109" i="20"/>
  <c r="AA110" i="20" s="1"/>
  <c r="AB162" i="20"/>
  <c r="AB151" i="20"/>
  <c r="AB141" i="20"/>
  <c r="AA120" i="20"/>
  <c r="AA121" i="20" s="1"/>
  <c r="AA98" i="20"/>
  <c r="AA99" i="20" s="1"/>
  <c r="AB75" i="20"/>
  <c r="AB97" i="20"/>
  <c r="AB96" i="20"/>
  <c r="AB118" i="20"/>
  <c r="AB74" i="20"/>
  <c r="AB64" i="20"/>
  <c r="AB53" i="20"/>
  <c r="AA87" i="20"/>
  <c r="AA88" i="20" s="1"/>
  <c r="AB107" i="20"/>
  <c r="AB85" i="20"/>
  <c r="AB86" i="20"/>
  <c r="AA54" i="20"/>
  <c r="AA55" i="20" s="1"/>
  <c r="AB52" i="20"/>
  <c r="AB63" i="20"/>
  <c r="AA65" i="20"/>
  <c r="AA66" i="20" s="1"/>
  <c r="AA76" i="20"/>
  <c r="AA77" i="20" s="1"/>
  <c r="AB45" i="19"/>
  <c r="AB46" i="19" s="1"/>
  <c r="AC7" i="19"/>
  <c r="AA175" i="19"/>
  <c r="AA162" i="19"/>
  <c r="AA173" i="19"/>
  <c r="AA152" i="19"/>
  <c r="AA163" i="19"/>
  <c r="AA174" i="19"/>
  <c r="AA151" i="19"/>
  <c r="Z142" i="19"/>
  <c r="Z143" i="19" s="1"/>
  <c r="AA119" i="19"/>
  <c r="AA141" i="19"/>
  <c r="AA140" i="19"/>
  <c r="AA164" i="19"/>
  <c r="Z153" i="19"/>
  <c r="Z154" i="19" s="1"/>
  <c r="Z120" i="19"/>
  <c r="Z121" i="19" s="1"/>
  <c r="Z131" i="19"/>
  <c r="Z132" i="19" s="1"/>
  <c r="AA108" i="19"/>
  <c r="AA130" i="19"/>
  <c r="AA129" i="19"/>
  <c r="Z109" i="19"/>
  <c r="Z110" i="19" s="1"/>
  <c r="AA118" i="19"/>
  <c r="Z87" i="19"/>
  <c r="Z88" i="19" s="1"/>
  <c r="Z98" i="19"/>
  <c r="Z99" i="19" s="1"/>
  <c r="AA86" i="19"/>
  <c r="Z76" i="19"/>
  <c r="Z77" i="19" s="1"/>
  <c r="AA97" i="19"/>
  <c r="AA74" i="19"/>
  <c r="AA96" i="19"/>
  <c r="AA85" i="19"/>
  <c r="Z65" i="19"/>
  <c r="Z66" i="19" s="1"/>
  <c r="AA75" i="19"/>
  <c r="AA63" i="19"/>
  <c r="AA53" i="19"/>
  <c r="AA52" i="19"/>
  <c r="AA107" i="19"/>
  <c r="AA64" i="19"/>
  <c r="Z54" i="19"/>
  <c r="Z55" i="19" s="1"/>
  <c r="Z176" i="19"/>
  <c r="AA165" i="16"/>
  <c r="AB173" i="16"/>
  <c r="AB152" i="16"/>
  <c r="AB163" i="16"/>
  <c r="AB174" i="16"/>
  <c r="AB164" i="16"/>
  <c r="AB151" i="16"/>
  <c r="AB162" i="16"/>
  <c r="AB140" i="16"/>
  <c r="AB118" i="16"/>
  <c r="AB141" i="16"/>
  <c r="AA131" i="16"/>
  <c r="AA132" i="16" s="1"/>
  <c r="AA153" i="16"/>
  <c r="AA154" i="16" s="1"/>
  <c r="AB175" i="16"/>
  <c r="AA142" i="16"/>
  <c r="AA143" i="16" s="1"/>
  <c r="AB119" i="16"/>
  <c r="AB97" i="16"/>
  <c r="AB130" i="16"/>
  <c r="AB129" i="16"/>
  <c r="AB96" i="16"/>
  <c r="AB86" i="16"/>
  <c r="AB74" i="16"/>
  <c r="AB64" i="16"/>
  <c r="AA120" i="16"/>
  <c r="AA121" i="16" s="1"/>
  <c r="AA109" i="16"/>
  <c r="AA110" i="16" s="1"/>
  <c r="AB107" i="16"/>
  <c r="AA98" i="16"/>
  <c r="AA99" i="16" s="1"/>
  <c r="AA87" i="16"/>
  <c r="AA88" i="16" s="1"/>
  <c r="AA76" i="16"/>
  <c r="AA77" i="16" s="1"/>
  <c r="AB63" i="16"/>
  <c r="AB108" i="16"/>
  <c r="AA65" i="16"/>
  <c r="AA66" i="16" s="1"/>
  <c r="AB75" i="16"/>
  <c r="AB53" i="16"/>
  <c r="AB52" i="16"/>
  <c r="AB85" i="16"/>
  <c r="AA54" i="16"/>
  <c r="AA55" i="16" s="1"/>
  <c r="AA176" i="16"/>
  <c r="AD7" i="16"/>
  <c r="AC45" i="16"/>
  <c r="AC46" i="16" s="1"/>
  <c r="Z165" i="15"/>
  <c r="AB45" i="15"/>
  <c r="AB46" i="15" s="1"/>
  <c r="AC7" i="15"/>
  <c r="AA175" i="15"/>
  <c r="AA162" i="15"/>
  <c r="AA173" i="15"/>
  <c r="AA163" i="15"/>
  <c r="AA174" i="15"/>
  <c r="AA164" i="15"/>
  <c r="AA151" i="15"/>
  <c r="AA141" i="15"/>
  <c r="Z131" i="15"/>
  <c r="Z132" i="15" s="1"/>
  <c r="AA129" i="15"/>
  <c r="AA140" i="15"/>
  <c r="AA152" i="15"/>
  <c r="Z142" i="15"/>
  <c r="Z143" i="15" s="1"/>
  <c r="AA130" i="15"/>
  <c r="Z153" i="15"/>
  <c r="Z154" i="15" s="1"/>
  <c r="AA119" i="15"/>
  <c r="AA96" i="15"/>
  <c r="Z120" i="15"/>
  <c r="Z121" i="15" s="1"/>
  <c r="AA108" i="15"/>
  <c r="AA118" i="15"/>
  <c r="Z76" i="15"/>
  <c r="Z77" i="15" s="1"/>
  <c r="Z109" i="15"/>
  <c r="Z110" i="15" s="1"/>
  <c r="AA63" i="15"/>
  <c r="AA64" i="15"/>
  <c r="AA53" i="15"/>
  <c r="AA52" i="15"/>
  <c r="Z87" i="15"/>
  <c r="Z88" i="15" s="1"/>
  <c r="AA86" i="15"/>
  <c r="AA97" i="15"/>
  <c r="AA107" i="15"/>
  <c r="AA85" i="15"/>
  <c r="Z98" i="15"/>
  <c r="Z99" i="15" s="1"/>
  <c r="Z65" i="15"/>
  <c r="Z66" i="15" s="1"/>
  <c r="AA74" i="15"/>
  <c r="Z54" i="15"/>
  <c r="Z55" i="15" s="1"/>
  <c r="AA75" i="15"/>
  <c r="Z176" i="15"/>
  <c r="AB45" i="14"/>
  <c r="AB46" i="14" s="1"/>
  <c r="AC7" i="14"/>
  <c r="AA175" i="14"/>
  <c r="AA162" i="14"/>
  <c r="AA141" i="14"/>
  <c r="AA173" i="14"/>
  <c r="AA163" i="14"/>
  <c r="AA174" i="14"/>
  <c r="Z153" i="14"/>
  <c r="Z154" i="14" s="1"/>
  <c r="AA164" i="14"/>
  <c r="AA151" i="14"/>
  <c r="Z142" i="14"/>
  <c r="Z143" i="14" s="1"/>
  <c r="AA152" i="14"/>
  <c r="AA119" i="14"/>
  <c r="Z98" i="14"/>
  <c r="Z99" i="14" s="1"/>
  <c r="AA96" i="14"/>
  <c r="Z131" i="14"/>
  <c r="Z132" i="14" s="1"/>
  <c r="AA130" i="14"/>
  <c r="AA129" i="14"/>
  <c r="AA118" i="14"/>
  <c r="AA140" i="14"/>
  <c r="Z120" i="14"/>
  <c r="Z121" i="14" s="1"/>
  <c r="Z87" i="14"/>
  <c r="Z88" i="14" s="1"/>
  <c r="AA86" i="14"/>
  <c r="AA53" i="14"/>
  <c r="AA52" i="14"/>
  <c r="Z109" i="14"/>
  <c r="Z110" i="14" s="1"/>
  <c r="Z65" i="14"/>
  <c r="Z66" i="14" s="1"/>
  <c r="AA85" i="14"/>
  <c r="AA63" i="14"/>
  <c r="AA97" i="14"/>
  <c r="Z76" i="14"/>
  <c r="Z77" i="14" s="1"/>
  <c r="AA75" i="14"/>
  <c r="AA74" i="14"/>
  <c r="AA107" i="14"/>
  <c r="AA108" i="14"/>
  <c r="Z54" i="14"/>
  <c r="Z55" i="14" s="1"/>
  <c r="AA64" i="14"/>
  <c r="Z176" i="14"/>
  <c r="Z165" i="14"/>
  <c r="Q165" i="1"/>
  <c r="Q176" i="1"/>
  <c r="R46" i="1"/>
  <c r="T7" i="1"/>
  <c r="S45" i="1"/>
  <c r="S46" i="1" s="1"/>
  <c r="Z176" i="17" l="1"/>
  <c r="Z165" i="17"/>
  <c r="AA163" i="17"/>
  <c r="AA152" i="17"/>
  <c r="Z54" i="17"/>
  <c r="Z55" i="17" s="1"/>
  <c r="AA174" i="17"/>
  <c r="Z109" i="17"/>
  <c r="Z110" i="17" s="1"/>
  <c r="Z76" i="17"/>
  <c r="Z77" i="17" s="1"/>
  <c r="Z153" i="17"/>
  <c r="Z154" i="17" s="1"/>
  <c r="AA107" i="17"/>
  <c r="Z87" i="17"/>
  <c r="Z88" i="17" s="1"/>
  <c r="AA164" i="17"/>
  <c r="AA119" i="17"/>
  <c r="AA75" i="17"/>
  <c r="AA151" i="17"/>
  <c r="Z98" i="17"/>
  <c r="Z99" i="17" s="1"/>
  <c r="AA63" i="17"/>
  <c r="Z142" i="17"/>
  <c r="Z143" i="17" s="1"/>
  <c r="AA118" i="17"/>
  <c r="AA53" i="17"/>
  <c r="AA141" i="17"/>
  <c r="AA108" i="17"/>
  <c r="AA86" i="17"/>
  <c r="AA130" i="17"/>
  <c r="AA97" i="17"/>
  <c r="Z65" i="17"/>
  <c r="Z66" i="17" s="1"/>
  <c r="AA140" i="17"/>
  <c r="AA96" i="17"/>
  <c r="AA52" i="17"/>
  <c r="AA162" i="17"/>
  <c r="AA175" i="17"/>
  <c r="Z131" i="17"/>
  <c r="Z132" i="17" s="1"/>
  <c r="AA74" i="17"/>
  <c r="Z120" i="17"/>
  <c r="Z121" i="17" s="1"/>
  <c r="AA173" i="17"/>
  <c r="AA129" i="17"/>
  <c r="AA85" i="17"/>
  <c r="AA64" i="17"/>
  <c r="AC7" i="17"/>
  <c r="AB45" i="17"/>
  <c r="AB46" i="17" s="1"/>
  <c r="Z165" i="18"/>
  <c r="Z176" i="18"/>
  <c r="AC7" i="18"/>
  <c r="AB45" i="18"/>
  <c r="AB46" i="18" s="1"/>
  <c r="AA151" i="18"/>
  <c r="Z87" i="18"/>
  <c r="Z88" i="18" s="1"/>
  <c r="Z76" i="18"/>
  <c r="Z77" i="18" s="1"/>
  <c r="Z142" i="18"/>
  <c r="Z143" i="18" s="1"/>
  <c r="AA86" i="18"/>
  <c r="AA74" i="18"/>
  <c r="AA118" i="18"/>
  <c r="AA130" i="18"/>
  <c r="Z109" i="18"/>
  <c r="Z110" i="18" s="1"/>
  <c r="AA53" i="18"/>
  <c r="AA141" i="18"/>
  <c r="AA85" i="18"/>
  <c r="AA52" i="18"/>
  <c r="AA175" i="18"/>
  <c r="AA140" i="18"/>
  <c r="AA75" i="18"/>
  <c r="Z98" i="18"/>
  <c r="Z99" i="18" s="1"/>
  <c r="AA162" i="18"/>
  <c r="AA107" i="18"/>
  <c r="Z65" i="18"/>
  <c r="Z66" i="18" s="1"/>
  <c r="AA173" i="18"/>
  <c r="Z131" i="18"/>
  <c r="Z132" i="18" s="1"/>
  <c r="Z54" i="18"/>
  <c r="Z55" i="18" s="1"/>
  <c r="AA152" i="18"/>
  <c r="AA129" i="18"/>
  <c r="AA97" i="18"/>
  <c r="AA163" i="18"/>
  <c r="Z120" i="18"/>
  <c r="Z121" i="18" s="1"/>
  <c r="AA63" i="18"/>
  <c r="AA174" i="18"/>
  <c r="AA119" i="18"/>
  <c r="AA108" i="18"/>
  <c r="Z153" i="18"/>
  <c r="Z154" i="18" s="1"/>
  <c r="AA96" i="18"/>
  <c r="AA64" i="18"/>
  <c r="AA164" i="18"/>
  <c r="Z165" i="24"/>
  <c r="AA164" i="24"/>
  <c r="Z87" i="24"/>
  <c r="Z88" i="24" s="1"/>
  <c r="AA64" i="24"/>
  <c r="Z109" i="24"/>
  <c r="Z110" i="24" s="1"/>
  <c r="Z76" i="24"/>
  <c r="Z77" i="24" s="1"/>
  <c r="AA118" i="24"/>
  <c r="AA108" i="24"/>
  <c r="AA63" i="24"/>
  <c r="Z131" i="24"/>
  <c r="Z132" i="24" s="1"/>
  <c r="Z120" i="24"/>
  <c r="Z121" i="24" s="1"/>
  <c r="Z54" i="24"/>
  <c r="Z55" i="24" s="1"/>
  <c r="AA74" i="24"/>
  <c r="Z98" i="24"/>
  <c r="Z99" i="24" s="1"/>
  <c r="AA129" i="24"/>
  <c r="AA97" i="24"/>
  <c r="AA53" i="24"/>
  <c r="AA140" i="24"/>
  <c r="AA86" i="24"/>
  <c r="AA52" i="24"/>
  <c r="AA151" i="24"/>
  <c r="AA119" i="24"/>
  <c r="Z65" i="24"/>
  <c r="Z66" i="24" s="1"/>
  <c r="AA175" i="24"/>
  <c r="AA152" i="24"/>
  <c r="AA107" i="24"/>
  <c r="AA163" i="24"/>
  <c r="AA162" i="24"/>
  <c r="Z142" i="24"/>
  <c r="Z143" i="24" s="1"/>
  <c r="AA75" i="24"/>
  <c r="AA173" i="24"/>
  <c r="AA130" i="24"/>
  <c r="AA96" i="24"/>
  <c r="Z153" i="24"/>
  <c r="Z154" i="24" s="1"/>
  <c r="AA174" i="24"/>
  <c r="AA141" i="24"/>
  <c r="AA85" i="24"/>
  <c r="AC7" i="24"/>
  <c r="AB45" i="24"/>
  <c r="AB46" i="24" s="1"/>
  <c r="Z176" i="24"/>
  <c r="AA176" i="23"/>
  <c r="AA165" i="23"/>
  <c r="AB173" i="23"/>
  <c r="AB163" i="23"/>
  <c r="AB174" i="23"/>
  <c r="AB164" i="23"/>
  <c r="AB151" i="23"/>
  <c r="AB152" i="23"/>
  <c r="AB162" i="23"/>
  <c r="AA142" i="23"/>
  <c r="AA143" i="23" s="1"/>
  <c r="AB175" i="23"/>
  <c r="AB141" i="23"/>
  <c r="AA153" i="23"/>
  <c r="AA154" i="23" s="1"/>
  <c r="AB140" i="23"/>
  <c r="AB129" i="23"/>
  <c r="AB118" i="23"/>
  <c r="AB96" i="23"/>
  <c r="AB107" i="23"/>
  <c r="AB130" i="23"/>
  <c r="AA131" i="23"/>
  <c r="AA132" i="23" s="1"/>
  <c r="AA109" i="23"/>
  <c r="AA110" i="23" s="1"/>
  <c r="AB108" i="23"/>
  <c r="AB74" i="23"/>
  <c r="AA87" i="23"/>
  <c r="AA88" i="23" s="1"/>
  <c r="AA120" i="23"/>
  <c r="AA121" i="23" s="1"/>
  <c r="AA98" i="23"/>
  <c r="AA99" i="23" s="1"/>
  <c r="AB97" i="23"/>
  <c r="AB85" i="23"/>
  <c r="AB53" i="23"/>
  <c r="AB63" i="23"/>
  <c r="AB86" i="23"/>
  <c r="AB75" i="23"/>
  <c r="AA76" i="23"/>
  <c r="AA77" i="23" s="1"/>
  <c r="AA65" i="23"/>
  <c r="AA66" i="23" s="1"/>
  <c r="AB52" i="23"/>
  <c r="AB119" i="23"/>
  <c r="AB64" i="23"/>
  <c r="AA54" i="23"/>
  <c r="AA55" i="23" s="1"/>
  <c r="AC45" i="23"/>
  <c r="AC46" i="23" s="1"/>
  <c r="AD7" i="23"/>
  <c r="AA176" i="22"/>
  <c r="AA165" i="22"/>
  <c r="AC45" i="22"/>
  <c r="AC46" i="22" s="1"/>
  <c r="AD7" i="22"/>
  <c r="AB173" i="22"/>
  <c r="AB163" i="22"/>
  <c r="AB174" i="22"/>
  <c r="AB164" i="22"/>
  <c r="AB151" i="22"/>
  <c r="AB152" i="22"/>
  <c r="AA142" i="22"/>
  <c r="AA143" i="22" s="1"/>
  <c r="AB162" i="22"/>
  <c r="AA153" i="22"/>
  <c r="AA154" i="22" s="1"/>
  <c r="AB141" i="22"/>
  <c r="AB140" i="22"/>
  <c r="AB175" i="22"/>
  <c r="AB130" i="22"/>
  <c r="AA120" i="22"/>
  <c r="AA121" i="22" s="1"/>
  <c r="AB119" i="22"/>
  <c r="AB118" i="22"/>
  <c r="AB129" i="22"/>
  <c r="AA131" i="22"/>
  <c r="AA132" i="22" s="1"/>
  <c r="AB86" i="22"/>
  <c r="AA109" i="22"/>
  <c r="AA110" i="22" s="1"/>
  <c r="AB96" i="22"/>
  <c r="AB107" i="22"/>
  <c r="AA76" i="22"/>
  <c r="AA77" i="22" s="1"/>
  <c r="AB74" i="22"/>
  <c r="AA98" i="22"/>
  <c r="AA99" i="22" s="1"/>
  <c r="AA87" i="22"/>
  <c r="AA88" i="22" s="1"/>
  <c r="AB108" i="22"/>
  <c r="AB85" i="22"/>
  <c r="AA54" i="22"/>
  <c r="AA55" i="22" s="1"/>
  <c r="AB64" i="22"/>
  <c r="AB75" i="22"/>
  <c r="AB53" i="22"/>
  <c r="AB63" i="22"/>
  <c r="AB97" i="22"/>
  <c r="AB52" i="22"/>
  <c r="AA65" i="22"/>
  <c r="AA66" i="22" s="1"/>
  <c r="AA176" i="21"/>
  <c r="AC45" i="21"/>
  <c r="AC46" i="21" s="1"/>
  <c r="AD7" i="21"/>
  <c r="AA165" i="21"/>
  <c r="AB173" i="21"/>
  <c r="AB152" i="21"/>
  <c r="AB163" i="21"/>
  <c r="AB174" i="21"/>
  <c r="AA142" i="21"/>
  <c r="AA143" i="21" s="1"/>
  <c r="AA153" i="21"/>
  <c r="AA154" i="21" s="1"/>
  <c r="AB164" i="21"/>
  <c r="AB141" i="21"/>
  <c r="AA120" i="21"/>
  <c r="AA121" i="21" s="1"/>
  <c r="AB118" i="21"/>
  <c r="AA131" i="21"/>
  <c r="AA132" i="21" s="1"/>
  <c r="AB175" i="21"/>
  <c r="AB151" i="21"/>
  <c r="AB140" i="21"/>
  <c r="AB108" i="21"/>
  <c r="AB162" i="21"/>
  <c r="AB119" i="21"/>
  <c r="AB130" i="21"/>
  <c r="AB129" i="21"/>
  <c r="AB107" i="21"/>
  <c r="AB96" i="21"/>
  <c r="AB86" i="21"/>
  <c r="AB97" i="21"/>
  <c r="AA98" i="21"/>
  <c r="AA99" i="21" s="1"/>
  <c r="AB85" i="21"/>
  <c r="AB74" i="21"/>
  <c r="AA87" i="21"/>
  <c r="AA88" i="21" s="1"/>
  <c r="AB63" i="21"/>
  <c r="AA76" i="21"/>
  <c r="AA77" i="21" s="1"/>
  <c r="AA65" i="21"/>
  <c r="AA66" i="21" s="1"/>
  <c r="AA109" i="21"/>
  <c r="AA110" i="21" s="1"/>
  <c r="AB64" i="21"/>
  <c r="AB52" i="21"/>
  <c r="AB53" i="21"/>
  <c r="AA54" i="21"/>
  <c r="AA55" i="21" s="1"/>
  <c r="AB75" i="21"/>
  <c r="AA176" i="19"/>
  <c r="AC173" i="20"/>
  <c r="AC163" i="20"/>
  <c r="AC174" i="20"/>
  <c r="AC164" i="20"/>
  <c r="AC151" i="20"/>
  <c r="AC175" i="20"/>
  <c r="AC162" i="20"/>
  <c r="AC129" i="20"/>
  <c r="AC140" i="20"/>
  <c r="AC152" i="20"/>
  <c r="AB142" i="20"/>
  <c r="AB143" i="20" s="1"/>
  <c r="AC141" i="20"/>
  <c r="AB153" i="20"/>
  <c r="AB154" i="20" s="1"/>
  <c r="AC118" i="20"/>
  <c r="AC119" i="20"/>
  <c r="AB131" i="20"/>
  <c r="AB132" i="20" s="1"/>
  <c r="AC108" i="20"/>
  <c r="AC97" i="20"/>
  <c r="AB120" i="20"/>
  <c r="AB121" i="20" s="1"/>
  <c r="AC86" i="20"/>
  <c r="AC107" i="20"/>
  <c r="AB87" i="20"/>
  <c r="AB88" i="20" s="1"/>
  <c r="AC96" i="20"/>
  <c r="AB54" i="20"/>
  <c r="AB55" i="20" s="1"/>
  <c r="AC130" i="20"/>
  <c r="AC85" i="20"/>
  <c r="AB109" i="20"/>
  <c r="AB110" i="20" s="1"/>
  <c r="AB98" i="20"/>
  <c r="AB99" i="20" s="1"/>
  <c r="AC63" i="20"/>
  <c r="AC75" i="20"/>
  <c r="AC74" i="20"/>
  <c r="AC52" i="20"/>
  <c r="AC64" i="20"/>
  <c r="AB65" i="20"/>
  <c r="AB66" i="20" s="1"/>
  <c r="AC53" i="20"/>
  <c r="AB76" i="20"/>
  <c r="AB77" i="20" s="1"/>
  <c r="AD45" i="20"/>
  <c r="AD46" i="20" s="1"/>
  <c r="AE7" i="20"/>
  <c r="AB165" i="20"/>
  <c r="AB176" i="20"/>
  <c r="AA165" i="19"/>
  <c r="AC45" i="19"/>
  <c r="AC46" i="19" s="1"/>
  <c r="AD7" i="19"/>
  <c r="AB173" i="19"/>
  <c r="AB152" i="19"/>
  <c r="AB163" i="19"/>
  <c r="AB174" i="19"/>
  <c r="AB175" i="19"/>
  <c r="AB162" i="19"/>
  <c r="AA142" i="19"/>
  <c r="AA143" i="19" s="1"/>
  <c r="AB141" i="19"/>
  <c r="AB140" i="19"/>
  <c r="AB164" i="19"/>
  <c r="AA153" i="19"/>
  <c r="AA154" i="19" s="1"/>
  <c r="AB118" i="19"/>
  <c r="AB151" i="19"/>
  <c r="AA131" i="19"/>
  <c r="AA132" i="19" s="1"/>
  <c r="AB108" i="19"/>
  <c r="AB130" i="19"/>
  <c r="AA87" i="19"/>
  <c r="AA88" i="19" s="1"/>
  <c r="AB129" i="19"/>
  <c r="AA120" i="19"/>
  <c r="AA121" i="19" s="1"/>
  <c r="AB119" i="19"/>
  <c r="AB107" i="19"/>
  <c r="AA98" i="19"/>
  <c r="AA99" i="19" s="1"/>
  <c r="AB86" i="19"/>
  <c r="AA76" i="19"/>
  <c r="AA77" i="19" s="1"/>
  <c r="AB97" i="19"/>
  <c r="AB74" i="19"/>
  <c r="AA109" i="19"/>
  <c r="AA110" i="19" s="1"/>
  <c r="AB96" i="19"/>
  <c r="AB85" i="19"/>
  <c r="AB75" i="19"/>
  <c r="AB63" i="19"/>
  <c r="AB53" i="19"/>
  <c r="AA65" i="19"/>
  <c r="AA66" i="19" s="1"/>
  <c r="AB52" i="19"/>
  <c r="AB64" i="19"/>
  <c r="AA54" i="19"/>
  <c r="AA55" i="19" s="1"/>
  <c r="AC173" i="16"/>
  <c r="AC152" i="16"/>
  <c r="AC163" i="16"/>
  <c r="AC174" i="16"/>
  <c r="AC175" i="16"/>
  <c r="AC162" i="16"/>
  <c r="AC140" i="16"/>
  <c r="AC141" i="16"/>
  <c r="AB131" i="16"/>
  <c r="AB132" i="16" s="1"/>
  <c r="AC129" i="16"/>
  <c r="AB153" i="16"/>
  <c r="AB154" i="16" s="1"/>
  <c r="AC151" i="16"/>
  <c r="AB142" i="16"/>
  <c r="AB143" i="16" s="1"/>
  <c r="AC164" i="16"/>
  <c r="AC130" i="16"/>
  <c r="AC118" i="16"/>
  <c r="AC108" i="16"/>
  <c r="AB109" i="16"/>
  <c r="AB110" i="16" s="1"/>
  <c r="AC119" i="16"/>
  <c r="AC86" i="16"/>
  <c r="AC97" i="16"/>
  <c r="AC85" i="16"/>
  <c r="AB120" i="16"/>
  <c r="AB121" i="16" s="1"/>
  <c r="AC107" i="16"/>
  <c r="AB98" i="16"/>
  <c r="AB99" i="16" s="1"/>
  <c r="AB87" i="16"/>
  <c r="AB88" i="16" s="1"/>
  <c r="AC63" i="16"/>
  <c r="AB65" i="16"/>
  <c r="AB66" i="16" s="1"/>
  <c r="AC74" i="16"/>
  <c r="AC75" i="16"/>
  <c r="AC96" i="16"/>
  <c r="AC64" i="16"/>
  <c r="AB54" i="16"/>
  <c r="AB55" i="16" s="1"/>
  <c r="AC52" i="16"/>
  <c r="AC53" i="16"/>
  <c r="AB76" i="16"/>
  <c r="AB77" i="16" s="1"/>
  <c r="AB176" i="16"/>
  <c r="AD45" i="16"/>
  <c r="AD46" i="16" s="1"/>
  <c r="AE7" i="16"/>
  <c r="AB165" i="16"/>
  <c r="AA176" i="15"/>
  <c r="AA165" i="15"/>
  <c r="AC45" i="15"/>
  <c r="AC46" i="15" s="1"/>
  <c r="AD7" i="15"/>
  <c r="AB173" i="15"/>
  <c r="AB152" i="15"/>
  <c r="AB163" i="15"/>
  <c r="AB174" i="15"/>
  <c r="AA153" i="15"/>
  <c r="AA154" i="15" s="1"/>
  <c r="AB164" i="15"/>
  <c r="AB151" i="15"/>
  <c r="AB140" i="15"/>
  <c r="AB175" i="15"/>
  <c r="AA142" i="15"/>
  <c r="AA143" i="15" s="1"/>
  <c r="AB162" i="15"/>
  <c r="AB119" i="15"/>
  <c r="AB130" i="15"/>
  <c r="AA109" i="15"/>
  <c r="AA110" i="15" s="1"/>
  <c r="AB107" i="15"/>
  <c r="AB86" i="15"/>
  <c r="AA120" i="15"/>
  <c r="AA121" i="15" s="1"/>
  <c r="AB108" i="15"/>
  <c r="AB118" i="15"/>
  <c r="AB141" i="15"/>
  <c r="AA131" i="15"/>
  <c r="AA132" i="15" s="1"/>
  <c r="AB96" i="15"/>
  <c r="AB64" i="15"/>
  <c r="AA87" i="15"/>
  <c r="AA88" i="15" s="1"/>
  <c r="AA54" i="15"/>
  <c r="AA55" i="15" s="1"/>
  <c r="AB129" i="15"/>
  <c r="AB97" i="15"/>
  <c r="AB85" i="15"/>
  <c r="AA98" i="15"/>
  <c r="AA99" i="15" s="1"/>
  <c r="AA65" i="15"/>
  <c r="AA66" i="15" s="1"/>
  <c r="AB53" i="15"/>
  <c r="AB74" i="15"/>
  <c r="AB75" i="15"/>
  <c r="AB52" i="15"/>
  <c r="AB63" i="15"/>
  <c r="AA76" i="15"/>
  <c r="AA77" i="15" s="1"/>
  <c r="AA176" i="14"/>
  <c r="AA165" i="14"/>
  <c r="AC45" i="14"/>
  <c r="AC46" i="14" s="1"/>
  <c r="AD7" i="14"/>
  <c r="AB173" i="14"/>
  <c r="AB163" i="14"/>
  <c r="AB174" i="14"/>
  <c r="AB164" i="14"/>
  <c r="AB151" i="14"/>
  <c r="AA142" i="14"/>
  <c r="AA143" i="14" s="1"/>
  <c r="AB141" i="14"/>
  <c r="AB175" i="14"/>
  <c r="AB162" i="14"/>
  <c r="AA153" i="14"/>
  <c r="AA154" i="14" s="1"/>
  <c r="AB152" i="14"/>
  <c r="AB96" i="14"/>
  <c r="AA131" i="14"/>
  <c r="AA132" i="14" s="1"/>
  <c r="AA109" i="14"/>
  <c r="AA110" i="14" s="1"/>
  <c r="AB130" i="14"/>
  <c r="AB129" i="14"/>
  <c r="AB118" i="14"/>
  <c r="AB140" i="14"/>
  <c r="AA120" i="14"/>
  <c r="AA121" i="14" s="1"/>
  <c r="AB85" i="14"/>
  <c r="AB119" i="14"/>
  <c r="AA87" i="14"/>
  <c r="AA88" i="14" s="1"/>
  <c r="AB86" i="14"/>
  <c r="AB53" i="14"/>
  <c r="AB52" i="14"/>
  <c r="AA65" i="14"/>
  <c r="AA66" i="14" s="1"/>
  <c r="AA54" i="14"/>
  <c r="AA55" i="14" s="1"/>
  <c r="AB63" i="14"/>
  <c r="AB97" i="14"/>
  <c r="AA76" i="14"/>
  <c r="AA77" i="14" s="1"/>
  <c r="AB75" i="14"/>
  <c r="AA98" i="14"/>
  <c r="AA99" i="14" s="1"/>
  <c r="AB74" i="14"/>
  <c r="AB107" i="14"/>
  <c r="AB108" i="14"/>
  <c r="AB64" i="14"/>
  <c r="G174" i="1"/>
  <c r="G173" i="1"/>
  <c r="G175" i="1"/>
  <c r="R64" i="1"/>
  <c r="S164" i="1"/>
  <c r="S162" i="1"/>
  <c r="S173" i="1"/>
  <c r="S174" i="1"/>
  <c r="S175" i="1"/>
  <c r="S163" i="1"/>
  <c r="R52" i="1"/>
  <c r="R118" i="1"/>
  <c r="R152" i="1"/>
  <c r="R140" i="1"/>
  <c r="R119" i="1"/>
  <c r="R96" i="1"/>
  <c r="R141" i="1"/>
  <c r="R130" i="1"/>
  <c r="R151" i="1"/>
  <c r="Q98" i="1"/>
  <c r="Q99" i="1" s="1"/>
  <c r="Q109" i="1"/>
  <c r="Q110" i="1" s="1"/>
  <c r="Q54" i="1"/>
  <c r="Q55" i="1" s="1"/>
  <c r="Q131" i="1"/>
  <c r="Q132" i="1" s="1"/>
  <c r="Q142" i="1"/>
  <c r="Q143" i="1" s="1"/>
  <c r="Q76" i="1"/>
  <c r="Q77" i="1" s="1"/>
  <c r="R129" i="1"/>
  <c r="R75" i="1"/>
  <c r="R162" i="1"/>
  <c r="R173" i="1"/>
  <c r="R174" i="1"/>
  <c r="R175" i="1"/>
  <c r="R163" i="1"/>
  <c r="R164" i="1"/>
  <c r="R108" i="1"/>
  <c r="R97" i="1"/>
  <c r="Q65" i="1"/>
  <c r="Q66" i="1" s="1"/>
  <c r="R86" i="1"/>
  <c r="R63" i="1"/>
  <c r="Q153" i="1"/>
  <c r="Q154" i="1" s="1"/>
  <c r="R53" i="1"/>
  <c r="R85" i="1"/>
  <c r="R74" i="1"/>
  <c r="R107" i="1"/>
  <c r="AH161" i="1"/>
  <c r="Q120" i="1"/>
  <c r="Q121" i="1" s="1"/>
  <c r="Q87" i="1"/>
  <c r="Q88" i="1" s="1"/>
  <c r="T45" i="1"/>
  <c r="T46" i="1" s="1"/>
  <c r="U7" i="1"/>
  <c r="R65" i="1"/>
  <c r="R54" i="1"/>
  <c r="S64" i="1"/>
  <c r="S52" i="1"/>
  <c r="S53" i="1"/>
  <c r="S63" i="1"/>
  <c r="S74" i="1"/>
  <c r="S85" i="1"/>
  <c r="S96" i="1"/>
  <c r="S108" i="1"/>
  <c r="R131" i="1"/>
  <c r="S140" i="1"/>
  <c r="S152" i="1"/>
  <c r="S75" i="1"/>
  <c r="R76" i="1"/>
  <c r="R87" i="1"/>
  <c r="R98" i="1"/>
  <c r="S107" i="1"/>
  <c r="S119" i="1"/>
  <c r="R142" i="1"/>
  <c r="S151" i="1"/>
  <c r="R109" i="1"/>
  <c r="S118" i="1"/>
  <c r="S130" i="1"/>
  <c r="R153" i="1"/>
  <c r="S86" i="1"/>
  <c r="S97" i="1"/>
  <c r="R120" i="1"/>
  <c r="S129" i="1"/>
  <c r="S141" i="1"/>
  <c r="AA176" i="17" l="1"/>
  <c r="AA165" i="17"/>
  <c r="AA142" i="17"/>
  <c r="AA143" i="17" s="1"/>
  <c r="AB118" i="17"/>
  <c r="AB53" i="17"/>
  <c r="AA131" i="17"/>
  <c r="AA132" i="17" s="1"/>
  <c r="AB141" i="17"/>
  <c r="AA109" i="17"/>
  <c r="AA110" i="17" s="1"/>
  <c r="AB97" i="17"/>
  <c r="AB140" i="17"/>
  <c r="AB108" i="17"/>
  <c r="AB86" i="17"/>
  <c r="AB107" i="17"/>
  <c r="AB175" i="17"/>
  <c r="AB63" i="17"/>
  <c r="AB64" i="17"/>
  <c r="AB162" i="17"/>
  <c r="AB96" i="17"/>
  <c r="AB52" i="17"/>
  <c r="AB129" i="17"/>
  <c r="AB74" i="17"/>
  <c r="AA98" i="17"/>
  <c r="AA99" i="17" s="1"/>
  <c r="AA120" i="17"/>
  <c r="AA121" i="17" s="1"/>
  <c r="AB85" i="17"/>
  <c r="AA54" i="17"/>
  <c r="AA55" i="17" s="1"/>
  <c r="AA76" i="17"/>
  <c r="AA77" i="17" s="1"/>
  <c r="AB173" i="17"/>
  <c r="AB119" i="17"/>
  <c r="AA65" i="17"/>
  <c r="AA66" i="17" s="1"/>
  <c r="AB164" i="17"/>
  <c r="AB163" i="17"/>
  <c r="AB130" i="17"/>
  <c r="AB174" i="17"/>
  <c r="AA153" i="17"/>
  <c r="AA154" i="17" s="1"/>
  <c r="AA87" i="17"/>
  <c r="AA88" i="17" s="1"/>
  <c r="AB151" i="17"/>
  <c r="AB152" i="17"/>
  <c r="AB75" i="17"/>
  <c r="AC45" i="17"/>
  <c r="AC46" i="17" s="1"/>
  <c r="AD7" i="17"/>
  <c r="AA165" i="18"/>
  <c r="AH19" i="1"/>
  <c r="B15" i="13" s="1"/>
  <c r="AA176" i="18"/>
  <c r="AB163" i="18"/>
  <c r="AA131" i="18"/>
  <c r="AA132" i="18" s="1"/>
  <c r="AB53" i="18"/>
  <c r="AB174" i="18"/>
  <c r="AB130" i="18"/>
  <c r="AB52" i="18"/>
  <c r="AA153" i="18"/>
  <c r="AA154" i="18" s="1"/>
  <c r="AB118" i="18"/>
  <c r="AB97" i="18"/>
  <c r="AB119" i="18"/>
  <c r="AB164" i="18"/>
  <c r="AA142" i="18"/>
  <c r="AA143" i="18" s="1"/>
  <c r="AB63" i="18"/>
  <c r="AB151" i="18"/>
  <c r="AB96" i="18"/>
  <c r="AB85" i="18"/>
  <c r="AB152" i="18"/>
  <c r="AB141" i="18"/>
  <c r="AA87" i="18"/>
  <c r="AA88" i="18" s="1"/>
  <c r="AB108" i="18"/>
  <c r="AB140" i="18"/>
  <c r="AB86" i="18"/>
  <c r="AB64" i="18"/>
  <c r="AA120" i="18"/>
  <c r="AA121" i="18" s="1"/>
  <c r="AA109" i="18"/>
  <c r="AA110" i="18" s="1"/>
  <c r="AB75" i="18"/>
  <c r="AB129" i="18"/>
  <c r="AB107" i="18"/>
  <c r="AA54" i="18"/>
  <c r="AA55" i="18" s="1"/>
  <c r="AB175" i="18"/>
  <c r="AA98" i="18"/>
  <c r="AA99" i="18" s="1"/>
  <c r="AA76" i="18"/>
  <c r="AA77" i="18" s="1"/>
  <c r="AB173" i="18"/>
  <c r="AB162" i="18"/>
  <c r="AA65" i="18"/>
  <c r="AA66" i="18" s="1"/>
  <c r="AB74" i="18"/>
  <c r="AD7" i="18"/>
  <c r="AC45" i="18"/>
  <c r="AC46" i="18" s="1"/>
  <c r="AA165" i="24"/>
  <c r="AC165" i="20"/>
  <c r="AC165" i="16"/>
  <c r="AB165" i="19"/>
  <c r="R132" i="1"/>
  <c r="R143" i="1"/>
  <c r="AB165" i="21"/>
  <c r="AB165" i="23"/>
  <c r="AA176" i="24"/>
  <c r="AB164" i="24"/>
  <c r="AB86" i="24"/>
  <c r="AB52" i="24"/>
  <c r="AB151" i="24"/>
  <c r="AA109" i="24"/>
  <c r="AA110" i="24" s="1"/>
  <c r="AB74" i="24"/>
  <c r="AA131" i="24"/>
  <c r="AA132" i="24" s="1"/>
  <c r="AA98" i="24"/>
  <c r="AA99" i="24" s="1"/>
  <c r="AB64" i="24"/>
  <c r="AB152" i="24"/>
  <c r="AA153" i="24"/>
  <c r="AA154" i="24" s="1"/>
  <c r="AA87" i="24"/>
  <c r="AA88" i="24" s="1"/>
  <c r="AB63" i="24"/>
  <c r="AB162" i="24"/>
  <c r="AB129" i="24"/>
  <c r="AB108" i="24"/>
  <c r="AA54" i="24"/>
  <c r="AA55" i="24" s="1"/>
  <c r="AB85" i="24"/>
  <c r="AB140" i="24"/>
  <c r="AA120" i="24"/>
  <c r="AA121" i="24" s="1"/>
  <c r="AB53" i="24"/>
  <c r="AA142" i="24"/>
  <c r="AA143" i="24" s="1"/>
  <c r="AB97" i="24"/>
  <c r="AB75" i="24"/>
  <c r="AB107" i="24"/>
  <c r="AB130" i="24"/>
  <c r="AB119" i="24"/>
  <c r="AA65" i="24"/>
  <c r="AA66" i="24" s="1"/>
  <c r="AB173" i="24"/>
  <c r="AB175" i="24"/>
  <c r="AB96" i="24"/>
  <c r="AB174" i="24"/>
  <c r="AB163" i="24"/>
  <c r="AB141" i="24"/>
  <c r="AB118" i="24"/>
  <c r="AA76" i="24"/>
  <c r="AA77" i="24" s="1"/>
  <c r="AD7" i="24"/>
  <c r="AC45" i="24"/>
  <c r="AC46" i="24" s="1"/>
  <c r="AD45" i="23"/>
  <c r="AD46" i="23" s="1"/>
  <c r="AE7" i="23"/>
  <c r="AC173" i="23"/>
  <c r="AC152" i="23"/>
  <c r="AC163" i="23"/>
  <c r="AC174" i="23"/>
  <c r="AC164" i="23"/>
  <c r="AC175" i="23"/>
  <c r="AC130" i="23"/>
  <c r="AB109" i="23"/>
  <c r="AB110" i="23" s="1"/>
  <c r="AC151" i="23"/>
  <c r="AC162" i="23"/>
  <c r="AB142" i="23"/>
  <c r="AB143" i="23" s="1"/>
  <c r="AC141" i="23"/>
  <c r="AB153" i="23"/>
  <c r="AB154" i="23" s="1"/>
  <c r="AC140" i="23"/>
  <c r="AC118" i="23"/>
  <c r="AC129" i="23"/>
  <c r="AB76" i="23"/>
  <c r="AB77" i="23" s="1"/>
  <c r="AB131" i="23"/>
  <c r="AB132" i="23" s="1"/>
  <c r="AC108" i="23"/>
  <c r="AC63" i="23"/>
  <c r="AC107" i="23"/>
  <c r="AB87" i="23"/>
  <c r="AB88" i="23" s="1"/>
  <c r="AB120" i="23"/>
  <c r="AB121" i="23" s="1"/>
  <c r="AB98" i="23"/>
  <c r="AB99" i="23" s="1"/>
  <c r="AC97" i="23"/>
  <c r="AC85" i="23"/>
  <c r="AC96" i="23"/>
  <c r="AC119" i="23"/>
  <c r="AC86" i="23"/>
  <c r="AC53" i="23"/>
  <c r="AC75" i="23"/>
  <c r="AC74" i="23"/>
  <c r="AB65" i="23"/>
  <c r="AB66" i="23" s="1"/>
  <c r="AC52" i="23"/>
  <c r="AB54" i="23"/>
  <c r="AB55" i="23" s="1"/>
  <c r="AC64" i="23"/>
  <c r="AB176" i="23"/>
  <c r="AB176" i="22"/>
  <c r="AD45" i="22"/>
  <c r="AD46" i="22" s="1"/>
  <c r="AE7" i="22"/>
  <c r="AC173" i="22"/>
  <c r="AC152" i="22"/>
  <c r="AC163" i="22"/>
  <c r="AC174" i="22"/>
  <c r="AC164" i="22"/>
  <c r="AC175" i="22"/>
  <c r="AC151" i="22"/>
  <c r="AB142" i="22"/>
  <c r="AB143" i="22" s="1"/>
  <c r="AC162" i="22"/>
  <c r="AB153" i="22"/>
  <c r="AB154" i="22" s="1"/>
  <c r="AC141" i="22"/>
  <c r="AC130" i="22"/>
  <c r="AC140" i="22"/>
  <c r="AB120" i="22"/>
  <c r="AB121" i="22" s="1"/>
  <c r="AB98" i="22"/>
  <c r="AB99" i="22" s="1"/>
  <c r="AC119" i="22"/>
  <c r="AC118" i="22"/>
  <c r="AC129" i="22"/>
  <c r="AB131" i="22"/>
  <c r="AB132" i="22" s="1"/>
  <c r="AC86" i="22"/>
  <c r="AB109" i="22"/>
  <c r="AB110" i="22" s="1"/>
  <c r="AC96" i="22"/>
  <c r="AC107" i="22"/>
  <c r="AB76" i="22"/>
  <c r="AB77" i="22" s="1"/>
  <c r="AC74" i="22"/>
  <c r="AB87" i="22"/>
  <c r="AB88" i="22" s="1"/>
  <c r="AC108" i="22"/>
  <c r="AC85" i="22"/>
  <c r="AB65" i="22"/>
  <c r="AB66" i="22" s="1"/>
  <c r="AC97" i="22"/>
  <c r="AB54" i="22"/>
  <c r="AB55" i="22" s="1"/>
  <c r="AC75" i="22"/>
  <c r="AC53" i="22"/>
  <c r="AC63" i="22"/>
  <c r="AC52" i="22"/>
  <c r="AC64" i="22"/>
  <c r="AB165" i="22"/>
  <c r="AC173" i="21"/>
  <c r="AC163" i="21"/>
  <c r="AC174" i="21"/>
  <c r="AC140" i="21"/>
  <c r="AB153" i="21"/>
  <c r="AB154" i="21" s="1"/>
  <c r="AC164" i="21"/>
  <c r="AC151" i="21"/>
  <c r="AC175" i="21"/>
  <c r="AC162" i="21"/>
  <c r="AB142" i="21"/>
  <c r="AB143" i="21" s="1"/>
  <c r="AC141" i="21"/>
  <c r="AC118" i="21"/>
  <c r="AB131" i="21"/>
  <c r="AB132" i="21" s="1"/>
  <c r="AC152" i="21"/>
  <c r="AC130" i="21"/>
  <c r="AB120" i="21"/>
  <c r="AB121" i="21" s="1"/>
  <c r="AC107" i="21"/>
  <c r="AC119" i="21"/>
  <c r="AC129" i="21"/>
  <c r="AC96" i="21"/>
  <c r="AB65" i="21"/>
  <c r="AB66" i="21" s="1"/>
  <c r="AC75" i="21"/>
  <c r="AC97" i="21"/>
  <c r="AB98" i="21"/>
  <c r="AB99" i="21" s="1"/>
  <c r="AC85" i="21"/>
  <c r="AB109" i="21"/>
  <c r="AB110" i="21" s="1"/>
  <c r="AC86" i="21"/>
  <c r="AC63" i="21"/>
  <c r="AB76" i="21"/>
  <c r="AB77" i="21" s="1"/>
  <c r="AC53" i="21"/>
  <c r="AC52" i="21"/>
  <c r="AC74" i="21"/>
  <c r="AC64" i="21"/>
  <c r="AB87" i="21"/>
  <c r="AB88" i="21" s="1"/>
  <c r="AB54" i="21"/>
  <c r="AB55" i="21" s="1"/>
  <c r="AC108" i="21"/>
  <c r="AB176" i="21"/>
  <c r="AD45" i="21"/>
  <c r="AD46" i="21" s="1"/>
  <c r="AE7" i="21"/>
  <c r="AE45" i="20"/>
  <c r="AE46" i="20" s="1"/>
  <c r="AF7" i="20"/>
  <c r="AD152" i="20"/>
  <c r="AD163" i="20"/>
  <c r="AD174" i="20"/>
  <c r="AD164" i="20"/>
  <c r="AD175" i="20"/>
  <c r="AD162" i="20"/>
  <c r="AD173" i="20"/>
  <c r="AD140" i="20"/>
  <c r="AD119" i="20"/>
  <c r="AC142" i="20"/>
  <c r="AC143" i="20" s="1"/>
  <c r="AD130" i="20"/>
  <c r="AD141" i="20"/>
  <c r="AC120" i="20"/>
  <c r="AC121" i="20" s="1"/>
  <c r="AC153" i="20"/>
  <c r="AC154" i="20" s="1"/>
  <c r="AD151" i="20"/>
  <c r="AC131" i="20"/>
  <c r="AC132" i="20" s="1"/>
  <c r="AD129" i="20"/>
  <c r="AD108" i="20"/>
  <c r="AD97" i="20"/>
  <c r="AD107" i="20"/>
  <c r="AD118" i="20"/>
  <c r="AC109" i="20"/>
  <c r="AC110" i="20" s="1"/>
  <c r="AC98" i="20"/>
  <c r="AC99" i="20" s="1"/>
  <c r="AD85" i="20"/>
  <c r="AC87" i="20"/>
  <c r="AC88" i="20" s="1"/>
  <c r="AC65" i="20"/>
  <c r="AC66" i="20" s="1"/>
  <c r="AC76" i="20"/>
  <c r="AC77" i="20" s="1"/>
  <c r="AD75" i="20"/>
  <c r="AD86" i="20"/>
  <c r="AD63" i="20"/>
  <c r="AD74" i="20"/>
  <c r="AD64" i="20"/>
  <c r="AC54" i="20"/>
  <c r="AC55" i="20" s="1"/>
  <c r="AD96" i="20"/>
  <c r="AD52" i="20"/>
  <c r="AD53" i="20"/>
  <c r="AC176" i="20"/>
  <c r="AB176" i="19"/>
  <c r="AD45" i="19"/>
  <c r="AD46" i="19" s="1"/>
  <c r="AE7" i="19"/>
  <c r="AC173" i="19"/>
  <c r="AC163" i="19"/>
  <c r="AC174" i="19"/>
  <c r="AC164" i="19"/>
  <c r="AC175" i="19"/>
  <c r="AB142" i="19"/>
  <c r="AB143" i="19" s="1"/>
  <c r="AC141" i="19"/>
  <c r="AC140" i="19"/>
  <c r="AC130" i="19"/>
  <c r="AB153" i="19"/>
  <c r="AB154" i="19" s="1"/>
  <c r="AC162" i="19"/>
  <c r="AC152" i="19"/>
  <c r="AB131" i="19"/>
  <c r="AB132" i="19" s="1"/>
  <c r="AC151" i="19"/>
  <c r="AC85" i="19"/>
  <c r="AC129" i="19"/>
  <c r="AB120" i="19"/>
  <c r="AB121" i="19" s="1"/>
  <c r="AC119" i="19"/>
  <c r="AC118" i="19"/>
  <c r="AC108" i="19"/>
  <c r="AB98" i="19"/>
  <c r="AB99" i="19" s="1"/>
  <c r="AC86" i="19"/>
  <c r="AB76" i="19"/>
  <c r="AB77" i="19" s="1"/>
  <c r="AC97" i="19"/>
  <c r="AC74" i="19"/>
  <c r="AB109" i="19"/>
  <c r="AB110" i="19" s="1"/>
  <c r="AC96" i="19"/>
  <c r="AC107" i="19"/>
  <c r="AB87" i="19"/>
  <c r="AB88" i="19" s="1"/>
  <c r="AC63" i="19"/>
  <c r="AC53" i="19"/>
  <c r="AB65" i="19"/>
  <c r="AB66" i="19" s="1"/>
  <c r="AC52" i="19"/>
  <c r="AC75" i="19"/>
  <c r="AC64" i="19"/>
  <c r="AB54" i="19"/>
  <c r="AB55" i="19" s="1"/>
  <c r="AE45" i="16"/>
  <c r="AE46" i="16" s="1"/>
  <c r="AF7" i="16"/>
  <c r="AD152" i="16"/>
  <c r="AD163" i="16"/>
  <c r="AD174" i="16"/>
  <c r="AC142" i="16"/>
  <c r="AC143" i="16" s="1"/>
  <c r="AD164" i="16"/>
  <c r="AD175" i="16"/>
  <c r="AD162" i="16"/>
  <c r="AD173" i="16"/>
  <c r="AD140" i="16"/>
  <c r="AD141" i="16"/>
  <c r="AC131" i="16"/>
  <c r="AC132" i="16" s="1"/>
  <c r="AD129" i="16"/>
  <c r="AC153" i="16"/>
  <c r="AC154" i="16" s="1"/>
  <c r="AD151" i="16"/>
  <c r="AD118" i="16"/>
  <c r="AD108" i="16"/>
  <c r="AD130" i="16"/>
  <c r="AD107" i="16"/>
  <c r="AD97" i="16"/>
  <c r="AD85" i="16"/>
  <c r="AC65" i="16"/>
  <c r="AC66" i="16" s="1"/>
  <c r="AC120" i="16"/>
  <c r="AC121" i="16" s="1"/>
  <c r="AC98" i="16"/>
  <c r="AC99" i="16" s="1"/>
  <c r="AD75" i="16"/>
  <c r="AC109" i="16"/>
  <c r="AC110" i="16" s="1"/>
  <c r="AD96" i="16"/>
  <c r="AD63" i="16"/>
  <c r="AD74" i="16"/>
  <c r="AD119" i="16"/>
  <c r="AC87" i="16"/>
  <c r="AC88" i="16" s="1"/>
  <c r="AD86" i="16"/>
  <c r="AC76" i="16"/>
  <c r="AC77" i="16" s="1"/>
  <c r="AD52" i="16"/>
  <c r="AD53" i="16"/>
  <c r="AD64" i="16"/>
  <c r="AC54" i="16"/>
  <c r="AC55" i="16" s="1"/>
  <c r="AC176" i="16"/>
  <c r="AB176" i="15"/>
  <c r="AD45" i="15"/>
  <c r="AD46" i="15" s="1"/>
  <c r="AD119" i="15" s="1"/>
  <c r="AE7" i="15"/>
  <c r="AB165" i="15"/>
  <c r="AC173" i="15"/>
  <c r="AC163" i="15"/>
  <c r="AC174" i="15"/>
  <c r="AB153" i="15"/>
  <c r="AB154" i="15" s="1"/>
  <c r="AC164" i="15"/>
  <c r="AC151" i="15"/>
  <c r="AC175" i="15"/>
  <c r="AC162" i="15"/>
  <c r="AC140" i="15"/>
  <c r="AC119" i="15"/>
  <c r="AC152" i="15"/>
  <c r="AB142" i="15"/>
  <c r="AB143" i="15" s="1"/>
  <c r="AC141" i="15"/>
  <c r="AB120" i="15"/>
  <c r="AB121" i="15" s="1"/>
  <c r="AC130" i="15"/>
  <c r="AB109" i="15"/>
  <c r="AB110" i="15" s="1"/>
  <c r="AC107" i="15"/>
  <c r="AC86" i="15"/>
  <c r="AC118" i="15"/>
  <c r="AB131" i="15"/>
  <c r="AB132" i="15" s="1"/>
  <c r="AC129" i="15"/>
  <c r="AC96" i="15"/>
  <c r="AB87" i="15"/>
  <c r="AB88" i="15" s="1"/>
  <c r="AC97" i="15"/>
  <c r="AB65" i="15"/>
  <c r="AB66" i="15" s="1"/>
  <c r="AC108" i="15"/>
  <c r="AC85" i="15"/>
  <c r="AB98" i="15"/>
  <c r="AB99" i="15" s="1"/>
  <c r="AC74" i="15"/>
  <c r="AC75" i="15"/>
  <c r="AB76" i="15"/>
  <c r="AB77" i="15" s="1"/>
  <c r="AC63" i="15"/>
  <c r="AB54" i="15"/>
  <c r="AB55" i="15" s="1"/>
  <c r="AC52" i="15"/>
  <c r="AC53" i="15"/>
  <c r="AC64" i="15"/>
  <c r="AB165" i="14"/>
  <c r="AD45" i="14"/>
  <c r="AD46" i="14" s="1"/>
  <c r="AE7" i="14"/>
  <c r="AC173" i="14"/>
  <c r="AC152" i="14"/>
  <c r="AC163" i="14"/>
  <c r="AC174" i="14"/>
  <c r="AC164" i="14"/>
  <c r="AC175" i="14"/>
  <c r="AC162" i="14"/>
  <c r="AB142" i="14"/>
  <c r="AB143" i="14" s="1"/>
  <c r="AC119" i="14"/>
  <c r="AC141" i="14"/>
  <c r="AB153" i="14"/>
  <c r="AB154" i="14" s="1"/>
  <c r="AB131" i="14"/>
  <c r="AB132" i="14" s="1"/>
  <c r="AB109" i="14"/>
  <c r="AB110" i="14" s="1"/>
  <c r="AC130" i="14"/>
  <c r="AC107" i="14"/>
  <c r="AC86" i="14"/>
  <c r="AC129" i="14"/>
  <c r="AC118" i="14"/>
  <c r="AC140" i="14"/>
  <c r="AB120" i="14"/>
  <c r="AB121" i="14" s="1"/>
  <c r="AB65" i="14"/>
  <c r="AB66" i="14" s="1"/>
  <c r="AB54" i="14"/>
  <c r="AB55" i="14" s="1"/>
  <c r="AC151" i="14"/>
  <c r="AC63" i="14"/>
  <c r="AC97" i="14"/>
  <c r="AC96" i="14"/>
  <c r="AC85" i="14"/>
  <c r="AB76" i="14"/>
  <c r="AB77" i="14" s="1"/>
  <c r="AC75" i="14"/>
  <c r="AB98" i="14"/>
  <c r="AB99" i="14" s="1"/>
  <c r="AC74" i="14"/>
  <c r="AC108" i="14"/>
  <c r="AC53" i="14"/>
  <c r="AC52" i="14"/>
  <c r="AC64" i="14"/>
  <c r="AB87" i="14"/>
  <c r="AB88" i="14" s="1"/>
  <c r="AB176" i="14"/>
  <c r="R99" i="1"/>
  <c r="R154" i="1"/>
  <c r="R66" i="1"/>
  <c r="R121" i="1"/>
  <c r="G162" i="1"/>
  <c r="G164" i="1"/>
  <c r="G163" i="1"/>
  <c r="R176" i="1"/>
  <c r="R165" i="1"/>
  <c r="S176" i="1"/>
  <c r="S165" i="1"/>
  <c r="R88" i="1"/>
  <c r="R77" i="1"/>
  <c r="T164" i="1"/>
  <c r="T162" i="1"/>
  <c r="T173" i="1"/>
  <c r="T174" i="1"/>
  <c r="T175" i="1"/>
  <c r="T163" i="1"/>
  <c r="R110" i="1"/>
  <c r="G176" i="1"/>
  <c r="R55" i="1"/>
  <c r="T52" i="1"/>
  <c r="T53" i="1"/>
  <c r="T63" i="1"/>
  <c r="S65" i="1"/>
  <c r="S66" i="1" s="1"/>
  <c r="S54" i="1"/>
  <c r="S55" i="1" s="1"/>
  <c r="T64" i="1"/>
  <c r="T75" i="1"/>
  <c r="T74" i="1"/>
  <c r="T86" i="1"/>
  <c r="T97" i="1"/>
  <c r="S120" i="1"/>
  <c r="S121" i="1" s="1"/>
  <c r="T129" i="1"/>
  <c r="T141" i="1"/>
  <c r="T85" i="1"/>
  <c r="T96" i="1"/>
  <c r="T108" i="1"/>
  <c r="S131" i="1"/>
  <c r="S132" i="1" s="1"/>
  <c r="T140" i="1"/>
  <c r="T152" i="1"/>
  <c r="S76" i="1"/>
  <c r="S77" i="1" s="1"/>
  <c r="S87" i="1"/>
  <c r="S88" i="1" s="1"/>
  <c r="S98" i="1"/>
  <c r="S99" i="1" s="1"/>
  <c r="T107" i="1"/>
  <c r="T119" i="1"/>
  <c r="S142" i="1"/>
  <c r="S143" i="1" s="1"/>
  <c r="T151" i="1"/>
  <c r="S109" i="1"/>
  <c r="S110" i="1" s="1"/>
  <c r="T118" i="1"/>
  <c r="T130" i="1"/>
  <c r="S153" i="1"/>
  <c r="S154" i="1" s="1"/>
  <c r="U45" i="1"/>
  <c r="U46" i="1" s="1"/>
  <c r="V7" i="1"/>
  <c r="AI19" i="1" l="1"/>
  <c r="AB165" i="17"/>
  <c r="AB176" i="18"/>
  <c r="AD45" i="17"/>
  <c r="AD46" i="17" s="1"/>
  <c r="AE7" i="17"/>
  <c r="AC141" i="17"/>
  <c r="AC96" i="17"/>
  <c r="AC63" i="17"/>
  <c r="AC53" i="17"/>
  <c r="AC130" i="17"/>
  <c r="AC74" i="17"/>
  <c r="AC52" i="17"/>
  <c r="AB109" i="17"/>
  <c r="AB110" i="17" s="1"/>
  <c r="AC64" i="17"/>
  <c r="AC108" i="17"/>
  <c r="AC152" i="17"/>
  <c r="AC85" i="17"/>
  <c r="AB54" i="17"/>
  <c r="AB55" i="17" s="1"/>
  <c r="AC173" i="17"/>
  <c r="AC119" i="17"/>
  <c r="AB65" i="17"/>
  <c r="AB66" i="17" s="1"/>
  <c r="AC163" i="17"/>
  <c r="AC129" i="17"/>
  <c r="AB87" i="17"/>
  <c r="AB88" i="17" s="1"/>
  <c r="AC118" i="17"/>
  <c r="AC174" i="17"/>
  <c r="AB153" i="17"/>
  <c r="AB154" i="17" s="1"/>
  <c r="AC107" i="17"/>
  <c r="AC164" i="17"/>
  <c r="AC140" i="17"/>
  <c r="AC75" i="17"/>
  <c r="AC175" i="17"/>
  <c r="AB131" i="17"/>
  <c r="AB132" i="17" s="1"/>
  <c r="AB98" i="17"/>
  <c r="AB99" i="17" s="1"/>
  <c r="AC151" i="17"/>
  <c r="AC162" i="17"/>
  <c r="AB76" i="17"/>
  <c r="AB77" i="17" s="1"/>
  <c r="AC86" i="17"/>
  <c r="AB142" i="17"/>
  <c r="AB143" i="17" s="1"/>
  <c r="AB120" i="17"/>
  <c r="AB121" i="17" s="1"/>
  <c r="AC97" i="17"/>
  <c r="AB176" i="17"/>
  <c r="AB165" i="18"/>
  <c r="AC164" i="18"/>
  <c r="AC119" i="18"/>
  <c r="AC52" i="18"/>
  <c r="AC151" i="18"/>
  <c r="AC130" i="18"/>
  <c r="AB54" i="18"/>
  <c r="AB55" i="18" s="1"/>
  <c r="AC175" i="18"/>
  <c r="AC86" i="18"/>
  <c r="AC85" i="18"/>
  <c r="AC162" i="18"/>
  <c r="AC129" i="18"/>
  <c r="AC64" i="18"/>
  <c r="AB131" i="18"/>
  <c r="AB132" i="18" s="1"/>
  <c r="AC140" i="18"/>
  <c r="AB142" i="18"/>
  <c r="AB143" i="18" s="1"/>
  <c r="AB76" i="18"/>
  <c r="AB77" i="18" s="1"/>
  <c r="AC152" i="18"/>
  <c r="AB109" i="18"/>
  <c r="AB110" i="18" s="1"/>
  <c r="AC96" i="18"/>
  <c r="AC118" i="18"/>
  <c r="AC107" i="18"/>
  <c r="AB87" i="18"/>
  <c r="AB88" i="18" s="1"/>
  <c r="AB153" i="18"/>
  <c r="AB154" i="18" s="1"/>
  <c r="AC75" i="18"/>
  <c r="AB65" i="18"/>
  <c r="AB66" i="18" s="1"/>
  <c r="AC141" i="18"/>
  <c r="AC108" i="18"/>
  <c r="AC63" i="18"/>
  <c r="AC174" i="18"/>
  <c r="AC173" i="18"/>
  <c r="AB98" i="18"/>
  <c r="AB99" i="18" s="1"/>
  <c r="AC97" i="18"/>
  <c r="AC53" i="18"/>
  <c r="AC163" i="18"/>
  <c r="AB120" i="18"/>
  <c r="AB121" i="18" s="1"/>
  <c r="AC74" i="18"/>
  <c r="AD45" i="18"/>
  <c r="AD46" i="18" s="1"/>
  <c r="AE7" i="18"/>
  <c r="AB165" i="24"/>
  <c r="AD176" i="20"/>
  <c r="AD86" i="15"/>
  <c r="AD141" i="15"/>
  <c r="AD53" i="15"/>
  <c r="AD97" i="15"/>
  <c r="AD152" i="15"/>
  <c r="AD64" i="15"/>
  <c r="AC87" i="15"/>
  <c r="AC88" i="15" s="1"/>
  <c r="AD140" i="15"/>
  <c r="AD173" i="15"/>
  <c r="AC153" i="15"/>
  <c r="AC154" i="15" s="1"/>
  <c r="AC54" i="15"/>
  <c r="AC55" i="15" s="1"/>
  <c r="AC131" i="15"/>
  <c r="AC132" i="15" s="1"/>
  <c r="AD162" i="15"/>
  <c r="AC120" i="15"/>
  <c r="AC121" i="15" s="1"/>
  <c r="AD175" i="15"/>
  <c r="AC76" i="15"/>
  <c r="AC77" i="15" s="1"/>
  <c r="AD107" i="15"/>
  <c r="AD151" i="15"/>
  <c r="AD63" i="15"/>
  <c r="AC98" i="15"/>
  <c r="AC99" i="15" s="1"/>
  <c r="AC109" i="15"/>
  <c r="AC110" i="15" s="1"/>
  <c r="AD164" i="15"/>
  <c r="AC142" i="15"/>
  <c r="AC143" i="15" s="1"/>
  <c r="AD129" i="15"/>
  <c r="AD74" i="15"/>
  <c r="AD85" i="15"/>
  <c r="AD130" i="15"/>
  <c r="AD174" i="15"/>
  <c r="AD108" i="15"/>
  <c r="AC65" i="15"/>
  <c r="AC66" i="15" s="1"/>
  <c r="AD75" i="15"/>
  <c r="AD118" i="15"/>
  <c r="AD163" i="15"/>
  <c r="S15" i="13"/>
  <c r="H29" i="13"/>
  <c r="AC165" i="14"/>
  <c r="AC165" i="21"/>
  <c r="AB176" i="24"/>
  <c r="AC164" i="24"/>
  <c r="AB120" i="24"/>
  <c r="AB121" i="24" s="1"/>
  <c r="AB76" i="24"/>
  <c r="AB77" i="24" s="1"/>
  <c r="AC118" i="24"/>
  <c r="AC175" i="24"/>
  <c r="AB109" i="24"/>
  <c r="AB110" i="24" s="1"/>
  <c r="AC75" i="24"/>
  <c r="AC162" i="24"/>
  <c r="AB98" i="24"/>
  <c r="AB99" i="24" s="1"/>
  <c r="AB65" i="24"/>
  <c r="AB66" i="24" s="1"/>
  <c r="AC130" i="24"/>
  <c r="AC85" i="24"/>
  <c r="AB153" i="24"/>
  <c r="AB154" i="24" s="1"/>
  <c r="AC108" i="24"/>
  <c r="AC63" i="24"/>
  <c r="AC129" i="24"/>
  <c r="AB131" i="24"/>
  <c r="AB132" i="24" s="1"/>
  <c r="AB54" i="24"/>
  <c r="AB55" i="24" s="1"/>
  <c r="AC140" i="24"/>
  <c r="AC97" i="24"/>
  <c r="AC53" i="24"/>
  <c r="AC173" i="24"/>
  <c r="AC151" i="24"/>
  <c r="AC86" i="24"/>
  <c r="AC52" i="24"/>
  <c r="AC119" i="24"/>
  <c r="AC107" i="24"/>
  <c r="AC74" i="24"/>
  <c r="AC174" i="24"/>
  <c r="AB142" i="24"/>
  <c r="AB143" i="24" s="1"/>
  <c r="AC96" i="24"/>
  <c r="AC64" i="24"/>
  <c r="AC141" i="24"/>
  <c r="AC163" i="24"/>
  <c r="AC152" i="24"/>
  <c r="AB87" i="24"/>
  <c r="AB88" i="24" s="1"/>
  <c r="AD45" i="24"/>
  <c r="AD46" i="24" s="1"/>
  <c r="AE7" i="24"/>
  <c r="AC176" i="23"/>
  <c r="AE45" i="23"/>
  <c r="AE46" i="23" s="1"/>
  <c r="AF7" i="23"/>
  <c r="AC165" i="23"/>
  <c r="AD152" i="23"/>
  <c r="AD163" i="23"/>
  <c r="AD174" i="23"/>
  <c r="AD164" i="23"/>
  <c r="AD175" i="23"/>
  <c r="AD162" i="23"/>
  <c r="AD173" i="23"/>
  <c r="AD151" i="23"/>
  <c r="AC142" i="23"/>
  <c r="AC143" i="23" s="1"/>
  <c r="AD141" i="23"/>
  <c r="AC153" i="23"/>
  <c r="AC154" i="23" s="1"/>
  <c r="AD140" i="23"/>
  <c r="AC109" i="23"/>
  <c r="AC110" i="23" s="1"/>
  <c r="AD107" i="23"/>
  <c r="AD129" i="23"/>
  <c r="AD130" i="23"/>
  <c r="AC131" i="23"/>
  <c r="AC132" i="23" s="1"/>
  <c r="AD108" i="23"/>
  <c r="AD74" i="23"/>
  <c r="AD118" i="23"/>
  <c r="AC87" i="23"/>
  <c r="AC88" i="23" s="1"/>
  <c r="AD64" i="23"/>
  <c r="AD53" i="23"/>
  <c r="AD52" i="23"/>
  <c r="AC120" i="23"/>
  <c r="AC121" i="23" s="1"/>
  <c r="AC98" i="23"/>
  <c r="AC99" i="23" s="1"/>
  <c r="AD97" i="23"/>
  <c r="AD85" i="23"/>
  <c r="AD75" i="23"/>
  <c r="AD96" i="23"/>
  <c r="AD63" i="23"/>
  <c r="AD86" i="23"/>
  <c r="AC65" i="23"/>
  <c r="AC66" i="23" s="1"/>
  <c r="AC76" i="23"/>
  <c r="AC77" i="23" s="1"/>
  <c r="AC54" i="23"/>
  <c r="AC55" i="23" s="1"/>
  <c r="AD119" i="23"/>
  <c r="AC176" i="22"/>
  <c r="AE45" i="22"/>
  <c r="AE46" i="22" s="1"/>
  <c r="AF7" i="22"/>
  <c r="AD152" i="22"/>
  <c r="AD163" i="22"/>
  <c r="AD174" i="22"/>
  <c r="AD164" i="22"/>
  <c r="AD175" i="22"/>
  <c r="AD162" i="22"/>
  <c r="AD173" i="22"/>
  <c r="AD151" i="22"/>
  <c r="AC142" i="22"/>
  <c r="AC143" i="22" s="1"/>
  <c r="AC153" i="22"/>
  <c r="AC154" i="22" s="1"/>
  <c r="AD141" i="22"/>
  <c r="AD140" i="22"/>
  <c r="AC109" i="22"/>
  <c r="AC110" i="22" s="1"/>
  <c r="AC120" i="22"/>
  <c r="AC121" i="22" s="1"/>
  <c r="AD96" i="22"/>
  <c r="AD119" i="22"/>
  <c r="AD118" i="22"/>
  <c r="AD129" i="22"/>
  <c r="AC131" i="22"/>
  <c r="AC132" i="22" s="1"/>
  <c r="AD130" i="22"/>
  <c r="AD108" i="22"/>
  <c r="AD86" i="22"/>
  <c r="AD107" i="22"/>
  <c r="AC76" i="22"/>
  <c r="AC77" i="22" s="1"/>
  <c r="AD74" i="22"/>
  <c r="AC98" i="22"/>
  <c r="AC99" i="22" s="1"/>
  <c r="AC87" i="22"/>
  <c r="AC88" i="22" s="1"/>
  <c r="AD85" i="22"/>
  <c r="AD97" i="22"/>
  <c r="AD75" i="22"/>
  <c r="AD53" i="22"/>
  <c r="AD63" i="22"/>
  <c r="AD52" i="22"/>
  <c r="AC65" i="22"/>
  <c r="AC66" i="22" s="1"/>
  <c r="AD64" i="22"/>
  <c r="AC54" i="22"/>
  <c r="AC55" i="22" s="1"/>
  <c r="AC165" i="22"/>
  <c r="AD152" i="21"/>
  <c r="AD163" i="21"/>
  <c r="AD174" i="21"/>
  <c r="AC153" i="21"/>
  <c r="AC154" i="21" s="1"/>
  <c r="AD164" i="21"/>
  <c r="AD151" i="21"/>
  <c r="AD175" i="21"/>
  <c r="AD162" i="21"/>
  <c r="AD173" i="21"/>
  <c r="AD141" i="21"/>
  <c r="AC131" i="21"/>
  <c r="AC132" i="21" s="1"/>
  <c r="AD129" i="21"/>
  <c r="AD140" i="21"/>
  <c r="AD119" i="21"/>
  <c r="AD130" i="21"/>
  <c r="AC120" i="21"/>
  <c r="AC121" i="21" s="1"/>
  <c r="AD107" i="21"/>
  <c r="AC87" i="21"/>
  <c r="AC88" i="21" s="1"/>
  <c r="AC98" i="21"/>
  <c r="AC99" i="21" s="1"/>
  <c r="AC142" i="21"/>
  <c r="AC143" i="21" s="1"/>
  <c r="AD118" i="21"/>
  <c r="AD75" i="21"/>
  <c r="AD86" i="21"/>
  <c r="AD97" i="21"/>
  <c r="AC109" i="21"/>
  <c r="AC110" i="21" s="1"/>
  <c r="AD108" i="21"/>
  <c r="AD96" i="21"/>
  <c r="AD63" i="21"/>
  <c r="AC76" i="21"/>
  <c r="AC77" i="21" s="1"/>
  <c r="AD85" i="21"/>
  <c r="AC65" i="21"/>
  <c r="AC66" i="21" s="1"/>
  <c r="AC54" i="21"/>
  <c r="AC55" i="21" s="1"/>
  <c r="AD74" i="21"/>
  <c r="AD64" i="21"/>
  <c r="AD53" i="21"/>
  <c r="AD52" i="21"/>
  <c r="AE45" i="21"/>
  <c r="AE46" i="21" s="1"/>
  <c r="AF7" i="21"/>
  <c r="AC176" i="21"/>
  <c r="AC176" i="19"/>
  <c r="AC165" i="19"/>
  <c r="AF45" i="20"/>
  <c r="AF46" i="20" s="1"/>
  <c r="AG7" i="20"/>
  <c r="AG45" i="20" s="1"/>
  <c r="AG46" i="20" s="1"/>
  <c r="AE163" i="20"/>
  <c r="AE174" i="20"/>
  <c r="AE164" i="20"/>
  <c r="AE175" i="20"/>
  <c r="AE162" i="20"/>
  <c r="AE173" i="20"/>
  <c r="AE152" i="20"/>
  <c r="AD142" i="20"/>
  <c r="AD143" i="20" s="1"/>
  <c r="AE141" i="20"/>
  <c r="AD153" i="20"/>
  <c r="AD154" i="20" s="1"/>
  <c r="AE151" i="20"/>
  <c r="AE118" i="20"/>
  <c r="AD131" i="20"/>
  <c r="AD132" i="20" s="1"/>
  <c r="AE129" i="20"/>
  <c r="AE108" i="20"/>
  <c r="AE140" i="20"/>
  <c r="AE86" i="20"/>
  <c r="AD120" i="20"/>
  <c r="AD121" i="20" s="1"/>
  <c r="AE107" i="20"/>
  <c r="AD87" i="20"/>
  <c r="AD88" i="20" s="1"/>
  <c r="AD109" i="20"/>
  <c r="AD110" i="20" s="1"/>
  <c r="AE130" i="20"/>
  <c r="AD76" i="20"/>
  <c r="AD77" i="20" s="1"/>
  <c r="AE119" i="20"/>
  <c r="AE85" i="20"/>
  <c r="AD98" i="20"/>
  <c r="AD99" i="20" s="1"/>
  <c r="AE97" i="20"/>
  <c r="AE74" i="20"/>
  <c r="AE64" i="20"/>
  <c r="AE96" i="20"/>
  <c r="AE75" i="20"/>
  <c r="AE52" i="20"/>
  <c r="AE63" i="20"/>
  <c r="AE53" i="20"/>
  <c r="AD65" i="20"/>
  <c r="AD66" i="20" s="1"/>
  <c r="AD54" i="20"/>
  <c r="AD55" i="20" s="1"/>
  <c r="AD165" i="20"/>
  <c r="AE45" i="19"/>
  <c r="AE46" i="19" s="1"/>
  <c r="AF7" i="19"/>
  <c r="AD163" i="19"/>
  <c r="AD174" i="19"/>
  <c r="AD164" i="19"/>
  <c r="AD173" i="19"/>
  <c r="AD141" i="19"/>
  <c r="AD140" i="19"/>
  <c r="AD175" i="19"/>
  <c r="AC153" i="19"/>
  <c r="AC154" i="19" s="1"/>
  <c r="AD162" i="19"/>
  <c r="AD152" i="19"/>
  <c r="AD151" i="19"/>
  <c r="AD129" i="19"/>
  <c r="AD108" i="19"/>
  <c r="AC131" i="19"/>
  <c r="AC132" i="19" s="1"/>
  <c r="AD130" i="19"/>
  <c r="AC120" i="19"/>
  <c r="AC121" i="19" s="1"/>
  <c r="AD119" i="19"/>
  <c r="AD118" i="19"/>
  <c r="AC142" i="19"/>
  <c r="AC143" i="19" s="1"/>
  <c r="AC98" i="19"/>
  <c r="AC99" i="19" s="1"/>
  <c r="AD86" i="19"/>
  <c r="AC76" i="19"/>
  <c r="AC77" i="19" s="1"/>
  <c r="AD97" i="19"/>
  <c r="AD74" i="19"/>
  <c r="AD63" i="19"/>
  <c r="AC109" i="19"/>
  <c r="AC110" i="19" s="1"/>
  <c r="AD96" i="19"/>
  <c r="AD85" i="19"/>
  <c r="AD107" i="19"/>
  <c r="AC87" i="19"/>
  <c r="AC88" i="19" s="1"/>
  <c r="AC65" i="19"/>
  <c r="AC66" i="19" s="1"/>
  <c r="AD52" i="19"/>
  <c r="AD75" i="19"/>
  <c r="AD64" i="19"/>
  <c r="AC54" i="19"/>
  <c r="AC55" i="19" s="1"/>
  <c r="AD53" i="19"/>
  <c r="AG7" i="18"/>
  <c r="AG45" i="18" s="1"/>
  <c r="AG46" i="18" s="1"/>
  <c r="AF45" i="16"/>
  <c r="AF46" i="16" s="1"/>
  <c r="AG7" i="16"/>
  <c r="AG45" i="16" s="1"/>
  <c r="AG46" i="16" s="1"/>
  <c r="AD176" i="16"/>
  <c r="AE163" i="16"/>
  <c r="AE174" i="16"/>
  <c r="AE140" i="16"/>
  <c r="AE164" i="16"/>
  <c r="AE175" i="16"/>
  <c r="AE141" i="16"/>
  <c r="AE173" i="16"/>
  <c r="AD131" i="16"/>
  <c r="AD132" i="16" s="1"/>
  <c r="AE129" i="16"/>
  <c r="AD153" i="16"/>
  <c r="AD154" i="16" s="1"/>
  <c r="AE151" i="16"/>
  <c r="AD142" i="16"/>
  <c r="AD143" i="16" s="1"/>
  <c r="AE108" i="16"/>
  <c r="AE130" i="16"/>
  <c r="AD87" i="16"/>
  <c r="AD88" i="16" s="1"/>
  <c r="AD98" i="16"/>
  <c r="AD99" i="16" s="1"/>
  <c r="AE162" i="16"/>
  <c r="AD120" i="16"/>
  <c r="AD121" i="16" s="1"/>
  <c r="AE97" i="16"/>
  <c r="AE152" i="16"/>
  <c r="AE85" i="16"/>
  <c r="AE75" i="16"/>
  <c r="AD109" i="16"/>
  <c r="AD110" i="16" s="1"/>
  <c r="AE107" i="16"/>
  <c r="AE118" i="16"/>
  <c r="AE96" i="16"/>
  <c r="AD76" i="16"/>
  <c r="AD77" i="16" s="1"/>
  <c r="AE74" i="16"/>
  <c r="AD65" i="16"/>
  <c r="AD66" i="16" s="1"/>
  <c r="AE119" i="16"/>
  <c r="AE52" i="16"/>
  <c r="AE53" i="16"/>
  <c r="AD54" i="16"/>
  <c r="AD55" i="16" s="1"/>
  <c r="AE64" i="16"/>
  <c r="AE86" i="16"/>
  <c r="AE63" i="16"/>
  <c r="AD165" i="16"/>
  <c r="AE45" i="15"/>
  <c r="AE46" i="15" s="1"/>
  <c r="AF7" i="15"/>
  <c r="AC165" i="15"/>
  <c r="AD52" i="15"/>
  <c r="AD96" i="15"/>
  <c r="AC176" i="15"/>
  <c r="AC176" i="14"/>
  <c r="AE45" i="14"/>
  <c r="AE46" i="14" s="1"/>
  <c r="AF7" i="14"/>
  <c r="AD163" i="14"/>
  <c r="AD174" i="14"/>
  <c r="AD164" i="14"/>
  <c r="AD175" i="14"/>
  <c r="AD162" i="14"/>
  <c r="AD173" i="14"/>
  <c r="AC142" i="14"/>
  <c r="AC143" i="14" s="1"/>
  <c r="AD141" i="14"/>
  <c r="AC153" i="14"/>
  <c r="AC154" i="14" s="1"/>
  <c r="AD152" i="14"/>
  <c r="AD129" i="14"/>
  <c r="AD151" i="14"/>
  <c r="AC131" i="14"/>
  <c r="AC132" i="14" s="1"/>
  <c r="AD130" i="14"/>
  <c r="AD107" i="14"/>
  <c r="AD118" i="14"/>
  <c r="AD140" i="14"/>
  <c r="AC120" i="14"/>
  <c r="AC121" i="14" s="1"/>
  <c r="AC98" i="14"/>
  <c r="AC99" i="14" s="1"/>
  <c r="AD75" i="14"/>
  <c r="AD119" i="14"/>
  <c r="AC65" i="14"/>
  <c r="AC66" i="14" s="1"/>
  <c r="AD63" i="14"/>
  <c r="AC109" i="14"/>
  <c r="AC110" i="14" s="1"/>
  <c r="AD97" i="14"/>
  <c r="AD96" i="14"/>
  <c r="AD85" i="14"/>
  <c r="AC76" i="14"/>
  <c r="AC77" i="14" s="1"/>
  <c r="AD74" i="14"/>
  <c r="AD64" i="14"/>
  <c r="AD108" i="14"/>
  <c r="AC87" i="14"/>
  <c r="AC88" i="14" s="1"/>
  <c r="AD53" i="14"/>
  <c r="AD52" i="14"/>
  <c r="AC54" i="14"/>
  <c r="AC55" i="14" s="1"/>
  <c r="AD86" i="14"/>
  <c r="T165" i="1"/>
  <c r="T176" i="1"/>
  <c r="U173" i="1"/>
  <c r="U174" i="1"/>
  <c r="U175" i="1"/>
  <c r="U162" i="1"/>
  <c r="U164" i="1"/>
  <c r="U163" i="1"/>
  <c r="G165" i="1"/>
  <c r="AH172" i="1"/>
  <c r="W7" i="1"/>
  <c r="V45" i="1"/>
  <c r="V46" i="1" s="1"/>
  <c r="T54" i="1"/>
  <c r="T55" i="1" s="1"/>
  <c r="U64" i="1"/>
  <c r="U52" i="1"/>
  <c r="U53" i="1"/>
  <c r="U63" i="1"/>
  <c r="U74" i="1"/>
  <c r="T65" i="1"/>
  <c r="T66" i="1" s="1"/>
  <c r="T109" i="1"/>
  <c r="T110" i="1" s="1"/>
  <c r="U118" i="1"/>
  <c r="U130" i="1"/>
  <c r="T153" i="1"/>
  <c r="T154" i="1" s="1"/>
  <c r="U86" i="1"/>
  <c r="U97" i="1"/>
  <c r="T120" i="1"/>
  <c r="T121" i="1" s="1"/>
  <c r="U129" i="1"/>
  <c r="U141" i="1"/>
  <c r="U75" i="1"/>
  <c r="U85" i="1"/>
  <c r="U96" i="1"/>
  <c r="U108" i="1"/>
  <c r="T131" i="1"/>
  <c r="T132" i="1" s="1"/>
  <c r="U140" i="1"/>
  <c r="U152" i="1"/>
  <c r="T76" i="1"/>
  <c r="T77" i="1" s="1"/>
  <c r="T87" i="1"/>
  <c r="T88" i="1" s="1"/>
  <c r="T98" i="1"/>
  <c r="T99" i="1" s="1"/>
  <c r="U107" i="1"/>
  <c r="U119" i="1"/>
  <c r="T142" i="1"/>
  <c r="T143" i="1" s="1"/>
  <c r="U151" i="1"/>
  <c r="AC165" i="17" l="1"/>
  <c r="AC176" i="17"/>
  <c r="AE45" i="17"/>
  <c r="AE46" i="17" s="1"/>
  <c r="AF7" i="17"/>
  <c r="AD173" i="17"/>
  <c r="AC120" i="17"/>
  <c r="AC121" i="17" s="1"/>
  <c r="AD52" i="17"/>
  <c r="AC142" i="17"/>
  <c r="AC143" i="17" s="1"/>
  <c r="AD107" i="17"/>
  <c r="AC65" i="17"/>
  <c r="AC66" i="17" s="1"/>
  <c r="AD162" i="17"/>
  <c r="AD140" i="17"/>
  <c r="AD85" i="17"/>
  <c r="AD96" i="17"/>
  <c r="AD74" i="17"/>
  <c r="AD152" i="17"/>
  <c r="AC87" i="17"/>
  <c r="AC88" i="17" s="1"/>
  <c r="AD108" i="17"/>
  <c r="AC153" i="17"/>
  <c r="AC154" i="17" s="1"/>
  <c r="AC76" i="17"/>
  <c r="AC77" i="17" s="1"/>
  <c r="AC54" i="17"/>
  <c r="AC55" i="17" s="1"/>
  <c r="AD129" i="17"/>
  <c r="AC109" i="17"/>
  <c r="AC110" i="17" s="1"/>
  <c r="AD53" i="17"/>
  <c r="AD163" i="17"/>
  <c r="AD75" i="17"/>
  <c r="AD130" i="17"/>
  <c r="AD174" i="17"/>
  <c r="AD118" i="17"/>
  <c r="AD86" i="17"/>
  <c r="AD63" i="17"/>
  <c r="AD164" i="17"/>
  <c r="AC98" i="17"/>
  <c r="AC99" i="17" s="1"/>
  <c r="AD119" i="17"/>
  <c r="AD175" i="17"/>
  <c r="AC131" i="17"/>
  <c r="AC132" i="17" s="1"/>
  <c r="AD97" i="17"/>
  <c r="AD141" i="17"/>
  <c r="AD151" i="17"/>
  <c r="AD64" i="17"/>
  <c r="AH20" i="1"/>
  <c r="AI20" i="1" s="1"/>
  <c r="Z4" i="1"/>
  <c r="AD176" i="23"/>
  <c r="AC176" i="18"/>
  <c r="AC165" i="18"/>
  <c r="AF7" i="18"/>
  <c r="AF45" i="18" s="1"/>
  <c r="AF46" i="18" s="1"/>
  <c r="AE45" i="18"/>
  <c r="AE46" i="18" s="1"/>
  <c r="AD176" i="15"/>
  <c r="AD174" i="18"/>
  <c r="AC120" i="18"/>
  <c r="AC121" i="18" s="1"/>
  <c r="AD63" i="18"/>
  <c r="AC142" i="18"/>
  <c r="AC143" i="18" s="1"/>
  <c r="AD96" i="18"/>
  <c r="AD85" i="18"/>
  <c r="AD164" i="18"/>
  <c r="AD119" i="18"/>
  <c r="AD64" i="18"/>
  <c r="AC54" i="18"/>
  <c r="AC55" i="18" s="1"/>
  <c r="AD175" i="18"/>
  <c r="AD129" i="18"/>
  <c r="AC76" i="18"/>
  <c r="AC77" i="18" s="1"/>
  <c r="AD130" i="18"/>
  <c r="AD162" i="18"/>
  <c r="AD118" i="18"/>
  <c r="AC87" i="18"/>
  <c r="AC88" i="18" s="1"/>
  <c r="AD141" i="18"/>
  <c r="AC109" i="18"/>
  <c r="AC110" i="18" s="1"/>
  <c r="AC65" i="18"/>
  <c r="AC66" i="18" s="1"/>
  <c r="AD173" i="18"/>
  <c r="AD107" i="18"/>
  <c r="AD74" i="18"/>
  <c r="AD140" i="18"/>
  <c r="AD108" i="18"/>
  <c r="AD53" i="18"/>
  <c r="AD151" i="18"/>
  <c r="AC98" i="18"/>
  <c r="AC99" i="18" s="1"/>
  <c r="AD52" i="18"/>
  <c r="AC131" i="18"/>
  <c r="AC132" i="18" s="1"/>
  <c r="AD97" i="18"/>
  <c r="AD75" i="18"/>
  <c r="AD152" i="18"/>
  <c r="AC153" i="18"/>
  <c r="AC154" i="18" s="1"/>
  <c r="AD86" i="18"/>
  <c r="AD163" i="18"/>
  <c r="AD176" i="21"/>
  <c r="AD165" i="21"/>
  <c r="AD165" i="15"/>
  <c r="I29" i="13"/>
  <c r="O29" i="13"/>
  <c r="P29" i="13" s="1"/>
  <c r="J29" i="13" s="1"/>
  <c r="AE165" i="20"/>
  <c r="AC165" i="24"/>
  <c r="AD176" i="14"/>
  <c r="AD165" i="22"/>
  <c r="AE45" i="24"/>
  <c r="AE46" i="24" s="1"/>
  <c r="AF7" i="24"/>
  <c r="AC153" i="24"/>
  <c r="AC154" i="24" s="1"/>
  <c r="AC131" i="24"/>
  <c r="AC132" i="24" s="1"/>
  <c r="AD85" i="24"/>
  <c r="AD164" i="24"/>
  <c r="AD108" i="24"/>
  <c r="AC76" i="24"/>
  <c r="AC77" i="24" s="1"/>
  <c r="AD175" i="24"/>
  <c r="AD97" i="24"/>
  <c r="AD75" i="24"/>
  <c r="AD162" i="24"/>
  <c r="AC120" i="24"/>
  <c r="AC121" i="24" s="1"/>
  <c r="AD74" i="24"/>
  <c r="AD173" i="24"/>
  <c r="AD86" i="24"/>
  <c r="AD63" i="24"/>
  <c r="AD140" i="24"/>
  <c r="AD107" i="24"/>
  <c r="AC54" i="24"/>
  <c r="AC55" i="24" s="1"/>
  <c r="AC98" i="24"/>
  <c r="AC99" i="24" s="1"/>
  <c r="AD64" i="24"/>
  <c r="AD151" i="24"/>
  <c r="AD96" i="24"/>
  <c r="AD53" i="24"/>
  <c r="AD152" i="24"/>
  <c r="AD118" i="24"/>
  <c r="AD119" i="24"/>
  <c r="AD129" i="24"/>
  <c r="AD52" i="24"/>
  <c r="AD130" i="24"/>
  <c r="AD174" i="24"/>
  <c r="AC142" i="24"/>
  <c r="AC143" i="24" s="1"/>
  <c r="AC109" i="24"/>
  <c r="AC110" i="24" s="1"/>
  <c r="AC65" i="24"/>
  <c r="AC66" i="24" s="1"/>
  <c r="AD163" i="24"/>
  <c r="AD141" i="24"/>
  <c r="AC87" i="24"/>
  <c r="AC88" i="24" s="1"/>
  <c r="AC176" i="24"/>
  <c r="AF45" i="23"/>
  <c r="AF46" i="23" s="1"/>
  <c r="AG7" i="23"/>
  <c r="AG45" i="23" s="1"/>
  <c r="AG46" i="23" s="1"/>
  <c r="AE163" i="23"/>
  <c r="AE174" i="23"/>
  <c r="AE164" i="23"/>
  <c r="AE175" i="23"/>
  <c r="AE141" i="23"/>
  <c r="AE173" i="23"/>
  <c r="AE151" i="23"/>
  <c r="AE152" i="23"/>
  <c r="AD142" i="23"/>
  <c r="AD143" i="23" s="1"/>
  <c r="AD120" i="23"/>
  <c r="AD121" i="23" s="1"/>
  <c r="AE162" i="23"/>
  <c r="AD153" i="23"/>
  <c r="AD154" i="23" s="1"/>
  <c r="AE140" i="23"/>
  <c r="AE119" i="23"/>
  <c r="AE97" i="23"/>
  <c r="AE129" i="23"/>
  <c r="AE130" i="23"/>
  <c r="AD131" i="23"/>
  <c r="AD132" i="23" s="1"/>
  <c r="AE108" i="23"/>
  <c r="AD109" i="23"/>
  <c r="AD110" i="23" s="1"/>
  <c r="AE63" i="23"/>
  <c r="AE118" i="23"/>
  <c r="AD87" i="23"/>
  <c r="AD88" i="23" s="1"/>
  <c r="AE107" i="23"/>
  <c r="AD98" i="23"/>
  <c r="AD99" i="23" s="1"/>
  <c r="AE85" i="23"/>
  <c r="AD54" i="23"/>
  <c r="AD55" i="23" s="1"/>
  <c r="AE96" i="23"/>
  <c r="AE53" i="23"/>
  <c r="AE86" i="23"/>
  <c r="AE75" i="23"/>
  <c r="AE74" i="23"/>
  <c r="AD65" i="23"/>
  <c r="AD66" i="23" s="1"/>
  <c r="AD76" i="23"/>
  <c r="AD77" i="23" s="1"/>
  <c r="AE52" i="23"/>
  <c r="AE64" i="23"/>
  <c r="AD165" i="23"/>
  <c r="AF45" i="22"/>
  <c r="AF46" i="22" s="1"/>
  <c r="AF174" i="22" s="1"/>
  <c r="AG7" i="22"/>
  <c r="AG45" i="22" s="1"/>
  <c r="AG46" i="22" s="1"/>
  <c r="AE163" i="22"/>
  <c r="AE174" i="22"/>
  <c r="AE164" i="22"/>
  <c r="AE175" i="22"/>
  <c r="AE162" i="22"/>
  <c r="AE141" i="22"/>
  <c r="AE173" i="22"/>
  <c r="AE152" i="22"/>
  <c r="AD142" i="22"/>
  <c r="AD143" i="22" s="1"/>
  <c r="AD153" i="22"/>
  <c r="AD154" i="22" s="1"/>
  <c r="AD131" i="22"/>
  <c r="AD132" i="22" s="1"/>
  <c r="AE140" i="22"/>
  <c r="AD109" i="22"/>
  <c r="AD110" i="22" s="1"/>
  <c r="AD120" i="22"/>
  <c r="AD121" i="22" s="1"/>
  <c r="AE119" i="22"/>
  <c r="AE118" i="22"/>
  <c r="AE129" i="22"/>
  <c r="AE130" i="22"/>
  <c r="AE151" i="22"/>
  <c r="AE96" i="22"/>
  <c r="AE107" i="22"/>
  <c r="AD76" i="22"/>
  <c r="AD77" i="22" s="1"/>
  <c r="AE74" i="22"/>
  <c r="AD98" i="22"/>
  <c r="AD99" i="22" s="1"/>
  <c r="AD87" i="22"/>
  <c r="AD88" i="22" s="1"/>
  <c r="AE85" i="22"/>
  <c r="AE108" i="22"/>
  <c r="AE97" i="22"/>
  <c r="AE53" i="22"/>
  <c r="AE86" i="22"/>
  <c r="AE75" i="22"/>
  <c r="AE63" i="22"/>
  <c r="AE52" i="22"/>
  <c r="AD65" i="22"/>
  <c r="AD66" i="22" s="1"/>
  <c r="AE64" i="22"/>
  <c r="AD54" i="22"/>
  <c r="AD55" i="22" s="1"/>
  <c r="AD176" i="22"/>
  <c r="AF45" i="21"/>
  <c r="AF46" i="21" s="1"/>
  <c r="AG7" i="21"/>
  <c r="AG45" i="21" s="1"/>
  <c r="AG46" i="21" s="1"/>
  <c r="AE163" i="21"/>
  <c r="AE174" i="21"/>
  <c r="AE164" i="21"/>
  <c r="AE151" i="21"/>
  <c r="AE175" i="21"/>
  <c r="AE162" i="21"/>
  <c r="AE173" i="21"/>
  <c r="AE141" i="21"/>
  <c r="AD153" i="21"/>
  <c r="AD154" i="21" s="1"/>
  <c r="AD131" i="21"/>
  <c r="AD132" i="21" s="1"/>
  <c r="AE129" i="21"/>
  <c r="AE140" i="21"/>
  <c r="AE152" i="21"/>
  <c r="AE85" i="21"/>
  <c r="AD142" i="21"/>
  <c r="AD143" i="21" s="1"/>
  <c r="AE118" i="21"/>
  <c r="AE96" i="21"/>
  <c r="AE119" i="21"/>
  <c r="AD109" i="21"/>
  <c r="AD110" i="21" s="1"/>
  <c r="AE86" i="21"/>
  <c r="AD120" i="21"/>
  <c r="AD121" i="21" s="1"/>
  <c r="AE97" i="21"/>
  <c r="AE130" i="21"/>
  <c r="AD98" i="21"/>
  <c r="AD99" i="21" s="1"/>
  <c r="AE108" i="21"/>
  <c r="AD87" i="21"/>
  <c r="AD88" i="21" s="1"/>
  <c r="AE107" i="21"/>
  <c r="AE63" i="21"/>
  <c r="AD76" i="21"/>
  <c r="AD77" i="21" s="1"/>
  <c r="AE53" i="21"/>
  <c r="AE52" i="21"/>
  <c r="AD65" i="21"/>
  <c r="AD66" i="21" s="1"/>
  <c r="AE74" i="21"/>
  <c r="AE64" i="21"/>
  <c r="AE75" i="21"/>
  <c r="AD54" i="21"/>
  <c r="AD55" i="21" s="1"/>
  <c r="AE176" i="20"/>
  <c r="AG174" i="20"/>
  <c r="AG140" i="20"/>
  <c r="AG164" i="20"/>
  <c r="AG151" i="20"/>
  <c r="AG175" i="20"/>
  <c r="AG162" i="20"/>
  <c r="AG173" i="20"/>
  <c r="AG152" i="20"/>
  <c r="AG130" i="20"/>
  <c r="AF142" i="20"/>
  <c r="AG96" i="20"/>
  <c r="AG141" i="20"/>
  <c r="AG163" i="20"/>
  <c r="AF153" i="20"/>
  <c r="AG129" i="20"/>
  <c r="AF131" i="20"/>
  <c r="AF120" i="20"/>
  <c r="AG107" i="20"/>
  <c r="AG118" i="20"/>
  <c r="AF98" i="20"/>
  <c r="AG119" i="20"/>
  <c r="AG108" i="20"/>
  <c r="AG85" i="20"/>
  <c r="AF109" i="20"/>
  <c r="AG97" i="20"/>
  <c r="AG86" i="20"/>
  <c r="AG63" i="20"/>
  <c r="AF65" i="20"/>
  <c r="AF87" i="20"/>
  <c r="AG52" i="20"/>
  <c r="AG74" i="20"/>
  <c r="AG53" i="20"/>
  <c r="AG64" i="20"/>
  <c r="AF76" i="20"/>
  <c r="AF54" i="20"/>
  <c r="AG75" i="20"/>
  <c r="AL46" i="20"/>
  <c r="AI46" i="20" s="1"/>
  <c r="AI48" i="20" s="1"/>
  <c r="AF163" i="20"/>
  <c r="AF174" i="20"/>
  <c r="AE142" i="20"/>
  <c r="AE143" i="20" s="1"/>
  <c r="AE153" i="20"/>
  <c r="AE154" i="20" s="1"/>
  <c r="AF164" i="20"/>
  <c r="AF175" i="20"/>
  <c r="AF162" i="20"/>
  <c r="AF173" i="20"/>
  <c r="AF152" i="20"/>
  <c r="AF130" i="20"/>
  <c r="AE98" i="20"/>
  <c r="AE99" i="20" s="1"/>
  <c r="AF141" i="20"/>
  <c r="AF151" i="20"/>
  <c r="AE131" i="20"/>
  <c r="AE132" i="20" s="1"/>
  <c r="AF140" i="20"/>
  <c r="AF97" i="20"/>
  <c r="AE120" i="20"/>
  <c r="AE121" i="20" s="1"/>
  <c r="AF107" i="20"/>
  <c r="AF96" i="20"/>
  <c r="AF118" i="20"/>
  <c r="AE109" i="20"/>
  <c r="AE110" i="20" s="1"/>
  <c r="AF85" i="20"/>
  <c r="AF119" i="20"/>
  <c r="AE76" i="20"/>
  <c r="AE77" i="20" s="1"/>
  <c r="AF129" i="20"/>
  <c r="AF86" i="20"/>
  <c r="AF108" i="20"/>
  <c r="AE65" i="20"/>
  <c r="AE66" i="20" s="1"/>
  <c r="AF52" i="20"/>
  <c r="AF74" i="20"/>
  <c r="AF63" i="20"/>
  <c r="AF53" i="20"/>
  <c r="AF64" i="20"/>
  <c r="AE54" i="20"/>
  <c r="AE55" i="20" s="1"/>
  <c r="AE87" i="20"/>
  <c r="AE88" i="20" s="1"/>
  <c r="AF75" i="20"/>
  <c r="AD176" i="19"/>
  <c r="AF45" i="19"/>
  <c r="AF46" i="19" s="1"/>
  <c r="AG7" i="19"/>
  <c r="AG45" i="19" s="1"/>
  <c r="AG46" i="19" s="1"/>
  <c r="AE163" i="19"/>
  <c r="AE174" i="19"/>
  <c r="AD142" i="19"/>
  <c r="AD143" i="19" s="1"/>
  <c r="AE164" i="19"/>
  <c r="AE175" i="19"/>
  <c r="AE162" i="19"/>
  <c r="AE173" i="19"/>
  <c r="AE141" i="19"/>
  <c r="AE140" i="19"/>
  <c r="AD153" i="19"/>
  <c r="AD154" i="19" s="1"/>
  <c r="AE152" i="19"/>
  <c r="AE151" i="19"/>
  <c r="AD131" i="19"/>
  <c r="AD132" i="19" s="1"/>
  <c r="AE130" i="19"/>
  <c r="AE129" i="19"/>
  <c r="AD98" i="19"/>
  <c r="AD99" i="19" s="1"/>
  <c r="AD120" i="19"/>
  <c r="AD121" i="19" s="1"/>
  <c r="AE119" i="19"/>
  <c r="AE118" i="19"/>
  <c r="AE97" i="19"/>
  <c r="AE108" i="19"/>
  <c r="AE86" i="19"/>
  <c r="AD76" i="19"/>
  <c r="AD77" i="19" s="1"/>
  <c r="AE74" i="19"/>
  <c r="AD109" i="19"/>
  <c r="AD110" i="19" s="1"/>
  <c r="AE96" i="19"/>
  <c r="AE64" i="19"/>
  <c r="AE53" i="19"/>
  <c r="AE52" i="19"/>
  <c r="AE85" i="19"/>
  <c r="AE75" i="19"/>
  <c r="AE107" i="19"/>
  <c r="AD87" i="19"/>
  <c r="AD88" i="19" s="1"/>
  <c r="AD65" i="19"/>
  <c r="AD66" i="19" s="1"/>
  <c r="AD54" i="19"/>
  <c r="AD55" i="19" s="1"/>
  <c r="AE63" i="19"/>
  <c r="AD165" i="19"/>
  <c r="AF163" i="18"/>
  <c r="AF174" i="18"/>
  <c r="AE153" i="18"/>
  <c r="AF164" i="18"/>
  <c r="AF151" i="18"/>
  <c r="AF175" i="18"/>
  <c r="AF162" i="18"/>
  <c r="AF173" i="18"/>
  <c r="AF152" i="18"/>
  <c r="AE131" i="18"/>
  <c r="AF129" i="18"/>
  <c r="AF108" i="18"/>
  <c r="AF130" i="18"/>
  <c r="AE142" i="18"/>
  <c r="AF141" i="18"/>
  <c r="AE109" i="18"/>
  <c r="AF86" i="18"/>
  <c r="AF118" i="18"/>
  <c r="AF97" i="18"/>
  <c r="AF140" i="18"/>
  <c r="AF74" i="18"/>
  <c r="AF107" i="18"/>
  <c r="AF85" i="18"/>
  <c r="AE98" i="18"/>
  <c r="AF119" i="18"/>
  <c r="AE87" i="18"/>
  <c r="AF96" i="18"/>
  <c r="AF64" i="18"/>
  <c r="AE76" i="18"/>
  <c r="AF75" i="18"/>
  <c r="AE65" i="18"/>
  <c r="AE54" i="18"/>
  <c r="AF53" i="18"/>
  <c r="AF63" i="18"/>
  <c r="AF52" i="18"/>
  <c r="AE120" i="18"/>
  <c r="AG174" i="18"/>
  <c r="AF153" i="18"/>
  <c r="AG164" i="18"/>
  <c r="AG151" i="18"/>
  <c r="AG175" i="18"/>
  <c r="AG162" i="18"/>
  <c r="AG173" i="18"/>
  <c r="AG152" i="18"/>
  <c r="AF131" i="18"/>
  <c r="AG129" i="18"/>
  <c r="AG163" i="18"/>
  <c r="AG130" i="18"/>
  <c r="AF142" i="18"/>
  <c r="AG141" i="18"/>
  <c r="AG107" i="18"/>
  <c r="AG118" i="18"/>
  <c r="AF109" i="18"/>
  <c r="AG140" i="18"/>
  <c r="AG63" i="18"/>
  <c r="AG85" i="18"/>
  <c r="AF98" i="18"/>
  <c r="AG119" i="18"/>
  <c r="AG97" i="18"/>
  <c r="AG108" i="18"/>
  <c r="AG96" i="18"/>
  <c r="AF120" i="18"/>
  <c r="AF76" i="18"/>
  <c r="AF87" i="18"/>
  <c r="AG75" i="18"/>
  <c r="AF65" i="18"/>
  <c r="AG53" i="18"/>
  <c r="AG52" i="18"/>
  <c r="AG74" i="18"/>
  <c r="AG86" i="18"/>
  <c r="AF54" i="18"/>
  <c r="AG64" i="18"/>
  <c r="AG174" i="16"/>
  <c r="AF142" i="16"/>
  <c r="AG140" i="16"/>
  <c r="AG164" i="16"/>
  <c r="AG151" i="16"/>
  <c r="AG175" i="16"/>
  <c r="AG162" i="16"/>
  <c r="AG173" i="16"/>
  <c r="AG152" i="16"/>
  <c r="AG141" i="16"/>
  <c r="AF153" i="16"/>
  <c r="AG119" i="16"/>
  <c r="AG163" i="16"/>
  <c r="AG130" i="16"/>
  <c r="AF120" i="16"/>
  <c r="AF98" i="16"/>
  <c r="AF109" i="16"/>
  <c r="AG129" i="16"/>
  <c r="AG97" i="16"/>
  <c r="AF131" i="16"/>
  <c r="AG85" i="16"/>
  <c r="AG75" i="16"/>
  <c r="AG107" i="16"/>
  <c r="AG118" i="16"/>
  <c r="AG96" i="16"/>
  <c r="AG108" i="16"/>
  <c r="AG63" i="16"/>
  <c r="AF65" i="16"/>
  <c r="AG74" i="16"/>
  <c r="AG53" i="16"/>
  <c r="AG52" i="16"/>
  <c r="AG64" i="16"/>
  <c r="AF87" i="16"/>
  <c r="AG86" i="16"/>
  <c r="AF76" i="16"/>
  <c r="AF54" i="16"/>
  <c r="AL46" i="16"/>
  <c r="AI46" i="16" s="1"/>
  <c r="AI48" i="16" s="1"/>
  <c r="AF163" i="16"/>
  <c r="AF174" i="16"/>
  <c r="AE142" i="16"/>
  <c r="AE143" i="16" s="1"/>
  <c r="AE153" i="16"/>
  <c r="AE154" i="16" s="1"/>
  <c r="AF164" i="16"/>
  <c r="AF175" i="16"/>
  <c r="AF162" i="16"/>
  <c r="AF173" i="16"/>
  <c r="AF141" i="16"/>
  <c r="AF129" i="16"/>
  <c r="AF151" i="16"/>
  <c r="AF152" i="16"/>
  <c r="AF130" i="16"/>
  <c r="AF85" i="16"/>
  <c r="AF140" i="16"/>
  <c r="AF96" i="16"/>
  <c r="AE120" i="16"/>
  <c r="AE121" i="16" s="1"/>
  <c r="AF119" i="16"/>
  <c r="AE131" i="16"/>
  <c r="AE132" i="16" s="1"/>
  <c r="AE109" i="16"/>
  <c r="AE110" i="16" s="1"/>
  <c r="AF107" i="16"/>
  <c r="AE98" i="16"/>
  <c r="AE99" i="16" s="1"/>
  <c r="AF118" i="16"/>
  <c r="AF86" i="16"/>
  <c r="AF74" i="16"/>
  <c r="AE65" i="16"/>
  <c r="AE66" i="16" s="1"/>
  <c r="AF108" i="16"/>
  <c r="AF97" i="16"/>
  <c r="AF75" i="16"/>
  <c r="AE87" i="16"/>
  <c r="AE88" i="16" s="1"/>
  <c r="AF63" i="16"/>
  <c r="AF53" i="16"/>
  <c r="AE54" i="16"/>
  <c r="AE55" i="16" s="1"/>
  <c r="AE76" i="16"/>
  <c r="AE77" i="16" s="1"/>
  <c r="AF64" i="16"/>
  <c r="AF52" i="16"/>
  <c r="AE176" i="16"/>
  <c r="AE165" i="16"/>
  <c r="AF45" i="15"/>
  <c r="AF46" i="15" s="1"/>
  <c r="AG7" i="15"/>
  <c r="AG45" i="15" s="1"/>
  <c r="AG46" i="15" s="1"/>
  <c r="AE174" i="15"/>
  <c r="AD120" i="15"/>
  <c r="AD121" i="15" s="1"/>
  <c r="AE85" i="15"/>
  <c r="AD153" i="15"/>
  <c r="AD154" i="15" s="1"/>
  <c r="AE164" i="15"/>
  <c r="AD131" i="15"/>
  <c r="AD132" i="15" s="1"/>
  <c r="AE119" i="15"/>
  <c r="AE118" i="15"/>
  <c r="AE151" i="15"/>
  <c r="AE53" i="15"/>
  <c r="AE52" i="15"/>
  <c r="AE86" i="15"/>
  <c r="AE175" i="15"/>
  <c r="AD109" i="15"/>
  <c r="AD110" i="15" s="1"/>
  <c r="AE74" i="15"/>
  <c r="AE173" i="15"/>
  <c r="AD54" i="15"/>
  <c r="AD55" i="15" s="1"/>
  <c r="AE141" i="15"/>
  <c r="AE75" i="15"/>
  <c r="AE162" i="15"/>
  <c r="AE107" i="15"/>
  <c r="AE96" i="15"/>
  <c r="AE97" i="15"/>
  <c r="AE140" i="15"/>
  <c r="AE63" i="15"/>
  <c r="AD76" i="15"/>
  <c r="AD77" i="15" s="1"/>
  <c r="AE163" i="15"/>
  <c r="AE129" i="15"/>
  <c r="AD142" i="15"/>
  <c r="AD143" i="15" s="1"/>
  <c r="AE108" i="15"/>
  <c r="AE152" i="15"/>
  <c r="AD98" i="15"/>
  <c r="AD99" i="15" s="1"/>
  <c r="AE64" i="15"/>
  <c r="AE130" i="15"/>
  <c r="AD65" i="15"/>
  <c r="AD66" i="15" s="1"/>
  <c r="AD87" i="15"/>
  <c r="AD88" i="15" s="1"/>
  <c r="AF45" i="14"/>
  <c r="AF46" i="14" s="1"/>
  <c r="AG7" i="14"/>
  <c r="AG45" i="14" s="1"/>
  <c r="AG46" i="14" s="1"/>
  <c r="AE163" i="14"/>
  <c r="AE174" i="14"/>
  <c r="AE164" i="14"/>
  <c r="AE175" i="14"/>
  <c r="AE162" i="14"/>
  <c r="AE141" i="14"/>
  <c r="AE173" i="14"/>
  <c r="AE130" i="14"/>
  <c r="AE140" i="14"/>
  <c r="AD153" i="14"/>
  <c r="AD154" i="14" s="1"/>
  <c r="AE152" i="14"/>
  <c r="AE151" i="14"/>
  <c r="AE118" i="14"/>
  <c r="AE129" i="14"/>
  <c r="AD120" i="14"/>
  <c r="AD121" i="14" s="1"/>
  <c r="AE119" i="14"/>
  <c r="AE96" i="14"/>
  <c r="AD142" i="14"/>
  <c r="AD143" i="14" s="1"/>
  <c r="AD109" i="14"/>
  <c r="AD110" i="14" s="1"/>
  <c r="AE97" i="14"/>
  <c r="AE85" i="14"/>
  <c r="AD76" i="14"/>
  <c r="AD77" i="14" s="1"/>
  <c r="AE75" i="14"/>
  <c r="AD98" i="14"/>
  <c r="AD99" i="14" s="1"/>
  <c r="AE74" i="14"/>
  <c r="AE64" i="14"/>
  <c r="AD131" i="14"/>
  <c r="AD132" i="14" s="1"/>
  <c r="AE108" i="14"/>
  <c r="AE107" i="14"/>
  <c r="AD87" i="14"/>
  <c r="AD88" i="14" s="1"/>
  <c r="AE53" i="14"/>
  <c r="AE52" i="14"/>
  <c r="AE86" i="14"/>
  <c r="AD54" i="14"/>
  <c r="AD55" i="14" s="1"/>
  <c r="AD65" i="14"/>
  <c r="AD66" i="14" s="1"/>
  <c r="AE63" i="14"/>
  <c r="AD165" i="14"/>
  <c r="V173" i="1"/>
  <c r="V174" i="1"/>
  <c r="V175" i="1"/>
  <c r="V164" i="1"/>
  <c r="V162" i="1"/>
  <c r="V163" i="1"/>
  <c r="U165" i="1"/>
  <c r="U176" i="1"/>
  <c r="U54" i="1"/>
  <c r="U55" i="1" s="1"/>
  <c r="V64" i="1"/>
  <c r="V52" i="1"/>
  <c r="V53" i="1"/>
  <c r="V63" i="1"/>
  <c r="U65" i="1"/>
  <c r="U66" i="1" s="1"/>
  <c r="U76" i="1"/>
  <c r="U77" i="1" s="1"/>
  <c r="U87" i="1"/>
  <c r="U88" i="1" s="1"/>
  <c r="U98" i="1"/>
  <c r="U99" i="1" s="1"/>
  <c r="V107" i="1"/>
  <c r="V119" i="1"/>
  <c r="U142" i="1"/>
  <c r="U143" i="1" s="1"/>
  <c r="V151" i="1"/>
  <c r="V74" i="1"/>
  <c r="U109" i="1"/>
  <c r="U110" i="1" s="1"/>
  <c r="V118" i="1"/>
  <c r="V130" i="1"/>
  <c r="U153" i="1"/>
  <c r="U154" i="1" s="1"/>
  <c r="V86" i="1"/>
  <c r="V97" i="1"/>
  <c r="U120" i="1"/>
  <c r="U121" i="1" s="1"/>
  <c r="V129" i="1"/>
  <c r="V141" i="1"/>
  <c r="V75" i="1"/>
  <c r="V85" i="1"/>
  <c r="V96" i="1"/>
  <c r="V108" i="1"/>
  <c r="U131" i="1"/>
  <c r="U132" i="1" s="1"/>
  <c r="V140" i="1"/>
  <c r="V152" i="1"/>
  <c r="X7" i="1"/>
  <c r="Y7" i="1" s="1"/>
  <c r="W45" i="1"/>
  <c r="W46" i="1" s="1"/>
  <c r="AL46" i="18" l="1"/>
  <c r="AI46" i="18" s="1"/>
  <c r="AI48" i="18" s="1"/>
  <c r="B16" i="13"/>
  <c r="S16" i="13" s="1"/>
  <c r="L19" i="13" s="1"/>
  <c r="AD165" i="17"/>
  <c r="AD176" i="17"/>
  <c r="AG7" i="17"/>
  <c r="AG45" i="17" s="1"/>
  <c r="AG46" i="17" s="1"/>
  <c r="AF45" i="17"/>
  <c r="AF46" i="17" s="1"/>
  <c r="AE163" i="17"/>
  <c r="AE130" i="17"/>
  <c r="AE107" i="17"/>
  <c r="AE118" i="17"/>
  <c r="AE75" i="17"/>
  <c r="AE174" i="17"/>
  <c r="AE164" i="17"/>
  <c r="AD131" i="17"/>
  <c r="AD132" i="17" s="1"/>
  <c r="AE86" i="17"/>
  <c r="AD76" i="17"/>
  <c r="AD77" i="17" s="1"/>
  <c r="AE175" i="17"/>
  <c r="AE96" i="17"/>
  <c r="AD98" i="17"/>
  <c r="AD99" i="17" s="1"/>
  <c r="AE162" i="17"/>
  <c r="AD142" i="17"/>
  <c r="AD143" i="17" s="1"/>
  <c r="AE108" i="17"/>
  <c r="AE141" i="17"/>
  <c r="AE151" i="17"/>
  <c r="AE63" i="17"/>
  <c r="AE97" i="17"/>
  <c r="AE173" i="17"/>
  <c r="AE64" i="17"/>
  <c r="AD54" i="17"/>
  <c r="AD55" i="17" s="1"/>
  <c r="AE140" i="17"/>
  <c r="AE129" i="17"/>
  <c r="AE52" i="17"/>
  <c r="AD120" i="17"/>
  <c r="AD121" i="17" s="1"/>
  <c r="AD65" i="17"/>
  <c r="AD66" i="17" s="1"/>
  <c r="AE85" i="17"/>
  <c r="AD153" i="17"/>
  <c r="AD154" i="17" s="1"/>
  <c r="AE152" i="17"/>
  <c r="AD87" i="17"/>
  <c r="AD88" i="17" s="1"/>
  <c r="AE74" i="17"/>
  <c r="AE119" i="17"/>
  <c r="AD109" i="17"/>
  <c r="AD110" i="17" s="1"/>
  <c r="AE53" i="17"/>
  <c r="AD165" i="18"/>
  <c r="AE175" i="18"/>
  <c r="AD76" i="18"/>
  <c r="AD77" i="18" s="1"/>
  <c r="AD65" i="18"/>
  <c r="AD66" i="18" s="1"/>
  <c r="AE162" i="18"/>
  <c r="AD109" i="18"/>
  <c r="AD110" i="18" s="1"/>
  <c r="AD54" i="18"/>
  <c r="AD55" i="18" s="1"/>
  <c r="AE173" i="18"/>
  <c r="AE107" i="18"/>
  <c r="AE86" i="18"/>
  <c r="AE151" i="18"/>
  <c r="AE141" i="18"/>
  <c r="AE97" i="18"/>
  <c r="AE152" i="18"/>
  <c r="AD98" i="18"/>
  <c r="AD99" i="18" s="1"/>
  <c r="AE74" i="18"/>
  <c r="AE164" i="18"/>
  <c r="AD131" i="18"/>
  <c r="AD132" i="18" s="1"/>
  <c r="AE63" i="18"/>
  <c r="AE53" i="18"/>
  <c r="AE129" i="18"/>
  <c r="AD120" i="18"/>
  <c r="AD121" i="18" s="1"/>
  <c r="AE52" i="18"/>
  <c r="AE163" i="18"/>
  <c r="AD142" i="18"/>
  <c r="AD143" i="18" s="1"/>
  <c r="AE85" i="18"/>
  <c r="AE75" i="18"/>
  <c r="AE174" i="18"/>
  <c r="AE119" i="18"/>
  <c r="AE64" i="18"/>
  <c r="AE108" i="18"/>
  <c r="AE140" i="18"/>
  <c r="AE130" i="18"/>
  <c r="AD87" i="18"/>
  <c r="AD88" i="18" s="1"/>
  <c r="AD153" i="18"/>
  <c r="AD154" i="18" s="1"/>
  <c r="AE118" i="18"/>
  <c r="AE96" i="18"/>
  <c r="AE99" i="18" s="1"/>
  <c r="AD176" i="18"/>
  <c r="AG121" i="16"/>
  <c r="AG55" i="16"/>
  <c r="AG110" i="18"/>
  <c r="AG99" i="18"/>
  <c r="AE54" i="22"/>
  <c r="AE55" i="22" s="1"/>
  <c r="AF64" i="22"/>
  <c r="AF77" i="18"/>
  <c r="AE176" i="21"/>
  <c r="AE98" i="22"/>
  <c r="AE99" i="22" s="1"/>
  <c r="AF143" i="18"/>
  <c r="AF176" i="18"/>
  <c r="AE165" i="21"/>
  <c r="AF74" i="22"/>
  <c r="AG143" i="18"/>
  <c r="AE120" i="22"/>
  <c r="AE121" i="22" s="1"/>
  <c r="AL46" i="15"/>
  <c r="AI46" i="15" s="1"/>
  <c r="AI48" i="15" s="1"/>
  <c r="AF151" i="22"/>
  <c r="AG121" i="18"/>
  <c r="AL46" i="22"/>
  <c r="AI46" i="22" s="1"/>
  <c r="AI48" i="22" s="1"/>
  <c r="AE176" i="23"/>
  <c r="AE87" i="22"/>
  <c r="AE88" i="22" s="1"/>
  <c r="AF119" i="22"/>
  <c r="AF163" i="22"/>
  <c r="AE65" i="22"/>
  <c r="AE66" i="22" s="1"/>
  <c r="AE76" i="22"/>
  <c r="AE77" i="22" s="1"/>
  <c r="AF140" i="22"/>
  <c r="AF52" i="22"/>
  <c r="AE109" i="22"/>
  <c r="AE110" i="22" s="1"/>
  <c r="AF129" i="22"/>
  <c r="AF63" i="22"/>
  <c r="AF96" i="22"/>
  <c r="AF141" i="22"/>
  <c r="AF75" i="22"/>
  <c r="AE142" i="22"/>
  <c r="AE143" i="22" s="1"/>
  <c r="AE153" i="22"/>
  <c r="AE154" i="22" s="1"/>
  <c r="AF53" i="22"/>
  <c r="AF152" i="22"/>
  <c r="AF173" i="22"/>
  <c r="AF86" i="22"/>
  <c r="AE131" i="22"/>
  <c r="AE132" i="22" s="1"/>
  <c r="AF162" i="22"/>
  <c r="AF97" i="22"/>
  <c r="AF130" i="22"/>
  <c r="AF175" i="22"/>
  <c r="AF108" i="22"/>
  <c r="AF107" i="22"/>
  <c r="AF164" i="22"/>
  <c r="AF85" i="22"/>
  <c r="AF118" i="22"/>
  <c r="AE165" i="14"/>
  <c r="AG165" i="18"/>
  <c r="AF165" i="18"/>
  <c r="AE176" i="19"/>
  <c r="AG143" i="20"/>
  <c r="AE176" i="15"/>
  <c r="AE165" i="19"/>
  <c r="AG165" i="16"/>
  <c r="AE176" i="14"/>
  <c r="AG132" i="16"/>
  <c r="AD176" i="24"/>
  <c r="AF45" i="24"/>
  <c r="AF46" i="24" s="1"/>
  <c r="AG7" i="24"/>
  <c r="AG45" i="24" s="1"/>
  <c r="AG46" i="24" s="1"/>
  <c r="AD165" i="24"/>
  <c r="AE175" i="24"/>
  <c r="AE129" i="24"/>
  <c r="AD87" i="24"/>
  <c r="AD88" i="24" s="1"/>
  <c r="AE162" i="24"/>
  <c r="AE108" i="24"/>
  <c r="AE85" i="24"/>
  <c r="AE141" i="24"/>
  <c r="AE140" i="24"/>
  <c r="AE75" i="24"/>
  <c r="AD109" i="24"/>
  <c r="AD110" i="24" s="1"/>
  <c r="AE173" i="24"/>
  <c r="AD120" i="24"/>
  <c r="AD121" i="24" s="1"/>
  <c r="AE74" i="24"/>
  <c r="AE151" i="24"/>
  <c r="AE86" i="24"/>
  <c r="AE63" i="24"/>
  <c r="AD131" i="24"/>
  <c r="AD132" i="24" s="1"/>
  <c r="AE164" i="24"/>
  <c r="AE119" i="24"/>
  <c r="AD153" i="24"/>
  <c r="AD154" i="24" s="1"/>
  <c r="AE53" i="24"/>
  <c r="AD142" i="24"/>
  <c r="AD143" i="24" s="1"/>
  <c r="AE107" i="24"/>
  <c r="AE52" i="24"/>
  <c r="AE130" i="24"/>
  <c r="AE96" i="24"/>
  <c r="AD65" i="24"/>
  <c r="AD66" i="24" s="1"/>
  <c r="AE152" i="24"/>
  <c r="AE118" i="24"/>
  <c r="AE64" i="24"/>
  <c r="AE163" i="24"/>
  <c r="AD76" i="24"/>
  <c r="AD77" i="24" s="1"/>
  <c r="AE174" i="24"/>
  <c r="AE97" i="24"/>
  <c r="AD98" i="24"/>
  <c r="AD99" i="24" s="1"/>
  <c r="AD54" i="24"/>
  <c r="AD55" i="24" s="1"/>
  <c r="AG174" i="23"/>
  <c r="AF142" i="23"/>
  <c r="AG164" i="23"/>
  <c r="AG175" i="23"/>
  <c r="AG162" i="23"/>
  <c r="AG173" i="23"/>
  <c r="AG152" i="23"/>
  <c r="AG151" i="23"/>
  <c r="AG141" i="23"/>
  <c r="AF131" i="23"/>
  <c r="AG140" i="23"/>
  <c r="AF153" i="23"/>
  <c r="AG163" i="23"/>
  <c r="AG130" i="23"/>
  <c r="AG97" i="23"/>
  <c r="AG129" i="23"/>
  <c r="AG108" i="23"/>
  <c r="AF87" i="23"/>
  <c r="AG118" i="23"/>
  <c r="AG107" i="23"/>
  <c r="AF98" i="23"/>
  <c r="AG85" i="23"/>
  <c r="AF54" i="23"/>
  <c r="AF120" i="23"/>
  <c r="AG75" i="23"/>
  <c r="AG96" i="23"/>
  <c r="AG86" i="23"/>
  <c r="AG119" i="23"/>
  <c r="AG74" i="23"/>
  <c r="AG63" i="23"/>
  <c r="AF76" i="23"/>
  <c r="AF65" i="23"/>
  <c r="AG52" i="23"/>
  <c r="AF109" i="23"/>
  <c r="AG64" i="23"/>
  <c r="AG53" i="23"/>
  <c r="AL46" i="23"/>
  <c r="AI46" i="23" s="1"/>
  <c r="AI48" i="23" s="1"/>
  <c r="AE165" i="23"/>
  <c r="AF163" i="23"/>
  <c r="AF174" i="23"/>
  <c r="AE153" i="23"/>
  <c r="AE154" i="23" s="1"/>
  <c r="AF164" i="23"/>
  <c r="AF175" i="23"/>
  <c r="AF162" i="23"/>
  <c r="AF173" i="23"/>
  <c r="AF151" i="23"/>
  <c r="AF152" i="23"/>
  <c r="AE142" i="23"/>
  <c r="AE143" i="23" s="1"/>
  <c r="AF118" i="23"/>
  <c r="AF141" i="23"/>
  <c r="AF140" i="23"/>
  <c r="AF129" i="23"/>
  <c r="AF130" i="23"/>
  <c r="AE131" i="23"/>
  <c r="AE132" i="23" s="1"/>
  <c r="AE109" i="23"/>
  <c r="AE110" i="23" s="1"/>
  <c r="AE87" i="23"/>
  <c r="AE88" i="23" s="1"/>
  <c r="AF64" i="23"/>
  <c r="AF53" i="23"/>
  <c r="AF52" i="23"/>
  <c r="AF107" i="23"/>
  <c r="AE98" i="23"/>
  <c r="AE99" i="23" s="1"/>
  <c r="AF85" i="23"/>
  <c r="AE120" i="23"/>
  <c r="AE121" i="23" s="1"/>
  <c r="AF97" i="23"/>
  <c r="AE65" i="23"/>
  <c r="AE66" i="23" s="1"/>
  <c r="AF96" i="23"/>
  <c r="AF119" i="23"/>
  <c r="AF86" i="23"/>
  <c r="AF75" i="23"/>
  <c r="AF74" i="23"/>
  <c r="AF63" i="23"/>
  <c r="AE76" i="23"/>
  <c r="AE77" i="23" s="1"/>
  <c r="AE54" i="23"/>
  <c r="AE55" i="23" s="1"/>
  <c r="AF108" i="23"/>
  <c r="AG175" i="22"/>
  <c r="AG129" i="22"/>
  <c r="AG97" i="22"/>
  <c r="AG162" i="22"/>
  <c r="AG130" i="22"/>
  <c r="AG75" i="22"/>
  <c r="AG164" i="22"/>
  <c r="AG173" i="22"/>
  <c r="AF153" i="22"/>
  <c r="AG86" i="22"/>
  <c r="AG52" i="22"/>
  <c r="AG152" i="22"/>
  <c r="AF131" i="22"/>
  <c r="AG141" i="22"/>
  <c r="AF109" i="22"/>
  <c r="AF65" i="22"/>
  <c r="AG140" i="22"/>
  <c r="AF76" i="22"/>
  <c r="AG64" i="22"/>
  <c r="AG107" i="22"/>
  <c r="AG151" i="22"/>
  <c r="AG74" i="22"/>
  <c r="AF54" i="22"/>
  <c r="AF120" i="22"/>
  <c r="AG63" i="22"/>
  <c r="AG96" i="22"/>
  <c r="AG163" i="22"/>
  <c r="AF98" i="22"/>
  <c r="AG53" i="22"/>
  <c r="AG108" i="22"/>
  <c r="AG174" i="22"/>
  <c r="AG118" i="22"/>
  <c r="AF87" i="22"/>
  <c r="AF142" i="22"/>
  <c r="AG119" i="22"/>
  <c r="AG85" i="22"/>
  <c r="AE176" i="22"/>
  <c r="AE165" i="22"/>
  <c r="AG174" i="21"/>
  <c r="AF153" i="21"/>
  <c r="AG164" i="21"/>
  <c r="AG175" i="21"/>
  <c r="AG162" i="21"/>
  <c r="AG173" i="21"/>
  <c r="AG152" i="21"/>
  <c r="AF131" i="21"/>
  <c r="AG129" i="21"/>
  <c r="AG140" i="21"/>
  <c r="AG119" i="21"/>
  <c r="AG151" i="21"/>
  <c r="AG163" i="21"/>
  <c r="AG130" i="21"/>
  <c r="AF142" i="21"/>
  <c r="AF98" i="21"/>
  <c r="AG118" i="21"/>
  <c r="AG96" i="21"/>
  <c r="AF109" i="21"/>
  <c r="AG141" i="21"/>
  <c r="AF120" i="21"/>
  <c r="AG108" i="21"/>
  <c r="AG97" i="21"/>
  <c r="AG85" i="21"/>
  <c r="AF76" i="21"/>
  <c r="AF87" i="21"/>
  <c r="AG107" i="21"/>
  <c r="AG75" i="21"/>
  <c r="AG53" i="21"/>
  <c r="AF65" i="21"/>
  <c r="AF54" i="21"/>
  <c r="AG74" i="21"/>
  <c r="AG64" i="21"/>
  <c r="AG63" i="21"/>
  <c r="AG86" i="21"/>
  <c r="AG52" i="21"/>
  <c r="AL46" i="21"/>
  <c r="AI46" i="21" s="1"/>
  <c r="AI48" i="21" s="1"/>
  <c r="AF163" i="21"/>
  <c r="AF174" i="21"/>
  <c r="AE153" i="21"/>
  <c r="AE154" i="21" s="1"/>
  <c r="AF164" i="21"/>
  <c r="AF175" i="21"/>
  <c r="AF162" i="21"/>
  <c r="AF173" i="21"/>
  <c r="AF152" i="21"/>
  <c r="AE131" i="21"/>
  <c r="AE132" i="21" s="1"/>
  <c r="AF129" i="21"/>
  <c r="AF108" i="21"/>
  <c r="AF140" i="21"/>
  <c r="AF151" i="21"/>
  <c r="AF130" i="21"/>
  <c r="AE142" i="21"/>
  <c r="AE143" i="21" s="1"/>
  <c r="AE98" i="21"/>
  <c r="AE99" i="21" s="1"/>
  <c r="AF118" i="21"/>
  <c r="AF119" i="21"/>
  <c r="AE109" i="21"/>
  <c r="AE110" i="21" s="1"/>
  <c r="AF97" i="21"/>
  <c r="AF141" i="21"/>
  <c r="AE120" i="21"/>
  <c r="AE121" i="21" s="1"/>
  <c r="AF107" i="21"/>
  <c r="AF96" i="21"/>
  <c r="AF86" i="21"/>
  <c r="AE76" i="21"/>
  <c r="AE77" i="21" s="1"/>
  <c r="AF53" i="21"/>
  <c r="AF52" i="21"/>
  <c r="AF85" i="21"/>
  <c r="AE65" i="21"/>
  <c r="AE66" i="21" s="1"/>
  <c r="AE54" i="21"/>
  <c r="AE55" i="21" s="1"/>
  <c r="AF74" i="21"/>
  <c r="AF75" i="21"/>
  <c r="AE87" i="21"/>
  <c r="AE88" i="21" s="1"/>
  <c r="AF64" i="21"/>
  <c r="AF63" i="21"/>
  <c r="AG55" i="20"/>
  <c r="AG154" i="20"/>
  <c r="AG66" i="20"/>
  <c r="AG132" i="20"/>
  <c r="AF88" i="20"/>
  <c r="AF176" i="20"/>
  <c r="AF99" i="20"/>
  <c r="AF165" i="20"/>
  <c r="AG154" i="18"/>
  <c r="AF121" i="20"/>
  <c r="AG99" i="20"/>
  <c r="AG88" i="20"/>
  <c r="AF77" i="20"/>
  <c r="AF110" i="20"/>
  <c r="AF55" i="20"/>
  <c r="AF66" i="20"/>
  <c r="AF143" i="20"/>
  <c r="AG77" i="20"/>
  <c r="AG121" i="20"/>
  <c r="AG176" i="20"/>
  <c r="AG110" i="20"/>
  <c r="AG165" i="20"/>
  <c r="AF132" i="20"/>
  <c r="AF154" i="20"/>
  <c r="AG174" i="19"/>
  <c r="AG140" i="19"/>
  <c r="AF153" i="19"/>
  <c r="AG164" i="19"/>
  <c r="AG175" i="19"/>
  <c r="AG162" i="19"/>
  <c r="AG173" i="19"/>
  <c r="AG163" i="19"/>
  <c r="AF120" i="19"/>
  <c r="AG152" i="19"/>
  <c r="AG151" i="19"/>
  <c r="AG119" i="19"/>
  <c r="AG129" i="19"/>
  <c r="AG141" i="19"/>
  <c r="AF109" i="19"/>
  <c r="AG118" i="19"/>
  <c r="AF142" i="19"/>
  <c r="AG108" i="19"/>
  <c r="AF131" i="19"/>
  <c r="AG97" i="19"/>
  <c r="AG96" i="19"/>
  <c r="AG85" i="19"/>
  <c r="AF65" i="19"/>
  <c r="AG75" i="19"/>
  <c r="AG107" i="19"/>
  <c r="AF87" i="19"/>
  <c r="AG130" i="19"/>
  <c r="AG86" i="19"/>
  <c r="AF76" i="19"/>
  <c r="AG74" i="19"/>
  <c r="AG52" i="19"/>
  <c r="AG64" i="19"/>
  <c r="AF54" i="19"/>
  <c r="AF98" i="19"/>
  <c r="AG63" i="19"/>
  <c r="AG53" i="19"/>
  <c r="AL46" i="19"/>
  <c r="AI46" i="19" s="1"/>
  <c r="AI48" i="19" s="1"/>
  <c r="AF163" i="19"/>
  <c r="AF174" i="19"/>
  <c r="AE142" i="19"/>
  <c r="AE143" i="19" s="1"/>
  <c r="AF140" i="19"/>
  <c r="AF164" i="19"/>
  <c r="AF175" i="19"/>
  <c r="AE153" i="19"/>
  <c r="AE154" i="19" s="1"/>
  <c r="AF152" i="19"/>
  <c r="AF162" i="19"/>
  <c r="AF151" i="19"/>
  <c r="AF130" i="19"/>
  <c r="AF173" i="19"/>
  <c r="AF129" i="19"/>
  <c r="AF141" i="19"/>
  <c r="AE120" i="19"/>
  <c r="AE121" i="19" s="1"/>
  <c r="AF96" i="19"/>
  <c r="AF119" i="19"/>
  <c r="AF118" i="19"/>
  <c r="AE98" i="19"/>
  <c r="AE99" i="19" s="1"/>
  <c r="AF74" i="19"/>
  <c r="AF97" i="19"/>
  <c r="AE109" i="19"/>
  <c r="AE110" i="19" s="1"/>
  <c r="AE54" i="19"/>
  <c r="AE55" i="19" s="1"/>
  <c r="AF85" i="19"/>
  <c r="AF75" i="19"/>
  <c r="AE131" i="19"/>
  <c r="AE132" i="19" s="1"/>
  <c r="AF107" i="19"/>
  <c r="AE87" i="19"/>
  <c r="AE88" i="19" s="1"/>
  <c r="AE65" i="19"/>
  <c r="AE66" i="19" s="1"/>
  <c r="AF86" i="19"/>
  <c r="AF52" i="19"/>
  <c r="AF108" i="19"/>
  <c r="AF64" i="19"/>
  <c r="AE76" i="19"/>
  <c r="AE77" i="19" s="1"/>
  <c r="AF53" i="19"/>
  <c r="AF63" i="19"/>
  <c r="AF121" i="18"/>
  <c r="AF154" i="18"/>
  <c r="AF99" i="18"/>
  <c r="AG77" i="18"/>
  <c r="AG132" i="18"/>
  <c r="AG55" i="18"/>
  <c r="AG88" i="18"/>
  <c r="AF55" i="18"/>
  <c r="AF88" i="18"/>
  <c r="AF132" i="18"/>
  <c r="AG66" i="18"/>
  <c r="AG176" i="18"/>
  <c r="AF66" i="18"/>
  <c r="AF110" i="18"/>
  <c r="AF143" i="16"/>
  <c r="AG77" i="16"/>
  <c r="AG154" i="16"/>
  <c r="AF88" i="16"/>
  <c r="AG66" i="16"/>
  <c r="AG143" i="16"/>
  <c r="AF55" i="16"/>
  <c r="AF121" i="16"/>
  <c r="AF99" i="16"/>
  <c r="AF77" i="16"/>
  <c r="AG99" i="16"/>
  <c r="AF154" i="16"/>
  <c r="AF132" i="16"/>
  <c r="AF110" i="16"/>
  <c r="AG110" i="16"/>
  <c r="AF176" i="16"/>
  <c r="AF66" i="16"/>
  <c r="AF165" i="16"/>
  <c r="AG88" i="16"/>
  <c r="AG176" i="16"/>
  <c r="AG152" i="15"/>
  <c r="AG96" i="15"/>
  <c r="AG75" i="15"/>
  <c r="AG130" i="15"/>
  <c r="AG151" i="15"/>
  <c r="AG52" i="15"/>
  <c r="AF142" i="15"/>
  <c r="AG119" i="15"/>
  <c r="AG63" i="15"/>
  <c r="AF109" i="15"/>
  <c r="AG86" i="15"/>
  <c r="AF76" i="15"/>
  <c r="AG163" i="15"/>
  <c r="AG97" i="15"/>
  <c r="AF65" i="15"/>
  <c r="AF153" i="15"/>
  <c r="AG85" i="15"/>
  <c r="AG53" i="15"/>
  <c r="AG129" i="15"/>
  <c r="AG174" i="15"/>
  <c r="AG141" i="15"/>
  <c r="AG107" i="15"/>
  <c r="AF87" i="15"/>
  <c r="AG140" i="15"/>
  <c r="AF131" i="15"/>
  <c r="AF98" i="15"/>
  <c r="AG164" i="15"/>
  <c r="AF120" i="15"/>
  <c r="AG74" i="15"/>
  <c r="AG173" i="15"/>
  <c r="AG175" i="15"/>
  <c r="AG108" i="15"/>
  <c r="AG64" i="15"/>
  <c r="AG162" i="15"/>
  <c r="AG118" i="15"/>
  <c r="AF54" i="15"/>
  <c r="AE153" i="15"/>
  <c r="AE154" i="15" s="1"/>
  <c r="AE109" i="15"/>
  <c r="AE110" i="15" s="1"/>
  <c r="AF74" i="15"/>
  <c r="AF140" i="15"/>
  <c r="AE131" i="15"/>
  <c r="AE132" i="15" s="1"/>
  <c r="AF75" i="15"/>
  <c r="AF96" i="15"/>
  <c r="AF141" i="15"/>
  <c r="AF108" i="15"/>
  <c r="AF52" i="15"/>
  <c r="AE120" i="15"/>
  <c r="AE121" i="15" s="1"/>
  <c r="AF97" i="15"/>
  <c r="AF53" i="15"/>
  <c r="AF163" i="15"/>
  <c r="AF118" i="15"/>
  <c r="AF86" i="15"/>
  <c r="AF174" i="15"/>
  <c r="AF85" i="15"/>
  <c r="AE142" i="15"/>
  <c r="AE143" i="15" s="1"/>
  <c r="AF63" i="15"/>
  <c r="AF173" i="15"/>
  <c r="AF129" i="15"/>
  <c r="AF107" i="15"/>
  <c r="AE76" i="15"/>
  <c r="AE77" i="15" s="1"/>
  <c r="AE54" i="15"/>
  <c r="AE55" i="15" s="1"/>
  <c r="AF152" i="15"/>
  <c r="AF119" i="15"/>
  <c r="AF130" i="15"/>
  <c r="AF164" i="15"/>
  <c r="AF162" i="15"/>
  <c r="AE87" i="15"/>
  <c r="AE88" i="15" s="1"/>
  <c r="AF175" i="15"/>
  <c r="AE98" i="15"/>
  <c r="AE99" i="15" s="1"/>
  <c r="AF64" i="15"/>
  <c r="AF151" i="15"/>
  <c r="AE65" i="15"/>
  <c r="AE66" i="15" s="1"/>
  <c r="AE165" i="15"/>
  <c r="AG174" i="14"/>
  <c r="AF142" i="14"/>
  <c r="AG164" i="14"/>
  <c r="AG175" i="14"/>
  <c r="AG162" i="14"/>
  <c r="AG173" i="14"/>
  <c r="AG152" i="14"/>
  <c r="AG140" i="14"/>
  <c r="AF153" i="14"/>
  <c r="AG163" i="14"/>
  <c r="AG151" i="14"/>
  <c r="AG141" i="14"/>
  <c r="AG129" i="14"/>
  <c r="AG97" i="14"/>
  <c r="AG74" i="14"/>
  <c r="AF120" i="14"/>
  <c r="AG119" i="14"/>
  <c r="AF131" i="14"/>
  <c r="AG107" i="14"/>
  <c r="AG86" i="14"/>
  <c r="AG130" i="14"/>
  <c r="AG75" i="14"/>
  <c r="AF98" i="14"/>
  <c r="AG64" i="14"/>
  <c r="AG118" i="14"/>
  <c r="AG108" i="14"/>
  <c r="AF87" i="14"/>
  <c r="AF65" i="14"/>
  <c r="AG63" i="14"/>
  <c r="AG85" i="14"/>
  <c r="AG53" i="14"/>
  <c r="AG52" i="14"/>
  <c r="AF76" i="14"/>
  <c r="AF54" i="14"/>
  <c r="AF109" i="14"/>
  <c r="AG96" i="14"/>
  <c r="AL46" i="14"/>
  <c r="AI46" i="14" s="1"/>
  <c r="AI48" i="14" s="1"/>
  <c r="AF163" i="14"/>
  <c r="AF174" i="14"/>
  <c r="AF164" i="14"/>
  <c r="AF175" i="14"/>
  <c r="AF162" i="14"/>
  <c r="AF173" i="14"/>
  <c r="AF141" i="14"/>
  <c r="AF140" i="14"/>
  <c r="AE153" i="14"/>
  <c r="AE154" i="14" s="1"/>
  <c r="AF152" i="14"/>
  <c r="AF151" i="14"/>
  <c r="AF118" i="14"/>
  <c r="AF129" i="14"/>
  <c r="AF97" i="14"/>
  <c r="AE76" i="14"/>
  <c r="AE77" i="14" s="1"/>
  <c r="AE120" i="14"/>
  <c r="AE121" i="14" s="1"/>
  <c r="AF119" i="14"/>
  <c r="AE142" i="14"/>
  <c r="AE143" i="14" s="1"/>
  <c r="AE109" i="14"/>
  <c r="AE110" i="14" s="1"/>
  <c r="AE131" i="14"/>
  <c r="AE132" i="14" s="1"/>
  <c r="AF96" i="14"/>
  <c r="AF75" i="14"/>
  <c r="AE98" i="14"/>
  <c r="AE99" i="14" s="1"/>
  <c r="AF74" i="14"/>
  <c r="AF64" i="14"/>
  <c r="AF108" i="14"/>
  <c r="AF107" i="14"/>
  <c r="AF130" i="14"/>
  <c r="AE87" i="14"/>
  <c r="AE88" i="14" s="1"/>
  <c r="AF86" i="14"/>
  <c r="AE54" i="14"/>
  <c r="AE55" i="14" s="1"/>
  <c r="AF85" i="14"/>
  <c r="AF53" i="14"/>
  <c r="AF52" i="14"/>
  <c r="AE65" i="14"/>
  <c r="AE66" i="14" s="1"/>
  <c r="AF63" i="14"/>
  <c r="Y45" i="1"/>
  <c r="Y46" i="1" s="1"/>
  <c r="Z7" i="1"/>
  <c r="V165" i="1"/>
  <c r="W164" i="1"/>
  <c r="W162" i="1"/>
  <c r="W173" i="1"/>
  <c r="W174" i="1"/>
  <c r="W163" i="1"/>
  <c r="W175" i="1"/>
  <c r="V176" i="1"/>
  <c r="V65" i="1"/>
  <c r="V66" i="1" s="1"/>
  <c r="V54" i="1"/>
  <c r="W64" i="1"/>
  <c r="W52" i="1"/>
  <c r="W53" i="1"/>
  <c r="W63" i="1"/>
  <c r="W74" i="1"/>
  <c r="W75" i="1"/>
  <c r="W85" i="1"/>
  <c r="W96" i="1"/>
  <c r="W108" i="1"/>
  <c r="V131" i="1"/>
  <c r="V132" i="1" s="1"/>
  <c r="W140" i="1"/>
  <c r="W152" i="1"/>
  <c r="V76" i="1"/>
  <c r="V77" i="1" s="1"/>
  <c r="V87" i="1"/>
  <c r="V88" i="1" s="1"/>
  <c r="V98" i="1"/>
  <c r="V99" i="1" s="1"/>
  <c r="W107" i="1"/>
  <c r="W119" i="1"/>
  <c r="V142" i="1"/>
  <c r="V143" i="1" s="1"/>
  <c r="W151" i="1"/>
  <c r="V109" i="1"/>
  <c r="V110" i="1" s="1"/>
  <c r="W118" i="1"/>
  <c r="W130" i="1"/>
  <c r="V153" i="1"/>
  <c r="V154" i="1" s="1"/>
  <c r="W86" i="1"/>
  <c r="W97" i="1"/>
  <c r="V120" i="1"/>
  <c r="V121" i="1" s="1"/>
  <c r="W129" i="1"/>
  <c r="W141" i="1"/>
  <c r="X45" i="1"/>
  <c r="X46" i="1" s="1"/>
  <c r="H30" i="13" l="1"/>
  <c r="I30" i="13" s="1"/>
  <c r="AJ9" i="16"/>
  <c r="AE165" i="17"/>
  <c r="AF174" i="17"/>
  <c r="AF141" i="17"/>
  <c r="AF175" i="17"/>
  <c r="AF86" i="17"/>
  <c r="AF151" i="17"/>
  <c r="AF130" i="17"/>
  <c r="AF97" i="17"/>
  <c r="AF63" i="17"/>
  <c r="AF118" i="17"/>
  <c r="AE142" i="17"/>
  <c r="AE143" i="17" s="1"/>
  <c r="AL46" i="17"/>
  <c r="AI46" i="17" s="1"/>
  <c r="AI48" i="17" s="1"/>
  <c r="AF85" i="17"/>
  <c r="AE87" i="17"/>
  <c r="AE88" i="17" s="1"/>
  <c r="AF119" i="17"/>
  <c r="AE109" i="17"/>
  <c r="AE110" i="17" s="1"/>
  <c r="AF53" i="17"/>
  <c r="AE131" i="17"/>
  <c r="AE132" i="17" s="1"/>
  <c r="AF152" i="17"/>
  <c r="AF129" i="17"/>
  <c r="AF163" i="17"/>
  <c r="AF96" i="17"/>
  <c r="AF164" i="17"/>
  <c r="AE54" i="17"/>
  <c r="AE55" i="17" s="1"/>
  <c r="AE76" i="17"/>
  <c r="AE77" i="17" s="1"/>
  <c r="AF52" i="17"/>
  <c r="AE120" i="17"/>
  <c r="AE121" i="17" s="1"/>
  <c r="AF75" i="17"/>
  <c r="AF173" i="17"/>
  <c r="AF64" i="17"/>
  <c r="AE153" i="17"/>
  <c r="AE154" i="17" s="1"/>
  <c r="AF140" i="17"/>
  <c r="AE65" i="17"/>
  <c r="AE66" i="17" s="1"/>
  <c r="AF108" i="17"/>
  <c r="AF74" i="17"/>
  <c r="AF107" i="17"/>
  <c r="AF162" i="17"/>
  <c r="AE98" i="17"/>
  <c r="AE99" i="17" s="1"/>
  <c r="AF142" i="17"/>
  <c r="AG175" i="17"/>
  <c r="AG140" i="17"/>
  <c r="AG86" i="17"/>
  <c r="AG118" i="17"/>
  <c r="AG141" i="17"/>
  <c r="AG64" i="17"/>
  <c r="AG97" i="17"/>
  <c r="AF54" i="17"/>
  <c r="AF65" i="17"/>
  <c r="AG174" i="17"/>
  <c r="AG152" i="17"/>
  <c r="AF131" i="17"/>
  <c r="AG130" i="17"/>
  <c r="AG163" i="17"/>
  <c r="AF87" i="17"/>
  <c r="AG164" i="17"/>
  <c r="AF98" i="17"/>
  <c r="AG162" i="17"/>
  <c r="AG63" i="17"/>
  <c r="AG75" i="17"/>
  <c r="AG108" i="17"/>
  <c r="AG74" i="17"/>
  <c r="AG151" i="17"/>
  <c r="AG154" i="17" s="1"/>
  <c r="AF120" i="17"/>
  <c r="AG129" i="17"/>
  <c r="AG132" i="17" s="1"/>
  <c r="AG53" i="17"/>
  <c r="AG107" i="17"/>
  <c r="AG173" i="17"/>
  <c r="AG96" i="17"/>
  <c r="AG52" i="17"/>
  <c r="AG55" i="17" s="1"/>
  <c r="AG119" i="17"/>
  <c r="AG85" i="17"/>
  <c r="AF153" i="17"/>
  <c r="AF109" i="17"/>
  <c r="AF76" i="17"/>
  <c r="AE176" i="17"/>
  <c r="AE66" i="18"/>
  <c r="AJ10" i="18" s="1"/>
  <c r="AE77" i="18"/>
  <c r="AJ11" i="18" s="1"/>
  <c r="AJ17" i="20"/>
  <c r="AJ15" i="16"/>
  <c r="AE88" i="18"/>
  <c r="AJ12" i="18" s="1"/>
  <c r="AF154" i="22"/>
  <c r="AE132" i="18"/>
  <c r="AJ16" i="18" s="1"/>
  <c r="AE110" i="18"/>
  <c r="AJ14" i="18" s="1"/>
  <c r="AE121" i="18"/>
  <c r="AJ15" i="18" s="1"/>
  <c r="AE143" i="18"/>
  <c r="AJ17" i="18" s="1"/>
  <c r="AE55" i="18"/>
  <c r="AJ9" i="18" s="1"/>
  <c r="AE154" i="18"/>
  <c r="AJ18" i="18" s="1"/>
  <c r="AE176" i="18"/>
  <c r="AJ20" i="18" s="1"/>
  <c r="AJ13" i="18"/>
  <c r="AE165" i="18"/>
  <c r="AJ19" i="18" s="1"/>
  <c r="AJ19" i="20"/>
  <c r="AJ10" i="16"/>
  <c r="AJ19" i="16"/>
  <c r="AG77" i="23"/>
  <c r="AG165" i="23"/>
  <c r="AF99" i="22"/>
  <c r="AF66" i="22"/>
  <c r="AJ12" i="16"/>
  <c r="AF121" i="22"/>
  <c r="AF55" i="22"/>
  <c r="AF88" i="22"/>
  <c r="AF77" i="22"/>
  <c r="AJ20" i="20"/>
  <c r="AF110" i="22"/>
  <c r="AG132" i="23"/>
  <c r="AG99" i="19"/>
  <c r="AF176" i="22"/>
  <c r="AL46" i="24"/>
  <c r="AI46" i="24" s="1"/>
  <c r="AI48" i="24" s="1"/>
  <c r="AG143" i="15"/>
  <c r="AF165" i="22"/>
  <c r="AG99" i="22"/>
  <c r="AG154" i="23"/>
  <c r="AJ10" i="20"/>
  <c r="AF77" i="23"/>
  <c r="AG143" i="23"/>
  <c r="AF132" i="22"/>
  <c r="AF143" i="22"/>
  <c r="AG143" i="22"/>
  <c r="AJ18" i="16"/>
  <c r="AJ11" i="16"/>
  <c r="AJ17" i="16"/>
  <c r="AF110" i="15"/>
  <c r="AG121" i="15"/>
  <c r="AF176" i="14"/>
  <c r="AJ16" i="16"/>
  <c r="AJ18" i="20"/>
  <c r="AJ12" i="20"/>
  <c r="AG66" i="19"/>
  <c r="AG154" i="19"/>
  <c r="AJ16" i="20"/>
  <c r="AJ13" i="20"/>
  <c r="AG88" i="22"/>
  <c r="AF55" i="15"/>
  <c r="AG110" i="15"/>
  <c r="AG66" i="21"/>
  <c r="AG143" i="21"/>
  <c r="AF121" i="19"/>
  <c r="AG176" i="19"/>
  <c r="AF176" i="21"/>
  <c r="AG154" i="14"/>
  <c r="AF143" i="15"/>
  <c r="AF143" i="19"/>
  <c r="AF143" i="23"/>
  <c r="AF77" i="15"/>
  <c r="AF99" i="14"/>
  <c r="AG55" i="14"/>
  <c r="AJ9" i="20"/>
  <c r="AF110" i="23"/>
  <c r="AE176" i="24"/>
  <c r="AG175" i="24"/>
  <c r="AG108" i="24"/>
  <c r="AF76" i="24"/>
  <c r="AG162" i="24"/>
  <c r="AF153" i="24"/>
  <c r="AG75" i="24"/>
  <c r="AG173" i="24"/>
  <c r="AG97" i="24"/>
  <c r="AG74" i="24"/>
  <c r="AG152" i="24"/>
  <c r="AF120" i="24"/>
  <c r="AF54" i="24"/>
  <c r="AG151" i="24"/>
  <c r="AF142" i="24"/>
  <c r="AG107" i="24"/>
  <c r="AG53" i="24"/>
  <c r="AG130" i="24"/>
  <c r="AG96" i="24"/>
  <c r="AG52" i="24"/>
  <c r="AG141" i="24"/>
  <c r="AG85" i="24"/>
  <c r="AF65" i="24"/>
  <c r="AG163" i="24"/>
  <c r="AG119" i="24"/>
  <c r="AG64" i="24"/>
  <c r="AG118" i="24"/>
  <c r="AF109" i="24"/>
  <c r="AG63" i="24"/>
  <c r="AG174" i="24"/>
  <c r="AF131" i="24"/>
  <c r="AF98" i="24"/>
  <c r="AG86" i="24"/>
  <c r="AG164" i="24"/>
  <c r="AG129" i="24"/>
  <c r="AF87" i="24"/>
  <c r="AG140" i="24"/>
  <c r="AF162" i="24"/>
  <c r="AF97" i="24"/>
  <c r="AF75" i="24"/>
  <c r="AF173" i="24"/>
  <c r="AF86" i="24"/>
  <c r="AF63" i="24"/>
  <c r="AE76" i="24"/>
  <c r="AE77" i="24" s="1"/>
  <c r="AF175" i="24"/>
  <c r="AF151" i="24"/>
  <c r="AF107" i="24"/>
  <c r="AF53" i="24"/>
  <c r="AF119" i="24"/>
  <c r="AF96" i="24"/>
  <c r="AE54" i="24"/>
  <c r="AE55" i="24" s="1"/>
  <c r="AE142" i="24"/>
  <c r="AE143" i="24" s="1"/>
  <c r="AF118" i="24"/>
  <c r="AF52" i="24"/>
  <c r="AF130" i="24"/>
  <c r="AE109" i="24"/>
  <c r="AE110" i="24" s="1"/>
  <c r="AE65" i="24"/>
  <c r="AE66" i="24" s="1"/>
  <c r="AF152" i="24"/>
  <c r="AE98" i="24"/>
  <c r="AE99" i="24" s="1"/>
  <c r="AF64" i="24"/>
  <c r="AE153" i="24"/>
  <c r="AE154" i="24" s="1"/>
  <c r="AF140" i="24"/>
  <c r="AF163" i="24"/>
  <c r="AF141" i="24"/>
  <c r="AE87" i="24"/>
  <c r="AE88" i="24" s="1"/>
  <c r="AE131" i="24"/>
  <c r="AE132" i="24" s="1"/>
  <c r="AF85" i="24"/>
  <c r="AF174" i="24"/>
  <c r="AE120" i="24"/>
  <c r="AE121" i="24" s="1"/>
  <c r="AF108" i="24"/>
  <c r="AF164" i="24"/>
  <c r="AF129" i="24"/>
  <c r="AF74" i="24"/>
  <c r="AE165" i="24"/>
  <c r="AF154" i="23"/>
  <c r="AG66" i="23"/>
  <c r="AF132" i="23"/>
  <c r="AF88" i="23"/>
  <c r="AG99" i="23"/>
  <c r="AF121" i="23"/>
  <c r="AG176" i="23"/>
  <c r="AF66" i="23"/>
  <c r="AF55" i="23"/>
  <c r="AF176" i="23"/>
  <c r="AG88" i="23"/>
  <c r="AF165" i="23"/>
  <c r="AG55" i="23"/>
  <c r="AG110" i="23"/>
  <c r="AF99" i="23"/>
  <c r="AG121" i="23"/>
  <c r="AG165" i="22"/>
  <c r="AG132" i="22"/>
  <c r="AG66" i="22"/>
  <c r="AG55" i="22"/>
  <c r="AG77" i="22"/>
  <c r="AG154" i="22"/>
  <c r="AG121" i="22"/>
  <c r="AG110" i="22"/>
  <c r="AG176" i="22"/>
  <c r="AF77" i="21"/>
  <c r="AF154" i="21"/>
  <c r="AG110" i="21"/>
  <c r="AF66" i="21"/>
  <c r="AF99" i="21"/>
  <c r="AF110" i="21"/>
  <c r="AF132" i="21"/>
  <c r="AG55" i="21"/>
  <c r="AG154" i="21"/>
  <c r="AF143" i="21"/>
  <c r="AG88" i="21"/>
  <c r="AG132" i="21"/>
  <c r="AF165" i="21"/>
  <c r="AG77" i="21"/>
  <c r="AF88" i="21"/>
  <c r="AF121" i="21"/>
  <c r="AF55" i="21"/>
  <c r="AG99" i="21"/>
  <c r="AG176" i="21"/>
  <c r="AG121" i="21"/>
  <c r="AG165" i="21"/>
  <c r="AJ15" i="20"/>
  <c r="AF154" i="19"/>
  <c r="AF165" i="19"/>
  <c r="AG88" i="19"/>
  <c r="AF77" i="19"/>
  <c r="AJ14" i="20"/>
  <c r="AJ11" i="20"/>
  <c r="AF55" i="19"/>
  <c r="AG55" i="19"/>
  <c r="AG77" i="19"/>
  <c r="AG165" i="19"/>
  <c r="AF99" i="19"/>
  <c r="AG121" i="19"/>
  <c r="AF110" i="19"/>
  <c r="AF132" i="19"/>
  <c r="AG143" i="19"/>
  <c r="AF66" i="19"/>
  <c r="AF88" i="19"/>
  <c r="AF176" i="19"/>
  <c r="AG110" i="19"/>
  <c r="AG132" i="19"/>
  <c r="AJ13" i="16"/>
  <c r="AJ20" i="16"/>
  <c r="AJ14" i="16"/>
  <c r="AG99" i="15"/>
  <c r="AF121" i="15"/>
  <c r="AF154" i="15"/>
  <c r="AG165" i="15"/>
  <c r="AF176" i="15"/>
  <c r="AG66" i="15"/>
  <c r="AF66" i="15"/>
  <c r="AF99" i="15"/>
  <c r="AG132" i="15"/>
  <c r="AF132" i="15"/>
  <c r="AF165" i="15"/>
  <c r="AF88" i="15"/>
  <c r="AG176" i="15"/>
  <c r="AG55" i="15"/>
  <c r="AG77" i="15"/>
  <c r="AG88" i="15"/>
  <c r="AG154" i="15"/>
  <c r="AF132" i="14"/>
  <c r="AF66" i="14"/>
  <c r="AF77" i="14"/>
  <c r="AF121" i="14"/>
  <c r="AG77" i="14"/>
  <c r="AF154" i="14"/>
  <c r="AF55" i="14"/>
  <c r="AG121" i="14"/>
  <c r="AG132" i="14"/>
  <c r="AG99" i="14"/>
  <c r="AF143" i="14"/>
  <c r="AF165" i="14"/>
  <c r="AG143" i="14"/>
  <c r="AG110" i="14"/>
  <c r="AF88" i="14"/>
  <c r="AF110" i="14"/>
  <c r="AG88" i="14"/>
  <c r="AG176" i="14"/>
  <c r="AG66" i="14"/>
  <c r="AG165" i="14"/>
  <c r="Z45" i="1"/>
  <c r="Z46" i="1" s="1"/>
  <c r="AA7" i="1"/>
  <c r="Y53" i="1"/>
  <c r="Y63" i="1"/>
  <c r="Y75" i="1"/>
  <c r="Y85" i="1"/>
  <c r="Y97" i="1"/>
  <c r="Y107" i="1"/>
  <c r="Y119" i="1"/>
  <c r="Y129" i="1"/>
  <c r="Y141" i="1"/>
  <c r="Y151" i="1"/>
  <c r="Y164" i="1"/>
  <c r="Y52" i="1"/>
  <c r="Y64" i="1"/>
  <c r="Y74" i="1"/>
  <c r="Y86" i="1"/>
  <c r="Y96" i="1"/>
  <c r="Y108" i="1"/>
  <c r="Y118" i="1"/>
  <c r="Y130" i="1"/>
  <c r="Y140" i="1"/>
  <c r="Y152" i="1"/>
  <c r="Y162" i="1"/>
  <c r="Y173" i="1"/>
  <c r="Y174" i="1"/>
  <c r="Y175" i="1"/>
  <c r="Y163" i="1"/>
  <c r="W176" i="1"/>
  <c r="W165" i="1"/>
  <c r="X163" i="1"/>
  <c r="X164" i="1"/>
  <c r="X162" i="1"/>
  <c r="X175" i="1"/>
  <c r="X173" i="1"/>
  <c r="X174" i="1"/>
  <c r="V55" i="1"/>
  <c r="X52" i="1"/>
  <c r="X53" i="1"/>
  <c r="X63" i="1"/>
  <c r="W65" i="1"/>
  <c r="W66" i="1" s="1"/>
  <c r="W54" i="1"/>
  <c r="W55" i="1" s="1"/>
  <c r="X64" i="1"/>
  <c r="X75" i="1"/>
  <c r="X86" i="1"/>
  <c r="X97" i="1"/>
  <c r="W120" i="1"/>
  <c r="W121" i="1" s="1"/>
  <c r="X129" i="1"/>
  <c r="X141" i="1"/>
  <c r="X85" i="1"/>
  <c r="X96" i="1"/>
  <c r="X108" i="1"/>
  <c r="W131" i="1"/>
  <c r="W132" i="1" s="1"/>
  <c r="X140" i="1"/>
  <c r="X152" i="1"/>
  <c r="X74" i="1"/>
  <c r="W76" i="1"/>
  <c r="W77" i="1" s="1"/>
  <c r="W87" i="1"/>
  <c r="W88" i="1" s="1"/>
  <c r="W98" i="1"/>
  <c r="W99" i="1" s="1"/>
  <c r="X107" i="1"/>
  <c r="X119" i="1"/>
  <c r="W142" i="1"/>
  <c r="W143" i="1" s="1"/>
  <c r="X151" i="1"/>
  <c r="W109" i="1"/>
  <c r="W110" i="1" s="1"/>
  <c r="X118" i="1"/>
  <c r="X130" i="1"/>
  <c r="W153" i="1"/>
  <c r="W154" i="1" s="1"/>
  <c r="AJ18" i="22" l="1"/>
  <c r="AG88" i="17"/>
  <c r="AG66" i="17"/>
  <c r="AG176" i="17"/>
  <c r="AG110" i="17"/>
  <c r="AF99" i="17"/>
  <c r="O30" i="13"/>
  <c r="P30" i="13" s="1"/>
  <c r="J30" i="13" s="1"/>
  <c r="AF121" i="17"/>
  <c r="AJ13" i="19"/>
  <c r="AG165" i="17"/>
  <c r="AF176" i="17"/>
  <c r="AF143" i="17"/>
  <c r="AF132" i="17"/>
  <c r="AJ16" i="17" s="1"/>
  <c r="AF66" i="17"/>
  <c r="AG99" i="17"/>
  <c r="AJ13" i="17" s="1"/>
  <c r="AG121" i="17"/>
  <c r="AF154" i="17"/>
  <c r="AJ18" i="17" s="1"/>
  <c r="AG143" i="17"/>
  <c r="AF77" i="17"/>
  <c r="AF55" i="17"/>
  <c r="AJ9" i="17" s="1"/>
  <c r="AG77" i="17"/>
  <c r="AF165" i="17"/>
  <c r="AF88" i="17"/>
  <c r="AJ12" i="17" s="1"/>
  <c r="AF110" i="17"/>
  <c r="AJ11" i="23"/>
  <c r="AJ20" i="14"/>
  <c r="AJ19" i="23"/>
  <c r="AJ9" i="15"/>
  <c r="AJ10" i="22"/>
  <c r="AJ17" i="15"/>
  <c r="AG110" i="24"/>
  <c r="AJ18" i="19"/>
  <c r="AJ10" i="19"/>
  <c r="AJ13" i="22"/>
  <c r="AJ11" i="15"/>
  <c r="AJ12" i="22"/>
  <c r="AJ9" i="22"/>
  <c r="AJ14" i="15"/>
  <c r="AJ18" i="23"/>
  <c r="AJ15" i="22"/>
  <c r="AJ17" i="22"/>
  <c r="AJ11" i="22"/>
  <c r="AJ16" i="22"/>
  <c r="AJ14" i="22"/>
  <c r="AJ9" i="19"/>
  <c r="AJ17" i="19"/>
  <c r="AJ15" i="15"/>
  <c r="AJ13" i="14"/>
  <c r="AJ11" i="21"/>
  <c r="AJ14" i="23"/>
  <c r="AJ16" i="15"/>
  <c r="AJ20" i="22"/>
  <c r="AJ19" i="19"/>
  <c r="AJ19" i="22"/>
  <c r="AJ13" i="15"/>
  <c r="AJ13" i="23"/>
  <c r="AJ16" i="23"/>
  <c r="AJ9" i="14"/>
  <c r="AJ17" i="23"/>
  <c r="AG143" i="24"/>
  <c r="AJ10" i="15"/>
  <c r="AF132" i="24"/>
  <c r="AG132" i="24"/>
  <c r="AG77" i="24"/>
  <c r="AF77" i="24"/>
  <c r="AG55" i="24"/>
  <c r="AJ17" i="21"/>
  <c r="AJ9" i="21"/>
  <c r="AJ10" i="21"/>
  <c r="AJ15" i="19"/>
  <c r="AJ20" i="19"/>
  <c r="AJ19" i="15"/>
  <c r="AJ18" i="14"/>
  <c r="AJ15" i="14"/>
  <c r="AJ17" i="14"/>
  <c r="AJ16" i="14"/>
  <c r="AJ11" i="14"/>
  <c r="AJ15" i="23"/>
  <c r="AG88" i="24"/>
  <c r="AJ18" i="21"/>
  <c r="AJ20" i="21"/>
  <c r="AJ18" i="15"/>
  <c r="AJ12" i="19"/>
  <c r="AJ13" i="21"/>
  <c r="AJ14" i="21"/>
  <c r="AF143" i="24"/>
  <c r="AF99" i="24"/>
  <c r="AF165" i="24"/>
  <c r="AG154" i="24"/>
  <c r="AF110" i="24"/>
  <c r="Y165" i="1"/>
  <c r="AJ12" i="15"/>
  <c r="AJ10" i="14"/>
  <c r="AJ10" i="23"/>
  <c r="AF154" i="24"/>
  <c r="AG176" i="24"/>
  <c r="AF88" i="24"/>
  <c r="AF66" i="24"/>
  <c r="AG99" i="24"/>
  <c r="AF55" i="24"/>
  <c r="AF121" i="24"/>
  <c r="AF176" i="24"/>
  <c r="AG66" i="24"/>
  <c r="AG165" i="24"/>
  <c r="AG121" i="24"/>
  <c r="AJ12" i="23"/>
  <c r="AJ20" i="23"/>
  <c r="AJ9" i="23"/>
  <c r="AJ16" i="21"/>
  <c r="AJ19" i="21"/>
  <c r="AJ15" i="21"/>
  <c r="AJ12" i="21"/>
  <c r="AJ16" i="19"/>
  <c r="AJ11" i="19"/>
  <c r="AJ14" i="19"/>
  <c r="AJ20" i="15"/>
  <c r="AJ19" i="14"/>
  <c r="AJ14" i="14"/>
  <c r="AJ12" i="14"/>
  <c r="X165" i="1"/>
  <c r="AA45" i="1"/>
  <c r="AA46" i="1" s="1"/>
  <c r="AB7" i="1"/>
  <c r="Y176" i="1"/>
  <c r="Y65" i="1"/>
  <c r="Y66" i="1" s="1"/>
  <c r="Y87" i="1"/>
  <c r="Y88" i="1" s="1"/>
  <c r="Y109" i="1"/>
  <c r="Y110" i="1" s="1"/>
  <c r="Y131" i="1"/>
  <c r="Y132" i="1" s="1"/>
  <c r="Y153" i="1"/>
  <c r="Y154" i="1" s="1"/>
  <c r="Z53" i="1"/>
  <c r="Z63" i="1"/>
  <c r="Z75" i="1"/>
  <c r="Z85" i="1"/>
  <c r="Z97" i="1"/>
  <c r="Z107" i="1"/>
  <c r="Z119" i="1"/>
  <c r="Z129" i="1"/>
  <c r="Z141" i="1"/>
  <c r="Z151" i="1"/>
  <c r="Z163" i="1"/>
  <c r="Z173" i="1"/>
  <c r="Z175" i="1"/>
  <c r="Y54" i="1"/>
  <c r="Y55" i="1" s="1"/>
  <c r="Y76" i="1"/>
  <c r="Y77" i="1" s="1"/>
  <c r="Y98" i="1"/>
  <c r="Y99" i="1" s="1"/>
  <c r="Y120" i="1"/>
  <c r="Y121" i="1" s="1"/>
  <c r="Y142" i="1"/>
  <c r="Y143" i="1" s="1"/>
  <c r="Z52" i="1"/>
  <c r="Z64" i="1"/>
  <c r="Z74" i="1"/>
  <c r="Z86" i="1"/>
  <c r="Z96" i="1"/>
  <c r="Z108" i="1"/>
  <c r="Z118" i="1"/>
  <c r="Z130" i="1"/>
  <c r="Z140" i="1"/>
  <c r="Z152" i="1"/>
  <c r="Z162" i="1"/>
  <c r="Z164" i="1"/>
  <c r="Z174" i="1"/>
  <c r="X176" i="1"/>
  <c r="X54" i="1"/>
  <c r="X55" i="1" s="1"/>
  <c r="X65" i="1"/>
  <c r="X66" i="1" s="1"/>
  <c r="X109" i="1"/>
  <c r="X110" i="1" s="1"/>
  <c r="X153" i="1"/>
  <c r="X154" i="1" s="1"/>
  <c r="X120" i="1"/>
  <c r="X121" i="1" s="1"/>
  <c r="X131" i="1"/>
  <c r="X132" i="1" s="1"/>
  <c r="X76" i="1"/>
  <c r="X77" i="1" s="1"/>
  <c r="X87" i="1"/>
  <c r="X88" i="1" s="1"/>
  <c r="X98" i="1"/>
  <c r="X99" i="1" s="1"/>
  <c r="X142" i="1"/>
  <c r="X143" i="1" s="1"/>
  <c r="AJ15" i="17" l="1"/>
  <c r="AJ10" i="17"/>
  <c r="AJ20" i="17"/>
  <c r="AJ14" i="17"/>
  <c r="AJ11" i="17"/>
  <c r="AJ19" i="17"/>
  <c r="AJ17" i="17"/>
  <c r="AJ14" i="24"/>
  <c r="AJ9" i="24"/>
  <c r="AJ11" i="24"/>
  <c r="AJ17" i="24"/>
  <c r="AJ16" i="24"/>
  <c r="AJ18" i="24"/>
  <c r="AJ19" i="24"/>
  <c r="AJ13" i="24"/>
  <c r="AJ10" i="24"/>
  <c r="AJ12" i="24"/>
  <c r="AJ15" i="24"/>
  <c r="AJ20" i="24"/>
  <c r="AB45" i="1"/>
  <c r="AB46" i="1" s="1"/>
  <c r="AC7" i="1"/>
  <c r="Z65" i="1"/>
  <c r="Z66" i="1" s="1"/>
  <c r="Z87" i="1"/>
  <c r="Z88" i="1" s="1"/>
  <c r="Z109" i="1"/>
  <c r="Z110" i="1" s="1"/>
  <c r="Z131" i="1"/>
  <c r="Z132" i="1" s="1"/>
  <c r="Z153" i="1"/>
  <c r="Z154" i="1" s="1"/>
  <c r="AA53" i="1"/>
  <c r="AA63" i="1"/>
  <c r="AA75" i="1"/>
  <c r="AA85" i="1"/>
  <c r="AA97" i="1"/>
  <c r="AA107" i="1"/>
  <c r="AA119" i="1"/>
  <c r="AA129" i="1"/>
  <c r="AA141" i="1"/>
  <c r="AA151" i="1"/>
  <c r="AA163" i="1"/>
  <c r="AA173" i="1"/>
  <c r="AA175" i="1"/>
  <c r="Z54" i="1"/>
  <c r="Z55" i="1" s="1"/>
  <c r="Z76" i="1"/>
  <c r="Z77" i="1" s="1"/>
  <c r="Z98" i="1"/>
  <c r="Z99" i="1" s="1"/>
  <c r="Z120" i="1"/>
  <c r="Z121" i="1" s="1"/>
  <c r="Z142" i="1"/>
  <c r="Z143" i="1" s="1"/>
  <c r="AA130" i="1"/>
  <c r="AA140" i="1"/>
  <c r="AA152" i="1"/>
  <c r="AA162" i="1"/>
  <c r="AA164" i="1"/>
  <c r="AA52" i="1"/>
  <c r="AA64" i="1"/>
  <c r="AA74" i="1"/>
  <c r="AA86" i="1"/>
  <c r="AA96" i="1"/>
  <c r="AA108" i="1"/>
  <c r="AA118" i="1"/>
  <c r="AA174" i="1"/>
  <c r="Z165" i="1"/>
  <c r="Z176" i="1"/>
  <c r="AA165" i="1" l="1"/>
  <c r="AA176" i="1"/>
  <c r="AC45" i="1"/>
  <c r="AC46" i="1" s="1"/>
  <c r="AD7" i="1"/>
  <c r="AA65" i="1"/>
  <c r="AA66" i="1" s="1"/>
  <c r="AA87" i="1"/>
  <c r="AA88" i="1" s="1"/>
  <c r="AA109" i="1"/>
  <c r="AA110" i="1" s="1"/>
  <c r="AA131" i="1"/>
  <c r="AA132" i="1" s="1"/>
  <c r="AA153" i="1"/>
  <c r="AA154" i="1" s="1"/>
  <c r="AB129" i="1"/>
  <c r="AB151" i="1"/>
  <c r="AB163" i="1"/>
  <c r="AB173" i="1"/>
  <c r="AB175" i="1"/>
  <c r="AB53" i="1"/>
  <c r="AB63" i="1"/>
  <c r="AB75" i="1"/>
  <c r="AB85" i="1"/>
  <c r="AB97" i="1"/>
  <c r="AB107" i="1"/>
  <c r="AB119" i="1"/>
  <c r="AB141" i="1"/>
  <c r="AA142" i="1"/>
  <c r="AA143" i="1" s="1"/>
  <c r="AA54" i="1"/>
  <c r="AA55" i="1" s="1"/>
  <c r="AA76" i="1"/>
  <c r="AA77" i="1" s="1"/>
  <c r="AA98" i="1"/>
  <c r="AA99" i="1" s="1"/>
  <c r="AA120" i="1"/>
  <c r="AA121" i="1" s="1"/>
  <c r="AB52" i="1"/>
  <c r="AB64" i="1"/>
  <c r="AB74" i="1"/>
  <c r="AB86" i="1"/>
  <c r="AB96" i="1"/>
  <c r="AB108" i="1"/>
  <c r="AB118" i="1"/>
  <c r="AB130" i="1"/>
  <c r="AB140" i="1"/>
  <c r="AB152" i="1"/>
  <c r="AB174" i="1"/>
  <c r="AB162" i="1"/>
  <c r="AB164" i="1"/>
  <c r="AD45" i="1" l="1"/>
  <c r="AD46" i="1" s="1"/>
  <c r="AE7" i="1"/>
  <c r="AB176" i="1"/>
  <c r="AB131" i="1"/>
  <c r="AB132" i="1" s="1"/>
  <c r="AB153" i="1"/>
  <c r="AB154" i="1" s="1"/>
  <c r="AC151" i="1"/>
  <c r="AC163" i="1"/>
  <c r="AC173" i="1"/>
  <c r="AC175" i="1"/>
  <c r="AB65" i="1"/>
  <c r="AB66" i="1" s="1"/>
  <c r="AB87" i="1"/>
  <c r="AB88" i="1" s="1"/>
  <c r="AB109" i="1"/>
  <c r="AB110" i="1" s="1"/>
  <c r="AC53" i="1"/>
  <c r="AC63" i="1"/>
  <c r="AC75" i="1"/>
  <c r="AC85" i="1"/>
  <c r="AC97" i="1"/>
  <c r="AC107" i="1"/>
  <c r="AC119" i="1"/>
  <c r="AC129" i="1"/>
  <c r="AC141" i="1"/>
  <c r="AB54" i="1"/>
  <c r="AB55" i="1" s="1"/>
  <c r="AB76" i="1"/>
  <c r="AB77" i="1" s="1"/>
  <c r="AB98" i="1"/>
  <c r="AB99" i="1" s="1"/>
  <c r="AB120" i="1"/>
  <c r="AB121" i="1" s="1"/>
  <c r="AB142" i="1"/>
  <c r="AB143" i="1" s="1"/>
  <c r="AC108" i="1"/>
  <c r="AC164" i="1"/>
  <c r="AC96" i="1"/>
  <c r="AC86" i="1"/>
  <c r="AC74" i="1"/>
  <c r="AC140" i="1"/>
  <c r="AC174" i="1"/>
  <c r="AC152" i="1"/>
  <c r="AC162" i="1"/>
  <c r="AC64" i="1"/>
  <c r="AC130" i="1"/>
  <c r="AC52" i="1"/>
  <c r="AC118" i="1"/>
  <c r="AB165" i="1"/>
  <c r="AC165" i="1" l="1"/>
  <c r="AC176" i="1"/>
  <c r="AE45" i="1"/>
  <c r="AE46" i="1" s="1"/>
  <c r="AF7" i="1"/>
  <c r="AD52" i="1"/>
  <c r="AD64" i="1"/>
  <c r="AD74" i="1"/>
  <c r="AD86" i="1"/>
  <c r="AD96" i="1"/>
  <c r="AD108" i="1"/>
  <c r="AD118" i="1"/>
  <c r="AD130" i="1"/>
  <c r="AD140" i="1"/>
  <c r="AC153" i="1"/>
  <c r="AC154" i="1" s="1"/>
  <c r="AC65" i="1"/>
  <c r="AC66" i="1" s="1"/>
  <c r="AC87" i="1"/>
  <c r="AC88" i="1" s="1"/>
  <c r="AC109" i="1"/>
  <c r="AC110" i="1" s="1"/>
  <c r="AC131" i="1"/>
  <c r="AC132" i="1" s="1"/>
  <c r="AD53" i="1"/>
  <c r="AD63" i="1"/>
  <c r="AD75" i="1"/>
  <c r="AD85" i="1"/>
  <c r="AD97" i="1"/>
  <c r="AD107" i="1"/>
  <c r="AD119" i="1"/>
  <c r="AD129" i="1"/>
  <c r="AD141" i="1"/>
  <c r="AD151" i="1"/>
  <c r="AD163" i="1"/>
  <c r="AD173" i="1"/>
  <c r="AD175" i="1"/>
  <c r="AD164" i="1"/>
  <c r="AC98" i="1"/>
  <c r="AC99" i="1" s="1"/>
  <c r="AC76" i="1"/>
  <c r="AC77" i="1" s="1"/>
  <c r="AC142" i="1"/>
  <c r="AC143" i="1" s="1"/>
  <c r="AD174" i="1"/>
  <c r="AD152" i="1"/>
  <c r="AD162" i="1"/>
  <c r="AC54" i="1"/>
  <c r="AC55" i="1" s="1"/>
  <c r="AC120" i="1"/>
  <c r="AC121" i="1" s="1"/>
  <c r="AD165" i="1" l="1"/>
  <c r="AD54" i="1"/>
  <c r="AD55" i="1" s="1"/>
  <c r="AD76" i="1"/>
  <c r="AD77" i="1" s="1"/>
  <c r="AD98" i="1"/>
  <c r="AD99" i="1" s="1"/>
  <c r="AD120" i="1"/>
  <c r="AD121" i="1" s="1"/>
  <c r="AD142" i="1"/>
  <c r="AD143" i="1" s="1"/>
  <c r="AD65" i="1"/>
  <c r="AD66" i="1" s="1"/>
  <c r="AD87" i="1"/>
  <c r="AD88" i="1" s="1"/>
  <c r="AD109" i="1"/>
  <c r="AD110" i="1" s="1"/>
  <c r="AD131" i="1"/>
  <c r="AD132" i="1" s="1"/>
  <c r="AD153" i="1"/>
  <c r="AD154" i="1" s="1"/>
  <c r="AE53" i="1"/>
  <c r="AE130" i="1"/>
  <c r="AE63" i="1"/>
  <c r="AE152" i="1"/>
  <c r="AE75" i="1"/>
  <c r="AE175" i="1"/>
  <c r="AE74" i="1"/>
  <c r="AE86" i="1"/>
  <c r="AE162" i="1"/>
  <c r="AE97" i="1"/>
  <c r="AE107" i="1"/>
  <c r="AE85" i="1"/>
  <c r="AE174" i="1"/>
  <c r="AE119" i="1"/>
  <c r="AE164" i="1"/>
  <c r="AE96" i="1"/>
  <c r="AE129" i="1"/>
  <c r="AE108" i="1"/>
  <c r="AE141" i="1"/>
  <c r="AE163" i="1"/>
  <c r="AE52" i="1"/>
  <c r="AE173" i="1"/>
  <c r="AE140" i="1"/>
  <c r="AE64" i="1"/>
  <c r="AE151" i="1"/>
  <c r="AE118" i="1"/>
  <c r="AD176" i="1"/>
  <c r="AF45" i="1"/>
  <c r="AF46" i="1" s="1"/>
  <c r="AG7" i="1"/>
  <c r="AG45" i="1" s="1"/>
  <c r="AG46" i="1" s="1"/>
  <c r="AE165" i="1" l="1"/>
  <c r="AL46" i="1"/>
  <c r="AI46" i="1" s="1"/>
  <c r="AI48" i="1" s="1"/>
  <c r="AE176" i="1"/>
  <c r="AG75" i="1"/>
  <c r="AF76" i="1"/>
  <c r="AG174" i="1"/>
  <c r="AF54" i="1"/>
  <c r="AG86" i="1"/>
  <c r="AF87" i="1"/>
  <c r="AF142" i="1"/>
  <c r="AG74" i="1"/>
  <c r="AG118" i="1"/>
  <c r="AG163" i="1"/>
  <c r="AG64" i="1"/>
  <c r="AG97" i="1"/>
  <c r="AF98" i="1"/>
  <c r="AF109" i="1"/>
  <c r="AG175" i="1"/>
  <c r="AG52" i="1"/>
  <c r="AF120" i="1"/>
  <c r="AG107" i="1"/>
  <c r="AF65" i="1"/>
  <c r="AG96" i="1"/>
  <c r="AG99" i="1" s="1"/>
  <c r="AG164" i="1"/>
  <c r="AG53" i="1"/>
  <c r="AG129" i="1"/>
  <c r="AG119" i="1"/>
  <c r="AG162" i="1"/>
  <c r="AG63" i="1"/>
  <c r="AG141" i="1"/>
  <c r="AG173" i="1"/>
  <c r="AG85" i="1"/>
  <c r="AG108" i="1"/>
  <c r="AG151" i="1"/>
  <c r="AG152" i="1"/>
  <c r="AF131" i="1"/>
  <c r="AF153" i="1"/>
  <c r="AG130" i="1"/>
  <c r="AG140" i="1"/>
  <c r="AF173" i="1"/>
  <c r="AE54" i="1"/>
  <c r="AE55" i="1" s="1"/>
  <c r="AF140" i="1"/>
  <c r="AF130" i="1"/>
  <c r="AF85" i="1"/>
  <c r="AF64" i="1"/>
  <c r="AF152" i="1"/>
  <c r="AE153" i="1"/>
  <c r="AE154" i="1" s="1"/>
  <c r="AF141" i="1"/>
  <c r="AE142" i="1"/>
  <c r="AE143" i="1" s="1"/>
  <c r="AF75" i="1"/>
  <c r="AF74" i="1"/>
  <c r="AF119" i="1"/>
  <c r="AF53" i="1"/>
  <c r="AF86" i="1"/>
  <c r="AE76" i="1"/>
  <c r="AE77" i="1" s="1"/>
  <c r="AE98" i="1"/>
  <c r="AE99" i="1" s="1"/>
  <c r="AF163" i="1"/>
  <c r="AE65" i="1"/>
  <c r="AE66" i="1" s="1"/>
  <c r="AF97" i="1"/>
  <c r="AE87" i="1"/>
  <c r="AE88" i="1" s="1"/>
  <c r="AE120" i="1"/>
  <c r="AE121" i="1" s="1"/>
  <c r="AF129" i="1"/>
  <c r="AF107" i="1"/>
  <c r="AF52" i="1"/>
  <c r="AF151" i="1"/>
  <c r="AF108" i="1"/>
  <c r="AF162" i="1"/>
  <c r="AF174" i="1"/>
  <c r="AF96" i="1"/>
  <c r="AF118" i="1"/>
  <c r="AF175" i="1"/>
  <c r="AE131" i="1"/>
  <c r="AE132" i="1" s="1"/>
  <c r="AF164" i="1"/>
  <c r="AF63" i="1"/>
  <c r="AE109" i="1"/>
  <c r="AE110" i="1" s="1"/>
  <c r="AG121" i="1" l="1"/>
  <c r="AG77" i="1"/>
  <c r="AF121" i="1"/>
  <c r="AG176" i="1"/>
  <c r="AF66" i="1"/>
  <c r="AF132" i="1"/>
  <c r="AG88" i="1"/>
  <c r="AG132" i="1"/>
  <c r="AF88" i="1"/>
  <c r="AG154" i="1"/>
  <c r="AF99" i="1"/>
  <c r="AJ13" i="1" s="1"/>
  <c r="AG110" i="1"/>
  <c r="AG55" i="1"/>
  <c r="AF165" i="1"/>
  <c r="AF143" i="1"/>
  <c r="AF154" i="1"/>
  <c r="AG66" i="1"/>
  <c r="AF55" i="1"/>
  <c r="AF176" i="1"/>
  <c r="AG165" i="1"/>
  <c r="AF110" i="1"/>
  <c r="AF77" i="1"/>
  <c r="AG143" i="1"/>
  <c r="AJ11" i="1" l="1"/>
  <c r="AJ10" i="1"/>
  <c r="AJ16" i="1"/>
  <c r="AJ12" i="1"/>
  <c r="AJ20" i="1"/>
  <c r="AJ15" i="1"/>
  <c r="AJ14" i="1"/>
  <c r="AJ17" i="1"/>
  <c r="AJ19" i="1"/>
  <c r="AJ18" i="1"/>
  <c r="AJ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000-000001000000}">
      <text>
        <r>
          <rPr>
            <sz val="10"/>
            <rFont val="Arial"/>
            <family val="2"/>
          </rPr>
          <t xml:space="preserve">Editar festivos con una </t>
        </r>
        <r>
          <rPr>
            <b/>
            <sz val="10"/>
            <rFont val="Arial"/>
            <family val="2"/>
          </rPr>
          <t>X</t>
        </r>
        <r>
          <rPr>
            <sz val="10"/>
            <rFont val="Arial"/>
            <family val="2"/>
          </rPr>
          <t xml:space="preserve"> mayúscula.</t>
        </r>
      </text>
    </comment>
    <comment ref="AH6" authorId="0" shapeId="0" xr:uid="{00000000-0006-0000-0000-000002000000}">
      <text>
        <r>
          <rPr>
            <sz val="10"/>
            <rFont val="Arial"/>
            <family val="2"/>
          </rPr>
          <t xml:space="preserve">Editar con una </t>
        </r>
        <r>
          <rPr>
            <b/>
            <sz val="10"/>
            <rFont val="Arial"/>
            <family val="2"/>
          </rPr>
          <t>X</t>
        </r>
        <r>
          <rPr>
            <sz val="10"/>
            <rFont val="Arial"/>
            <family val="2"/>
          </rPr>
          <t xml:space="preserve"> el día festivo. Marca la casilla si el día 1 del siguiente mes es festivo.</t>
        </r>
      </text>
    </comment>
    <comment ref="B7" authorId="0" shapeId="0" xr:uid="{00000000-0006-0000-0000-000003000000}">
      <text>
        <r>
          <rPr>
            <sz val="10"/>
            <rFont val="Arial"/>
            <family val="2"/>
          </rPr>
          <t>Días festivos con fondo en color.</t>
        </r>
      </text>
    </comment>
    <comment ref="AH8" authorId="0" shapeId="0" xr:uid="{00000000-0006-0000-0000-000004000000}">
      <text>
        <r>
          <rPr>
            <sz val="10"/>
            <rFont val="Arial"/>
            <family val="2"/>
          </rPr>
          <t>Horas totales.</t>
        </r>
      </text>
    </comment>
    <comment ref="AI8" authorId="0" shapeId="0" xr:uid="{00000000-0006-0000-0000-000005000000}">
      <text>
        <r>
          <rPr>
            <sz val="10"/>
            <rFont val="Arial"/>
            <family val="2"/>
          </rPr>
          <t>Horas extras.</t>
        </r>
      </text>
    </comment>
    <comment ref="AJ8" authorId="0" shapeId="0" xr:uid="{00000000-0006-0000-0000-000006000000}">
      <text>
        <r>
          <rPr>
            <sz val="10"/>
            <rFont val="Arial"/>
            <family val="2"/>
          </rPr>
          <t>Horas festivas.</t>
        </r>
      </text>
    </comment>
    <comment ref="AK8" authorId="0" shapeId="0" xr:uid="{00000000-0006-0000-0000-000007000000}">
      <text>
        <r>
          <rPr>
            <sz val="10"/>
            <rFont val="Arial"/>
            <family val="2"/>
          </rPr>
          <t>Horas nocturnas.</t>
        </r>
      </text>
    </comment>
    <comment ref="AL8" authorId="0" shapeId="0" xr:uid="{00000000-0006-0000-0000-000008000000}">
      <text>
        <r>
          <rPr>
            <sz val="10"/>
            <rFont val="Arial"/>
            <family val="2"/>
          </rPr>
          <t>Suma días vacaciones.</t>
        </r>
      </text>
    </comment>
    <comment ref="B21" authorId="0" shapeId="0" xr:uid="{00000000-0006-0000-0000-000009000000}">
      <text>
        <r>
          <rPr>
            <sz val="10"/>
            <rFont val="Arial"/>
            <family val="2"/>
          </rPr>
          <t>Sumas de horas por día.</t>
        </r>
      </text>
    </comment>
    <comment ref="C32" authorId="0" shapeId="0" xr:uid="{00000000-0006-0000-0000-00000A000000}">
      <text>
        <r>
          <rPr>
            <sz val="10"/>
            <rFont val="Arial"/>
            <family val="2"/>
          </rPr>
          <t>Editar el nombre de la empresa de seguridad.</t>
        </r>
      </text>
    </comment>
    <comment ref="R32" authorId="0" shapeId="0" xr:uid="{00000000-0006-0000-0000-00000B000000}">
      <text>
        <r>
          <rPr>
            <sz val="10"/>
            <rFont val="Arial"/>
            <family val="2"/>
          </rPr>
          <t>Editar turno</t>
        </r>
      </text>
    </comment>
    <comment ref="S32" authorId="0" shapeId="0" xr:uid="{00000000-0006-0000-0000-00000C000000}">
      <text>
        <r>
          <rPr>
            <sz val="10"/>
            <rFont val="Arial"/>
            <family val="2"/>
          </rPr>
          <t>Hora de entrada</t>
        </r>
      </text>
    </comment>
    <comment ref="V32" authorId="0" shapeId="0" xr:uid="{00000000-0006-0000-0000-00000D000000}">
      <text>
        <r>
          <rPr>
            <sz val="10"/>
            <rFont val="Arial"/>
            <family val="2"/>
          </rPr>
          <t>Hora de salida</t>
        </r>
      </text>
    </comment>
    <comment ref="AH32" authorId="0" shapeId="0" xr:uid="{00000000-0006-0000-0000-00000E000000}">
      <text>
        <r>
          <rPr>
            <sz val="10"/>
            <rFont val="Arial"/>
            <family val="2"/>
          </rPr>
          <t>Editar decimales</t>
        </r>
      </text>
    </comment>
    <comment ref="C33" authorId="0" shapeId="0" xr:uid="{00000000-0006-0000-0000-00000F000000}">
      <text>
        <r>
          <rPr>
            <sz val="10"/>
            <rFont val="Arial"/>
            <family val="2"/>
          </rPr>
          <t>Editar el nombre del centro de trabajo.</t>
        </r>
      </text>
    </comment>
    <comment ref="R33" authorId="0" shapeId="0" xr:uid="{00000000-0006-0000-0000-000010000000}">
      <text>
        <r>
          <rPr>
            <sz val="10"/>
            <rFont val="Arial"/>
            <family val="2"/>
          </rPr>
          <t>Editar turno</t>
        </r>
      </text>
    </comment>
    <comment ref="S33" authorId="0" shapeId="0" xr:uid="{00000000-0006-0000-0000-000011000000}">
      <text>
        <r>
          <rPr>
            <sz val="10"/>
            <rFont val="Arial"/>
            <family val="2"/>
          </rPr>
          <t>Hora de entrada</t>
        </r>
      </text>
    </comment>
    <comment ref="V33" authorId="0" shapeId="0" xr:uid="{00000000-0006-0000-0000-000012000000}">
      <text>
        <r>
          <rPr>
            <sz val="10"/>
            <rFont val="Arial"/>
            <family val="2"/>
          </rPr>
          <t>Hora de salida</t>
        </r>
      </text>
    </comment>
    <comment ref="C34" authorId="0" shapeId="0" xr:uid="{00000000-0006-0000-0000-000013000000}">
      <text>
        <r>
          <rPr>
            <sz val="10"/>
            <rFont val="Arial"/>
            <family val="2"/>
          </rPr>
          <t>Editar el año.</t>
        </r>
      </text>
    </comment>
    <comment ref="R34" authorId="0" shapeId="0" xr:uid="{00000000-0006-0000-0000-000014000000}">
      <text>
        <r>
          <rPr>
            <sz val="10"/>
            <rFont val="Arial"/>
            <family val="2"/>
          </rPr>
          <t>Editar turno</t>
        </r>
      </text>
    </comment>
    <comment ref="S34" authorId="0" shapeId="0" xr:uid="{00000000-0006-0000-0000-000015000000}">
      <text>
        <r>
          <rPr>
            <sz val="10"/>
            <rFont val="Arial"/>
            <family val="2"/>
          </rPr>
          <t>Hora de entrada</t>
        </r>
      </text>
    </comment>
    <comment ref="V34" authorId="0" shapeId="0" xr:uid="{00000000-0006-0000-0000-000016000000}">
      <text>
        <r>
          <rPr>
            <sz val="10"/>
            <rFont val="Arial"/>
            <family val="2"/>
          </rPr>
          <t>Hora de salida</t>
        </r>
      </text>
    </comment>
    <comment ref="C35" authorId="0" shapeId="0" xr:uid="{00000000-0006-0000-0000-000017000000}">
      <text>
        <r>
          <rPr>
            <sz val="10"/>
            <rFont val="Arial"/>
            <family val="2"/>
          </rPr>
          <t>Editar el mes en número.</t>
        </r>
      </text>
    </comment>
    <comment ref="R35" authorId="0" shapeId="0" xr:uid="{00000000-0006-0000-0000-000018000000}">
      <text>
        <r>
          <rPr>
            <sz val="10"/>
            <rFont val="Arial"/>
            <family val="2"/>
          </rPr>
          <t>Editar turno</t>
        </r>
      </text>
    </comment>
    <comment ref="S35" authorId="0" shapeId="0" xr:uid="{00000000-0006-0000-0000-000019000000}">
      <text>
        <r>
          <rPr>
            <sz val="10"/>
            <rFont val="Arial"/>
            <family val="2"/>
          </rPr>
          <t>Hora de entrada</t>
        </r>
      </text>
    </comment>
    <comment ref="V35" authorId="0" shapeId="0" xr:uid="{00000000-0006-0000-0000-00001A000000}">
      <text>
        <r>
          <rPr>
            <sz val="10"/>
            <rFont val="Arial"/>
            <family val="2"/>
          </rPr>
          <t>Hora de salida</t>
        </r>
      </text>
    </comment>
    <comment ref="C36" authorId="0" shapeId="0" xr:uid="{00000000-0006-0000-0000-00001B000000}">
      <text>
        <r>
          <rPr>
            <sz val="10"/>
            <rFont val="Arial"/>
            <family val="2"/>
          </rPr>
          <t>Editar el valor del día de vacaciones (</t>
        </r>
        <r>
          <rPr>
            <b/>
            <sz val="10"/>
            <rFont val="Arial"/>
            <family val="2"/>
          </rPr>
          <t>V</t>
        </r>
        <r>
          <rPr>
            <sz val="10"/>
            <rFont val="Arial"/>
            <family val="2"/>
          </rPr>
          <t>), dejarlo en blanco si no queremos sumar las horas.</t>
        </r>
      </text>
    </comment>
    <comment ref="R36" authorId="0" shapeId="0" xr:uid="{00000000-0006-0000-0000-00001C000000}">
      <text>
        <r>
          <rPr>
            <sz val="10"/>
            <rFont val="Arial"/>
            <family val="2"/>
          </rPr>
          <t>Editar turno</t>
        </r>
      </text>
    </comment>
    <comment ref="S36" authorId="0" shapeId="0" xr:uid="{00000000-0006-0000-0000-00001D000000}">
      <text>
        <r>
          <rPr>
            <sz val="10"/>
            <rFont val="Arial"/>
            <family val="2"/>
          </rPr>
          <t>Hora de entrada</t>
        </r>
      </text>
    </comment>
    <comment ref="V36" authorId="0" shapeId="0" xr:uid="{00000000-0006-0000-0000-00001E000000}">
      <text>
        <r>
          <rPr>
            <sz val="10"/>
            <rFont val="Arial"/>
            <family val="2"/>
          </rPr>
          <t>Hora de salida</t>
        </r>
      </text>
    </comment>
    <comment ref="C37" authorId="0" shapeId="0" xr:uid="{00000000-0006-0000-0000-00001F000000}">
      <text>
        <r>
          <rPr>
            <sz val="10"/>
            <rFont val="Arial"/>
            <family val="2"/>
          </rPr>
          <t>Editar la jornada minina en horas.</t>
        </r>
      </text>
    </comment>
    <comment ref="R37" authorId="0" shapeId="0" xr:uid="{00000000-0006-0000-0000-000020000000}">
      <text>
        <r>
          <rPr>
            <sz val="10"/>
            <rFont val="Arial"/>
            <family val="2"/>
          </rPr>
          <t>Editar turno</t>
        </r>
      </text>
    </comment>
    <comment ref="S37" authorId="0" shapeId="0" xr:uid="{00000000-0006-0000-0000-000021000000}">
      <text>
        <r>
          <rPr>
            <sz val="10"/>
            <rFont val="Arial"/>
            <family val="2"/>
          </rPr>
          <t>Hora de entrada</t>
        </r>
      </text>
    </comment>
    <comment ref="V37" authorId="0" shapeId="0" xr:uid="{00000000-0006-0000-0000-000022000000}">
      <text>
        <r>
          <rPr>
            <sz val="10"/>
            <rFont val="Arial"/>
            <family val="2"/>
          </rPr>
          <t>Hora de salida</t>
        </r>
      </text>
    </comment>
    <comment ref="C38" authorId="0" shapeId="0" xr:uid="{00000000-0006-0000-0000-000023000000}">
      <text>
        <r>
          <rPr>
            <sz val="10"/>
            <rFont val="Arial"/>
            <family val="2"/>
          </rPr>
          <t>Editar el valor en horas del permiso retribuido (</t>
        </r>
        <r>
          <rPr>
            <b/>
            <sz val="10"/>
            <rFont val="Arial"/>
            <family val="2"/>
          </rPr>
          <t>PR</t>
        </r>
        <r>
          <rPr>
            <sz val="10"/>
            <rFont val="Arial"/>
            <family val="2"/>
          </rPr>
          <t>), dejarlo en blanco si no queremos sumar las horas.</t>
        </r>
      </text>
    </comment>
    <comment ref="R38" authorId="0" shapeId="0" xr:uid="{00000000-0006-0000-0000-000024000000}">
      <text>
        <r>
          <rPr>
            <sz val="10"/>
            <rFont val="Arial"/>
            <family val="2"/>
          </rPr>
          <t>Editar turno</t>
        </r>
      </text>
    </comment>
    <comment ref="S38" authorId="0" shapeId="0" xr:uid="{00000000-0006-0000-0000-000025000000}">
      <text>
        <r>
          <rPr>
            <sz val="10"/>
            <rFont val="Arial"/>
            <family val="2"/>
          </rPr>
          <t>Hora de entrada</t>
        </r>
      </text>
    </comment>
    <comment ref="V38" authorId="0" shapeId="0" xr:uid="{00000000-0006-0000-0000-000026000000}">
      <text>
        <r>
          <rPr>
            <sz val="10"/>
            <rFont val="Arial"/>
            <family val="2"/>
          </rPr>
          <t>Hora de salida</t>
        </r>
      </text>
    </comment>
    <comment ref="R39" authorId="0" shapeId="0" xr:uid="{00000000-0006-0000-0000-000027000000}">
      <text>
        <r>
          <rPr>
            <sz val="10"/>
            <rFont val="Arial"/>
            <family val="2"/>
          </rPr>
          <t>Editar turno</t>
        </r>
      </text>
    </comment>
    <comment ref="S39" authorId="0" shapeId="0" xr:uid="{00000000-0006-0000-0000-000028000000}">
      <text>
        <r>
          <rPr>
            <sz val="10"/>
            <rFont val="Arial"/>
            <family val="2"/>
          </rPr>
          <t>Hora de entrada</t>
        </r>
      </text>
    </comment>
    <comment ref="V39" authorId="0" shapeId="0" xr:uid="{00000000-0006-0000-0000-000029000000}">
      <text>
        <r>
          <rPr>
            <sz val="10"/>
            <rFont val="Arial"/>
            <family val="2"/>
          </rPr>
          <t>Hora de salida</t>
        </r>
      </text>
    </comment>
    <comment ref="R40" authorId="0" shapeId="0" xr:uid="{00000000-0006-0000-0000-00002A000000}">
      <text>
        <r>
          <rPr>
            <sz val="10"/>
            <rFont val="Arial"/>
            <family val="2"/>
          </rPr>
          <t>Editar turno</t>
        </r>
      </text>
    </comment>
    <comment ref="S40" authorId="0" shapeId="0" xr:uid="{00000000-0006-0000-0000-00002B000000}">
      <text>
        <r>
          <rPr>
            <sz val="10"/>
            <rFont val="Arial"/>
            <family val="2"/>
          </rPr>
          <t>Hora de entrada</t>
        </r>
      </text>
    </comment>
    <comment ref="V40" authorId="0" shapeId="0" xr:uid="{00000000-0006-0000-0000-00002C000000}">
      <text>
        <r>
          <rPr>
            <sz val="10"/>
            <rFont val="Arial"/>
            <family val="2"/>
          </rPr>
          <t>Hora de salida</t>
        </r>
      </text>
    </comment>
    <comment ref="E43" authorId="0" shapeId="0" xr:uid="{00000000-0006-0000-0000-00002D000000}">
      <text>
        <r>
          <rPr>
            <sz val="10"/>
            <rFont val="Arial"/>
            <family val="2"/>
          </rPr>
          <t>Editar notas del mes.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100-000001000000}">
      <text>
        <r>
          <rPr>
            <sz val="10"/>
            <rFont val="Arial"/>
            <family val="2"/>
          </rPr>
          <t xml:space="preserve">Editar festivos con una </t>
        </r>
        <r>
          <rPr>
            <b/>
            <sz val="10"/>
            <rFont val="Arial"/>
            <family val="2"/>
          </rPr>
          <t>X</t>
        </r>
        <r>
          <rPr>
            <sz val="10"/>
            <rFont val="Arial"/>
            <family val="2"/>
          </rPr>
          <t xml:space="preserve"> mayúscula.</t>
        </r>
      </text>
    </comment>
    <comment ref="AH6" authorId="0" shapeId="0" xr:uid="{00000000-0006-0000-0100-000002000000}">
      <text>
        <r>
          <rPr>
            <sz val="10"/>
            <rFont val="Arial"/>
            <family val="2"/>
          </rPr>
          <t xml:space="preserve">Editar con una </t>
        </r>
        <r>
          <rPr>
            <b/>
            <sz val="10"/>
            <rFont val="Arial"/>
            <family val="2"/>
          </rPr>
          <t>X</t>
        </r>
        <r>
          <rPr>
            <sz val="10"/>
            <rFont val="Arial"/>
            <family val="2"/>
          </rPr>
          <t xml:space="preserve"> el día festivo. Marca la casilla si el día 1 del siguiente mes es festivo.</t>
        </r>
      </text>
    </comment>
    <comment ref="B7" authorId="0" shapeId="0" xr:uid="{00000000-0006-0000-0100-000003000000}">
      <text>
        <r>
          <rPr>
            <sz val="10"/>
            <rFont val="Arial"/>
            <family val="2"/>
          </rPr>
          <t>Días festivos con fondo en color.</t>
        </r>
      </text>
    </comment>
    <comment ref="AH8" authorId="0" shapeId="0" xr:uid="{00000000-0006-0000-0100-000004000000}">
      <text>
        <r>
          <rPr>
            <sz val="10"/>
            <rFont val="Arial"/>
            <family val="2"/>
          </rPr>
          <t>Horas totales.</t>
        </r>
      </text>
    </comment>
    <comment ref="AI8" authorId="0" shapeId="0" xr:uid="{00000000-0006-0000-0100-000005000000}">
      <text>
        <r>
          <rPr>
            <sz val="10"/>
            <rFont val="Arial"/>
            <family val="2"/>
          </rPr>
          <t>Horas extras.</t>
        </r>
      </text>
    </comment>
    <comment ref="AJ8" authorId="0" shapeId="0" xr:uid="{00000000-0006-0000-0100-000006000000}">
      <text>
        <r>
          <rPr>
            <sz val="10"/>
            <rFont val="Arial"/>
            <family val="2"/>
          </rPr>
          <t>Horas festivas.</t>
        </r>
      </text>
    </comment>
    <comment ref="AK8" authorId="0" shapeId="0" xr:uid="{00000000-0006-0000-0100-000007000000}">
      <text>
        <r>
          <rPr>
            <sz val="10"/>
            <rFont val="Arial"/>
            <family val="2"/>
          </rPr>
          <t>Horas nocturnas.</t>
        </r>
      </text>
    </comment>
    <comment ref="AL8" authorId="0" shapeId="0" xr:uid="{00000000-0006-0000-0100-000008000000}">
      <text>
        <r>
          <rPr>
            <sz val="10"/>
            <rFont val="Arial"/>
            <family val="2"/>
          </rPr>
          <t>Suma días vacaciones.</t>
        </r>
      </text>
    </comment>
    <comment ref="B21" authorId="0" shapeId="0" xr:uid="{00000000-0006-0000-0100-000009000000}">
      <text>
        <r>
          <rPr>
            <sz val="10"/>
            <rFont val="Arial"/>
            <family val="2"/>
          </rPr>
          <t>Sumas de horas por día.</t>
        </r>
      </text>
    </comment>
    <comment ref="C32" authorId="0" shapeId="0" xr:uid="{00000000-0006-0000-0100-00000A000000}">
      <text>
        <r>
          <rPr>
            <sz val="10"/>
            <rFont val="Arial"/>
            <family val="2"/>
          </rPr>
          <t>Editar el nombre de la empresa de seguridad.</t>
        </r>
      </text>
    </comment>
    <comment ref="R32" authorId="0" shapeId="0" xr:uid="{00000000-0006-0000-0100-00000B000000}">
      <text>
        <r>
          <rPr>
            <sz val="10"/>
            <rFont val="Arial"/>
            <family val="2"/>
          </rPr>
          <t>Editar turno</t>
        </r>
      </text>
    </comment>
    <comment ref="S32" authorId="0" shapeId="0" xr:uid="{00000000-0006-0000-0100-00000C000000}">
      <text>
        <r>
          <rPr>
            <sz val="10"/>
            <rFont val="Arial"/>
            <family val="2"/>
          </rPr>
          <t>Hora de entrada</t>
        </r>
      </text>
    </comment>
    <comment ref="V32" authorId="0" shapeId="0" xr:uid="{00000000-0006-0000-0100-00000D000000}">
      <text>
        <r>
          <rPr>
            <sz val="10"/>
            <rFont val="Arial"/>
            <family val="2"/>
          </rPr>
          <t>Hora de salida</t>
        </r>
      </text>
    </comment>
    <comment ref="AH32" authorId="0" shapeId="0" xr:uid="{00000000-0006-0000-0100-00000E000000}">
      <text>
        <r>
          <rPr>
            <sz val="10"/>
            <rFont val="Arial"/>
            <family val="2"/>
          </rPr>
          <t>Editar decimales</t>
        </r>
      </text>
    </comment>
    <comment ref="C33" authorId="0" shapeId="0" xr:uid="{00000000-0006-0000-0100-00000F000000}">
      <text>
        <r>
          <rPr>
            <sz val="10"/>
            <rFont val="Arial"/>
            <family val="2"/>
          </rPr>
          <t>Editar el nombre del centro de trabajo.</t>
        </r>
      </text>
    </comment>
    <comment ref="R33" authorId="0" shapeId="0" xr:uid="{00000000-0006-0000-0100-000010000000}">
      <text>
        <r>
          <rPr>
            <sz val="10"/>
            <rFont val="Arial"/>
            <family val="2"/>
          </rPr>
          <t>Editar turno</t>
        </r>
      </text>
    </comment>
    <comment ref="S33" authorId="0" shapeId="0" xr:uid="{00000000-0006-0000-0100-000011000000}">
      <text>
        <r>
          <rPr>
            <sz val="10"/>
            <rFont val="Arial"/>
            <family val="2"/>
          </rPr>
          <t>Hora de entrada</t>
        </r>
      </text>
    </comment>
    <comment ref="V33" authorId="0" shapeId="0" xr:uid="{00000000-0006-0000-0100-000012000000}">
      <text>
        <r>
          <rPr>
            <sz val="10"/>
            <rFont val="Arial"/>
            <family val="2"/>
          </rPr>
          <t>Hora de salida</t>
        </r>
      </text>
    </comment>
    <comment ref="C34" authorId="0" shapeId="0" xr:uid="{00000000-0006-0000-0100-000013000000}">
      <text>
        <r>
          <rPr>
            <sz val="10"/>
            <rFont val="Arial"/>
            <family val="2"/>
          </rPr>
          <t>Editar el año.</t>
        </r>
      </text>
    </comment>
    <comment ref="R34" authorId="0" shapeId="0" xr:uid="{00000000-0006-0000-0100-000014000000}">
      <text>
        <r>
          <rPr>
            <sz val="10"/>
            <rFont val="Arial"/>
            <family val="2"/>
          </rPr>
          <t>Editar turno</t>
        </r>
      </text>
    </comment>
    <comment ref="S34" authorId="0" shapeId="0" xr:uid="{00000000-0006-0000-0100-000015000000}">
      <text>
        <r>
          <rPr>
            <sz val="10"/>
            <rFont val="Arial"/>
            <family val="2"/>
          </rPr>
          <t>Hora de entrada</t>
        </r>
      </text>
    </comment>
    <comment ref="V34" authorId="0" shapeId="0" xr:uid="{00000000-0006-0000-0100-000016000000}">
      <text>
        <r>
          <rPr>
            <sz val="10"/>
            <rFont val="Arial"/>
            <family val="2"/>
          </rPr>
          <t>Hora de salida</t>
        </r>
      </text>
    </comment>
    <comment ref="C35" authorId="0" shapeId="0" xr:uid="{00000000-0006-0000-0100-000017000000}">
      <text>
        <r>
          <rPr>
            <sz val="10"/>
            <rFont val="Arial"/>
            <family val="2"/>
          </rPr>
          <t>Editar el mes en número.</t>
        </r>
      </text>
    </comment>
    <comment ref="R35" authorId="0" shapeId="0" xr:uid="{00000000-0006-0000-0100-000018000000}">
      <text>
        <r>
          <rPr>
            <sz val="10"/>
            <rFont val="Arial"/>
            <family val="2"/>
          </rPr>
          <t>Editar turno</t>
        </r>
      </text>
    </comment>
    <comment ref="S35" authorId="0" shapeId="0" xr:uid="{00000000-0006-0000-0100-000019000000}">
      <text>
        <r>
          <rPr>
            <sz val="10"/>
            <rFont val="Arial"/>
            <family val="2"/>
          </rPr>
          <t>Hora de entrada</t>
        </r>
      </text>
    </comment>
    <comment ref="V35" authorId="0" shapeId="0" xr:uid="{00000000-0006-0000-0100-00001A000000}">
      <text>
        <r>
          <rPr>
            <sz val="10"/>
            <rFont val="Arial"/>
            <family val="2"/>
          </rPr>
          <t>Hora de salida</t>
        </r>
      </text>
    </comment>
    <comment ref="C36" authorId="0" shapeId="0" xr:uid="{00000000-0006-0000-0100-00001B000000}">
      <text>
        <r>
          <rPr>
            <sz val="10"/>
            <rFont val="Arial"/>
            <family val="2"/>
          </rPr>
          <t>Editar el valor del día de vacaciones (</t>
        </r>
        <r>
          <rPr>
            <b/>
            <sz val="10"/>
            <rFont val="Arial"/>
            <family val="2"/>
          </rPr>
          <t>V</t>
        </r>
        <r>
          <rPr>
            <sz val="10"/>
            <rFont val="Arial"/>
            <family val="2"/>
          </rPr>
          <t>), dejarlo en blanco si no queremos sumar las horas.</t>
        </r>
      </text>
    </comment>
    <comment ref="R36" authorId="0" shapeId="0" xr:uid="{00000000-0006-0000-0100-00001C000000}">
      <text>
        <r>
          <rPr>
            <sz val="10"/>
            <rFont val="Arial"/>
            <family val="2"/>
          </rPr>
          <t>Editar turno</t>
        </r>
      </text>
    </comment>
    <comment ref="S36" authorId="0" shapeId="0" xr:uid="{00000000-0006-0000-0100-00001D000000}">
      <text>
        <r>
          <rPr>
            <sz val="10"/>
            <rFont val="Arial"/>
            <family val="2"/>
          </rPr>
          <t>Hora de entrada</t>
        </r>
      </text>
    </comment>
    <comment ref="V36" authorId="0" shapeId="0" xr:uid="{00000000-0006-0000-0100-00001E000000}">
      <text>
        <r>
          <rPr>
            <sz val="10"/>
            <rFont val="Arial"/>
            <family val="2"/>
          </rPr>
          <t>Hora de salida</t>
        </r>
      </text>
    </comment>
    <comment ref="C37" authorId="0" shapeId="0" xr:uid="{00000000-0006-0000-0100-00001F000000}">
      <text>
        <r>
          <rPr>
            <sz val="10"/>
            <rFont val="Arial"/>
            <family val="2"/>
          </rPr>
          <t>Editar la jornada minina en horas.</t>
        </r>
      </text>
    </comment>
    <comment ref="R37" authorId="0" shapeId="0" xr:uid="{00000000-0006-0000-0100-000020000000}">
      <text>
        <r>
          <rPr>
            <sz val="10"/>
            <rFont val="Arial"/>
            <family val="2"/>
          </rPr>
          <t>Editar turno</t>
        </r>
      </text>
    </comment>
    <comment ref="S37" authorId="0" shapeId="0" xr:uid="{00000000-0006-0000-0100-000021000000}">
      <text>
        <r>
          <rPr>
            <sz val="10"/>
            <rFont val="Arial"/>
            <family val="2"/>
          </rPr>
          <t>Hora de entrada</t>
        </r>
      </text>
    </comment>
    <comment ref="V37" authorId="0" shapeId="0" xr:uid="{00000000-0006-0000-0100-000022000000}">
      <text>
        <r>
          <rPr>
            <sz val="10"/>
            <rFont val="Arial"/>
            <family val="2"/>
          </rPr>
          <t>Hora de salida</t>
        </r>
      </text>
    </comment>
    <comment ref="C38" authorId="0" shapeId="0" xr:uid="{00000000-0006-0000-0100-000023000000}">
      <text>
        <r>
          <rPr>
            <sz val="10"/>
            <rFont val="Arial"/>
            <family val="2"/>
          </rPr>
          <t>Editar el valor en horas del permiso retribuido (</t>
        </r>
        <r>
          <rPr>
            <b/>
            <sz val="10"/>
            <rFont val="Arial"/>
            <family val="2"/>
          </rPr>
          <t>PR</t>
        </r>
        <r>
          <rPr>
            <sz val="10"/>
            <rFont val="Arial"/>
            <family val="2"/>
          </rPr>
          <t>), dejarlo en blanco si no queremos sumar las horas.</t>
        </r>
      </text>
    </comment>
    <comment ref="R38" authorId="0" shapeId="0" xr:uid="{00000000-0006-0000-0100-000024000000}">
      <text>
        <r>
          <rPr>
            <sz val="10"/>
            <rFont val="Arial"/>
            <family val="2"/>
          </rPr>
          <t>Editar turno</t>
        </r>
      </text>
    </comment>
    <comment ref="S38" authorId="0" shapeId="0" xr:uid="{00000000-0006-0000-0100-000025000000}">
      <text>
        <r>
          <rPr>
            <sz val="10"/>
            <rFont val="Arial"/>
            <family val="2"/>
          </rPr>
          <t>Hora de entrada</t>
        </r>
      </text>
    </comment>
    <comment ref="V38" authorId="0" shapeId="0" xr:uid="{00000000-0006-0000-0100-000026000000}">
      <text>
        <r>
          <rPr>
            <sz val="10"/>
            <rFont val="Arial"/>
            <family val="2"/>
          </rPr>
          <t>Hora de salida</t>
        </r>
      </text>
    </comment>
    <comment ref="R39" authorId="0" shapeId="0" xr:uid="{00000000-0006-0000-0100-000027000000}">
      <text>
        <r>
          <rPr>
            <sz val="10"/>
            <rFont val="Arial"/>
            <family val="2"/>
          </rPr>
          <t>Editar turno</t>
        </r>
      </text>
    </comment>
    <comment ref="S39" authorId="0" shapeId="0" xr:uid="{00000000-0006-0000-0100-000028000000}">
      <text>
        <r>
          <rPr>
            <sz val="10"/>
            <rFont val="Arial"/>
            <family val="2"/>
          </rPr>
          <t>Hora de entrada</t>
        </r>
      </text>
    </comment>
    <comment ref="V39" authorId="0" shapeId="0" xr:uid="{00000000-0006-0000-0100-000029000000}">
      <text>
        <r>
          <rPr>
            <sz val="10"/>
            <rFont val="Arial"/>
            <family val="2"/>
          </rPr>
          <t>Hora de salida</t>
        </r>
      </text>
    </comment>
    <comment ref="R40" authorId="0" shapeId="0" xr:uid="{00000000-0006-0000-0100-00002A000000}">
      <text>
        <r>
          <rPr>
            <sz val="10"/>
            <rFont val="Arial"/>
            <family val="2"/>
          </rPr>
          <t>Editar turno</t>
        </r>
      </text>
    </comment>
    <comment ref="S40" authorId="0" shapeId="0" xr:uid="{00000000-0006-0000-0100-00002B000000}">
      <text>
        <r>
          <rPr>
            <sz val="10"/>
            <rFont val="Arial"/>
            <family val="2"/>
          </rPr>
          <t>Hora de entrada</t>
        </r>
      </text>
    </comment>
    <comment ref="V40" authorId="0" shapeId="0" xr:uid="{00000000-0006-0000-0100-00002C000000}">
      <text>
        <r>
          <rPr>
            <sz val="10"/>
            <rFont val="Arial"/>
            <family val="2"/>
          </rPr>
          <t>Hora de salida</t>
        </r>
      </text>
    </comment>
    <comment ref="E43" authorId="0" shapeId="0" xr:uid="{00000000-0006-0000-0100-00002D000000}">
      <text>
        <r>
          <rPr>
            <sz val="10"/>
            <rFont val="Arial"/>
            <family val="2"/>
          </rPr>
          <t>Editar notas del mes.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200-000001000000}">
      <text>
        <r>
          <rPr>
            <sz val="10"/>
            <rFont val="Arial"/>
            <family val="2"/>
          </rPr>
          <t xml:space="preserve">Editar festivos con una </t>
        </r>
        <r>
          <rPr>
            <b/>
            <sz val="10"/>
            <rFont val="Arial"/>
            <family val="2"/>
          </rPr>
          <t>X</t>
        </r>
        <r>
          <rPr>
            <sz val="10"/>
            <rFont val="Arial"/>
            <family val="2"/>
          </rPr>
          <t xml:space="preserve"> mayúscula.</t>
        </r>
      </text>
    </comment>
    <comment ref="AH6" authorId="0" shapeId="0" xr:uid="{00000000-0006-0000-0200-000002000000}">
      <text>
        <r>
          <rPr>
            <sz val="10"/>
            <rFont val="Arial"/>
            <family val="2"/>
          </rPr>
          <t xml:space="preserve">Editar con una </t>
        </r>
        <r>
          <rPr>
            <b/>
            <sz val="10"/>
            <rFont val="Arial"/>
            <family val="2"/>
          </rPr>
          <t>X</t>
        </r>
        <r>
          <rPr>
            <sz val="10"/>
            <rFont val="Arial"/>
            <family val="2"/>
          </rPr>
          <t xml:space="preserve"> el día festivo. Marca la casilla si el día 1 del siguiente mes es festivo.</t>
        </r>
      </text>
    </comment>
    <comment ref="B7" authorId="0" shapeId="0" xr:uid="{00000000-0006-0000-0200-000003000000}">
      <text>
        <r>
          <rPr>
            <sz val="10"/>
            <rFont val="Arial"/>
            <family val="2"/>
          </rPr>
          <t>Días festivos con fondo en color.</t>
        </r>
      </text>
    </comment>
    <comment ref="AH8" authorId="0" shapeId="0" xr:uid="{00000000-0006-0000-0200-000004000000}">
      <text>
        <r>
          <rPr>
            <sz val="10"/>
            <rFont val="Arial"/>
            <family val="2"/>
          </rPr>
          <t>Horas totales.</t>
        </r>
      </text>
    </comment>
    <comment ref="AI8" authorId="0" shapeId="0" xr:uid="{00000000-0006-0000-0200-000005000000}">
      <text>
        <r>
          <rPr>
            <sz val="10"/>
            <rFont val="Arial"/>
            <family val="2"/>
          </rPr>
          <t>Horas extras.</t>
        </r>
      </text>
    </comment>
    <comment ref="AJ8" authorId="0" shapeId="0" xr:uid="{00000000-0006-0000-0200-000006000000}">
      <text>
        <r>
          <rPr>
            <sz val="10"/>
            <rFont val="Arial"/>
            <family val="2"/>
          </rPr>
          <t>Horas festivas.</t>
        </r>
      </text>
    </comment>
    <comment ref="AK8" authorId="0" shapeId="0" xr:uid="{00000000-0006-0000-0200-000007000000}">
      <text>
        <r>
          <rPr>
            <sz val="10"/>
            <rFont val="Arial"/>
            <family val="2"/>
          </rPr>
          <t>Horas nocturnas.</t>
        </r>
      </text>
    </comment>
    <comment ref="AL8" authorId="0" shapeId="0" xr:uid="{00000000-0006-0000-0200-000008000000}">
      <text>
        <r>
          <rPr>
            <sz val="10"/>
            <rFont val="Arial"/>
            <family val="2"/>
          </rPr>
          <t>Suma días vacaciones.</t>
        </r>
      </text>
    </comment>
    <comment ref="B21" authorId="0" shapeId="0" xr:uid="{00000000-0006-0000-0200-000009000000}">
      <text>
        <r>
          <rPr>
            <sz val="10"/>
            <rFont val="Arial"/>
            <family val="2"/>
          </rPr>
          <t>Sumas de horas por día.</t>
        </r>
      </text>
    </comment>
    <comment ref="C32" authorId="0" shapeId="0" xr:uid="{00000000-0006-0000-0200-00000A000000}">
      <text>
        <r>
          <rPr>
            <sz val="10"/>
            <rFont val="Arial"/>
            <family val="2"/>
          </rPr>
          <t>Editar el nombre de la empresa de seguridad.</t>
        </r>
      </text>
    </comment>
    <comment ref="R32" authorId="0" shapeId="0" xr:uid="{00000000-0006-0000-0200-00000B000000}">
      <text>
        <r>
          <rPr>
            <sz val="10"/>
            <rFont val="Arial"/>
            <family val="2"/>
          </rPr>
          <t>Editar turno</t>
        </r>
      </text>
    </comment>
    <comment ref="S32" authorId="0" shapeId="0" xr:uid="{00000000-0006-0000-0200-00000C000000}">
      <text>
        <r>
          <rPr>
            <sz val="10"/>
            <rFont val="Arial"/>
            <family val="2"/>
          </rPr>
          <t>Hora de entrada</t>
        </r>
      </text>
    </comment>
    <comment ref="V32" authorId="0" shapeId="0" xr:uid="{00000000-0006-0000-0200-00000D000000}">
      <text>
        <r>
          <rPr>
            <sz val="10"/>
            <rFont val="Arial"/>
            <family val="2"/>
          </rPr>
          <t>Hora de salida</t>
        </r>
      </text>
    </comment>
    <comment ref="AH32" authorId="0" shapeId="0" xr:uid="{00000000-0006-0000-0200-00000E000000}">
      <text>
        <r>
          <rPr>
            <sz val="10"/>
            <rFont val="Arial"/>
            <family val="2"/>
          </rPr>
          <t>Editar decimales</t>
        </r>
      </text>
    </comment>
    <comment ref="C33" authorId="0" shapeId="0" xr:uid="{00000000-0006-0000-0200-00000F000000}">
      <text>
        <r>
          <rPr>
            <sz val="10"/>
            <rFont val="Arial"/>
            <family val="2"/>
          </rPr>
          <t>Editar el nombre del centro de trabajo.</t>
        </r>
      </text>
    </comment>
    <comment ref="R33" authorId="0" shapeId="0" xr:uid="{00000000-0006-0000-0200-000010000000}">
      <text>
        <r>
          <rPr>
            <sz val="10"/>
            <rFont val="Arial"/>
            <family val="2"/>
          </rPr>
          <t>Editar turno</t>
        </r>
      </text>
    </comment>
    <comment ref="S33" authorId="0" shapeId="0" xr:uid="{00000000-0006-0000-0200-000011000000}">
      <text>
        <r>
          <rPr>
            <sz val="10"/>
            <rFont val="Arial"/>
            <family val="2"/>
          </rPr>
          <t>Hora de entrada</t>
        </r>
      </text>
    </comment>
    <comment ref="V33" authorId="0" shapeId="0" xr:uid="{00000000-0006-0000-0200-000012000000}">
      <text>
        <r>
          <rPr>
            <sz val="10"/>
            <rFont val="Arial"/>
            <family val="2"/>
          </rPr>
          <t>Hora de salida</t>
        </r>
      </text>
    </comment>
    <comment ref="C34" authorId="0" shapeId="0" xr:uid="{00000000-0006-0000-0200-000013000000}">
      <text>
        <r>
          <rPr>
            <sz val="10"/>
            <rFont val="Arial"/>
            <family val="2"/>
          </rPr>
          <t>Editar el año.</t>
        </r>
      </text>
    </comment>
    <comment ref="R34" authorId="0" shapeId="0" xr:uid="{00000000-0006-0000-0200-000014000000}">
      <text>
        <r>
          <rPr>
            <sz val="10"/>
            <rFont val="Arial"/>
            <family val="2"/>
          </rPr>
          <t>Editar turno</t>
        </r>
      </text>
    </comment>
    <comment ref="S34" authorId="0" shapeId="0" xr:uid="{00000000-0006-0000-0200-000015000000}">
      <text>
        <r>
          <rPr>
            <sz val="10"/>
            <rFont val="Arial"/>
            <family val="2"/>
          </rPr>
          <t>Hora de entrada</t>
        </r>
      </text>
    </comment>
    <comment ref="V34" authorId="0" shapeId="0" xr:uid="{00000000-0006-0000-0200-000016000000}">
      <text>
        <r>
          <rPr>
            <sz val="10"/>
            <rFont val="Arial"/>
            <family val="2"/>
          </rPr>
          <t>Hora de salida</t>
        </r>
      </text>
    </comment>
    <comment ref="C35" authorId="0" shapeId="0" xr:uid="{00000000-0006-0000-0200-000017000000}">
      <text>
        <r>
          <rPr>
            <sz val="10"/>
            <rFont val="Arial"/>
            <family val="2"/>
          </rPr>
          <t>Editar el mes en número.</t>
        </r>
      </text>
    </comment>
    <comment ref="R35" authorId="0" shapeId="0" xr:uid="{00000000-0006-0000-0200-000018000000}">
      <text>
        <r>
          <rPr>
            <sz val="10"/>
            <rFont val="Arial"/>
            <family val="2"/>
          </rPr>
          <t>Editar turno</t>
        </r>
      </text>
    </comment>
    <comment ref="S35" authorId="0" shapeId="0" xr:uid="{00000000-0006-0000-0200-000019000000}">
      <text>
        <r>
          <rPr>
            <sz val="10"/>
            <rFont val="Arial"/>
            <family val="2"/>
          </rPr>
          <t>Hora de entrada</t>
        </r>
      </text>
    </comment>
    <comment ref="V35" authorId="0" shapeId="0" xr:uid="{00000000-0006-0000-0200-00001A000000}">
      <text>
        <r>
          <rPr>
            <sz val="10"/>
            <rFont val="Arial"/>
            <family val="2"/>
          </rPr>
          <t>Hora de salida</t>
        </r>
      </text>
    </comment>
    <comment ref="C36" authorId="0" shapeId="0" xr:uid="{00000000-0006-0000-0200-00001B000000}">
      <text>
        <r>
          <rPr>
            <sz val="10"/>
            <rFont val="Arial"/>
            <family val="2"/>
          </rPr>
          <t>Editar el valor del día de vacaciones (</t>
        </r>
        <r>
          <rPr>
            <b/>
            <sz val="10"/>
            <rFont val="Arial"/>
            <family val="2"/>
          </rPr>
          <t>V</t>
        </r>
        <r>
          <rPr>
            <sz val="10"/>
            <rFont val="Arial"/>
            <family val="2"/>
          </rPr>
          <t>), dejarlo en blanco si no queremos sumar las horas.</t>
        </r>
      </text>
    </comment>
    <comment ref="R36" authorId="0" shapeId="0" xr:uid="{00000000-0006-0000-0200-00001C000000}">
      <text>
        <r>
          <rPr>
            <sz val="10"/>
            <rFont val="Arial"/>
            <family val="2"/>
          </rPr>
          <t>Editar turno</t>
        </r>
      </text>
    </comment>
    <comment ref="S36" authorId="0" shapeId="0" xr:uid="{00000000-0006-0000-0200-00001D000000}">
      <text>
        <r>
          <rPr>
            <sz val="10"/>
            <rFont val="Arial"/>
            <family val="2"/>
          </rPr>
          <t>Hora de entrada</t>
        </r>
      </text>
    </comment>
    <comment ref="V36" authorId="0" shapeId="0" xr:uid="{00000000-0006-0000-0200-00001E000000}">
      <text>
        <r>
          <rPr>
            <sz val="10"/>
            <rFont val="Arial"/>
            <family val="2"/>
          </rPr>
          <t>Hora de salida</t>
        </r>
      </text>
    </comment>
    <comment ref="C37" authorId="0" shapeId="0" xr:uid="{00000000-0006-0000-0200-00001F000000}">
      <text>
        <r>
          <rPr>
            <sz val="10"/>
            <rFont val="Arial"/>
            <family val="2"/>
          </rPr>
          <t>Editar la jornada minina en horas.</t>
        </r>
      </text>
    </comment>
    <comment ref="R37" authorId="0" shapeId="0" xr:uid="{00000000-0006-0000-0200-000020000000}">
      <text>
        <r>
          <rPr>
            <sz val="10"/>
            <rFont val="Arial"/>
            <family val="2"/>
          </rPr>
          <t>Editar turno</t>
        </r>
      </text>
    </comment>
    <comment ref="S37" authorId="0" shapeId="0" xr:uid="{00000000-0006-0000-0200-000021000000}">
      <text>
        <r>
          <rPr>
            <sz val="10"/>
            <rFont val="Arial"/>
            <family val="2"/>
          </rPr>
          <t>Hora de entrada</t>
        </r>
      </text>
    </comment>
    <comment ref="V37" authorId="0" shapeId="0" xr:uid="{00000000-0006-0000-0200-000022000000}">
      <text>
        <r>
          <rPr>
            <sz val="10"/>
            <rFont val="Arial"/>
            <family val="2"/>
          </rPr>
          <t>Hora de salida</t>
        </r>
      </text>
    </comment>
    <comment ref="C38" authorId="0" shapeId="0" xr:uid="{00000000-0006-0000-0200-000023000000}">
      <text>
        <r>
          <rPr>
            <sz val="10"/>
            <rFont val="Arial"/>
            <family val="2"/>
          </rPr>
          <t>Editar el valor en horas del permiso retribuido (</t>
        </r>
        <r>
          <rPr>
            <b/>
            <sz val="10"/>
            <rFont val="Arial"/>
            <family val="2"/>
          </rPr>
          <t>PR</t>
        </r>
        <r>
          <rPr>
            <sz val="10"/>
            <rFont val="Arial"/>
            <family val="2"/>
          </rPr>
          <t>), dejarlo en blanco si no queremos sumar las horas.</t>
        </r>
      </text>
    </comment>
    <comment ref="R38" authorId="0" shapeId="0" xr:uid="{00000000-0006-0000-0200-000024000000}">
      <text>
        <r>
          <rPr>
            <sz val="10"/>
            <rFont val="Arial"/>
            <family val="2"/>
          </rPr>
          <t>Editar turno</t>
        </r>
      </text>
    </comment>
    <comment ref="S38" authorId="0" shapeId="0" xr:uid="{00000000-0006-0000-0200-000025000000}">
      <text>
        <r>
          <rPr>
            <sz val="10"/>
            <rFont val="Arial"/>
            <family val="2"/>
          </rPr>
          <t>Hora de entrada</t>
        </r>
      </text>
    </comment>
    <comment ref="V38" authorId="0" shapeId="0" xr:uid="{00000000-0006-0000-0200-000026000000}">
      <text>
        <r>
          <rPr>
            <sz val="10"/>
            <rFont val="Arial"/>
            <family val="2"/>
          </rPr>
          <t>Hora de salida</t>
        </r>
      </text>
    </comment>
    <comment ref="R39" authorId="0" shapeId="0" xr:uid="{00000000-0006-0000-0200-000027000000}">
      <text>
        <r>
          <rPr>
            <sz val="10"/>
            <rFont val="Arial"/>
            <family val="2"/>
          </rPr>
          <t>Editar turno</t>
        </r>
      </text>
    </comment>
    <comment ref="S39" authorId="0" shapeId="0" xr:uid="{00000000-0006-0000-0200-000028000000}">
      <text>
        <r>
          <rPr>
            <sz val="10"/>
            <rFont val="Arial"/>
            <family val="2"/>
          </rPr>
          <t>Hora de entrada</t>
        </r>
      </text>
    </comment>
    <comment ref="V39" authorId="0" shapeId="0" xr:uid="{00000000-0006-0000-0200-000029000000}">
      <text>
        <r>
          <rPr>
            <sz val="10"/>
            <rFont val="Arial"/>
            <family val="2"/>
          </rPr>
          <t>Hora de salida</t>
        </r>
      </text>
    </comment>
    <comment ref="R40" authorId="0" shapeId="0" xr:uid="{00000000-0006-0000-0200-00002A000000}">
      <text>
        <r>
          <rPr>
            <sz val="10"/>
            <rFont val="Arial"/>
            <family val="2"/>
          </rPr>
          <t>Editar turno</t>
        </r>
      </text>
    </comment>
    <comment ref="S40" authorId="0" shapeId="0" xr:uid="{00000000-0006-0000-0200-00002B000000}">
      <text>
        <r>
          <rPr>
            <sz val="10"/>
            <rFont val="Arial"/>
            <family val="2"/>
          </rPr>
          <t>Hora de entrada</t>
        </r>
      </text>
    </comment>
    <comment ref="V40" authorId="0" shapeId="0" xr:uid="{00000000-0006-0000-0200-00002C000000}">
      <text>
        <r>
          <rPr>
            <sz val="10"/>
            <rFont val="Arial"/>
            <family val="2"/>
          </rPr>
          <t>Hora de salida</t>
        </r>
      </text>
    </comment>
    <comment ref="E43" authorId="0" shapeId="0" xr:uid="{00000000-0006-0000-0200-00002D000000}">
      <text>
        <r>
          <rPr>
            <sz val="10"/>
            <rFont val="Arial"/>
            <family val="2"/>
          </rPr>
          <t>Editar notas del mes.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300-000001000000}">
      <text>
        <r>
          <rPr>
            <sz val="10"/>
            <rFont val="Arial"/>
            <family val="2"/>
          </rPr>
          <t xml:space="preserve">Editar festivos con una </t>
        </r>
        <r>
          <rPr>
            <b/>
            <sz val="10"/>
            <rFont val="Arial"/>
            <family val="2"/>
          </rPr>
          <t>X</t>
        </r>
        <r>
          <rPr>
            <sz val="10"/>
            <rFont val="Arial"/>
            <family val="2"/>
          </rPr>
          <t xml:space="preserve"> mayúscula.</t>
        </r>
      </text>
    </comment>
    <comment ref="AH6" authorId="0" shapeId="0" xr:uid="{00000000-0006-0000-0300-000002000000}">
      <text>
        <r>
          <rPr>
            <sz val="10"/>
            <rFont val="Arial"/>
            <family val="2"/>
          </rPr>
          <t xml:space="preserve">Editar con una </t>
        </r>
        <r>
          <rPr>
            <b/>
            <sz val="10"/>
            <rFont val="Arial"/>
            <family val="2"/>
          </rPr>
          <t>X</t>
        </r>
        <r>
          <rPr>
            <sz val="10"/>
            <rFont val="Arial"/>
            <family val="2"/>
          </rPr>
          <t xml:space="preserve"> el día festivo. Marca la casilla si el día 1 del siguiente mes es festivo.</t>
        </r>
      </text>
    </comment>
    <comment ref="B7" authorId="0" shapeId="0" xr:uid="{00000000-0006-0000-0300-000003000000}">
      <text>
        <r>
          <rPr>
            <sz val="10"/>
            <rFont val="Arial"/>
            <family val="2"/>
          </rPr>
          <t>Días festivos con fondo en color.</t>
        </r>
      </text>
    </comment>
    <comment ref="AH8" authorId="0" shapeId="0" xr:uid="{00000000-0006-0000-0300-000004000000}">
      <text>
        <r>
          <rPr>
            <sz val="10"/>
            <rFont val="Arial"/>
            <family val="2"/>
          </rPr>
          <t>Horas totales.</t>
        </r>
      </text>
    </comment>
    <comment ref="AI8" authorId="0" shapeId="0" xr:uid="{00000000-0006-0000-0300-000005000000}">
      <text>
        <r>
          <rPr>
            <sz val="10"/>
            <rFont val="Arial"/>
            <family val="2"/>
          </rPr>
          <t>Horas extras.</t>
        </r>
      </text>
    </comment>
    <comment ref="AJ8" authorId="0" shapeId="0" xr:uid="{00000000-0006-0000-0300-000006000000}">
      <text>
        <r>
          <rPr>
            <sz val="10"/>
            <rFont val="Arial"/>
            <family val="2"/>
          </rPr>
          <t>Horas festivas.</t>
        </r>
      </text>
    </comment>
    <comment ref="AK8" authorId="0" shapeId="0" xr:uid="{00000000-0006-0000-0300-000007000000}">
      <text>
        <r>
          <rPr>
            <sz val="10"/>
            <rFont val="Arial"/>
            <family val="2"/>
          </rPr>
          <t>Horas nocturnas.</t>
        </r>
      </text>
    </comment>
    <comment ref="AL8" authorId="0" shapeId="0" xr:uid="{00000000-0006-0000-0300-000008000000}">
      <text>
        <r>
          <rPr>
            <sz val="10"/>
            <rFont val="Arial"/>
            <family val="2"/>
          </rPr>
          <t>Suma días vacaciones.</t>
        </r>
      </text>
    </comment>
    <comment ref="B21" authorId="0" shapeId="0" xr:uid="{00000000-0006-0000-0300-000009000000}">
      <text>
        <r>
          <rPr>
            <sz val="10"/>
            <rFont val="Arial"/>
            <family val="2"/>
          </rPr>
          <t>Sumas de horas por día.</t>
        </r>
      </text>
    </comment>
    <comment ref="C32" authorId="0" shapeId="0" xr:uid="{00000000-0006-0000-0300-00000A000000}">
      <text>
        <r>
          <rPr>
            <sz val="10"/>
            <rFont val="Arial"/>
            <family val="2"/>
          </rPr>
          <t>Editar el nombre de la empresa de seguridad.</t>
        </r>
      </text>
    </comment>
    <comment ref="R32" authorId="0" shapeId="0" xr:uid="{00000000-0006-0000-0300-00000B000000}">
      <text>
        <r>
          <rPr>
            <sz val="10"/>
            <rFont val="Arial"/>
            <family val="2"/>
          </rPr>
          <t>Editar turno</t>
        </r>
      </text>
    </comment>
    <comment ref="S32" authorId="0" shapeId="0" xr:uid="{00000000-0006-0000-0300-00000C000000}">
      <text>
        <r>
          <rPr>
            <sz val="10"/>
            <rFont val="Arial"/>
            <family val="2"/>
          </rPr>
          <t>Hora de entrada</t>
        </r>
      </text>
    </comment>
    <comment ref="V32" authorId="0" shapeId="0" xr:uid="{00000000-0006-0000-0300-00000D000000}">
      <text>
        <r>
          <rPr>
            <sz val="10"/>
            <rFont val="Arial"/>
            <family val="2"/>
          </rPr>
          <t>Hora de salida</t>
        </r>
      </text>
    </comment>
    <comment ref="AH32" authorId="0" shapeId="0" xr:uid="{00000000-0006-0000-0300-00000E000000}">
      <text>
        <r>
          <rPr>
            <sz val="10"/>
            <rFont val="Arial"/>
            <family val="2"/>
          </rPr>
          <t>Editar decimales</t>
        </r>
      </text>
    </comment>
    <comment ref="C33" authorId="0" shapeId="0" xr:uid="{00000000-0006-0000-0300-00000F000000}">
      <text>
        <r>
          <rPr>
            <sz val="10"/>
            <rFont val="Arial"/>
            <family val="2"/>
          </rPr>
          <t>Editar el nombre del centro de trabajo.</t>
        </r>
      </text>
    </comment>
    <comment ref="R33" authorId="0" shapeId="0" xr:uid="{00000000-0006-0000-0300-000010000000}">
      <text>
        <r>
          <rPr>
            <sz val="10"/>
            <rFont val="Arial"/>
            <family val="2"/>
          </rPr>
          <t>Editar turno</t>
        </r>
      </text>
    </comment>
    <comment ref="S33" authorId="0" shapeId="0" xr:uid="{00000000-0006-0000-0300-000011000000}">
      <text>
        <r>
          <rPr>
            <sz val="10"/>
            <rFont val="Arial"/>
            <family val="2"/>
          </rPr>
          <t>Hora de entrada</t>
        </r>
      </text>
    </comment>
    <comment ref="V33" authorId="0" shapeId="0" xr:uid="{00000000-0006-0000-0300-000012000000}">
      <text>
        <r>
          <rPr>
            <sz val="10"/>
            <rFont val="Arial"/>
            <family val="2"/>
          </rPr>
          <t>Hora de salida</t>
        </r>
      </text>
    </comment>
    <comment ref="C34" authorId="0" shapeId="0" xr:uid="{00000000-0006-0000-0300-000013000000}">
      <text>
        <r>
          <rPr>
            <sz val="10"/>
            <rFont val="Arial"/>
            <family val="2"/>
          </rPr>
          <t>Editar el año.</t>
        </r>
      </text>
    </comment>
    <comment ref="R34" authorId="0" shapeId="0" xr:uid="{00000000-0006-0000-0300-000014000000}">
      <text>
        <r>
          <rPr>
            <sz val="10"/>
            <rFont val="Arial"/>
            <family val="2"/>
          </rPr>
          <t>Editar turno</t>
        </r>
      </text>
    </comment>
    <comment ref="S34" authorId="0" shapeId="0" xr:uid="{00000000-0006-0000-0300-000015000000}">
      <text>
        <r>
          <rPr>
            <sz val="10"/>
            <rFont val="Arial"/>
            <family val="2"/>
          </rPr>
          <t>Hora de entrada</t>
        </r>
      </text>
    </comment>
    <comment ref="V34" authorId="0" shapeId="0" xr:uid="{00000000-0006-0000-0300-000016000000}">
      <text>
        <r>
          <rPr>
            <sz val="10"/>
            <rFont val="Arial"/>
            <family val="2"/>
          </rPr>
          <t>Hora de salida</t>
        </r>
      </text>
    </comment>
    <comment ref="C35" authorId="0" shapeId="0" xr:uid="{00000000-0006-0000-0300-000017000000}">
      <text>
        <r>
          <rPr>
            <sz val="10"/>
            <rFont val="Arial"/>
            <family val="2"/>
          </rPr>
          <t>Editar el mes en número.</t>
        </r>
      </text>
    </comment>
    <comment ref="R35" authorId="0" shapeId="0" xr:uid="{00000000-0006-0000-0300-000018000000}">
      <text>
        <r>
          <rPr>
            <sz val="10"/>
            <rFont val="Arial"/>
            <family val="2"/>
          </rPr>
          <t>Editar turno</t>
        </r>
      </text>
    </comment>
    <comment ref="S35" authorId="0" shapeId="0" xr:uid="{00000000-0006-0000-0300-000019000000}">
      <text>
        <r>
          <rPr>
            <sz val="10"/>
            <rFont val="Arial"/>
            <family val="2"/>
          </rPr>
          <t>Hora de entrada</t>
        </r>
      </text>
    </comment>
    <comment ref="V35" authorId="0" shapeId="0" xr:uid="{00000000-0006-0000-0300-00001A000000}">
      <text>
        <r>
          <rPr>
            <sz val="10"/>
            <rFont val="Arial"/>
            <family val="2"/>
          </rPr>
          <t>Hora de salida</t>
        </r>
      </text>
    </comment>
    <comment ref="C36" authorId="0" shapeId="0" xr:uid="{00000000-0006-0000-0300-00001B000000}">
      <text>
        <r>
          <rPr>
            <sz val="10"/>
            <rFont val="Arial"/>
            <family val="2"/>
          </rPr>
          <t>Editar el valor del día de vacaciones (</t>
        </r>
        <r>
          <rPr>
            <b/>
            <sz val="10"/>
            <rFont val="Arial"/>
            <family val="2"/>
          </rPr>
          <t>V</t>
        </r>
        <r>
          <rPr>
            <sz val="10"/>
            <rFont val="Arial"/>
            <family val="2"/>
          </rPr>
          <t>), dejarlo en blanco si no queremos sumar las horas.</t>
        </r>
      </text>
    </comment>
    <comment ref="R36" authorId="0" shapeId="0" xr:uid="{00000000-0006-0000-0300-00001C000000}">
      <text>
        <r>
          <rPr>
            <sz val="10"/>
            <rFont val="Arial"/>
            <family val="2"/>
          </rPr>
          <t>Editar turno</t>
        </r>
      </text>
    </comment>
    <comment ref="S36" authorId="0" shapeId="0" xr:uid="{00000000-0006-0000-0300-00001D000000}">
      <text>
        <r>
          <rPr>
            <sz val="10"/>
            <rFont val="Arial"/>
            <family val="2"/>
          </rPr>
          <t>Hora de entrada</t>
        </r>
      </text>
    </comment>
    <comment ref="V36" authorId="0" shapeId="0" xr:uid="{00000000-0006-0000-0300-00001E000000}">
      <text>
        <r>
          <rPr>
            <sz val="10"/>
            <rFont val="Arial"/>
            <family val="2"/>
          </rPr>
          <t>Hora de salida</t>
        </r>
      </text>
    </comment>
    <comment ref="C37" authorId="0" shapeId="0" xr:uid="{00000000-0006-0000-0300-00001F000000}">
      <text>
        <r>
          <rPr>
            <sz val="10"/>
            <rFont val="Arial"/>
            <family val="2"/>
          </rPr>
          <t>Editar la jornada minina en horas.</t>
        </r>
      </text>
    </comment>
    <comment ref="R37" authorId="0" shapeId="0" xr:uid="{00000000-0006-0000-0300-000020000000}">
      <text>
        <r>
          <rPr>
            <sz val="10"/>
            <rFont val="Arial"/>
            <family val="2"/>
          </rPr>
          <t>Editar turno</t>
        </r>
      </text>
    </comment>
    <comment ref="S37" authorId="0" shapeId="0" xr:uid="{00000000-0006-0000-0300-000021000000}">
      <text>
        <r>
          <rPr>
            <sz val="10"/>
            <rFont val="Arial"/>
            <family val="2"/>
          </rPr>
          <t>Hora de entrada</t>
        </r>
      </text>
    </comment>
    <comment ref="V37" authorId="0" shapeId="0" xr:uid="{00000000-0006-0000-0300-000022000000}">
      <text>
        <r>
          <rPr>
            <sz val="10"/>
            <rFont val="Arial"/>
            <family val="2"/>
          </rPr>
          <t>Hora de salida</t>
        </r>
      </text>
    </comment>
    <comment ref="C38" authorId="0" shapeId="0" xr:uid="{00000000-0006-0000-0300-000023000000}">
      <text>
        <r>
          <rPr>
            <sz val="10"/>
            <rFont val="Arial"/>
            <family val="2"/>
          </rPr>
          <t>Editar el valor en horas del permiso retribuido (</t>
        </r>
        <r>
          <rPr>
            <b/>
            <sz val="10"/>
            <rFont val="Arial"/>
            <family val="2"/>
          </rPr>
          <t>PR</t>
        </r>
        <r>
          <rPr>
            <sz val="10"/>
            <rFont val="Arial"/>
            <family val="2"/>
          </rPr>
          <t>), dejarlo en blanco si no queremos sumar las horas.</t>
        </r>
      </text>
    </comment>
    <comment ref="R38" authorId="0" shapeId="0" xr:uid="{00000000-0006-0000-0300-000024000000}">
      <text>
        <r>
          <rPr>
            <sz val="10"/>
            <rFont val="Arial"/>
            <family val="2"/>
          </rPr>
          <t>Editar turno</t>
        </r>
      </text>
    </comment>
    <comment ref="S38" authorId="0" shapeId="0" xr:uid="{00000000-0006-0000-0300-000025000000}">
      <text>
        <r>
          <rPr>
            <sz val="10"/>
            <rFont val="Arial"/>
            <family val="2"/>
          </rPr>
          <t>Hora de entrada</t>
        </r>
      </text>
    </comment>
    <comment ref="V38" authorId="0" shapeId="0" xr:uid="{00000000-0006-0000-0300-000026000000}">
      <text>
        <r>
          <rPr>
            <sz val="10"/>
            <rFont val="Arial"/>
            <family val="2"/>
          </rPr>
          <t>Hora de salida</t>
        </r>
      </text>
    </comment>
    <comment ref="R39" authorId="0" shapeId="0" xr:uid="{00000000-0006-0000-0300-000027000000}">
      <text>
        <r>
          <rPr>
            <sz val="10"/>
            <rFont val="Arial"/>
            <family val="2"/>
          </rPr>
          <t>Editar turno</t>
        </r>
      </text>
    </comment>
    <comment ref="S39" authorId="0" shapeId="0" xr:uid="{00000000-0006-0000-0300-000028000000}">
      <text>
        <r>
          <rPr>
            <sz val="10"/>
            <rFont val="Arial"/>
            <family val="2"/>
          </rPr>
          <t>Hora de entrada</t>
        </r>
      </text>
    </comment>
    <comment ref="V39" authorId="0" shapeId="0" xr:uid="{00000000-0006-0000-0300-000029000000}">
      <text>
        <r>
          <rPr>
            <sz val="10"/>
            <rFont val="Arial"/>
            <family val="2"/>
          </rPr>
          <t>Hora de salida</t>
        </r>
      </text>
    </comment>
    <comment ref="R40" authorId="0" shapeId="0" xr:uid="{00000000-0006-0000-0300-00002A000000}">
      <text>
        <r>
          <rPr>
            <sz val="10"/>
            <rFont val="Arial"/>
            <family val="2"/>
          </rPr>
          <t>Editar turno</t>
        </r>
      </text>
    </comment>
    <comment ref="S40" authorId="0" shapeId="0" xr:uid="{00000000-0006-0000-0300-00002B000000}">
      <text>
        <r>
          <rPr>
            <sz val="10"/>
            <rFont val="Arial"/>
            <family val="2"/>
          </rPr>
          <t>Hora de entrada</t>
        </r>
      </text>
    </comment>
    <comment ref="V40" authorId="0" shapeId="0" xr:uid="{00000000-0006-0000-0300-00002C000000}">
      <text>
        <r>
          <rPr>
            <sz val="10"/>
            <rFont val="Arial"/>
            <family val="2"/>
          </rPr>
          <t>Hora de salida</t>
        </r>
      </text>
    </comment>
    <comment ref="E43" authorId="0" shapeId="0" xr:uid="{00000000-0006-0000-0300-00002D000000}">
      <text>
        <r>
          <rPr>
            <sz val="10"/>
            <rFont val="Arial"/>
            <family val="2"/>
          </rPr>
          <t>Editar notas del mes.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400-000001000000}">
      <text>
        <r>
          <rPr>
            <sz val="10"/>
            <rFont val="Arial"/>
            <family val="2"/>
          </rPr>
          <t xml:space="preserve">Editar festivos con una </t>
        </r>
        <r>
          <rPr>
            <b/>
            <sz val="10"/>
            <rFont val="Arial"/>
            <family val="2"/>
          </rPr>
          <t>X</t>
        </r>
        <r>
          <rPr>
            <sz val="10"/>
            <rFont val="Arial"/>
            <family val="2"/>
          </rPr>
          <t xml:space="preserve"> mayúscula.</t>
        </r>
      </text>
    </comment>
    <comment ref="AH6" authorId="0" shapeId="0" xr:uid="{00000000-0006-0000-0400-000002000000}">
      <text>
        <r>
          <rPr>
            <sz val="10"/>
            <rFont val="Arial"/>
            <family val="2"/>
          </rPr>
          <t xml:space="preserve">Editar con una </t>
        </r>
        <r>
          <rPr>
            <b/>
            <sz val="10"/>
            <rFont val="Arial"/>
            <family val="2"/>
          </rPr>
          <t>X</t>
        </r>
        <r>
          <rPr>
            <sz val="10"/>
            <rFont val="Arial"/>
            <family val="2"/>
          </rPr>
          <t xml:space="preserve"> el día festivo. Marca la casilla si el día 1 del siguiente mes es festivo.</t>
        </r>
      </text>
    </comment>
    <comment ref="B7" authorId="0" shapeId="0" xr:uid="{00000000-0006-0000-0400-000003000000}">
      <text>
        <r>
          <rPr>
            <sz val="10"/>
            <rFont val="Arial"/>
            <family val="2"/>
          </rPr>
          <t>Días festivos con fondo en color.</t>
        </r>
      </text>
    </comment>
    <comment ref="AH8" authorId="0" shapeId="0" xr:uid="{00000000-0006-0000-0400-000004000000}">
      <text>
        <r>
          <rPr>
            <sz val="10"/>
            <rFont val="Arial"/>
            <family val="2"/>
          </rPr>
          <t>Horas totales.</t>
        </r>
      </text>
    </comment>
    <comment ref="AI8" authorId="0" shapeId="0" xr:uid="{00000000-0006-0000-0400-000005000000}">
      <text>
        <r>
          <rPr>
            <sz val="10"/>
            <rFont val="Arial"/>
            <family val="2"/>
          </rPr>
          <t>Horas extras.</t>
        </r>
      </text>
    </comment>
    <comment ref="AJ8" authorId="0" shapeId="0" xr:uid="{00000000-0006-0000-0400-000006000000}">
      <text>
        <r>
          <rPr>
            <sz val="10"/>
            <rFont val="Arial"/>
            <family val="2"/>
          </rPr>
          <t>Horas festivas.</t>
        </r>
      </text>
    </comment>
    <comment ref="AK8" authorId="0" shapeId="0" xr:uid="{00000000-0006-0000-0400-000007000000}">
      <text>
        <r>
          <rPr>
            <sz val="10"/>
            <rFont val="Arial"/>
            <family val="2"/>
          </rPr>
          <t>Horas nocturnas.</t>
        </r>
      </text>
    </comment>
    <comment ref="AL8" authorId="0" shapeId="0" xr:uid="{00000000-0006-0000-0400-000008000000}">
      <text>
        <r>
          <rPr>
            <sz val="10"/>
            <rFont val="Arial"/>
            <family val="2"/>
          </rPr>
          <t>Suma días vacaciones.</t>
        </r>
      </text>
    </comment>
    <comment ref="B21" authorId="0" shapeId="0" xr:uid="{00000000-0006-0000-0400-000009000000}">
      <text>
        <r>
          <rPr>
            <sz val="10"/>
            <rFont val="Arial"/>
            <family val="2"/>
          </rPr>
          <t>Sumas de horas por día.</t>
        </r>
      </text>
    </comment>
    <comment ref="C32" authorId="0" shapeId="0" xr:uid="{00000000-0006-0000-0400-00000A000000}">
      <text>
        <r>
          <rPr>
            <sz val="10"/>
            <rFont val="Arial"/>
            <family val="2"/>
          </rPr>
          <t>Editar el nombre de la empresa de seguridad.</t>
        </r>
      </text>
    </comment>
    <comment ref="R32" authorId="0" shapeId="0" xr:uid="{00000000-0006-0000-0400-00000B000000}">
      <text>
        <r>
          <rPr>
            <sz val="10"/>
            <rFont val="Arial"/>
            <family val="2"/>
          </rPr>
          <t>Editar turno</t>
        </r>
      </text>
    </comment>
    <comment ref="S32" authorId="0" shapeId="0" xr:uid="{00000000-0006-0000-0400-00000C000000}">
      <text>
        <r>
          <rPr>
            <sz val="10"/>
            <rFont val="Arial"/>
            <family val="2"/>
          </rPr>
          <t>Hora de entrada</t>
        </r>
      </text>
    </comment>
    <comment ref="V32" authorId="0" shapeId="0" xr:uid="{00000000-0006-0000-0400-00000D000000}">
      <text>
        <r>
          <rPr>
            <sz val="10"/>
            <rFont val="Arial"/>
            <family val="2"/>
          </rPr>
          <t>Hora de salida</t>
        </r>
      </text>
    </comment>
    <comment ref="AH32" authorId="0" shapeId="0" xr:uid="{00000000-0006-0000-0400-00000E000000}">
      <text>
        <r>
          <rPr>
            <sz val="10"/>
            <rFont val="Arial"/>
            <family val="2"/>
          </rPr>
          <t>Editar decimales</t>
        </r>
      </text>
    </comment>
    <comment ref="C33" authorId="0" shapeId="0" xr:uid="{00000000-0006-0000-0400-00000F000000}">
      <text>
        <r>
          <rPr>
            <sz val="10"/>
            <rFont val="Arial"/>
            <family val="2"/>
          </rPr>
          <t>Editar el nombre del centro de trabajo.</t>
        </r>
      </text>
    </comment>
    <comment ref="R33" authorId="0" shapeId="0" xr:uid="{00000000-0006-0000-0400-000010000000}">
      <text>
        <r>
          <rPr>
            <sz val="10"/>
            <rFont val="Arial"/>
            <family val="2"/>
          </rPr>
          <t>Editar turno</t>
        </r>
      </text>
    </comment>
    <comment ref="S33" authorId="0" shapeId="0" xr:uid="{00000000-0006-0000-0400-000011000000}">
      <text>
        <r>
          <rPr>
            <sz val="10"/>
            <rFont val="Arial"/>
            <family val="2"/>
          </rPr>
          <t>Hora de entrada</t>
        </r>
      </text>
    </comment>
    <comment ref="V33" authorId="0" shapeId="0" xr:uid="{00000000-0006-0000-0400-000012000000}">
      <text>
        <r>
          <rPr>
            <sz val="10"/>
            <rFont val="Arial"/>
            <family val="2"/>
          </rPr>
          <t>Hora de salida</t>
        </r>
      </text>
    </comment>
    <comment ref="C34" authorId="0" shapeId="0" xr:uid="{00000000-0006-0000-0400-000013000000}">
      <text>
        <r>
          <rPr>
            <sz val="10"/>
            <rFont val="Arial"/>
            <family val="2"/>
          </rPr>
          <t>Editar el año.</t>
        </r>
      </text>
    </comment>
    <comment ref="R34" authorId="0" shapeId="0" xr:uid="{00000000-0006-0000-0400-000014000000}">
      <text>
        <r>
          <rPr>
            <sz val="10"/>
            <rFont val="Arial"/>
            <family val="2"/>
          </rPr>
          <t>Editar turno</t>
        </r>
      </text>
    </comment>
    <comment ref="S34" authorId="0" shapeId="0" xr:uid="{00000000-0006-0000-0400-000015000000}">
      <text>
        <r>
          <rPr>
            <sz val="10"/>
            <rFont val="Arial"/>
            <family val="2"/>
          </rPr>
          <t>Hora de entrada</t>
        </r>
      </text>
    </comment>
    <comment ref="V34" authorId="0" shapeId="0" xr:uid="{00000000-0006-0000-0400-000016000000}">
      <text>
        <r>
          <rPr>
            <sz val="10"/>
            <rFont val="Arial"/>
            <family val="2"/>
          </rPr>
          <t>Hora de salida</t>
        </r>
      </text>
    </comment>
    <comment ref="C35" authorId="0" shapeId="0" xr:uid="{00000000-0006-0000-0400-000017000000}">
      <text>
        <r>
          <rPr>
            <sz val="10"/>
            <rFont val="Arial"/>
            <family val="2"/>
          </rPr>
          <t>Editar el mes en número.</t>
        </r>
      </text>
    </comment>
    <comment ref="R35" authorId="0" shapeId="0" xr:uid="{00000000-0006-0000-0400-000018000000}">
      <text>
        <r>
          <rPr>
            <sz val="10"/>
            <rFont val="Arial"/>
            <family val="2"/>
          </rPr>
          <t>Editar turno</t>
        </r>
      </text>
    </comment>
    <comment ref="S35" authorId="0" shapeId="0" xr:uid="{00000000-0006-0000-0400-000019000000}">
      <text>
        <r>
          <rPr>
            <sz val="10"/>
            <rFont val="Arial"/>
            <family val="2"/>
          </rPr>
          <t>Hora de entrada</t>
        </r>
      </text>
    </comment>
    <comment ref="V35" authorId="0" shapeId="0" xr:uid="{00000000-0006-0000-0400-00001A000000}">
      <text>
        <r>
          <rPr>
            <sz val="10"/>
            <rFont val="Arial"/>
            <family val="2"/>
          </rPr>
          <t>Hora de salida</t>
        </r>
      </text>
    </comment>
    <comment ref="C36" authorId="0" shapeId="0" xr:uid="{00000000-0006-0000-0400-00001B000000}">
      <text>
        <r>
          <rPr>
            <sz val="10"/>
            <rFont val="Arial"/>
            <family val="2"/>
          </rPr>
          <t>Editar el valor del día de vacaciones (</t>
        </r>
        <r>
          <rPr>
            <b/>
            <sz val="10"/>
            <rFont val="Arial"/>
            <family val="2"/>
          </rPr>
          <t>V</t>
        </r>
        <r>
          <rPr>
            <sz val="10"/>
            <rFont val="Arial"/>
            <family val="2"/>
          </rPr>
          <t>), dejarlo en blanco si no queremos sumar las horas.</t>
        </r>
      </text>
    </comment>
    <comment ref="R36" authorId="0" shapeId="0" xr:uid="{00000000-0006-0000-0400-00001C000000}">
      <text>
        <r>
          <rPr>
            <sz val="10"/>
            <rFont val="Arial"/>
            <family val="2"/>
          </rPr>
          <t>Editar turno</t>
        </r>
      </text>
    </comment>
    <comment ref="S36" authorId="0" shapeId="0" xr:uid="{00000000-0006-0000-0400-00001D000000}">
      <text>
        <r>
          <rPr>
            <sz val="10"/>
            <rFont val="Arial"/>
            <family val="2"/>
          </rPr>
          <t>Hora de entrada</t>
        </r>
      </text>
    </comment>
    <comment ref="V36" authorId="0" shapeId="0" xr:uid="{00000000-0006-0000-0400-00001E000000}">
      <text>
        <r>
          <rPr>
            <sz val="10"/>
            <rFont val="Arial"/>
            <family val="2"/>
          </rPr>
          <t>Hora de salida</t>
        </r>
      </text>
    </comment>
    <comment ref="C37" authorId="0" shapeId="0" xr:uid="{00000000-0006-0000-0400-00001F000000}">
      <text>
        <r>
          <rPr>
            <sz val="10"/>
            <rFont val="Arial"/>
            <family val="2"/>
          </rPr>
          <t>Editar la jornada minina en horas.</t>
        </r>
      </text>
    </comment>
    <comment ref="R37" authorId="0" shapeId="0" xr:uid="{00000000-0006-0000-0400-000020000000}">
      <text>
        <r>
          <rPr>
            <sz val="10"/>
            <rFont val="Arial"/>
            <family val="2"/>
          </rPr>
          <t>Editar turno</t>
        </r>
      </text>
    </comment>
    <comment ref="S37" authorId="0" shapeId="0" xr:uid="{00000000-0006-0000-0400-000021000000}">
      <text>
        <r>
          <rPr>
            <sz val="10"/>
            <rFont val="Arial"/>
            <family val="2"/>
          </rPr>
          <t>Hora de entrada</t>
        </r>
      </text>
    </comment>
    <comment ref="V37" authorId="0" shapeId="0" xr:uid="{00000000-0006-0000-0400-000022000000}">
      <text>
        <r>
          <rPr>
            <sz val="10"/>
            <rFont val="Arial"/>
            <family val="2"/>
          </rPr>
          <t>Hora de salida</t>
        </r>
      </text>
    </comment>
    <comment ref="C38" authorId="0" shapeId="0" xr:uid="{00000000-0006-0000-0400-000023000000}">
      <text>
        <r>
          <rPr>
            <sz val="10"/>
            <rFont val="Arial"/>
            <family val="2"/>
          </rPr>
          <t>Editar el valor en horas del permiso retribuido (</t>
        </r>
        <r>
          <rPr>
            <b/>
            <sz val="10"/>
            <rFont val="Arial"/>
            <family val="2"/>
          </rPr>
          <t>PR</t>
        </r>
        <r>
          <rPr>
            <sz val="10"/>
            <rFont val="Arial"/>
            <family val="2"/>
          </rPr>
          <t>), dejarlo en blanco si no queremos sumar las horas.</t>
        </r>
      </text>
    </comment>
    <comment ref="R38" authorId="0" shapeId="0" xr:uid="{00000000-0006-0000-0400-000024000000}">
      <text>
        <r>
          <rPr>
            <sz val="10"/>
            <rFont val="Arial"/>
            <family val="2"/>
          </rPr>
          <t>Editar turno</t>
        </r>
      </text>
    </comment>
    <comment ref="S38" authorId="0" shapeId="0" xr:uid="{00000000-0006-0000-0400-000025000000}">
      <text>
        <r>
          <rPr>
            <sz val="10"/>
            <rFont val="Arial"/>
            <family val="2"/>
          </rPr>
          <t>Hora de entrada</t>
        </r>
      </text>
    </comment>
    <comment ref="V38" authorId="0" shapeId="0" xr:uid="{00000000-0006-0000-0400-000026000000}">
      <text>
        <r>
          <rPr>
            <sz val="10"/>
            <rFont val="Arial"/>
            <family val="2"/>
          </rPr>
          <t>Hora de salida</t>
        </r>
      </text>
    </comment>
    <comment ref="R39" authorId="0" shapeId="0" xr:uid="{00000000-0006-0000-0400-000027000000}">
      <text>
        <r>
          <rPr>
            <sz val="10"/>
            <rFont val="Arial"/>
            <family val="2"/>
          </rPr>
          <t>Editar turno</t>
        </r>
      </text>
    </comment>
    <comment ref="S39" authorId="0" shapeId="0" xr:uid="{00000000-0006-0000-0400-000028000000}">
      <text>
        <r>
          <rPr>
            <sz val="10"/>
            <rFont val="Arial"/>
            <family val="2"/>
          </rPr>
          <t>Hora de entrada</t>
        </r>
      </text>
    </comment>
    <comment ref="V39" authorId="0" shapeId="0" xr:uid="{00000000-0006-0000-0400-000029000000}">
      <text>
        <r>
          <rPr>
            <sz val="10"/>
            <rFont val="Arial"/>
            <family val="2"/>
          </rPr>
          <t>Hora de salida</t>
        </r>
      </text>
    </comment>
    <comment ref="R40" authorId="0" shapeId="0" xr:uid="{00000000-0006-0000-0400-00002A000000}">
      <text>
        <r>
          <rPr>
            <sz val="10"/>
            <rFont val="Arial"/>
            <family val="2"/>
          </rPr>
          <t>Editar turno</t>
        </r>
      </text>
    </comment>
    <comment ref="S40" authorId="0" shapeId="0" xr:uid="{00000000-0006-0000-0400-00002B000000}">
      <text>
        <r>
          <rPr>
            <sz val="10"/>
            <rFont val="Arial"/>
            <family val="2"/>
          </rPr>
          <t>Hora de entrada</t>
        </r>
      </text>
    </comment>
    <comment ref="V40" authorId="0" shapeId="0" xr:uid="{00000000-0006-0000-0400-00002C000000}">
      <text>
        <r>
          <rPr>
            <sz val="10"/>
            <rFont val="Arial"/>
            <family val="2"/>
          </rPr>
          <t>Hora de salida</t>
        </r>
      </text>
    </comment>
    <comment ref="E43" authorId="0" shapeId="0" xr:uid="{00000000-0006-0000-0400-00002D000000}">
      <text>
        <r>
          <rPr>
            <sz val="10"/>
            <rFont val="Arial"/>
            <family val="2"/>
          </rPr>
          <t>Editar notas del mes.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500-000001000000}">
      <text>
        <r>
          <rPr>
            <sz val="10"/>
            <rFont val="Arial"/>
            <family val="2"/>
          </rPr>
          <t xml:space="preserve">Editar festivos con una </t>
        </r>
        <r>
          <rPr>
            <b/>
            <sz val="10"/>
            <rFont val="Arial"/>
            <family val="2"/>
          </rPr>
          <t>X</t>
        </r>
        <r>
          <rPr>
            <sz val="10"/>
            <rFont val="Arial"/>
            <family val="2"/>
          </rPr>
          <t xml:space="preserve"> mayúscula.</t>
        </r>
      </text>
    </comment>
    <comment ref="AH6" authorId="0" shapeId="0" xr:uid="{00000000-0006-0000-0500-000002000000}">
      <text>
        <r>
          <rPr>
            <sz val="10"/>
            <rFont val="Arial"/>
            <family val="2"/>
          </rPr>
          <t xml:space="preserve">Editar con una </t>
        </r>
        <r>
          <rPr>
            <b/>
            <sz val="10"/>
            <rFont val="Arial"/>
            <family val="2"/>
          </rPr>
          <t>X</t>
        </r>
        <r>
          <rPr>
            <sz val="10"/>
            <rFont val="Arial"/>
            <family val="2"/>
          </rPr>
          <t xml:space="preserve"> el día festivo. Marca la casilla si el día 1 del siguiente mes es festivo.</t>
        </r>
      </text>
    </comment>
    <comment ref="B7" authorId="0" shapeId="0" xr:uid="{00000000-0006-0000-0500-000003000000}">
      <text>
        <r>
          <rPr>
            <sz val="10"/>
            <rFont val="Arial"/>
            <family val="2"/>
          </rPr>
          <t>Días festivos con fondo en color.</t>
        </r>
      </text>
    </comment>
    <comment ref="AH8" authorId="0" shapeId="0" xr:uid="{00000000-0006-0000-0500-000004000000}">
      <text>
        <r>
          <rPr>
            <sz val="10"/>
            <rFont val="Arial"/>
            <family val="2"/>
          </rPr>
          <t>Horas totales.</t>
        </r>
      </text>
    </comment>
    <comment ref="AI8" authorId="0" shapeId="0" xr:uid="{00000000-0006-0000-0500-000005000000}">
      <text>
        <r>
          <rPr>
            <sz val="10"/>
            <rFont val="Arial"/>
            <family val="2"/>
          </rPr>
          <t>Horas extras.</t>
        </r>
      </text>
    </comment>
    <comment ref="AJ8" authorId="0" shapeId="0" xr:uid="{00000000-0006-0000-0500-000006000000}">
      <text>
        <r>
          <rPr>
            <sz val="10"/>
            <rFont val="Arial"/>
            <family val="2"/>
          </rPr>
          <t>Horas festivas.</t>
        </r>
      </text>
    </comment>
    <comment ref="AK8" authorId="0" shapeId="0" xr:uid="{00000000-0006-0000-0500-000007000000}">
      <text>
        <r>
          <rPr>
            <sz val="10"/>
            <rFont val="Arial"/>
            <family val="2"/>
          </rPr>
          <t>Horas nocturnas.</t>
        </r>
      </text>
    </comment>
    <comment ref="AL8" authorId="0" shapeId="0" xr:uid="{00000000-0006-0000-0500-000008000000}">
      <text>
        <r>
          <rPr>
            <sz val="10"/>
            <rFont val="Arial"/>
            <family val="2"/>
          </rPr>
          <t>Suma días vacaciones.</t>
        </r>
      </text>
    </comment>
    <comment ref="B21" authorId="0" shapeId="0" xr:uid="{00000000-0006-0000-0500-000009000000}">
      <text>
        <r>
          <rPr>
            <sz val="10"/>
            <rFont val="Arial"/>
            <family val="2"/>
          </rPr>
          <t>Sumas de horas por día.</t>
        </r>
      </text>
    </comment>
    <comment ref="C32" authorId="0" shapeId="0" xr:uid="{00000000-0006-0000-0500-00000A000000}">
      <text>
        <r>
          <rPr>
            <sz val="10"/>
            <rFont val="Arial"/>
            <family val="2"/>
          </rPr>
          <t>Editar el nombre de la empresa de seguridad.</t>
        </r>
      </text>
    </comment>
    <comment ref="R32" authorId="0" shapeId="0" xr:uid="{00000000-0006-0000-0500-00000B000000}">
      <text>
        <r>
          <rPr>
            <sz val="10"/>
            <rFont val="Arial"/>
            <family val="2"/>
          </rPr>
          <t>Editar turno</t>
        </r>
      </text>
    </comment>
    <comment ref="S32" authorId="0" shapeId="0" xr:uid="{00000000-0006-0000-0500-00000C000000}">
      <text>
        <r>
          <rPr>
            <sz val="10"/>
            <rFont val="Arial"/>
            <family val="2"/>
          </rPr>
          <t>Hora de entrada</t>
        </r>
      </text>
    </comment>
    <comment ref="V32" authorId="0" shapeId="0" xr:uid="{00000000-0006-0000-0500-00000D000000}">
      <text>
        <r>
          <rPr>
            <sz val="10"/>
            <rFont val="Arial"/>
            <family val="2"/>
          </rPr>
          <t>Hora de salida</t>
        </r>
      </text>
    </comment>
    <comment ref="AH32" authorId="0" shapeId="0" xr:uid="{00000000-0006-0000-0500-00000E000000}">
      <text>
        <r>
          <rPr>
            <sz val="10"/>
            <rFont val="Arial"/>
            <family val="2"/>
          </rPr>
          <t>Editar decimales</t>
        </r>
      </text>
    </comment>
    <comment ref="C33" authorId="0" shapeId="0" xr:uid="{00000000-0006-0000-0500-00000F000000}">
      <text>
        <r>
          <rPr>
            <sz val="10"/>
            <rFont val="Arial"/>
            <family val="2"/>
          </rPr>
          <t>Editar el nombre del centro de trabajo.</t>
        </r>
      </text>
    </comment>
    <comment ref="R33" authorId="0" shapeId="0" xr:uid="{00000000-0006-0000-0500-000010000000}">
      <text>
        <r>
          <rPr>
            <sz val="10"/>
            <rFont val="Arial"/>
            <family val="2"/>
          </rPr>
          <t>Editar turno</t>
        </r>
      </text>
    </comment>
    <comment ref="S33" authorId="0" shapeId="0" xr:uid="{00000000-0006-0000-0500-000011000000}">
      <text>
        <r>
          <rPr>
            <sz val="10"/>
            <rFont val="Arial"/>
            <family val="2"/>
          </rPr>
          <t>Hora de entrada</t>
        </r>
      </text>
    </comment>
    <comment ref="V33" authorId="0" shapeId="0" xr:uid="{00000000-0006-0000-0500-000012000000}">
      <text>
        <r>
          <rPr>
            <sz val="10"/>
            <rFont val="Arial"/>
            <family val="2"/>
          </rPr>
          <t>Hora de salida</t>
        </r>
      </text>
    </comment>
    <comment ref="C34" authorId="0" shapeId="0" xr:uid="{00000000-0006-0000-0500-000013000000}">
      <text>
        <r>
          <rPr>
            <sz val="10"/>
            <rFont val="Arial"/>
            <family val="2"/>
          </rPr>
          <t>Editar el año.</t>
        </r>
      </text>
    </comment>
    <comment ref="R34" authorId="0" shapeId="0" xr:uid="{00000000-0006-0000-0500-000014000000}">
      <text>
        <r>
          <rPr>
            <sz val="10"/>
            <rFont val="Arial"/>
            <family val="2"/>
          </rPr>
          <t>Editar turno</t>
        </r>
      </text>
    </comment>
    <comment ref="S34" authorId="0" shapeId="0" xr:uid="{00000000-0006-0000-0500-000015000000}">
      <text>
        <r>
          <rPr>
            <sz val="10"/>
            <rFont val="Arial"/>
            <family val="2"/>
          </rPr>
          <t>Hora de entrada</t>
        </r>
      </text>
    </comment>
    <comment ref="V34" authorId="0" shapeId="0" xr:uid="{00000000-0006-0000-0500-000016000000}">
      <text>
        <r>
          <rPr>
            <sz val="10"/>
            <rFont val="Arial"/>
            <family val="2"/>
          </rPr>
          <t>Hora de salida</t>
        </r>
      </text>
    </comment>
    <comment ref="C35" authorId="0" shapeId="0" xr:uid="{00000000-0006-0000-0500-000017000000}">
      <text>
        <r>
          <rPr>
            <sz val="10"/>
            <rFont val="Arial"/>
            <family val="2"/>
          </rPr>
          <t>Editar el mes en número.</t>
        </r>
      </text>
    </comment>
    <comment ref="R35" authorId="0" shapeId="0" xr:uid="{00000000-0006-0000-0500-000018000000}">
      <text>
        <r>
          <rPr>
            <sz val="10"/>
            <rFont val="Arial"/>
            <family val="2"/>
          </rPr>
          <t>Editar turno</t>
        </r>
      </text>
    </comment>
    <comment ref="S35" authorId="0" shapeId="0" xr:uid="{00000000-0006-0000-0500-000019000000}">
      <text>
        <r>
          <rPr>
            <sz val="10"/>
            <rFont val="Arial"/>
            <family val="2"/>
          </rPr>
          <t>Hora de entrada</t>
        </r>
      </text>
    </comment>
    <comment ref="V35" authorId="0" shapeId="0" xr:uid="{00000000-0006-0000-0500-00001A000000}">
      <text>
        <r>
          <rPr>
            <sz val="10"/>
            <rFont val="Arial"/>
            <family val="2"/>
          </rPr>
          <t>Hora de salida</t>
        </r>
      </text>
    </comment>
    <comment ref="C36" authorId="0" shapeId="0" xr:uid="{00000000-0006-0000-0500-00001B000000}">
      <text>
        <r>
          <rPr>
            <sz val="10"/>
            <rFont val="Arial"/>
            <family val="2"/>
          </rPr>
          <t>Editar el valor del día de vacaciones (</t>
        </r>
        <r>
          <rPr>
            <b/>
            <sz val="10"/>
            <rFont val="Arial"/>
            <family val="2"/>
          </rPr>
          <t>V</t>
        </r>
        <r>
          <rPr>
            <sz val="10"/>
            <rFont val="Arial"/>
            <family val="2"/>
          </rPr>
          <t>), dejarlo en blanco si no queremos sumar las horas.</t>
        </r>
      </text>
    </comment>
    <comment ref="R36" authorId="0" shapeId="0" xr:uid="{00000000-0006-0000-0500-00001C000000}">
      <text>
        <r>
          <rPr>
            <sz val="10"/>
            <rFont val="Arial"/>
            <family val="2"/>
          </rPr>
          <t>Editar turno</t>
        </r>
      </text>
    </comment>
    <comment ref="S36" authorId="0" shapeId="0" xr:uid="{00000000-0006-0000-0500-00001D000000}">
      <text>
        <r>
          <rPr>
            <sz val="10"/>
            <rFont val="Arial"/>
            <family val="2"/>
          </rPr>
          <t>Hora de entrada</t>
        </r>
      </text>
    </comment>
    <comment ref="V36" authorId="0" shapeId="0" xr:uid="{00000000-0006-0000-0500-00001E000000}">
      <text>
        <r>
          <rPr>
            <sz val="10"/>
            <rFont val="Arial"/>
            <family val="2"/>
          </rPr>
          <t>Hora de salida</t>
        </r>
      </text>
    </comment>
    <comment ref="C37" authorId="0" shapeId="0" xr:uid="{00000000-0006-0000-0500-00001F000000}">
      <text>
        <r>
          <rPr>
            <sz val="10"/>
            <rFont val="Arial"/>
            <family val="2"/>
          </rPr>
          <t>Editar la jornada minina en horas.</t>
        </r>
      </text>
    </comment>
    <comment ref="R37" authorId="0" shapeId="0" xr:uid="{00000000-0006-0000-0500-000020000000}">
      <text>
        <r>
          <rPr>
            <sz val="10"/>
            <rFont val="Arial"/>
            <family val="2"/>
          </rPr>
          <t>Editar turno</t>
        </r>
      </text>
    </comment>
    <comment ref="S37" authorId="0" shapeId="0" xr:uid="{00000000-0006-0000-0500-000021000000}">
      <text>
        <r>
          <rPr>
            <sz val="10"/>
            <rFont val="Arial"/>
            <family val="2"/>
          </rPr>
          <t>Hora de entrada</t>
        </r>
      </text>
    </comment>
    <comment ref="V37" authorId="0" shapeId="0" xr:uid="{00000000-0006-0000-0500-000022000000}">
      <text>
        <r>
          <rPr>
            <sz val="10"/>
            <rFont val="Arial"/>
            <family val="2"/>
          </rPr>
          <t>Hora de salida</t>
        </r>
      </text>
    </comment>
    <comment ref="C38" authorId="0" shapeId="0" xr:uid="{00000000-0006-0000-0500-000023000000}">
      <text>
        <r>
          <rPr>
            <sz val="10"/>
            <rFont val="Arial"/>
            <family val="2"/>
          </rPr>
          <t>Editar el valor en horas del permiso retribuido (</t>
        </r>
        <r>
          <rPr>
            <b/>
            <sz val="10"/>
            <rFont val="Arial"/>
            <family val="2"/>
          </rPr>
          <t>PR</t>
        </r>
        <r>
          <rPr>
            <sz val="10"/>
            <rFont val="Arial"/>
            <family val="2"/>
          </rPr>
          <t>), dejarlo en blanco si no queremos sumar las horas.</t>
        </r>
      </text>
    </comment>
    <comment ref="R38" authorId="0" shapeId="0" xr:uid="{00000000-0006-0000-0500-000024000000}">
      <text>
        <r>
          <rPr>
            <sz val="10"/>
            <rFont val="Arial"/>
            <family val="2"/>
          </rPr>
          <t>Editar turno</t>
        </r>
      </text>
    </comment>
    <comment ref="S38" authorId="0" shapeId="0" xr:uid="{00000000-0006-0000-0500-000025000000}">
      <text>
        <r>
          <rPr>
            <sz val="10"/>
            <rFont val="Arial"/>
            <family val="2"/>
          </rPr>
          <t>Hora de entrada</t>
        </r>
      </text>
    </comment>
    <comment ref="V38" authorId="0" shapeId="0" xr:uid="{00000000-0006-0000-0500-000026000000}">
      <text>
        <r>
          <rPr>
            <sz val="10"/>
            <rFont val="Arial"/>
            <family val="2"/>
          </rPr>
          <t>Hora de salida</t>
        </r>
      </text>
    </comment>
    <comment ref="R39" authorId="0" shapeId="0" xr:uid="{00000000-0006-0000-0500-000027000000}">
      <text>
        <r>
          <rPr>
            <sz val="10"/>
            <rFont val="Arial"/>
            <family val="2"/>
          </rPr>
          <t>Editar turno</t>
        </r>
      </text>
    </comment>
    <comment ref="S39" authorId="0" shapeId="0" xr:uid="{00000000-0006-0000-0500-000028000000}">
      <text>
        <r>
          <rPr>
            <sz val="10"/>
            <rFont val="Arial"/>
            <family val="2"/>
          </rPr>
          <t>Hora de entrada</t>
        </r>
      </text>
    </comment>
    <comment ref="V39" authorId="0" shapeId="0" xr:uid="{00000000-0006-0000-0500-000029000000}">
      <text>
        <r>
          <rPr>
            <sz val="10"/>
            <rFont val="Arial"/>
            <family val="2"/>
          </rPr>
          <t>Hora de salida</t>
        </r>
      </text>
    </comment>
    <comment ref="R40" authorId="0" shapeId="0" xr:uid="{00000000-0006-0000-0500-00002A000000}">
      <text>
        <r>
          <rPr>
            <sz val="10"/>
            <rFont val="Arial"/>
            <family val="2"/>
          </rPr>
          <t>Editar turno</t>
        </r>
      </text>
    </comment>
    <comment ref="S40" authorId="0" shapeId="0" xr:uid="{00000000-0006-0000-0500-00002B000000}">
      <text>
        <r>
          <rPr>
            <sz val="10"/>
            <rFont val="Arial"/>
            <family val="2"/>
          </rPr>
          <t>Hora de entrada</t>
        </r>
      </text>
    </comment>
    <comment ref="V40" authorId="0" shapeId="0" xr:uid="{00000000-0006-0000-0500-00002C000000}">
      <text>
        <r>
          <rPr>
            <sz val="10"/>
            <rFont val="Arial"/>
            <family val="2"/>
          </rPr>
          <t>Hora de salida</t>
        </r>
      </text>
    </comment>
    <comment ref="E43" authorId="0" shapeId="0" xr:uid="{00000000-0006-0000-0500-00002D000000}">
      <text>
        <r>
          <rPr>
            <sz val="10"/>
            <rFont val="Arial"/>
            <family val="2"/>
          </rPr>
          <t>Editar notas del mes.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600-000001000000}">
      <text>
        <r>
          <rPr>
            <sz val="10"/>
            <rFont val="Arial"/>
            <family val="2"/>
          </rPr>
          <t xml:space="preserve">Editar festivos con una </t>
        </r>
        <r>
          <rPr>
            <b/>
            <sz val="10"/>
            <rFont val="Arial"/>
            <family val="2"/>
          </rPr>
          <t>X</t>
        </r>
        <r>
          <rPr>
            <sz val="10"/>
            <rFont val="Arial"/>
            <family val="2"/>
          </rPr>
          <t xml:space="preserve"> mayúscula.</t>
        </r>
      </text>
    </comment>
    <comment ref="AH6" authorId="0" shapeId="0" xr:uid="{00000000-0006-0000-0600-000002000000}">
      <text>
        <r>
          <rPr>
            <sz val="10"/>
            <rFont val="Arial"/>
            <family val="2"/>
          </rPr>
          <t xml:space="preserve">Editar con una </t>
        </r>
        <r>
          <rPr>
            <b/>
            <sz val="10"/>
            <rFont val="Arial"/>
            <family val="2"/>
          </rPr>
          <t>X</t>
        </r>
        <r>
          <rPr>
            <sz val="10"/>
            <rFont val="Arial"/>
            <family val="2"/>
          </rPr>
          <t xml:space="preserve"> el día festivo. Marca la casilla si el día 1 del siguiente mes es festivo.</t>
        </r>
      </text>
    </comment>
    <comment ref="B7" authorId="0" shapeId="0" xr:uid="{00000000-0006-0000-0600-000003000000}">
      <text>
        <r>
          <rPr>
            <sz val="10"/>
            <rFont val="Arial"/>
            <family val="2"/>
          </rPr>
          <t>Días festivos con fondo en color.</t>
        </r>
      </text>
    </comment>
    <comment ref="AH8" authorId="0" shapeId="0" xr:uid="{00000000-0006-0000-0600-000004000000}">
      <text>
        <r>
          <rPr>
            <sz val="10"/>
            <rFont val="Arial"/>
            <family val="2"/>
          </rPr>
          <t>Horas totales.</t>
        </r>
      </text>
    </comment>
    <comment ref="AI8" authorId="0" shapeId="0" xr:uid="{00000000-0006-0000-0600-000005000000}">
      <text>
        <r>
          <rPr>
            <sz val="10"/>
            <rFont val="Arial"/>
            <family val="2"/>
          </rPr>
          <t>Horas extras.</t>
        </r>
      </text>
    </comment>
    <comment ref="AJ8" authorId="0" shapeId="0" xr:uid="{00000000-0006-0000-0600-000006000000}">
      <text>
        <r>
          <rPr>
            <sz val="10"/>
            <rFont val="Arial"/>
            <family val="2"/>
          </rPr>
          <t>Horas festivas.</t>
        </r>
      </text>
    </comment>
    <comment ref="AK8" authorId="0" shapeId="0" xr:uid="{00000000-0006-0000-0600-000007000000}">
      <text>
        <r>
          <rPr>
            <sz val="10"/>
            <rFont val="Arial"/>
            <family val="2"/>
          </rPr>
          <t>Horas nocturnas.</t>
        </r>
      </text>
    </comment>
    <comment ref="AL8" authorId="0" shapeId="0" xr:uid="{00000000-0006-0000-0600-000008000000}">
      <text>
        <r>
          <rPr>
            <sz val="10"/>
            <rFont val="Arial"/>
            <family val="2"/>
          </rPr>
          <t>Suma días vacaciones.</t>
        </r>
      </text>
    </comment>
    <comment ref="B21" authorId="0" shapeId="0" xr:uid="{00000000-0006-0000-0600-000009000000}">
      <text>
        <r>
          <rPr>
            <sz val="10"/>
            <rFont val="Arial"/>
            <family val="2"/>
          </rPr>
          <t>Sumas de horas por día.</t>
        </r>
      </text>
    </comment>
    <comment ref="C32" authorId="0" shapeId="0" xr:uid="{00000000-0006-0000-0600-00000A000000}">
      <text>
        <r>
          <rPr>
            <sz val="10"/>
            <rFont val="Arial"/>
            <family val="2"/>
          </rPr>
          <t>Editar el nombre de la empresa de seguridad.</t>
        </r>
      </text>
    </comment>
    <comment ref="R32" authorId="0" shapeId="0" xr:uid="{00000000-0006-0000-0600-00000B000000}">
      <text>
        <r>
          <rPr>
            <sz val="10"/>
            <rFont val="Arial"/>
            <family val="2"/>
          </rPr>
          <t>Editar turno</t>
        </r>
      </text>
    </comment>
    <comment ref="S32" authorId="0" shapeId="0" xr:uid="{00000000-0006-0000-0600-00000C000000}">
      <text>
        <r>
          <rPr>
            <sz val="10"/>
            <rFont val="Arial"/>
            <family val="2"/>
          </rPr>
          <t>Hora de entrada</t>
        </r>
      </text>
    </comment>
    <comment ref="V32" authorId="0" shapeId="0" xr:uid="{00000000-0006-0000-0600-00000D000000}">
      <text>
        <r>
          <rPr>
            <sz val="10"/>
            <rFont val="Arial"/>
            <family val="2"/>
          </rPr>
          <t>Hora de salida</t>
        </r>
      </text>
    </comment>
    <comment ref="AH32" authorId="0" shapeId="0" xr:uid="{00000000-0006-0000-0600-00000E000000}">
      <text>
        <r>
          <rPr>
            <sz val="10"/>
            <rFont val="Arial"/>
            <family val="2"/>
          </rPr>
          <t>Editar decimales</t>
        </r>
      </text>
    </comment>
    <comment ref="C33" authorId="0" shapeId="0" xr:uid="{00000000-0006-0000-0600-00000F000000}">
      <text>
        <r>
          <rPr>
            <sz val="10"/>
            <rFont val="Arial"/>
            <family val="2"/>
          </rPr>
          <t>Editar el nombre del centro de trabajo.</t>
        </r>
      </text>
    </comment>
    <comment ref="R33" authorId="0" shapeId="0" xr:uid="{00000000-0006-0000-0600-000010000000}">
      <text>
        <r>
          <rPr>
            <sz val="10"/>
            <rFont val="Arial"/>
            <family val="2"/>
          </rPr>
          <t>Editar turno</t>
        </r>
      </text>
    </comment>
    <comment ref="S33" authorId="0" shapeId="0" xr:uid="{00000000-0006-0000-0600-000011000000}">
      <text>
        <r>
          <rPr>
            <sz val="10"/>
            <rFont val="Arial"/>
            <family val="2"/>
          </rPr>
          <t>Hora de entrada</t>
        </r>
      </text>
    </comment>
    <comment ref="V33" authorId="0" shapeId="0" xr:uid="{00000000-0006-0000-0600-000012000000}">
      <text>
        <r>
          <rPr>
            <sz val="10"/>
            <rFont val="Arial"/>
            <family val="2"/>
          </rPr>
          <t>Hora de salida</t>
        </r>
      </text>
    </comment>
    <comment ref="C34" authorId="0" shapeId="0" xr:uid="{00000000-0006-0000-0600-000013000000}">
      <text>
        <r>
          <rPr>
            <sz val="10"/>
            <rFont val="Arial"/>
            <family val="2"/>
          </rPr>
          <t>Editar el año.</t>
        </r>
      </text>
    </comment>
    <comment ref="R34" authorId="0" shapeId="0" xr:uid="{00000000-0006-0000-0600-000014000000}">
      <text>
        <r>
          <rPr>
            <sz val="10"/>
            <rFont val="Arial"/>
            <family val="2"/>
          </rPr>
          <t>Editar turno</t>
        </r>
      </text>
    </comment>
    <comment ref="S34" authorId="0" shapeId="0" xr:uid="{00000000-0006-0000-0600-000015000000}">
      <text>
        <r>
          <rPr>
            <sz val="10"/>
            <rFont val="Arial"/>
            <family val="2"/>
          </rPr>
          <t>Hora de entrada</t>
        </r>
      </text>
    </comment>
    <comment ref="V34" authorId="0" shapeId="0" xr:uid="{00000000-0006-0000-0600-000016000000}">
      <text>
        <r>
          <rPr>
            <sz val="10"/>
            <rFont val="Arial"/>
            <family val="2"/>
          </rPr>
          <t>Hora de salida</t>
        </r>
      </text>
    </comment>
    <comment ref="C35" authorId="0" shapeId="0" xr:uid="{00000000-0006-0000-0600-000017000000}">
      <text>
        <r>
          <rPr>
            <sz val="10"/>
            <rFont val="Arial"/>
            <family val="2"/>
          </rPr>
          <t>Editar el mes en número.</t>
        </r>
      </text>
    </comment>
    <comment ref="R35" authorId="0" shapeId="0" xr:uid="{00000000-0006-0000-0600-000018000000}">
      <text>
        <r>
          <rPr>
            <sz val="10"/>
            <rFont val="Arial"/>
            <family val="2"/>
          </rPr>
          <t>Editar turno</t>
        </r>
      </text>
    </comment>
    <comment ref="S35" authorId="0" shapeId="0" xr:uid="{00000000-0006-0000-0600-000019000000}">
      <text>
        <r>
          <rPr>
            <sz val="10"/>
            <rFont val="Arial"/>
            <family val="2"/>
          </rPr>
          <t>Hora de entrada</t>
        </r>
      </text>
    </comment>
    <comment ref="V35" authorId="0" shapeId="0" xr:uid="{00000000-0006-0000-0600-00001A000000}">
      <text>
        <r>
          <rPr>
            <sz val="10"/>
            <rFont val="Arial"/>
            <family val="2"/>
          </rPr>
          <t>Hora de salida</t>
        </r>
      </text>
    </comment>
    <comment ref="C36" authorId="0" shapeId="0" xr:uid="{00000000-0006-0000-0600-00001B000000}">
      <text>
        <r>
          <rPr>
            <sz val="10"/>
            <rFont val="Arial"/>
            <family val="2"/>
          </rPr>
          <t>Editar el valor del día de vacaciones (</t>
        </r>
        <r>
          <rPr>
            <b/>
            <sz val="10"/>
            <rFont val="Arial"/>
            <family val="2"/>
          </rPr>
          <t>V</t>
        </r>
        <r>
          <rPr>
            <sz val="10"/>
            <rFont val="Arial"/>
            <family val="2"/>
          </rPr>
          <t>), dejarlo en blanco si no queremos sumar las horas.</t>
        </r>
      </text>
    </comment>
    <comment ref="R36" authorId="0" shapeId="0" xr:uid="{00000000-0006-0000-0600-00001C000000}">
      <text>
        <r>
          <rPr>
            <sz val="10"/>
            <rFont val="Arial"/>
            <family val="2"/>
          </rPr>
          <t>Editar turno</t>
        </r>
      </text>
    </comment>
    <comment ref="S36" authorId="0" shapeId="0" xr:uid="{00000000-0006-0000-0600-00001D000000}">
      <text>
        <r>
          <rPr>
            <sz val="10"/>
            <rFont val="Arial"/>
            <family val="2"/>
          </rPr>
          <t>Hora de entrada</t>
        </r>
      </text>
    </comment>
    <comment ref="V36" authorId="0" shapeId="0" xr:uid="{00000000-0006-0000-0600-00001E000000}">
      <text>
        <r>
          <rPr>
            <sz val="10"/>
            <rFont val="Arial"/>
            <family val="2"/>
          </rPr>
          <t>Hora de salida</t>
        </r>
      </text>
    </comment>
    <comment ref="C37" authorId="0" shapeId="0" xr:uid="{00000000-0006-0000-0600-00001F000000}">
      <text>
        <r>
          <rPr>
            <sz val="10"/>
            <rFont val="Arial"/>
            <family val="2"/>
          </rPr>
          <t>Editar la jornada minina en horas.</t>
        </r>
      </text>
    </comment>
    <comment ref="R37" authorId="0" shapeId="0" xr:uid="{00000000-0006-0000-0600-000020000000}">
      <text>
        <r>
          <rPr>
            <sz val="10"/>
            <rFont val="Arial"/>
            <family val="2"/>
          </rPr>
          <t>Editar turno</t>
        </r>
      </text>
    </comment>
    <comment ref="S37" authorId="0" shapeId="0" xr:uid="{00000000-0006-0000-0600-000021000000}">
      <text>
        <r>
          <rPr>
            <sz val="10"/>
            <rFont val="Arial"/>
            <family val="2"/>
          </rPr>
          <t>Hora de entrada</t>
        </r>
      </text>
    </comment>
    <comment ref="V37" authorId="0" shapeId="0" xr:uid="{00000000-0006-0000-0600-000022000000}">
      <text>
        <r>
          <rPr>
            <sz val="10"/>
            <rFont val="Arial"/>
            <family val="2"/>
          </rPr>
          <t>Hora de salida</t>
        </r>
      </text>
    </comment>
    <comment ref="C38" authorId="0" shapeId="0" xr:uid="{00000000-0006-0000-0600-000023000000}">
      <text>
        <r>
          <rPr>
            <sz val="10"/>
            <rFont val="Arial"/>
            <family val="2"/>
          </rPr>
          <t>Editar el valor en horas del permiso retribuido (</t>
        </r>
        <r>
          <rPr>
            <b/>
            <sz val="10"/>
            <rFont val="Arial"/>
            <family val="2"/>
          </rPr>
          <t>PR</t>
        </r>
        <r>
          <rPr>
            <sz val="10"/>
            <rFont val="Arial"/>
            <family val="2"/>
          </rPr>
          <t>), dejarlo en blanco si no queremos sumar las horas.</t>
        </r>
      </text>
    </comment>
    <comment ref="R38" authorId="0" shapeId="0" xr:uid="{00000000-0006-0000-0600-000024000000}">
      <text>
        <r>
          <rPr>
            <sz val="10"/>
            <rFont val="Arial"/>
            <family val="2"/>
          </rPr>
          <t>Editar turno</t>
        </r>
      </text>
    </comment>
    <comment ref="S38" authorId="0" shapeId="0" xr:uid="{00000000-0006-0000-0600-000025000000}">
      <text>
        <r>
          <rPr>
            <sz val="10"/>
            <rFont val="Arial"/>
            <family val="2"/>
          </rPr>
          <t>Hora de entrada</t>
        </r>
      </text>
    </comment>
    <comment ref="V38" authorId="0" shapeId="0" xr:uid="{00000000-0006-0000-0600-000026000000}">
      <text>
        <r>
          <rPr>
            <sz val="10"/>
            <rFont val="Arial"/>
            <family val="2"/>
          </rPr>
          <t>Hora de salida</t>
        </r>
      </text>
    </comment>
    <comment ref="R39" authorId="0" shapeId="0" xr:uid="{00000000-0006-0000-0600-000027000000}">
      <text>
        <r>
          <rPr>
            <sz val="10"/>
            <rFont val="Arial"/>
            <family val="2"/>
          </rPr>
          <t>Editar turno</t>
        </r>
      </text>
    </comment>
    <comment ref="S39" authorId="0" shapeId="0" xr:uid="{00000000-0006-0000-0600-000028000000}">
      <text>
        <r>
          <rPr>
            <sz val="10"/>
            <rFont val="Arial"/>
            <family val="2"/>
          </rPr>
          <t>Hora de entrada</t>
        </r>
      </text>
    </comment>
    <comment ref="V39" authorId="0" shapeId="0" xr:uid="{00000000-0006-0000-0600-000029000000}">
      <text>
        <r>
          <rPr>
            <sz val="10"/>
            <rFont val="Arial"/>
            <family val="2"/>
          </rPr>
          <t>Hora de salida</t>
        </r>
      </text>
    </comment>
    <comment ref="R40" authorId="0" shapeId="0" xr:uid="{00000000-0006-0000-0600-00002A000000}">
      <text>
        <r>
          <rPr>
            <sz val="10"/>
            <rFont val="Arial"/>
            <family val="2"/>
          </rPr>
          <t>Editar turno</t>
        </r>
      </text>
    </comment>
    <comment ref="S40" authorId="0" shapeId="0" xr:uid="{00000000-0006-0000-0600-00002B000000}">
      <text>
        <r>
          <rPr>
            <sz val="10"/>
            <rFont val="Arial"/>
            <family val="2"/>
          </rPr>
          <t>Hora de entrada</t>
        </r>
      </text>
    </comment>
    <comment ref="V40" authorId="0" shapeId="0" xr:uid="{00000000-0006-0000-0600-00002C000000}">
      <text>
        <r>
          <rPr>
            <sz val="10"/>
            <rFont val="Arial"/>
            <family val="2"/>
          </rPr>
          <t>Hora de salida</t>
        </r>
      </text>
    </comment>
    <comment ref="E43" authorId="0" shapeId="0" xr:uid="{00000000-0006-0000-0600-00002D000000}">
      <text>
        <r>
          <rPr>
            <sz val="10"/>
            <rFont val="Arial"/>
            <family val="2"/>
          </rPr>
          <t>Editar notas del mes.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700-000001000000}">
      <text>
        <r>
          <rPr>
            <sz val="10"/>
            <rFont val="Arial"/>
            <family val="2"/>
          </rPr>
          <t xml:space="preserve">Editar festivos con una </t>
        </r>
        <r>
          <rPr>
            <b/>
            <sz val="10"/>
            <rFont val="Arial"/>
            <family val="2"/>
          </rPr>
          <t>X</t>
        </r>
        <r>
          <rPr>
            <sz val="10"/>
            <rFont val="Arial"/>
            <family val="2"/>
          </rPr>
          <t xml:space="preserve"> mayúscula.</t>
        </r>
      </text>
    </comment>
    <comment ref="AH6" authorId="0" shapeId="0" xr:uid="{00000000-0006-0000-0700-000002000000}">
      <text>
        <r>
          <rPr>
            <sz val="10"/>
            <rFont val="Arial"/>
            <family val="2"/>
          </rPr>
          <t xml:space="preserve">Editar con una </t>
        </r>
        <r>
          <rPr>
            <b/>
            <sz val="10"/>
            <rFont val="Arial"/>
            <family val="2"/>
          </rPr>
          <t>X</t>
        </r>
        <r>
          <rPr>
            <sz val="10"/>
            <rFont val="Arial"/>
            <family val="2"/>
          </rPr>
          <t xml:space="preserve"> el día festivo. Marca la casilla si el día 1 del siguiente mes es festivo.</t>
        </r>
      </text>
    </comment>
    <comment ref="B7" authorId="0" shapeId="0" xr:uid="{00000000-0006-0000-0700-000003000000}">
      <text>
        <r>
          <rPr>
            <sz val="10"/>
            <rFont val="Arial"/>
            <family val="2"/>
          </rPr>
          <t>Días festivos con fondo en color.</t>
        </r>
      </text>
    </comment>
    <comment ref="AH8" authorId="0" shapeId="0" xr:uid="{00000000-0006-0000-0700-000004000000}">
      <text>
        <r>
          <rPr>
            <sz val="10"/>
            <rFont val="Arial"/>
            <family val="2"/>
          </rPr>
          <t>Horas totales.</t>
        </r>
      </text>
    </comment>
    <comment ref="AI8" authorId="0" shapeId="0" xr:uid="{00000000-0006-0000-0700-000005000000}">
      <text>
        <r>
          <rPr>
            <sz val="10"/>
            <rFont val="Arial"/>
            <family val="2"/>
          </rPr>
          <t>Horas extras.</t>
        </r>
      </text>
    </comment>
    <comment ref="AJ8" authorId="0" shapeId="0" xr:uid="{00000000-0006-0000-0700-000006000000}">
      <text>
        <r>
          <rPr>
            <sz val="10"/>
            <rFont val="Arial"/>
            <family val="2"/>
          </rPr>
          <t>Horas festivas.</t>
        </r>
      </text>
    </comment>
    <comment ref="AK8" authorId="0" shapeId="0" xr:uid="{00000000-0006-0000-0700-000007000000}">
      <text>
        <r>
          <rPr>
            <sz val="10"/>
            <rFont val="Arial"/>
            <family val="2"/>
          </rPr>
          <t>Horas nocturnas.</t>
        </r>
      </text>
    </comment>
    <comment ref="AL8" authorId="0" shapeId="0" xr:uid="{00000000-0006-0000-0700-000008000000}">
      <text>
        <r>
          <rPr>
            <sz val="10"/>
            <rFont val="Arial"/>
            <family val="2"/>
          </rPr>
          <t>Suma días vacaciones.</t>
        </r>
      </text>
    </comment>
    <comment ref="B21" authorId="0" shapeId="0" xr:uid="{00000000-0006-0000-0700-000009000000}">
      <text>
        <r>
          <rPr>
            <sz val="10"/>
            <rFont val="Arial"/>
            <family val="2"/>
          </rPr>
          <t>Sumas de horas por día.</t>
        </r>
      </text>
    </comment>
    <comment ref="C32" authorId="0" shapeId="0" xr:uid="{00000000-0006-0000-0700-00000A000000}">
      <text>
        <r>
          <rPr>
            <sz val="10"/>
            <rFont val="Arial"/>
            <family val="2"/>
          </rPr>
          <t>Editar el nombre de la empresa de seguridad.</t>
        </r>
      </text>
    </comment>
    <comment ref="R32" authorId="0" shapeId="0" xr:uid="{00000000-0006-0000-0700-00000B000000}">
      <text>
        <r>
          <rPr>
            <sz val="10"/>
            <rFont val="Arial"/>
            <family val="2"/>
          </rPr>
          <t>Editar turno</t>
        </r>
      </text>
    </comment>
    <comment ref="S32" authorId="0" shapeId="0" xr:uid="{00000000-0006-0000-0700-00000C000000}">
      <text>
        <r>
          <rPr>
            <sz val="10"/>
            <rFont val="Arial"/>
            <family val="2"/>
          </rPr>
          <t>Hora de entrada</t>
        </r>
      </text>
    </comment>
    <comment ref="V32" authorId="0" shapeId="0" xr:uid="{00000000-0006-0000-0700-00000D000000}">
      <text>
        <r>
          <rPr>
            <sz val="10"/>
            <rFont val="Arial"/>
            <family val="2"/>
          </rPr>
          <t>Hora de salida</t>
        </r>
      </text>
    </comment>
    <comment ref="AH32" authorId="0" shapeId="0" xr:uid="{00000000-0006-0000-0700-00000E000000}">
      <text>
        <r>
          <rPr>
            <sz val="10"/>
            <rFont val="Arial"/>
            <family val="2"/>
          </rPr>
          <t>Editar decimales</t>
        </r>
      </text>
    </comment>
    <comment ref="C33" authorId="0" shapeId="0" xr:uid="{00000000-0006-0000-0700-00000F000000}">
      <text>
        <r>
          <rPr>
            <sz val="10"/>
            <rFont val="Arial"/>
            <family val="2"/>
          </rPr>
          <t>Editar el nombre del centro de trabajo.</t>
        </r>
      </text>
    </comment>
    <comment ref="R33" authorId="0" shapeId="0" xr:uid="{00000000-0006-0000-0700-000010000000}">
      <text>
        <r>
          <rPr>
            <sz val="10"/>
            <rFont val="Arial"/>
            <family val="2"/>
          </rPr>
          <t>Editar turno</t>
        </r>
      </text>
    </comment>
    <comment ref="S33" authorId="0" shapeId="0" xr:uid="{00000000-0006-0000-0700-000011000000}">
      <text>
        <r>
          <rPr>
            <sz val="10"/>
            <rFont val="Arial"/>
            <family val="2"/>
          </rPr>
          <t>Hora de entrada</t>
        </r>
      </text>
    </comment>
    <comment ref="V33" authorId="0" shapeId="0" xr:uid="{00000000-0006-0000-0700-000012000000}">
      <text>
        <r>
          <rPr>
            <sz val="10"/>
            <rFont val="Arial"/>
            <family val="2"/>
          </rPr>
          <t>Hora de salida</t>
        </r>
      </text>
    </comment>
    <comment ref="C34" authorId="0" shapeId="0" xr:uid="{00000000-0006-0000-0700-000013000000}">
      <text>
        <r>
          <rPr>
            <sz val="10"/>
            <rFont val="Arial"/>
            <family val="2"/>
          </rPr>
          <t>Editar el año.</t>
        </r>
      </text>
    </comment>
    <comment ref="R34" authorId="0" shapeId="0" xr:uid="{00000000-0006-0000-0700-000014000000}">
      <text>
        <r>
          <rPr>
            <sz val="10"/>
            <rFont val="Arial"/>
            <family val="2"/>
          </rPr>
          <t>Editar turno</t>
        </r>
      </text>
    </comment>
    <comment ref="S34" authorId="0" shapeId="0" xr:uid="{00000000-0006-0000-0700-000015000000}">
      <text>
        <r>
          <rPr>
            <sz val="10"/>
            <rFont val="Arial"/>
            <family val="2"/>
          </rPr>
          <t>Hora de entrada</t>
        </r>
      </text>
    </comment>
    <comment ref="V34" authorId="0" shapeId="0" xr:uid="{00000000-0006-0000-0700-000016000000}">
      <text>
        <r>
          <rPr>
            <sz val="10"/>
            <rFont val="Arial"/>
            <family val="2"/>
          </rPr>
          <t>Hora de salida</t>
        </r>
      </text>
    </comment>
    <comment ref="C35" authorId="0" shapeId="0" xr:uid="{00000000-0006-0000-0700-000017000000}">
      <text>
        <r>
          <rPr>
            <sz val="10"/>
            <rFont val="Arial"/>
            <family val="2"/>
          </rPr>
          <t>Editar el mes en número.</t>
        </r>
      </text>
    </comment>
    <comment ref="R35" authorId="0" shapeId="0" xr:uid="{00000000-0006-0000-0700-000018000000}">
      <text>
        <r>
          <rPr>
            <sz val="10"/>
            <rFont val="Arial"/>
            <family val="2"/>
          </rPr>
          <t>Editar turno</t>
        </r>
      </text>
    </comment>
    <comment ref="S35" authorId="0" shapeId="0" xr:uid="{00000000-0006-0000-0700-000019000000}">
      <text>
        <r>
          <rPr>
            <sz val="10"/>
            <rFont val="Arial"/>
            <family val="2"/>
          </rPr>
          <t>Hora de entrada</t>
        </r>
      </text>
    </comment>
    <comment ref="V35" authorId="0" shapeId="0" xr:uid="{00000000-0006-0000-0700-00001A000000}">
      <text>
        <r>
          <rPr>
            <sz val="10"/>
            <rFont val="Arial"/>
            <family val="2"/>
          </rPr>
          <t>Hora de salida</t>
        </r>
      </text>
    </comment>
    <comment ref="C36" authorId="0" shapeId="0" xr:uid="{00000000-0006-0000-0700-00001B000000}">
      <text>
        <r>
          <rPr>
            <sz val="10"/>
            <rFont val="Arial"/>
            <family val="2"/>
          </rPr>
          <t>Editar el valor del día de vacaciones (</t>
        </r>
        <r>
          <rPr>
            <b/>
            <sz val="10"/>
            <rFont val="Arial"/>
            <family val="2"/>
          </rPr>
          <t>V</t>
        </r>
        <r>
          <rPr>
            <sz val="10"/>
            <rFont val="Arial"/>
            <family val="2"/>
          </rPr>
          <t>), dejarlo en blanco si no queremos sumar las horas.</t>
        </r>
      </text>
    </comment>
    <comment ref="R36" authorId="0" shapeId="0" xr:uid="{00000000-0006-0000-0700-00001C000000}">
      <text>
        <r>
          <rPr>
            <sz val="10"/>
            <rFont val="Arial"/>
            <family val="2"/>
          </rPr>
          <t>Editar turno</t>
        </r>
      </text>
    </comment>
    <comment ref="S36" authorId="0" shapeId="0" xr:uid="{00000000-0006-0000-0700-00001D000000}">
      <text>
        <r>
          <rPr>
            <sz val="10"/>
            <rFont val="Arial"/>
            <family val="2"/>
          </rPr>
          <t>Hora de entrada</t>
        </r>
      </text>
    </comment>
    <comment ref="V36" authorId="0" shapeId="0" xr:uid="{00000000-0006-0000-0700-00001E000000}">
      <text>
        <r>
          <rPr>
            <sz val="10"/>
            <rFont val="Arial"/>
            <family val="2"/>
          </rPr>
          <t>Hora de salida</t>
        </r>
      </text>
    </comment>
    <comment ref="C37" authorId="0" shapeId="0" xr:uid="{00000000-0006-0000-0700-00001F000000}">
      <text>
        <r>
          <rPr>
            <sz val="10"/>
            <rFont val="Arial"/>
            <family val="2"/>
          </rPr>
          <t>Editar la jornada minina en horas.</t>
        </r>
      </text>
    </comment>
    <comment ref="R37" authorId="0" shapeId="0" xr:uid="{00000000-0006-0000-0700-000020000000}">
      <text>
        <r>
          <rPr>
            <sz val="10"/>
            <rFont val="Arial"/>
            <family val="2"/>
          </rPr>
          <t>Editar turno</t>
        </r>
      </text>
    </comment>
    <comment ref="S37" authorId="0" shapeId="0" xr:uid="{00000000-0006-0000-0700-000021000000}">
      <text>
        <r>
          <rPr>
            <sz val="10"/>
            <rFont val="Arial"/>
            <family val="2"/>
          </rPr>
          <t>Hora de entrada</t>
        </r>
      </text>
    </comment>
    <comment ref="V37" authorId="0" shapeId="0" xr:uid="{00000000-0006-0000-0700-000022000000}">
      <text>
        <r>
          <rPr>
            <sz val="10"/>
            <rFont val="Arial"/>
            <family val="2"/>
          </rPr>
          <t>Hora de salida</t>
        </r>
      </text>
    </comment>
    <comment ref="C38" authorId="0" shapeId="0" xr:uid="{00000000-0006-0000-0700-000023000000}">
      <text>
        <r>
          <rPr>
            <sz val="10"/>
            <rFont val="Arial"/>
            <family val="2"/>
          </rPr>
          <t>Editar el valor en horas del permiso retribuido (</t>
        </r>
        <r>
          <rPr>
            <b/>
            <sz val="10"/>
            <rFont val="Arial"/>
            <family val="2"/>
          </rPr>
          <t>PR</t>
        </r>
        <r>
          <rPr>
            <sz val="10"/>
            <rFont val="Arial"/>
            <family val="2"/>
          </rPr>
          <t>), dejarlo en blanco si no queremos sumar las horas.</t>
        </r>
      </text>
    </comment>
    <comment ref="R38" authorId="0" shapeId="0" xr:uid="{00000000-0006-0000-0700-000024000000}">
      <text>
        <r>
          <rPr>
            <sz val="10"/>
            <rFont val="Arial"/>
            <family val="2"/>
          </rPr>
          <t>Editar turno</t>
        </r>
      </text>
    </comment>
    <comment ref="S38" authorId="0" shapeId="0" xr:uid="{00000000-0006-0000-0700-000025000000}">
      <text>
        <r>
          <rPr>
            <sz val="10"/>
            <rFont val="Arial"/>
            <family val="2"/>
          </rPr>
          <t>Hora de entrada</t>
        </r>
      </text>
    </comment>
    <comment ref="V38" authorId="0" shapeId="0" xr:uid="{00000000-0006-0000-0700-000026000000}">
      <text>
        <r>
          <rPr>
            <sz val="10"/>
            <rFont val="Arial"/>
            <family val="2"/>
          </rPr>
          <t>Hora de salida</t>
        </r>
      </text>
    </comment>
    <comment ref="R39" authorId="0" shapeId="0" xr:uid="{00000000-0006-0000-0700-000027000000}">
      <text>
        <r>
          <rPr>
            <sz val="10"/>
            <rFont val="Arial"/>
            <family val="2"/>
          </rPr>
          <t>Editar turno</t>
        </r>
      </text>
    </comment>
    <comment ref="S39" authorId="0" shapeId="0" xr:uid="{00000000-0006-0000-0700-000028000000}">
      <text>
        <r>
          <rPr>
            <sz val="10"/>
            <rFont val="Arial"/>
            <family val="2"/>
          </rPr>
          <t>Hora de entrada</t>
        </r>
      </text>
    </comment>
    <comment ref="V39" authorId="0" shapeId="0" xr:uid="{00000000-0006-0000-0700-000029000000}">
      <text>
        <r>
          <rPr>
            <sz val="10"/>
            <rFont val="Arial"/>
            <family val="2"/>
          </rPr>
          <t>Hora de salida</t>
        </r>
      </text>
    </comment>
    <comment ref="R40" authorId="0" shapeId="0" xr:uid="{00000000-0006-0000-0700-00002A000000}">
      <text>
        <r>
          <rPr>
            <sz val="10"/>
            <rFont val="Arial"/>
            <family val="2"/>
          </rPr>
          <t>Editar turno</t>
        </r>
      </text>
    </comment>
    <comment ref="S40" authorId="0" shapeId="0" xr:uid="{00000000-0006-0000-0700-00002B000000}">
      <text>
        <r>
          <rPr>
            <sz val="10"/>
            <rFont val="Arial"/>
            <family val="2"/>
          </rPr>
          <t>Hora de entrada</t>
        </r>
      </text>
    </comment>
    <comment ref="V40" authorId="0" shapeId="0" xr:uid="{00000000-0006-0000-0700-00002C000000}">
      <text>
        <r>
          <rPr>
            <sz val="10"/>
            <rFont val="Arial"/>
            <family val="2"/>
          </rPr>
          <t>Hora de salida</t>
        </r>
      </text>
    </comment>
    <comment ref="E43" authorId="0" shapeId="0" xr:uid="{00000000-0006-0000-0700-00002D000000}">
      <text>
        <r>
          <rPr>
            <sz val="10"/>
            <rFont val="Arial"/>
            <family val="2"/>
          </rPr>
          <t>Editar notas del mes.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800-000001000000}">
      <text>
        <r>
          <rPr>
            <sz val="10"/>
            <rFont val="Arial"/>
            <family val="2"/>
          </rPr>
          <t xml:space="preserve">Editar festivos con una </t>
        </r>
        <r>
          <rPr>
            <b/>
            <sz val="10"/>
            <rFont val="Arial"/>
            <family val="2"/>
          </rPr>
          <t>X</t>
        </r>
        <r>
          <rPr>
            <sz val="10"/>
            <rFont val="Arial"/>
            <family val="2"/>
          </rPr>
          <t xml:space="preserve"> mayúscula.</t>
        </r>
      </text>
    </comment>
    <comment ref="AH6" authorId="0" shapeId="0" xr:uid="{00000000-0006-0000-0800-000002000000}">
      <text>
        <r>
          <rPr>
            <sz val="10"/>
            <rFont val="Arial"/>
            <family val="2"/>
          </rPr>
          <t xml:space="preserve">Editar con una </t>
        </r>
        <r>
          <rPr>
            <b/>
            <sz val="10"/>
            <rFont val="Arial"/>
            <family val="2"/>
          </rPr>
          <t>X</t>
        </r>
        <r>
          <rPr>
            <sz val="10"/>
            <rFont val="Arial"/>
            <family val="2"/>
          </rPr>
          <t xml:space="preserve"> el día festivo. Marca la casilla si el día 1 del siguiente mes es festivo.</t>
        </r>
      </text>
    </comment>
    <comment ref="B7" authorId="0" shapeId="0" xr:uid="{00000000-0006-0000-0800-000003000000}">
      <text>
        <r>
          <rPr>
            <sz val="10"/>
            <rFont val="Arial"/>
            <family val="2"/>
          </rPr>
          <t>Días festivos con fondo en color.</t>
        </r>
      </text>
    </comment>
    <comment ref="AH8" authorId="0" shapeId="0" xr:uid="{00000000-0006-0000-0800-000004000000}">
      <text>
        <r>
          <rPr>
            <sz val="10"/>
            <rFont val="Arial"/>
            <family val="2"/>
          </rPr>
          <t>Horas totales.</t>
        </r>
      </text>
    </comment>
    <comment ref="AI8" authorId="0" shapeId="0" xr:uid="{00000000-0006-0000-0800-000005000000}">
      <text>
        <r>
          <rPr>
            <sz val="10"/>
            <rFont val="Arial"/>
            <family val="2"/>
          </rPr>
          <t>Horas extras.</t>
        </r>
      </text>
    </comment>
    <comment ref="AJ8" authorId="0" shapeId="0" xr:uid="{00000000-0006-0000-0800-000006000000}">
      <text>
        <r>
          <rPr>
            <sz val="10"/>
            <rFont val="Arial"/>
            <family val="2"/>
          </rPr>
          <t>Horas festivas.</t>
        </r>
      </text>
    </comment>
    <comment ref="AK8" authorId="0" shapeId="0" xr:uid="{00000000-0006-0000-0800-000007000000}">
      <text>
        <r>
          <rPr>
            <sz val="10"/>
            <rFont val="Arial"/>
            <family val="2"/>
          </rPr>
          <t>Horas nocturnas.</t>
        </r>
      </text>
    </comment>
    <comment ref="AL8" authorId="0" shapeId="0" xr:uid="{00000000-0006-0000-0800-000008000000}">
      <text>
        <r>
          <rPr>
            <sz val="10"/>
            <rFont val="Arial"/>
            <family val="2"/>
          </rPr>
          <t>Suma días vacaciones.</t>
        </r>
      </text>
    </comment>
    <comment ref="B21" authorId="0" shapeId="0" xr:uid="{00000000-0006-0000-0800-000009000000}">
      <text>
        <r>
          <rPr>
            <sz val="10"/>
            <rFont val="Arial"/>
            <family val="2"/>
          </rPr>
          <t>Sumas de horas por día.</t>
        </r>
      </text>
    </comment>
    <comment ref="C32" authorId="0" shapeId="0" xr:uid="{00000000-0006-0000-0800-00000A000000}">
      <text>
        <r>
          <rPr>
            <sz val="10"/>
            <rFont val="Arial"/>
            <family val="2"/>
          </rPr>
          <t>Editar el nombre de la empresa de seguridad.</t>
        </r>
      </text>
    </comment>
    <comment ref="R32" authorId="0" shapeId="0" xr:uid="{00000000-0006-0000-0800-00000B000000}">
      <text>
        <r>
          <rPr>
            <sz val="10"/>
            <rFont val="Arial"/>
            <family val="2"/>
          </rPr>
          <t>Editar turno</t>
        </r>
      </text>
    </comment>
    <comment ref="S32" authorId="0" shapeId="0" xr:uid="{00000000-0006-0000-0800-00000C000000}">
      <text>
        <r>
          <rPr>
            <sz val="10"/>
            <rFont val="Arial"/>
            <family val="2"/>
          </rPr>
          <t>Hora de entrada</t>
        </r>
      </text>
    </comment>
    <comment ref="V32" authorId="0" shapeId="0" xr:uid="{00000000-0006-0000-0800-00000D000000}">
      <text>
        <r>
          <rPr>
            <sz val="10"/>
            <rFont val="Arial"/>
            <family val="2"/>
          </rPr>
          <t>Hora de salida</t>
        </r>
      </text>
    </comment>
    <comment ref="AH32" authorId="0" shapeId="0" xr:uid="{00000000-0006-0000-0800-00000E000000}">
      <text>
        <r>
          <rPr>
            <sz val="10"/>
            <rFont val="Arial"/>
            <family val="2"/>
          </rPr>
          <t>Editar decimales</t>
        </r>
      </text>
    </comment>
    <comment ref="C33" authorId="0" shapeId="0" xr:uid="{00000000-0006-0000-0800-00000F000000}">
      <text>
        <r>
          <rPr>
            <sz val="10"/>
            <rFont val="Arial"/>
            <family val="2"/>
          </rPr>
          <t>Editar el nombre del centro de trabajo.</t>
        </r>
      </text>
    </comment>
    <comment ref="R33" authorId="0" shapeId="0" xr:uid="{00000000-0006-0000-0800-000010000000}">
      <text>
        <r>
          <rPr>
            <sz val="10"/>
            <rFont val="Arial"/>
            <family val="2"/>
          </rPr>
          <t>Editar turno</t>
        </r>
      </text>
    </comment>
    <comment ref="S33" authorId="0" shapeId="0" xr:uid="{00000000-0006-0000-0800-000011000000}">
      <text>
        <r>
          <rPr>
            <sz val="10"/>
            <rFont val="Arial"/>
            <family val="2"/>
          </rPr>
          <t>Hora de entrada</t>
        </r>
      </text>
    </comment>
    <comment ref="V33" authorId="0" shapeId="0" xr:uid="{00000000-0006-0000-0800-000012000000}">
      <text>
        <r>
          <rPr>
            <sz val="10"/>
            <rFont val="Arial"/>
            <family val="2"/>
          </rPr>
          <t>Hora de salida</t>
        </r>
      </text>
    </comment>
    <comment ref="C34" authorId="0" shapeId="0" xr:uid="{00000000-0006-0000-0800-000013000000}">
      <text>
        <r>
          <rPr>
            <sz val="10"/>
            <rFont val="Arial"/>
            <family val="2"/>
          </rPr>
          <t>Editar el año.</t>
        </r>
      </text>
    </comment>
    <comment ref="R34" authorId="0" shapeId="0" xr:uid="{00000000-0006-0000-0800-000014000000}">
      <text>
        <r>
          <rPr>
            <sz val="10"/>
            <rFont val="Arial"/>
            <family val="2"/>
          </rPr>
          <t>Editar turno</t>
        </r>
      </text>
    </comment>
    <comment ref="S34" authorId="0" shapeId="0" xr:uid="{00000000-0006-0000-0800-000015000000}">
      <text>
        <r>
          <rPr>
            <sz val="10"/>
            <rFont val="Arial"/>
            <family val="2"/>
          </rPr>
          <t>Hora de entrada</t>
        </r>
      </text>
    </comment>
    <comment ref="V34" authorId="0" shapeId="0" xr:uid="{00000000-0006-0000-0800-000016000000}">
      <text>
        <r>
          <rPr>
            <sz val="10"/>
            <rFont val="Arial"/>
            <family val="2"/>
          </rPr>
          <t>Hora de salida</t>
        </r>
      </text>
    </comment>
    <comment ref="C35" authorId="0" shapeId="0" xr:uid="{00000000-0006-0000-0800-000017000000}">
      <text>
        <r>
          <rPr>
            <sz val="10"/>
            <rFont val="Arial"/>
            <family val="2"/>
          </rPr>
          <t>Editar el mes en número.</t>
        </r>
      </text>
    </comment>
    <comment ref="R35" authorId="0" shapeId="0" xr:uid="{00000000-0006-0000-0800-000018000000}">
      <text>
        <r>
          <rPr>
            <sz val="10"/>
            <rFont val="Arial"/>
            <family val="2"/>
          </rPr>
          <t>Editar turno</t>
        </r>
      </text>
    </comment>
    <comment ref="S35" authorId="0" shapeId="0" xr:uid="{00000000-0006-0000-0800-000019000000}">
      <text>
        <r>
          <rPr>
            <sz val="10"/>
            <rFont val="Arial"/>
            <family val="2"/>
          </rPr>
          <t>Hora de entrada</t>
        </r>
      </text>
    </comment>
    <comment ref="V35" authorId="0" shapeId="0" xr:uid="{00000000-0006-0000-0800-00001A000000}">
      <text>
        <r>
          <rPr>
            <sz val="10"/>
            <rFont val="Arial"/>
            <family val="2"/>
          </rPr>
          <t>Hora de salida</t>
        </r>
      </text>
    </comment>
    <comment ref="C36" authorId="0" shapeId="0" xr:uid="{00000000-0006-0000-0800-00001B000000}">
      <text>
        <r>
          <rPr>
            <sz val="10"/>
            <rFont val="Arial"/>
            <family val="2"/>
          </rPr>
          <t>Editar el valor del día de vacaciones (</t>
        </r>
        <r>
          <rPr>
            <b/>
            <sz val="10"/>
            <rFont val="Arial"/>
            <family val="2"/>
          </rPr>
          <t>V</t>
        </r>
        <r>
          <rPr>
            <sz val="10"/>
            <rFont val="Arial"/>
            <family val="2"/>
          </rPr>
          <t>), dejarlo en blanco si no queremos sumar las horas.</t>
        </r>
      </text>
    </comment>
    <comment ref="R36" authorId="0" shapeId="0" xr:uid="{00000000-0006-0000-0800-00001C000000}">
      <text>
        <r>
          <rPr>
            <sz val="10"/>
            <rFont val="Arial"/>
            <family val="2"/>
          </rPr>
          <t>Editar turno</t>
        </r>
      </text>
    </comment>
    <comment ref="S36" authorId="0" shapeId="0" xr:uid="{00000000-0006-0000-0800-00001D000000}">
      <text>
        <r>
          <rPr>
            <sz val="10"/>
            <rFont val="Arial"/>
            <family val="2"/>
          </rPr>
          <t>Hora de entrada</t>
        </r>
      </text>
    </comment>
    <comment ref="V36" authorId="0" shapeId="0" xr:uid="{00000000-0006-0000-0800-00001E000000}">
      <text>
        <r>
          <rPr>
            <sz val="10"/>
            <rFont val="Arial"/>
            <family val="2"/>
          </rPr>
          <t>Hora de salida</t>
        </r>
      </text>
    </comment>
    <comment ref="C37" authorId="0" shapeId="0" xr:uid="{00000000-0006-0000-0800-00001F000000}">
      <text>
        <r>
          <rPr>
            <sz val="10"/>
            <rFont val="Arial"/>
            <family val="2"/>
          </rPr>
          <t>Editar la jornada minina en horas.</t>
        </r>
      </text>
    </comment>
    <comment ref="R37" authorId="0" shapeId="0" xr:uid="{00000000-0006-0000-0800-000020000000}">
      <text>
        <r>
          <rPr>
            <sz val="10"/>
            <rFont val="Arial"/>
            <family val="2"/>
          </rPr>
          <t>Editar turno</t>
        </r>
      </text>
    </comment>
    <comment ref="S37" authorId="0" shapeId="0" xr:uid="{00000000-0006-0000-0800-000021000000}">
      <text>
        <r>
          <rPr>
            <sz val="10"/>
            <rFont val="Arial"/>
            <family val="2"/>
          </rPr>
          <t>Hora de entrada</t>
        </r>
      </text>
    </comment>
    <comment ref="V37" authorId="0" shapeId="0" xr:uid="{00000000-0006-0000-0800-000022000000}">
      <text>
        <r>
          <rPr>
            <sz val="10"/>
            <rFont val="Arial"/>
            <family val="2"/>
          </rPr>
          <t>Hora de salida</t>
        </r>
      </text>
    </comment>
    <comment ref="C38" authorId="0" shapeId="0" xr:uid="{00000000-0006-0000-0800-000023000000}">
      <text>
        <r>
          <rPr>
            <sz val="10"/>
            <rFont val="Arial"/>
            <family val="2"/>
          </rPr>
          <t>Editar el valor en horas del permiso retribuido (</t>
        </r>
        <r>
          <rPr>
            <b/>
            <sz val="10"/>
            <rFont val="Arial"/>
            <family val="2"/>
          </rPr>
          <t>PR</t>
        </r>
        <r>
          <rPr>
            <sz val="10"/>
            <rFont val="Arial"/>
            <family val="2"/>
          </rPr>
          <t>), dejarlo en blanco si no queremos sumar las horas.</t>
        </r>
      </text>
    </comment>
    <comment ref="R38" authorId="0" shapeId="0" xr:uid="{00000000-0006-0000-0800-000024000000}">
      <text>
        <r>
          <rPr>
            <sz val="10"/>
            <rFont val="Arial"/>
            <family val="2"/>
          </rPr>
          <t>Editar turno</t>
        </r>
      </text>
    </comment>
    <comment ref="S38" authorId="0" shapeId="0" xr:uid="{00000000-0006-0000-0800-000025000000}">
      <text>
        <r>
          <rPr>
            <sz val="10"/>
            <rFont val="Arial"/>
            <family val="2"/>
          </rPr>
          <t>Hora de entrada</t>
        </r>
      </text>
    </comment>
    <comment ref="V38" authorId="0" shapeId="0" xr:uid="{00000000-0006-0000-0800-000026000000}">
      <text>
        <r>
          <rPr>
            <sz val="10"/>
            <rFont val="Arial"/>
            <family val="2"/>
          </rPr>
          <t>Hora de salida</t>
        </r>
      </text>
    </comment>
    <comment ref="R39" authorId="0" shapeId="0" xr:uid="{00000000-0006-0000-0800-000027000000}">
      <text>
        <r>
          <rPr>
            <sz val="10"/>
            <rFont val="Arial"/>
            <family val="2"/>
          </rPr>
          <t>Editar turno</t>
        </r>
      </text>
    </comment>
    <comment ref="S39" authorId="0" shapeId="0" xr:uid="{00000000-0006-0000-0800-000028000000}">
      <text>
        <r>
          <rPr>
            <sz val="10"/>
            <rFont val="Arial"/>
            <family val="2"/>
          </rPr>
          <t>Hora de entrada</t>
        </r>
      </text>
    </comment>
    <comment ref="V39" authorId="0" shapeId="0" xr:uid="{00000000-0006-0000-0800-000029000000}">
      <text>
        <r>
          <rPr>
            <sz val="10"/>
            <rFont val="Arial"/>
            <family val="2"/>
          </rPr>
          <t>Hora de salida</t>
        </r>
      </text>
    </comment>
    <comment ref="R40" authorId="0" shapeId="0" xr:uid="{00000000-0006-0000-0800-00002A000000}">
      <text>
        <r>
          <rPr>
            <sz val="10"/>
            <rFont val="Arial"/>
            <family val="2"/>
          </rPr>
          <t>Editar turno</t>
        </r>
      </text>
    </comment>
    <comment ref="S40" authorId="0" shapeId="0" xr:uid="{00000000-0006-0000-0800-00002B000000}">
      <text>
        <r>
          <rPr>
            <sz val="10"/>
            <rFont val="Arial"/>
            <family val="2"/>
          </rPr>
          <t>Hora de entrada</t>
        </r>
      </text>
    </comment>
    <comment ref="V40" authorId="0" shapeId="0" xr:uid="{00000000-0006-0000-0800-00002C000000}">
      <text>
        <r>
          <rPr>
            <sz val="10"/>
            <rFont val="Arial"/>
            <family val="2"/>
          </rPr>
          <t>Hora de salida</t>
        </r>
      </text>
    </comment>
    <comment ref="E43" authorId="0" shapeId="0" xr:uid="{00000000-0006-0000-0800-00002D000000}">
      <text>
        <r>
          <rPr>
            <sz val="10"/>
            <rFont val="Arial"/>
            <family val="2"/>
          </rPr>
          <t>Editar notas del mes.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900-000001000000}">
      <text>
        <r>
          <rPr>
            <sz val="10"/>
            <rFont val="Arial"/>
            <family val="2"/>
          </rPr>
          <t xml:space="preserve">Editar festivos con una </t>
        </r>
        <r>
          <rPr>
            <b/>
            <sz val="10"/>
            <rFont val="Arial"/>
            <family val="2"/>
          </rPr>
          <t>X</t>
        </r>
        <r>
          <rPr>
            <sz val="10"/>
            <rFont val="Arial"/>
            <family val="2"/>
          </rPr>
          <t xml:space="preserve"> mayúscula.</t>
        </r>
      </text>
    </comment>
    <comment ref="AH6" authorId="0" shapeId="0" xr:uid="{00000000-0006-0000-0900-000002000000}">
      <text>
        <r>
          <rPr>
            <sz val="10"/>
            <rFont val="Arial"/>
            <family val="2"/>
          </rPr>
          <t xml:space="preserve">Editar con una </t>
        </r>
        <r>
          <rPr>
            <b/>
            <sz val="10"/>
            <rFont val="Arial"/>
            <family val="2"/>
          </rPr>
          <t>X</t>
        </r>
        <r>
          <rPr>
            <sz val="10"/>
            <rFont val="Arial"/>
            <family val="2"/>
          </rPr>
          <t xml:space="preserve"> el día festivo. Marca la casilla si el día 1 del siguiente mes es festivo.</t>
        </r>
      </text>
    </comment>
    <comment ref="B7" authorId="0" shapeId="0" xr:uid="{00000000-0006-0000-0900-000003000000}">
      <text>
        <r>
          <rPr>
            <sz val="10"/>
            <rFont val="Arial"/>
            <family val="2"/>
          </rPr>
          <t>Días festivos con fondo en color.</t>
        </r>
      </text>
    </comment>
    <comment ref="AH8" authorId="0" shapeId="0" xr:uid="{00000000-0006-0000-0900-000004000000}">
      <text>
        <r>
          <rPr>
            <sz val="10"/>
            <rFont val="Arial"/>
            <family val="2"/>
          </rPr>
          <t>Horas totales.</t>
        </r>
      </text>
    </comment>
    <comment ref="AI8" authorId="0" shapeId="0" xr:uid="{00000000-0006-0000-0900-000005000000}">
      <text>
        <r>
          <rPr>
            <sz val="10"/>
            <rFont val="Arial"/>
            <family val="2"/>
          </rPr>
          <t>Horas extras.</t>
        </r>
      </text>
    </comment>
    <comment ref="AJ8" authorId="0" shapeId="0" xr:uid="{00000000-0006-0000-0900-000006000000}">
      <text>
        <r>
          <rPr>
            <sz val="10"/>
            <rFont val="Arial"/>
            <family val="2"/>
          </rPr>
          <t>Horas festivas.</t>
        </r>
      </text>
    </comment>
    <comment ref="AK8" authorId="0" shapeId="0" xr:uid="{00000000-0006-0000-0900-000007000000}">
      <text>
        <r>
          <rPr>
            <sz val="10"/>
            <rFont val="Arial"/>
            <family val="2"/>
          </rPr>
          <t>Horas nocturnas.</t>
        </r>
      </text>
    </comment>
    <comment ref="AL8" authorId="0" shapeId="0" xr:uid="{00000000-0006-0000-0900-000008000000}">
      <text>
        <r>
          <rPr>
            <sz val="10"/>
            <rFont val="Arial"/>
            <family val="2"/>
          </rPr>
          <t>Suma días vacaciones.</t>
        </r>
      </text>
    </comment>
    <comment ref="B21" authorId="0" shapeId="0" xr:uid="{00000000-0006-0000-0900-000009000000}">
      <text>
        <r>
          <rPr>
            <sz val="10"/>
            <rFont val="Arial"/>
            <family val="2"/>
          </rPr>
          <t>Sumas de horas por día.</t>
        </r>
      </text>
    </comment>
    <comment ref="C32" authorId="0" shapeId="0" xr:uid="{00000000-0006-0000-0900-00000A000000}">
      <text>
        <r>
          <rPr>
            <sz val="10"/>
            <rFont val="Arial"/>
            <family val="2"/>
          </rPr>
          <t>Editar el nombre de la empresa de seguridad.</t>
        </r>
      </text>
    </comment>
    <comment ref="R32" authorId="0" shapeId="0" xr:uid="{00000000-0006-0000-0900-00000B000000}">
      <text>
        <r>
          <rPr>
            <sz val="10"/>
            <rFont val="Arial"/>
            <family val="2"/>
          </rPr>
          <t>Editar turno</t>
        </r>
      </text>
    </comment>
    <comment ref="S32" authorId="0" shapeId="0" xr:uid="{00000000-0006-0000-0900-00000C000000}">
      <text>
        <r>
          <rPr>
            <sz val="10"/>
            <rFont val="Arial"/>
            <family val="2"/>
          </rPr>
          <t>Hora de entrada</t>
        </r>
      </text>
    </comment>
    <comment ref="V32" authorId="0" shapeId="0" xr:uid="{00000000-0006-0000-0900-00000D000000}">
      <text>
        <r>
          <rPr>
            <sz val="10"/>
            <rFont val="Arial"/>
            <family val="2"/>
          </rPr>
          <t>Hora de salida</t>
        </r>
      </text>
    </comment>
    <comment ref="AH32" authorId="0" shapeId="0" xr:uid="{00000000-0006-0000-0900-00000E000000}">
      <text>
        <r>
          <rPr>
            <sz val="10"/>
            <rFont val="Arial"/>
            <family val="2"/>
          </rPr>
          <t>Editar decimales</t>
        </r>
      </text>
    </comment>
    <comment ref="C33" authorId="0" shapeId="0" xr:uid="{00000000-0006-0000-0900-00000F000000}">
      <text>
        <r>
          <rPr>
            <sz val="10"/>
            <rFont val="Arial"/>
            <family val="2"/>
          </rPr>
          <t>Editar el nombre del centro de trabajo.</t>
        </r>
      </text>
    </comment>
    <comment ref="R33" authorId="0" shapeId="0" xr:uid="{00000000-0006-0000-0900-000010000000}">
      <text>
        <r>
          <rPr>
            <sz val="10"/>
            <rFont val="Arial"/>
            <family val="2"/>
          </rPr>
          <t>Editar turno</t>
        </r>
      </text>
    </comment>
    <comment ref="S33" authorId="0" shapeId="0" xr:uid="{00000000-0006-0000-0900-000011000000}">
      <text>
        <r>
          <rPr>
            <sz val="10"/>
            <rFont val="Arial"/>
            <family val="2"/>
          </rPr>
          <t>Hora de entrada</t>
        </r>
      </text>
    </comment>
    <comment ref="V33" authorId="0" shapeId="0" xr:uid="{00000000-0006-0000-0900-000012000000}">
      <text>
        <r>
          <rPr>
            <sz val="10"/>
            <rFont val="Arial"/>
            <family val="2"/>
          </rPr>
          <t>Hora de salida</t>
        </r>
      </text>
    </comment>
    <comment ref="C34" authorId="0" shapeId="0" xr:uid="{00000000-0006-0000-0900-000013000000}">
      <text>
        <r>
          <rPr>
            <sz val="10"/>
            <rFont val="Arial"/>
            <family val="2"/>
          </rPr>
          <t>Editar el año.</t>
        </r>
      </text>
    </comment>
    <comment ref="R34" authorId="0" shapeId="0" xr:uid="{00000000-0006-0000-0900-000014000000}">
      <text>
        <r>
          <rPr>
            <sz val="10"/>
            <rFont val="Arial"/>
            <family val="2"/>
          </rPr>
          <t>Editar turno</t>
        </r>
      </text>
    </comment>
    <comment ref="S34" authorId="0" shapeId="0" xr:uid="{00000000-0006-0000-0900-000015000000}">
      <text>
        <r>
          <rPr>
            <sz val="10"/>
            <rFont val="Arial"/>
            <family val="2"/>
          </rPr>
          <t>Hora de entrada</t>
        </r>
      </text>
    </comment>
    <comment ref="V34" authorId="0" shapeId="0" xr:uid="{00000000-0006-0000-0900-000016000000}">
      <text>
        <r>
          <rPr>
            <sz val="10"/>
            <rFont val="Arial"/>
            <family val="2"/>
          </rPr>
          <t>Hora de salida</t>
        </r>
      </text>
    </comment>
    <comment ref="C35" authorId="0" shapeId="0" xr:uid="{00000000-0006-0000-0900-000017000000}">
      <text>
        <r>
          <rPr>
            <sz val="10"/>
            <rFont val="Arial"/>
            <family val="2"/>
          </rPr>
          <t>Editar el mes en número.</t>
        </r>
      </text>
    </comment>
    <comment ref="R35" authorId="0" shapeId="0" xr:uid="{00000000-0006-0000-0900-000018000000}">
      <text>
        <r>
          <rPr>
            <sz val="10"/>
            <rFont val="Arial"/>
            <family val="2"/>
          </rPr>
          <t>Editar turno</t>
        </r>
      </text>
    </comment>
    <comment ref="S35" authorId="0" shapeId="0" xr:uid="{00000000-0006-0000-0900-000019000000}">
      <text>
        <r>
          <rPr>
            <sz val="10"/>
            <rFont val="Arial"/>
            <family val="2"/>
          </rPr>
          <t>Hora de entrada</t>
        </r>
      </text>
    </comment>
    <comment ref="V35" authorId="0" shapeId="0" xr:uid="{00000000-0006-0000-0900-00001A000000}">
      <text>
        <r>
          <rPr>
            <sz val="10"/>
            <rFont val="Arial"/>
            <family val="2"/>
          </rPr>
          <t>Hora de salida</t>
        </r>
      </text>
    </comment>
    <comment ref="C36" authorId="0" shapeId="0" xr:uid="{00000000-0006-0000-0900-00001B000000}">
      <text>
        <r>
          <rPr>
            <sz val="10"/>
            <rFont val="Arial"/>
            <family val="2"/>
          </rPr>
          <t>Editar el valor del día de vacaciones (</t>
        </r>
        <r>
          <rPr>
            <b/>
            <sz val="10"/>
            <rFont val="Arial"/>
            <family val="2"/>
          </rPr>
          <t>V</t>
        </r>
        <r>
          <rPr>
            <sz val="10"/>
            <rFont val="Arial"/>
            <family val="2"/>
          </rPr>
          <t>), dejarlo en blanco si no queremos sumar las horas.</t>
        </r>
      </text>
    </comment>
    <comment ref="R36" authorId="0" shapeId="0" xr:uid="{00000000-0006-0000-0900-00001C000000}">
      <text>
        <r>
          <rPr>
            <sz val="10"/>
            <rFont val="Arial"/>
            <family val="2"/>
          </rPr>
          <t>Editar turno</t>
        </r>
      </text>
    </comment>
    <comment ref="S36" authorId="0" shapeId="0" xr:uid="{00000000-0006-0000-0900-00001D000000}">
      <text>
        <r>
          <rPr>
            <sz val="10"/>
            <rFont val="Arial"/>
            <family val="2"/>
          </rPr>
          <t>Hora de entrada</t>
        </r>
      </text>
    </comment>
    <comment ref="V36" authorId="0" shapeId="0" xr:uid="{00000000-0006-0000-0900-00001E000000}">
      <text>
        <r>
          <rPr>
            <sz val="10"/>
            <rFont val="Arial"/>
            <family val="2"/>
          </rPr>
          <t>Hora de salida</t>
        </r>
      </text>
    </comment>
    <comment ref="C37" authorId="0" shapeId="0" xr:uid="{00000000-0006-0000-0900-00001F000000}">
      <text>
        <r>
          <rPr>
            <sz val="10"/>
            <rFont val="Arial"/>
            <family val="2"/>
          </rPr>
          <t>Editar la jornada minina en horas.</t>
        </r>
      </text>
    </comment>
    <comment ref="R37" authorId="0" shapeId="0" xr:uid="{00000000-0006-0000-0900-000020000000}">
      <text>
        <r>
          <rPr>
            <sz val="10"/>
            <rFont val="Arial"/>
            <family val="2"/>
          </rPr>
          <t>Editar turno</t>
        </r>
      </text>
    </comment>
    <comment ref="S37" authorId="0" shapeId="0" xr:uid="{00000000-0006-0000-0900-000021000000}">
      <text>
        <r>
          <rPr>
            <sz val="10"/>
            <rFont val="Arial"/>
            <family val="2"/>
          </rPr>
          <t>Hora de entrada</t>
        </r>
      </text>
    </comment>
    <comment ref="V37" authorId="0" shapeId="0" xr:uid="{00000000-0006-0000-0900-000022000000}">
      <text>
        <r>
          <rPr>
            <sz val="10"/>
            <rFont val="Arial"/>
            <family val="2"/>
          </rPr>
          <t>Hora de salida</t>
        </r>
      </text>
    </comment>
    <comment ref="C38" authorId="0" shapeId="0" xr:uid="{00000000-0006-0000-0900-000023000000}">
      <text>
        <r>
          <rPr>
            <sz val="10"/>
            <rFont val="Arial"/>
            <family val="2"/>
          </rPr>
          <t>Editar el valor en horas del permiso retribuido (</t>
        </r>
        <r>
          <rPr>
            <b/>
            <sz val="10"/>
            <rFont val="Arial"/>
            <family val="2"/>
          </rPr>
          <t>PR</t>
        </r>
        <r>
          <rPr>
            <sz val="10"/>
            <rFont val="Arial"/>
            <family val="2"/>
          </rPr>
          <t>), dejarlo en blanco si no queremos sumar las horas.</t>
        </r>
      </text>
    </comment>
    <comment ref="R38" authorId="0" shapeId="0" xr:uid="{00000000-0006-0000-0900-000024000000}">
      <text>
        <r>
          <rPr>
            <sz val="10"/>
            <rFont val="Arial"/>
            <family val="2"/>
          </rPr>
          <t>Editar turno</t>
        </r>
      </text>
    </comment>
    <comment ref="S38" authorId="0" shapeId="0" xr:uid="{00000000-0006-0000-0900-000025000000}">
      <text>
        <r>
          <rPr>
            <sz val="10"/>
            <rFont val="Arial"/>
            <family val="2"/>
          </rPr>
          <t>Hora de entrada</t>
        </r>
      </text>
    </comment>
    <comment ref="V38" authorId="0" shapeId="0" xr:uid="{00000000-0006-0000-0900-000026000000}">
      <text>
        <r>
          <rPr>
            <sz val="10"/>
            <rFont val="Arial"/>
            <family val="2"/>
          </rPr>
          <t>Hora de salida</t>
        </r>
      </text>
    </comment>
    <comment ref="R39" authorId="0" shapeId="0" xr:uid="{00000000-0006-0000-0900-000027000000}">
      <text>
        <r>
          <rPr>
            <sz val="10"/>
            <rFont val="Arial"/>
            <family val="2"/>
          </rPr>
          <t>Editar turno</t>
        </r>
      </text>
    </comment>
    <comment ref="S39" authorId="0" shapeId="0" xr:uid="{00000000-0006-0000-0900-000028000000}">
      <text>
        <r>
          <rPr>
            <sz val="10"/>
            <rFont val="Arial"/>
            <family val="2"/>
          </rPr>
          <t>Hora de entrada</t>
        </r>
      </text>
    </comment>
    <comment ref="V39" authorId="0" shapeId="0" xr:uid="{00000000-0006-0000-0900-000029000000}">
      <text>
        <r>
          <rPr>
            <sz val="10"/>
            <rFont val="Arial"/>
            <family val="2"/>
          </rPr>
          <t>Hora de salida</t>
        </r>
      </text>
    </comment>
    <comment ref="R40" authorId="0" shapeId="0" xr:uid="{00000000-0006-0000-0900-00002A000000}">
      <text>
        <r>
          <rPr>
            <sz val="10"/>
            <rFont val="Arial"/>
            <family val="2"/>
          </rPr>
          <t>Editar turno</t>
        </r>
      </text>
    </comment>
    <comment ref="S40" authorId="0" shapeId="0" xr:uid="{00000000-0006-0000-0900-00002B000000}">
      <text>
        <r>
          <rPr>
            <sz val="10"/>
            <rFont val="Arial"/>
            <family val="2"/>
          </rPr>
          <t>Hora de entrada</t>
        </r>
      </text>
    </comment>
    <comment ref="V40" authorId="0" shapeId="0" xr:uid="{00000000-0006-0000-0900-00002C000000}">
      <text>
        <r>
          <rPr>
            <sz val="10"/>
            <rFont val="Arial"/>
            <family val="2"/>
          </rPr>
          <t>Hora de salida</t>
        </r>
      </text>
    </comment>
    <comment ref="E43" authorId="0" shapeId="0" xr:uid="{00000000-0006-0000-0900-00002D000000}">
      <text>
        <r>
          <rPr>
            <sz val="10"/>
            <rFont val="Arial"/>
            <family val="2"/>
          </rPr>
          <t>Editar notas del mes.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A00-000001000000}">
      <text>
        <r>
          <rPr>
            <sz val="10"/>
            <rFont val="Arial"/>
            <family val="2"/>
          </rPr>
          <t xml:space="preserve">Editar festivos con una </t>
        </r>
        <r>
          <rPr>
            <b/>
            <sz val="10"/>
            <rFont val="Arial"/>
            <family val="2"/>
          </rPr>
          <t>X</t>
        </r>
        <r>
          <rPr>
            <sz val="10"/>
            <rFont val="Arial"/>
            <family val="2"/>
          </rPr>
          <t xml:space="preserve"> mayúscula.</t>
        </r>
      </text>
    </comment>
    <comment ref="AH6" authorId="0" shapeId="0" xr:uid="{00000000-0006-0000-0A00-000002000000}">
      <text>
        <r>
          <rPr>
            <sz val="10"/>
            <rFont val="Arial"/>
            <family val="2"/>
          </rPr>
          <t xml:space="preserve">Editar con una </t>
        </r>
        <r>
          <rPr>
            <b/>
            <sz val="10"/>
            <rFont val="Arial"/>
            <family val="2"/>
          </rPr>
          <t>X</t>
        </r>
        <r>
          <rPr>
            <sz val="10"/>
            <rFont val="Arial"/>
            <family val="2"/>
          </rPr>
          <t xml:space="preserve"> el día festivo. Marca la casilla si el día 1 del siguiente mes es festivo.</t>
        </r>
      </text>
    </comment>
    <comment ref="B7" authorId="0" shapeId="0" xr:uid="{00000000-0006-0000-0A00-000003000000}">
      <text>
        <r>
          <rPr>
            <sz val="10"/>
            <rFont val="Arial"/>
            <family val="2"/>
          </rPr>
          <t>Días festivos con fondo en color.</t>
        </r>
      </text>
    </comment>
    <comment ref="AH8" authorId="0" shapeId="0" xr:uid="{00000000-0006-0000-0A00-000004000000}">
      <text>
        <r>
          <rPr>
            <sz val="10"/>
            <rFont val="Arial"/>
            <family val="2"/>
          </rPr>
          <t>Horas totales.</t>
        </r>
      </text>
    </comment>
    <comment ref="AI8" authorId="0" shapeId="0" xr:uid="{00000000-0006-0000-0A00-000005000000}">
      <text>
        <r>
          <rPr>
            <sz val="10"/>
            <rFont val="Arial"/>
            <family val="2"/>
          </rPr>
          <t>Horas extras.</t>
        </r>
      </text>
    </comment>
    <comment ref="AJ8" authorId="0" shapeId="0" xr:uid="{00000000-0006-0000-0A00-000006000000}">
      <text>
        <r>
          <rPr>
            <sz val="10"/>
            <rFont val="Arial"/>
            <family val="2"/>
          </rPr>
          <t>Horas festivas.</t>
        </r>
      </text>
    </comment>
    <comment ref="AK8" authorId="0" shapeId="0" xr:uid="{00000000-0006-0000-0A00-000007000000}">
      <text>
        <r>
          <rPr>
            <sz val="10"/>
            <rFont val="Arial"/>
            <family val="2"/>
          </rPr>
          <t>Horas nocturnas.</t>
        </r>
      </text>
    </comment>
    <comment ref="AL8" authorId="0" shapeId="0" xr:uid="{00000000-0006-0000-0A00-000008000000}">
      <text>
        <r>
          <rPr>
            <sz val="10"/>
            <rFont val="Arial"/>
            <family val="2"/>
          </rPr>
          <t>Suma días vacaciones.</t>
        </r>
      </text>
    </comment>
    <comment ref="B21" authorId="0" shapeId="0" xr:uid="{00000000-0006-0000-0A00-000009000000}">
      <text>
        <r>
          <rPr>
            <sz val="10"/>
            <rFont val="Arial"/>
            <family val="2"/>
          </rPr>
          <t>Sumas de horas por día.</t>
        </r>
      </text>
    </comment>
    <comment ref="C32" authorId="0" shapeId="0" xr:uid="{00000000-0006-0000-0A00-00000A000000}">
      <text>
        <r>
          <rPr>
            <sz val="10"/>
            <rFont val="Arial"/>
            <family val="2"/>
          </rPr>
          <t>Editar el nombre de la empresa de seguridad.</t>
        </r>
      </text>
    </comment>
    <comment ref="R32" authorId="0" shapeId="0" xr:uid="{00000000-0006-0000-0A00-00000B000000}">
      <text>
        <r>
          <rPr>
            <sz val="10"/>
            <rFont val="Arial"/>
            <family val="2"/>
          </rPr>
          <t>Editar turno</t>
        </r>
      </text>
    </comment>
    <comment ref="S32" authorId="0" shapeId="0" xr:uid="{00000000-0006-0000-0A00-00000C000000}">
      <text>
        <r>
          <rPr>
            <sz val="10"/>
            <rFont val="Arial"/>
            <family val="2"/>
          </rPr>
          <t>Hora de entrada</t>
        </r>
      </text>
    </comment>
    <comment ref="V32" authorId="0" shapeId="0" xr:uid="{00000000-0006-0000-0A00-00000D000000}">
      <text>
        <r>
          <rPr>
            <sz val="10"/>
            <rFont val="Arial"/>
            <family val="2"/>
          </rPr>
          <t>Hora de salida</t>
        </r>
      </text>
    </comment>
    <comment ref="AH32" authorId="0" shapeId="0" xr:uid="{00000000-0006-0000-0A00-00000E000000}">
      <text>
        <r>
          <rPr>
            <sz val="10"/>
            <rFont val="Arial"/>
            <family val="2"/>
          </rPr>
          <t>Editar decimales</t>
        </r>
      </text>
    </comment>
    <comment ref="C33" authorId="0" shapeId="0" xr:uid="{00000000-0006-0000-0A00-00000F000000}">
      <text>
        <r>
          <rPr>
            <sz val="10"/>
            <rFont val="Arial"/>
            <family val="2"/>
          </rPr>
          <t>Editar el nombre del centro de trabajo.</t>
        </r>
      </text>
    </comment>
    <comment ref="R33" authorId="0" shapeId="0" xr:uid="{00000000-0006-0000-0A00-000010000000}">
      <text>
        <r>
          <rPr>
            <sz val="10"/>
            <rFont val="Arial"/>
            <family val="2"/>
          </rPr>
          <t>Editar turno</t>
        </r>
      </text>
    </comment>
    <comment ref="S33" authorId="0" shapeId="0" xr:uid="{00000000-0006-0000-0A00-000011000000}">
      <text>
        <r>
          <rPr>
            <sz val="10"/>
            <rFont val="Arial"/>
            <family val="2"/>
          </rPr>
          <t>Hora de entrada</t>
        </r>
      </text>
    </comment>
    <comment ref="V33" authorId="0" shapeId="0" xr:uid="{00000000-0006-0000-0A00-000012000000}">
      <text>
        <r>
          <rPr>
            <sz val="10"/>
            <rFont val="Arial"/>
            <family val="2"/>
          </rPr>
          <t>Hora de salida</t>
        </r>
      </text>
    </comment>
    <comment ref="C34" authorId="0" shapeId="0" xr:uid="{00000000-0006-0000-0A00-000013000000}">
      <text>
        <r>
          <rPr>
            <sz val="10"/>
            <rFont val="Arial"/>
            <family val="2"/>
          </rPr>
          <t>Editar el año.</t>
        </r>
      </text>
    </comment>
    <comment ref="R34" authorId="0" shapeId="0" xr:uid="{00000000-0006-0000-0A00-000014000000}">
      <text>
        <r>
          <rPr>
            <sz val="10"/>
            <rFont val="Arial"/>
            <family val="2"/>
          </rPr>
          <t>Editar turno</t>
        </r>
      </text>
    </comment>
    <comment ref="S34" authorId="0" shapeId="0" xr:uid="{00000000-0006-0000-0A00-000015000000}">
      <text>
        <r>
          <rPr>
            <sz val="10"/>
            <rFont val="Arial"/>
            <family val="2"/>
          </rPr>
          <t>Hora de entrada</t>
        </r>
      </text>
    </comment>
    <comment ref="V34" authorId="0" shapeId="0" xr:uid="{00000000-0006-0000-0A00-000016000000}">
      <text>
        <r>
          <rPr>
            <sz val="10"/>
            <rFont val="Arial"/>
            <family val="2"/>
          </rPr>
          <t>Hora de salida</t>
        </r>
      </text>
    </comment>
    <comment ref="C35" authorId="0" shapeId="0" xr:uid="{00000000-0006-0000-0A00-000017000000}">
      <text>
        <r>
          <rPr>
            <sz val="10"/>
            <rFont val="Arial"/>
            <family val="2"/>
          </rPr>
          <t>Editar el mes en número.</t>
        </r>
      </text>
    </comment>
    <comment ref="R35" authorId="0" shapeId="0" xr:uid="{00000000-0006-0000-0A00-000018000000}">
      <text>
        <r>
          <rPr>
            <sz val="10"/>
            <rFont val="Arial"/>
            <family val="2"/>
          </rPr>
          <t>Editar turno</t>
        </r>
      </text>
    </comment>
    <comment ref="S35" authorId="0" shapeId="0" xr:uid="{00000000-0006-0000-0A00-000019000000}">
      <text>
        <r>
          <rPr>
            <sz val="10"/>
            <rFont val="Arial"/>
            <family val="2"/>
          </rPr>
          <t>Hora de entrada</t>
        </r>
      </text>
    </comment>
    <comment ref="V35" authorId="0" shapeId="0" xr:uid="{00000000-0006-0000-0A00-00001A000000}">
      <text>
        <r>
          <rPr>
            <sz val="10"/>
            <rFont val="Arial"/>
            <family val="2"/>
          </rPr>
          <t>Hora de salida</t>
        </r>
      </text>
    </comment>
    <comment ref="C36" authorId="0" shapeId="0" xr:uid="{00000000-0006-0000-0A00-00001B000000}">
      <text>
        <r>
          <rPr>
            <sz val="10"/>
            <rFont val="Arial"/>
            <family val="2"/>
          </rPr>
          <t>Editar el valor del día de vacaciones (</t>
        </r>
        <r>
          <rPr>
            <b/>
            <sz val="10"/>
            <rFont val="Arial"/>
            <family val="2"/>
          </rPr>
          <t>V</t>
        </r>
        <r>
          <rPr>
            <sz val="10"/>
            <rFont val="Arial"/>
            <family val="2"/>
          </rPr>
          <t>), dejarlo en blanco si no queremos sumar las horas.</t>
        </r>
      </text>
    </comment>
    <comment ref="R36" authorId="0" shapeId="0" xr:uid="{00000000-0006-0000-0A00-00001C000000}">
      <text>
        <r>
          <rPr>
            <sz val="10"/>
            <rFont val="Arial"/>
            <family val="2"/>
          </rPr>
          <t>Editar turno</t>
        </r>
      </text>
    </comment>
    <comment ref="S36" authorId="0" shapeId="0" xr:uid="{00000000-0006-0000-0A00-00001D000000}">
      <text>
        <r>
          <rPr>
            <sz val="10"/>
            <rFont val="Arial"/>
            <family val="2"/>
          </rPr>
          <t>Hora de entrada</t>
        </r>
      </text>
    </comment>
    <comment ref="V36" authorId="0" shapeId="0" xr:uid="{00000000-0006-0000-0A00-00001E000000}">
      <text>
        <r>
          <rPr>
            <sz val="10"/>
            <rFont val="Arial"/>
            <family val="2"/>
          </rPr>
          <t>Hora de salida</t>
        </r>
      </text>
    </comment>
    <comment ref="C37" authorId="0" shapeId="0" xr:uid="{00000000-0006-0000-0A00-00001F000000}">
      <text>
        <r>
          <rPr>
            <sz val="10"/>
            <rFont val="Arial"/>
            <family val="2"/>
          </rPr>
          <t>Editar la jornada minina en horas.</t>
        </r>
      </text>
    </comment>
    <comment ref="R37" authorId="0" shapeId="0" xr:uid="{00000000-0006-0000-0A00-000020000000}">
      <text>
        <r>
          <rPr>
            <sz val="10"/>
            <rFont val="Arial"/>
            <family val="2"/>
          </rPr>
          <t>Editar turno</t>
        </r>
      </text>
    </comment>
    <comment ref="S37" authorId="0" shapeId="0" xr:uid="{00000000-0006-0000-0A00-000021000000}">
      <text>
        <r>
          <rPr>
            <sz val="10"/>
            <rFont val="Arial"/>
            <family val="2"/>
          </rPr>
          <t>Hora de entrada</t>
        </r>
      </text>
    </comment>
    <comment ref="V37" authorId="0" shapeId="0" xr:uid="{00000000-0006-0000-0A00-000022000000}">
      <text>
        <r>
          <rPr>
            <sz val="10"/>
            <rFont val="Arial"/>
            <family val="2"/>
          </rPr>
          <t>Hora de salida</t>
        </r>
      </text>
    </comment>
    <comment ref="C38" authorId="0" shapeId="0" xr:uid="{00000000-0006-0000-0A00-000023000000}">
      <text>
        <r>
          <rPr>
            <sz val="10"/>
            <rFont val="Arial"/>
            <family val="2"/>
          </rPr>
          <t>Editar el valor en horas del permiso retribuido (</t>
        </r>
        <r>
          <rPr>
            <b/>
            <sz val="10"/>
            <rFont val="Arial"/>
            <family val="2"/>
          </rPr>
          <t>PR</t>
        </r>
        <r>
          <rPr>
            <sz val="10"/>
            <rFont val="Arial"/>
            <family val="2"/>
          </rPr>
          <t>), dejarlo en blanco si no queremos sumar las horas.</t>
        </r>
      </text>
    </comment>
    <comment ref="R38" authorId="0" shapeId="0" xr:uid="{00000000-0006-0000-0A00-000024000000}">
      <text>
        <r>
          <rPr>
            <sz val="10"/>
            <rFont val="Arial"/>
            <family val="2"/>
          </rPr>
          <t>Editar turno</t>
        </r>
      </text>
    </comment>
    <comment ref="S38" authorId="0" shapeId="0" xr:uid="{00000000-0006-0000-0A00-000025000000}">
      <text>
        <r>
          <rPr>
            <sz val="10"/>
            <rFont val="Arial"/>
            <family val="2"/>
          </rPr>
          <t>Hora de entrada</t>
        </r>
      </text>
    </comment>
    <comment ref="V38" authorId="0" shapeId="0" xr:uid="{00000000-0006-0000-0A00-000026000000}">
      <text>
        <r>
          <rPr>
            <sz val="10"/>
            <rFont val="Arial"/>
            <family val="2"/>
          </rPr>
          <t>Hora de salida</t>
        </r>
      </text>
    </comment>
    <comment ref="R39" authorId="0" shapeId="0" xr:uid="{00000000-0006-0000-0A00-000027000000}">
      <text>
        <r>
          <rPr>
            <sz val="10"/>
            <rFont val="Arial"/>
            <family val="2"/>
          </rPr>
          <t>Editar turno</t>
        </r>
      </text>
    </comment>
    <comment ref="S39" authorId="0" shapeId="0" xr:uid="{00000000-0006-0000-0A00-000028000000}">
      <text>
        <r>
          <rPr>
            <sz val="10"/>
            <rFont val="Arial"/>
            <family val="2"/>
          </rPr>
          <t>Hora de entrada</t>
        </r>
      </text>
    </comment>
    <comment ref="V39" authorId="0" shapeId="0" xr:uid="{00000000-0006-0000-0A00-000029000000}">
      <text>
        <r>
          <rPr>
            <sz val="10"/>
            <rFont val="Arial"/>
            <family val="2"/>
          </rPr>
          <t>Hora de salida</t>
        </r>
      </text>
    </comment>
    <comment ref="R40" authorId="0" shapeId="0" xr:uid="{00000000-0006-0000-0A00-00002A000000}">
      <text>
        <r>
          <rPr>
            <sz val="10"/>
            <rFont val="Arial"/>
            <family val="2"/>
          </rPr>
          <t>Editar turno</t>
        </r>
      </text>
    </comment>
    <comment ref="S40" authorId="0" shapeId="0" xr:uid="{00000000-0006-0000-0A00-00002B000000}">
      <text>
        <r>
          <rPr>
            <sz val="10"/>
            <rFont val="Arial"/>
            <family val="2"/>
          </rPr>
          <t>Hora de entrada</t>
        </r>
      </text>
    </comment>
    <comment ref="V40" authorId="0" shapeId="0" xr:uid="{00000000-0006-0000-0A00-00002C000000}">
      <text>
        <r>
          <rPr>
            <sz val="10"/>
            <rFont val="Arial"/>
            <family val="2"/>
          </rPr>
          <t>Hora de salida</t>
        </r>
      </text>
    </comment>
    <comment ref="E43" authorId="0" shapeId="0" xr:uid="{00000000-0006-0000-0A00-00002D000000}">
      <text>
        <r>
          <rPr>
            <sz val="10"/>
            <rFont val="Arial"/>
            <family val="2"/>
          </rPr>
          <t>Editar notas del mes.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B00-000001000000}">
      <text>
        <r>
          <rPr>
            <sz val="10"/>
            <rFont val="Arial"/>
            <family val="2"/>
          </rPr>
          <t xml:space="preserve">Editar festivos con una </t>
        </r>
        <r>
          <rPr>
            <b/>
            <sz val="10"/>
            <rFont val="Arial"/>
            <family val="2"/>
          </rPr>
          <t>X</t>
        </r>
        <r>
          <rPr>
            <sz val="10"/>
            <rFont val="Arial"/>
            <family val="2"/>
          </rPr>
          <t xml:space="preserve"> mayúscula.</t>
        </r>
      </text>
    </comment>
    <comment ref="AH6" authorId="0" shapeId="0" xr:uid="{00000000-0006-0000-0B00-000002000000}">
      <text>
        <r>
          <rPr>
            <sz val="10"/>
            <rFont val="Arial"/>
            <family val="2"/>
          </rPr>
          <t xml:space="preserve">Editar con una </t>
        </r>
        <r>
          <rPr>
            <b/>
            <sz val="10"/>
            <rFont val="Arial"/>
            <family val="2"/>
          </rPr>
          <t>X</t>
        </r>
        <r>
          <rPr>
            <sz val="10"/>
            <rFont val="Arial"/>
            <family val="2"/>
          </rPr>
          <t xml:space="preserve"> el día festivo. Marca la casilla si el día 1 del siguiente mes es festivo.</t>
        </r>
      </text>
    </comment>
    <comment ref="B7" authorId="0" shapeId="0" xr:uid="{00000000-0006-0000-0B00-000003000000}">
      <text>
        <r>
          <rPr>
            <sz val="10"/>
            <rFont val="Arial"/>
            <family val="2"/>
          </rPr>
          <t>Días festivos con fondo en color.</t>
        </r>
      </text>
    </comment>
    <comment ref="AH8" authorId="0" shapeId="0" xr:uid="{00000000-0006-0000-0B00-000004000000}">
      <text>
        <r>
          <rPr>
            <sz val="10"/>
            <rFont val="Arial"/>
            <family val="2"/>
          </rPr>
          <t>Horas totales.</t>
        </r>
      </text>
    </comment>
    <comment ref="AI8" authorId="0" shapeId="0" xr:uid="{00000000-0006-0000-0B00-000005000000}">
      <text>
        <r>
          <rPr>
            <sz val="10"/>
            <rFont val="Arial"/>
            <family val="2"/>
          </rPr>
          <t>Horas extras.</t>
        </r>
      </text>
    </comment>
    <comment ref="AJ8" authorId="0" shapeId="0" xr:uid="{00000000-0006-0000-0B00-000006000000}">
      <text>
        <r>
          <rPr>
            <sz val="10"/>
            <rFont val="Arial"/>
            <family val="2"/>
          </rPr>
          <t>Horas festivas.</t>
        </r>
      </text>
    </comment>
    <comment ref="AK8" authorId="0" shapeId="0" xr:uid="{00000000-0006-0000-0B00-000007000000}">
      <text>
        <r>
          <rPr>
            <sz val="10"/>
            <rFont val="Arial"/>
            <family val="2"/>
          </rPr>
          <t>Horas nocturnas.</t>
        </r>
      </text>
    </comment>
    <comment ref="AL8" authorId="0" shapeId="0" xr:uid="{00000000-0006-0000-0B00-000008000000}">
      <text>
        <r>
          <rPr>
            <sz val="10"/>
            <rFont val="Arial"/>
            <family val="2"/>
          </rPr>
          <t>Suma días vacaciones.</t>
        </r>
      </text>
    </comment>
    <comment ref="B21" authorId="0" shapeId="0" xr:uid="{00000000-0006-0000-0B00-000009000000}">
      <text>
        <r>
          <rPr>
            <sz val="10"/>
            <rFont val="Arial"/>
            <family val="2"/>
          </rPr>
          <t>Sumas de horas por día.</t>
        </r>
      </text>
    </comment>
    <comment ref="C32" authorId="0" shapeId="0" xr:uid="{00000000-0006-0000-0B00-00000A000000}">
      <text>
        <r>
          <rPr>
            <sz val="10"/>
            <rFont val="Arial"/>
            <family val="2"/>
          </rPr>
          <t>Editar el nombre de la empresa de seguridad.</t>
        </r>
      </text>
    </comment>
    <comment ref="R32" authorId="0" shapeId="0" xr:uid="{00000000-0006-0000-0B00-00000B000000}">
      <text>
        <r>
          <rPr>
            <sz val="10"/>
            <rFont val="Arial"/>
            <family val="2"/>
          </rPr>
          <t>Editar turno</t>
        </r>
      </text>
    </comment>
    <comment ref="S32" authorId="0" shapeId="0" xr:uid="{00000000-0006-0000-0B00-00000C000000}">
      <text>
        <r>
          <rPr>
            <sz val="10"/>
            <rFont val="Arial"/>
            <family val="2"/>
          </rPr>
          <t>Hora de entrada</t>
        </r>
      </text>
    </comment>
    <comment ref="V32" authorId="0" shapeId="0" xr:uid="{00000000-0006-0000-0B00-00000D000000}">
      <text>
        <r>
          <rPr>
            <sz val="10"/>
            <rFont val="Arial"/>
            <family val="2"/>
          </rPr>
          <t>Hora de salida</t>
        </r>
      </text>
    </comment>
    <comment ref="AH32" authorId="0" shapeId="0" xr:uid="{00000000-0006-0000-0B00-00000E000000}">
      <text>
        <r>
          <rPr>
            <sz val="10"/>
            <rFont val="Arial"/>
            <family val="2"/>
          </rPr>
          <t>Editar decimales</t>
        </r>
      </text>
    </comment>
    <comment ref="C33" authorId="0" shapeId="0" xr:uid="{00000000-0006-0000-0B00-00000F000000}">
      <text>
        <r>
          <rPr>
            <sz val="10"/>
            <rFont val="Arial"/>
            <family val="2"/>
          </rPr>
          <t>Editar el nombre del centro de trabajo.</t>
        </r>
      </text>
    </comment>
    <comment ref="R33" authorId="0" shapeId="0" xr:uid="{00000000-0006-0000-0B00-000010000000}">
      <text>
        <r>
          <rPr>
            <sz val="10"/>
            <rFont val="Arial"/>
            <family val="2"/>
          </rPr>
          <t>Editar turno</t>
        </r>
      </text>
    </comment>
    <comment ref="S33" authorId="0" shapeId="0" xr:uid="{00000000-0006-0000-0B00-000011000000}">
      <text>
        <r>
          <rPr>
            <sz val="10"/>
            <rFont val="Arial"/>
            <family val="2"/>
          </rPr>
          <t>Hora de entrada</t>
        </r>
      </text>
    </comment>
    <comment ref="V33" authorId="0" shapeId="0" xr:uid="{00000000-0006-0000-0B00-000012000000}">
      <text>
        <r>
          <rPr>
            <sz val="10"/>
            <rFont val="Arial"/>
            <family val="2"/>
          </rPr>
          <t>Hora de salida</t>
        </r>
      </text>
    </comment>
    <comment ref="C34" authorId="0" shapeId="0" xr:uid="{00000000-0006-0000-0B00-000013000000}">
      <text>
        <r>
          <rPr>
            <sz val="10"/>
            <rFont val="Arial"/>
            <family val="2"/>
          </rPr>
          <t>Editar el año.</t>
        </r>
      </text>
    </comment>
    <comment ref="R34" authorId="0" shapeId="0" xr:uid="{00000000-0006-0000-0B00-000014000000}">
      <text>
        <r>
          <rPr>
            <sz val="10"/>
            <rFont val="Arial"/>
            <family val="2"/>
          </rPr>
          <t>Editar turno</t>
        </r>
      </text>
    </comment>
    <comment ref="S34" authorId="0" shapeId="0" xr:uid="{00000000-0006-0000-0B00-000015000000}">
      <text>
        <r>
          <rPr>
            <sz val="10"/>
            <rFont val="Arial"/>
            <family val="2"/>
          </rPr>
          <t>Hora de entrada</t>
        </r>
      </text>
    </comment>
    <comment ref="V34" authorId="0" shapeId="0" xr:uid="{00000000-0006-0000-0B00-000016000000}">
      <text>
        <r>
          <rPr>
            <sz val="10"/>
            <rFont val="Arial"/>
            <family val="2"/>
          </rPr>
          <t>Hora de salida</t>
        </r>
      </text>
    </comment>
    <comment ref="C35" authorId="0" shapeId="0" xr:uid="{00000000-0006-0000-0B00-000017000000}">
      <text>
        <r>
          <rPr>
            <sz val="10"/>
            <rFont val="Arial"/>
            <family val="2"/>
          </rPr>
          <t>Editar el mes en número.</t>
        </r>
      </text>
    </comment>
    <comment ref="R35" authorId="0" shapeId="0" xr:uid="{00000000-0006-0000-0B00-000018000000}">
      <text>
        <r>
          <rPr>
            <sz val="10"/>
            <rFont val="Arial"/>
            <family val="2"/>
          </rPr>
          <t>Editar turno</t>
        </r>
      </text>
    </comment>
    <comment ref="S35" authorId="0" shapeId="0" xr:uid="{00000000-0006-0000-0B00-000019000000}">
      <text>
        <r>
          <rPr>
            <sz val="10"/>
            <rFont val="Arial"/>
            <family val="2"/>
          </rPr>
          <t>Hora de entrada</t>
        </r>
      </text>
    </comment>
    <comment ref="V35" authorId="0" shapeId="0" xr:uid="{00000000-0006-0000-0B00-00001A000000}">
      <text>
        <r>
          <rPr>
            <sz val="10"/>
            <rFont val="Arial"/>
            <family val="2"/>
          </rPr>
          <t>Hora de salida</t>
        </r>
      </text>
    </comment>
    <comment ref="C36" authorId="0" shapeId="0" xr:uid="{00000000-0006-0000-0B00-00001B000000}">
      <text>
        <r>
          <rPr>
            <sz val="10"/>
            <rFont val="Arial"/>
            <family val="2"/>
          </rPr>
          <t>Editar el valor del día de vacaciones (</t>
        </r>
        <r>
          <rPr>
            <b/>
            <sz val="10"/>
            <rFont val="Arial"/>
            <family val="2"/>
          </rPr>
          <t>V</t>
        </r>
        <r>
          <rPr>
            <sz val="10"/>
            <rFont val="Arial"/>
            <family val="2"/>
          </rPr>
          <t>), dejarlo en blanco si no queremos sumar las horas.</t>
        </r>
      </text>
    </comment>
    <comment ref="R36" authorId="0" shapeId="0" xr:uid="{00000000-0006-0000-0B00-00001C000000}">
      <text>
        <r>
          <rPr>
            <sz val="10"/>
            <rFont val="Arial"/>
            <family val="2"/>
          </rPr>
          <t>Editar turno</t>
        </r>
      </text>
    </comment>
    <comment ref="S36" authorId="0" shapeId="0" xr:uid="{00000000-0006-0000-0B00-00001D000000}">
      <text>
        <r>
          <rPr>
            <sz val="10"/>
            <rFont val="Arial"/>
            <family val="2"/>
          </rPr>
          <t>Hora de entrada</t>
        </r>
      </text>
    </comment>
    <comment ref="V36" authorId="0" shapeId="0" xr:uid="{00000000-0006-0000-0B00-00001E000000}">
      <text>
        <r>
          <rPr>
            <sz val="10"/>
            <rFont val="Arial"/>
            <family val="2"/>
          </rPr>
          <t>Hora de salida</t>
        </r>
      </text>
    </comment>
    <comment ref="C37" authorId="0" shapeId="0" xr:uid="{00000000-0006-0000-0B00-00001F000000}">
      <text>
        <r>
          <rPr>
            <sz val="10"/>
            <rFont val="Arial"/>
            <family val="2"/>
          </rPr>
          <t>Editar la jornada minina en horas.</t>
        </r>
      </text>
    </comment>
    <comment ref="R37" authorId="0" shapeId="0" xr:uid="{00000000-0006-0000-0B00-000020000000}">
      <text>
        <r>
          <rPr>
            <sz val="10"/>
            <rFont val="Arial"/>
            <family val="2"/>
          </rPr>
          <t>Editar turno</t>
        </r>
      </text>
    </comment>
    <comment ref="S37" authorId="0" shapeId="0" xr:uid="{00000000-0006-0000-0B00-000021000000}">
      <text>
        <r>
          <rPr>
            <sz val="10"/>
            <rFont val="Arial"/>
            <family val="2"/>
          </rPr>
          <t>Hora de entrada</t>
        </r>
      </text>
    </comment>
    <comment ref="V37" authorId="0" shapeId="0" xr:uid="{00000000-0006-0000-0B00-000022000000}">
      <text>
        <r>
          <rPr>
            <sz val="10"/>
            <rFont val="Arial"/>
            <family val="2"/>
          </rPr>
          <t>Hora de salida</t>
        </r>
      </text>
    </comment>
    <comment ref="C38" authorId="0" shapeId="0" xr:uid="{00000000-0006-0000-0B00-000023000000}">
      <text>
        <r>
          <rPr>
            <sz val="10"/>
            <rFont val="Arial"/>
            <family val="2"/>
          </rPr>
          <t>Editar el valor en horas del permiso retribuido (</t>
        </r>
        <r>
          <rPr>
            <b/>
            <sz val="10"/>
            <rFont val="Arial"/>
            <family val="2"/>
          </rPr>
          <t>PR</t>
        </r>
        <r>
          <rPr>
            <sz val="10"/>
            <rFont val="Arial"/>
            <family val="2"/>
          </rPr>
          <t>), dejarlo en blanco si no queremos sumar las horas.</t>
        </r>
      </text>
    </comment>
    <comment ref="R38" authorId="0" shapeId="0" xr:uid="{00000000-0006-0000-0B00-000024000000}">
      <text>
        <r>
          <rPr>
            <sz val="10"/>
            <rFont val="Arial"/>
            <family val="2"/>
          </rPr>
          <t>Editar turno</t>
        </r>
      </text>
    </comment>
    <comment ref="S38" authorId="0" shapeId="0" xr:uid="{00000000-0006-0000-0B00-000025000000}">
      <text>
        <r>
          <rPr>
            <sz val="10"/>
            <rFont val="Arial"/>
            <family val="2"/>
          </rPr>
          <t>Hora de entrada</t>
        </r>
      </text>
    </comment>
    <comment ref="V38" authorId="0" shapeId="0" xr:uid="{00000000-0006-0000-0B00-000026000000}">
      <text>
        <r>
          <rPr>
            <sz val="10"/>
            <rFont val="Arial"/>
            <family val="2"/>
          </rPr>
          <t>Hora de salida</t>
        </r>
      </text>
    </comment>
    <comment ref="R39" authorId="0" shapeId="0" xr:uid="{00000000-0006-0000-0B00-000027000000}">
      <text>
        <r>
          <rPr>
            <sz val="10"/>
            <rFont val="Arial"/>
            <family val="2"/>
          </rPr>
          <t>Editar turno</t>
        </r>
      </text>
    </comment>
    <comment ref="S39" authorId="0" shapeId="0" xr:uid="{00000000-0006-0000-0B00-000028000000}">
      <text>
        <r>
          <rPr>
            <sz val="10"/>
            <rFont val="Arial"/>
            <family val="2"/>
          </rPr>
          <t>Hora de entrada</t>
        </r>
      </text>
    </comment>
    <comment ref="V39" authorId="0" shapeId="0" xr:uid="{00000000-0006-0000-0B00-000029000000}">
      <text>
        <r>
          <rPr>
            <sz val="10"/>
            <rFont val="Arial"/>
            <family val="2"/>
          </rPr>
          <t>Hora de salida</t>
        </r>
      </text>
    </comment>
    <comment ref="R40" authorId="0" shapeId="0" xr:uid="{00000000-0006-0000-0B00-00002A000000}">
      <text>
        <r>
          <rPr>
            <sz val="10"/>
            <rFont val="Arial"/>
            <family val="2"/>
          </rPr>
          <t>Editar turno</t>
        </r>
      </text>
    </comment>
    <comment ref="S40" authorId="0" shapeId="0" xr:uid="{00000000-0006-0000-0B00-00002B000000}">
      <text>
        <r>
          <rPr>
            <sz val="10"/>
            <rFont val="Arial"/>
            <family val="2"/>
          </rPr>
          <t>Hora de entrada</t>
        </r>
      </text>
    </comment>
    <comment ref="V40" authorId="0" shapeId="0" xr:uid="{00000000-0006-0000-0B00-00002C000000}">
      <text>
        <r>
          <rPr>
            <sz val="10"/>
            <rFont val="Arial"/>
            <family val="2"/>
          </rPr>
          <t>Hora de salida</t>
        </r>
      </text>
    </comment>
    <comment ref="E43" authorId="0" shapeId="0" xr:uid="{00000000-0006-0000-0B00-00002D000000}">
      <text>
        <r>
          <rPr>
            <sz val="10"/>
            <rFont val="Arial"/>
            <family val="2"/>
          </rPr>
          <t>Editar notas del mes.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9" authorId="0" shapeId="0" xr:uid="{00000000-0006-0000-0C00-000001000000}">
      <text>
        <r>
          <rPr>
            <sz val="10"/>
            <rFont val="Arial"/>
            <family val="2"/>
          </rPr>
          <t>Editar nombre</t>
        </r>
      </text>
    </comment>
    <comment ref="B34" authorId="0" shapeId="0" xr:uid="{00000000-0006-0000-0C00-000002000000}">
      <text>
        <r>
          <rPr>
            <sz val="10"/>
            <rFont val="Arial"/>
            <family val="2"/>
          </rPr>
          <t>Editar nombre empresa</t>
        </r>
      </text>
    </comment>
    <comment ref="F34" authorId="0" shapeId="0" xr:uid="{00000000-0006-0000-0C00-000003000000}">
      <text>
        <r>
          <rPr>
            <sz val="10"/>
            <rFont val="Arial"/>
            <family val="2"/>
          </rPr>
          <t>Editar turno</t>
        </r>
      </text>
    </comment>
    <comment ref="G34" authorId="0" shapeId="0" xr:uid="{00000000-0006-0000-0C00-000004000000}">
      <text>
        <r>
          <rPr>
            <sz val="10"/>
            <rFont val="Arial"/>
            <family val="2"/>
          </rPr>
          <t>Hora de entrada</t>
        </r>
      </text>
    </comment>
    <comment ref="H34" authorId="0" shapeId="0" xr:uid="{00000000-0006-0000-0C00-000005000000}">
      <text>
        <r>
          <rPr>
            <sz val="10"/>
            <rFont val="Arial"/>
            <family val="2"/>
          </rPr>
          <t>Hora salida</t>
        </r>
      </text>
    </comment>
    <comment ref="J34" authorId="0" shapeId="0" xr:uid="{00000000-0006-0000-0C00-000006000000}">
      <text>
        <r>
          <rPr>
            <sz val="10"/>
            <rFont val="Arial"/>
            <family val="2"/>
          </rPr>
          <t>Editar nº VS</t>
        </r>
      </text>
    </comment>
    <comment ref="K34" authorId="0" shapeId="0" xr:uid="{00000000-0006-0000-0C00-000007000000}">
      <text>
        <r>
          <rPr>
            <sz val="10"/>
            <rFont val="Arial"/>
            <family val="2"/>
          </rPr>
          <t>Editar nombre</t>
        </r>
      </text>
    </comment>
    <comment ref="B35" authorId="0" shapeId="0" xr:uid="{00000000-0006-0000-0C00-000008000000}">
      <text>
        <r>
          <rPr>
            <sz val="10"/>
            <rFont val="Arial"/>
            <family val="2"/>
          </rPr>
          <t>Editar centro de trabajo</t>
        </r>
      </text>
    </comment>
    <comment ref="B36" authorId="0" shapeId="0" xr:uid="{00000000-0006-0000-0C00-000009000000}">
      <text>
        <r>
          <rPr>
            <sz val="10"/>
            <rFont val="Arial"/>
            <family val="2"/>
          </rPr>
          <t>Editar año</t>
        </r>
      </text>
    </comment>
  </commentList>
</comments>
</file>

<file path=xl/sharedStrings.xml><?xml version="1.0" encoding="utf-8"?>
<sst xmlns="http://schemas.openxmlformats.org/spreadsheetml/2006/main" count="6821" uniqueCount="183">
  <si>
    <t xml:space="preserve"> h. centro</t>
  </si>
  <si>
    <t>FESTIVO</t>
  </si>
  <si>
    <t>DIA SEM.</t>
  </si>
  <si>
    <t>VIGILANTE Nº</t>
  </si>
  <si>
    <t>EXT</t>
  </si>
  <si>
    <t>FES</t>
  </si>
  <si>
    <t>NOC</t>
  </si>
  <si>
    <t>DV</t>
  </si>
  <si>
    <t>SUMAS</t>
  </si>
  <si>
    <t>TURNOS</t>
  </si>
  <si>
    <t xml:space="preserve">5 &lt; 10 el 5 es menor que 10 </t>
  </si>
  <si>
    <t>A</t>
  </si>
  <si>
    <t>X</t>
  </si>
  <si>
    <t xml:space="preserve">10 &gt; 3 el 10 es mayor que 3 </t>
  </si>
  <si>
    <t>V</t>
  </si>
  <si>
    <t xml:space="preserve">1 &gt; 0 1 es mayor que cero </t>
  </si>
  <si>
    <t>PR</t>
  </si>
  <si>
    <t xml:space="preserve">-5 &lt; 0 negativo 5 es menor que cero </t>
  </si>
  <si>
    <t xml:space="preserve">NOTAS: </t>
  </si>
  <si>
    <t>AN</t>
  </si>
  <si>
    <t>AP</t>
  </si>
  <si>
    <t>AQ</t>
  </si>
  <si>
    <t>AX</t>
  </si>
  <si>
    <t>AZ</t>
  </si>
  <si>
    <t>b</t>
  </si>
  <si>
    <t>CONFIGURACION CUADRANTE</t>
  </si>
  <si>
    <t>CALCULAR MINUTOS</t>
  </si>
  <si>
    <t>NOCTUR.</t>
  </si>
  <si>
    <t>T. HORAS</t>
  </si>
  <si>
    <t>ENTRADA</t>
  </si>
  <si>
    <t>SALIDA</t>
  </si>
  <si>
    <t>CONDICIONES DE NOCTURNIDAD</t>
  </si>
  <si>
    <t>SUMA HR.</t>
  </si>
  <si>
    <t>CALCULO HORAS</t>
  </si>
  <si>
    <t>NOCTURNIDAD</t>
  </si>
  <si>
    <t xml:space="preserve">EMPRESA </t>
  </si>
  <si>
    <t xml:space="preserve">MINUTOS </t>
  </si>
  <si>
    <t xml:space="preserve">CENTRO </t>
  </si>
  <si>
    <t xml:space="preserve">AÑO </t>
  </si>
  <si>
    <t xml:space="preserve">MES </t>
  </si>
  <si>
    <t xml:space="preserve">VACACIONES </t>
  </si>
  <si>
    <t xml:space="preserve">JORNADA </t>
  </si>
  <si>
    <t>P. RETRIBUIDO</t>
  </si>
  <si>
    <t>http://oscar.org.es</t>
  </si>
  <si>
    <t>notas</t>
  </si>
  <si>
    <t xml:space="preserve">*Aquí notas que se vean en el cuadrante... </t>
  </si>
  <si>
    <t>FEST. FINDE</t>
  </si>
  <si>
    <t>MARCADOR X</t>
  </si>
  <si>
    <t>FESTIVOS</t>
  </si>
  <si>
    <t>f</t>
  </si>
  <si>
    <t>VS1</t>
  </si>
  <si>
    <t>n</t>
  </si>
  <si>
    <t>CALENDARIO</t>
  </si>
  <si>
    <t>d</t>
  </si>
  <si>
    <t>ds</t>
  </si>
  <si>
    <t>C09</t>
  </si>
  <si>
    <t>t</t>
  </si>
  <si>
    <t>dnº</t>
  </si>
  <si>
    <t>j</t>
  </si>
  <si>
    <t>VACACIONES</t>
  </si>
  <si>
    <t>HORAS</t>
  </si>
  <si>
    <t>SUMA HORAS</t>
  </si>
  <si>
    <t>h</t>
  </si>
  <si>
    <t>DIA</t>
  </si>
  <si>
    <t>NOCHE 1</t>
  </si>
  <si>
    <t>NOCHE 2</t>
  </si>
  <si>
    <t>DIAS</t>
  </si>
  <si>
    <t>SUMA FESTIVOS</t>
  </si>
  <si>
    <t>SUMA VACACIONES</t>
  </si>
  <si>
    <t>pr</t>
  </si>
  <si>
    <t>VS2</t>
  </si>
  <si>
    <t>C10</t>
  </si>
  <si>
    <t>SA/DO</t>
  </si>
  <si>
    <t>VS3</t>
  </si>
  <si>
    <t>C11</t>
  </si>
  <si>
    <t>VS4</t>
  </si>
  <si>
    <t>C12</t>
  </si>
  <si>
    <t>VS5</t>
  </si>
  <si>
    <t>C13</t>
  </si>
  <si>
    <t>VS6</t>
  </si>
  <si>
    <t>C14</t>
  </si>
  <si>
    <t>VS7</t>
  </si>
  <si>
    <t>C15</t>
  </si>
  <si>
    <t>VS8</t>
  </si>
  <si>
    <t>C16</t>
  </si>
  <si>
    <t>VS9</t>
  </si>
  <si>
    <t>C17</t>
  </si>
  <si>
    <t>VS10</t>
  </si>
  <si>
    <t>C18</t>
  </si>
  <si>
    <t>NUEVO CALCULO NOCTURNIDAD</t>
  </si>
  <si>
    <t>V1</t>
  </si>
  <si>
    <t>B</t>
  </si>
  <si>
    <t>día</t>
  </si>
  <si>
    <t>CONTROL DE HORAS</t>
  </si>
  <si>
    <t>ENERO</t>
  </si>
  <si>
    <t>FEB.</t>
  </si>
  <si>
    <t>MARZO</t>
  </si>
  <si>
    <t>ABRIL</t>
  </si>
  <si>
    <t>MAYO</t>
  </si>
  <si>
    <t>JUNIO</t>
  </si>
  <si>
    <t>JULIO</t>
  </si>
  <si>
    <t>AGOSTO</t>
  </si>
  <si>
    <t>SEP.</t>
  </si>
  <si>
    <t>OCT.</t>
  </si>
  <si>
    <t>NOV.</t>
  </si>
  <si>
    <t>DIC.</t>
  </si>
  <si>
    <t>Nº VS</t>
  </si>
  <si>
    <t>SUMA HORAS ANUALES</t>
  </si>
  <si>
    <t>MINUTOS</t>
  </si>
  <si>
    <t>SUMA H. CENTRO</t>
  </si>
  <si>
    <t>CONFIGURACIÓN ANUAL</t>
  </si>
  <si>
    <t>TURNOS DE TRABAJO</t>
  </si>
  <si>
    <t>NºVS</t>
  </si>
  <si>
    <t>NOMBRE</t>
  </si>
  <si>
    <t>TURNO</t>
  </si>
  <si>
    <t>DE</t>
  </si>
  <si>
    <t>C</t>
  </si>
  <si>
    <t>D</t>
  </si>
  <si>
    <t>CONTACTAR:</t>
  </si>
  <si>
    <t>E</t>
  </si>
  <si>
    <t>F</t>
  </si>
  <si>
    <t>G</t>
  </si>
  <si>
    <t>H</t>
  </si>
  <si>
    <t>I</t>
  </si>
  <si>
    <t>TOTAL HORAS ANUAL</t>
  </si>
  <si>
    <t>HRS ANUAL</t>
  </si>
  <si>
    <t>VS11</t>
  </si>
  <si>
    <t>VS12</t>
  </si>
  <si>
    <t>C19</t>
  </si>
  <si>
    <t>C20</t>
  </si>
  <si>
    <t>EMPRESA</t>
  </si>
  <si>
    <t>CENTRO</t>
  </si>
  <si>
    <t xml:space="preserve">GRUPO TELEGRAM: </t>
  </si>
  <si>
    <t>https://t.me/sectorseguridad</t>
  </si>
  <si>
    <t xml:space="preserve">WEB: </t>
  </si>
  <si>
    <t>oscaro@gmx.com</t>
  </si>
  <si>
    <t>JORNADA PARTIDA</t>
  </si>
  <si>
    <t>OSCAR ORGEIRA © 20.03.00 EXCEL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</si>
  <si>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</si>
  <si>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</si>
  <si>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</si>
  <si>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</si>
  <si>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</si>
  <si>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</si>
  <si>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</si>
  <si>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</si>
  <si>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</si>
  <si>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</si>
  <si>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</si>
  <si>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Las Terrazas</t>
  </si>
  <si>
    <t>D1</t>
  </si>
  <si>
    <t>D2</t>
  </si>
  <si>
    <t>N1</t>
  </si>
  <si>
    <t>N2</t>
  </si>
  <si>
    <t>N3</t>
  </si>
  <si>
    <t>JAVI</t>
  </si>
  <si>
    <t>PAREDES</t>
  </si>
  <si>
    <t>JUAN</t>
  </si>
  <si>
    <t>CARREÑO</t>
  </si>
  <si>
    <t>GREGORIO</t>
  </si>
  <si>
    <t>HIDALGO</t>
  </si>
  <si>
    <t>SAMUEL</t>
  </si>
  <si>
    <t>PAREJO</t>
  </si>
  <si>
    <t>PEDREÑO</t>
  </si>
  <si>
    <t>VIGILANT</t>
  </si>
  <si>
    <t>TERRAZAS</t>
  </si>
  <si>
    <t>HIGALGO</t>
  </si>
  <si>
    <t>P</t>
  </si>
  <si>
    <t>LAS TERRAZAS DE LA TORRE</t>
  </si>
  <si>
    <t>MILOU</t>
  </si>
  <si>
    <t>PAPA 36</t>
  </si>
  <si>
    <t>REFUERZO</t>
  </si>
  <si>
    <t>PISCINERO 2</t>
  </si>
  <si>
    <t>YERAY</t>
  </si>
  <si>
    <t>CELIO</t>
  </si>
  <si>
    <t>IVAN</t>
  </si>
  <si>
    <t>PISCINAS</t>
  </si>
  <si>
    <t>CAUTO</t>
  </si>
  <si>
    <t>ENRIQUE</t>
  </si>
  <si>
    <t>EXTRA BAJA</t>
  </si>
  <si>
    <t>MIGUEL</t>
  </si>
  <si>
    <t>L</t>
  </si>
  <si>
    <t>ADRIAN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</si>
</sst>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mmmm\ yyyy"/>
    <numFmt numFmtId="165" formatCode="0.00;[Red]\-0.00"/>
    <numFmt numFmtId="166" formatCode="[mm]"/>
    <numFmt numFmtId="167" formatCode="\:mm"/>
    <numFmt numFmtId="168" formatCode="hh:mm"/>
    <numFmt numFmtId="169" formatCode="d"/>
    <numFmt numFmtId="170" formatCode="&quot;VERDADERO&quot;;&quot;VERDADERO&quot;;&quot;FALSO&quot;"/>
    <numFmt numFmtId="171" formatCode="#,##0&quot; €&quot;;[Red]\-#,##0&quot; €&quot;"/>
    <numFmt numFmtId="172" formatCode="#,##0.00&quot; €&quot;;\-#,##0.00&quot; €&quot;"/>
  </numFmts>
  <fonts count="48" x14ac:knownFonts="1">
    <font>
      <sz val="10"/>
      <name val="Arial"/>
      <family val="2"/>
    </font>
    <font>
      <b/>
      <sz val="10.5"/>
      <name val="Arial"/>
      <family val="2"/>
    </font>
    <font>
      <sz val="10"/>
      <name val="Abel"/>
    </font>
    <font>
      <sz val="10"/>
      <color indexed="8"/>
      <name val="Abel"/>
    </font>
    <font>
      <b/>
      <sz val="16"/>
      <color indexed="8"/>
      <name val="Abel"/>
    </font>
    <font>
      <b/>
      <sz val="15"/>
      <color indexed="8"/>
      <name val="Abel"/>
    </font>
    <font>
      <sz val="10.5"/>
      <color indexed="8"/>
      <name val="Abel"/>
    </font>
    <font>
      <sz val="12"/>
      <color indexed="8"/>
      <name val="Abel"/>
    </font>
    <font>
      <sz val="9"/>
      <color indexed="8"/>
      <name val="Abel"/>
    </font>
    <font>
      <b/>
      <sz val="9"/>
      <color indexed="8"/>
      <name val="Abel"/>
    </font>
    <font>
      <b/>
      <sz val="10.5"/>
      <color indexed="8"/>
      <name val="Abel"/>
    </font>
    <font>
      <b/>
      <sz val="10"/>
      <color indexed="8"/>
      <name val="Abel"/>
    </font>
    <font>
      <b/>
      <sz val="10"/>
      <name val="Abel"/>
    </font>
    <font>
      <sz val="10.5"/>
      <color indexed="18"/>
      <name val="Abel"/>
    </font>
    <font>
      <b/>
      <sz val="10.5"/>
      <color indexed="18"/>
      <name val="Abel"/>
    </font>
    <font>
      <sz val="10"/>
      <color indexed="60"/>
      <name val="Abel"/>
    </font>
    <font>
      <sz val="10"/>
      <color indexed="12"/>
      <name val="Abel"/>
    </font>
    <font>
      <sz val="10"/>
      <color indexed="18"/>
      <name val="Abel"/>
    </font>
    <font>
      <sz val="6"/>
      <name val="Abel"/>
    </font>
    <font>
      <b/>
      <sz val="6"/>
      <color indexed="8"/>
      <name val="Abel"/>
    </font>
    <font>
      <b/>
      <sz val="8"/>
      <color indexed="8"/>
      <name val="Abel"/>
    </font>
    <font>
      <sz val="5"/>
      <color indexed="8"/>
      <name val="Abel"/>
    </font>
    <font>
      <b/>
      <sz val="12"/>
      <color indexed="8"/>
      <name val="Abel"/>
    </font>
    <font>
      <sz val="8"/>
      <color indexed="8"/>
      <name val="Abel"/>
    </font>
    <font>
      <sz val="6"/>
      <color indexed="8"/>
      <name val="Abel"/>
    </font>
    <font>
      <b/>
      <sz val="5"/>
      <color indexed="8"/>
      <name val="Abel"/>
    </font>
    <font>
      <sz val="8"/>
      <name val="Abel"/>
    </font>
    <font>
      <b/>
      <sz val="7"/>
      <color indexed="10"/>
      <name val="Abel"/>
    </font>
    <font>
      <b/>
      <sz val="10"/>
      <name val="Arial"/>
      <family val="2"/>
    </font>
    <font>
      <b/>
      <sz val="14"/>
      <color indexed="8"/>
      <name val="Abel"/>
    </font>
    <font>
      <b/>
      <sz val="11"/>
      <color indexed="8"/>
      <name val="Abel"/>
    </font>
    <font>
      <b/>
      <sz val="11"/>
      <name val="Abel"/>
    </font>
    <font>
      <sz val="12"/>
      <name val="Abel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rgb="FF006100"/>
      <name val="Calibri"/>
      <family val="2"/>
      <scheme val="minor"/>
    </font>
    <font>
      <b/>
      <sz val="11"/>
      <color theme="1"/>
      <name val="Abel"/>
    </font>
    <font>
      <b/>
      <sz val="9"/>
      <color indexed="32"/>
      <name val="Abel"/>
    </font>
    <font>
      <b/>
      <sz val="9"/>
      <name val="Abel"/>
    </font>
    <font>
      <b/>
      <sz val="10.5"/>
      <name val="Abel"/>
    </font>
    <font>
      <sz val="10"/>
      <color rgb="FF9C0006"/>
      <name val="Calibri"/>
      <family val="2"/>
      <scheme val="minor"/>
    </font>
    <font>
      <b/>
      <sz val="14"/>
      <name val="Abel"/>
    </font>
    <font>
      <b/>
      <sz val="10"/>
      <color rgb="FF006100"/>
      <name val="Abel"/>
    </font>
    <font>
      <u/>
      <sz val="10"/>
      <color rgb="FF7030A0"/>
      <name val="Abel"/>
    </font>
    <font>
      <sz val="10"/>
      <color rgb="FF7030A0"/>
      <name val="Abel"/>
    </font>
    <font>
      <u/>
      <sz val="10"/>
      <color theme="11"/>
      <name val="Arial"/>
      <family val="2"/>
    </font>
    <font>
      <b/>
      <u/>
      <sz val="14"/>
      <name val="Abel"/>
    </font>
    <font>
      <u/>
      <sz val="10"/>
      <name val="Abel"/>
    </font>
  </fonts>
  <fills count="30">
    <fill>
      <patternFill patternType="none"/>
    </fill>
    <fill>
      <patternFill patternType="gray125"/>
    </fill>
    <fill>
      <patternFill patternType="solid">
        <fgColor indexed="10"/>
        <bgColor indexed="60"/>
      </patternFill>
    </fill>
    <fill>
      <patternFill patternType="solid">
        <fgColor indexed="12"/>
        <bgColor indexed="39"/>
      </patternFill>
    </fill>
    <fill>
      <patternFill patternType="solid">
        <fgColor indexed="19"/>
        <bgColor indexed="23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26"/>
      </patternFill>
    </fill>
    <fill>
      <patternFill patternType="solid">
        <fgColor indexed="61"/>
        <bgColor indexed="53"/>
      </patternFill>
    </fill>
    <fill>
      <patternFill patternType="solid">
        <fgColor indexed="43"/>
        <bgColor indexed="26"/>
      </patternFill>
    </fill>
    <fill>
      <patternFill patternType="solid">
        <fgColor indexed="45"/>
        <bgColor indexed="47"/>
      </patternFill>
    </fill>
    <fill>
      <patternFill patternType="solid">
        <fgColor indexed="42"/>
        <bgColor indexed="27"/>
      </patternFill>
    </fill>
    <fill>
      <patternFill patternType="solid">
        <fgColor indexed="51"/>
        <bgColor indexed="13"/>
      </patternFill>
    </fill>
    <fill>
      <patternFill patternType="solid">
        <fgColor indexed="14"/>
        <bgColor indexed="33"/>
      </patternFill>
    </fill>
    <fill>
      <patternFill patternType="solid">
        <fgColor indexed="13"/>
        <bgColor indexed="34"/>
      </patternFill>
    </fill>
    <fill>
      <patternFill patternType="solid">
        <fgColor indexed="11"/>
        <bgColor indexed="49"/>
      </patternFill>
    </fill>
    <fill>
      <patternFill patternType="solid">
        <fgColor indexed="30"/>
        <bgColor indexed="21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79998168889431442"/>
        <bgColor indexed="46"/>
      </patternFill>
    </fill>
    <fill>
      <patternFill patternType="solid">
        <fgColor theme="7" tint="0.79998168889431442"/>
        <bgColor indexed="33"/>
      </patternFill>
    </fill>
    <fill>
      <patternFill patternType="solid">
        <fgColor theme="7" tint="0.79998168889431442"/>
        <bgColor indexed="34"/>
      </patternFill>
    </fill>
    <fill>
      <patternFill patternType="solid">
        <fgColor theme="7" tint="0.79998168889431442"/>
        <bgColor indexed="61"/>
      </patternFill>
    </fill>
    <fill>
      <patternFill patternType="solid">
        <fgColor theme="7" tint="0.79998168889431442"/>
        <bgColor indexed="39"/>
      </patternFill>
    </fill>
    <fill>
      <patternFill patternType="solid">
        <fgColor theme="7" tint="0.79998168889431442"/>
        <bgColor indexed="60"/>
      </patternFill>
    </fill>
    <fill>
      <patternFill patternType="solid">
        <fgColor theme="7" tint="0.79998168889431442"/>
        <bgColor indexed="26"/>
      </patternFill>
    </fill>
    <fill>
      <patternFill patternType="solid">
        <fgColor rgb="FFE490D2"/>
        <bgColor indexed="22"/>
      </patternFill>
    </fill>
    <fill>
      <patternFill patternType="solid">
        <fgColor rgb="FFE490D2"/>
        <bgColor indexed="46"/>
      </patternFill>
    </fill>
  </fills>
  <borders count="23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9">
    <xf numFmtId="0" fontId="0" fillId="0" borderId="0"/>
    <xf numFmtId="0" fontId="33" fillId="2" borderId="0" applyNumberFormat="0" applyFont="0" applyBorder="0" applyAlignment="0" applyProtection="0"/>
    <xf numFmtId="0" fontId="33" fillId="3" borderId="0" applyNumberFormat="0" applyFont="0" applyBorder="0" applyAlignment="0" applyProtection="0"/>
    <xf numFmtId="0" fontId="33" fillId="4" borderId="0" applyNumberFormat="0" applyFont="0" applyBorder="0" applyAlignment="0" applyProtection="0"/>
    <xf numFmtId="0" fontId="1" fillId="5" borderId="0" applyNumberFormat="0" applyBorder="0" applyAlignment="0" applyProtection="0"/>
    <xf numFmtId="0" fontId="34" fillId="0" borderId="0" applyNumberFormat="0" applyFill="0" applyBorder="0" applyAlignment="0" applyProtection="0"/>
    <xf numFmtId="0" fontId="35" fillId="16" borderId="0" applyNumberFormat="0" applyBorder="0" applyAlignment="0" applyProtection="0"/>
    <xf numFmtId="0" fontId="40" fillId="19" borderId="0" applyNumberFormat="0" applyBorder="0" applyAlignment="0" applyProtection="0"/>
    <xf numFmtId="0" fontId="45" fillId="0" borderId="0" applyNumberFormat="0" applyFill="0" applyBorder="0" applyAlignment="0" applyProtection="0"/>
  </cellStyleXfs>
  <cellXfs count="32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 applyProtection="1">
      <alignment vertical="center"/>
      <protection hidden="1"/>
    </xf>
    <xf numFmtId="0" fontId="3" fillId="0" borderId="0" xfId="0" applyFont="1" applyAlignment="1">
      <alignment vertical="center"/>
    </xf>
    <xf numFmtId="0" fontId="3" fillId="0" borderId="0" xfId="0" applyFont="1" applyProtection="1">
      <protection hidden="1"/>
    </xf>
    <xf numFmtId="0" fontId="8" fillId="0" borderId="0" xfId="0" applyFont="1" applyProtection="1"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8" fillId="6" borderId="0" xfId="0" applyFont="1" applyFill="1" applyAlignment="1" applyProtection="1">
      <alignment vertical="center"/>
      <protection hidden="1"/>
    </xf>
    <xf numFmtId="0" fontId="8" fillId="0" borderId="2" xfId="0" applyFont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0" fontId="9" fillId="6" borderId="2" xfId="0" applyFont="1" applyFill="1" applyBorder="1" applyAlignment="1" applyProtection="1">
      <alignment horizontal="center" vertical="center" wrapText="1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 wrapText="1"/>
      <protection hidden="1"/>
    </xf>
    <xf numFmtId="0" fontId="8" fillId="0" borderId="0" xfId="0" applyFont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/>
      <protection locked="0" hidden="1"/>
    </xf>
    <xf numFmtId="0" fontId="10" fillId="0" borderId="0" xfId="4" applyFont="1" applyFill="1" applyAlignment="1" applyProtection="1">
      <alignment horizontal="center" vertical="center"/>
      <protection locked="0" hidden="1"/>
    </xf>
    <xf numFmtId="1" fontId="3" fillId="0" borderId="0" xfId="0" applyNumberFormat="1" applyFont="1"/>
    <xf numFmtId="2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0" fontId="9" fillId="0" borderId="1" xfId="0" applyFont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2" fillId="0" borderId="0" xfId="0" applyFont="1" applyProtection="1">
      <protection hidden="1"/>
    </xf>
    <xf numFmtId="0" fontId="3" fillId="0" borderId="0" xfId="0" applyFont="1" applyProtection="1">
      <protection locked="0" hidden="1"/>
    </xf>
    <xf numFmtId="0" fontId="3" fillId="0" borderId="4" xfId="0" applyFont="1" applyBorder="1" applyAlignment="1" applyProtection="1">
      <alignment horizontal="center" vertical="center"/>
      <protection locked="0" hidden="1"/>
    </xf>
    <xf numFmtId="168" fontId="3" fillId="2" borderId="1" xfId="0" applyNumberFormat="1" applyFont="1" applyFill="1" applyBorder="1" applyAlignment="1" applyProtection="1">
      <alignment horizontal="center" vertical="center"/>
      <protection hidden="1"/>
    </xf>
    <xf numFmtId="168" fontId="3" fillId="0" borderId="1" xfId="0" applyNumberFormat="1" applyFont="1" applyBorder="1" applyAlignment="1" applyProtection="1">
      <alignment horizontal="center" vertical="center"/>
      <protection hidden="1"/>
    </xf>
    <xf numFmtId="2" fontId="3" fillId="0" borderId="1" xfId="0" applyNumberFormat="1" applyFont="1" applyBorder="1" applyAlignment="1" applyProtection="1">
      <alignment horizontal="center" vertical="center"/>
      <protection hidden="1"/>
    </xf>
    <xf numFmtId="2" fontId="3" fillId="8" borderId="1" xfId="0" applyNumberFormat="1" applyFont="1" applyFill="1" applyBorder="1" applyAlignment="1" applyProtection="1">
      <alignment horizontal="center" vertical="center"/>
      <protection hidden="1"/>
    </xf>
    <xf numFmtId="2" fontId="3" fillId="9" borderId="1" xfId="0" applyNumberFormat="1" applyFont="1" applyFill="1" applyBorder="1" applyAlignment="1" applyProtection="1">
      <alignment horizontal="center" vertical="center"/>
      <protection hidden="1"/>
    </xf>
    <xf numFmtId="2" fontId="3" fillId="10" borderId="1" xfId="0" applyNumberFormat="1" applyFont="1" applyFill="1" applyBorder="1" applyAlignment="1" applyProtection="1">
      <alignment horizontal="center" vertical="center"/>
      <protection hidden="1"/>
    </xf>
    <xf numFmtId="2" fontId="3" fillId="11" borderId="1" xfId="0" applyNumberFormat="1" applyFont="1" applyFill="1" applyBorder="1" applyAlignment="1" applyProtection="1">
      <alignment horizontal="center" vertical="center"/>
      <protection hidden="1"/>
    </xf>
    <xf numFmtId="2" fontId="3" fillId="2" borderId="1" xfId="0" applyNumberFormat="1" applyFont="1" applyFill="1" applyBorder="1" applyAlignment="1" applyProtection="1">
      <alignment horizontal="center" vertical="center"/>
      <protection hidden="1"/>
    </xf>
    <xf numFmtId="2" fontId="3" fillId="12" borderId="1" xfId="0" applyNumberFormat="1" applyFont="1" applyFill="1" applyBorder="1" applyAlignment="1" applyProtection="1">
      <alignment horizontal="center" vertical="center"/>
      <protection hidden="1"/>
    </xf>
    <xf numFmtId="168" fontId="11" fillId="0" borderId="1" xfId="0" applyNumberFormat="1" applyFont="1" applyBorder="1" applyAlignment="1" applyProtection="1">
      <alignment horizontal="center"/>
      <protection hidden="1"/>
    </xf>
    <xf numFmtId="168" fontId="15" fillId="0" borderId="0" xfId="0" applyNumberFormat="1" applyFont="1" applyProtection="1">
      <protection hidden="1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169" fontId="3" fillId="0" borderId="1" xfId="0" applyNumberFormat="1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23" fillId="0" borderId="1" xfId="0" applyFont="1" applyBorder="1" applyAlignment="1" applyProtection="1">
      <alignment horizontal="center" vertical="center"/>
      <protection hidden="1"/>
    </xf>
    <xf numFmtId="0" fontId="20" fillId="0" borderId="1" xfId="0" applyFont="1" applyBorder="1" applyAlignment="1" applyProtection="1">
      <alignment horizontal="center" vertical="center"/>
      <protection hidden="1"/>
    </xf>
    <xf numFmtId="1" fontId="3" fillId="0" borderId="1" xfId="0" applyNumberFormat="1" applyFont="1" applyBorder="1" applyAlignment="1" applyProtection="1">
      <alignment horizontal="center" vertical="center"/>
      <protection hidden="1"/>
    </xf>
    <xf numFmtId="1" fontId="3" fillId="13" borderId="1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Font="1" applyProtection="1">
      <protection hidden="1"/>
    </xf>
    <xf numFmtId="0" fontId="3" fillId="15" borderId="1" xfId="0" applyFont="1" applyFill="1" applyBorder="1" applyAlignment="1" applyProtection="1">
      <alignment horizontal="center" vertical="center"/>
      <protection hidden="1"/>
    </xf>
    <xf numFmtId="0" fontId="3" fillId="13" borderId="1" xfId="0" applyFont="1" applyFill="1" applyBorder="1" applyAlignment="1" applyProtection="1">
      <alignment horizontal="center" vertical="center"/>
      <protection hidden="1"/>
    </xf>
    <xf numFmtId="0" fontId="23" fillId="0" borderId="0" xfId="0" applyFont="1"/>
    <xf numFmtId="0" fontId="23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2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165" fontId="1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71" fontId="22" fillId="0" borderId="0" xfId="0" applyNumberFormat="1" applyFont="1" applyAlignment="1" applyProtection="1">
      <alignment horizontal="left" vertical="center"/>
      <protection locked="0"/>
    </xf>
    <xf numFmtId="2" fontId="32" fillId="0" borderId="0" xfId="0" applyNumberFormat="1" applyFont="1"/>
    <xf numFmtId="168" fontId="2" fillId="0" borderId="0" xfId="0" applyNumberFormat="1" applyFont="1"/>
    <xf numFmtId="0" fontId="22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vertical="center"/>
      <protection locked="0"/>
    </xf>
    <xf numFmtId="172" fontId="22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 hidden="1"/>
    </xf>
    <xf numFmtId="0" fontId="12" fillId="0" borderId="0" xfId="0" applyFont="1" applyAlignment="1" applyProtection="1">
      <alignment horizontal="right"/>
      <protection locked="0" hidden="1"/>
    </xf>
    <xf numFmtId="0" fontId="2" fillId="0" borderId="0" xfId="0" applyFont="1" applyProtection="1">
      <protection locked="0" hidden="1"/>
    </xf>
    <xf numFmtId="2" fontId="11" fillId="0" borderId="2" xfId="0" applyNumberFormat="1" applyFont="1" applyBorder="1" applyAlignment="1" applyProtection="1">
      <alignment horizontal="center" vertical="center"/>
      <protection hidden="1"/>
    </xf>
    <xf numFmtId="1" fontId="3" fillId="0" borderId="2" xfId="0" applyNumberFormat="1" applyFont="1" applyBorder="1" applyAlignment="1" applyProtection="1">
      <alignment horizontal="center" vertical="center"/>
      <protection hidden="1"/>
    </xf>
    <xf numFmtId="0" fontId="14" fillId="17" borderId="1" xfId="0" applyFont="1" applyFill="1" applyBorder="1" applyAlignment="1" applyProtection="1">
      <alignment horizontal="center" vertical="center"/>
      <protection locked="0"/>
    </xf>
    <xf numFmtId="2" fontId="37" fillId="17" borderId="1" xfId="0" applyNumberFormat="1" applyFont="1" applyFill="1" applyBorder="1" applyAlignment="1" applyProtection="1">
      <alignment horizontal="center" vertical="center"/>
      <protection locked="0"/>
    </xf>
    <xf numFmtId="0" fontId="10" fillId="17" borderId="1" xfId="0" applyFont="1" applyFill="1" applyBorder="1" applyAlignment="1" applyProtection="1">
      <alignment horizontal="center" vertical="center"/>
      <protection locked="0"/>
    </xf>
    <xf numFmtId="168" fontId="6" fillId="17" borderId="1" xfId="0" applyNumberFormat="1" applyFont="1" applyFill="1" applyBorder="1" applyAlignment="1" applyProtection="1">
      <alignment horizontal="center" vertical="center"/>
      <protection locked="0"/>
    </xf>
    <xf numFmtId="0" fontId="39" fillId="5" borderId="1" xfId="4" applyFont="1" applyBorder="1" applyAlignment="1" applyProtection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36" fillId="0" borderId="0" xfId="6" applyFont="1" applyFill="1" applyBorder="1" applyAlignment="1" applyProtection="1">
      <protection locked="0"/>
    </xf>
    <xf numFmtId="49" fontId="31" fillId="0" borderId="0" xfId="0" applyNumberFormat="1" applyFont="1"/>
    <xf numFmtId="0" fontId="12" fillId="18" borderId="1" xfId="0" applyFont="1" applyFill="1" applyBorder="1" applyAlignment="1" applyProtection="1">
      <alignment horizontal="center"/>
      <protection locked="0" hidden="1"/>
    </xf>
    <xf numFmtId="1" fontId="11" fillId="18" borderId="1" xfId="0" applyNumberFormat="1" applyFont="1" applyFill="1" applyBorder="1" applyAlignment="1" applyProtection="1">
      <alignment horizontal="center" vertical="center"/>
      <protection locked="0" hidden="1"/>
    </xf>
    <xf numFmtId="2" fontId="7" fillId="0" borderId="1" xfId="0" applyNumberFormat="1" applyFont="1" applyBorder="1" applyAlignment="1" applyProtection="1">
      <alignment horizontal="center" vertical="center"/>
      <protection hidden="1"/>
    </xf>
    <xf numFmtId="1" fontId="23" fillId="14" borderId="1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170" fontId="23" fillId="0" borderId="1" xfId="0" applyNumberFormat="1" applyFont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left" vertical="center"/>
      <protection hidden="1"/>
    </xf>
    <xf numFmtId="0" fontId="23" fillId="0" borderId="0" xfId="0" applyFont="1" applyAlignment="1" applyProtection="1">
      <alignment horizontal="right"/>
      <protection hidden="1"/>
    </xf>
    <xf numFmtId="1" fontId="20" fillId="0" borderId="0" xfId="0" applyNumberFormat="1" applyFont="1" applyAlignment="1" applyProtection="1">
      <alignment horizontal="center" vertical="center"/>
      <protection hidden="1"/>
    </xf>
    <xf numFmtId="1" fontId="23" fillId="0" borderId="1" xfId="0" applyNumberFormat="1" applyFont="1" applyBorder="1" applyAlignment="1">
      <alignment horizontal="center" vertical="center"/>
    </xf>
    <xf numFmtId="0" fontId="23" fillId="7" borderId="0" xfId="0" applyFont="1" applyFill="1" applyAlignment="1" applyProtection="1">
      <alignment horizontal="center"/>
      <protection hidden="1"/>
    </xf>
    <xf numFmtId="0" fontId="3" fillId="0" borderId="0" xfId="0" applyFont="1" applyAlignment="1" applyProtection="1">
      <alignment vertical="center"/>
      <protection locked="0" hidden="1"/>
    </xf>
    <xf numFmtId="0" fontId="12" fillId="0" borderId="0" xfId="0" applyFont="1" applyAlignment="1" applyProtection="1">
      <alignment horizontal="center"/>
      <protection locked="0" hidden="1"/>
    </xf>
    <xf numFmtId="168" fontId="2" fillId="0" borderId="0" xfId="0" applyNumberFormat="1" applyFont="1" applyAlignment="1" applyProtection="1">
      <alignment vertical="center"/>
      <protection locked="0" hidden="1"/>
    </xf>
    <xf numFmtId="0" fontId="11" fillId="0" borderId="15" xfId="0" applyFont="1" applyBorder="1" applyAlignment="1" applyProtection="1">
      <alignment horizontal="center" vertical="center"/>
      <protection locked="0" hidden="1"/>
    </xf>
    <xf numFmtId="0" fontId="11" fillId="0" borderId="1" xfId="0" applyFont="1" applyBorder="1" applyAlignment="1" applyProtection="1">
      <alignment horizontal="center" vertical="center"/>
      <protection locked="0" hidden="1"/>
    </xf>
    <xf numFmtId="168" fontId="3" fillId="0" borderId="16" xfId="0" applyNumberFormat="1" applyFont="1" applyBorder="1" applyAlignment="1" applyProtection="1">
      <alignment horizontal="center" vertical="center"/>
      <protection locked="0" hidden="1"/>
    </xf>
    <xf numFmtId="0" fontId="3" fillId="0" borderId="16" xfId="0" applyFont="1" applyBorder="1" applyAlignment="1" applyProtection="1">
      <alignment horizontal="center" vertical="center"/>
      <protection locked="0" hidden="1"/>
    </xf>
    <xf numFmtId="0" fontId="2" fillId="17" borderId="1" xfId="0" applyFont="1" applyFill="1" applyBorder="1" applyAlignment="1" applyProtection="1">
      <alignment horizontal="center" vertical="center"/>
      <protection locked="0"/>
    </xf>
    <xf numFmtId="0" fontId="12" fillId="18" borderId="1" xfId="0" applyFont="1" applyFill="1" applyBorder="1" applyAlignment="1">
      <alignment horizontal="center" vertical="center"/>
    </xf>
    <xf numFmtId="1" fontId="8" fillId="0" borderId="1" xfId="0" applyNumberFormat="1" applyFont="1" applyBorder="1" applyAlignment="1" applyProtection="1">
      <alignment horizontal="center" vertical="center"/>
      <protection hidden="1"/>
    </xf>
    <xf numFmtId="0" fontId="3" fillId="18" borderId="0" xfId="0" applyFont="1" applyFill="1"/>
    <xf numFmtId="0" fontId="0" fillId="18" borderId="0" xfId="0" applyFill="1"/>
    <xf numFmtId="0" fontId="2" fillId="18" borderId="0" xfId="0" applyFont="1" applyFill="1"/>
    <xf numFmtId="0" fontId="3" fillId="18" borderId="0" xfId="0" applyFont="1" applyFill="1" applyAlignment="1">
      <alignment horizontal="right" vertical="center"/>
    </xf>
    <xf numFmtId="0" fontId="3" fillId="18" borderId="4" xfId="0" applyFont="1" applyFill="1" applyBorder="1" applyAlignment="1">
      <alignment horizontal="center" vertical="center"/>
    </xf>
    <xf numFmtId="0" fontId="41" fillId="18" borderId="0" xfId="0" applyFont="1" applyFill="1"/>
    <xf numFmtId="0" fontId="2" fillId="18" borderId="0" xfId="0" applyFont="1" applyFill="1" applyAlignment="1">
      <alignment horizontal="center" vertical="center"/>
    </xf>
    <xf numFmtId="0" fontId="2" fillId="18" borderId="0" xfId="0" applyFont="1" applyFill="1" applyAlignment="1">
      <alignment vertical="center"/>
    </xf>
    <xf numFmtId="0" fontId="2" fillId="18" borderId="0" xfId="0" applyFont="1" applyFill="1" applyProtection="1">
      <protection hidden="1"/>
    </xf>
    <xf numFmtId="0" fontId="10" fillId="18" borderId="0" xfId="0" applyFont="1" applyFill="1" applyAlignment="1">
      <alignment horizontal="right" vertical="center"/>
    </xf>
    <xf numFmtId="2" fontId="13" fillId="18" borderId="0" xfId="0" applyNumberFormat="1" applyFont="1" applyFill="1" applyAlignment="1" applyProtection="1">
      <alignment horizontal="left" vertical="center"/>
      <protection locked="0"/>
    </xf>
    <xf numFmtId="0" fontId="3" fillId="18" borderId="0" xfId="0" applyFont="1" applyFill="1" applyProtection="1">
      <protection hidden="1"/>
    </xf>
    <xf numFmtId="0" fontId="2" fillId="18" borderId="0" xfId="0" applyFont="1" applyFill="1" applyAlignment="1">
      <alignment horizontal="center"/>
    </xf>
    <xf numFmtId="49" fontId="11" fillId="18" borderId="0" xfId="0" applyNumberFormat="1" applyFont="1" applyFill="1" applyAlignment="1" applyProtection="1">
      <alignment vertical="center"/>
      <protection hidden="1"/>
    </xf>
    <xf numFmtId="2" fontId="6" fillId="18" borderId="0" xfId="0" applyNumberFormat="1" applyFont="1" applyFill="1" applyAlignment="1" applyProtection="1">
      <alignment horizontal="left" vertical="center"/>
      <protection locked="0"/>
    </xf>
    <xf numFmtId="0" fontId="18" fillId="18" borderId="0" xfId="0" applyFont="1" applyFill="1" applyProtection="1">
      <protection hidden="1"/>
    </xf>
    <xf numFmtId="0" fontId="19" fillId="18" borderId="0" xfId="0" applyFont="1" applyFill="1" applyAlignment="1" applyProtection="1">
      <alignment horizontal="right" vertical="center"/>
      <protection hidden="1"/>
    </xf>
    <xf numFmtId="0" fontId="20" fillId="18" borderId="1" xfId="0" applyFont="1" applyFill="1" applyBorder="1" applyAlignment="1" applyProtection="1">
      <alignment horizontal="center" vertical="center"/>
      <protection hidden="1"/>
    </xf>
    <xf numFmtId="0" fontId="20" fillId="22" borderId="1" xfId="0" applyFont="1" applyFill="1" applyBorder="1" applyAlignment="1" applyProtection="1">
      <alignment horizontal="center" vertical="center"/>
      <protection hidden="1"/>
    </xf>
    <xf numFmtId="0" fontId="26" fillId="18" borderId="0" xfId="0" applyFont="1" applyFill="1" applyAlignment="1">
      <alignment vertical="center"/>
    </xf>
    <xf numFmtId="0" fontId="19" fillId="23" borderId="0" xfId="0" applyFont="1" applyFill="1" applyAlignment="1" applyProtection="1">
      <alignment horizontal="right" vertical="center"/>
      <protection hidden="1"/>
    </xf>
    <xf numFmtId="0" fontId="20" fillId="23" borderId="1" xfId="0" applyFont="1" applyFill="1" applyBorder="1" applyAlignment="1" applyProtection="1">
      <alignment horizontal="center" vertical="center"/>
      <protection hidden="1"/>
    </xf>
    <xf numFmtId="1" fontId="20" fillId="22" borderId="1" xfId="0" applyNumberFormat="1" applyFont="1" applyFill="1" applyBorder="1" applyAlignment="1" applyProtection="1">
      <alignment horizontal="center" vertical="center"/>
      <protection hidden="1"/>
    </xf>
    <xf numFmtId="0" fontId="23" fillId="18" borderId="0" xfId="0" applyFont="1" applyFill="1" applyAlignment="1">
      <alignment vertical="center"/>
    </xf>
    <xf numFmtId="0" fontId="23" fillId="24" borderId="0" xfId="0" applyFont="1" applyFill="1" applyAlignment="1">
      <alignment horizontal="center" vertical="center"/>
    </xf>
    <xf numFmtId="0" fontId="10" fillId="18" borderId="6" xfId="0" applyFont="1" applyFill="1" applyBorder="1" applyAlignment="1" applyProtection="1">
      <alignment horizontal="left"/>
      <protection hidden="1"/>
    </xf>
    <xf numFmtId="0" fontId="19" fillId="25" borderId="7" xfId="0" applyFont="1" applyFill="1" applyBorder="1" applyAlignment="1" applyProtection="1">
      <alignment horizontal="right" vertical="center"/>
      <protection hidden="1"/>
    </xf>
    <xf numFmtId="2" fontId="21" fillId="18" borderId="1" xfId="0" applyNumberFormat="1" applyFont="1" applyFill="1" applyBorder="1" applyAlignment="1" applyProtection="1">
      <alignment horizontal="center" vertical="center"/>
      <protection hidden="1"/>
    </xf>
    <xf numFmtId="0" fontId="23" fillId="18" borderId="0" xfId="0" applyFont="1" applyFill="1" applyAlignment="1" applyProtection="1">
      <alignment vertical="center"/>
      <protection hidden="1"/>
    </xf>
    <xf numFmtId="0" fontId="5" fillId="18" borderId="8" xfId="0" applyFont="1" applyFill="1" applyBorder="1" applyAlignment="1" applyProtection="1">
      <alignment horizontal="right"/>
      <protection hidden="1"/>
    </xf>
    <xf numFmtId="0" fontId="19" fillId="25" borderId="9" xfId="0" applyFont="1" applyFill="1" applyBorder="1" applyAlignment="1" applyProtection="1">
      <alignment horizontal="right" vertical="center"/>
      <protection hidden="1"/>
    </xf>
    <xf numFmtId="0" fontId="24" fillId="18" borderId="8" xfId="0" applyFont="1" applyFill="1" applyBorder="1" applyProtection="1">
      <protection hidden="1"/>
    </xf>
    <xf numFmtId="0" fontId="19" fillId="26" borderId="9" xfId="0" applyFont="1" applyFill="1" applyBorder="1" applyAlignment="1" applyProtection="1">
      <alignment horizontal="right" vertical="center"/>
      <protection hidden="1"/>
    </xf>
    <xf numFmtId="2" fontId="25" fillId="26" borderId="1" xfId="0" applyNumberFormat="1" applyFont="1" applyFill="1" applyBorder="1" applyAlignment="1" applyProtection="1">
      <alignment horizontal="center" vertical="center"/>
      <protection hidden="1"/>
    </xf>
    <xf numFmtId="2" fontId="42" fillId="20" borderId="0" xfId="6" applyNumberFormat="1" applyFont="1" applyFill="1" applyAlignment="1" applyProtection="1">
      <alignment horizontal="left" vertical="center"/>
      <protection hidden="1"/>
    </xf>
    <xf numFmtId="0" fontId="19" fillId="18" borderId="9" xfId="0" applyFont="1" applyFill="1" applyBorder="1" applyAlignment="1" applyProtection="1">
      <alignment horizontal="right" vertical="center"/>
      <protection hidden="1"/>
    </xf>
    <xf numFmtId="0" fontId="19" fillId="23" borderId="8" xfId="0" applyFont="1" applyFill="1" applyBorder="1" applyAlignment="1" applyProtection="1">
      <alignment horizontal="right" vertical="center"/>
      <protection hidden="1"/>
    </xf>
    <xf numFmtId="1" fontId="21" fillId="23" borderId="1" xfId="0" applyNumberFormat="1" applyFont="1" applyFill="1" applyBorder="1" applyAlignment="1" applyProtection="1">
      <alignment horizontal="center" vertical="center"/>
      <protection hidden="1"/>
    </xf>
    <xf numFmtId="2" fontId="23" fillId="18" borderId="0" xfId="0" applyNumberFormat="1" applyFont="1" applyFill="1" applyAlignment="1">
      <alignment vertical="center"/>
    </xf>
    <xf numFmtId="0" fontId="19" fillId="18" borderId="8" xfId="0" applyFont="1" applyFill="1" applyBorder="1" applyAlignment="1" applyProtection="1">
      <alignment horizontal="right" vertical="center"/>
      <protection hidden="1"/>
    </xf>
    <xf numFmtId="0" fontId="26" fillId="18" borderId="0" xfId="0" applyFont="1" applyFill="1" applyAlignment="1" applyProtection="1">
      <alignment vertical="center"/>
      <protection hidden="1"/>
    </xf>
    <xf numFmtId="0" fontId="23" fillId="18" borderId="0" xfId="0" applyFont="1" applyFill="1" applyAlignment="1">
      <alignment horizontal="center" vertical="center"/>
    </xf>
    <xf numFmtId="0" fontId="20" fillId="18" borderId="0" xfId="0" applyFont="1" applyFill="1" applyAlignment="1">
      <alignment vertical="center"/>
    </xf>
    <xf numFmtId="0" fontId="18" fillId="18" borderId="8" xfId="0" applyFont="1" applyFill="1" applyBorder="1" applyProtection="1">
      <protection hidden="1"/>
    </xf>
    <xf numFmtId="1" fontId="21" fillId="18" borderId="10" xfId="0" applyNumberFormat="1" applyFont="1" applyFill="1" applyBorder="1" applyAlignment="1" applyProtection="1">
      <alignment horizontal="center" vertical="center"/>
      <protection hidden="1"/>
    </xf>
    <xf numFmtId="0" fontId="18" fillId="18" borderId="11" xfId="0" applyFont="1" applyFill="1" applyBorder="1" applyProtection="1">
      <protection hidden="1"/>
    </xf>
    <xf numFmtId="0" fontId="19" fillId="18" borderId="12" xfId="0" applyFont="1" applyFill="1" applyBorder="1" applyAlignment="1" applyProtection="1">
      <alignment horizontal="right" vertical="center"/>
      <protection hidden="1"/>
    </xf>
    <xf numFmtId="0" fontId="21" fillId="18" borderId="1" xfId="0" applyFont="1" applyFill="1" applyBorder="1" applyAlignment="1" applyProtection="1">
      <alignment horizontal="center" vertical="center"/>
      <protection hidden="1"/>
    </xf>
    <xf numFmtId="0" fontId="19" fillId="27" borderId="0" xfId="0" applyFont="1" applyFill="1" applyAlignment="1" applyProtection="1">
      <alignment horizontal="right" vertical="center"/>
      <protection hidden="1"/>
    </xf>
    <xf numFmtId="0" fontId="24" fillId="18" borderId="1" xfId="0" applyFont="1" applyFill="1" applyBorder="1" applyAlignment="1" applyProtection="1">
      <alignment horizontal="center" vertical="center"/>
      <protection hidden="1"/>
    </xf>
    <xf numFmtId="0" fontId="10" fillId="18" borderId="6" xfId="0" applyFont="1" applyFill="1" applyBorder="1" applyAlignment="1" applyProtection="1">
      <alignment horizontal="left" vertical="center"/>
      <protection hidden="1"/>
    </xf>
    <xf numFmtId="0" fontId="19" fillId="23" borderId="7" xfId="0" applyFont="1" applyFill="1" applyBorder="1" applyAlignment="1" applyProtection="1">
      <alignment horizontal="right" vertical="center"/>
      <protection hidden="1"/>
    </xf>
    <xf numFmtId="0" fontId="5" fillId="18" borderId="8" xfId="0" applyFont="1" applyFill="1" applyBorder="1" applyAlignment="1" applyProtection="1">
      <alignment horizontal="right" vertical="center"/>
      <protection hidden="1"/>
    </xf>
    <xf numFmtId="0" fontId="19" fillId="23" borderId="9" xfId="0" applyFont="1" applyFill="1" applyBorder="1" applyAlignment="1" applyProtection="1">
      <alignment horizontal="right" vertical="center"/>
      <protection hidden="1"/>
    </xf>
    <xf numFmtId="0" fontId="19" fillId="26" borderId="9" xfId="1" applyFont="1" applyFill="1" applyBorder="1" applyAlignment="1" applyProtection="1">
      <alignment horizontal="right" vertical="center"/>
      <protection hidden="1"/>
    </xf>
    <xf numFmtId="2" fontId="21" fillId="26" borderId="1" xfId="1" applyNumberFormat="1" applyFont="1" applyFill="1" applyBorder="1" applyAlignment="1" applyProtection="1">
      <alignment horizontal="center" vertical="center"/>
      <protection hidden="1"/>
    </xf>
    <xf numFmtId="0" fontId="26" fillId="18" borderId="0" xfId="0" applyFont="1" applyFill="1" applyAlignment="1">
      <alignment horizontal="center" vertical="center"/>
    </xf>
    <xf numFmtId="1" fontId="21" fillId="18" borderId="1" xfId="0" applyNumberFormat="1" applyFont="1" applyFill="1" applyBorder="1" applyAlignment="1" applyProtection="1">
      <alignment horizontal="center" vertical="center"/>
      <protection hidden="1"/>
    </xf>
    <xf numFmtId="0" fontId="19" fillId="18" borderId="11" xfId="0" applyFont="1" applyFill="1" applyBorder="1" applyAlignment="1" applyProtection="1">
      <alignment horizontal="right" vertical="center"/>
      <protection hidden="1"/>
    </xf>
    <xf numFmtId="0" fontId="24" fillId="18" borderId="0" xfId="0" applyFont="1" applyFill="1" applyAlignment="1" applyProtection="1">
      <alignment horizontal="center" vertical="center"/>
      <protection hidden="1"/>
    </xf>
    <xf numFmtId="0" fontId="23" fillId="18" borderId="0" xfId="0" applyFont="1" applyFill="1" applyAlignment="1">
      <alignment horizontal="left" vertical="center"/>
    </xf>
    <xf numFmtId="0" fontId="26" fillId="18" borderId="0" xfId="0" applyFont="1" applyFill="1" applyAlignment="1">
      <alignment horizontal="left" vertical="center"/>
    </xf>
    <xf numFmtId="0" fontId="24" fillId="18" borderId="8" xfId="0" applyFont="1" applyFill="1" applyBorder="1" applyAlignment="1" applyProtection="1">
      <alignment horizontal="center" vertical="center"/>
      <protection hidden="1"/>
    </xf>
    <xf numFmtId="0" fontId="24" fillId="18" borderId="11" xfId="0" applyFont="1" applyFill="1" applyBorder="1" applyAlignment="1" applyProtection="1">
      <alignment horizontal="center" vertical="center"/>
      <protection hidden="1"/>
    </xf>
    <xf numFmtId="3" fontId="21" fillId="18" borderId="1" xfId="0" applyNumberFormat="1" applyFont="1" applyFill="1" applyBorder="1" applyAlignment="1" applyProtection="1">
      <alignment horizontal="center" vertical="center"/>
      <protection hidden="1"/>
    </xf>
    <xf numFmtId="0" fontId="18" fillId="18" borderId="1" xfId="0" applyFont="1" applyFill="1" applyBorder="1" applyAlignment="1" applyProtection="1">
      <alignment horizontal="center" vertical="center"/>
      <protection hidden="1"/>
    </xf>
    <xf numFmtId="0" fontId="3" fillId="18" borderId="0" xfId="0" applyFont="1" applyFill="1" applyAlignment="1">
      <alignment horizontal="center" vertical="center"/>
    </xf>
    <xf numFmtId="0" fontId="19" fillId="18" borderId="0" xfId="0" applyFont="1" applyFill="1" applyAlignment="1">
      <alignment horizontal="right" vertical="center"/>
    </xf>
    <xf numFmtId="0" fontId="24" fillId="18" borderId="1" xfId="0" applyFont="1" applyFill="1" applyBorder="1" applyAlignment="1">
      <alignment horizontal="center" vertical="center"/>
    </xf>
    <xf numFmtId="0" fontId="40" fillId="20" borderId="9" xfId="7" applyFill="1" applyBorder="1" applyAlignment="1" applyProtection="1">
      <alignment horizontal="right" vertical="center"/>
      <protection hidden="1"/>
    </xf>
    <xf numFmtId="0" fontId="26" fillId="18" borderId="0" xfId="0" applyFont="1" applyFill="1" applyAlignment="1">
      <alignment horizontal="center"/>
    </xf>
    <xf numFmtId="0" fontId="26" fillId="18" borderId="0" xfId="0" applyFont="1" applyFill="1"/>
    <xf numFmtId="0" fontId="23" fillId="18" borderId="0" xfId="0" applyFont="1" applyFill="1"/>
    <xf numFmtId="2" fontId="24" fillId="18" borderId="1" xfId="0" applyNumberFormat="1" applyFont="1" applyFill="1" applyBorder="1" applyAlignment="1">
      <alignment horizontal="center" vertical="center"/>
    </xf>
    <xf numFmtId="2" fontId="20" fillId="18" borderId="0" xfId="0" applyNumberFormat="1" applyFont="1" applyFill="1" applyAlignment="1">
      <alignment horizontal="center" vertical="center"/>
    </xf>
    <xf numFmtId="0" fontId="27" fillId="18" borderId="1" xfId="0" applyFont="1" applyFill="1" applyBorder="1" applyAlignment="1">
      <alignment horizontal="center" vertical="center"/>
    </xf>
    <xf numFmtId="0" fontId="27" fillId="18" borderId="0" xfId="0" applyFont="1" applyFill="1" applyAlignment="1">
      <alignment horizontal="center" vertical="center"/>
    </xf>
    <xf numFmtId="0" fontId="12" fillId="18" borderId="0" xfId="0" applyFont="1" applyFill="1" applyAlignment="1">
      <alignment horizontal="right" vertical="center"/>
    </xf>
    <xf numFmtId="2" fontId="18" fillId="18" borderId="0" xfId="0" applyNumberFormat="1" applyFont="1" applyFill="1" applyAlignment="1">
      <alignment horizontal="center" vertical="center"/>
    </xf>
    <xf numFmtId="2" fontId="24" fillId="18" borderId="0" xfId="0" applyNumberFormat="1" applyFont="1" applyFill="1" applyAlignment="1">
      <alignment horizontal="center" vertical="center"/>
    </xf>
    <xf numFmtId="0" fontId="12" fillId="18" borderId="0" xfId="0" applyFont="1" applyFill="1" applyAlignment="1">
      <alignment horizontal="center"/>
    </xf>
    <xf numFmtId="2" fontId="11" fillId="18" borderId="0" xfId="0" applyNumberFormat="1" applyFont="1" applyFill="1" applyAlignment="1">
      <alignment horizontal="center" vertical="center"/>
    </xf>
    <xf numFmtId="0" fontId="10" fillId="28" borderId="1" xfId="0" applyFont="1" applyFill="1" applyBorder="1" applyAlignment="1" applyProtection="1">
      <alignment horizontal="center" vertical="center"/>
      <protection locked="0"/>
    </xf>
    <xf numFmtId="0" fontId="14" fillId="29" borderId="1" xfId="0" applyFont="1" applyFill="1" applyBorder="1" applyAlignment="1" applyProtection="1">
      <alignment horizontal="center" vertical="center"/>
      <protection locked="0"/>
    </xf>
    <xf numFmtId="0" fontId="2" fillId="18" borderId="1" xfId="0" applyFont="1" applyFill="1" applyBorder="1" applyAlignment="1" applyProtection="1">
      <alignment horizontal="center"/>
      <protection locked="0"/>
    </xf>
    <xf numFmtId="0" fontId="12" fillId="18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/>
      <protection locked="0"/>
    </xf>
    <xf numFmtId="0" fontId="11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168" fontId="3" fillId="0" borderId="16" xfId="0" applyNumberFormat="1" applyFont="1" applyBorder="1" applyAlignment="1" applyProtection="1">
      <alignment horizontal="center" vertical="center"/>
      <protection locked="0"/>
    </xf>
    <xf numFmtId="168" fontId="2" fillId="0" borderId="0" xfId="0" applyNumberFormat="1" applyFont="1" applyAlignment="1" applyProtection="1">
      <alignment vertical="center"/>
      <protection locked="0"/>
    </xf>
    <xf numFmtId="0" fontId="2" fillId="18" borderId="0" xfId="0" applyFont="1" applyFill="1" applyAlignment="1">
      <alignment horizontal="right" vertical="center"/>
    </xf>
    <xf numFmtId="0" fontId="20" fillId="0" borderId="1" xfId="0" applyFont="1" applyBorder="1" applyAlignment="1">
      <alignment horizontal="center" vertical="center" wrapText="1"/>
    </xf>
    <xf numFmtId="0" fontId="3" fillId="18" borderId="0" xfId="0" applyFont="1" applyFill="1" applyAlignment="1">
      <alignment horizontal="center"/>
    </xf>
    <xf numFmtId="0" fontId="11" fillId="18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0" fontId="11" fillId="18" borderId="0" xfId="0" applyFont="1" applyFill="1" applyAlignment="1">
      <alignment horizontal="left" vertical="center"/>
    </xf>
    <xf numFmtId="0" fontId="12" fillId="18" borderId="0" xfId="0" applyFont="1" applyFill="1" applyAlignment="1">
      <alignment horizontal="left" vertical="center"/>
    </xf>
    <xf numFmtId="0" fontId="3" fillId="0" borderId="0" xfId="0" applyFont="1" applyAlignment="1">
      <alignment horizontal="left" indent="1"/>
    </xf>
    <xf numFmtId="1" fontId="3" fillId="18" borderId="19" xfId="0" applyNumberFormat="1" applyFont="1" applyFill="1" applyBorder="1" applyAlignment="1" applyProtection="1">
      <alignment horizontal="center" vertical="center" wrapText="1"/>
      <protection locked="0" hidden="1"/>
    </xf>
    <xf numFmtId="1" fontId="2" fillId="18" borderId="19" xfId="0" applyNumberFormat="1" applyFont="1" applyFill="1" applyBorder="1" applyAlignment="1" applyProtection="1">
      <alignment horizontal="center" vertical="center" wrapText="1"/>
      <protection locked="0" hidden="1"/>
    </xf>
    <xf numFmtId="0" fontId="46" fillId="18" borderId="0" xfId="0" applyFont="1" applyFill="1"/>
    <xf numFmtId="0" fontId="47" fillId="18" borderId="0" xfId="0" applyFont="1" applyFill="1" applyAlignment="1">
      <alignment vertical="center"/>
    </xf>
    <xf numFmtId="0" fontId="2" fillId="18" borderId="0" xfId="0" applyFont="1" applyFill="1" applyAlignment="1">
      <alignment horizontal="center"/>
    </xf>
    <xf numFmtId="168" fontId="13" fillId="21" borderId="3" xfId="0" applyNumberFormat="1" applyFont="1" applyFill="1" applyBorder="1" applyAlignment="1" applyProtection="1">
      <alignment horizontal="center" vertical="center"/>
      <protection locked="0"/>
    </xf>
    <xf numFmtId="168" fontId="13" fillId="21" borderId="5" xfId="0" applyNumberFormat="1" applyFont="1" applyFill="1" applyBorder="1" applyAlignment="1" applyProtection="1">
      <alignment horizontal="center" vertical="center"/>
      <protection locked="0"/>
    </xf>
    <xf numFmtId="0" fontId="16" fillId="18" borderId="0" xfId="0" applyFont="1" applyFill="1" applyAlignment="1">
      <alignment vertical="center"/>
    </xf>
    <xf numFmtId="0" fontId="2" fillId="18" borderId="0" xfId="0" applyFont="1" applyFill="1" applyAlignment="1" applyProtection="1">
      <alignment horizontal="right" vertical="center"/>
      <protection hidden="1"/>
    </xf>
    <xf numFmtId="2" fontId="23" fillId="18" borderId="1" xfId="0" applyNumberFormat="1" applyFont="1" applyFill="1" applyBorder="1" applyAlignment="1" applyProtection="1">
      <alignment horizontal="center" vertical="center"/>
      <protection hidden="1"/>
    </xf>
    <xf numFmtId="0" fontId="26" fillId="18" borderId="1" xfId="0" applyFont="1" applyFill="1" applyBorder="1" applyAlignment="1">
      <alignment horizontal="center" vertical="center"/>
    </xf>
    <xf numFmtId="0" fontId="11" fillId="18" borderId="0" xfId="0" applyFont="1" applyFill="1" applyAlignment="1">
      <alignment vertical="center"/>
    </xf>
    <xf numFmtId="0" fontId="26" fillId="18" borderId="1" xfId="0" applyFont="1" applyFill="1" applyBorder="1" applyAlignment="1" applyProtection="1">
      <alignment horizontal="center" vertical="center"/>
      <protection hidden="1"/>
    </xf>
    <xf numFmtId="2" fontId="20" fillId="18" borderId="1" xfId="0" applyNumberFormat="1" applyFont="1" applyFill="1" applyBorder="1" applyAlignment="1">
      <alignment horizontal="center" vertical="center"/>
    </xf>
    <xf numFmtId="2" fontId="23" fillId="18" borderId="1" xfId="0" applyNumberFormat="1" applyFont="1" applyFill="1" applyBorder="1" applyAlignment="1">
      <alignment horizontal="center" vertical="center"/>
    </xf>
    <xf numFmtId="164" fontId="22" fillId="0" borderId="0" xfId="0" applyNumberFormat="1" applyFont="1" applyAlignment="1" applyProtection="1">
      <alignment horizontal="center" vertical="center"/>
      <protection hidden="1"/>
    </xf>
    <xf numFmtId="1" fontId="23" fillId="18" borderId="1" xfId="0" applyNumberFormat="1" applyFont="1" applyFill="1" applyBorder="1" applyAlignment="1" applyProtection="1">
      <alignment horizontal="center" vertical="center"/>
      <protection hidden="1"/>
    </xf>
    <xf numFmtId="0" fontId="3" fillId="18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 applyProtection="1">
      <alignment horizontal="left" vertical="center"/>
      <protection locked="0"/>
    </xf>
    <xf numFmtId="0" fontId="23" fillId="18" borderId="0" xfId="0" applyFont="1" applyFill="1" applyAlignment="1">
      <alignment horizontal="center" vertical="center"/>
    </xf>
    <xf numFmtId="0" fontId="22" fillId="0" borderId="0" xfId="0" applyFont="1" applyProtection="1">
      <protection hidden="1"/>
    </xf>
    <xf numFmtId="0" fontId="11" fillId="18" borderId="1" xfId="0" applyFont="1" applyFill="1" applyBorder="1" applyAlignment="1">
      <alignment horizontal="right" vertical="center"/>
    </xf>
    <xf numFmtId="2" fontId="13" fillId="17" borderId="1" xfId="0" applyNumberFormat="1" applyFont="1" applyFill="1" applyBorder="1" applyAlignment="1" applyProtection="1">
      <alignment horizontal="left" vertical="center"/>
      <protection locked="0"/>
    </xf>
    <xf numFmtId="168" fontId="13" fillId="17" borderId="3" xfId="0" applyNumberFormat="1" applyFont="1" applyFill="1" applyBorder="1" applyAlignment="1" applyProtection="1">
      <alignment horizontal="center" vertical="center"/>
      <protection locked="0"/>
    </xf>
    <xf numFmtId="168" fontId="13" fillId="17" borderId="5" xfId="0" applyNumberFormat="1" applyFont="1" applyFill="1" applyBorder="1" applyAlignment="1" applyProtection="1">
      <alignment horizontal="center" vertical="center"/>
      <protection locked="0"/>
    </xf>
    <xf numFmtId="0" fontId="13" fillId="17" borderId="1" xfId="0" applyFont="1" applyFill="1" applyBorder="1" applyAlignment="1" applyProtection="1">
      <alignment horizontal="left" vertical="center"/>
      <protection locked="0"/>
    </xf>
    <xf numFmtId="168" fontId="3" fillId="0" borderId="3" xfId="0" applyNumberFormat="1" applyFont="1" applyBorder="1" applyAlignment="1" applyProtection="1">
      <alignment horizontal="center" vertical="center"/>
      <protection locked="0"/>
    </xf>
    <xf numFmtId="168" fontId="3" fillId="0" borderId="5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 hidden="1"/>
    </xf>
    <xf numFmtId="20" fontId="3" fillId="0" borderId="16" xfId="0" applyNumberFormat="1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168" fontId="3" fillId="0" borderId="16" xfId="0" applyNumberFormat="1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2" fillId="18" borderId="1" xfId="0" applyFont="1" applyFill="1" applyBorder="1" applyAlignment="1">
      <alignment horizontal="right" vertical="center"/>
    </xf>
    <xf numFmtId="0" fontId="2" fillId="0" borderId="0" xfId="0" applyFont="1" applyProtection="1">
      <protection locked="0" hidden="1"/>
    </xf>
    <xf numFmtId="0" fontId="11" fillId="18" borderId="0" xfId="0" applyFont="1" applyFill="1" applyAlignment="1">
      <alignment horizontal="center"/>
    </xf>
    <xf numFmtId="0" fontId="12" fillId="18" borderId="0" xfId="0" applyFont="1" applyFill="1" applyAlignment="1">
      <alignment horizontal="center"/>
    </xf>
    <xf numFmtId="168" fontId="38" fillId="18" borderId="8" xfId="0" applyNumberFormat="1" applyFont="1" applyFill="1" applyBorder="1" applyAlignment="1" applyProtection="1">
      <alignment horizontal="center" vertical="center"/>
      <protection hidden="1"/>
    </xf>
    <xf numFmtId="168" fontId="38" fillId="18" borderId="0" xfId="0" applyNumberFormat="1" applyFont="1" applyFill="1" applyAlignment="1" applyProtection="1">
      <alignment horizontal="center" vertical="center"/>
      <protection hidden="1"/>
    </xf>
    <xf numFmtId="0" fontId="2" fillId="0" borderId="16" xfId="0" applyFont="1" applyBorder="1" applyAlignment="1" applyProtection="1">
      <alignment horizontal="left" vertical="center"/>
      <protection locked="0" hidden="1"/>
    </xf>
    <xf numFmtId="0" fontId="2" fillId="0" borderId="14" xfId="0" applyFont="1" applyBorder="1" applyAlignment="1" applyProtection="1">
      <alignment horizontal="left" vertical="center"/>
      <protection locked="0" hidden="1"/>
    </xf>
    <xf numFmtId="0" fontId="11" fillId="0" borderId="17" xfId="0" applyFont="1" applyBorder="1" applyAlignment="1" applyProtection="1">
      <alignment horizontal="left"/>
      <protection locked="0"/>
    </xf>
    <xf numFmtId="2" fontId="22" fillId="0" borderId="0" xfId="0" applyNumberFormat="1" applyFont="1" applyAlignment="1" applyProtection="1">
      <alignment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Alignment="1" applyProtection="1">
      <alignment horizontal="left"/>
      <protection hidden="1"/>
    </xf>
    <xf numFmtId="0" fontId="2" fillId="0" borderId="0" xfId="0" applyFont="1" applyAlignment="1" applyProtection="1">
      <alignment horizontal="center"/>
      <protection locked="0" hidden="1"/>
    </xf>
    <xf numFmtId="168" fontId="3" fillId="0" borderId="13" xfId="0" applyNumberFormat="1" applyFont="1" applyBorder="1" applyAlignment="1" applyProtection="1">
      <alignment horizontal="center" vertical="center"/>
      <protection locked="0"/>
    </xf>
    <xf numFmtId="20" fontId="2" fillId="0" borderId="16" xfId="0" applyNumberFormat="1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hidden="1"/>
    </xf>
    <xf numFmtId="0" fontId="20" fillId="0" borderId="2" xfId="0" applyFont="1" applyBorder="1" applyAlignment="1" applyProtection="1">
      <alignment horizontal="center" vertical="center" wrapText="1"/>
      <protection locked="0" hidden="1"/>
    </xf>
    <xf numFmtId="0" fontId="11" fillId="0" borderId="0" xfId="0" applyFont="1" applyProtection="1">
      <protection locked="0"/>
    </xf>
    <xf numFmtId="0" fontId="8" fillId="6" borderId="2" xfId="0" applyFont="1" applyFill="1" applyBorder="1" applyAlignment="1" applyProtection="1">
      <alignment horizontal="center" vertical="center" wrapText="1"/>
      <protection hidden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1" fillId="0" borderId="0" xfId="0" applyFont="1" applyProtection="1">
      <protection locked="0" hidden="1"/>
    </xf>
    <xf numFmtId="0" fontId="11" fillId="0" borderId="17" xfId="0" applyFont="1" applyBorder="1" applyAlignment="1" applyProtection="1">
      <alignment horizontal="left"/>
      <protection locked="0" hidden="1"/>
    </xf>
    <xf numFmtId="168" fontId="3" fillId="0" borderId="3" xfId="0" applyNumberFormat="1" applyFont="1" applyBorder="1" applyAlignment="1" applyProtection="1">
      <alignment horizontal="center" vertical="center"/>
      <protection locked="0" hidden="1"/>
    </xf>
    <xf numFmtId="168" fontId="3" fillId="0" borderId="5" xfId="0" applyNumberFormat="1" applyFont="1" applyBorder="1" applyAlignment="1" applyProtection="1">
      <alignment horizontal="center" vertical="center"/>
      <protection locked="0" hidden="1"/>
    </xf>
    <xf numFmtId="20" fontId="3" fillId="0" borderId="16" xfId="0" applyNumberFormat="1" applyFont="1" applyBorder="1" applyAlignment="1" applyProtection="1">
      <alignment horizontal="center" vertical="center"/>
      <protection locked="0" hidden="1"/>
    </xf>
    <xf numFmtId="0" fontId="3" fillId="0" borderId="16" xfId="0" applyFont="1" applyBorder="1" applyAlignment="1" applyProtection="1">
      <alignment horizontal="center" vertical="center"/>
      <protection locked="0" hidden="1"/>
    </xf>
    <xf numFmtId="0" fontId="3" fillId="0" borderId="14" xfId="0" applyFont="1" applyBorder="1" applyAlignment="1" applyProtection="1">
      <alignment horizontal="center" vertical="center"/>
      <protection locked="0" hidden="1"/>
    </xf>
    <xf numFmtId="168" fontId="3" fillId="0" borderId="16" xfId="0" applyNumberFormat="1" applyFont="1" applyBorder="1" applyAlignment="1" applyProtection="1">
      <alignment horizontal="center" vertical="center"/>
      <protection locked="0" hidden="1"/>
    </xf>
    <xf numFmtId="168" fontId="3" fillId="0" borderId="13" xfId="0" applyNumberFormat="1" applyFont="1" applyBorder="1" applyAlignment="1" applyProtection="1">
      <alignment horizontal="center" vertical="center"/>
      <protection locked="0" hidden="1"/>
    </xf>
    <xf numFmtId="20" fontId="2" fillId="0" borderId="16" xfId="0" applyNumberFormat="1" applyFont="1" applyBorder="1" applyAlignment="1" applyProtection="1">
      <alignment horizontal="center" vertical="center"/>
      <protection locked="0" hidden="1"/>
    </xf>
    <xf numFmtId="0" fontId="2" fillId="0" borderId="14" xfId="0" applyFont="1" applyBorder="1" applyAlignment="1" applyProtection="1">
      <alignment horizontal="center" vertical="center"/>
      <protection locked="0" hidden="1"/>
    </xf>
    <xf numFmtId="0" fontId="2" fillId="0" borderId="16" xfId="0" applyFont="1" applyBorder="1" applyAlignment="1" applyProtection="1">
      <alignment horizontal="center" vertical="center"/>
      <protection locked="0" hidden="1"/>
    </xf>
    <xf numFmtId="0" fontId="13" fillId="17" borderId="20" xfId="0" applyFont="1" applyFill="1" applyBorder="1" applyAlignment="1" applyProtection="1">
      <alignment horizontal="left" vertical="center"/>
      <protection locked="0"/>
    </xf>
    <xf numFmtId="0" fontId="13" fillId="17" borderId="21" xfId="0" applyFont="1" applyFill="1" applyBorder="1" applyAlignment="1" applyProtection="1">
      <alignment horizontal="left" vertical="center"/>
      <protection locked="0"/>
    </xf>
    <xf numFmtId="0" fontId="13" fillId="17" borderId="22" xfId="0" applyFont="1" applyFill="1" applyBorder="1" applyAlignment="1" applyProtection="1">
      <alignment horizontal="left" vertical="center"/>
      <protection locked="0"/>
    </xf>
    <xf numFmtId="2" fontId="20" fillId="0" borderId="2" xfId="0" applyNumberFormat="1" applyFont="1" applyBorder="1" applyAlignment="1" applyProtection="1">
      <alignment horizontal="center" vertical="center" wrapText="1"/>
      <protection locked="0" hidden="1"/>
    </xf>
    <xf numFmtId="0" fontId="0" fillId="18" borderId="0" xfId="0" applyFill="1" applyAlignment="1">
      <alignment horizontal="center"/>
    </xf>
    <xf numFmtId="0" fontId="41" fillId="18" borderId="0" xfId="0" applyFont="1" applyFill="1" applyAlignment="1">
      <alignment horizontal="center"/>
    </xf>
    <xf numFmtId="0" fontId="2" fillId="18" borderId="0" xfId="0" applyFont="1" applyFill="1" applyAlignment="1">
      <alignment horizontal="center" vertical="center"/>
    </xf>
    <xf numFmtId="0" fontId="2" fillId="18" borderId="4" xfId="0" applyFont="1" applyFill="1" applyBorder="1" applyAlignment="1" applyProtection="1">
      <alignment horizontal="center" vertical="center" wrapText="1"/>
      <protection locked="0"/>
    </xf>
    <xf numFmtId="0" fontId="6" fillId="17" borderId="3" xfId="0" applyFont="1" applyFill="1" applyBorder="1" applyAlignment="1" applyProtection="1">
      <alignment horizontal="left" vertical="center"/>
      <protection locked="0"/>
    </xf>
    <xf numFmtId="0" fontId="6" fillId="17" borderId="4" xfId="0" applyFont="1" applyFill="1" applyBorder="1" applyAlignment="1" applyProtection="1">
      <alignment horizontal="left" vertical="center"/>
      <protection locked="0"/>
    </xf>
    <xf numFmtId="0" fontId="6" fillId="17" borderId="5" xfId="0" applyFont="1" applyFill="1" applyBorder="1" applyAlignment="1" applyProtection="1">
      <alignment horizontal="left" vertical="center"/>
      <protection locked="0"/>
    </xf>
    <xf numFmtId="0" fontId="2" fillId="17" borderId="1" xfId="0" applyFont="1" applyFill="1" applyBorder="1" applyAlignment="1" applyProtection="1">
      <alignment horizontal="center" vertical="center" wrapText="1"/>
      <protection locked="0"/>
    </xf>
    <xf numFmtId="0" fontId="3" fillId="18" borderId="0" xfId="0" applyFont="1" applyFill="1" applyAlignment="1" applyProtection="1">
      <alignment horizontal="left" vertical="center"/>
      <protection hidden="1"/>
    </xf>
    <xf numFmtId="0" fontId="43" fillId="18" borderId="0" xfId="5" applyFont="1" applyFill="1" applyAlignment="1">
      <alignment vertical="center"/>
    </xf>
    <xf numFmtId="0" fontId="43" fillId="18" borderId="0" xfId="8" applyFont="1" applyFill="1" applyAlignment="1">
      <alignment vertical="center"/>
    </xf>
    <xf numFmtId="0" fontId="44" fillId="18" borderId="0" xfId="0" applyFont="1" applyFill="1" applyAlignment="1">
      <alignment vertical="center"/>
    </xf>
    <xf numFmtId="0" fontId="2" fillId="18" borderId="0" xfId="0" applyFont="1" applyFill="1" applyAlignment="1">
      <alignment horizontal="right" vertical="center"/>
    </xf>
    <xf numFmtId="0" fontId="43" fillId="18" borderId="0" xfId="5" applyFont="1" applyFill="1" applyAlignment="1">
      <alignment horizontal="left" vertical="center"/>
    </xf>
    <xf numFmtId="0" fontId="43" fillId="18" borderId="9" xfId="5" applyFont="1" applyFill="1" applyBorder="1" applyAlignment="1">
      <alignment horizontal="left" vertical="center"/>
    </xf>
    <xf numFmtId="172" fontId="11" fillId="18" borderId="0" xfId="0" applyNumberFormat="1" applyFont="1" applyFill="1" applyAlignment="1">
      <alignment horizontal="center"/>
    </xf>
    <xf numFmtId="172" fontId="6" fillId="17" borderId="3" xfId="0" applyNumberFormat="1" applyFont="1" applyFill="1" applyBorder="1" applyAlignment="1" applyProtection="1">
      <alignment horizontal="left" vertical="center"/>
      <protection locked="0"/>
    </xf>
    <xf numFmtId="172" fontId="6" fillId="17" borderId="4" xfId="0" applyNumberFormat="1" applyFont="1" applyFill="1" applyBorder="1" applyAlignment="1" applyProtection="1">
      <alignment horizontal="left" vertical="center"/>
      <protection locked="0"/>
    </xf>
    <xf numFmtId="172" fontId="6" fillId="17" borderId="5" xfId="0" applyNumberFormat="1" applyFont="1" applyFill="1" applyBorder="1" applyAlignment="1" applyProtection="1">
      <alignment horizontal="left" vertical="center"/>
      <protection locked="0"/>
    </xf>
    <xf numFmtId="0" fontId="29" fillId="0" borderId="0" xfId="0" applyFont="1" applyAlignment="1">
      <alignment horizontal="left" vertical="center"/>
    </xf>
    <xf numFmtId="0" fontId="32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49" fontId="31" fillId="0" borderId="0" xfId="0" applyNumberFormat="1" applyFont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2" fontId="22" fillId="0" borderId="1" xfId="0" applyNumberFormat="1" applyFont="1" applyBorder="1" applyAlignment="1">
      <alignment horizontal="center" vertical="center"/>
    </xf>
    <xf numFmtId="0" fontId="36" fillId="0" borderId="13" xfId="6" applyFont="1" applyFill="1" applyBorder="1" applyAlignment="1" applyProtection="1">
      <alignment horizontal="center"/>
      <protection hidden="1"/>
    </xf>
    <xf numFmtId="0" fontId="36" fillId="0" borderId="14" xfId="6" applyFont="1" applyFill="1" applyBorder="1" applyAlignment="1" applyProtection="1">
      <alignment horizontal="center"/>
      <protection hidden="1"/>
    </xf>
    <xf numFmtId="0" fontId="2" fillId="18" borderId="0" xfId="0" applyFont="1" applyFill="1" applyAlignment="1">
      <alignment horizontal="left"/>
    </xf>
    <xf numFmtId="1" fontId="28" fillId="0" borderId="13" xfId="0" applyNumberFormat="1" applyFont="1" applyBorder="1" applyAlignment="1" applyProtection="1">
      <alignment horizontal="center"/>
      <protection hidden="1"/>
    </xf>
    <xf numFmtId="0" fontId="28" fillId="0" borderId="14" xfId="0" applyFont="1" applyBorder="1" applyAlignment="1" applyProtection="1">
      <alignment horizontal="center"/>
      <protection hidden="1"/>
    </xf>
    <xf numFmtId="0" fontId="28" fillId="0" borderId="13" xfId="0" applyFont="1" applyBorder="1" applyAlignment="1" applyProtection="1">
      <alignment horizontal="center"/>
      <protection hidden="1"/>
    </xf>
    <xf numFmtId="0" fontId="11" fillId="18" borderId="18" xfId="0" applyFont="1" applyFill="1" applyBorder="1" applyAlignment="1">
      <alignment horizontal="center"/>
    </xf>
  </cellXfs>
  <cellStyles count="9">
    <cellStyle name="azul" xfId="2" xr:uid="{00000000-0005-0000-0000-000000000000}"/>
    <cellStyle name="Bueno" xfId="6" builtinId="26"/>
    <cellStyle name="FESTIVO" xfId="4" xr:uid="{00000000-0005-0000-0000-000002000000}"/>
    <cellStyle name="Hipervínculo" xfId="5" builtinId="8"/>
    <cellStyle name="Hipervínculo visitado" xfId="8" builtinId="9"/>
    <cellStyle name="Incorrecto" xfId="7" builtinId="27"/>
    <cellStyle name="marron" xfId="3" xr:uid="{00000000-0005-0000-0000-000005000000}"/>
    <cellStyle name="Normal" xfId="0" builtinId="0"/>
    <cellStyle name="rojo" xfId="1" xr:uid="{00000000-0005-0000-0000-000007000000}"/>
  </cellStyles>
  <dxfs count="13">
    <dxf>
      <font>
        <b/>
        <i val="0"/>
        <condense val="0"/>
        <extend val="0"/>
        <sz val="10.5"/>
      </font>
      <fill>
        <patternFill patternType="solid">
          <fgColor indexed="51"/>
          <bgColor indexed="52"/>
        </patternFill>
      </fill>
    </dxf>
    <dxf>
      <font>
        <b/>
        <i val="0"/>
        <condense val="0"/>
        <extend val="0"/>
        <sz val="10.5"/>
      </font>
      <fill>
        <patternFill patternType="solid">
          <fgColor indexed="51"/>
          <bgColor indexed="52"/>
        </patternFill>
      </fill>
    </dxf>
    <dxf>
      <font>
        <b/>
        <i val="0"/>
        <condense val="0"/>
        <extend val="0"/>
        <sz val="10.5"/>
      </font>
      <fill>
        <patternFill patternType="solid">
          <fgColor indexed="51"/>
          <bgColor indexed="52"/>
        </patternFill>
      </fill>
    </dxf>
    <dxf>
      <font>
        <b/>
        <i val="0"/>
        <condense val="0"/>
        <extend val="0"/>
        <sz val="10.5"/>
      </font>
      <fill>
        <patternFill patternType="solid">
          <fgColor indexed="51"/>
          <bgColor indexed="52"/>
        </patternFill>
      </fill>
    </dxf>
    <dxf>
      <font>
        <b/>
        <i val="0"/>
        <condense val="0"/>
        <extend val="0"/>
        <sz val="10.5"/>
      </font>
      <fill>
        <patternFill patternType="solid">
          <fgColor indexed="51"/>
          <bgColor indexed="52"/>
        </patternFill>
      </fill>
    </dxf>
    <dxf>
      <font>
        <b/>
        <i val="0"/>
        <condense val="0"/>
        <extend val="0"/>
        <sz val="10.5"/>
      </font>
      <fill>
        <patternFill patternType="solid">
          <fgColor indexed="51"/>
          <bgColor indexed="52"/>
        </patternFill>
      </fill>
    </dxf>
    <dxf>
      <font>
        <b/>
        <i val="0"/>
        <condense val="0"/>
        <extend val="0"/>
        <sz val="10.5"/>
      </font>
      <fill>
        <patternFill patternType="solid">
          <fgColor indexed="51"/>
          <bgColor indexed="52"/>
        </patternFill>
      </fill>
    </dxf>
    <dxf>
      <font>
        <b/>
        <i val="0"/>
        <condense val="0"/>
        <extend val="0"/>
        <sz val="10.5"/>
      </font>
      <fill>
        <patternFill patternType="solid">
          <fgColor indexed="51"/>
          <bgColor indexed="52"/>
        </patternFill>
      </fill>
    </dxf>
    <dxf>
      <font>
        <b/>
        <i val="0"/>
        <condense val="0"/>
        <extend val="0"/>
        <sz val="10.5"/>
      </font>
      <fill>
        <patternFill patternType="solid">
          <fgColor indexed="51"/>
          <bgColor indexed="52"/>
        </patternFill>
      </fill>
    </dxf>
    <dxf>
      <font>
        <b/>
        <i val="0"/>
        <condense val="0"/>
        <extend val="0"/>
        <sz val="10.5"/>
      </font>
      <fill>
        <patternFill patternType="solid">
          <fgColor indexed="51"/>
          <bgColor indexed="52"/>
        </patternFill>
      </fill>
    </dxf>
    <dxf>
      <font>
        <b/>
        <i val="0"/>
        <condense val="0"/>
        <extend val="0"/>
        <sz val="10.5"/>
      </font>
      <fill>
        <patternFill patternType="solid">
          <fgColor indexed="51"/>
          <bgColor indexed="52"/>
        </patternFill>
      </fill>
    </dxf>
    <dxf>
      <font>
        <b/>
        <i val="0"/>
        <condense val="0"/>
        <extend val="0"/>
        <sz val="10.5"/>
      </font>
      <fill>
        <patternFill patternType="solid">
          <fgColor indexed="51"/>
          <bgColor indexed="52"/>
        </patternFill>
      </fill>
    </dxf>
    <dxf>
      <font>
        <b/>
        <i val="0"/>
        <condense val="0"/>
        <extend val="0"/>
        <sz val="10.5"/>
      </font>
      <fill>
        <patternFill patternType="solid">
          <fgColor indexed="51"/>
          <bgColor indexed="5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23FF23"/>
      <rgbColor rgb="000000FF"/>
      <rgbColor rgb="00FFFF00"/>
      <rgbColor rgb="00FF00FF"/>
      <rgbColor rgb="0000FFFF"/>
      <rgbColor rgb="00800000"/>
      <rgbColor rgb="00008000"/>
      <rgbColor rgb="00000080"/>
      <rgbColor rgb="00996633"/>
      <rgbColor rgb="00800080"/>
      <rgbColor rgb="00008080"/>
      <rgbColor rgb="00C0C0C0"/>
      <rgbColor rgb="00808080"/>
      <rgbColor rgb="009999FF"/>
      <rgbColor rgb="00FF3366"/>
      <rgbColor rgb="00FFFFCC"/>
      <rgbColor rgb="00CCFFFF"/>
      <rgbColor rgb="00660066"/>
      <rgbColor rgb="00FF66FF"/>
      <rgbColor rgb="000084D1"/>
      <rgbColor rgb="00CCCCFF"/>
      <rgbColor rgb="00280099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99FF99"/>
      <rgbColor rgb="00FFFF99"/>
      <rgbColor rgb="0099CCFF"/>
      <rgbColor rgb="00FF9999"/>
      <rgbColor rgb="00CC99FF"/>
      <rgbColor rgb="00FFCC99"/>
      <rgbColor rgb="003366FF"/>
      <rgbColor rgb="0033CCCC"/>
      <rgbColor rgb="0099CC00"/>
      <rgbColor rgb="00FFCC00"/>
      <rgbColor rgb="00FF950E"/>
      <rgbColor rgb="00FF420E"/>
      <rgbColor rgb="00666699"/>
      <rgbColor rgb="00969696"/>
      <rgbColor rgb="00003366"/>
      <rgbColor rgb="00339966"/>
      <rgbColor rgb="00003300"/>
      <rgbColor rgb="00333300"/>
      <rgbColor rgb="00FF3300"/>
      <rgbColor rgb="00FF3333"/>
      <rgbColor rgb="00333399"/>
      <rgbColor rgb="00333333"/>
    </indexedColors>
    <mruColors>
      <color rgb="FFE490D2"/>
      <color rgb="FFA828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1108365</xdr:colOff>
      <xdr:row>41</xdr:row>
      <xdr:rowOff>95250</xdr:rowOff>
    </xdr:from>
    <xdr:to>
      <xdr:col>1</xdr:col>
      <xdr:colOff>623456</xdr:colOff>
      <xdr:row>45</xdr:row>
      <xdr:rowOff>43296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9FE5F7-1AD9-4477-84F2-E22C1D4E7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365" y="9525000"/>
          <a:ext cx="813955" cy="8139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scar.org.es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oscar.org.es/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oscar.org.es/" TargetMode="Externa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oscar.org.es/" TargetMode="Externa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oscar.org.es/" TargetMode="External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oscar.org.es/" TargetMode="External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oscar.org.es/" TargetMode="External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oscar.org.es/" TargetMode="External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oscar.org.es/" TargetMode="External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oscar.org.es/" TargetMode="External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oscar.org.es/" TargetMode="External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oscar.org.es/" TargetMode="External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oscaro@gmx.com" TargetMode="External"/><Relationship Id="rId7" Type="http://schemas.openxmlformats.org/officeDocument/2006/relationships/comments" Target="../comments13.xml"/><Relationship Id="rId2" Type="http://schemas.openxmlformats.org/officeDocument/2006/relationships/hyperlink" Target="https://t.me/sectorseguridad" TargetMode="External"/><Relationship Id="rId1" Type="http://schemas.openxmlformats.org/officeDocument/2006/relationships/hyperlink" Target="http://oscar.org.es/" TargetMode="External"/><Relationship Id="rId6" Type="http://schemas.openxmlformats.org/officeDocument/2006/relationships/vmlDrawing" Target="../drawings/vmlDrawing13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S206"/>
  <sheetViews>
    <sheetView showGridLines="0" showRowColHeaders="0" topLeftCell="A3" zoomScale="120" zoomScaleNormal="120" zoomScaleSheetLayoutView="75" workbookViewId="0">
      <selection activeCell="H17" sqref="H17"/>
    </sheetView>
  </sheetViews>
  <sheetFormatPr baseColWidth="10" defaultColWidth="11.140625" defaultRowHeight="20.25" customHeight="1" x14ac:dyDescent="0.25"/>
  <cols>
    <col min="1" max="2" width="9.7109375" style="1" customWidth="1"/>
    <col min="3" max="6" width="3.28515625" style="1" customWidth="1"/>
    <col min="7" max="7" width="3.28515625" style="2" customWidth="1"/>
    <col min="8" max="13" width="3.28515625" style="1" customWidth="1"/>
    <col min="14" max="14" width="3.28515625" style="2" customWidth="1"/>
    <col min="15" max="33" width="3.28515625" style="1" customWidth="1"/>
    <col min="34" max="34" width="7.7109375" style="1" customWidth="1"/>
    <col min="35" max="38" width="4.7109375" style="1" customWidth="1"/>
    <col min="39" max="59" width="6.7109375" style="1" hidden="1" customWidth="1"/>
    <col min="60" max="83" width="4.7109375" style="1" hidden="1" customWidth="1"/>
    <col min="84" max="95" width="0" style="1" hidden="1" customWidth="1"/>
    <col min="96" max="16384" width="11.140625" style="1"/>
  </cols>
  <sheetData>
    <row r="1" spans="1:97" s="2" customFormat="1" ht="19.5" customHeight="1" x14ac:dyDescent="0.35">
      <c r="B1" s="3"/>
      <c r="M1" s="4"/>
      <c r="U1" s="5"/>
      <c r="V1" s="6"/>
      <c r="Z1" s="7"/>
      <c r="AA1" s="7"/>
      <c r="AB1" s="7"/>
      <c r="AC1" s="7"/>
      <c r="AD1" s="7"/>
      <c r="AE1" s="7"/>
      <c r="AF1" s="7"/>
      <c r="AG1" s="1"/>
      <c r="AH1" s="1"/>
      <c r="AI1" s="1"/>
      <c r="AJ1" s="1"/>
    </row>
    <row r="2" spans="1:97" s="2" customFormat="1" ht="19.5" customHeight="1" x14ac:dyDescent="0.35">
      <c r="B2" s="3"/>
      <c r="M2" s="4"/>
      <c r="U2" s="5"/>
      <c r="V2" s="6"/>
      <c r="Z2" s="7"/>
      <c r="AA2" s="7"/>
      <c r="AB2" s="7"/>
      <c r="AC2" s="7"/>
      <c r="AD2" s="7"/>
      <c r="AE2" s="7"/>
      <c r="AF2" s="7"/>
      <c r="AG2" s="1"/>
      <c r="AH2" s="1"/>
      <c r="AI2" s="1"/>
      <c r="AJ2" s="1"/>
    </row>
    <row r="3" spans="1:97" s="2" customFormat="1" ht="19.5" customHeight="1" x14ac:dyDescent="0.35">
      <c r="B3" s="271" t="str">
        <f t="shared" ref="B3:B4" si="0">C32</f>
        <v>VIGILANT</v>
      </c>
      <c r="C3" s="271"/>
      <c r="D3" s="271"/>
      <c r="E3" s="271"/>
      <c r="F3" s="271"/>
      <c r="G3" s="271"/>
      <c r="H3" s="271"/>
      <c r="I3" s="271"/>
      <c r="J3" s="271"/>
      <c r="M3" s="4"/>
      <c r="U3" s="5"/>
      <c r="V3" s="6"/>
      <c r="Z3" s="7"/>
      <c r="AA3" s="7"/>
      <c r="AB3" s="7"/>
      <c r="AC3" s="7"/>
      <c r="AD3" s="7"/>
      <c r="AE3" s="7"/>
      <c r="AF3" s="7"/>
      <c r="AG3" s="1"/>
      <c r="AH3" s="1"/>
      <c r="AI3" s="1"/>
      <c r="AJ3" s="1"/>
    </row>
    <row r="4" spans="1:97" s="9" customFormat="1" ht="17.25" customHeight="1" x14ac:dyDescent="0.25">
      <c r="A4" s="8"/>
      <c r="B4" s="272" t="str">
        <f t="shared" si="0"/>
        <v>LAS TERRAZAS DE LA TORRE</v>
      </c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1"/>
      <c r="Q4" s="232">
        <f>DATE($C$34,$C$35,1)</f>
        <v>46023</v>
      </c>
      <c r="R4" s="232"/>
      <c r="S4" s="232"/>
      <c r="T4" s="232"/>
      <c r="U4" s="232"/>
      <c r="V4" s="232"/>
      <c r="W4" s="232"/>
      <c r="X4" s="232"/>
      <c r="Y4" s="1"/>
      <c r="Z4" s="259">
        <f>SUM(AH51+AH62+AH73+AH84+AH95+AH106+AH117+AH128+AH139+AH150+AH161+AH172)</f>
        <v>1735.9999999999991</v>
      </c>
      <c r="AA4" s="259"/>
      <c r="AB4" s="259"/>
      <c r="AC4" s="267" t="s">
        <v>0</v>
      </c>
      <c r="AD4" s="267"/>
      <c r="AE4" s="267"/>
      <c r="AF4" s="267"/>
      <c r="AG4" s="267"/>
      <c r="AH4" s="267"/>
      <c r="AI4" s="1"/>
      <c r="AJ4" s="1"/>
    </row>
    <row r="5" spans="1:97" s="2" customFormat="1" ht="17.25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/>
      <c r="AD5" s="12"/>
      <c r="AE5" s="12" t="str">
        <f>IF(CA59=28,IF(CA59="",0,1),IF(CA59=1,IF(CA59="",0,1),""))</f>
        <v/>
      </c>
      <c r="AF5" s="12" t="str">
        <f>IF(CA59=29,IF(CA59="",0,1),IF(CA59=1,IF(CA59="",0,1),""))</f>
        <v/>
      </c>
      <c r="AG5" s="12" t="str">
        <f>IF(CA59=30,IF(CA59="",0,1),IF(CA59=1,IF(CA59="",0,1),""))</f>
        <v/>
      </c>
      <c r="AH5" s="12">
        <f>IF(CA59=31,IF(CA59="",0,1),IF(CA59=1,IF(CA59="",0,1),""))</f>
        <v>1</v>
      </c>
      <c r="AI5" s="1"/>
      <c r="AJ5" s="1"/>
    </row>
    <row r="6" spans="1:97" s="13" customFormat="1" ht="17.25" customHeight="1" x14ac:dyDescent="0.25">
      <c r="B6" s="14" t="s">
        <v>1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"/>
      <c r="AJ6" s="1"/>
    </row>
    <row r="7" spans="1:97" s="11" customFormat="1" ht="19.5" customHeight="1" x14ac:dyDescent="0.25">
      <c r="A7" s="16"/>
      <c r="B7" s="17" t="s">
        <v>2</v>
      </c>
      <c r="C7" s="18" t="str">
        <f>IF(AV47="LUNES","lu",IF(AV47="MARTES","ma",IF(AV47="MIERCOLES","mi",IF(AV47="JUEVES","ju",IF(AV47="VIERNES","vi",IF(AV47="SABADO","S",IF(AV47="DOMINGO","D","")))))))</f>
        <v>ju</v>
      </c>
      <c r="D7" s="18" t="str">
        <f t="shared" ref="D7:AD7" si="1">IF(C7="lu","ma",IF(C7="ma","mi",IF(C7="mi","ju",IF(C7="ju","vi",IF(C7="vi","S",IF(C7="S","D",IF(C7="D","lu","")))))))</f>
        <v>vi</v>
      </c>
      <c r="E7" s="18" t="str">
        <f t="shared" si="1"/>
        <v>S</v>
      </c>
      <c r="F7" s="18" t="str">
        <f t="shared" si="1"/>
        <v>D</v>
      </c>
      <c r="G7" s="18" t="str">
        <f t="shared" si="1"/>
        <v>lu</v>
      </c>
      <c r="H7" s="18" t="str">
        <f t="shared" si="1"/>
        <v>ma</v>
      </c>
      <c r="I7" s="18" t="str">
        <f t="shared" si="1"/>
        <v>mi</v>
      </c>
      <c r="J7" s="18" t="str">
        <f t="shared" si="1"/>
        <v>ju</v>
      </c>
      <c r="K7" s="18" t="str">
        <f t="shared" si="1"/>
        <v>vi</v>
      </c>
      <c r="L7" s="18" t="str">
        <f t="shared" si="1"/>
        <v>S</v>
      </c>
      <c r="M7" s="18" t="str">
        <f t="shared" si="1"/>
        <v>D</v>
      </c>
      <c r="N7" s="18" t="str">
        <f t="shared" si="1"/>
        <v>lu</v>
      </c>
      <c r="O7" s="18" t="str">
        <f t="shared" si="1"/>
        <v>ma</v>
      </c>
      <c r="P7" s="18" t="str">
        <f t="shared" si="1"/>
        <v>mi</v>
      </c>
      <c r="Q7" s="18" t="str">
        <f t="shared" si="1"/>
        <v>ju</v>
      </c>
      <c r="R7" s="18" t="str">
        <f t="shared" si="1"/>
        <v>vi</v>
      </c>
      <c r="S7" s="18" t="str">
        <f t="shared" si="1"/>
        <v>S</v>
      </c>
      <c r="T7" s="18" t="str">
        <f t="shared" si="1"/>
        <v>D</v>
      </c>
      <c r="U7" s="18" t="str">
        <f t="shared" si="1"/>
        <v>lu</v>
      </c>
      <c r="V7" s="18" t="str">
        <f t="shared" si="1"/>
        <v>ma</v>
      </c>
      <c r="W7" s="18" t="str">
        <f t="shared" si="1"/>
        <v>mi</v>
      </c>
      <c r="X7" s="18" t="str">
        <f t="shared" si="1"/>
        <v>ju</v>
      </c>
      <c r="Y7" s="18" t="str">
        <f t="shared" si="1"/>
        <v>vi</v>
      </c>
      <c r="Z7" s="18" t="str">
        <f t="shared" si="1"/>
        <v>S</v>
      </c>
      <c r="AA7" s="18" t="str">
        <f t="shared" si="1"/>
        <v>D</v>
      </c>
      <c r="AB7" s="18" t="str">
        <f t="shared" si="1"/>
        <v>lu</v>
      </c>
      <c r="AC7" s="18" t="str">
        <f t="shared" si="1"/>
        <v>ma</v>
      </c>
      <c r="AD7" s="18" t="str">
        <f t="shared" si="1"/>
        <v>mi</v>
      </c>
      <c r="AE7" s="18" t="str">
        <f>IF(AE8="","",IF(AD7="lu","ma",IF(AD7="ma","mi",IF(AD7="mi","ju",IF(AD7="ju","vi",IF(AD7="vi","S",IF(AD7="S","D",IF(AD7="D","lu",""))))))))</f>
        <v>ju</v>
      </c>
      <c r="AF7" s="18" t="str">
        <f>IF(AF8="","",IF(AE7="lu","ma",IF(AE7="ma","mi",IF(AE7="mi","ju",IF(AE7="ju","vi",IF(AE7="vi","S",IF(AE7="S","D",IF(AE7="D","lu",""))))))))</f>
        <v>vi</v>
      </c>
      <c r="AG7" s="18" t="str">
        <f>IF(AG8="","",IF(AF7="lu","ma",IF(AF7="ma","mi",IF(AF7="mi","ju",IF(AF7="ju","vi",IF(AF7="vi","S",IF(AF7="S","D",IF(AF7="D","lu",""))))))))</f>
        <v>S</v>
      </c>
      <c r="AH7" s="16"/>
    </row>
    <row r="8" spans="1:97" s="22" customFormat="1" ht="19.5" customHeight="1" x14ac:dyDescent="0.2">
      <c r="A8" s="270" t="s">
        <v>3</v>
      </c>
      <c r="B8" s="270"/>
      <c r="C8" s="18">
        <v>1</v>
      </c>
      <c r="D8" s="18">
        <v>2</v>
      </c>
      <c r="E8" s="18">
        <v>3</v>
      </c>
      <c r="F8" s="18">
        <v>4</v>
      </c>
      <c r="G8" s="18">
        <v>5</v>
      </c>
      <c r="H8" s="18">
        <v>6</v>
      </c>
      <c r="I8" s="18">
        <v>7</v>
      </c>
      <c r="J8" s="18">
        <v>8</v>
      </c>
      <c r="K8" s="18">
        <v>9</v>
      </c>
      <c r="L8" s="18">
        <v>10</v>
      </c>
      <c r="M8" s="18">
        <v>11</v>
      </c>
      <c r="N8" s="18">
        <v>12</v>
      </c>
      <c r="O8" s="18">
        <v>13</v>
      </c>
      <c r="P8" s="18">
        <v>14</v>
      </c>
      <c r="Q8" s="18">
        <v>15</v>
      </c>
      <c r="R8" s="18">
        <v>16</v>
      </c>
      <c r="S8" s="18">
        <v>17</v>
      </c>
      <c r="T8" s="18">
        <v>18</v>
      </c>
      <c r="U8" s="18">
        <v>19</v>
      </c>
      <c r="V8" s="18">
        <v>20</v>
      </c>
      <c r="W8" s="18">
        <v>21</v>
      </c>
      <c r="X8" s="18">
        <v>22</v>
      </c>
      <c r="Y8" s="18">
        <v>23</v>
      </c>
      <c r="Z8" s="18">
        <v>24</v>
      </c>
      <c r="AA8" s="18">
        <v>25</v>
      </c>
      <c r="AB8" s="18">
        <v>26</v>
      </c>
      <c r="AC8" s="18">
        <v>27</v>
      </c>
      <c r="AD8" s="18">
        <v>28</v>
      </c>
      <c r="AE8" s="18">
        <f>IF(CA59=28,"",IF(CA59=29,29,IF(CA59=30,29,IF(CA59=31,29,""))))</f>
        <v>29</v>
      </c>
      <c r="AF8" s="18">
        <f>IF(CA59=28,"",IF(CA59=29,"",IF(CA59=30,30,IF(CA59=31,30,""))))</f>
        <v>30</v>
      </c>
      <c r="AG8" s="18">
        <f>IF(CA59=28,"",IF(CA59=29,"",IF(CA59=30,"",IF(CA59=31,31,""))))</f>
        <v>31</v>
      </c>
      <c r="AH8" s="19" t="s">
        <v>60</v>
      </c>
      <c r="AI8" s="20" t="s">
        <v>4</v>
      </c>
      <c r="AJ8" s="20" t="s">
        <v>5</v>
      </c>
      <c r="AK8" s="21" t="s">
        <v>6</v>
      </c>
      <c r="AL8" s="21" t="s">
        <v>7</v>
      </c>
    </row>
    <row r="9" spans="1:97" s="2" customFormat="1" ht="20.100000000000001" customHeight="1" x14ac:dyDescent="0.25">
      <c r="A9" s="268" t="s">
        <v>155</v>
      </c>
      <c r="B9" s="268"/>
      <c r="C9" s="23" t="s">
        <v>91</v>
      </c>
      <c r="D9" s="23" t="s">
        <v>91</v>
      </c>
      <c r="E9" s="23" t="s">
        <v>91</v>
      </c>
      <c r="F9" s="23" t="s">
        <v>91</v>
      </c>
      <c r="G9" s="23" t="s">
        <v>91</v>
      </c>
      <c r="H9" s="23" t="s">
        <v>91</v>
      </c>
      <c r="I9" s="23" t="s">
        <v>91</v>
      </c>
      <c r="J9" s="23" t="s">
        <v>91</v>
      </c>
      <c r="K9" s="23" t="s">
        <v>91</v>
      </c>
      <c r="L9" s="23" t="s">
        <v>91</v>
      </c>
      <c r="M9" s="23" t="s">
        <v>91</v>
      </c>
      <c r="N9" s="23" t="s">
        <v>91</v>
      </c>
      <c r="O9" s="23" t="s">
        <v>91</v>
      </c>
      <c r="P9" s="23" t="s">
        <v>91</v>
      </c>
      <c r="Q9" s="23" t="s">
        <v>91</v>
      </c>
      <c r="R9" s="23" t="s">
        <v>91</v>
      </c>
      <c r="S9" s="23" t="s">
        <v>91</v>
      </c>
      <c r="T9" s="24" t="s">
        <v>91</v>
      </c>
      <c r="U9" s="23" t="s">
        <v>91</v>
      </c>
      <c r="V9" s="23" t="s">
        <v>91</v>
      </c>
      <c r="W9" s="23" t="s">
        <v>91</v>
      </c>
      <c r="X9" s="23" t="s">
        <v>91</v>
      </c>
      <c r="Y9" s="23" t="s">
        <v>91</v>
      </c>
      <c r="Z9" s="23" t="s">
        <v>91</v>
      </c>
      <c r="AA9" s="23" t="s">
        <v>91</v>
      </c>
      <c r="AB9" s="23" t="s">
        <v>91</v>
      </c>
      <c r="AC9" s="23" t="s">
        <v>91</v>
      </c>
      <c r="AD9" s="23" t="s">
        <v>91</v>
      </c>
      <c r="AE9" s="23" t="s">
        <v>91</v>
      </c>
      <c r="AF9" s="23" t="s">
        <v>91</v>
      </c>
      <c r="AG9" s="23" t="s">
        <v>91</v>
      </c>
      <c r="AH9" s="83">
        <f>SUM(AH50:AH51)</f>
        <v>0</v>
      </c>
      <c r="AI9" s="84">
        <f>AH9-C37</f>
        <v>-162</v>
      </c>
      <c r="AJ9" s="84">
        <f>SUM(C55:AG55)</f>
        <v>0</v>
      </c>
      <c r="AK9" s="84">
        <f>AK32</f>
        <v>0</v>
      </c>
      <c r="AL9" s="18">
        <f>SUM(C56:AG56)</f>
        <v>0</v>
      </c>
      <c r="CB9" s="25">
        <f>ROUNDDOWN(AH9,0)</f>
        <v>0</v>
      </c>
      <c r="CC9" s="26">
        <f>AH9-INT(AH9)</f>
        <v>0</v>
      </c>
      <c r="CD9" s="27">
        <f>CC9/24</f>
        <v>0</v>
      </c>
      <c r="CE9"/>
      <c r="CF9"/>
      <c r="CS9" s="13"/>
    </row>
    <row r="10" spans="1:97" s="2" customFormat="1" ht="20.100000000000001" customHeight="1" x14ac:dyDescent="0.25">
      <c r="A10" s="268" t="s">
        <v>156</v>
      </c>
      <c r="B10" s="268"/>
      <c r="C10" s="23" t="s">
        <v>153</v>
      </c>
      <c r="D10" s="23" t="s">
        <v>153</v>
      </c>
      <c r="E10" s="23" t="s">
        <v>153</v>
      </c>
      <c r="F10" s="23" t="s">
        <v>153</v>
      </c>
      <c r="G10" s="23"/>
      <c r="H10" s="23"/>
      <c r="I10" s="23" t="s">
        <v>153</v>
      </c>
      <c r="J10" s="23" t="s">
        <v>153</v>
      </c>
      <c r="K10" s="23"/>
      <c r="L10" s="23"/>
      <c r="M10" s="23"/>
      <c r="N10" s="23" t="s">
        <v>153</v>
      </c>
      <c r="O10" s="23" t="s">
        <v>153</v>
      </c>
      <c r="P10" s="23"/>
      <c r="Q10" s="23"/>
      <c r="R10" s="23" t="s">
        <v>153</v>
      </c>
      <c r="S10" s="23" t="s">
        <v>153</v>
      </c>
      <c r="T10" s="23" t="s">
        <v>153</v>
      </c>
      <c r="U10" s="23"/>
      <c r="V10" s="23"/>
      <c r="W10" s="23" t="s">
        <v>153</v>
      </c>
      <c r="X10" s="23" t="s">
        <v>153</v>
      </c>
      <c r="Y10" s="23"/>
      <c r="Z10" s="23"/>
      <c r="AA10" s="23"/>
      <c r="AB10" s="23" t="s">
        <v>153</v>
      </c>
      <c r="AC10" s="23" t="s">
        <v>153</v>
      </c>
      <c r="AD10" s="23"/>
      <c r="AE10" s="23"/>
      <c r="AF10" s="23" t="s">
        <v>153</v>
      </c>
      <c r="AG10" s="23" t="s">
        <v>153</v>
      </c>
      <c r="AH10" s="83">
        <f>SUM(AH61:AH62)</f>
        <v>204</v>
      </c>
      <c r="AI10" s="84">
        <f>AH10-C37</f>
        <v>42</v>
      </c>
      <c r="AJ10" s="84">
        <f>SUM(C66:AG66)</f>
        <v>60</v>
      </c>
      <c r="AK10" s="84">
        <f t="shared" ref="AK10:AK20" si="2">AK33</f>
        <v>136</v>
      </c>
      <c r="AL10" s="18">
        <f>SUM(C67:AG67)</f>
        <v>0</v>
      </c>
      <c r="CF10"/>
    </row>
    <row r="11" spans="1:97" s="2" customFormat="1" ht="20.100000000000001" customHeight="1" x14ac:dyDescent="0.25">
      <c r="A11" s="268" t="s">
        <v>157</v>
      </c>
      <c r="B11" s="268"/>
      <c r="C11" s="23" t="s">
        <v>152</v>
      </c>
      <c r="D11" s="23"/>
      <c r="E11" s="23"/>
      <c r="F11" s="23"/>
      <c r="G11" s="23"/>
      <c r="H11" s="23"/>
      <c r="I11" s="23" t="s">
        <v>151</v>
      </c>
      <c r="J11" s="23" t="s">
        <v>151</v>
      </c>
      <c r="K11" s="23" t="s">
        <v>151</v>
      </c>
      <c r="L11" s="23" t="s">
        <v>151</v>
      </c>
      <c r="M11" s="23" t="s">
        <v>151</v>
      </c>
      <c r="N11" s="23" t="s">
        <v>151</v>
      </c>
      <c r="O11" s="23" t="s">
        <v>151</v>
      </c>
      <c r="P11" s="23"/>
      <c r="Q11" s="23"/>
      <c r="R11" s="23" t="s">
        <v>151</v>
      </c>
      <c r="S11" s="23" t="s">
        <v>151</v>
      </c>
      <c r="T11" s="23" t="s">
        <v>151</v>
      </c>
      <c r="U11" s="23"/>
      <c r="V11" s="23"/>
      <c r="W11" s="23" t="s">
        <v>151</v>
      </c>
      <c r="X11" s="23" t="s">
        <v>151</v>
      </c>
      <c r="Y11" s="23"/>
      <c r="Z11" s="23"/>
      <c r="AA11" s="23"/>
      <c r="AB11" s="23" t="s">
        <v>151</v>
      </c>
      <c r="AC11" s="23" t="s">
        <v>151</v>
      </c>
      <c r="AD11" s="23"/>
      <c r="AE11" s="23"/>
      <c r="AF11" s="23" t="s">
        <v>151</v>
      </c>
      <c r="AG11" s="23" t="s">
        <v>151</v>
      </c>
      <c r="AH11" s="83">
        <f>SUM(AH72:AH73)</f>
        <v>204</v>
      </c>
      <c r="AI11" s="84">
        <f>AH11-C37</f>
        <v>42</v>
      </c>
      <c r="AJ11" s="84">
        <f>SUM(C77:AG77)</f>
        <v>59.999999999999993</v>
      </c>
      <c r="AK11" s="84">
        <f t="shared" si="2"/>
        <v>8</v>
      </c>
      <c r="AL11" s="18">
        <f>SUM(C78:AG78)</f>
        <v>0</v>
      </c>
      <c r="CF11"/>
    </row>
    <row r="12" spans="1:97" s="2" customFormat="1" ht="20.100000000000001" customHeight="1" x14ac:dyDescent="0.25">
      <c r="A12" s="268" t="s">
        <v>169</v>
      </c>
      <c r="B12" s="268"/>
      <c r="C12" s="23"/>
      <c r="D12" s="23" t="s">
        <v>151</v>
      </c>
      <c r="E12" s="23" t="s">
        <v>151</v>
      </c>
      <c r="F12" s="23" t="s">
        <v>151</v>
      </c>
      <c r="G12" s="23" t="s">
        <v>151</v>
      </c>
      <c r="H12" s="23" t="s">
        <v>151</v>
      </c>
      <c r="I12" s="23" t="s">
        <v>150</v>
      </c>
      <c r="J12" s="23" t="s">
        <v>150</v>
      </c>
      <c r="K12" s="23"/>
      <c r="L12" s="23"/>
      <c r="M12" s="23"/>
      <c r="N12" s="23"/>
      <c r="O12" s="23"/>
      <c r="P12" s="23" t="s">
        <v>151</v>
      </c>
      <c r="Q12" s="23" t="s">
        <v>151</v>
      </c>
      <c r="R12" s="23"/>
      <c r="S12" s="23"/>
      <c r="T12" s="23"/>
      <c r="U12" s="23" t="s">
        <v>151</v>
      </c>
      <c r="V12" s="23" t="s">
        <v>151</v>
      </c>
      <c r="W12" s="23"/>
      <c r="X12" s="23"/>
      <c r="Y12" s="23" t="s">
        <v>151</v>
      </c>
      <c r="Z12" s="23" t="s">
        <v>151</v>
      </c>
      <c r="AA12" s="23" t="s">
        <v>151</v>
      </c>
      <c r="AB12" s="23"/>
      <c r="AC12" s="23"/>
      <c r="AD12" s="23" t="s">
        <v>151</v>
      </c>
      <c r="AE12" s="23" t="s">
        <v>151</v>
      </c>
      <c r="AF12" s="23"/>
      <c r="AG12" s="23"/>
      <c r="AH12" s="83">
        <f>SUM(AH83:AH84)</f>
        <v>192</v>
      </c>
      <c r="AI12" s="84">
        <f>AH12-C37</f>
        <v>30</v>
      </c>
      <c r="AJ12" s="84">
        <f>SUM(C88:AG88)</f>
        <v>47.999999999999993</v>
      </c>
      <c r="AK12" s="84">
        <f t="shared" si="2"/>
        <v>0</v>
      </c>
      <c r="AL12" s="18">
        <f>SUM(C89:AG89)</f>
        <v>0</v>
      </c>
      <c r="CF12"/>
    </row>
    <row r="13" spans="1:97" s="2" customFormat="1" ht="20.100000000000001" customHeight="1" x14ac:dyDescent="0.25">
      <c r="A13" s="268" t="s">
        <v>177</v>
      </c>
      <c r="B13" s="268"/>
      <c r="C13" s="23" t="s">
        <v>151</v>
      </c>
      <c r="D13" s="23" t="s">
        <v>150</v>
      </c>
      <c r="E13" s="23" t="s">
        <v>150</v>
      </c>
      <c r="F13" s="23" t="s">
        <v>150</v>
      </c>
      <c r="G13" s="23" t="s">
        <v>153</v>
      </c>
      <c r="H13" s="23" t="s">
        <v>153</v>
      </c>
      <c r="I13" s="23"/>
      <c r="J13" s="23"/>
      <c r="K13" s="23"/>
      <c r="L13" s="23" t="s">
        <v>181</v>
      </c>
      <c r="M13" s="23" t="s">
        <v>181</v>
      </c>
      <c r="N13" s="23" t="s">
        <v>181</v>
      </c>
      <c r="O13" s="23" t="s">
        <v>181</v>
      </c>
      <c r="P13" s="23" t="s">
        <v>181</v>
      </c>
      <c r="Q13" s="23" t="s">
        <v>181</v>
      </c>
      <c r="R13" s="23" t="s">
        <v>181</v>
      </c>
      <c r="S13" s="23" t="s">
        <v>181</v>
      </c>
      <c r="T13" s="23" t="s">
        <v>181</v>
      </c>
      <c r="U13" s="23" t="s">
        <v>181</v>
      </c>
      <c r="V13" s="23" t="s">
        <v>181</v>
      </c>
      <c r="W13" s="23" t="s">
        <v>150</v>
      </c>
      <c r="X13" s="23" t="s">
        <v>150</v>
      </c>
      <c r="Y13" s="23" t="s">
        <v>150</v>
      </c>
      <c r="Z13" s="23" t="s">
        <v>150</v>
      </c>
      <c r="AA13" s="23" t="s">
        <v>150</v>
      </c>
      <c r="AB13" s="23" t="s">
        <v>150</v>
      </c>
      <c r="AC13" s="23" t="s">
        <v>150</v>
      </c>
      <c r="AD13" s="23"/>
      <c r="AE13" s="23"/>
      <c r="AF13" s="23" t="s">
        <v>150</v>
      </c>
      <c r="AG13" s="23" t="s">
        <v>150</v>
      </c>
      <c r="AH13" s="83">
        <f>SUM(AH94:AH95)</f>
        <v>180</v>
      </c>
      <c r="AI13" s="84">
        <f>AH13-C37</f>
        <v>18</v>
      </c>
      <c r="AJ13" s="84">
        <f>SUM(C99:AG99)</f>
        <v>60</v>
      </c>
      <c r="AK13" s="84">
        <f t="shared" si="2"/>
        <v>16</v>
      </c>
      <c r="AL13" s="18">
        <f>SUM(C100:AG100)</f>
        <v>0</v>
      </c>
      <c r="CB13" s="28"/>
      <c r="CF13"/>
    </row>
    <row r="14" spans="1:97" s="2" customFormat="1" ht="19.5" customHeight="1" x14ac:dyDescent="0.25">
      <c r="A14" s="268" t="s">
        <v>160</v>
      </c>
      <c r="B14" s="268"/>
      <c r="C14" s="23" t="s">
        <v>150</v>
      </c>
      <c r="D14" s="23"/>
      <c r="E14" s="23"/>
      <c r="F14" s="23"/>
      <c r="G14" s="23" t="s">
        <v>150</v>
      </c>
      <c r="H14" s="23" t="s">
        <v>150</v>
      </c>
      <c r="I14" s="23"/>
      <c r="J14" s="23"/>
      <c r="K14" s="23" t="s">
        <v>152</v>
      </c>
      <c r="L14" s="23" t="s">
        <v>152</v>
      </c>
      <c r="M14" s="23" t="s">
        <v>152</v>
      </c>
      <c r="N14" s="23"/>
      <c r="O14" s="23"/>
      <c r="P14" s="23" t="s">
        <v>150</v>
      </c>
      <c r="Q14" s="23" t="s">
        <v>150</v>
      </c>
      <c r="R14" s="23"/>
      <c r="S14" s="23"/>
      <c r="T14" s="23"/>
      <c r="U14" s="23" t="s">
        <v>150</v>
      </c>
      <c r="V14" s="23" t="s">
        <v>150</v>
      </c>
      <c r="W14" s="23"/>
      <c r="X14" s="23"/>
      <c r="Y14" s="23" t="s">
        <v>150</v>
      </c>
      <c r="Z14" s="23" t="s">
        <v>150</v>
      </c>
      <c r="AA14" s="23" t="s">
        <v>150</v>
      </c>
      <c r="AB14" s="23"/>
      <c r="AC14" s="23"/>
      <c r="AD14" s="23" t="s">
        <v>150</v>
      </c>
      <c r="AE14" s="23" t="s">
        <v>150</v>
      </c>
      <c r="AF14" s="23"/>
      <c r="AG14" s="23"/>
      <c r="AH14" s="83">
        <f>SUM(AH105:AH106)</f>
        <v>180</v>
      </c>
      <c r="AI14" s="84">
        <f>AH14-C37</f>
        <v>18</v>
      </c>
      <c r="AJ14" s="84">
        <f>SUM(C110:AG110)</f>
        <v>48</v>
      </c>
      <c r="AK14" s="84">
        <f t="shared" si="2"/>
        <v>24</v>
      </c>
      <c r="AL14" s="18">
        <f>SUM(C111:AG111)</f>
        <v>0</v>
      </c>
      <c r="CF14"/>
    </row>
    <row r="15" spans="1:97" s="2" customFormat="1" ht="19.5" customHeight="1" x14ac:dyDescent="0.25">
      <c r="A15" s="268" t="s">
        <v>161</v>
      </c>
      <c r="B15" s="268"/>
      <c r="C15" s="23"/>
      <c r="D15" s="23" t="s">
        <v>152</v>
      </c>
      <c r="E15" s="23" t="s">
        <v>152</v>
      </c>
      <c r="F15" s="23" t="s">
        <v>152</v>
      </c>
      <c r="G15" s="23" t="s">
        <v>181</v>
      </c>
      <c r="H15" s="23" t="s">
        <v>181</v>
      </c>
      <c r="I15" s="23" t="s">
        <v>152</v>
      </c>
      <c r="J15" s="23" t="s">
        <v>152</v>
      </c>
      <c r="K15" s="23" t="s">
        <v>181</v>
      </c>
      <c r="L15" s="23" t="s">
        <v>181</v>
      </c>
      <c r="M15" s="23" t="s">
        <v>181</v>
      </c>
      <c r="N15" s="23"/>
      <c r="O15" s="23" t="s">
        <v>152</v>
      </c>
      <c r="P15" s="23"/>
      <c r="Q15" s="23" t="s">
        <v>154</v>
      </c>
      <c r="R15" s="23" t="s">
        <v>152</v>
      </c>
      <c r="S15" s="23" t="s">
        <v>152</v>
      </c>
      <c r="T15" s="23" t="s">
        <v>152</v>
      </c>
      <c r="U15" s="23" t="s">
        <v>154</v>
      </c>
      <c r="V15" s="23"/>
      <c r="W15" s="23"/>
      <c r="X15" s="23" t="s">
        <v>152</v>
      </c>
      <c r="Y15" s="23" t="s">
        <v>181</v>
      </c>
      <c r="Z15" s="23" t="s">
        <v>181</v>
      </c>
      <c r="AA15" s="23" t="s">
        <v>181</v>
      </c>
      <c r="AB15" s="23" t="s">
        <v>152</v>
      </c>
      <c r="AC15" s="23" t="s">
        <v>152</v>
      </c>
      <c r="AD15" s="23"/>
      <c r="AE15" s="23"/>
      <c r="AF15" s="23" t="s">
        <v>152</v>
      </c>
      <c r="AG15" s="23" t="s">
        <v>152</v>
      </c>
      <c r="AH15" s="83">
        <f>SUM(AH116:AH117)</f>
        <v>183.99999999999994</v>
      </c>
      <c r="AI15" s="84">
        <f>AH15-C37</f>
        <v>21.999999999999943</v>
      </c>
      <c r="AJ15" s="84">
        <f>SUM(C121:AG121)</f>
        <v>60</v>
      </c>
      <c r="AK15" s="84">
        <f t="shared" si="2"/>
        <v>128</v>
      </c>
      <c r="AL15" s="18">
        <f>SUM(C122:AG122)</f>
        <v>0</v>
      </c>
      <c r="CF15"/>
    </row>
    <row r="16" spans="1:97" s="2" customFormat="1" ht="19.5" customHeight="1" x14ac:dyDescent="0.25">
      <c r="A16" s="268" t="s">
        <v>162</v>
      </c>
      <c r="B16" s="268"/>
      <c r="C16" s="23" t="s">
        <v>181</v>
      </c>
      <c r="D16" s="23" t="s">
        <v>181</v>
      </c>
      <c r="E16" s="23" t="s">
        <v>181</v>
      </c>
      <c r="F16" s="23" t="s">
        <v>181</v>
      </c>
      <c r="G16" s="23" t="s">
        <v>181</v>
      </c>
      <c r="H16" s="23" t="s">
        <v>181</v>
      </c>
      <c r="I16" s="23"/>
      <c r="J16" s="23"/>
      <c r="K16" s="23" t="s">
        <v>152</v>
      </c>
      <c r="L16" s="23" t="s">
        <v>152</v>
      </c>
      <c r="M16" s="23" t="s">
        <v>152</v>
      </c>
      <c r="N16" s="23" t="s">
        <v>152</v>
      </c>
      <c r="O16" s="23"/>
      <c r="P16" s="23" t="s">
        <v>153</v>
      </c>
      <c r="Q16" s="23" t="s">
        <v>153</v>
      </c>
      <c r="R16" s="23"/>
      <c r="S16" s="23"/>
      <c r="T16" s="23"/>
      <c r="U16" s="23" t="s">
        <v>153</v>
      </c>
      <c r="V16" s="23" t="s">
        <v>153</v>
      </c>
      <c r="W16" s="23" t="s">
        <v>152</v>
      </c>
      <c r="X16" s="23"/>
      <c r="Y16" s="23" t="s">
        <v>152</v>
      </c>
      <c r="Z16" s="23" t="s">
        <v>152</v>
      </c>
      <c r="AA16" s="23" t="s">
        <v>152</v>
      </c>
      <c r="AB16" s="23"/>
      <c r="AC16" s="23"/>
      <c r="AD16" s="23" t="s">
        <v>153</v>
      </c>
      <c r="AE16" s="23" t="s">
        <v>153</v>
      </c>
      <c r="AF16" s="23"/>
      <c r="AG16" s="23"/>
      <c r="AH16" s="83">
        <f>SUM(AH127:AH128)</f>
        <v>168</v>
      </c>
      <c r="AI16" s="84">
        <f>AH16-C37</f>
        <v>6</v>
      </c>
      <c r="AJ16" s="84">
        <f>SUM(C132:AG132)</f>
        <v>48</v>
      </c>
      <c r="AK16" s="84">
        <f t="shared" si="2"/>
        <v>112</v>
      </c>
      <c r="AL16" s="18">
        <f>SUM(C133:AG133)</f>
        <v>0</v>
      </c>
      <c r="CF16"/>
    </row>
    <row r="17" spans="1:87" s="2" customFormat="1" ht="19.5" customHeight="1" x14ac:dyDescent="0.25">
      <c r="A17" s="268" t="s">
        <v>163</v>
      </c>
      <c r="B17" s="268"/>
      <c r="C17" s="23"/>
      <c r="D17" s="23"/>
      <c r="E17" s="23"/>
      <c r="F17" s="23"/>
      <c r="G17" s="23" t="s">
        <v>154</v>
      </c>
      <c r="H17" s="23" t="s">
        <v>154</v>
      </c>
      <c r="I17" s="23"/>
      <c r="J17" s="23"/>
      <c r="K17" s="23" t="s">
        <v>154</v>
      </c>
      <c r="L17" s="23" t="s">
        <v>154</v>
      </c>
      <c r="M17" s="23" t="s">
        <v>154</v>
      </c>
      <c r="N17" s="23"/>
      <c r="O17" s="23"/>
      <c r="P17" s="23"/>
      <c r="Q17" s="23" t="s">
        <v>152</v>
      </c>
      <c r="R17" s="23"/>
      <c r="S17" s="23"/>
      <c r="T17" s="23"/>
      <c r="U17" s="23"/>
      <c r="V17" s="23"/>
      <c r="W17" s="23"/>
      <c r="X17" s="23"/>
      <c r="Y17" s="23" t="s">
        <v>154</v>
      </c>
      <c r="Z17" s="23" t="s">
        <v>154</v>
      </c>
      <c r="AA17" s="23" t="s">
        <v>154</v>
      </c>
      <c r="AB17" s="23"/>
      <c r="AC17" s="23"/>
      <c r="AD17" s="23"/>
      <c r="AE17" s="23"/>
      <c r="AF17" s="23"/>
      <c r="AG17" s="23"/>
      <c r="AH17" s="83">
        <f>SUM(AH138:AH139)</f>
        <v>75.999999999999773</v>
      </c>
      <c r="AI17" s="84">
        <f>AH17-C37</f>
        <v>-86.000000000000227</v>
      </c>
      <c r="AJ17" s="84">
        <f>SUM(C143:AG143)</f>
        <v>32</v>
      </c>
      <c r="AK17" s="84">
        <f t="shared" si="2"/>
        <v>72</v>
      </c>
      <c r="AL17" s="18">
        <f>SUM(C144:AG144)</f>
        <v>0</v>
      </c>
      <c r="CF17"/>
    </row>
    <row r="18" spans="1:87" s="2" customFormat="1" ht="19.5" customHeight="1" x14ac:dyDescent="0.25">
      <c r="A18" s="268" t="s">
        <v>178</v>
      </c>
      <c r="B18" s="268"/>
      <c r="C18" s="23"/>
      <c r="D18" s="23"/>
      <c r="E18" s="23"/>
      <c r="F18" s="23"/>
      <c r="G18" s="23" t="s">
        <v>152</v>
      </c>
      <c r="H18" s="23" t="s">
        <v>152</v>
      </c>
      <c r="I18" s="23"/>
      <c r="J18" s="23"/>
      <c r="K18" s="23" t="s">
        <v>150</v>
      </c>
      <c r="L18" s="23" t="s">
        <v>150</v>
      </c>
      <c r="M18" s="23" t="s">
        <v>150</v>
      </c>
      <c r="N18" s="23" t="s">
        <v>150</v>
      </c>
      <c r="O18" s="23" t="s">
        <v>150</v>
      </c>
      <c r="P18" s="23" t="s">
        <v>152</v>
      </c>
      <c r="Q18" s="23"/>
      <c r="R18" s="23" t="s">
        <v>150</v>
      </c>
      <c r="S18" s="23" t="s">
        <v>150</v>
      </c>
      <c r="T18" s="23" t="s">
        <v>150</v>
      </c>
      <c r="U18" s="23" t="s">
        <v>152</v>
      </c>
      <c r="V18" s="23" t="s">
        <v>152</v>
      </c>
      <c r="W18" s="23"/>
      <c r="X18" s="23"/>
      <c r="Y18" s="23"/>
      <c r="Z18" s="23"/>
      <c r="AA18" s="23"/>
      <c r="AB18" s="23"/>
      <c r="AC18" s="23"/>
      <c r="AD18" s="23" t="s">
        <v>152</v>
      </c>
      <c r="AE18" s="23" t="s">
        <v>152</v>
      </c>
      <c r="AF18" s="23"/>
      <c r="AG18" s="23"/>
      <c r="AH18" s="83">
        <f>SUM(AH149:AH150)</f>
        <v>180</v>
      </c>
      <c r="AI18" s="84">
        <f>AH18-C37</f>
        <v>18</v>
      </c>
      <c r="AJ18" s="84">
        <f>SUM(C154:AG154)</f>
        <v>48</v>
      </c>
      <c r="AK18" s="84">
        <f t="shared" si="2"/>
        <v>56</v>
      </c>
      <c r="AL18" s="18">
        <f>SUM(C155:AG155)</f>
        <v>0</v>
      </c>
      <c r="CF18"/>
    </row>
    <row r="19" spans="1:87" s="2" customFormat="1" ht="19.5" customHeight="1" x14ac:dyDescent="0.25">
      <c r="A19" s="268" t="s">
        <v>180</v>
      </c>
      <c r="B19" s="268"/>
      <c r="C19" s="23" t="s">
        <v>154</v>
      </c>
      <c r="D19" s="23" t="s">
        <v>154</v>
      </c>
      <c r="E19" s="23" t="s">
        <v>154</v>
      </c>
      <c r="F19" s="23" t="s">
        <v>154</v>
      </c>
      <c r="G19" s="23"/>
      <c r="H19" s="23"/>
      <c r="I19" s="23" t="s">
        <v>154</v>
      </c>
      <c r="J19" s="23" t="s">
        <v>154</v>
      </c>
      <c r="K19" s="23"/>
      <c r="L19" s="23"/>
      <c r="M19" s="23"/>
      <c r="N19" s="23" t="s">
        <v>154</v>
      </c>
      <c r="O19" s="23" t="s">
        <v>154</v>
      </c>
      <c r="P19" s="23" t="s">
        <v>154</v>
      </c>
      <c r="Q19" s="23"/>
      <c r="R19" s="23" t="s">
        <v>154</v>
      </c>
      <c r="S19" s="23" t="s">
        <v>154</v>
      </c>
      <c r="T19" s="23" t="s">
        <v>154</v>
      </c>
      <c r="U19" s="23"/>
      <c r="V19" s="23" t="s">
        <v>154</v>
      </c>
      <c r="W19" s="23" t="s">
        <v>154</v>
      </c>
      <c r="X19" s="23" t="s">
        <v>154</v>
      </c>
      <c r="Y19" s="23"/>
      <c r="Z19" s="23"/>
      <c r="AA19" s="23"/>
      <c r="AB19" s="23" t="s">
        <v>154</v>
      </c>
      <c r="AC19" s="23" t="s">
        <v>154</v>
      </c>
      <c r="AD19" s="23" t="s">
        <v>154</v>
      </c>
      <c r="AE19" s="23" t="s">
        <v>154</v>
      </c>
      <c r="AF19" s="23" t="s">
        <v>154</v>
      </c>
      <c r="AG19" s="23" t="s">
        <v>154</v>
      </c>
      <c r="AH19" s="83">
        <f>SUM(AH160:AH161)</f>
        <v>167.9999999999994</v>
      </c>
      <c r="AI19" s="84">
        <f>AH19-C37</f>
        <v>5.9999999999994031</v>
      </c>
      <c r="AJ19" s="84">
        <f>SUM(C165:AG165)</f>
        <v>40</v>
      </c>
      <c r="AK19" s="84">
        <f t="shared" si="2"/>
        <v>168</v>
      </c>
      <c r="AL19" s="18">
        <f>SUM(C166:AG166)</f>
        <v>0</v>
      </c>
      <c r="CF19"/>
    </row>
    <row r="20" spans="1:87" s="2" customFormat="1" ht="19.5" customHeight="1" x14ac:dyDescent="0.25">
      <c r="A20" s="268"/>
      <c r="B20" s="268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83">
        <f>SUM(AH171:AH172)</f>
        <v>0</v>
      </c>
      <c r="AI20" s="84">
        <f>AH20-C37</f>
        <v>-162</v>
      </c>
      <c r="AJ20" s="84">
        <f>SUM(C176:AG176)</f>
        <v>0</v>
      </c>
      <c r="AK20" s="84">
        <f t="shared" si="2"/>
        <v>0</v>
      </c>
      <c r="AL20" s="18">
        <f>SUM(C177:AG177)</f>
        <v>0</v>
      </c>
      <c r="CF20"/>
    </row>
    <row r="21" spans="1:87" s="2" customFormat="1" ht="19.5" customHeight="1" x14ac:dyDescent="0.25">
      <c r="A21" s="10"/>
      <c r="B21" s="29" t="s">
        <v>8</v>
      </c>
      <c r="C21" s="113">
        <f>SUM(C51+C62+C73+C84+C95+C106+C117+C128+C139+C150+C161+C172)</f>
        <v>55.999999999999972</v>
      </c>
      <c r="D21" s="113">
        <f t="shared" ref="D21:AG21" si="3">SUM(D51+D62+D73+D84+D95+D106+D117+D128+D139+D150+D161+D172)</f>
        <v>55.999999999999972</v>
      </c>
      <c r="E21" s="113">
        <f t="shared" si="3"/>
        <v>55.999999999999972</v>
      </c>
      <c r="F21" s="113">
        <f t="shared" si="3"/>
        <v>55.999999999999972</v>
      </c>
      <c r="G21" s="113">
        <f t="shared" si="3"/>
        <v>55.999999999999972</v>
      </c>
      <c r="H21" s="113">
        <f t="shared" si="3"/>
        <v>55.999999999999972</v>
      </c>
      <c r="I21" s="113">
        <f t="shared" si="3"/>
        <v>55.999999999999972</v>
      </c>
      <c r="J21" s="113">
        <f t="shared" si="3"/>
        <v>55.999999999999972</v>
      </c>
      <c r="K21" s="113">
        <f t="shared" si="3"/>
        <v>55.999999999999972</v>
      </c>
      <c r="L21" s="113">
        <f t="shared" si="3"/>
        <v>55.999999999999972</v>
      </c>
      <c r="M21" s="113">
        <f t="shared" si="3"/>
        <v>55.999999999999972</v>
      </c>
      <c r="N21" s="113">
        <f t="shared" si="3"/>
        <v>55.999999999999972</v>
      </c>
      <c r="O21" s="113">
        <f t="shared" si="3"/>
        <v>55.999999999999972</v>
      </c>
      <c r="P21" s="113">
        <f t="shared" si="3"/>
        <v>55.999999999999972</v>
      </c>
      <c r="Q21" s="113">
        <f t="shared" si="3"/>
        <v>55.999999999999972</v>
      </c>
      <c r="R21" s="113">
        <f t="shared" si="3"/>
        <v>55.999999999999972</v>
      </c>
      <c r="S21" s="113">
        <f t="shared" si="3"/>
        <v>55.999999999999972</v>
      </c>
      <c r="T21" s="113">
        <f t="shared" si="3"/>
        <v>55.999999999999972</v>
      </c>
      <c r="U21" s="113">
        <f t="shared" si="3"/>
        <v>55.999999999999972</v>
      </c>
      <c r="V21" s="113">
        <f t="shared" si="3"/>
        <v>55.999999999999972</v>
      </c>
      <c r="W21" s="113">
        <f t="shared" si="3"/>
        <v>55.999999999999972</v>
      </c>
      <c r="X21" s="113">
        <f t="shared" si="3"/>
        <v>55.999999999999972</v>
      </c>
      <c r="Y21" s="113">
        <f t="shared" si="3"/>
        <v>55.999999999999972</v>
      </c>
      <c r="Z21" s="113">
        <f t="shared" si="3"/>
        <v>55.999999999999972</v>
      </c>
      <c r="AA21" s="113">
        <f t="shared" si="3"/>
        <v>55.999999999999972</v>
      </c>
      <c r="AB21" s="113">
        <f t="shared" si="3"/>
        <v>55.999999999999972</v>
      </c>
      <c r="AC21" s="113">
        <f t="shared" si="3"/>
        <v>55.999999999999972</v>
      </c>
      <c r="AD21" s="113">
        <f t="shared" si="3"/>
        <v>55.999999999999972</v>
      </c>
      <c r="AE21" s="113">
        <f t="shared" si="3"/>
        <v>55.999999999999972</v>
      </c>
      <c r="AF21" s="113">
        <f t="shared" si="3"/>
        <v>55.999999999999972</v>
      </c>
      <c r="AG21" s="113">
        <f t="shared" si="3"/>
        <v>55.999999999999972</v>
      </c>
      <c r="AH21" s="30"/>
      <c r="AI21" s="30"/>
      <c r="AJ21" s="30"/>
      <c r="AK21" s="30"/>
      <c r="AL21" s="30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</row>
    <row r="22" spans="1:87" s="2" customFormat="1" ht="19.5" customHeight="1" x14ac:dyDescent="0.25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</row>
    <row r="23" spans="1:87" s="2" customFormat="1" ht="19.5" customHeight="1" x14ac:dyDescent="0.25">
      <c r="A23" s="80"/>
      <c r="B23" s="200"/>
      <c r="C23" s="269" t="s">
        <v>9</v>
      </c>
      <c r="D23" s="269"/>
      <c r="E23" s="269"/>
      <c r="F23" s="269"/>
      <c r="G23" s="269"/>
      <c r="H23" s="269"/>
      <c r="I23" s="69"/>
      <c r="J23" s="258" t="s">
        <v>9</v>
      </c>
      <c r="K23" s="258"/>
      <c r="L23" s="258"/>
      <c r="M23" s="258"/>
      <c r="N23" s="258"/>
      <c r="O23" s="258"/>
      <c r="P23" s="201"/>
      <c r="Q23" s="258" t="s">
        <v>136</v>
      </c>
      <c r="R23" s="258"/>
      <c r="S23" s="258"/>
      <c r="T23" s="258"/>
      <c r="U23" s="258"/>
      <c r="V23" s="258"/>
      <c r="W23" s="258"/>
      <c r="X23" s="258"/>
      <c r="Y23" s="258"/>
      <c r="Z23" s="258"/>
      <c r="AA23" s="258"/>
      <c r="AB23" s="69"/>
      <c r="AC23" s="69"/>
      <c r="AD23" s="69"/>
      <c r="AE23" s="82"/>
      <c r="AF23" s="80"/>
      <c r="AG23" s="80"/>
      <c r="AH23" s="80"/>
      <c r="AI23" s="80"/>
      <c r="AJ23" s="80"/>
      <c r="AK23" s="80"/>
      <c r="AL23" s="80"/>
      <c r="AM23"/>
      <c r="AN23"/>
      <c r="AO23"/>
      <c r="AP23"/>
      <c r="AQ23" s="1" t="s">
        <v>10</v>
      </c>
      <c r="AR23" s="1"/>
      <c r="AS23" s="1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</row>
    <row r="24" spans="1:87" ht="14.45" customHeight="1" x14ac:dyDescent="0.25">
      <c r="A24" s="82"/>
      <c r="B24" s="69"/>
      <c r="C24" s="202" t="str">
        <f t="shared" ref="C24:C26" si="4">R32</f>
        <v>D1</v>
      </c>
      <c r="D24" s="243">
        <f t="shared" ref="D24:D26" si="5">S32</f>
        <v>0.25</v>
      </c>
      <c r="E24" s="243"/>
      <c r="F24" s="203" t="s">
        <v>11</v>
      </c>
      <c r="G24" s="244">
        <f t="shared" ref="G24:G26" si="6">V32</f>
        <v>0.75</v>
      </c>
      <c r="H24" s="244"/>
      <c r="I24" s="204"/>
      <c r="J24" s="205" t="str">
        <f t="shared" ref="J24:K26" si="7">R35</f>
        <v>N2</v>
      </c>
      <c r="K24" s="246">
        <f t="shared" si="7"/>
        <v>0.79166666666666663</v>
      </c>
      <c r="L24" s="247"/>
      <c r="M24" s="206" t="s">
        <v>11</v>
      </c>
      <c r="N24" s="246">
        <f>V35</f>
        <v>0.29166666666666669</v>
      </c>
      <c r="O24" s="249"/>
      <c r="P24" s="201"/>
      <c r="Q24" s="205" t="str">
        <f>R38</f>
        <v>G</v>
      </c>
      <c r="R24" s="248"/>
      <c r="S24" s="248"/>
      <c r="T24" s="207" t="s">
        <v>11</v>
      </c>
      <c r="U24" s="248"/>
      <c r="V24" s="248"/>
      <c r="W24" s="263"/>
      <c r="X24" s="248"/>
      <c r="Y24" s="207" t="s">
        <v>11</v>
      </c>
      <c r="Z24" s="264"/>
      <c r="AA24" s="265"/>
      <c r="AB24" s="208"/>
      <c r="AC24" s="200"/>
      <c r="AD24" s="77"/>
      <c r="AE24" s="104"/>
      <c r="AF24" s="104"/>
      <c r="AG24" s="107" t="s">
        <v>12</v>
      </c>
      <c r="AH24" s="256" t="s">
        <v>1</v>
      </c>
      <c r="AI24" s="257"/>
      <c r="AJ24" s="245"/>
      <c r="AK24" s="245"/>
      <c r="AL24" s="245"/>
      <c r="AM24"/>
      <c r="AN24"/>
      <c r="AO24"/>
      <c r="AP24"/>
      <c r="AQ24" s="1" t="s">
        <v>13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</row>
    <row r="25" spans="1:87" s="2" customFormat="1" ht="14.45" customHeight="1" x14ac:dyDescent="0.25">
      <c r="A25" s="82"/>
      <c r="B25" s="69"/>
      <c r="C25" s="202" t="str">
        <f t="shared" si="4"/>
        <v>N1</v>
      </c>
      <c r="D25" s="243">
        <f t="shared" si="5"/>
        <v>0.75</v>
      </c>
      <c r="E25" s="243"/>
      <c r="F25" s="203" t="s">
        <v>11</v>
      </c>
      <c r="G25" s="244">
        <f t="shared" si="6"/>
        <v>0.25</v>
      </c>
      <c r="H25" s="244"/>
      <c r="I25" s="204"/>
      <c r="J25" s="205" t="str">
        <f t="shared" si="7"/>
        <v>N3</v>
      </c>
      <c r="K25" s="248">
        <f t="shared" si="7"/>
        <v>0.91666666666666663</v>
      </c>
      <c r="L25" s="247"/>
      <c r="M25" s="206" t="s">
        <v>11</v>
      </c>
      <c r="N25" s="248">
        <f>V36</f>
        <v>0.25</v>
      </c>
      <c r="O25" s="249"/>
      <c r="P25" s="201"/>
      <c r="Q25" s="205" t="str">
        <f>R39</f>
        <v>H</v>
      </c>
      <c r="R25" s="248"/>
      <c r="S25" s="248"/>
      <c r="T25" s="207" t="s">
        <v>11</v>
      </c>
      <c r="U25" s="248"/>
      <c r="V25" s="248"/>
      <c r="W25" s="263"/>
      <c r="X25" s="248"/>
      <c r="Y25" s="207" t="s">
        <v>11</v>
      </c>
      <c r="Z25" s="266"/>
      <c r="AA25" s="265"/>
      <c r="AB25" s="208"/>
      <c r="AC25" s="200"/>
      <c r="AD25" s="77"/>
      <c r="AE25" s="104"/>
      <c r="AF25" s="104"/>
      <c r="AG25" s="107" t="s">
        <v>14</v>
      </c>
      <c r="AH25" s="256" t="s">
        <v>59</v>
      </c>
      <c r="AI25" s="257"/>
      <c r="AJ25" s="245"/>
      <c r="AK25" s="245"/>
      <c r="AL25" s="245"/>
      <c r="AM25"/>
      <c r="AN25"/>
      <c r="AO25"/>
      <c r="AP25"/>
      <c r="AQ25" s="1" t="s">
        <v>15</v>
      </c>
      <c r="AR25" s="1"/>
      <c r="AS25" s="1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</row>
    <row r="26" spans="1:87" s="2" customFormat="1" ht="14.45" customHeight="1" x14ac:dyDescent="0.25">
      <c r="A26" s="82"/>
      <c r="B26" s="69"/>
      <c r="C26" s="202" t="str">
        <f t="shared" si="4"/>
        <v>D2</v>
      </c>
      <c r="D26" s="243">
        <f t="shared" si="5"/>
        <v>0.29166666666666669</v>
      </c>
      <c r="E26" s="243"/>
      <c r="F26" s="203" t="s">
        <v>11</v>
      </c>
      <c r="G26" s="244">
        <f t="shared" si="6"/>
        <v>0.79166666666666663</v>
      </c>
      <c r="H26" s="244"/>
      <c r="I26" s="204"/>
      <c r="J26" s="205" t="str">
        <f t="shared" si="7"/>
        <v>F</v>
      </c>
      <c r="K26" s="248">
        <f t="shared" si="7"/>
        <v>0.20833333333333334</v>
      </c>
      <c r="L26" s="247"/>
      <c r="M26" s="206" t="s">
        <v>11</v>
      </c>
      <c r="N26" s="248">
        <f>V37</f>
        <v>0.25</v>
      </c>
      <c r="O26" s="249"/>
      <c r="P26" s="201"/>
      <c r="Q26" s="205" t="str">
        <f>R40</f>
        <v>I</v>
      </c>
      <c r="R26" s="248"/>
      <c r="S26" s="248"/>
      <c r="T26" s="207" t="s">
        <v>11</v>
      </c>
      <c r="U26" s="248"/>
      <c r="V26" s="248"/>
      <c r="W26" s="263"/>
      <c r="X26" s="248"/>
      <c r="Y26" s="207" t="s">
        <v>11</v>
      </c>
      <c r="Z26" s="266"/>
      <c r="AA26" s="265"/>
      <c r="AB26" s="208"/>
      <c r="AC26" s="200"/>
      <c r="AD26" s="77"/>
      <c r="AE26" s="104"/>
      <c r="AF26" s="104"/>
      <c r="AG26" s="107" t="s">
        <v>16</v>
      </c>
      <c r="AH26" s="256" t="s">
        <v>42</v>
      </c>
      <c r="AI26" s="257"/>
      <c r="AJ26" s="245"/>
      <c r="AK26" s="245"/>
      <c r="AL26" s="245"/>
      <c r="AM26"/>
      <c r="AN26"/>
      <c r="AO26"/>
      <c r="AP26"/>
      <c r="AQ26" s="1" t="s">
        <v>17</v>
      </c>
      <c r="AR26" s="1"/>
      <c r="AS26" s="1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</row>
    <row r="27" spans="1:87" s="2" customFormat="1" ht="14.45" customHeight="1" x14ac:dyDescent="0.25">
      <c r="A27" s="82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201"/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69"/>
      <c r="Z27" s="69"/>
      <c r="AA27" s="69"/>
      <c r="AB27" s="69"/>
      <c r="AC27" s="69"/>
      <c r="AD27" s="69"/>
      <c r="AE27" s="262"/>
      <c r="AF27" s="262"/>
      <c r="AG27" s="82"/>
      <c r="AH27" s="82"/>
      <c r="AI27" s="82"/>
      <c r="AJ27" s="32"/>
      <c r="AK27" s="32"/>
      <c r="AL27" s="32"/>
    </row>
    <row r="28" spans="1:87" s="2" customFormat="1" ht="14.45" customHeight="1" x14ac:dyDescent="0.25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32"/>
      <c r="AK28" s="32"/>
      <c r="AL28" s="32"/>
    </row>
    <row r="29" spans="1:87" s="2" customFormat="1" ht="14.45" customHeight="1" x14ac:dyDescent="0.25">
      <c r="A29" s="82"/>
      <c r="B29" s="81" t="s">
        <v>18</v>
      </c>
      <c r="C29" s="251" t="str">
        <f>E43</f>
        <v xml:space="preserve">*Aquí notas que se vean en el cuadrante... </v>
      </c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  <c r="AA29" s="251"/>
      <c r="AB29" s="251"/>
      <c r="AC29" s="251"/>
      <c r="AD29" s="251"/>
      <c r="AE29" s="251"/>
      <c r="AF29" s="251"/>
      <c r="AG29" s="251"/>
      <c r="AH29" s="251"/>
      <c r="AI29" s="251"/>
      <c r="AJ29" s="251"/>
      <c r="AK29" s="32"/>
      <c r="AL29" s="32"/>
    </row>
    <row r="30" spans="1:87" s="2" customFormat="1" ht="19.5" customHeight="1" x14ac:dyDescent="0.35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32"/>
      <c r="AK30" s="32"/>
      <c r="AL30" s="32"/>
      <c r="AN30" s="5" t="s">
        <v>19</v>
      </c>
      <c r="AO30" s="5"/>
      <c r="AP30" s="5" t="s">
        <v>20</v>
      </c>
      <c r="AQ30" s="5" t="s">
        <v>21</v>
      </c>
      <c r="AR30" s="5"/>
      <c r="AS30" s="5"/>
      <c r="AT30" s="5"/>
      <c r="AU30" s="5"/>
      <c r="AV30" s="5"/>
      <c r="AW30" s="5"/>
      <c r="AX30" s="5" t="s">
        <v>22</v>
      </c>
      <c r="AY30" s="5"/>
      <c r="AZ30" s="5" t="s">
        <v>23</v>
      </c>
      <c r="BA30" s="5"/>
      <c r="BB30" s="5"/>
      <c r="BC30" s="5"/>
      <c r="BD30" s="5" t="s">
        <v>24</v>
      </c>
    </row>
    <row r="31" spans="1:87" s="2" customFormat="1" ht="19.5" customHeight="1" x14ac:dyDescent="0.25">
      <c r="A31" s="252" t="s">
        <v>25</v>
      </c>
      <c r="B31" s="252"/>
      <c r="C31" s="252"/>
      <c r="D31" s="252"/>
      <c r="E31" s="252"/>
      <c r="F31" s="252"/>
      <c r="G31" s="252"/>
      <c r="H31" s="252"/>
      <c r="I31" s="252"/>
      <c r="J31" s="252"/>
      <c r="K31" s="252"/>
      <c r="L31" s="252"/>
      <c r="M31" s="252"/>
      <c r="N31" s="252"/>
      <c r="O31" s="114"/>
      <c r="P31" s="114"/>
      <c r="Q31" s="114"/>
      <c r="R31" s="252" t="s">
        <v>9</v>
      </c>
      <c r="S31" s="252"/>
      <c r="T31" s="252"/>
      <c r="U31" s="252"/>
      <c r="V31" s="252"/>
      <c r="W31" s="252"/>
      <c r="X31" s="115"/>
      <c r="Y31" s="115"/>
      <c r="Z31" s="115"/>
      <c r="AA31" s="115"/>
      <c r="AB31" s="115"/>
      <c r="AC31" s="116"/>
      <c r="AD31" s="253" t="s">
        <v>26</v>
      </c>
      <c r="AE31" s="253"/>
      <c r="AF31" s="253"/>
      <c r="AG31" s="253"/>
      <c r="AH31" s="253"/>
      <c r="AI31" s="253"/>
      <c r="AJ31" s="114"/>
      <c r="AK31" s="212" t="s">
        <v>6</v>
      </c>
      <c r="AL31" s="114"/>
      <c r="AN31" s="97" t="s">
        <v>27</v>
      </c>
      <c r="AO31" s="97" t="s">
        <v>28</v>
      </c>
      <c r="AP31" s="97" t="s">
        <v>29</v>
      </c>
      <c r="AQ31" s="97" t="s">
        <v>30</v>
      </c>
      <c r="AR31" s="261" t="s">
        <v>31</v>
      </c>
      <c r="AS31" s="261"/>
      <c r="AT31" s="261"/>
      <c r="AU31" s="261"/>
      <c r="AV31" s="261"/>
      <c r="AW31" s="261"/>
      <c r="AX31" s="261"/>
      <c r="AY31" s="261"/>
      <c r="AZ31" s="261"/>
      <c r="BA31" s="97" t="s">
        <v>32</v>
      </c>
      <c r="BB31" s="260" t="s">
        <v>33</v>
      </c>
      <c r="BC31" s="260"/>
      <c r="BD31" s="103" t="s">
        <v>34</v>
      </c>
      <c r="BE31" s="56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</row>
    <row r="32" spans="1:87" s="2" customFormat="1" ht="19.5" customHeight="1" x14ac:dyDescent="0.25">
      <c r="A32" s="238" t="s">
        <v>35</v>
      </c>
      <c r="B32" s="238"/>
      <c r="C32" s="242" t="s">
        <v>164</v>
      </c>
      <c r="D32" s="242"/>
      <c r="E32" s="242"/>
      <c r="F32" s="242"/>
      <c r="G32" s="242"/>
      <c r="H32" s="242"/>
      <c r="I32" s="242"/>
      <c r="J32" s="242"/>
      <c r="K32" s="242"/>
      <c r="L32" s="242"/>
      <c r="M32" s="242"/>
      <c r="N32" s="242"/>
      <c r="O32" s="114"/>
      <c r="P32" s="114"/>
      <c r="Q32" s="117"/>
      <c r="R32" s="85" t="s">
        <v>150</v>
      </c>
      <c r="S32" s="240">
        <v>0.25</v>
      </c>
      <c r="T32" s="240"/>
      <c r="U32" s="118" t="s">
        <v>11</v>
      </c>
      <c r="V32" s="241">
        <v>0.75</v>
      </c>
      <c r="W32" s="241"/>
      <c r="X32" s="115"/>
      <c r="Y32" s="115"/>
      <c r="Z32" s="115"/>
      <c r="AA32" s="115"/>
      <c r="AB32" s="115"/>
      <c r="AC32" s="116"/>
      <c r="AD32" s="250" t="s">
        <v>36</v>
      </c>
      <c r="AE32" s="250"/>
      <c r="AF32" s="250"/>
      <c r="AG32" s="250"/>
      <c r="AH32" s="86">
        <v>0.5</v>
      </c>
      <c r="AI32" s="254">
        <f>AH32/24</f>
        <v>2.0833333333333332E-2</v>
      </c>
      <c r="AJ32" s="255"/>
      <c r="AK32" s="217">
        <f>AH49</f>
        <v>0</v>
      </c>
      <c r="AL32" s="214" t="s">
        <v>90</v>
      </c>
      <c r="AM32" s="9"/>
      <c r="AN32" s="34">
        <f t="shared" ref="AN32:AN40" si="8">IF(AS32/24=0,0,AS32/24)</f>
        <v>0</v>
      </c>
      <c r="AO32" s="35">
        <f t="shared" ref="AO32:AO40" si="9">IF(BA32=0,"",BA32)</f>
        <v>0.5</v>
      </c>
      <c r="AP32" s="36">
        <f t="shared" ref="AP32:AP39" si="10">S32*24</f>
        <v>6</v>
      </c>
      <c r="AQ32" s="36">
        <f t="shared" ref="AQ32:AQ40" si="11">V32*24</f>
        <v>18</v>
      </c>
      <c r="AR32" s="36">
        <f t="shared" ref="AR32:AR40" si="12">AS32</f>
        <v>0</v>
      </c>
      <c r="AS32" s="37">
        <f t="shared" ref="AS32:AS40" si="13">IF(AV32&gt;=4,AT32,AT32)</f>
        <v>0</v>
      </c>
      <c r="AT32" s="38">
        <f t="shared" ref="AT32:AT40" si="14">IF(AV32&gt;8,8,AU32)</f>
        <v>0</v>
      </c>
      <c r="AU32" s="39">
        <f t="shared" ref="AU32:AU40" si="15">IF(AV32&lt;0,0,AV32)</f>
        <v>0</v>
      </c>
      <c r="AV32" s="40">
        <f t="shared" ref="AV32:AV40" si="16">IF(AP32=AQ32,0,IF(AP32&gt;AQ32,AW32,IF(AP32&gt;=6,AX32,AQ32-AP32)))</f>
        <v>-12</v>
      </c>
      <c r="AW32" s="36">
        <f t="shared" ref="AW32:AW40" si="17">IF(AP32&lt;6,(AQ32-22+24)+(6-AP32),IF(AP32&gt;=22,AY32,IF(AV2&lt;=6,(AQ32-22)+24,8)))</f>
        <v>20</v>
      </c>
      <c r="AX32" s="41">
        <f t="shared" ref="AX32:AX40" si="18">IF(AQ32&gt;22,AZ32,IF(AP32&lt;AQ32,AP32-AQ32,IF(AP32&gt;6,0,(6-AP32))))</f>
        <v>-12</v>
      </c>
      <c r="AY32" s="36">
        <f t="shared" ref="AY32:AY40" si="19">IF(AQ32&lt;=6,(AQ32-AP32)+24,IF(AQ32&gt;22,8,(6-AP32)+24))</f>
        <v>24</v>
      </c>
      <c r="AZ32" s="42">
        <f t="shared" ref="AZ32:AZ40" si="20">IF(AP32&lt;=6,(6-AP32)+(AQ32-22),IF(AP32&gt;22,(AQ32-AP32),(AQ32-22)))</f>
        <v>-4</v>
      </c>
      <c r="BA32" s="36">
        <f t="shared" ref="BA32:BA40" si="21">IF(V32-S32&gt;=0,V32-S32,V32-S32+24)</f>
        <v>0.5</v>
      </c>
      <c r="BB32" s="36">
        <f t="shared" ref="BB32:BB40" si="22">IF(AO32&lt;1,AO32*24,(AO32-24)*24)</f>
        <v>12</v>
      </c>
      <c r="BC32" s="36">
        <f t="shared" ref="BC32:BC40" si="23">IF(BB32&gt;=0,BB32,BB32+24)</f>
        <v>12</v>
      </c>
      <c r="BD32" s="43">
        <f t="shared" ref="BD32:BD40" si="24">IF(AX32&lt;=0,AN32,IF(AX32&gt;=0.1,AX32/24))</f>
        <v>0</v>
      </c>
      <c r="BE32" s="44" t="str">
        <f t="shared" ref="BE32:BE34" si="25">IF(BD38&gt;=4,IF(BD38="",0,8),IF(BD38&gt;=0.1,IF(BD38="",0,BD38),""))</f>
        <v/>
      </c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</row>
    <row r="33" spans="1:97" s="2" customFormat="1" ht="19.5" customHeight="1" x14ac:dyDescent="0.25">
      <c r="A33" s="238" t="s">
        <v>37</v>
      </c>
      <c r="B33" s="238"/>
      <c r="C33" s="242" t="s">
        <v>168</v>
      </c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114"/>
      <c r="P33" s="114"/>
      <c r="Q33" s="117"/>
      <c r="R33" s="85" t="s">
        <v>152</v>
      </c>
      <c r="S33" s="240">
        <v>0.75</v>
      </c>
      <c r="T33" s="240"/>
      <c r="U33" s="118" t="s">
        <v>11</v>
      </c>
      <c r="V33" s="241">
        <v>0.25</v>
      </c>
      <c r="W33" s="241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4"/>
      <c r="AK33" s="217">
        <f>AH60</f>
        <v>136</v>
      </c>
      <c r="AL33" s="214" t="s">
        <v>138</v>
      </c>
      <c r="AM33" s="9"/>
      <c r="AN33" s="35">
        <f t="shared" si="8"/>
        <v>0.33333333333333331</v>
      </c>
      <c r="AO33" s="35">
        <f t="shared" si="9"/>
        <v>23.5</v>
      </c>
      <c r="AP33" s="36">
        <f t="shared" si="10"/>
        <v>18</v>
      </c>
      <c r="AQ33" s="36">
        <f t="shared" si="11"/>
        <v>6</v>
      </c>
      <c r="AR33" s="36">
        <f t="shared" si="12"/>
        <v>8</v>
      </c>
      <c r="AS33" s="37">
        <f t="shared" si="13"/>
        <v>8</v>
      </c>
      <c r="AT33" s="38">
        <f t="shared" si="14"/>
        <v>8</v>
      </c>
      <c r="AU33" s="39">
        <f t="shared" si="15"/>
        <v>8</v>
      </c>
      <c r="AV33" s="36">
        <f t="shared" si="16"/>
        <v>8</v>
      </c>
      <c r="AW33" s="36">
        <f t="shared" si="17"/>
        <v>8</v>
      </c>
      <c r="AX33" s="41">
        <f t="shared" si="18"/>
        <v>0</v>
      </c>
      <c r="AY33" s="36">
        <f t="shared" si="19"/>
        <v>12</v>
      </c>
      <c r="AZ33" s="36">
        <f t="shared" si="20"/>
        <v>-16</v>
      </c>
      <c r="BA33" s="36">
        <f t="shared" si="21"/>
        <v>23.5</v>
      </c>
      <c r="BB33" s="36">
        <f t="shared" si="22"/>
        <v>-12</v>
      </c>
      <c r="BC33" s="36">
        <f t="shared" si="23"/>
        <v>12</v>
      </c>
      <c r="BD33" s="43">
        <f t="shared" si="24"/>
        <v>0.33333333333333331</v>
      </c>
      <c r="BE33" s="44" t="str">
        <f t="shared" si="25"/>
        <v/>
      </c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</row>
    <row r="34" spans="1:97" s="2" customFormat="1" ht="19.5" customHeight="1" x14ac:dyDescent="0.35">
      <c r="A34" s="238" t="s">
        <v>38</v>
      </c>
      <c r="B34" s="238"/>
      <c r="C34" s="242">
        <v>2026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114"/>
      <c r="P34" s="114"/>
      <c r="Q34" s="117"/>
      <c r="R34" s="85" t="s">
        <v>151</v>
      </c>
      <c r="S34" s="240">
        <v>0.29166666666666669</v>
      </c>
      <c r="T34" s="240"/>
      <c r="U34" s="118" t="s">
        <v>11</v>
      </c>
      <c r="V34" s="241">
        <v>0.79166666666666663</v>
      </c>
      <c r="W34" s="241"/>
      <c r="X34" s="115"/>
      <c r="Y34" s="119"/>
      <c r="Z34" s="119"/>
      <c r="AA34" s="119"/>
      <c r="AB34" s="119"/>
      <c r="AC34" s="119"/>
      <c r="AD34" s="119"/>
      <c r="AE34" s="115"/>
      <c r="AF34" s="115"/>
      <c r="AG34" s="115"/>
      <c r="AH34" s="115"/>
      <c r="AI34" s="115"/>
      <c r="AJ34" s="115"/>
      <c r="AK34" s="217">
        <f>AH71</f>
        <v>8</v>
      </c>
      <c r="AL34" s="214" t="s">
        <v>139</v>
      </c>
      <c r="AM34" s="9"/>
      <c r="AN34" s="35">
        <f t="shared" si="8"/>
        <v>0</v>
      </c>
      <c r="AO34" s="35">
        <f t="shared" si="9"/>
        <v>0.49999999999999994</v>
      </c>
      <c r="AP34" s="36">
        <f t="shared" si="10"/>
        <v>7</v>
      </c>
      <c r="AQ34" s="36">
        <f t="shared" si="11"/>
        <v>19</v>
      </c>
      <c r="AR34" s="36">
        <f t="shared" si="12"/>
        <v>0</v>
      </c>
      <c r="AS34" s="37">
        <f t="shared" si="13"/>
        <v>0</v>
      </c>
      <c r="AT34" s="38">
        <f t="shared" si="14"/>
        <v>0</v>
      </c>
      <c r="AU34" s="39">
        <f t="shared" si="15"/>
        <v>0</v>
      </c>
      <c r="AV34" s="36">
        <f t="shared" si="16"/>
        <v>-12</v>
      </c>
      <c r="AW34" s="36">
        <f t="shared" si="17"/>
        <v>21</v>
      </c>
      <c r="AX34" s="41">
        <f t="shared" si="18"/>
        <v>-12</v>
      </c>
      <c r="AY34" s="36">
        <f t="shared" si="19"/>
        <v>23</v>
      </c>
      <c r="AZ34" s="36">
        <f t="shared" si="20"/>
        <v>-3</v>
      </c>
      <c r="BA34" s="36">
        <f t="shared" si="21"/>
        <v>0.49999999999999994</v>
      </c>
      <c r="BB34" s="36">
        <f t="shared" si="22"/>
        <v>11.999999999999998</v>
      </c>
      <c r="BC34" s="36">
        <f t="shared" si="23"/>
        <v>11.999999999999998</v>
      </c>
      <c r="BD34" s="43">
        <f t="shared" si="24"/>
        <v>0</v>
      </c>
      <c r="BE34" s="44" t="str">
        <f t="shared" si="25"/>
        <v/>
      </c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</row>
    <row r="35" spans="1:97" s="2" customFormat="1" ht="19.5" customHeight="1" x14ac:dyDescent="0.25">
      <c r="A35" s="238" t="s">
        <v>39</v>
      </c>
      <c r="B35" s="238"/>
      <c r="C35" s="242">
        <v>1</v>
      </c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114"/>
      <c r="P35" s="114"/>
      <c r="Q35" s="117"/>
      <c r="R35" s="85" t="s">
        <v>153</v>
      </c>
      <c r="S35" s="240">
        <v>0.79166666666666663</v>
      </c>
      <c r="T35" s="240"/>
      <c r="U35" s="118" t="s">
        <v>11</v>
      </c>
      <c r="V35" s="241">
        <v>0.29166666666666669</v>
      </c>
      <c r="W35" s="241"/>
      <c r="X35" s="115"/>
      <c r="Y35" s="120"/>
      <c r="Z35" s="121"/>
      <c r="AA35" s="121"/>
      <c r="AB35" s="120"/>
      <c r="AC35" s="121"/>
      <c r="AD35" s="121"/>
      <c r="AE35" s="115"/>
      <c r="AF35" s="115"/>
      <c r="AG35" s="115"/>
      <c r="AH35" s="115"/>
      <c r="AI35" s="115"/>
      <c r="AJ35" s="115"/>
      <c r="AK35" s="217">
        <f>AH82</f>
        <v>0</v>
      </c>
      <c r="AL35" s="214" t="s">
        <v>140</v>
      </c>
      <c r="AM35" s="9"/>
      <c r="AN35" s="35">
        <f t="shared" si="8"/>
        <v>0.33333333333333331</v>
      </c>
      <c r="AO35" s="35">
        <f t="shared" si="9"/>
        <v>23.5</v>
      </c>
      <c r="AP35" s="36">
        <f t="shared" si="10"/>
        <v>19</v>
      </c>
      <c r="AQ35" s="36">
        <f t="shared" si="11"/>
        <v>7</v>
      </c>
      <c r="AR35" s="36">
        <f t="shared" si="12"/>
        <v>8</v>
      </c>
      <c r="AS35" s="37">
        <f t="shared" si="13"/>
        <v>8</v>
      </c>
      <c r="AT35" s="38">
        <f t="shared" si="14"/>
        <v>8</v>
      </c>
      <c r="AU35" s="39">
        <f t="shared" si="15"/>
        <v>9</v>
      </c>
      <c r="AV35" s="36">
        <f t="shared" si="16"/>
        <v>9</v>
      </c>
      <c r="AW35" s="36">
        <f t="shared" si="17"/>
        <v>9</v>
      </c>
      <c r="AX35" s="41">
        <f t="shared" si="18"/>
        <v>0</v>
      </c>
      <c r="AY35" s="36">
        <f t="shared" si="19"/>
        <v>11</v>
      </c>
      <c r="AZ35" s="36">
        <f t="shared" si="20"/>
        <v>-15</v>
      </c>
      <c r="BA35" s="36">
        <f t="shared" si="21"/>
        <v>23.5</v>
      </c>
      <c r="BB35" s="36">
        <f t="shared" si="22"/>
        <v>-12</v>
      </c>
      <c r="BC35" s="36">
        <f t="shared" si="23"/>
        <v>12</v>
      </c>
      <c r="BD35" s="43">
        <f t="shared" si="24"/>
        <v>0.33333333333333331</v>
      </c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S35" s="216"/>
    </row>
    <row r="36" spans="1:97" s="2" customFormat="1" ht="19.5" customHeight="1" x14ac:dyDescent="0.25">
      <c r="A36" s="238" t="s">
        <v>40</v>
      </c>
      <c r="B36" s="238"/>
      <c r="C36" s="239">
        <v>5.22</v>
      </c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114"/>
      <c r="P36" s="114"/>
      <c r="Q36" s="117"/>
      <c r="R36" s="85" t="s">
        <v>154</v>
      </c>
      <c r="S36" s="240">
        <v>0.91666666666666663</v>
      </c>
      <c r="T36" s="240"/>
      <c r="U36" s="118" t="s">
        <v>11</v>
      </c>
      <c r="V36" s="241">
        <v>0.25</v>
      </c>
      <c r="W36" s="241"/>
      <c r="X36" s="115"/>
      <c r="Y36" s="120"/>
      <c r="Z36" s="121"/>
      <c r="AA36" s="121"/>
      <c r="AB36" s="120"/>
      <c r="AC36" s="121"/>
      <c r="AD36" s="121"/>
      <c r="AE36" s="115"/>
      <c r="AF36" s="115"/>
      <c r="AG36" s="115"/>
      <c r="AH36" s="115"/>
      <c r="AI36" s="115"/>
      <c r="AJ36" s="115"/>
      <c r="AK36" s="217">
        <f>AH93</f>
        <v>16</v>
      </c>
      <c r="AL36" s="214" t="s">
        <v>141</v>
      </c>
      <c r="AM36" s="9"/>
      <c r="AN36" s="35">
        <f t="shared" si="8"/>
        <v>0.33333333333333331</v>
      </c>
      <c r="AO36" s="35">
        <f t="shared" si="9"/>
        <v>23.333333333333332</v>
      </c>
      <c r="AP36" s="36">
        <f t="shared" si="10"/>
        <v>22</v>
      </c>
      <c r="AQ36" s="36">
        <f t="shared" si="11"/>
        <v>6</v>
      </c>
      <c r="AR36" s="36">
        <f t="shared" si="12"/>
        <v>8</v>
      </c>
      <c r="AS36" s="37">
        <f t="shared" si="13"/>
        <v>8</v>
      </c>
      <c r="AT36" s="38">
        <f t="shared" si="14"/>
        <v>8</v>
      </c>
      <c r="AU36" s="39">
        <f t="shared" si="15"/>
        <v>8</v>
      </c>
      <c r="AV36" s="36">
        <f t="shared" si="16"/>
        <v>8</v>
      </c>
      <c r="AW36" s="36">
        <f t="shared" si="17"/>
        <v>8</v>
      </c>
      <c r="AX36" s="41">
        <f t="shared" si="18"/>
        <v>0</v>
      </c>
      <c r="AY36" s="36">
        <f t="shared" si="19"/>
        <v>8</v>
      </c>
      <c r="AZ36" s="36">
        <f t="shared" si="20"/>
        <v>-16</v>
      </c>
      <c r="BA36" s="36">
        <f t="shared" si="21"/>
        <v>23.333333333333332</v>
      </c>
      <c r="BB36" s="36">
        <f t="shared" si="22"/>
        <v>-16.000000000000028</v>
      </c>
      <c r="BC36" s="36">
        <f t="shared" si="23"/>
        <v>7.9999999999999716</v>
      </c>
      <c r="BD36" s="43">
        <f t="shared" si="24"/>
        <v>0.33333333333333331</v>
      </c>
      <c r="BE36" s="1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</row>
    <row r="37" spans="1:97" s="2" customFormat="1" ht="19.5" customHeight="1" x14ac:dyDescent="0.25">
      <c r="A37" s="238" t="s">
        <v>41</v>
      </c>
      <c r="B37" s="238"/>
      <c r="C37" s="239">
        <v>162</v>
      </c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116"/>
      <c r="P37" s="116"/>
      <c r="Q37" s="117"/>
      <c r="R37" s="85" t="str">
        <f>CONTROL!F40</f>
        <v>F</v>
      </c>
      <c r="S37" s="240">
        <f>CONTROL!G40</f>
        <v>0.20833333333333334</v>
      </c>
      <c r="T37" s="240"/>
      <c r="U37" s="118" t="s">
        <v>11</v>
      </c>
      <c r="V37" s="241">
        <f>CONTROL!H40</f>
        <v>0.25</v>
      </c>
      <c r="W37" s="241"/>
      <c r="X37" s="115"/>
      <c r="Y37" s="120"/>
      <c r="Z37" s="121"/>
      <c r="AA37" s="121"/>
      <c r="AB37" s="120"/>
      <c r="AC37" s="121"/>
      <c r="AD37" s="121"/>
      <c r="AE37" s="115"/>
      <c r="AF37" s="115"/>
      <c r="AG37" s="115"/>
      <c r="AH37" s="115"/>
      <c r="AI37" s="115"/>
      <c r="AJ37" s="116"/>
      <c r="AK37" s="217">
        <f>AH104</f>
        <v>24</v>
      </c>
      <c r="AL37" s="214" t="s">
        <v>142</v>
      </c>
      <c r="AM37" s="9"/>
      <c r="AN37" s="35">
        <f t="shared" si="8"/>
        <v>4.1666666666666664E-2</v>
      </c>
      <c r="AO37" s="35">
        <f t="shared" si="9"/>
        <v>4.1666666666666657E-2</v>
      </c>
      <c r="AP37" s="36">
        <f t="shared" si="10"/>
        <v>5</v>
      </c>
      <c r="AQ37" s="36">
        <f t="shared" si="11"/>
        <v>6</v>
      </c>
      <c r="AR37" s="36">
        <f t="shared" si="12"/>
        <v>1</v>
      </c>
      <c r="AS37" s="37">
        <f t="shared" si="13"/>
        <v>1</v>
      </c>
      <c r="AT37" s="38">
        <f t="shared" si="14"/>
        <v>1</v>
      </c>
      <c r="AU37" s="39">
        <f t="shared" si="15"/>
        <v>1</v>
      </c>
      <c r="AV37" s="36">
        <f t="shared" si="16"/>
        <v>1</v>
      </c>
      <c r="AW37" s="36">
        <f t="shared" si="17"/>
        <v>9</v>
      </c>
      <c r="AX37" s="41">
        <f t="shared" si="18"/>
        <v>-1</v>
      </c>
      <c r="AY37" s="36">
        <f t="shared" si="19"/>
        <v>25</v>
      </c>
      <c r="AZ37" s="36">
        <f t="shared" si="20"/>
        <v>-15</v>
      </c>
      <c r="BA37" s="36">
        <f t="shared" si="21"/>
        <v>4.1666666666666657E-2</v>
      </c>
      <c r="BB37" s="36">
        <f t="shared" si="22"/>
        <v>0.99999999999999978</v>
      </c>
      <c r="BC37" s="36">
        <f t="shared" si="23"/>
        <v>0.99999999999999978</v>
      </c>
      <c r="BD37" s="43">
        <f t="shared" si="24"/>
        <v>4.1666666666666664E-2</v>
      </c>
      <c r="BE37" s="1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</row>
    <row r="38" spans="1:97" s="2" customFormat="1" ht="20.100000000000001" customHeight="1" x14ac:dyDescent="0.25">
      <c r="A38" s="238" t="s">
        <v>42</v>
      </c>
      <c r="B38" s="238"/>
      <c r="C38" s="239">
        <v>0</v>
      </c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122"/>
      <c r="P38" s="122"/>
      <c r="Q38" s="115"/>
      <c r="R38" s="197" t="str">
        <f>CONTROL!F41</f>
        <v>G</v>
      </c>
      <c r="S38" s="222">
        <f>CONTROL!G41</f>
        <v>0.29166666666666669</v>
      </c>
      <c r="T38" s="222"/>
      <c r="U38" s="118" t="s">
        <v>11</v>
      </c>
      <c r="V38" s="223">
        <f>CONTROL!H41</f>
        <v>0.33333333333333331</v>
      </c>
      <c r="W38" s="223"/>
      <c r="X38" s="115"/>
      <c r="Y38" s="120"/>
      <c r="Z38" s="121"/>
      <c r="AA38" s="121"/>
      <c r="AB38" s="120"/>
      <c r="AC38" s="121"/>
      <c r="AD38" s="121"/>
      <c r="AE38" s="116"/>
      <c r="AF38" s="116"/>
      <c r="AG38" s="116"/>
      <c r="AH38" s="116"/>
      <c r="AI38" s="116"/>
      <c r="AJ38" s="114"/>
      <c r="AK38" s="217">
        <f>AH115</f>
        <v>128</v>
      </c>
      <c r="AL38" s="214" t="s">
        <v>143</v>
      </c>
      <c r="AN38" s="35">
        <f t="shared" si="8"/>
        <v>0</v>
      </c>
      <c r="AO38" s="35">
        <f t="shared" si="9"/>
        <v>4.166666666666663E-2</v>
      </c>
      <c r="AP38" s="36">
        <f t="shared" si="10"/>
        <v>7</v>
      </c>
      <c r="AQ38" s="36">
        <f t="shared" si="11"/>
        <v>8</v>
      </c>
      <c r="AR38" s="36">
        <f t="shared" si="12"/>
        <v>0</v>
      </c>
      <c r="AS38" s="37">
        <f t="shared" si="13"/>
        <v>0</v>
      </c>
      <c r="AT38" s="38">
        <f t="shared" si="14"/>
        <v>0</v>
      </c>
      <c r="AU38" s="39">
        <f t="shared" si="15"/>
        <v>0</v>
      </c>
      <c r="AV38" s="36">
        <f t="shared" si="16"/>
        <v>-1</v>
      </c>
      <c r="AW38" s="36">
        <f t="shared" si="17"/>
        <v>10</v>
      </c>
      <c r="AX38" s="41">
        <f t="shared" si="18"/>
        <v>-1</v>
      </c>
      <c r="AY38" s="36">
        <f t="shared" si="19"/>
        <v>23</v>
      </c>
      <c r="AZ38" s="36">
        <f t="shared" si="20"/>
        <v>-14</v>
      </c>
      <c r="BA38" s="36">
        <f t="shared" si="21"/>
        <v>4.166666666666663E-2</v>
      </c>
      <c r="BB38" s="36">
        <f t="shared" si="22"/>
        <v>0.99999999999999911</v>
      </c>
      <c r="BC38" s="36">
        <f t="shared" si="23"/>
        <v>0.99999999999999911</v>
      </c>
      <c r="BD38" s="43">
        <f t="shared" si="24"/>
        <v>0</v>
      </c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</row>
    <row r="39" spans="1:97" s="2" customFormat="1" ht="20.100000000000001" customHeight="1" x14ac:dyDescent="0.25">
      <c r="A39" s="123"/>
      <c r="B39" s="116"/>
      <c r="C39" s="124"/>
      <c r="D39" s="116"/>
      <c r="E39" s="116"/>
      <c r="F39" s="116"/>
      <c r="G39" s="116"/>
      <c r="H39" s="116"/>
      <c r="I39" s="116"/>
      <c r="J39" s="116"/>
      <c r="K39" s="116"/>
      <c r="L39" s="122"/>
      <c r="M39" s="122"/>
      <c r="N39" s="125"/>
      <c r="O39" s="122"/>
      <c r="P39" s="122"/>
      <c r="Q39" s="115"/>
      <c r="R39" s="197" t="str">
        <f>CONTROL!F42</f>
        <v>H</v>
      </c>
      <c r="S39" s="222">
        <f>CONTROL!G42</f>
        <v>0.33333333333333331</v>
      </c>
      <c r="T39" s="222"/>
      <c r="U39" s="118" t="s">
        <v>11</v>
      </c>
      <c r="V39" s="223">
        <f>CONTROL!H42</f>
        <v>0.375</v>
      </c>
      <c r="W39" s="223"/>
      <c r="X39" s="115"/>
      <c r="Y39" s="120"/>
      <c r="Z39" s="121"/>
      <c r="AA39" s="121"/>
      <c r="AB39" s="120"/>
      <c r="AC39" s="121"/>
      <c r="AD39" s="121"/>
      <c r="AE39" s="116"/>
      <c r="AF39" s="116"/>
      <c r="AG39" s="116"/>
      <c r="AH39" s="116"/>
      <c r="AI39" s="116"/>
      <c r="AJ39" s="114"/>
      <c r="AK39" s="217">
        <f>AH126</f>
        <v>112</v>
      </c>
      <c r="AL39" s="214" t="s">
        <v>144</v>
      </c>
      <c r="AN39" s="35">
        <f t="shared" si="8"/>
        <v>0</v>
      </c>
      <c r="AO39" s="35">
        <f t="shared" si="9"/>
        <v>4.1666666666666685E-2</v>
      </c>
      <c r="AP39" s="36">
        <f t="shared" si="10"/>
        <v>8</v>
      </c>
      <c r="AQ39" s="36">
        <f t="shared" si="11"/>
        <v>9</v>
      </c>
      <c r="AR39" s="36">
        <f t="shared" si="12"/>
        <v>0</v>
      </c>
      <c r="AS39" s="37">
        <f t="shared" si="13"/>
        <v>0</v>
      </c>
      <c r="AT39" s="38">
        <f t="shared" si="14"/>
        <v>0</v>
      </c>
      <c r="AU39" s="39">
        <f t="shared" si="15"/>
        <v>0</v>
      </c>
      <c r="AV39" s="36">
        <f t="shared" si="16"/>
        <v>-1</v>
      </c>
      <c r="AW39" s="36">
        <f t="shared" si="17"/>
        <v>11</v>
      </c>
      <c r="AX39" s="41">
        <f t="shared" si="18"/>
        <v>-1</v>
      </c>
      <c r="AY39" s="36">
        <f t="shared" si="19"/>
        <v>22</v>
      </c>
      <c r="AZ39" s="36">
        <f t="shared" si="20"/>
        <v>-13</v>
      </c>
      <c r="BA39" s="36">
        <f t="shared" si="21"/>
        <v>4.1666666666666685E-2</v>
      </c>
      <c r="BB39" s="36">
        <f t="shared" si="22"/>
        <v>1.0000000000000004</v>
      </c>
      <c r="BC39" s="36">
        <f t="shared" si="23"/>
        <v>1.0000000000000004</v>
      </c>
      <c r="BD39" s="43">
        <f t="shared" si="24"/>
        <v>0</v>
      </c>
      <c r="BE39" s="31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</row>
    <row r="40" spans="1:97" s="2" customFormat="1" ht="20.100000000000001" customHeight="1" x14ac:dyDescent="0.25">
      <c r="A40" s="123"/>
      <c r="B40" s="116"/>
      <c r="C40" s="124"/>
      <c r="D40" s="116"/>
      <c r="E40" s="116"/>
      <c r="F40" s="116"/>
      <c r="G40" s="116"/>
      <c r="H40" s="116"/>
      <c r="I40" s="116"/>
      <c r="J40" s="116"/>
      <c r="K40" s="116"/>
      <c r="L40" s="122"/>
      <c r="M40" s="122"/>
      <c r="N40" s="125"/>
      <c r="O40" s="122"/>
      <c r="P40" s="122"/>
      <c r="Q40" s="115"/>
      <c r="R40" s="197" t="str">
        <f>CONTROL!F43</f>
        <v>I</v>
      </c>
      <c r="S40" s="222">
        <f>CONTROL!G43</f>
        <v>0.41666666666666669</v>
      </c>
      <c r="T40" s="222"/>
      <c r="U40" s="118" t="s">
        <v>11</v>
      </c>
      <c r="V40" s="223">
        <f>CONTROL!H43</f>
        <v>0.45833333333333331</v>
      </c>
      <c r="W40" s="223"/>
      <c r="X40" s="115"/>
      <c r="Y40" s="120"/>
      <c r="Z40" s="121"/>
      <c r="AA40" s="121"/>
      <c r="AB40" s="120"/>
      <c r="AC40" s="121"/>
      <c r="AD40" s="121"/>
      <c r="AE40" s="116"/>
      <c r="AF40" s="116"/>
      <c r="AG40" s="116"/>
      <c r="AH40" s="116"/>
      <c r="AI40" s="116"/>
      <c r="AJ40" s="114"/>
      <c r="AK40" s="217">
        <f>AH137</f>
        <v>72</v>
      </c>
      <c r="AL40" s="214" t="s">
        <v>145</v>
      </c>
      <c r="AN40" s="35">
        <f t="shared" si="8"/>
        <v>0</v>
      </c>
      <c r="AO40" s="35">
        <f t="shared" si="9"/>
        <v>4.166666666666663E-2</v>
      </c>
      <c r="AP40" s="36">
        <f>S40*24+24</f>
        <v>34</v>
      </c>
      <c r="AQ40" s="36">
        <f t="shared" si="11"/>
        <v>11</v>
      </c>
      <c r="AR40" s="36">
        <f t="shared" si="12"/>
        <v>0</v>
      </c>
      <c r="AS40" s="37">
        <f t="shared" si="13"/>
        <v>0</v>
      </c>
      <c r="AT40" s="38">
        <f t="shared" si="14"/>
        <v>0</v>
      </c>
      <c r="AU40" s="39">
        <f t="shared" si="15"/>
        <v>0</v>
      </c>
      <c r="AV40" s="36">
        <f t="shared" si="16"/>
        <v>-4</v>
      </c>
      <c r="AW40" s="36">
        <f t="shared" si="17"/>
        <v>-4</v>
      </c>
      <c r="AX40" s="41">
        <f t="shared" si="18"/>
        <v>0</v>
      </c>
      <c r="AY40" s="36">
        <f t="shared" si="19"/>
        <v>-4</v>
      </c>
      <c r="AZ40" s="36">
        <f t="shared" si="20"/>
        <v>-23</v>
      </c>
      <c r="BA40" s="36">
        <f t="shared" si="21"/>
        <v>4.166666666666663E-2</v>
      </c>
      <c r="BB40" s="36">
        <f t="shared" si="22"/>
        <v>0.99999999999999911</v>
      </c>
      <c r="BC40" s="36">
        <f t="shared" si="23"/>
        <v>0.99999999999999911</v>
      </c>
      <c r="BD40" s="43">
        <f t="shared" si="24"/>
        <v>0</v>
      </c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</row>
    <row r="41" spans="1:97" s="2" customFormat="1" ht="20.100000000000001" customHeight="1" x14ac:dyDescent="0.25">
      <c r="A41" s="123"/>
      <c r="B41" s="116"/>
      <c r="C41" s="124"/>
      <c r="D41" s="116"/>
      <c r="E41" s="116"/>
      <c r="F41" s="116"/>
      <c r="G41" s="116"/>
      <c r="H41" s="116"/>
      <c r="I41" s="116"/>
      <c r="J41" s="116"/>
      <c r="K41" s="116"/>
      <c r="L41" s="122"/>
      <c r="M41" s="122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6"/>
      <c r="AB41" s="116"/>
      <c r="AC41" s="116"/>
      <c r="AD41" s="116"/>
      <c r="AE41" s="116"/>
      <c r="AF41" s="116"/>
      <c r="AG41" s="116"/>
      <c r="AH41" s="116"/>
      <c r="AI41" s="116"/>
      <c r="AJ41" s="114"/>
      <c r="AK41" s="217">
        <f>AH148</f>
        <v>56</v>
      </c>
      <c r="AL41" s="214" t="s">
        <v>146</v>
      </c>
      <c r="AN41" s="10"/>
      <c r="AO41" s="10"/>
      <c r="AP41" s="46">
        <f>S41*24</f>
        <v>0</v>
      </c>
      <c r="AQ41" s="10"/>
      <c r="AR41" s="47">
        <v>1</v>
      </c>
      <c r="AS41" s="47">
        <v>2</v>
      </c>
      <c r="AT41" s="47">
        <v>3</v>
      </c>
      <c r="AU41" s="47">
        <v>4</v>
      </c>
      <c r="AV41" s="47">
        <v>5</v>
      </c>
      <c r="AW41" s="47">
        <v>6</v>
      </c>
      <c r="AX41" s="47">
        <v>7</v>
      </c>
      <c r="AY41" s="47">
        <v>8</v>
      </c>
      <c r="AZ41" s="47">
        <v>9</v>
      </c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</row>
    <row r="42" spans="1:97" ht="20.100000000000001" customHeight="1" x14ac:dyDescent="0.25">
      <c r="A42" s="116"/>
      <c r="B42" s="126"/>
      <c r="C42" s="224" t="s">
        <v>43</v>
      </c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5" t="str">
        <f>CONTROL!B38</f>
        <v>OSCAR ORGEIRA © 20.03.00 EXCEL</v>
      </c>
      <c r="X42" s="225"/>
      <c r="Y42" s="225"/>
      <c r="Z42" s="225"/>
      <c r="AA42" s="225"/>
      <c r="AB42" s="225"/>
      <c r="AC42" s="225"/>
      <c r="AD42" s="225"/>
      <c r="AE42" s="225"/>
      <c r="AF42" s="225"/>
      <c r="AG42" s="225"/>
      <c r="AH42" s="225"/>
      <c r="AI42" s="127"/>
      <c r="AJ42" s="116"/>
      <c r="AK42" s="218">
        <f>AH159</f>
        <v>168</v>
      </c>
      <c r="AL42" s="215" t="s">
        <v>147</v>
      </c>
      <c r="BE42" s="10"/>
    </row>
    <row r="43" spans="1:97" ht="19.5" customHeight="1" x14ac:dyDescent="0.25">
      <c r="A43" s="116"/>
      <c r="B43" s="116"/>
      <c r="C43" s="234" t="s">
        <v>44</v>
      </c>
      <c r="D43" s="234"/>
      <c r="E43" s="235" t="s">
        <v>45</v>
      </c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  <c r="AA43" s="235"/>
      <c r="AB43" s="235"/>
      <c r="AC43" s="235"/>
      <c r="AD43" s="235"/>
      <c r="AE43" s="235"/>
      <c r="AF43" s="235"/>
      <c r="AG43" s="235"/>
      <c r="AH43" s="235"/>
      <c r="AI43" s="235"/>
      <c r="AJ43" s="116"/>
      <c r="AK43" s="218">
        <f>AH170</f>
        <v>0</v>
      </c>
      <c r="AL43" s="215" t="s">
        <v>148</v>
      </c>
      <c r="BE43" s="10"/>
    </row>
    <row r="44" spans="1:97" s="2" customFormat="1" ht="19.5" hidden="1" customHeight="1" x14ac:dyDescent="0.25">
      <c r="A44" s="123"/>
      <c r="B44" s="114"/>
      <c r="C44" s="128"/>
      <c r="D44" s="114"/>
      <c r="E44" s="114"/>
      <c r="F44" s="114"/>
      <c r="G44" s="114"/>
      <c r="H44" s="114"/>
      <c r="I44" s="114"/>
      <c r="J44" s="114"/>
      <c r="K44" s="114"/>
      <c r="L44" s="125"/>
      <c r="M44" s="125"/>
      <c r="N44" s="125"/>
      <c r="O44" s="125"/>
      <c r="P44" s="125"/>
      <c r="Q44" s="125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N44" s="10"/>
      <c r="AO44" s="10"/>
      <c r="AP44" s="10"/>
      <c r="AQ44" s="10"/>
      <c r="AR44" s="47"/>
      <c r="AS44" s="47"/>
      <c r="AT44" s="47"/>
      <c r="AU44" s="47"/>
      <c r="AV44" s="47"/>
      <c r="AW44" s="47"/>
      <c r="AX44" s="47"/>
      <c r="AY44" s="47"/>
      <c r="AZ44" s="47"/>
      <c r="BA44" s="10"/>
      <c r="BB44" s="10"/>
      <c r="BC44" s="10"/>
      <c r="BD44" s="10"/>
      <c r="BE44" s="48" t="str">
        <f>INDEX({"do";"lu";"ma";"mi";"ju";"vi";"sa"},1+MOD($AR$47+4-2,7))</f>
        <v>ju</v>
      </c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</row>
    <row r="45" spans="1:97" ht="19.5" hidden="1" customHeight="1" x14ac:dyDescent="0.25">
      <c r="A45" s="129"/>
      <c r="B45" s="130" t="s">
        <v>46</v>
      </c>
      <c r="C45" s="131" t="str">
        <f t="shared" ref="C45:AH45" si="26">IF(C7="S",IF(C7="",0,1),IF(C7="D",IF(C7="",0,1),""))</f>
        <v/>
      </c>
      <c r="D45" s="131" t="str">
        <f t="shared" si="26"/>
        <v/>
      </c>
      <c r="E45" s="131">
        <f t="shared" si="26"/>
        <v>1</v>
      </c>
      <c r="F45" s="131">
        <f t="shared" si="26"/>
        <v>1</v>
      </c>
      <c r="G45" s="131" t="str">
        <f t="shared" si="26"/>
        <v/>
      </c>
      <c r="H45" s="131" t="str">
        <f t="shared" si="26"/>
        <v/>
      </c>
      <c r="I45" s="131" t="str">
        <f t="shared" si="26"/>
        <v/>
      </c>
      <c r="J45" s="131" t="str">
        <f t="shared" si="26"/>
        <v/>
      </c>
      <c r="K45" s="131" t="str">
        <f t="shared" si="26"/>
        <v/>
      </c>
      <c r="L45" s="131">
        <f t="shared" si="26"/>
        <v>1</v>
      </c>
      <c r="M45" s="131">
        <f t="shared" si="26"/>
        <v>1</v>
      </c>
      <c r="N45" s="131" t="str">
        <f t="shared" si="26"/>
        <v/>
      </c>
      <c r="O45" s="131" t="str">
        <f t="shared" si="26"/>
        <v/>
      </c>
      <c r="P45" s="131" t="str">
        <f t="shared" si="26"/>
        <v/>
      </c>
      <c r="Q45" s="131" t="str">
        <f t="shared" si="26"/>
        <v/>
      </c>
      <c r="R45" s="131" t="str">
        <f t="shared" si="26"/>
        <v/>
      </c>
      <c r="S45" s="131">
        <f t="shared" si="26"/>
        <v>1</v>
      </c>
      <c r="T45" s="131">
        <f t="shared" si="26"/>
        <v>1</v>
      </c>
      <c r="U45" s="131" t="str">
        <f t="shared" si="26"/>
        <v/>
      </c>
      <c r="V45" s="131" t="str">
        <f t="shared" si="26"/>
        <v/>
      </c>
      <c r="W45" s="131" t="str">
        <f t="shared" si="26"/>
        <v/>
      </c>
      <c r="X45" s="131" t="str">
        <f t="shared" si="26"/>
        <v/>
      </c>
      <c r="Y45" s="131" t="str">
        <f t="shared" si="26"/>
        <v/>
      </c>
      <c r="Z45" s="131">
        <f t="shared" si="26"/>
        <v>1</v>
      </c>
      <c r="AA45" s="131">
        <f t="shared" si="26"/>
        <v>1</v>
      </c>
      <c r="AB45" s="131" t="str">
        <f t="shared" si="26"/>
        <v/>
      </c>
      <c r="AC45" s="131" t="str">
        <f t="shared" si="26"/>
        <v/>
      </c>
      <c r="AD45" s="131" t="str">
        <f t="shared" si="26"/>
        <v/>
      </c>
      <c r="AE45" s="131" t="str">
        <f t="shared" si="26"/>
        <v/>
      </c>
      <c r="AF45" s="131" t="str">
        <f t="shared" si="26"/>
        <v/>
      </c>
      <c r="AG45" s="131">
        <f t="shared" si="26"/>
        <v>1</v>
      </c>
      <c r="AH45" s="132" t="str">
        <f t="shared" si="26"/>
        <v/>
      </c>
      <c r="AI45" s="236" t="s">
        <v>8</v>
      </c>
      <c r="AJ45" s="236"/>
      <c r="AK45" s="133"/>
      <c r="AL45" s="133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49" t="str">
        <f>IF(MONTH($Q$4)&lt;&gt;MONTH($Q$4-(WEEKDAY($Q$4,1)-($AR$47-1))-IF((WEEKDAY($Q$4,1)-($AR$47-1))&lt;=0,7,0)+(ROW(BE45)-ROW($AN$51))*7+(COLUMN(BE45)-COLUMN($AN$51)+1)),"",$Q$4-(WEEKDAY($Q$4,1)-($AR$47-1))-IF((WEEKDAY($Q$4,1)-($AR$47-1))&lt;=0,7,0)+(ROW(BE45)-ROW($AN$51))*7+(COLUMN(BE45)-COLUMN($AN$51)+1))</f>
        <v/>
      </c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</row>
    <row r="46" spans="1:97" s="2" customFormat="1" ht="19.5" hidden="1" customHeight="1" x14ac:dyDescent="0.25">
      <c r="A46" s="134" t="s">
        <v>47</v>
      </c>
      <c r="B46" s="134" t="s">
        <v>48</v>
      </c>
      <c r="C46" s="135" t="str">
        <f t="shared" ref="C46:AG46" si="27">IF(C6="X",IF(C6="",0,1),IF(C45=1,IF(C45="",0,1),""))</f>
        <v/>
      </c>
      <c r="D46" s="135" t="str">
        <f t="shared" si="27"/>
        <v/>
      </c>
      <c r="E46" s="135">
        <f t="shared" si="27"/>
        <v>1</v>
      </c>
      <c r="F46" s="135">
        <f t="shared" si="27"/>
        <v>1</v>
      </c>
      <c r="G46" s="135" t="str">
        <f t="shared" si="27"/>
        <v/>
      </c>
      <c r="H46" s="135" t="str">
        <f t="shared" si="27"/>
        <v/>
      </c>
      <c r="I46" s="135" t="str">
        <f t="shared" si="27"/>
        <v/>
      </c>
      <c r="J46" s="135" t="str">
        <f t="shared" si="27"/>
        <v/>
      </c>
      <c r="K46" s="135" t="str">
        <f t="shared" si="27"/>
        <v/>
      </c>
      <c r="L46" s="135">
        <f t="shared" si="27"/>
        <v>1</v>
      </c>
      <c r="M46" s="135">
        <f t="shared" si="27"/>
        <v>1</v>
      </c>
      <c r="N46" s="135" t="str">
        <f t="shared" si="27"/>
        <v/>
      </c>
      <c r="O46" s="135" t="str">
        <f t="shared" si="27"/>
        <v/>
      </c>
      <c r="P46" s="135" t="str">
        <f t="shared" si="27"/>
        <v/>
      </c>
      <c r="Q46" s="135" t="str">
        <f t="shared" si="27"/>
        <v/>
      </c>
      <c r="R46" s="135" t="str">
        <f t="shared" si="27"/>
        <v/>
      </c>
      <c r="S46" s="135">
        <f t="shared" si="27"/>
        <v>1</v>
      </c>
      <c r="T46" s="135">
        <f t="shared" si="27"/>
        <v>1</v>
      </c>
      <c r="U46" s="135" t="str">
        <f t="shared" si="27"/>
        <v/>
      </c>
      <c r="V46" s="135" t="str">
        <f t="shared" si="27"/>
        <v/>
      </c>
      <c r="W46" s="135" t="str">
        <f t="shared" si="27"/>
        <v/>
      </c>
      <c r="X46" s="135" t="str">
        <f t="shared" si="27"/>
        <v/>
      </c>
      <c r="Y46" s="135" t="str">
        <f t="shared" si="27"/>
        <v/>
      </c>
      <c r="Z46" s="135">
        <f t="shared" si="27"/>
        <v>1</v>
      </c>
      <c r="AA46" s="135">
        <f t="shared" si="27"/>
        <v>1</v>
      </c>
      <c r="AB46" s="135" t="str">
        <f t="shared" si="27"/>
        <v/>
      </c>
      <c r="AC46" s="135" t="str">
        <f t="shared" si="27"/>
        <v/>
      </c>
      <c r="AD46" s="135" t="str">
        <f t="shared" si="27"/>
        <v/>
      </c>
      <c r="AE46" s="132" t="str">
        <f t="shared" si="27"/>
        <v/>
      </c>
      <c r="AF46" s="132" t="str">
        <f t="shared" si="27"/>
        <v/>
      </c>
      <c r="AG46" s="132">
        <f t="shared" si="27"/>
        <v>1</v>
      </c>
      <c r="AH46" s="136" t="b">
        <f>IF(AH6="X",IF(AH6="",0,1))</f>
        <v>0</v>
      </c>
      <c r="AI46" s="231">
        <f>(AH32-AH33)*AL46</f>
        <v>4.5</v>
      </c>
      <c r="AJ46" s="231"/>
      <c r="AK46" s="137" t="s">
        <v>49</v>
      </c>
      <c r="AL46" s="138">
        <f>SUM(C46:AG46)</f>
        <v>9</v>
      </c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</row>
    <row r="47" spans="1:97" s="2" customFormat="1" ht="19.5" hidden="1" customHeight="1" x14ac:dyDescent="0.3">
      <c r="A47" s="139" t="s">
        <v>50</v>
      </c>
      <c r="B47" s="140" t="s">
        <v>29</v>
      </c>
      <c r="C47" s="141" t="str">
        <f>IF(C9=$R32,$S32*24,IF(C9=$R33,$S33*24,IF(C9=$R34,$S34*24,IF(C9=$R35,$S35*24,IF(C9=$R36,$S36*24,IF(C9=$R37,$S37*24,IF(C9=$R38,$S38*24,IF(C9=$R39,$S39*24,IF(C9=$R40,$S40*24,"")))))))))</f>
        <v/>
      </c>
      <c r="D47" s="141" t="str">
        <f t="shared" ref="D47:AG47" si="28">IF(D9=$R32,$S32*24,IF(D9=$R33,$S33*24,IF(D9=$R34,$S34*24,IF(D9=$R35,$S35*24,IF(D9=$R36,$S36*24,IF(D9=$R37,$S37*24,IF(D9=$R38,$S38*24,IF(D9=$R39,$S39*24,IF(D9=$R40,$S40*24,"")))))))))</f>
        <v/>
      </c>
      <c r="E47" s="141" t="str">
        <f t="shared" si="28"/>
        <v/>
      </c>
      <c r="F47" s="141" t="str">
        <f t="shared" si="28"/>
        <v/>
      </c>
      <c r="G47" s="141" t="str">
        <f t="shared" si="28"/>
        <v/>
      </c>
      <c r="H47" s="141" t="str">
        <f t="shared" si="28"/>
        <v/>
      </c>
      <c r="I47" s="141" t="str">
        <f t="shared" si="28"/>
        <v/>
      </c>
      <c r="J47" s="141" t="str">
        <f t="shared" si="28"/>
        <v/>
      </c>
      <c r="K47" s="141" t="str">
        <f t="shared" si="28"/>
        <v/>
      </c>
      <c r="L47" s="141" t="str">
        <f t="shared" si="28"/>
        <v/>
      </c>
      <c r="M47" s="141" t="str">
        <f t="shared" si="28"/>
        <v/>
      </c>
      <c r="N47" s="141" t="str">
        <f t="shared" si="28"/>
        <v/>
      </c>
      <c r="O47" s="141" t="str">
        <f t="shared" si="28"/>
        <v/>
      </c>
      <c r="P47" s="141" t="str">
        <f t="shared" si="28"/>
        <v/>
      </c>
      <c r="Q47" s="141" t="str">
        <f t="shared" si="28"/>
        <v/>
      </c>
      <c r="R47" s="141" t="str">
        <f t="shared" si="28"/>
        <v/>
      </c>
      <c r="S47" s="141" t="str">
        <f t="shared" si="28"/>
        <v/>
      </c>
      <c r="T47" s="141" t="str">
        <f t="shared" si="28"/>
        <v/>
      </c>
      <c r="U47" s="141" t="str">
        <f t="shared" si="28"/>
        <v/>
      </c>
      <c r="V47" s="141" t="str">
        <f t="shared" si="28"/>
        <v/>
      </c>
      <c r="W47" s="141" t="str">
        <f t="shared" si="28"/>
        <v/>
      </c>
      <c r="X47" s="141" t="str">
        <f t="shared" si="28"/>
        <v/>
      </c>
      <c r="Y47" s="141" t="str">
        <f t="shared" si="28"/>
        <v/>
      </c>
      <c r="Z47" s="141" t="str">
        <f t="shared" si="28"/>
        <v/>
      </c>
      <c r="AA47" s="141" t="str">
        <f t="shared" si="28"/>
        <v/>
      </c>
      <c r="AB47" s="141" t="str">
        <f t="shared" si="28"/>
        <v/>
      </c>
      <c r="AC47" s="141" t="str">
        <f t="shared" si="28"/>
        <v/>
      </c>
      <c r="AD47" s="141" t="str">
        <f t="shared" si="28"/>
        <v/>
      </c>
      <c r="AE47" s="141" t="str">
        <f t="shared" si="28"/>
        <v/>
      </c>
      <c r="AF47" s="141" t="str">
        <f t="shared" si="28"/>
        <v/>
      </c>
      <c r="AG47" s="141" t="str">
        <f t="shared" si="28"/>
        <v/>
      </c>
      <c r="AH47" s="142" t="s">
        <v>12</v>
      </c>
      <c r="AI47" s="231">
        <f>(CA59-AH46)*AH33</f>
        <v>0</v>
      </c>
      <c r="AJ47" s="231"/>
      <c r="AK47" s="137" t="s">
        <v>51</v>
      </c>
      <c r="AL47" s="137"/>
      <c r="AN47" s="237" t="s">
        <v>52</v>
      </c>
      <c r="AO47" s="237"/>
      <c r="AP47" s="10"/>
      <c r="AQ47" s="50" t="s">
        <v>53</v>
      </c>
      <c r="AR47" s="46">
        <v>2</v>
      </c>
      <c r="AS47" s="51">
        <v>1</v>
      </c>
      <c r="AT47" s="52" t="str">
        <f>IF(AN53="lu","LUNES",IF(AN53="ma","MARTES",IF(AN53="mi","MIERCOLES",IF(AN53="ju","JUEVES",IF(AN53="vi","VIERNES",IF(AN53="sa","SABADO",IF(AN53="do","DOMINGO",IF(AO53="lu","LUNES",IF(AO53="ma","MARTES",IF(AO53="mi","MIERCOLES",IF(AO53="ju","JUEVES",IF(AO53="vi","VIERNES",IF(AO53="sa","SABADO",IF(AO53="do","DOMINGO",IF(AP53="lu","LUNES",IF(AP53="ma","MARTES",IF(AP53="mi","MIERCOLES",IF(AP53="ju","JUEVES",IF(AP53="vi","VIERNES",IF(AP53="sa","SABADO",IF(AP53="do","DOMINGO",IF(AQ53="lu","LUNES",IF(AQ53="ma","MARTES",IF(AQ53="mi","MIERCOLES",IF(AQ53="ju","JUEVES",IF(AQ53="vi","VIERNES",IF(AQ53="sa","SABADO",IF(AQ53="do","DOMINGO",IF(AR53="lu","LUNES",IF(AR53="ma","MARTES",IF(AR53="mi","MIERCOLES",IF(AR53="ju","JUEVES",IF(AR53="vi","VIERNES",IF(AR53="sa","SABADO",IF(AR53="do","DOMINGO","")))))))))))))))))))))))))))))))))))</f>
        <v>JUEVES</v>
      </c>
      <c r="AU47" s="50" t="s">
        <v>54</v>
      </c>
      <c r="AV47" s="53" t="str">
        <f>IF(AT47="LUNES","LUNES",IF(AT47="MARTES","MARTES",IF(AT47="MIERCOLES","MIERCOLES",IF(AT47="JUEVES","JUEVES",IF(AT47="VIERNES","VIERNES",IF(AT47="SABADO","SABADO",IF(AT47="DOMINGO","DOMINGO",IF(AT48="LUNES","LUNES",IF(AT48="MARTES","MARTES",IF(AT48="MIERCOLES","MIERCOLES",IF(AT48="JUEVES","JUEVES",IF(AT48="VIERNES","VIERNES",IF(AT48="SABADO","SABADO",IF(AT48="DOMINGO","DOMINGO",""))))))))))))))</f>
        <v>JUEVES</v>
      </c>
      <c r="AW47" s="51">
        <v>28</v>
      </c>
      <c r="AX47" s="46">
        <f>$AR$48+27</f>
        <v>46050</v>
      </c>
      <c r="AY47" s="51">
        <v>30</v>
      </c>
      <c r="AZ47" s="46">
        <f>$AR$48+29</f>
        <v>46052</v>
      </c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</row>
    <row r="48" spans="1:97" s="2" customFormat="1" ht="19.5" hidden="1" customHeight="1" x14ac:dyDescent="0.35">
      <c r="A48" s="143" t="s">
        <v>55</v>
      </c>
      <c r="B48" s="144" t="s">
        <v>30</v>
      </c>
      <c r="C48" s="141" t="str">
        <f>IF(C9=$R32,$V32*24,IF(C9=$R33,$V33*24,IF(C9=$R34,$V34*24,IF(C9=$R35,$V35*24,IF(C9=$R36,$V36*24,IF(C9=$R37,$V37*24,IF(C9=$R38,$V38*24,IF(C9=$R39,$V39*24,IF(C9=$R40,$V40*24,"")))))))))</f>
        <v/>
      </c>
      <c r="D48" s="141" t="str">
        <f t="shared" ref="D48:AG48" si="29">IF(D9=$R32,$V32*24,IF(D9=$R33,$V33*24,IF(D9=$R34,$V34*24,IF(D9=$R35,$V35*24,IF(D9=$R36,$V36*24,IF(D9=$R37,$V37*24,IF(D9=$R38,$V38*24,IF(D9=$R39,$V39*24,IF(D9=$R40,$V40*24,"")))))))))</f>
        <v/>
      </c>
      <c r="E48" s="141" t="str">
        <f t="shared" si="29"/>
        <v/>
      </c>
      <c r="F48" s="141" t="str">
        <f t="shared" si="29"/>
        <v/>
      </c>
      <c r="G48" s="141" t="str">
        <f t="shared" si="29"/>
        <v/>
      </c>
      <c r="H48" s="141" t="str">
        <f t="shared" si="29"/>
        <v/>
      </c>
      <c r="I48" s="141" t="str">
        <f t="shared" si="29"/>
        <v/>
      </c>
      <c r="J48" s="141" t="str">
        <f t="shared" si="29"/>
        <v/>
      </c>
      <c r="K48" s="141" t="str">
        <f t="shared" si="29"/>
        <v/>
      </c>
      <c r="L48" s="141" t="str">
        <f t="shared" si="29"/>
        <v/>
      </c>
      <c r="M48" s="141" t="str">
        <f t="shared" si="29"/>
        <v/>
      </c>
      <c r="N48" s="141" t="str">
        <f t="shared" si="29"/>
        <v/>
      </c>
      <c r="O48" s="141" t="str">
        <f t="shared" si="29"/>
        <v/>
      </c>
      <c r="P48" s="141" t="str">
        <f t="shared" si="29"/>
        <v/>
      </c>
      <c r="Q48" s="141" t="str">
        <f t="shared" si="29"/>
        <v/>
      </c>
      <c r="R48" s="141" t="str">
        <f t="shared" si="29"/>
        <v/>
      </c>
      <c r="S48" s="141" t="str">
        <f t="shared" si="29"/>
        <v/>
      </c>
      <c r="T48" s="141" t="str">
        <f t="shared" si="29"/>
        <v/>
      </c>
      <c r="U48" s="141" t="str">
        <f t="shared" si="29"/>
        <v/>
      </c>
      <c r="V48" s="141" t="str">
        <f t="shared" si="29"/>
        <v/>
      </c>
      <c r="W48" s="141" t="str">
        <f t="shared" si="29"/>
        <v/>
      </c>
      <c r="X48" s="141" t="str">
        <f t="shared" si="29"/>
        <v/>
      </c>
      <c r="Y48" s="141" t="str">
        <f t="shared" si="29"/>
        <v/>
      </c>
      <c r="Z48" s="141" t="str">
        <f t="shared" si="29"/>
        <v/>
      </c>
      <c r="AA48" s="141" t="str">
        <f t="shared" si="29"/>
        <v/>
      </c>
      <c r="AB48" s="141" t="str">
        <f t="shared" si="29"/>
        <v/>
      </c>
      <c r="AC48" s="141" t="str">
        <f t="shared" si="29"/>
        <v/>
      </c>
      <c r="AD48" s="141" t="str">
        <f t="shared" si="29"/>
        <v/>
      </c>
      <c r="AE48" s="141" t="str">
        <f t="shared" si="29"/>
        <v/>
      </c>
      <c r="AF48" s="141" t="str">
        <f t="shared" si="29"/>
        <v/>
      </c>
      <c r="AG48" s="141" t="str">
        <f t="shared" si="29"/>
        <v/>
      </c>
      <c r="AH48" s="142" t="s">
        <v>12</v>
      </c>
      <c r="AI48" s="230">
        <f>SUM(AI46:AI47)</f>
        <v>4.5</v>
      </c>
      <c r="AJ48" s="230"/>
      <c r="AK48" s="137" t="s">
        <v>56</v>
      </c>
      <c r="AL48" s="137"/>
      <c r="AN48" s="10"/>
      <c r="AO48" s="10"/>
      <c r="AP48" s="10"/>
      <c r="AQ48" s="50" t="s">
        <v>57</v>
      </c>
      <c r="AR48" s="54">
        <f>DATE($C$34,$C$35,1)</f>
        <v>46023</v>
      </c>
      <c r="AS48" s="51">
        <v>2</v>
      </c>
      <c r="AT48" s="52" t="str">
        <f>IF(AS53="lu","LUNES",IF(AS53="ma","MARTES",IF(AS53="mi","MIERCOLES",IF(AS53="ju","JUEVES",IF(AS53="vi","VIERNES",IF(AS53="sa","SABADO",IF(AS53="do","DOMINGO",IF(AT53="lu","LUNES",IF(AT53="ma","MARTES",IF(AT53="mi","MIERCOLES",IF(AT53="ju","JUEVES",IF(AT53="vi","VIERNES",IF(AT53="sa","SABADO",IF(AT53="do","DOMINGO",""))))))))))))))</f>
        <v/>
      </c>
      <c r="AU48" s="10"/>
      <c r="AV48" s="51"/>
      <c r="AW48" s="51">
        <v>29</v>
      </c>
      <c r="AX48" s="46">
        <f>$AR$48+28</f>
        <v>46051</v>
      </c>
      <c r="AY48" s="51">
        <v>31</v>
      </c>
      <c r="AZ48" s="46">
        <f>$AR$48+30</f>
        <v>46053</v>
      </c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</row>
    <row r="49" spans="1:80" s="2" customFormat="1" ht="19.5" hidden="1" customHeight="1" x14ac:dyDescent="0.25">
      <c r="A49" s="145"/>
      <c r="B49" s="146" t="s">
        <v>34</v>
      </c>
      <c r="C49" s="147" t="str">
        <f>IF(C9=$R32,$BD32*24,IF(C9=$R33,$BD33*24,IF(C9=$R34,$BD34*24,IF(C9=$R35,$BD35*24,IF(C9=$R36,$BD36*24,IF(C9=$R37,$BD37*24,IF(C9=$R38,$BD38*24,IF(C9=$R39,$BD39*24,IF(C9=$R40,$BD40*24,"")))))))))</f>
        <v/>
      </c>
      <c r="D49" s="147" t="str">
        <f t="shared" ref="D49:X49" si="30">IF(D9=$R32,$BD32*24,IF(D9=$R33,$BD33*24,IF(D9=$R34,$BD34*24,IF(D9=$R35,$BD35*24,IF(D9=$R36,$BD36*24,IF(D9=$R37,$BD37*24,IF(D9=$R38,$BD38*24,IF(D9=$R39,$BD39*24,IF(D9=$R40,$BD40*24,"")))))))))</f>
        <v/>
      </c>
      <c r="E49" s="147" t="str">
        <f t="shared" si="30"/>
        <v/>
      </c>
      <c r="F49" s="147" t="str">
        <f t="shared" si="30"/>
        <v/>
      </c>
      <c r="G49" s="147" t="str">
        <f t="shared" si="30"/>
        <v/>
      </c>
      <c r="H49" s="147" t="str">
        <f t="shared" si="30"/>
        <v/>
      </c>
      <c r="I49" s="147" t="str">
        <f t="shared" si="30"/>
        <v/>
      </c>
      <c r="J49" s="147" t="str">
        <f t="shared" si="30"/>
        <v/>
      </c>
      <c r="K49" s="147" t="str">
        <f t="shared" si="30"/>
        <v/>
      </c>
      <c r="L49" s="147" t="str">
        <f t="shared" si="30"/>
        <v/>
      </c>
      <c r="M49" s="147" t="str">
        <f t="shared" si="30"/>
        <v/>
      </c>
      <c r="N49" s="147" t="str">
        <f t="shared" si="30"/>
        <v/>
      </c>
      <c r="O49" s="147" t="str">
        <f t="shared" si="30"/>
        <v/>
      </c>
      <c r="P49" s="147" t="str">
        <f t="shared" si="30"/>
        <v/>
      </c>
      <c r="Q49" s="147" t="str">
        <f t="shared" si="30"/>
        <v/>
      </c>
      <c r="R49" s="147" t="str">
        <f t="shared" si="30"/>
        <v/>
      </c>
      <c r="S49" s="147" t="str">
        <f t="shared" si="30"/>
        <v/>
      </c>
      <c r="T49" s="147" t="str">
        <f t="shared" si="30"/>
        <v/>
      </c>
      <c r="U49" s="147" t="str">
        <f t="shared" si="30"/>
        <v/>
      </c>
      <c r="V49" s="147" t="str">
        <f t="shared" si="30"/>
        <v/>
      </c>
      <c r="W49" s="147" t="str">
        <f t="shared" si="30"/>
        <v/>
      </c>
      <c r="X49" s="147" t="str">
        <f t="shared" si="30"/>
        <v/>
      </c>
      <c r="Y49" s="147" t="str">
        <f t="shared" ref="Y49:AD49" si="31">IF(Y9=$R32,$BD32*24,IF(Y9=$R33,$BD33*24,IF(Y9=$R34,$BD34*24,IF(Y9=$R35,$BD35*24,IF(Y9=$R36,$BD36*24,IF(Y9=$R37,$BD37*24,IF(Y9=$R38,$BD38*24,IF(Y9=$R39,$BD39*24,IF(Y9=$R40,$BD40*24,"")))))))))</f>
        <v/>
      </c>
      <c r="Z49" s="147" t="str">
        <f t="shared" si="31"/>
        <v/>
      </c>
      <c r="AA49" s="147" t="str">
        <f t="shared" si="31"/>
        <v/>
      </c>
      <c r="AB49" s="147" t="str">
        <f t="shared" si="31"/>
        <v/>
      </c>
      <c r="AC49" s="147" t="str">
        <f t="shared" si="31"/>
        <v/>
      </c>
      <c r="AD49" s="147" t="str">
        <f t="shared" si="31"/>
        <v/>
      </c>
      <c r="AE49" s="147" t="str">
        <f>IF(AE9=$R32,$BD32*24,IF(AE9=$R33,$BD33*24,IF(AE9=$R34,$BD34*24,IF(AE9=$R35,$BD35*24,IF(AE9=$R36,$BD36*24,IF(AE9=$R37,$BD37*24,IF(AE9=$R38,$BD38*24,IF(AE9=$R39,$BD39*24,IF(AE9=$R40,$BD40*24,"")))))))))</f>
        <v/>
      </c>
      <c r="AF49" s="147" t="str">
        <f>IF(AF9=$R32,$BD32*24,IF(AF9=$R33,$BD33*24,IF(AF9=$R34,$BD34*24,IF(AF9=$R35,$BD35*24,IF(AF9=$R36,$BD36*24,IF(AF9=$R37,$BD37*24,IF(AF9=$R38,$BD38*24,IF(AF9=$R39,$BD39*24,IF(AF9=$R40,$BD40*24,"")))))))))</f>
        <v/>
      </c>
      <c r="AG49" s="147" t="str">
        <f>IF(AG9=$R32,$BD32*24,IF(AG9=$R33,$BD33*24,IF(AG9=$R34,$BD34*24,IF(AG9=$R35,$BD35*24,IF(AG9=$R36,$BD36*24,IF(AG9=$R37,$BD37*24,IF(AG9=$R38,$BD38*24,IF(AG9=$R39,$BD39*24,IF(AG9=$R40,$BD40*24,"")))))))))</f>
        <v/>
      </c>
      <c r="AH49" s="148">
        <f>SUM(C49:AG49)</f>
        <v>0</v>
      </c>
      <c r="AI49" s="231">
        <f>C37*AF36</f>
        <v>0</v>
      </c>
      <c r="AJ49" s="231"/>
      <c r="AK49" s="137" t="s">
        <v>58</v>
      </c>
      <c r="AL49" s="137"/>
      <c r="AN49" s="232">
        <f>Q4</f>
        <v>46023</v>
      </c>
      <c r="AO49" s="232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</row>
    <row r="50" spans="1:80" s="2" customFormat="1" ht="19.5" hidden="1" customHeight="1" x14ac:dyDescent="0.25">
      <c r="A50" s="145"/>
      <c r="B50" s="149" t="s">
        <v>59</v>
      </c>
      <c r="C50" s="141">
        <f>IF(C9="V",$C36,IF(C9="PR",$C38,0))</f>
        <v>0</v>
      </c>
      <c r="D50" s="141">
        <f t="shared" ref="D50:AG50" si="32">IF(D9="V",$C36,IF(D9="PR",$C38,0))</f>
        <v>0</v>
      </c>
      <c r="E50" s="141">
        <f t="shared" si="32"/>
        <v>0</v>
      </c>
      <c r="F50" s="141">
        <f t="shared" si="32"/>
        <v>0</v>
      </c>
      <c r="G50" s="141">
        <f t="shared" si="32"/>
        <v>0</v>
      </c>
      <c r="H50" s="141">
        <f t="shared" si="32"/>
        <v>0</v>
      </c>
      <c r="I50" s="141">
        <f t="shared" si="32"/>
        <v>0</v>
      </c>
      <c r="J50" s="141">
        <f t="shared" si="32"/>
        <v>0</v>
      </c>
      <c r="K50" s="141">
        <f t="shared" si="32"/>
        <v>0</v>
      </c>
      <c r="L50" s="141">
        <f t="shared" si="32"/>
        <v>0</v>
      </c>
      <c r="M50" s="141">
        <f t="shared" si="32"/>
        <v>0</v>
      </c>
      <c r="N50" s="141">
        <f t="shared" si="32"/>
        <v>0</v>
      </c>
      <c r="O50" s="141">
        <f t="shared" si="32"/>
        <v>0</v>
      </c>
      <c r="P50" s="141">
        <f t="shared" si="32"/>
        <v>0</v>
      </c>
      <c r="Q50" s="141">
        <f t="shared" si="32"/>
        <v>0</v>
      </c>
      <c r="R50" s="141">
        <f t="shared" si="32"/>
        <v>0</v>
      </c>
      <c r="S50" s="141">
        <f t="shared" si="32"/>
        <v>0</v>
      </c>
      <c r="T50" s="141">
        <f t="shared" si="32"/>
        <v>0</v>
      </c>
      <c r="U50" s="141">
        <f t="shared" si="32"/>
        <v>0</v>
      </c>
      <c r="V50" s="141">
        <f t="shared" si="32"/>
        <v>0</v>
      </c>
      <c r="W50" s="141">
        <f t="shared" si="32"/>
        <v>0</v>
      </c>
      <c r="X50" s="141">
        <f t="shared" si="32"/>
        <v>0</v>
      </c>
      <c r="Y50" s="141">
        <f t="shared" si="32"/>
        <v>0</v>
      </c>
      <c r="Z50" s="141">
        <f t="shared" si="32"/>
        <v>0</v>
      </c>
      <c r="AA50" s="141">
        <f t="shared" si="32"/>
        <v>0</v>
      </c>
      <c r="AB50" s="141">
        <f t="shared" si="32"/>
        <v>0</v>
      </c>
      <c r="AC50" s="141">
        <f t="shared" si="32"/>
        <v>0</v>
      </c>
      <c r="AD50" s="141">
        <f t="shared" si="32"/>
        <v>0</v>
      </c>
      <c r="AE50" s="141">
        <f t="shared" si="32"/>
        <v>0</v>
      </c>
      <c r="AF50" s="141">
        <f t="shared" si="32"/>
        <v>0</v>
      </c>
      <c r="AG50" s="141">
        <f t="shared" si="32"/>
        <v>0</v>
      </c>
      <c r="AH50" s="226">
        <f>SUM(C50:AG50)</f>
        <v>0</v>
      </c>
      <c r="AI50" s="226"/>
      <c r="AJ50" s="137" t="s">
        <v>12</v>
      </c>
      <c r="AK50" s="137"/>
      <c r="AL50" s="137"/>
      <c r="AN50" s="48" t="str">
        <f>INDEX({"do";"lu";"ma";"mi";"ju";"vi";"sa"},1+MOD($AR$47+1-2,7))</f>
        <v>lu</v>
      </c>
      <c r="AO50" s="48" t="str">
        <f>INDEX({"do";"lu";"ma";"mi";"ju";"vi";"sa"},1+MOD($AR$47+2-2,7))</f>
        <v>ma</v>
      </c>
      <c r="AP50" s="48" t="str">
        <f>INDEX({"do";"lu";"ma";"mi";"ju";"vi";"sa"},1+MOD($AR$47+3-2,7))</f>
        <v>mi</v>
      </c>
      <c r="AQ50" s="48" t="str">
        <f>INDEX({"do";"lu";"ma";"mi";"ju";"vi";"sa"},1+MOD($AR$47+4-2,7))</f>
        <v>ju</v>
      </c>
      <c r="AR50" s="48" t="str">
        <f>INDEX({"do";"lu";"ma";"mi";"ju";"vi";"sa"},1+MOD($AR$47+5-2,7))</f>
        <v>vi</v>
      </c>
      <c r="AS50" s="48" t="str">
        <f>INDEX({"do";"lu";"ma";"mi";"ju";"vi";"sa"},1+MOD($AR$47+6-2,7))</f>
        <v>sa</v>
      </c>
      <c r="AT50" s="48" t="str">
        <f>INDEX({"do";"lu";"ma";"mi";"ju";"vi";"sa"},1+MOD($AR$47+7-2,7))</f>
        <v>do</v>
      </c>
      <c r="AU50" s="48" t="str">
        <f>INDEX({"do";"lu";"ma";"mi";"ju";"vi";"sa"},1+MOD($AR$47+1-2,7))</f>
        <v>lu</v>
      </c>
      <c r="AV50" s="48" t="str">
        <f>INDEX({"do";"lu";"ma";"mi";"ju";"vi";"sa"},1+MOD($AR$47+2-2,7))</f>
        <v>ma</v>
      </c>
      <c r="AW50" s="48" t="str">
        <f>INDEX({"do";"lu";"ma";"mi";"ju";"vi";"sa"},1+MOD($AR$47+3-2,7))</f>
        <v>mi</v>
      </c>
      <c r="AX50" s="48" t="str">
        <f>INDEX({"do";"lu";"ma";"mi";"ju";"vi";"sa"},1+MOD($AR$47+4-2,7))</f>
        <v>ju</v>
      </c>
      <c r="AY50" s="48" t="str">
        <f>INDEX({"do";"lu";"ma";"mi";"ju";"vi";"sa"},1+MOD($AR$47+5-2,7))</f>
        <v>vi</v>
      </c>
      <c r="AZ50" s="48" t="str">
        <f>INDEX({"do";"lu";"ma";"mi";"ju";"vi";"sa"},1+MOD($AR$47+6-2,7))</f>
        <v>sa</v>
      </c>
      <c r="BA50" s="48" t="str">
        <f>INDEX({"do";"lu";"ma";"mi";"ju";"vi";"sa"},1+MOD($AR$47+7-2,7))</f>
        <v>do</v>
      </c>
      <c r="BB50" s="48" t="str">
        <f>INDEX({"do";"lu";"ma";"mi";"ju";"vi";"sa"},1+MOD($AR$47+1-2,7))</f>
        <v>lu</v>
      </c>
      <c r="BC50" s="48" t="str">
        <f>INDEX({"do";"lu";"ma";"mi";"ju";"vi";"sa"},1+MOD($AR$47+2-2,7))</f>
        <v>ma</v>
      </c>
      <c r="BD50" s="48" t="str">
        <f>INDEX({"do";"lu";"ma";"mi";"ju";"vi";"sa"},1+MOD($AR$47+3-2,7))</f>
        <v>mi</v>
      </c>
      <c r="BE50" s="10"/>
      <c r="BF50" s="48" t="str">
        <f>INDEX({"do";"lu";"ma";"mi";"ju";"vi";"sa"},1+MOD($AR$47+5-2,7))</f>
        <v>vi</v>
      </c>
      <c r="BG50" s="48" t="str">
        <f>INDEX({"do";"lu";"ma";"mi";"ju";"vi";"sa"},1+MOD($AR$47+6-2,7))</f>
        <v>sa</v>
      </c>
      <c r="BH50" s="48" t="str">
        <f>INDEX({"do";"lu";"ma";"mi";"ju";"vi";"sa"},1+MOD($AR$47+7-2,7))</f>
        <v>do</v>
      </c>
      <c r="BI50" s="48" t="str">
        <f>INDEX({"do";"lu";"ma";"mi";"ju";"vi";"sa"},1+MOD($AR$47+1-2,7))</f>
        <v>lu</v>
      </c>
      <c r="BJ50" s="48" t="str">
        <f>INDEX({"do";"lu";"ma";"mi";"ju";"vi";"sa"},1+MOD($AR$47+2-2,7))</f>
        <v>ma</v>
      </c>
      <c r="BK50" s="48" t="str">
        <f>INDEX({"do";"lu";"ma";"mi";"ju";"vi";"sa"},1+MOD($AR$47+3-2,7))</f>
        <v>mi</v>
      </c>
      <c r="BL50" s="48" t="str">
        <f>INDEX({"do";"lu";"ma";"mi";"ju";"vi";"sa"},1+MOD($AR$47+4-2,7))</f>
        <v>ju</v>
      </c>
      <c r="BM50" s="48" t="str">
        <f>INDEX({"do";"lu";"ma";"mi";"ju";"vi";"sa"},1+MOD($AR$47+5-2,7))</f>
        <v>vi</v>
      </c>
      <c r="BN50" s="48" t="str">
        <f>INDEX({"do";"lu";"ma";"mi";"ju";"vi";"sa"},1+MOD($AR$47+6-2,7))</f>
        <v>sa</v>
      </c>
      <c r="BO50" s="48" t="str">
        <f>INDEX({"do";"lu";"ma";"mi";"ju";"vi";"sa"},1+MOD($AR$47+7-2,7))</f>
        <v>do</v>
      </c>
      <c r="BP50" s="48" t="str">
        <f>INDEX({"do";"lu";"ma";"mi";"ju";"vi";"sa"},1+MOD($AR$47+1-2,7))</f>
        <v>lu</v>
      </c>
      <c r="BQ50" s="48" t="str">
        <f>INDEX({"do";"lu";"ma";"mi";"ju";"vi";"sa"},1+MOD($AR$47+2-2,7))</f>
        <v>ma</v>
      </c>
      <c r="BR50" s="48" t="str">
        <f>INDEX({"do";"lu";"ma";"mi";"ju";"vi";"sa"},1+MOD($AR$47+3-2,7))</f>
        <v>mi</v>
      </c>
      <c r="BS50" s="48" t="str">
        <f>INDEX({"do";"lu";"ma";"mi";"ju";"vi";"sa"},1+MOD($AR$47+4-2,7))</f>
        <v>ju</v>
      </c>
      <c r="BT50" s="48" t="str">
        <f>INDEX({"do";"lu";"ma";"mi";"ju";"vi";"sa"},1+MOD($AR$47+5-2,7))</f>
        <v>vi</v>
      </c>
      <c r="BU50" s="48" t="str">
        <f>INDEX({"do";"lu";"ma";"mi";"ju";"vi";"sa"},1+MOD($AR$47+6-2,7))</f>
        <v>sa</v>
      </c>
      <c r="BV50" s="48" t="str">
        <f>INDEX({"do";"lu";"ma";"mi";"ju";"vi";"sa"},1+MOD($AR$47+7-2,7))</f>
        <v>do</v>
      </c>
      <c r="BW50" s="48" t="str">
        <f>INDEX({"do";"lu";"ma";"mi";"ju";"vi";"sa"},1+MOD($AR$47+1-2,7))</f>
        <v>lu</v>
      </c>
      <c r="BX50" s="48" t="str">
        <f>INDEX({"do";"lu";"ma";"mi";"ju";"vi";"sa"},1+MOD($AR$47+2-2,7))</f>
        <v>ma</v>
      </c>
      <c r="BY50" s="10"/>
      <c r="BZ50" s="10"/>
      <c r="CA50" s="10"/>
      <c r="CB50" s="10"/>
    </row>
    <row r="51" spans="1:80" s="2" customFormat="1" ht="19.5" hidden="1" customHeight="1" x14ac:dyDescent="0.25">
      <c r="A51" s="150" t="s">
        <v>60</v>
      </c>
      <c r="B51" s="144" t="s">
        <v>61</v>
      </c>
      <c r="C51" s="151">
        <f>IF(C9=$R32,$BC32,IF(C9=$R33,$BC33,IF(C9=$R34,$BC34,IF(C9=$R35,$BC35,IF(C9=$R36,$BC36,IF(C9=$R37,$BC37,IF(C9=$R38,$BC38,IF(C9=$R39,$BC39,IF(C9=$R40,$BC40,0)))))))))</f>
        <v>0</v>
      </c>
      <c r="D51" s="151">
        <f t="shared" ref="D51:X51" si="33">IF(D9=$R32,$BC32,IF(D9=$R33,$BC33,IF(D9=$R34,$BC34,IF(D9=$R35,$BC35,IF(D9=$R36,$BC36,IF(D9=$R37,$BC37,IF(D9=$R38,$BC38,IF(D9=$R39,$BC39,IF(D9=$R40,$BC40,0)))))))))</f>
        <v>0</v>
      </c>
      <c r="E51" s="151">
        <f t="shared" si="33"/>
        <v>0</v>
      </c>
      <c r="F51" s="151">
        <f t="shared" si="33"/>
        <v>0</v>
      </c>
      <c r="G51" s="151">
        <f t="shared" si="33"/>
        <v>0</v>
      </c>
      <c r="H51" s="151">
        <f t="shared" si="33"/>
        <v>0</v>
      </c>
      <c r="I51" s="151">
        <f t="shared" si="33"/>
        <v>0</v>
      </c>
      <c r="J51" s="151">
        <f t="shared" si="33"/>
        <v>0</v>
      </c>
      <c r="K51" s="151">
        <f t="shared" si="33"/>
        <v>0</v>
      </c>
      <c r="L51" s="151">
        <f t="shared" si="33"/>
        <v>0</v>
      </c>
      <c r="M51" s="151">
        <f t="shared" si="33"/>
        <v>0</v>
      </c>
      <c r="N51" s="151">
        <f t="shared" si="33"/>
        <v>0</v>
      </c>
      <c r="O51" s="151">
        <f t="shared" si="33"/>
        <v>0</v>
      </c>
      <c r="P51" s="151">
        <f t="shared" si="33"/>
        <v>0</v>
      </c>
      <c r="Q51" s="151">
        <f t="shared" si="33"/>
        <v>0</v>
      </c>
      <c r="R51" s="151">
        <f t="shared" si="33"/>
        <v>0</v>
      </c>
      <c r="S51" s="151">
        <f t="shared" si="33"/>
        <v>0</v>
      </c>
      <c r="T51" s="151">
        <f t="shared" si="33"/>
        <v>0</v>
      </c>
      <c r="U51" s="151">
        <f t="shared" si="33"/>
        <v>0</v>
      </c>
      <c r="V51" s="151">
        <f t="shared" si="33"/>
        <v>0</v>
      </c>
      <c r="W51" s="151">
        <f t="shared" si="33"/>
        <v>0</v>
      </c>
      <c r="X51" s="151">
        <f t="shared" si="33"/>
        <v>0</v>
      </c>
      <c r="Y51" s="151">
        <f t="shared" ref="Y51:AD51" si="34">IF(Y9=$R32,$BC32,IF(Y9=$R33,$BC33,IF(Y9=$R34,$BC34,IF(Y9=$R35,$BC35,IF(Y9=$R36,$BC36,IF(Y9=$R37,$BC37,IF(Y9=$R38,$BC38,IF(Y9=$R39,$BC39,IF(Y9=$R40,$BC40,0)))))))))</f>
        <v>0</v>
      </c>
      <c r="Z51" s="151">
        <f t="shared" si="34"/>
        <v>0</v>
      </c>
      <c r="AA51" s="151">
        <f t="shared" si="34"/>
        <v>0</v>
      </c>
      <c r="AB51" s="151">
        <f t="shared" si="34"/>
        <v>0</v>
      </c>
      <c r="AC51" s="151">
        <f t="shared" si="34"/>
        <v>0</v>
      </c>
      <c r="AD51" s="151">
        <f t="shared" si="34"/>
        <v>0</v>
      </c>
      <c r="AE51" s="151">
        <f>IF(AE9=$R32,$BC32,IF(AE9=$R33,$BC33,IF(AE9=$R34,$BC34,IF(AE9=$R35,$BC35,IF(AE9=$R36,$BC36,IF(AE9=$R37,$BC37,IF(AE9=$R38,$BC38,IF(AE9=$R39,$BC39,IF(AE9=$R40,$BC40,0)))))))))</f>
        <v>0</v>
      </c>
      <c r="AF51" s="151">
        <f>IF(AF9=$R32,$BC32,IF(AF9=$R33,$BC33,IF(AF9=$R34,$BC34,IF(AF9=$R35,$BC35,IF(AF9=$R36,$BC36,IF(AF9=$R37,$BC37,IF(AF9=$R38,$BC38,IF(AF9=$R39,$BC39,IF(AF9=$R40,$BC40,0)))))))))</f>
        <v>0</v>
      </c>
      <c r="AG51" s="151">
        <f>IF(AG9=$R32,$BC32,IF(AG9=$R33,$BC33,IF(AG9=$R34,$BC34,IF(AG9=$R35,$BC35,IF(AG9=$R36,$BC36,IF(AG9=$R37,$BC37,IF(AG9=$R38,$BC38,IF(AG9=$R39,$BC39,IF(AG9=$R40,$BC40,0)))))))))</f>
        <v>0</v>
      </c>
      <c r="AH51" s="226">
        <f>SUM(C51:AG51)</f>
        <v>0</v>
      </c>
      <c r="AI51" s="226"/>
      <c r="AJ51" s="152" t="s">
        <v>62</v>
      </c>
      <c r="AK51" s="137" t="s">
        <v>12</v>
      </c>
      <c r="AL51" s="137"/>
      <c r="AN51" s="49" t="str">
        <f t="shared" ref="AN51:BD51" si="35">IF(MONTH($Q$4)&lt;&gt;MONTH($Q$4-(WEEKDAY($Q$4,1)-($AR$47-1))-IF((WEEKDAY($Q$4,1)-($AR$47-1))&lt;=0,7,0)+(ROW(AN51)-ROW($AN$51))*7+(COLUMN(AN51)-COLUMN($AN$51)+1)),"",$Q$4-(WEEKDAY($Q$4,1)-($AR$47-1))-IF((WEEKDAY($Q$4,1)-($AR$47-1))&lt;=0,7,0)+(ROW(AN51)-ROW($AN$51))*7+(COLUMN(AN51)-COLUMN($AN$51)+1))</f>
        <v/>
      </c>
      <c r="AO51" s="49" t="str">
        <f t="shared" si="35"/>
        <v/>
      </c>
      <c r="AP51" s="49" t="str">
        <f t="shared" si="35"/>
        <v/>
      </c>
      <c r="AQ51" s="49">
        <f t="shared" si="35"/>
        <v>46023</v>
      </c>
      <c r="AR51" s="49">
        <f t="shared" si="35"/>
        <v>46024</v>
      </c>
      <c r="AS51" s="49">
        <f t="shared" si="35"/>
        <v>46025</v>
      </c>
      <c r="AT51" s="49">
        <f t="shared" si="35"/>
        <v>46026</v>
      </c>
      <c r="AU51" s="49">
        <f t="shared" si="35"/>
        <v>46027</v>
      </c>
      <c r="AV51" s="49">
        <f t="shared" si="35"/>
        <v>46028</v>
      </c>
      <c r="AW51" s="49">
        <f t="shared" si="35"/>
        <v>46029</v>
      </c>
      <c r="AX51" s="49">
        <f t="shared" si="35"/>
        <v>46030</v>
      </c>
      <c r="AY51" s="49">
        <f t="shared" si="35"/>
        <v>46031</v>
      </c>
      <c r="AZ51" s="49">
        <f t="shared" si="35"/>
        <v>46032</v>
      </c>
      <c r="BA51" s="49">
        <f t="shared" si="35"/>
        <v>46033</v>
      </c>
      <c r="BB51" s="49">
        <f t="shared" si="35"/>
        <v>46034</v>
      </c>
      <c r="BC51" s="49">
        <f t="shared" si="35"/>
        <v>46035</v>
      </c>
      <c r="BD51" s="49">
        <f t="shared" si="35"/>
        <v>46036</v>
      </c>
      <c r="BE51" s="31"/>
      <c r="BF51" s="49">
        <f t="shared" ref="BF51:BX51" si="36">IF(MONTH($Q$4)&lt;&gt;MONTH($Q$4-(WEEKDAY($Q$4,1)-($AR$47-1))-IF((WEEKDAY($Q$4,1)-($AR$47-1))&lt;=0,7,0)+(ROW(BF51)-ROW($AN$51))*7+(COLUMN(BF51)-COLUMN($AN$51)+1)),"",$Q$4-(WEEKDAY($Q$4,1)-($AR$47-1))-IF((WEEKDAY($Q$4,1)-($AR$47-1))&lt;=0,7,0)+(ROW(BF51)-ROW($AN$51))*7+(COLUMN(BF51)-COLUMN($AN$51)+1))</f>
        <v>46038</v>
      </c>
      <c r="BG51" s="49">
        <f t="shared" si="36"/>
        <v>46039</v>
      </c>
      <c r="BH51" s="49">
        <f t="shared" si="36"/>
        <v>46040</v>
      </c>
      <c r="BI51" s="49">
        <f t="shared" si="36"/>
        <v>46041</v>
      </c>
      <c r="BJ51" s="49">
        <f t="shared" si="36"/>
        <v>46042</v>
      </c>
      <c r="BK51" s="49">
        <f t="shared" si="36"/>
        <v>46043</v>
      </c>
      <c r="BL51" s="49">
        <f t="shared" si="36"/>
        <v>46044</v>
      </c>
      <c r="BM51" s="49">
        <f t="shared" si="36"/>
        <v>46045</v>
      </c>
      <c r="BN51" s="49">
        <f t="shared" si="36"/>
        <v>46046</v>
      </c>
      <c r="BO51" s="49">
        <f t="shared" si="36"/>
        <v>46047</v>
      </c>
      <c r="BP51" s="49">
        <f t="shared" si="36"/>
        <v>46048</v>
      </c>
      <c r="BQ51" s="49">
        <f t="shared" si="36"/>
        <v>46049</v>
      </c>
      <c r="BR51" s="49">
        <f t="shared" si="36"/>
        <v>46050</v>
      </c>
      <c r="BS51" s="49">
        <f t="shared" si="36"/>
        <v>46051</v>
      </c>
      <c r="BT51" s="49">
        <f t="shared" si="36"/>
        <v>46052</v>
      </c>
      <c r="BU51" s="49">
        <f t="shared" si="36"/>
        <v>46053</v>
      </c>
      <c r="BV51" s="49" t="str">
        <f t="shared" si="36"/>
        <v/>
      </c>
      <c r="BW51" s="49" t="str">
        <f t="shared" si="36"/>
        <v/>
      </c>
      <c r="BX51" s="49" t="str">
        <f t="shared" si="36"/>
        <v/>
      </c>
      <c r="BY51" s="10"/>
      <c r="BZ51" s="10"/>
      <c r="CA51" s="10"/>
      <c r="CB51" s="10"/>
    </row>
    <row r="52" spans="1:80" s="2" customFormat="1" ht="19.5" hidden="1" customHeight="1" x14ac:dyDescent="0.25">
      <c r="A52" s="153" t="s">
        <v>48</v>
      </c>
      <c r="B52" s="149" t="s">
        <v>63</v>
      </c>
      <c r="C52" s="141" t="b">
        <f t="shared" ref="C52:AG52" si="37">IF(C46=1,IF(C47&lt;C48,C51,0))</f>
        <v>0</v>
      </c>
      <c r="D52" s="141" t="b">
        <f t="shared" si="37"/>
        <v>0</v>
      </c>
      <c r="E52" s="141">
        <f t="shared" si="37"/>
        <v>0</v>
      </c>
      <c r="F52" s="141">
        <f t="shared" si="37"/>
        <v>0</v>
      </c>
      <c r="G52" s="141" t="b">
        <f t="shared" si="37"/>
        <v>0</v>
      </c>
      <c r="H52" s="141" t="b">
        <f t="shared" si="37"/>
        <v>0</v>
      </c>
      <c r="I52" s="141" t="b">
        <f t="shared" si="37"/>
        <v>0</v>
      </c>
      <c r="J52" s="141" t="b">
        <f t="shared" si="37"/>
        <v>0</v>
      </c>
      <c r="K52" s="141" t="b">
        <f t="shared" si="37"/>
        <v>0</v>
      </c>
      <c r="L52" s="141">
        <f t="shared" si="37"/>
        <v>0</v>
      </c>
      <c r="M52" s="141">
        <f t="shared" si="37"/>
        <v>0</v>
      </c>
      <c r="N52" s="141" t="b">
        <f t="shared" si="37"/>
        <v>0</v>
      </c>
      <c r="O52" s="141" t="b">
        <f t="shared" si="37"/>
        <v>0</v>
      </c>
      <c r="P52" s="141" t="b">
        <f t="shared" si="37"/>
        <v>0</v>
      </c>
      <c r="Q52" s="141" t="b">
        <f t="shared" si="37"/>
        <v>0</v>
      </c>
      <c r="R52" s="141" t="b">
        <f t="shared" si="37"/>
        <v>0</v>
      </c>
      <c r="S52" s="141">
        <f t="shared" si="37"/>
        <v>0</v>
      </c>
      <c r="T52" s="141">
        <f t="shared" si="37"/>
        <v>0</v>
      </c>
      <c r="U52" s="141" t="b">
        <f t="shared" si="37"/>
        <v>0</v>
      </c>
      <c r="V52" s="141" t="b">
        <f t="shared" si="37"/>
        <v>0</v>
      </c>
      <c r="W52" s="141" t="b">
        <f t="shared" si="37"/>
        <v>0</v>
      </c>
      <c r="X52" s="141" t="b">
        <f t="shared" si="37"/>
        <v>0</v>
      </c>
      <c r="Y52" s="141" t="b">
        <f t="shared" si="37"/>
        <v>0</v>
      </c>
      <c r="Z52" s="141">
        <f t="shared" si="37"/>
        <v>0</v>
      </c>
      <c r="AA52" s="141">
        <f t="shared" si="37"/>
        <v>0</v>
      </c>
      <c r="AB52" s="141" t="b">
        <f t="shared" si="37"/>
        <v>0</v>
      </c>
      <c r="AC52" s="141" t="b">
        <f t="shared" si="37"/>
        <v>0</v>
      </c>
      <c r="AD52" s="141" t="b">
        <f t="shared" si="37"/>
        <v>0</v>
      </c>
      <c r="AE52" s="141" t="b">
        <f t="shared" si="37"/>
        <v>0</v>
      </c>
      <c r="AF52" s="141" t="b">
        <f t="shared" si="37"/>
        <v>0</v>
      </c>
      <c r="AG52" s="141">
        <f t="shared" si="37"/>
        <v>0</v>
      </c>
      <c r="AH52" s="154" t="s">
        <v>12</v>
      </c>
      <c r="AI52" s="133"/>
      <c r="AJ52" s="155"/>
      <c r="AK52" s="156"/>
      <c r="AL52" s="137"/>
      <c r="AN52" s="55" t="str">
        <f t="shared" ref="AN52:AT52" si="38">IF(AN51=$AR$48,IF(AN51="",0,1),"")</f>
        <v/>
      </c>
      <c r="AO52" s="55" t="str">
        <f t="shared" si="38"/>
        <v/>
      </c>
      <c r="AP52" s="55" t="str">
        <f t="shared" si="38"/>
        <v/>
      </c>
      <c r="AQ52" s="55">
        <f t="shared" si="38"/>
        <v>1</v>
      </c>
      <c r="AR52" s="55" t="str">
        <f t="shared" si="38"/>
        <v/>
      </c>
      <c r="AS52" s="55" t="str">
        <f t="shared" si="38"/>
        <v/>
      </c>
      <c r="AT52" s="55" t="str">
        <f t="shared" si="38"/>
        <v/>
      </c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56"/>
      <c r="BF52" s="10"/>
      <c r="BG52" s="10"/>
      <c r="BH52" s="10"/>
      <c r="BI52" s="10"/>
      <c r="BJ52" s="10"/>
      <c r="BK52" s="10"/>
      <c r="BL52" s="10"/>
      <c r="BM52" s="10"/>
      <c r="BN52" s="10"/>
      <c r="BO52" s="96">
        <f t="shared" ref="BO52:BX52" si="39">BO51</f>
        <v>46047</v>
      </c>
      <c r="BP52" s="96">
        <f t="shared" si="39"/>
        <v>46048</v>
      </c>
      <c r="BQ52" s="96">
        <f t="shared" si="39"/>
        <v>46049</v>
      </c>
      <c r="BR52" s="96">
        <f t="shared" si="39"/>
        <v>46050</v>
      </c>
      <c r="BS52" s="96">
        <f t="shared" si="39"/>
        <v>46051</v>
      </c>
      <c r="BT52" s="96">
        <f t="shared" si="39"/>
        <v>46052</v>
      </c>
      <c r="BU52" s="96">
        <f t="shared" si="39"/>
        <v>46053</v>
      </c>
      <c r="BV52" s="96" t="str">
        <f t="shared" si="39"/>
        <v/>
      </c>
      <c r="BW52" s="96" t="str">
        <f t="shared" si="39"/>
        <v/>
      </c>
      <c r="BX52" s="96" t="str">
        <f t="shared" si="39"/>
        <v/>
      </c>
      <c r="BY52" s="10"/>
      <c r="BZ52" s="10"/>
      <c r="CA52" s="10"/>
      <c r="CB52" s="10"/>
    </row>
    <row r="53" spans="1:80" s="2" customFormat="1" ht="19.5" hidden="1" customHeight="1" x14ac:dyDescent="0.25">
      <c r="A53" s="153"/>
      <c r="B53" s="149" t="s">
        <v>64</v>
      </c>
      <c r="C53" s="141">
        <f t="shared" ref="C53:AG53" si="40">IF(C46=1,IF(C47&gt;C48,24-C47,0),0)</f>
        <v>0</v>
      </c>
      <c r="D53" s="141">
        <f t="shared" si="40"/>
        <v>0</v>
      </c>
      <c r="E53" s="141">
        <f t="shared" si="40"/>
        <v>0</v>
      </c>
      <c r="F53" s="141">
        <f t="shared" si="40"/>
        <v>0</v>
      </c>
      <c r="G53" s="141">
        <f t="shared" si="40"/>
        <v>0</v>
      </c>
      <c r="H53" s="141">
        <f t="shared" si="40"/>
        <v>0</v>
      </c>
      <c r="I53" s="141">
        <f t="shared" si="40"/>
        <v>0</v>
      </c>
      <c r="J53" s="141">
        <f t="shared" si="40"/>
        <v>0</v>
      </c>
      <c r="K53" s="141">
        <f t="shared" si="40"/>
        <v>0</v>
      </c>
      <c r="L53" s="141">
        <f t="shared" si="40"/>
        <v>0</v>
      </c>
      <c r="M53" s="141">
        <f t="shared" si="40"/>
        <v>0</v>
      </c>
      <c r="N53" s="141">
        <f t="shared" si="40"/>
        <v>0</v>
      </c>
      <c r="O53" s="141">
        <f t="shared" si="40"/>
        <v>0</v>
      </c>
      <c r="P53" s="141">
        <f t="shared" si="40"/>
        <v>0</v>
      </c>
      <c r="Q53" s="141">
        <f t="shared" si="40"/>
        <v>0</v>
      </c>
      <c r="R53" s="141">
        <f t="shared" si="40"/>
        <v>0</v>
      </c>
      <c r="S53" s="141">
        <f t="shared" si="40"/>
        <v>0</v>
      </c>
      <c r="T53" s="141">
        <f t="shared" si="40"/>
        <v>0</v>
      </c>
      <c r="U53" s="141">
        <f t="shared" si="40"/>
        <v>0</v>
      </c>
      <c r="V53" s="141">
        <f t="shared" si="40"/>
        <v>0</v>
      </c>
      <c r="W53" s="141">
        <f t="shared" si="40"/>
        <v>0</v>
      </c>
      <c r="X53" s="141">
        <f t="shared" si="40"/>
        <v>0</v>
      </c>
      <c r="Y53" s="141">
        <f t="shared" si="40"/>
        <v>0</v>
      </c>
      <c r="Z53" s="141">
        <f t="shared" si="40"/>
        <v>0</v>
      </c>
      <c r="AA53" s="141">
        <f t="shared" si="40"/>
        <v>0</v>
      </c>
      <c r="AB53" s="141">
        <f t="shared" si="40"/>
        <v>0</v>
      </c>
      <c r="AC53" s="141">
        <f t="shared" si="40"/>
        <v>0</v>
      </c>
      <c r="AD53" s="141">
        <f t="shared" si="40"/>
        <v>0</v>
      </c>
      <c r="AE53" s="141">
        <f t="shared" si="40"/>
        <v>0</v>
      </c>
      <c r="AF53" s="141">
        <f t="shared" si="40"/>
        <v>0</v>
      </c>
      <c r="AG53" s="141">
        <f t="shared" si="40"/>
        <v>0</v>
      </c>
      <c r="AH53" s="154" t="s">
        <v>12</v>
      </c>
      <c r="AI53" s="133"/>
      <c r="AJ53" s="155"/>
      <c r="AK53" s="137"/>
      <c r="AL53" s="137"/>
      <c r="AN53" s="57" t="str">
        <f t="shared" ref="AN53:AT53" si="41">IF(AN52=1,IF(AN52="",0,AN50),"")</f>
        <v/>
      </c>
      <c r="AO53" s="57" t="str">
        <f t="shared" si="41"/>
        <v/>
      </c>
      <c r="AP53" s="57" t="str">
        <f t="shared" si="41"/>
        <v/>
      </c>
      <c r="AQ53" s="57" t="str">
        <f t="shared" si="41"/>
        <v>ju</v>
      </c>
      <c r="AR53" s="57" t="str">
        <f t="shared" si="41"/>
        <v/>
      </c>
      <c r="AS53" s="57" t="str">
        <f t="shared" si="41"/>
        <v/>
      </c>
      <c r="AT53" s="57" t="str">
        <f t="shared" si="41"/>
        <v/>
      </c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56"/>
      <c r="BF53" s="10"/>
      <c r="BG53" s="10"/>
      <c r="BH53" s="10"/>
      <c r="BI53" s="10"/>
      <c r="BJ53" s="10"/>
      <c r="BK53" s="10"/>
      <c r="BL53" s="10"/>
      <c r="BM53" s="10"/>
      <c r="BN53" s="10"/>
      <c r="BO53" s="58" t="str">
        <f t="shared" ref="BO53:BX53" si="42">IF(BO52=$AR$48+30,IF(BO52="",0,1),IF(BO52=$AR$48+29,IF(BO52="",0,1),IF(BO52=$AR$48+28,IF(BO52="",0,1),IF(BO52=$AR$48+27,IF(BO52="",0,1),""))))</f>
        <v/>
      </c>
      <c r="BP53" s="58" t="str">
        <f t="shared" si="42"/>
        <v/>
      </c>
      <c r="BQ53" s="58" t="str">
        <f t="shared" si="42"/>
        <v/>
      </c>
      <c r="BR53" s="58">
        <f t="shared" si="42"/>
        <v>1</v>
      </c>
      <c r="BS53" s="58">
        <f t="shared" si="42"/>
        <v>1</v>
      </c>
      <c r="BT53" s="58">
        <f t="shared" si="42"/>
        <v>1</v>
      </c>
      <c r="BU53" s="58">
        <f t="shared" si="42"/>
        <v>1</v>
      </c>
      <c r="BV53" s="58" t="str">
        <f t="shared" si="42"/>
        <v/>
      </c>
      <c r="BW53" s="58" t="str">
        <f t="shared" si="42"/>
        <v/>
      </c>
      <c r="BX53" s="58" t="str">
        <f t="shared" si="42"/>
        <v/>
      </c>
      <c r="BY53" s="10"/>
      <c r="BZ53" s="10"/>
      <c r="CA53" s="10"/>
      <c r="CB53" s="10"/>
    </row>
    <row r="54" spans="1:80" s="2" customFormat="1" ht="19.5" hidden="1" customHeight="1" x14ac:dyDescent="0.25">
      <c r="A54" s="157"/>
      <c r="B54" s="149" t="s">
        <v>65</v>
      </c>
      <c r="C54" s="141">
        <f t="shared" ref="C54:AG54" si="43">IF(D46=1,IF(C47&gt;C48,C48,0),0)</f>
        <v>0</v>
      </c>
      <c r="D54" s="141">
        <f t="shared" si="43"/>
        <v>0</v>
      </c>
      <c r="E54" s="141">
        <f t="shared" si="43"/>
        <v>0</v>
      </c>
      <c r="F54" s="141">
        <f t="shared" si="43"/>
        <v>0</v>
      </c>
      <c r="G54" s="141">
        <f t="shared" si="43"/>
        <v>0</v>
      </c>
      <c r="H54" s="141">
        <f t="shared" si="43"/>
        <v>0</v>
      </c>
      <c r="I54" s="141">
        <f t="shared" si="43"/>
        <v>0</v>
      </c>
      <c r="J54" s="141">
        <f t="shared" si="43"/>
        <v>0</v>
      </c>
      <c r="K54" s="141">
        <f t="shared" si="43"/>
        <v>0</v>
      </c>
      <c r="L54" s="141">
        <f t="shared" si="43"/>
        <v>0</v>
      </c>
      <c r="M54" s="141">
        <f t="shared" si="43"/>
        <v>0</v>
      </c>
      <c r="N54" s="141">
        <f t="shared" si="43"/>
        <v>0</v>
      </c>
      <c r="O54" s="141">
        <f t="shared" si="43"/>
        <v>0</v>
      </c>
      <c r="P54" s="141">
        <f t="shared" si="43"/>
        <v>0</v>
      </c>
      <c r="Q54" s="141">
        <f t="shared" si="43"/>
        <v>0</v>
      </c>
      <c r="R54" s="141">
        <f t="shared" si="43"/>
        <v>0</v>
      </c>
      <c r="S54" s="141">
        <f t="shared" si="43"/>
        <v>0</v>
      </c>
      <c r="T54" s="141">
        <f t="shared" si="43"/>
        <v>0</v>
      </c>
      <c r="U54" s="141">
        <f t="shared" si="43"/>
        <v>0</v>
      </c>
      <c r="V54" s="141">
        <f t="shared" si="43"/>
        <v>0</v>
      </c>
      <c r="W54" s="141">
        <f t="shared" si="43"/>
        <v>0</v>
      </c>
      <c r="X54" s="141">
        <f>IF(Y46=1,IF(X47&gt;X48,X48,0),0)</f>
        <v>0</v>
      </c>
      <c r="Y54" s="141">
        <f t="shared" si="43"/>
        <v>0</v>
      </c>
      <c r="Z54" s="141">
        <f t="shared" si="43"/>
        <v>0</v>
      </c>
      <c r="AA54" s="141">
        <f t="shared" si="43"/>
        <v>0</v>
      </c>
      <c r="AB54" s="141">
        <f t="shared" si="43"/>
        <v>0</v>
      </c>
      <c r="AC54" s="141">
        <f t="shared" si="43"/>
        <v>0</v>
      </c>
      <c r="AD54" s="141">
        <f t="shared" si="43"/>
        <v>0</v>
      </c>
      <c r="AE54" s="141">
        <f t="shared" si="43"/>
        <v>0</v>
      </c>
      <c r="AF54" s="141">
        <f t="shared" si="43"/>
        <v>0</v>
      </c>
      <c r="AG54" s="141">
        <f t="shared" si="43"/>
        <v>0</v>
      </c>
      <c r="AH54" s="154" t="s">
        <v>12</v>
      </c>
      <c r="AI54" s="133"/>
      <c r="AJ54" s="155"/>
      <c r="AK54" s="137"/>
      <c r="AL54" s="137"/>
      <c r="AN54" s="10"/>
      <c r="AO54" s="10"/>
      <c r="AP54" s="10"/>
      <c r="AQ54" s="10"/>
      <c r="AR54" s="47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56"/>
      <c r="BF54" s="10"/>
      <c r="BG54" s="10"/>
      <c r="BH54" s="10"/>
      <c r="BI54" s="10"/>
      <c r="BJ54" s="10"/>
      <c r="BK54" s="10"/>
      <c r="BL54" s="10"/>
      <c r="BM54" s="10"/>
      <c r="BN54" s="10"/>
      <c r="BO54" s="52" t="str">
        <f t="shared" ref="BO54:BX54" si="44">IF(BO53=1,IF(BO53="",0,BO52),"")</f>
        <v/>
      </c>
      <c r="BP54" s="52" t="str">
        <f t="shared" si="44"/>
        <v/>
      </c>
      <c r="BQ54" s="52" t="str">
        <f t="shared" si="44"/>
        <v/>
      </c>
      <c r="BR54" s="52">
        <f t="shared" si="44"/>
        <v>46050</v>
      </c>
      <c r="BS54" s="52">
        <f t="shared" si="44"/>
        <v>46051</v>
      </c>
      <c r="BT54" s="52">
        <f t="shared" si="44"/>
        <v>46052</v>
      </c>
      <c r="BU54" s="52">
        <f t="shared" si="44"/>
        <v>46053</v>
      </c>
      <c r="BV54" s="52" t="str">
        <f t="shared" si="44"/>
        <v/>
      </c>
      <c r="BW54" s="52" t="str">
        <f t="shared" si="44"/>
        <v/>
      </c>
      <c r="BX54" s="52" t="str">
        <f t="shared" si="44"/>
        <v/>
      </c>
      <c r="BY54" s="56"/>
      <c r="BZ54" s="97" t="s">
        <v>66</v>
      </c>
      <c r="CA54" s="56"/>
      <c r="CB54" s="10"/>
    </row>
    <row r="55" spans="1:80" s="2" customFormat="1" ht="19.5" hidden="1" customHeight="1" x14ac:dyDescent="0.25">
      <c r="A55" s="157"/>
      <c r="B55" s="149" t="s">
        <v>67</v>
      </c>
      <c r="C55" s="158">
        <f t="shared" ref="C55:AG55" si="45">SUM(C52:C54)</f>
        <v>0</v>
      </c>
      <c r="D55" s="158">
        <f t="shared" si="45"/>
        <v>0</v>
      </c>
      <c r="E55" s="158">
        <f t="shared" si="45"/>
        <v>0</v>
      </c>
      <c r="F55" s="158">
        <f t="shared" si="45"/>
        <v>0</v>
      </c>
      <c r="G55" s="158">
        <f t="shared" si="45"/>
        <v>0</v>
      </c>
      <c r="H55" s="158">
        <f t="shared" si="45"/>
        <v>0</v>
      </c>
      <c r="I55" s="158">
        <f t="shared" si="45"/>
        <v>0</v>
      </c>
      <c r="J55" s="158">
        <f t="shared" si="45"/>
        <v>0</v>
      </c>
      <c r="K55" s="158">
        <f t="shared" si="45"/>
        <v>0</v>
      </c>
      <c r="L55" s="158">
        <f t="shared" si="45"/>
        <v>0</v>
      </c>
      <c r="M55" s="158">
        <f t="shared" si="45"/>
        <v>0</v>
      </c>
      <c r="N55" s="158">
        <f t="shared" si="45"/>
        <v>0</v>
      </c>
      <c r="O55" s="158">
        <f t="shared" si="45"/>
        <v>0</v>
      </c>
      <c r="P55" s="158">
        <f t="shared" si="45"/>
        <v>0</v>
      </c>
      <c r="Q55" s="158">
        <f t="shared" si="45"/>
        <v>0</v>
      </c>
      <c r="R55" s="158">
        <f t="shared" si="45"/>
        <v>0</v>
      </c>
      <c r="S55" s="158">
        <f t="shared" si="45"/>
        <v>0</v>
      </c>
      <c r="T55" s="158">
        <f t="shared" si="45"/>
        <v>0</v>
      </c>
      <c r="U55" s="158">
        <f t="shared" si="45"/>
        <v>0</v>
      </c>
      <c r="V55" s="158">
        <f t="shared" si="45"/>
        <v>0</v>
      </c>
      <c r="W55" s="158">
        <f t="shared" si="45"/>
        <v>0</v>
      </c>
      <c r="X55" s="158">
        <f t="shared" si="45"/>
        <v>0</v>
      </c>
      <c r="Y55" s="158">
        <f t="shared" si="45"/>
        <v>0</v>
      </c>
      <c r="Z55" s="158">
        <f t="shared" si="45"/>
        <v>0</v>
      </c>
      <c r="AA55" s="158">
        <f t="shared" si="45"/>
        <v>0</v>
      </c>
      <c r="AB55" s="158">
        <f t="shared" si="45"/>
        <v>0</v>
      </c>
      <c r="AC55" s="158">
        <f t="shared" si="45"/>
        <v>0</v>
      </c>
      <c r="AD55" s="158">
        <f t="shared" si="45"/>
        <v>0</v>
      </c>
      <c r="AE55" s="158">
        <f t="shared" si="45"/>
        <v>0</v>
      </c>
      <c r="AF55" s="158">
        <f t="shared" si="45"/>
        <v>0</v>
      </c>
      <c r="AG55" s="158">
        <f t="shared" si="45"/>
        <v>0</v>
      </c>
      <c r="AH55" s="154" t="s">
        <v>12</v>
      </c>
      <c r="AI55" s="133"/>
      <c r="AJ55" s="155"/>
      <c r="AK55" s="137"/>
      <c r="AL55" s="137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59"/>
      <c r="BF55" s="10"/>
      <c r="BG55" s="10"/>
      <c r="BH55" s="10"/>
      <c r="BI55" s="10"/>
      <c r="BJ55" s="10"/>
      <c r="BK55" s="10"/>
      <c r="BL55" s="10"/>
      <c r="BM55" s="10"/>
      <c r="BN55" s="10"/>
      <c r="BO55" s="52" t="str">
        <f t="shared" ref="BO55:BX55" si="46">IF(BO54=$AZ48,IF(BO54="",0,$AZ48),"")</f>
        <v/>
      </c>
      <c r="BP55" s="52" t="str">
        <f t="shared" si="46"/>
        <v/>
      </c>
      <c r="BQ55" s="52" t="str">
        <f t="shared" si="46"/>
        <v/>
      </c>
      <c r="BR55" s="52" t="str">
        <f t="shared" si="46"/>
        <v/>
      </c>
      <c r="BS55" s="52" t="str">
        <f t="shared" si="46"/>
        <v/>
      </c>
      <c r="BT55" s="52" t="str">
        <f t="shared" si="46"/>
        <v/>
      </c>
      <c r="BU55" s="52">
        <f t="shared" si="46"/>
        <v>46053</v>
      </c>
      <c r="BV55" s="52" t="str">
        <f t="shared" si="46"/>
        <v/>
      </c>
      <c r="BW55" s="52" t="str">
        <f t="shared" si="46"/>
        <v/>
      </c>
      <c r="BX55" s="52" t="str">
        <f t="shared" si="46"/>
        <v/>
      </c>
      <c r="BY55" s="52">
        <f t="shared" ref="BY55:BY58" si="47">SUM(BO55:BX55)</f>
        <v>46053</v>
      </c>
      <c r="BZ55" s="98">
        <f t="shared" ref="BZ55:BZ58" si="48">IF(BY55=$AZ$48,IF(BY55="",0,31),IF(BY55=$AZ$47,IF(BY55="",0,30),IF(BY55=$AX$48,IF(BY55="",0,29),IF(BY55=$AX$47,IF(BY55="",0,28)))))</f>
        <v>31</v>
      </c>
      <c r="CA55" s="99">
        <v>31</v>
      </c>
      <c r="CB55" s="10"/>
    </row>
    <row r="56" spans="1:80" s="2" customFormat="1" ht="19.5" hidden="1" customHeight="1" x14ac:dyDescent="0.25">
      <c r="A56" s="159"/>
      <c r="B56" s="160" t="s">
        <v>68</v>
      </c>
      <c r="C56" s="161">
        <f>IF(C9="V",IF(C9="",0,1),0)</f>
        <v>0</v>
      </c>
      <c r="D56" s="161">
        <f t="shared" ref="D56:AG56" si="49">IF(D9="V",IF(D9="",0,1),0)</f>
        <v>0</v>
      </c>
      <c r="E56" s="161">
        <f t="shared" si="49"/>
        <v>0</v>
      </c>
      <c r="F56" s="161">
        <f t="shared" si="49"/>
        <v>0</v>
      </c>
      <c r="G56" s="161">
        <f t="shared" si="49"/>
        <v>0</v>
      </c>
      <c r="H56" s="161">
        <f t="shared" si="49"/>
        <v>0</v>
      </c>
      <c r="I56" s="161">
        <f t="shared" si="49"/>
        <v>0</v>
      </c>
      <c r="J56" s="161">
        <f t="shared" si="49"/>
        <v>0</v>
      </c>
      <c r="K56" s="161">
        <f t="shared" si="49"/>
        <v>0</v>
      </c>
      <c r="L56" s="161">
        <f t="shared" si="49"/>
        <v>0</v>
      </c>
      <c r="M56" s="161">
        <f t="shared" si="49"/>
        <v>0</v>
      </c>
      <c r="N56" s="161">
        <f t="shared" si="49"/>
        <v>0</v>
      </c>
      <c r="O56" s="161">
        <f t="shared" si="49"/>
        <v>0</v>
      </c>
      <c r="P56" s="161">
        <f t="shared" si="49"/>
        <v>0</v>
      </c>
      <c r="Q56" s="161">
        <f t="shared" si="49"/>
        <v>0</v>
      </c>
      <c r="R56" s="161">
        <f t="shared" si="49"/>
        <v>0</v>
      </c>
      <c r="S56" s="161">
        <f t="shared" si="49"/>
        <v>0</v>
      </c>
      <c r="T56" s="161">
        <f t="shared" si="49"/>
        <v>0</v>
      </c>
      <c r="U56" s="161">
        <f t="shared" si="49"/>
        <v>0</v>
      </c>
      <c r="V56" s="161">
        <f t="shared" si="49"/>
        <v>0</v>
      </c>
      <c r="W56" s="161">
        <f t="shared" si="49"/>
        <v>0</v>
      </c>
      <c r="X56" s="161">
        <f t="shared" si="49"/>
        <v>0</v>
      </c>
      <c r="Y56" s="161">
        <f t="shared" si="49"/>
        <v>0</v>
      </c>
      <c r="Z56" s="161">
        <f t="shared" si="49"/>
        <v>0</v>
      </c>
      <c r="AA56" s="161">
        <f t="shared" si="49"/>
        <v>0</v>
      </c>
      <c r="AB56" s="161">
        <f t="shared" si="49"/>
        <v>0</v>
      </c>
      <c r="AC56" s="161">
        <f t="shared" si="49"/>
        <v>0</v>
      </c>
      <c r="AD56" s="161">
        <f t="shared" si="49"/>
        <v>0</v>
      </c>
      <c r="AE56" s="161">
        <f t="shared" si="49"/>
        <v>0</v>
      </c>
      <c r="AF56" s="161">
        <f t="shared" si="49"/>
        <v>0</v>
      </c>
      <c r="AG56" s="161">
        <f t="shared" si="49"/>
        <v>0</v>
      </c>
      <c r="AH56" s="154" t="s">
        <v>12</v>
      </c>
      <c r="AI56" s="133"/>
      <c r="AJ56" s="155"/>
      <c r="AK56" s="137"/>
      <c r="AL56" s="137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59"/>
      <c r="BF56" s="10"/>
      <c r="BG56" s="10"/>
      <c r="BH56" s="10"/>
      <c r="BI56" s="10"/>
      <c r="BJ56" s="10"/>
      <c r="BK56" s="10"/>
      <c r="BL56" s="10"/>
      <c r="BM56" s="10"/>
      <c r="BN56" s="10"/>
      <c r="BO56" s="52" t="str">
        <f t="shared" ref="BO56:BX56" si="50">IF(BO54=$AZ47,IF(BO54="",0,$AZ47),"")</f>
        <v/>
      </c>
      <c r="BP56" s="52" t="str">
        <f t="shared" si="50"/>
        <v/>
      </c>
      <c r="BQ56" s="52" t="str">
        <f t="shared" si="50"/>
        <v/>
      </c>
      <c r="BR56" s="52" t="str">
        <f t="shared" si="50"/>
        <v/>
      </c>
      <c r="BS56" s="52" t="str">
        <f t="shared" si="50"/>
        <v/>
      </c>
      <c r="BT56" s="52">
        <f t="shared" si="50"/>
        <v>46052</v>
      </c>
      <c r="BU56" s="52" t="str">
        <f t="shared" si="50"/>
        <v/>
      </c>
      <c r="BV56" s="52" t="str">
        <f t="shared" si="50"/>
        <v/>
      </c>
      <c r="BW56" s="52" t="str">
        <f t="shared" si="50"/>
        <v/>
      </c>
      <c r="BX56" s="52" t="str">
        <f t="shared" si="50"/>
        <v/>
      </c>
      <c r="BY56" s="52">
        <f t="shared" si="47"/>
        <v>46052</v>
      </c>
      <c r="BZ56" s="98">
        <f t="shared" si="48"/>
        <v>30</v>
      </c>
      <c r="CA56" s="99">
        <v>30</v>
      </c>
      <c r="CB56" s="10"/>
    </row>
    <row r="57" spans="1:80" ht="19.5" hidden="1" customHeight="1" x14ac:dyDescent="0.25">
      <c r="A57" s="129"/>
      <c r="B57" s="162" t="s">
        <v>16</v>
      </c>
      <c r="C57" s="163">
        <f>IF(C9="PR",IF(C9="",0,1),0)</f>
        <v>0</v>
      </c>
      <c r="D57" s="163">
        <f t="shared" ref="D57:AG57" si="51">IF(D9="PR",IF(D9="",0,1),0)</f>
        <v>0</v>
      </c>
      <c r="E57" s="163">
        <f t="shared" si="51"/>
        <v>0</v>
      </c>
      <c r="F57" s="163">
        <f t="shared" si="51"/>
        <v>0</v>
      </c>
      <c r="G57" s="163">
        <f t="shared" si="51"/>
        <v>0</v>
      </c>
      <c r="H57" s="163">
        <f t="shared" si="51"/>
        <v>0</v>
      </c>
      <c r="I57" s="163">
        <f t="shared" si="51"/>
        <v>0</v>
      </c>
      <c r="J57" s="163">
        <f t="shared" si="51"/>
        <v>0</v>
      </c>
      <c r="K57" s="163">
        <f t="shared" si="51"/>
        <v>0</v>
      </c>
      <c r="L57" s="163">
        <f t="shared" si="51"/>
        <v>0</v>
      </c>
      <c r="M57" s="163">
        <f t="shared" si="51"/>
        <v>0</v>
      </c>
      <c r="N57" s="163">
        <f t="shared" si="51"/>
        <v>0</v>
      </c>
      <c r="O57" s="163">
        <f t="shared" si="51"/>
        <v>0</v>
      </c>
      <c r="P57" s="163">
        <f t="shared" si="51"/>
        <v>0</v>
      </c>
      <c r="Q57" s="163">
        <f t="shared" si="51"/>
        <v>0</v>
      </c>
      <c r="R57" s="163">
        <f t="shared" si="51"/>
        <v>0</v>
      </c>
      <c r="S57" s="163">
        <f t="shared" si="51"/>
        <v>0</v>
      </c>
      <c r="T57" s="163">
        <f t="shared" si="51"/>
        <v>0</v>
      </c>
      <c r="U57" s="163">
        <f t="shared" si="51"/>
        <v>0</v>
      </c>
      <c r="V57" s="163">
        <f t="shared" si="51"/>
        <v>0</v>
      </c>
      <c r="W57" s="163">
        <f t="shared" si="51"/>
        <v>0</v>
      </c>
      <c r="X57" s="163">
        <f t="shared" si="51"/>
        <v>0</v>
      </c>
      <c r="Y57" s="163">
        <f t="shared" si="51"/>
        <v>0</v>
      </c>
      <c r="Z57" s="163">
        <f t="shared" si="51"/>
        <v>0</v>
      </c>
      <c r="AA57" s="163">
        <f t="shared" si="51"/>
        <v>0</v>
      </c>
      <c r="AB57" s="163">
        <f t="shared" si="51"/>
        <v>0</v>
      </c>
      <c r="AC57" s="163">
        <f t="shared" si="51"/>
        <v>0</v>
      </c>
      <c r="AD57" s="163">
        <f t="shared" si="51"/>
        <v>0</v>
      </c>
      <c r="AE57" s="163">
        <f t="shared" si="51"/>
        <v>0</v>
      </c>
      <c r="AF57" s="163">
        <f t="shared" si="51"/>
        <v>0</v>
      </c>
      <c r="AG57" s="163">
        <f t="shared" si="51"/>
        <v>0</v>
      </c>
      <c r="AH57" s="233">
        <f>SUM(C57:AG57)</f>
        <v>0</v>
      </c>
      <c r="AI57" s="233"/>
      <c r="AJ57" s="137" t="s">
        <v>69</v>
      </c>
      <c r="AK57" s="133"/>
      <c r="AL57" s="133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59"/>
      <c r="BF57" s="31"/>
      <c r="BG57" s="31"/>
      <c r="BH57" s="31"/>
      <c r="BI57" s="31"/>
      <c r="BJ57" s="31"/>
      <c r="BK57" s="31"/>
      <c r="BL57" s="31"/>
      <c r="BM57" s="31"/>
      <c r="BN57" s="31"/>
      <c r="BO57" s="52" t="str">
        <f t="shared" ref="BO57:BX57" si="52">IF(BO54=$AX48,IF(BO54="",0,$AX48),"")</f>
        <v/>
      </c>
      <c r="BP57" s="52" t="str">
        <f t="shared" si="52"/>
        <v/>
      </c>
      <c r="BQ57" s="52" t="str">
        <f t="shared" si="52"/>
        <v/>
      </c>
      <c r="BR57" s="52" t="str">
        <f t="shared" si="52"/>
        <v/>
      </c>
      <c r="BS57" s="52">
        <f t="shared" si="52"/>
        <v>46051</v>
      </c>
      <c r="BT57" s="52" t="str">
        <f t="shared" si="52"/>
        <v/>
      </c>
      <c r="BU57" s="52" t="str">
        <f t="shared" si="52"/>
        <v/>
      </c>
      <c r="BV57" s="52" t="str">
        <f t="shared" si="52"/>
        <v/>
      </c>
      <c r="BW57" s="52" t="str">
        <f t="shared" si="52"/>
        <v/>
      </c>
      <c r="BX57" s="52" t="str">
        <f t="shared" si="52"/>
        <v/>
      </c>
      <c r="BY57" s="52">
        <f t="shared" si="47"/>
        <v>46051</v>
      </c>
      <c r="BZ57" s="98">
        <f t="shared" si="48"/>
        <v>29</v>
      </c>
      <c r="CA57" s="99">
        <v>29</v>
      </c>
      <c r="CB57" s="31"/>
    </row>
    <row r="58" spans="1:80" s="59" customFormat="1" ht="19.5" hidden="1" customHeight="1" x14ac:dyDescent="0.25">
      <c r="A58" s="164" t="s">
        <v>70</v>
      </c>
      <c r="B58" s="165" t="s">
        <v>29</v>
      </c>
      <c r="C58" s="141">
        <f t="shared" ref="C58:AG58" si="53">IF(C10=$R32,$S32*24,IF(C10=$R33,$S33*24,IF(C10=$R34,$S34*24,IF(C10=$R35,$S35*24,IF(C10=$R36,$S36*24,IF(C10=$R37,$S37*24,IF(C10=$R38,$S38*24,IF(C10=$R39,$S39*24,IF(C10=$R40,$S40*24,"")))))))))</f>
        <v>19</v>
      </c>
      <c r="D58" s="141">
        <f t="shared" si="53"/>
        <v>19</v>
      </c>
      <c r="E58" s="141">
        <f t="shared" si="53"/>
        <v>19</v>
      </c>
      <c r="F58" s="141">
        <f t="shared" si="53"/>
        <v>19</v>
      </c>
      <c r="G58" s="141" t="str">
        <f t="shared" si="53"/>
        <v/>
      </c>
      <c r="H58" s="141" t="str">
        <f t="shared" si="53"/>
        <v/>
      </c>
      <c r="I58" s="141">
        <f t="shared" si="53"/>
        <v>19</v>
      </c>
      <c r="J58" s="141">
        <f t="shared" si="53"/>
        <v>19</v>
      </c>
      <c r="K58" s="141" t="str">
        <f t="shared" si="53"/>
        <v/>
      </c>
      <c r="L58" s="141" t="str">
        <f t="shared" si="53"/>
        <v/>
      </c>
      <c r="M58" s="141" t="str">
        <f t="shared" si="53"/>
        <v/>
      </c>
      <c r="N58" s="141">
        <f t="shared" si="53"/>
        <v>19</v>
      </c>
      <c r="O58" s="141">
        <f t="shared" si="53"/>
        <v>19</v>
      </c>
      <c r="P58" s="141" t="str">
        <f t="shared" si="53"/>
        <v/>
      </c>
      <c r="Q58" s="141" t="str">
        <f t="shared" si="53"/>
        <v/>
      </c>
      <c r="R58" s="141">
        <f t="shared" si="53"/>
        <v>19</v>
      </c>
      <c r="S58" s="141">
        <f t="shared" si="53"/>
        <v>19</v>
      </c>
      <c r="T58" s="141">
        <f t="shared" si="53"/>
        <v>19</v>
      </c>
      <c r="U58" s="141" t="str">
        <f t="shared" si="53"/>
        <v/>
      </c>
      <c r="V58" s="141" t="str">
        <f t="shared" si="53"/>
        <v/>
      </c>
      <c r="W58" s="141">
        <f t="shared" si="53"/>
        <v>19</v>
      </c>
      <c r="X58" s="141">
        <f t="shared" si="53"/>
        <v>19</v>
      </c>
      <c r="Y58" s="141" t="str">
        <f t="shared" si="53"/>
        <v/>
      </c>
      <c r="Z58" s="141" t="str">
        <f t="shared" si="53"/>
        <v/>
      </c>
      <c r="AA58" s="141" t="str">
        <f t="shared" si="53"/>
        <v/>
      </c>
      <c r="AB58" s="141">
        <f t="shared" si="53"/>
        <v>19</v>
      </c>
      <c r="AC58" s="141">
        <f t="shared" si="53"/>
        <v>19</v>
      </c>
      <c r="AD58" s="141" t="str">
        <f t="shared" si="53"/>
        <v/>
      </c>
      <c r="AE58" s="141" t="str">
        <f t="shared" si="53"/>
        <v/>
      </c>
      <c r="AF58" s="141">
        <f t="shared" si="53"/>
        <v>19</v>
      </c>
      <c r="AG58" s="141">
        <f t="shared" si="53"/>
        <v>19</v>
      </c>
      <c r="AH58" s="154" t="s">
        <v>12</v>
      </c>
      <c r="AI58" s="133"/>
      <c r="AJ58" s="137"/>
      <c r="AK58" s="137"/>
      <c r="AL58" s="137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1"/>
      <c r="BF58" s="56"/>
      <c r="BG58" s="56"/>
      <c r="BH58" s="56"/>
      <c r="BI58" s="56"/>
      <c r="BJ58" s="56"/>
      <c r="BK58" s="56"/>
      <c r="BL58" s="56"/>
      <c r="BM58" s="56"/>
      <c r="BN58" s="56"/>
      <c r="BO58" s="52" t="str">
        <f t="shared" ref="BO58:BX58" si="54">IF(BO54=$AX47,IF(BO54="",0,$AX47),"")</f>
        <v/>
      </c>
      <c r="BP58" s="52" t="str">
        <f t="shared" si="54"/>
        <v/>
      </c>
      <c r="BQ58" s="52" t="str">
        <f t="shared" si="54"/>
        <v/>
      </c>
      <c r="BR58" s="52">
        <f t="shared" si="54"/>
        <v>46050</v>
      </c>
      <c r="BS58" s="52" t="str">
        <f t="shared" si="54"/>
        <v/>
      </c>
      <c r="BT58" s="52" t="str">
        <f t="shared" si="54"/>
        <v/>
      </c>
      <c r="BU58" s="52" t="str">
        <f t="shared" si="54"/>
        <v/>
      </c>
      <c r="BV58" s="52" t="str">
        <f t="shared" si="54"/>
        <v/>
      </c>
      <c r="BW58" s="52" t="str">
        <f t="shared" si="54"/>
        <v/>
      </c>
      <c r="BX58" s="52" t="str">
        <f t="shared" si="54"/>
        <v/>
      </c>
      <c r="BY58" s="52">
        <f t="shared" si="47"/>
        <v>46050</v>
      </c>
      <c r="BZ58" s="52">
        <f t="shared" si="48"/>
        <v>28</v>
      </c>
      <c r="CA58" s="99">
        <v>28</v>
      </c>
      <c r="CB58" s="56"/>
    </row>
    <row r="59" spans="1:80" s="59" customFormat="1" ht="19.5" hidden="1" customHeight="1" x14ac:dyDescent="0.25">
      <c r="A59" s="166" t="s">
        <v>71</v>
      </c>
      <c r="B59" s="167" t="s">
        <v>30</v>
      </c>
      <c r="C59" s="141">
        <f t="shared" ref="C59:AG59" si="55">IF(C10=$R32,$V32*24,IF(C10=$R33,$V33*24,IF(C10=$R34,$V34*24,IF(C10=$R35,$V35*24,IF(C10=$R36,$V36*24,IF(C10=$R37,$V37*24,IF(C10=$R38,$V38*24,IF(C10=$R39,$V39*24,IF(C10=$R40,$V40*24,"")))))))))</f>
        <v>7</v>
      </c>
      <c r="D59" s="141">
        <f t="shared" si="55"/>
        <v>7</v>
      </c>
      <c r="E59" s="141">
        <f t="shared" si="55"/>
        <v>7</v>
      </c>
      <c r="F59" s="141">
        <f t="shared" si="55"/>
        <v>7</v>
      </c>
      <c r="G59" s="141" t="str">
        <f t="shared" si="55"/>
        <v/>
      </c>
      <c r="H59" s="141" t="str">
        <f t="shared" si="55"/>
        <v/>
      </c>
      <c r="I59" s="141">
        <f t="shared" si="55"/>
        <v>7</v>
      </c>
      <c r="J59" s="141">
        <f t="shared" si="55"/>
        <v>7</v>
      </c>
      <c r="K59" s="141" t="str">
        <f t="shared" si="55"/>
        <v/>
      </c>
      <c r="L59" s="141" t="str">
        <f t="shared" si="55"/>
        <v/>
      </c>
      <c r="M59" s="141" t="str">
        <f t="shared" si="55"/>
        <v/>
      </c>
      <c r="N59" s="141">
        <f t="shared" si="55"/>
        <v>7</v>
      </c>
      <c r="O59" s="141">
        <f t="shared" si="55"/>
        <v>7</v>
      </c>
      <c r="P59" s="141" t="str">
        <f t="shared" si="55"/>
        <v/>
      </c>
      <c r="Q59" s="141" t="str">
        <f t="shared" si="55"/>
        <v/>
      </c>
      <c r="R59" s="141">
        <f t="shared" si="55"/>
        <v>7</v>
      </c>
      <c r="S59" s="141">
        <f t="shared" si="55"/>
        <v>7</v>
      </c>
      <c r="T59" s="141">
        <f t="shared" si="55"/>
        <v>7</v>
      </c>
      <c r="U59" s="141" t="str">
        <f t="shared" si="55"/>
        <v/>
      </c>
      <c r="V59" s="141" t="str">
        <f t="shared" si="55"/>
        <v/>
      </c>
      <c r="W59" s="141">
        <f t="shared" si="55"/>
        <v>7</v>
      </c>
      <c r="X59" s="141">
        <f t="shared" si="55"/>
        <v>7</v>
      </c>
      <c r="Y59" s="141" t="str">
        <f t="shared" si="55"/>
        <v/>
      </c>
      <c r="Z59" s="141" t="str">
        <f t="shared" si="55"/>
        <v/>
      </c>
      <c r="AA59" s="141" t="str">
        <f t="shared" si="55"/>
        <v/>
      </c>
      <c r="AB59" s="141">
        <f t="shared" si="55"/>
        <v>7</v>
      </c>
      <c r="AC59" s="141">
        <f t="shared" si="55"/>
        <v>7</v>
      </c>
      <c r="AD59" s="141" t="str">
        <f t="shared" si="55"/>
        <v/>
      </c>
      <c r="AE59" s="141" t="str">
        <f t="shared" si="55"/>
        <v/>
      </c>
      <c r="AF59" s="141">
        <f t="shared" si="55"/>
        <v>7</v>
      </c>
      <c r="AG59" s="141">
        <f t="shared" si="55"/>
        <v>7</v>
      </c>
      <c r="AH59" s="154" t="s">
        <v>12</v>
      </c>
      <c r="AI59" s="133"/>
      <c r="AJ59" s="137"/>
      <c r="AK59" s="137"/>
      <c r="AL59" s="137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1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100" t="s">
        <v>56</v>
      </c>
      <c r="BZ59" s="52">
        <f>SUM(BZ55:BZ58)</f>
        <v>118</v>
      </c>
      <c r="CA59" s="53">
        <f>IF(BZ59=118,31,IF(BZ59=90,31,IF(BZ59=61,31,IF(BZ59=31,31,IF(BZ59=87,30,IF(BZ59=59,30,IF(BZ59=30,30,IF(BZ59=57,29,IF(BZ59=29,29,IF(BZ59=28,28,""))))))))))</f>
        <v>31</v>
      </c>
      <c r="CB59" s="10"/>
    </row>
    <row r="60" spans="1:80" s="59" customFormat="1" ht="19.5" hidden="1" customHeight="1" x14ac:dyDescent="0.25">
      <c r="A60" s="153"/>
      <c r="B60" s="168" t="s">
        <v>34</v>
      </c>
      <c r="C60" s="169">
        <f t="shared" ref="C60:X60" si="56">IF(C10=$R32,$BD32*24,IF(C10=$R33,$BD33*24,IF(C10=$R34,$BD34*24,IF(C10=$R35,$BD35*24,IF(C10=$R36,$BD36*24,IF(C10=$R37,$BD37*24,IF(C10=$R38,$BD38*24,IF(C10=$R39,$BD39*24,IF(C10=$R40,$BD40*24,"")))))))))</f>
        <v>8</v>
      </c>
      <c r="D60" s="169">
        <f t="shared" si="56"/>
        <v>8</v>
      </c>
      <c r="E60" s="169">
        <f t="shared" si="56"/>
        <v>8</v>
      </c>
      <c r="F60" s="169">
        <f t="shared" si="56"/>
        <v>8</v>
      </c>
      <c r="G60" s="169" t="str">
        <f t="shared" si="56"/>
        <v/>
      </c>
      <c r="H60" s="169" t="str">
        <f t="shared" si="56"/>
        <v/>
      </c>
      <c r="I60" s="169">
        <f t="shared" si="56"/>
        <v>8</v>
      </c>
      <c r="J60" s="169">
        <f t="shared" si="56"/>
        <v>8</v>
      </c>
      <c r="K60" s="169" t="str">
        <f t="shared" si="56"/>
        <v/>
      </c>
      <c r="L60" s="169" t="str">
        <f t="shared" si="56"/>
        <v/>
      </c>
      <c r="M60" s="169" t="str">
        <f t="shared" si="56"/>
        <v/>
      </c>
      <c r="N60" s="169">
        <f t="shared" si="56"/>
        <v>8</v>
      </c>
      <c r="O60" s="169">
        <f t="shared" si="56"/>
        <v>8</v>
      </c>
      <c r="P60" s="169" t="str">
        <f t="shared" si="56"/>
        <v/>
      </c>
      <c r="Q60" s="169" t="str">
        <f t="shared" si="56"/>
        <v/>
      </c>
      <c r="R60" s="169">
        <f t="shared" si="56"/>
        <v>8</v>
      </c>
      <c r="S60" s="169">
        <f t="shared" si="56"/>
        <v>8</v>
      </c>
      <c r="T60" s="169">
        <f t="shared" si="56"/>
        <v>8</v>
      </c>
      <c r="U60" s="169" t="str">
        <f t="shared" si="56"/>
        <v/>
      </c>
      <c r="V60" s="169" t="str">
        <f t="shared" si="56"/>
        <v/>
      </c>
      <c r="W60" s="169">
        <f t="shared" si="56"/>
        <v>8</v>
      </c>
      <c r="X60" s="169">
        <f t="shared" si="56"/>
        <v>8</v>
      </c>
      <c r="Y60" s="169" t="str">
        <f t="shared" ref="Y60:AD60" si="57">IF(Y10=$R32,$BD32*24,IF(Y10=$R33,$BD33*24,IF(Y10=$R34,$BD34*24,IF(Y10=$R35,$BD35*24,IF(Y10=$R36,$BD36*24,IF(Y10=$R37,$BD37*24,IF(Y10=$R38,$BD38*24,IF(Y10=$R39,$BD39*24,IF(Y10=$R40,$BD40*24,"")))))))))</f>
        <v/>
      </c>
      <c r="Z60" s="169" t="str">
        <f t="shared" si="57"/>
        <v/>
      </c>
      <c r="AA60" s="169" t="str">
        <f t="shared" si="57"/>
        <v/>
      </c>
      <c r="AB60" s="169">
        <f t="shared" si="57"/>
        <v>8</v>
      </c>
      <c r="AC60" s="169">
        <f t="shared" si="57"/>
        <v>8</v>
      </c>
      <c r="AD60" s="169" t="str">
        <f t="shared" si="57"/>
        <v/>
      </c>
      <c r="AE60" s="169" t="str">
        <f>IF(AE10=$R32,$BD32*24,IF(AE10=$R33,$BD33*24,IF(AE10=$R34,$BD34*24,IF(AE10=$R35,$BD35*24,IF(AE10=$R36,$BD36*24,IF(AE10=$R37,$BD37*24,IF(AE10=$R38,$BD38*24,IF(AE10=$R39,$BD39*24,IF(AE10=$R40,$BD40*24,"")))))))))</f>
        <v/>
      </c>
      <c r="AF60" s="169">
        <f>IF(AF10=$R32,$BD32*24,IF(AF10=$R33,$BD33*24,IF(AF10=$R34,$BD34*24,IF(AF10=$R35,$BD35*24,IF(AF10=$R36,$BD36*24,IF(AF10=$R37,$BD37*24,IF(AF10=$R38,$BD38*24,IF(AF10=$R39,$BD39*24,IF(AF10=$R40,$BD40*24,"")))))))))</f>
        <v>8</v>
      </c>
      <c r="AG60" s="169">
        <f>IF(AG10=$R32,$BD32*24,IF(AG10=$R33,$BD33*24,IF(AG10=$R34,$BD34*24,IF(AG10=$R35,$BD35*24,IF(AG10=$R36,$BD36*24,IF(AG10=$R37,$BD37*24,IF(AG10=$R38,$BD38*24,IF(AG10=$R39,$BD39*24,IF(AG10=$R40,$BD40*24,"")))))))))</f>
        <v>8</v>
      </c>
      <c r="AH60" s="148">
        <f>SUM(C60:AG60)</f>
        <v>136</v>
      </c>
      <c r="AI60" s="133"/>
      <c r="AJ60" s="137"/>
      <c r="AK60" s="137"/>
      <c r="AL60" s="137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1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101">
        <f>CA59</f>
        <v>31</v>
      </c>
      <c r="CB60" s="56"/>
    </row>
    <row r="61" spans="1:80" s="59" customFormat="1" ht="19.5" hidden="1" customHeight="1" x14ac:dyDescent="0.25">
      <c r="A61" s="153"/>
      <c r="B61" s="167" t="s">
        <v>59</v>
      </c>
      <c r="C61" s="141">
        <f t="shared" ref="C61:AG61" si="58">IF(C10="V",$C36,IF(C10="PR",$C38,0))</f>
        <v>0</v>
      </c>
      <c r="D61" s="141">
        <f t="shared" si="58"/>
        <v>0</v>
      </c>
      <c r="E61" s="141">
        <f t="shared" si="58"/>
        <v>0</v>
      </c>
      <c r="F61" s="141">
        <f t="shared" si="58"/>
        <v>0</v>
      </c>
      <c r="G61" s="141">
        <f t="shared" si="58"/>
        <v>0</v>
      </c>
      <c r="H61" s="141">
        <f t="shared" si="58"/>
        <v>0</v>
      </c>
      <c r="I61" s="141">
        <f t="shared" si="58"/>
        <v>0</v>
      </c>
      <c r="J61" s="141">
        <f t="shared" si="58"/>
        <v>0</v>
      </c>
      <c r="K61" s="141">
        <f t="shared" si="58"/>
        <v>0</v>
      </c>
      <c r="L61" s="141">
        <f t="shared" si="58"/>
        <v>0</v>
      </c>
      <c r="M61" s="141">
        <f t="shared" si="58"/>
        <v>0</v>
      </c>
      <c r="N61" s="141">
        <f t="shared" si="58"/>
        <v>0</v>
      </c>
      <c r="O61" s="141">
        <f t="shared" si="58"/>
        <v>0</v>
      </c>
      <c r="P61" s="141">
        <f t="shared" si="58"/>
        <v>0</v>
      </c>
      <c r="Q61" s="141">
        <f t="shared" si="58"/>
        <v>0</v>
      </c>
      <c r="R61" s="141">
        <f t="shared" si="58"/>
        <v>0</v>
      </c>
      <c r="S61" s="141">
        <f t="shared" si="58"/>
        <v>0</v>
      </c>
      <c r="T61" s="141">
        <f t="shared" si="58"/>
        <v>0</v>
      </c>
      <c r="U61" s="141">
        <f t="shared" si="58"/>
        <v>0</v>
      </c>
      <c r="V61" s="141">
        <f t="shared" si="58"/>
        <v>0</v>
      </c>
      <c r="W61" s="141">
        <f t="shared" si="58"/>
        <v>0</v>
      </c>
      <c r="X61" s="141">
        <f t="shared" si="58"/>
        <v>0</v>
      </c>
      <c r="Y61" s="141">
        <f t="shared" si="58"/>
        <v>0</v>
      </c>
      <c r="Z61" s="141">
        <f t="shared" si="58"/>
        <v>0</v>
      </c>
      <c r="AA61" s="141">
        <f t="shared" si="58"/>
        <v>0</v>
      </c>
      <c r="AB61" s="141">
        <f t="shared" si="58"/>
        <v>0</v>
      </c>
      <c r="AC61" s="141">
        <f t="shared" si="58"/>
        <v>0</v>
      </c>
      <c r="AD61" s="141">
        <f t="shared" si="58"/>
        <v>0</v>
      </c>
      <c r="AE61" s="141">
        <f t="shared" si="58"/>
        <v>0</v>
      </c>
      <c r="AF61" s="141">
        <f t="shared" si="58"/>
        <v>0</v>
      </c>
      <c r="AG61" s="141">
        <f t="shared" si="58"/>
        <v>0</v>
      </c>
      <c r="AH61" s="226">
        <f>SUM(C61:AG61)</f>
        <v>0</v>
      </c>
      <c r="AI61" s="226"/>
      <c r="AJ61" s="137" t="s">
        <v>12</v>
      </c>
      <c r="AK61" s="137"/>
      <c r="AL61" s="137"/>
      <c r="BE61" s="1"/>
      <c r="BU61" s="60" t="str">
        <f>BS50</f>
        <v>ju</v>
      </c>
      <c r="BV61" s="60" t="str">
        <f>BT50</f>
        <v>vi</v>
      </c>
      <c r="BW61" s="60" t="str">
        <f>BU50</f>
        <v>sa</v>
      </c>
      <c r="BX61" s="60" t="str">
        <f>BV50</f>
        <v>do</v>
      </c>
      <c r="BY61" s="60" t="str">
        <f>BW50</f>
        <v>lu</v>
      </c>
    </row>
    <row r="62" spans="1:80" s="59" customFormat="1" ht="19.5" hidden="1" customHeight="1" x14ac:dyDescent="0.25">
      <c r="A62" s="150" t="s">
        <v>60</v>
      </c>
      <c r="B62" s="167" t="s">
        <v>61</v>
      </c>
      <c r="C62" s="151">
        <f t="shared" ref="C62:X62" si="59">IF(C10=$R32,$BC32,IF(C10=$R33,$BC33,IF(C10=$R34,$BC34,IF(C10=$R35,$BC35,IF(C10=$R36,$BC36,IF(C10=$R37,$BC37,IF(C10=$R38,$BC38,IF(C10=$R39,$BC39,IF(C10=$R40,$BC40,0)))))))))</f>
        <v>12</v>
      </c>
      <c r="D62" s="151">
        <f t="shared" si="59"/>
        <v>12</v>
      </c>
      <c r="E62" s="151">
        <f t="shared" si="59"/>
        <v>12</v>
      </c>
      <c r="F62" s="151">
        <f t="shared" si="59"/>
        <v>12</v>
      </c>
      <c r="G62" s="151">
        <f t="shared" si="59"/>
        <v>0</v>
      </c>
      <c r="H62" s="151">
        <f t="shared" si="59"/>
        <v>0</v>
      </c>
      <c r="I62" s="151">
        <f t="shared" si="59"/>
        <v>12</v>
      </c>
      <c r="J62" s="151">
        <f t="shared" si="59"/>
        <v>12</v>
      </c>
      <c r="K62" s="151">
        <f t="shared" si="59"/>
        <v>0</v>
      </c>
      <c r="L62" s="151">
        <f t="shared" si="59"/>
        <v>0</v>
      </c>
      <c r="M62" s="151">
        <f t="shared" si="59"/>
        <v>0</v>
      </c>
      <c r="N62" s="151">
        <f t="shared" si="59"/>
        <v>12</v>
      </c>
      <c r="O62" s="151">
        <f t="shared" si="59"/>
        <v>12</v>
      </c>
      <c r="P62" s="151">
        <f t="shared" si="59"/>
        <v>0</v>
      </c>
      <c r="Q62" s="151">
        <f t="shared" si="59"/>
        <v>0</v>
      </c>
      <c r="R62" s="151">
        <f t="shared" si="59"/>
        <v>12</v>
      </c>
      <c r="S62" s="151">
        <f t="shared" si="59"/>
        <v>12</v>
      </c>
      <c r="T62" s="151">
        <f t="shared" si="59"/>
        <v>12</v>
      </c>
      <c r="U62" s="151">
        <f t="shared" si="59"/>
        <v>0</v>
      </c>
      <c r="V62" s="151">
        <f t="shared" si="59"/>
        <v>0</v>
      </c>
      <c r="W62" s="151">
        <f t="shared" si="59"/>
        <v>12</v>
      </c>
      <c r="X62" s="151">
        <f t="shared" si="59"/>
        <v>12</v>
      </c>
      <c r="Y62" s="151">
        <f t="shared" ref="Y62:AD62" si="60">IF(Y10=$R32,$BC32,IF(Y10=$R33,$BC33,IF(Y10=$R34,$BC34,IF(Y10=$R35,$BC35,IF(Y10=$R36,$BC36,IF(Y10=$R37,$BC37,IF(Y10=$R38,$BC38,IF(Y10=$R39,$BC39,IF(Y10=$R40,$BC40,0)))))))))</f>
        <v>0</v>
      </c>
      <c r="Z62" s="151">
        <f t="shared" si="60"/>
        <v>0</v>
      </c>
      <c r="AA62" s="151">
        <f t="shared" si="60"/>
        <v>0</v>
      </c>
      <c r="AB62" s="151">
        <f t="shared" si="60"/>
        <v>12</v>
      </c>
      <c r="AC62" s="151">
        <f t="shared" si="60"/>
        <v>12</v>
      </c>
      <c r="AD62" s="151">
        <f t="shared" si="60"/>
        <v>0</v>
      </c>
      <c r="AE62" s="151">
        <f>IF(AE10=$R32,$BC32,IF(AE10=$R33,$BC33,IF(AE10=$R34,$BC34,IF(AE10=$R35,$BC35,IF(AE10=$R36,$BC36,IF(AE10=$R37,$BC37,IF(AE10=$R38,$BC38,IF(AE10=$R39,$BC39,IF(AE10=$R40,$BC40,0)))))))))</f>
        <v>0</v>
      </c>
      <c r="AF62" s="151">
        <f>IF(AF10=$R32,$BC32,IF(AF10=$R33,$BC33,IF(AF10=$R34,$BC34,IF(AF10=$R35,$BC35,IF(AF10=$R36,$BC36,IF(AF10=$R37,$BC37,IF(AF10=$R38,$BC38,IF(AF10=$R39,$BC39,IF(AF10=$R40,$BC40,0)))))))))</f>
        <v>12</v>
      </c>
      <c r="AG62" s="151">
        <f>IF(AG10=$R32,$BC32,IF(AG10=$R33,$BC33,IF(AG10=$R34,$BC34,IF(AG10=$R35,$BC35,IF(AG10=$R36,$BC36,IF(AG10=$R37,$BC37,IF(AG10=$R38,$BC38,IF(AG10=$R39,$BC39,IF(AG10=$R40,$BC40,0)))))))))</f>
        <v>12</v>
      </c>
      <c r="AH62" s="226">
        <f>SUM(C62:AG62)</f>
        <v>204</v>
      </c>
      <c r="AI62" s="226"/>
      <c r="AJ62" s="137" t="s">
        <v>62</v>
      </c>
      <c r="AK62" s="137" t="s">
        <v>12</v>
      </c>
      <c r="AL62" s="137"/>
      <c r="BE62" s="1"/>
      <c r="BU62" s="61">
        <v>28</v>
      </c>
      <c r="BV62" s="61">
        <v>29</v>
      </c>
      <c r="BW62" s="61">
        <v>30</v>
      </c>
      <c r="BX62" s="61">
        <v>31</v>
      </c>
      <c r="BY62" s="61">
        <v>1</v>
      </c>
    </row>
    <row r="63" spans="1:80" s="59" customFormat="1" ht="19.5" hidden="1" customHeight="1" x14ac:dyDescent="0.25">
      <c r="A63" s="153" t="s">
        <v>48</v>
      </c>
      <c r="B63" s="149" t="s">
        <v>63</v>
      </c>
      <c r="C63" s="141" t="b">
        <f t="shared" ref="C63:AG63" si="61">IF(C46=1,IF(C58&lt;C59,C62,0))</f>
        <v>0</v>
      </c>
      <c r="D63" s="141" t="b">
        <f t="shared" si="61"/>
        <v>0</v>
      </c>
      <c r="E63" s="141">
        <f t="shared" si="61"/>
        <v>0</v>
      </c>
      <c r="F63" s="141">
        <f t="shared" si="61"/>
        <v>0</v>
      </c>
      <c r="G63" s="141" t="b">
        <f t="shared" si="61"/>
        <v>0</v>
      </c>
      <c r="H63" s="141" t="b">
        <f t="shared" si="61"/>
        <v>0</v>
      </c>
      <c r="I63" s="141" t="b">
        <f t="shared" si="61"/>
        <v>0</v>
      </c>
      <c r="J63" s="141" t="b">
        <f t="shared" si="61"/>
        <v>0</v>
      </c>
      <c r="K63" s="141" t="b">
        <f t="shared" si="61"/>
        <v>0</v>
      </c>
      <c r="L63" s="141">
        <f t="shared" si="61"/>
        <v>0</v>
      </c>
      <c r="M63" s="141">
        <f t="shared" si="61"/>
        <v>0</v>
      </c>
      <c r="N63" s="141" t="b">
        <f t="shared" si="61"/>
        <v>0</v>
      </c>
      <c r="O63" s="141" t="b">
        <f t="shared" si="61"/>
        <v>0</v>
      </c>
      <c r="P63" s="141" t="b">
        <f t="shared" si="61"/>
        <v>0</v>
      </c>
      <c r="Q63" s="141" t="b">
        <f t="shared" si="61"/>
        <v>0</v>
      </c>
      <c r="R63" s="141" t="b">
        <f t="shared" si="61"/>
        <v>0</v>
      </c>
      <c r="S63" s="141">
        <f t="shared" si="61"/>
        <v>0</v>
      </c>
      <c r="T63" s="141">
        <f t="shared" si="61"/>
        <v>0</v>
      </c>
      <c r="U63" s="141" t="b">
        <f t="shared" si="61"/>
        <v>0</v>
      </c>
      <c r="V63" s="141" t="b">
        <f t="shared" si="61"/>
        <v>0</v>
      </c>
      <c r="W63" s="141" t="b">
        <f t="shared" si="61"/>
        <v>0</v>
      </c>
      <c r="X63" s="141" t="b">
        <f t="shared" si="61"/>
        <v>0</v>
      </c>
      <c r="Y63" s="141" t="b">
        <f t="shared" si="61"/>
        <v>0</v>
      </c>
      <c r="Z63" s="141">
        <f t="shared" si="61"/>
        <v>0</v>
      </c>
      <c r="AA63" s="141">
        <f t="shared" si="61"/>
        <v>0</v>
      </c>
      <c r="AB63" s="141" t="b">
        <f t="shared" si="61"/>
        <v>0</v>
      </c>
      <c r="AC63" s="141" t="b">
        <f t="shared" si="61"/>
        <v>0</v>
      </c>
      <c r="AD63" s="141" t="b">
        <f t="shared" si="61"/>
        <v>0</v>
      </c>
      <c r="AE63" s="141" t="b">
        <f t="shared" si="61"/>
        <v>0</v>
      </c>
      <c r="AF63" s="141" t="b">
        <f t="shared" si="61"/>
        <v>0</v>
      </c>
      <c r="AG63" s="141">
        <f t="shared" si="61"/>
        <v>0</v>
      </c>
      <c r="AH63" s="142" t="s">
        <v>12</v>
      </c>
      <c r="AI63" s="133"/>
      <c r="AJ63" s="137"/>
      <c r="AK63" s="137"/>
      <c r="AL63" s="137"/>
      <c r="BE63" s="1"/>
      <c r="BV63" s="102" t="str">
        <f>IF(CA59=28,IF(CA59="",0,1),IF(CA59=1,IF(CA59="",0,1),""))</f>
        <v/>
      </c>
      <c r="BW63" s="102" t="str">
        <f>IF(CA59=29,IF(CA59="",0,1),IF(CA59=1,IF(CA59="",0,1),""))</f>
        <v/>
      </c>
      <c r="BX63" s="102" t="str">
        <f>IF(CA59=30,IF(CA59="",0,1),IF(CA59=1,IF(CA59="",0,1),""))</f>
        <v/>
      </c>
      <c r="BY63" s="102">
        <f>IF(CA59=31,IF(CA59="",0,1),IF(CA59=1,IF(CA59="",0,1),""))</f>
        <v>1</v>
      </c>
    </row>
    <row r="64" spans="1:80" ht="19.5" hidden="1" customHeight="1" x14ac:dyDescent="0.25">
      <c r="A64" s="153"/>
      <c r="B64" s="149" t="s">
        <v>64</v>
      </c>
      <c r="C64" s="141">
        <f t="shared" ref="C64:AG64" si="62">IF(C46=1,IF(C58&gt;C59,24-C58,0),0)</f>
        <v>0</v>
      </c>
      <c r="D64" s="141">
        <f t="shared" si="62"/>
        <v>0</v>
      </c>
      <c r="E64" s="141">
        <f t="shared" si="62"/>
        <v>5</v>
      </c>
      <c r="F64" s="141">
        <f t="shared" si="62"/>
        <v>5</v>
      </c>
      <c r="G64" s="141">
        <f t="shared" si="62"/>
        <v>0</v>
      </c>
      <c r="H64" s="141">
        <f t="shared" si="62"/>
        <v>0</v>
      </c>
      <c r="I64" s="141">
        <f t="shared" si="62"/>
        <v>0</v>
      </c>
      <c r="J64" s="141">
        <f t="shared" si="62"/>
        <v>0</v>
      </c>
      <c r="K64" s="141">
        <f t="shared" si="62"/>
        <v>0</v>
      </c>
      <c r="L64" s="141">
        <f t="shared" si="62"/>
        <v>0</v>
      </c>
      <c r="M64" s="141">
        <f t="shared" si="62"/>
        <v>0</v>
      </c>
      <c r="N64" s="141">
        <f t="shared" si="62"/>
        <v>0</v>
      </c>
      <c r="O64" s="141">
        <f t="shared" si="62"/>
        <v>0</v>
      </c>
      <c r="P64" s="141">
        <f t="shared" si="62"/>
        <v>0</v>
      </c>
      <c r="Q64" s="141">
        <f t="shared" si="62"/>
        <v>0</v>
      </c>
      <c r="R64" s="141">
        <f t="shared" si="62"/>
        <v>0</v>
      </c>
      <c r="S64" s="141">
        <f t="shared" si="62"/>
        <v>5</v>
      </c>
      <c r="T64" s="141">
        <f t="shared" si="62"/>
        <v>5</v>
      </c>
      <c r="U64" s="141">
        <f t="shared" si="62"/>
        <v>0</v>
      </c>
      <c r="V64" s="141">
        <f t="shared" si="62"/>
        <v>0</v>
      </c>
      <c r="W64" s="141">
        <f t="shared" si="62"/>
        <v>0</v>
      </c>
      <c r="X64" s="141">
        <f t="shared" si="62"/>
        <v>0</v>
      </c>
      <c r="Y64" s="141">
        <f t="shared" si="62"/>
        <v>0</v>
      </c>
      <c r="Z64" s="141">
        <f t="shared" si="62"/>
        <v>0</v>
      </c>
      <c r="AA64" s="141">
        <f t="shared" si="62"/>
        <v>0</v>
      </c>
      <c r="AB64" s="141">
        <f t="shared" si="62"/>
        <v>0</v>
      </c>
      <c r="AC64" s="141">
        <f t="shared" si="62"/>
        <v>0</v>
      </c>
      <c r="AD64" s="141">
        <f t="shared" si="62"/>
        <v>0</v>
      </c>
      <c r="AE64" s="141">
        <f t="shared" si="62"/>
        <v>0</v>
      </c>
      <c r="AF64" s="141">
        <f t="shared" si="62"/>
        <v>0</v>
      </c>
      <c r="AG64" s="141">
        <f t="shared" si="62"/>
        <v>5</v>
      </c>
      <c r="AH64" s="142" t="s">
        <v>12</v>
      </c>
      <c r="AI64" s="133"/>
      <c r="AJ64" s="170"/>
      <c r="AK64" s="133"/>
      <c r="AL64" s="133"/>
      <c r="BU64" s="45" t="s">
        <v>72</v>
      </c>
      <c r="BV64" s="102" t="b">
        <f>IF(BV61="sa",IF(BV61="",0,"1"),IF(BV61="do",IF(BV61="",0,"1")))</f>
        <v>0</v>
      </c>
      <c r="BW64" s="102" t="str">
        <f>IF(BW61="sa",IF(BW61="",0,"1"),IF(BW61="do",IF(BW61="",0,"1")))</f>
        <v>1</v>
      </c>
      <c r="BX64" s="102" t="str">
        <f>IF(BX61="sa",IF(BX61="",0,"1"),IF(BX61="do",IF(BX61="",0,"1")))</f>
        <v>1</v>
      </c>
      <c r="BY64" s="102" t="b">
        <f>IF(BY61="sa",IF(BY61="",0,"1"),IF(BY61="do",IF(BY61="",0,"1")))</f>
        <v>0</v>
      </c>
    </row>
    <row r="65" spans="1:77" ht="19.5" hidden="1" customHeight="1" x14ac:dyDescent="0.25">
      <c r="A65" s="153"/>
      <c r="B65" s="149" t="s">
        <v>65</v>
      </c>
      <c r="C65" s="141">
        <f t="shared" ref="C65:AG65" si="63">IF(D46=1,IF(C58&gt;C59,C59,0),0)</f>
        <v>0</v>
      </c>
      <c r="D65" s="141">
        <f t="shared" si="63"/>
        <v>7</v>
      </c>
      <c r="E65" s="141">
        <f t="shared" si="63"/>
        <v>7</v>
      </c>
      <c r="F65" s="141">
        <f t="shared" si="63"/>
        <v>0</v>
      </c>
      <c r="G65" s="141">
        <f t="shared" si="63"/>
        <v>0</v>
      </c>
      <c r="H65" s="141">
        <f t="shared" si="63"/>
        <v>0</v>
      </c>
      <c r="I65" s="141">
        <f t="shared" si="63"/>
        <v>0</v>
      </c>
      <c r="J65" s="141">
        <f t="shared" si="63"/>
        <v>0</v>
      </c>
      <c r="K65" s="141">
        <f t="shared" si="63"/>
        <v>0</v>
      </c>
      <c r="L65" s="141">
        <f t="shared" si="63"/>
        <v>0</v>
      </c>
      <c r="M65" s="141">
        <f t="shared" si="63"/>
        <v>0</v>
      </c>
      <c r="N65" s="141">
        <f t="shared" si="63"/>
        <v>0</v>
      </c>
      <c r="O65" s="141">
        <f t="shared" si="63"/>
        <v>0</v>
      </c>
      <c r="P65" s="141">
        <f t="shared" si="63"/>
        <v>0</v>
      </c>
      <c r="Q65" s="141">
        <f t="shared" si="63"/>
        <v>0</v>
      </c>
      <c r="R65" s="141">
        <f t="shared" si="63"/>
        <v>7</v>
      </c>
      <c r="S65" s="141">
        <f t="shared" si="63"/>
        <v>7</v>
      </c>
      <c r="T65" s="141">
        <f t="shared" si="63"/>
        <v>0</v>
      </c>
      <c r="U65" s="141">
        <f t="shared" si="63"/>
        <v>0</v>
      </c>
      <c r="V65" s="141">
        <f t="shared" si="63"/>
        <v>0</v>
      </c>
      <c r="W65" s="141">
        <f t="shared" si="63"/>
        <v>0</v>
      </c>
      <c r="X65" s="141">
        <f>IF(Y46=1,IF(X58&gt;X59,X59,0),0)</f>
        <v>0</v>
      </c>
      <c r="Y65" s="141">
        <f t="shared" si="63"/>
        <v>0</v>
      </c>
      <c r="Z65" s="141">
        <f t="shared" si="63"/>
        <v>0</v>
      </c>
      <c r="AA65" s="141">
        <f t="shared" si="63"/>
        <v>0</v>
      </c>
      <c r="AB65" s="141">
        <f t="shared" si="63"/>
        <v>0</v>
      </c>
      <c r="AC65" s="141">
        <f t="shared" si="63"/>
        <v>0</v>
      </c>
      <c r="AD65" s="141">
        <f t="shared" si="63"/>
        <v>0</v>
      </c>
      <c r="AE65" s="141">
        <f t="shared" si="63"/>
        <v>0</v>
      </c>
      <c r="AF65" s="141">
        <f t="shared" si="63"/>
        <v>7</v>
      </c>
      <c r="AG65" s="141">
        <f t="shared" si="63"/>
        <v>0</v>
      </c>
      <c r="AH65" s="142" t="s">
        <v>12</v>
      </c>
      <c r="AI65" s="133"/>
      <c r="AJ65" s="170"/>
      <c r="AK65" s="133"/>
      <c r="AL65" s="133"/>
    </row>
    <row r="66" spans="1:77" ht="19.5" hidden="1" customHeight="1" x14ac:dyDescent="0.25">
      <c r="A66" s="153"/>
      <c r="B66" s="149" t="s">
        <v>67</v>
      </c>
      <c r="C66" s="171">
        <f t="shared" ref="C66:AG66" si="64">SUM(C63:C65)</f>
        <v>0</v>
      </c>
      <c r="D66" s="171">
        <f t="shared" si="64"/>
        <v>7</v>
      </c>
      <c r="E66" s="171">
        <f t="shared" si="64"/>
        <v>12</v>
      </c>
      <c r="F66" s="171">
        <f t="shared" si="64"/>
        <v>5</v>
      </c>
      <c r="G66" s="171">
        <f t="shared" si="64"/>
        <v>0</v>
      </c>
      <c r="H66" s="171">
        <f t="shared" si="64"/>
        <v>0</v>
      </c>
      <c r="I66" s="171">
        <f t="shared" si="64"/>
        <v>0</v>
      </c>
      <c r="J66" s="171">
        <f t="shared" si="64"/>
        <v>0</v>
      </c>
      <c r="K66" s="171">
        <f t="shared" si="64"/>
        <v>0</v>
      </c>
      <c r="L66" s="171">
        <f t="shared" si="64"/>
        <v>0</v>
      </c>
      <c r="M66" s="171">
        <f t="shared" si="64"/>
        <v>0</v>
      </c>
      <c r="N66" s="171">
        <f t="shared" si="64"/>
        <v>0</v>
      </c>
      <c r="O66" s="171">
        <f t="shared" si="64"/>
        <v>0</v>
      </c>
      <c r="P66" s="171">
        <f t="shared" si="64"/>
        <v>0</v>
      </c>
      <c r="Q66" s="171">
        <f t="shared" si="64"/>
        <v>0</v>
      </c>
      <c r="R66" s="171">
        <f t="shared" si="64"/>
        <v>7</v>
      </c>
      <c r="S66" s="171">
        <f t="shared" si="64"/>
        <v>12</v>
      </c>
      <c r="T66" s="171">
        <f t="shared" si="64"/>
        <v>5</v>
      </c>
      <c r="U66" s="171">
        <f t="shared" si="64"/>
        <v>0</v>
      </c>
      <c r="V66" s="171">
        <f t="shared" si="64"/>
        <v>0</v>
      </c>
      <c r="W66" s="171">
        <f t="shared" si="64"/>
        <v>0</v>
      </c>
      <c r="X66" s="171">
        <f t="shared" si="64"/>
        <v>0</v>
      </c>
      <c r="Y66" s="171">
        <f t="shared" si="64"/>
        <v>0</v>
      </c>
      <c r="Z66" s="171">
        <f t="shared" si="64"/>
        <v>0</v>
      </c>
      <c r="AA66" s="171">
        <f t="shared" si="64"/>
        <v>0</v>
      </c>
      <c r="AB66" s="171">
        <f t="shared" si="64"/>
        <v>0</v>
      </c>
      <c r="AC66" s="171">
        <f t="shared" si="64"/>
        <v>0</v>
      </c>
      <c r="AD66" s="171">
        <f t="shared" si="64"/>
        <v>0</v>
      </c>
      <c r="AE66" s="171">
        <f t="shared" si="64"/>
        <v>0</v>
      </c>
      <c r="AF66" s="171">
        <f t="shared" si="64"/>
        <v>7</v>
      </c>
      <c r="AG66" s="171">
        <f t="shared" si="64"/>
        <v>5</v>
      </c>
      <c r="AH66" s="142" t="s">
        <v>12</v>
      </c>
      <c r="AI66" s="133"/>
      <c r="AJ66" s="170"/>
      <c r="AK66" s="133"/>
      <c r="AL66" s="133"/>
      <c r="BU66" s="62"/>
      <c r="BV66" s="63" t="str">
        <f t="shared" ref="BV66:BV67" si="65">IF(BV65=2,IF(BV65="",0,"X"),IF(BV65=2,IF(BV65="",0,2),""))</f>
        <v/>
      </c>
      <c r="BW66" s="63" t="str">
        <f t="shared" ref="BW66:BW67" si="66">IF(BW65=2,IF(BW65="",0,"X"),IF(BW65=2,IF(BW65="",0,2),""))</f>
        <v/>
      </c>
      <c r="BX66" s="63" t="str">
        <f t="shared" ref="BX66:BX67" si="67">IF(BX65=2,IF(BX65="",0,"X"),IF(BX65=2,IF(BX65="",0,2),""))</f>
        <v/>
      </c>
      <c r="BY66" s="63" t="str">
        <f t="shared" ref="BY66:BY67" si="68">IF(BY65=2,IF(BY65="",0,"X"),IF(BY65=2,IF(BY65="",0,2),""))</f>
        <v/>
      </c>
    </row>
    <row r="67" spans="1:77" ht="19.5" hidden="1" customHeight="1" x14ac:dyDescent="0.25">
      <c r="A67" s="172"/>
      <c r="B67" s="160" t="s">
        <v>68</v>
      </c>
      <c r="C67" s="161">
        <f t="shared" ref="C67:AG67" si="69">IF(C10="V",IF(C10="",0,1),0)</f>
        <v>0</v>
      </c>
      <c r="D67" s="161">
        <f t="shared" si="69"/>
        <v>0</v>
      </c>
      <c r="E67" s="161">
        <f t="shared" si="69"/>
        <v>0</v>
      </c>
      <c r="F67" s="161">
        <f t="shared" si="69"/>
        <v>0</v>
      </c>
      <c r="G67" s="161">
        <f t="shared" si="69"/>
        <v>0</v>
      </c>
      <c r="H67" s="161">
        <f t="shared" si="69"/>
        <v>0</v>
      </c>
      <c r="I67" s="161">
        <f t="shared" si="69"/>
        <v>0</v>
      </c>
      <c r="J67" s="161">
        <f t="shared" si="69"/>
        <v>0</v>
      </c>
      <c r="K67" s="161">
        <f t="shared" si="69"/>
        <v>0</v>
      </c>
      <c r="L67" s="161">
        <f t="shared" si="69"/>
        <v>0</v>
      </c>
      <c r="M67" s="161">
        <f t="shared" si="69"/>
        <v>0</v>
      </c>
      <c r="N67" s="161">
        <f t="shared" si="69"/>
        <v>0</v>
      </c>
      <c r="O67" s="161">
        <f t="shared" si="69"/>
        <v>0</v>
      </c>
      <c r="P67" s="161">
        <f t="shared" si="69"/>
        <v>0</v>
      </c>
      <c r="Q67" s="161">
        <f t="shared" si="69"/>
        <v>0</v>
      </c>
      <c r="R67" s="161">
        <f t="shared" si="69"/>
        <v>0</v>
      </c>
      <c r="S67" s="161">
        <f t="shared" si="69"/>
        <v>0</v>
      </c>
      <c r="T67" s="161">
        <f t="shared" si="69"/>
        <v>0</v>
      </c>
      <c r="U67" s="161">
        <f t="shared" si="69"/>
        <v>0</v>
      </c>
      <c r="V67" s="161">
        <f t="shared" si="69"/>
        <v>0</v>
      </c>
      <c r="W67" s="161">
        <f t="shared" si="69"/>
        <v>0</v>
      </c>
      <c r="X67" s="161">
        <f t="shared" si="69"/>
        <v>0</v>
      </c>
      <c r="Y67" s="161">
        <f t="shared" si="69"/>
        <v>0</v>
      </c>
      <c r="Z67" s="161">
        <f t="shared" si="69"/>
        <v>0</v>
      </c>
      <c r="AA67" s="161">
        <f t="shared" si="69"/>
        <v>0</v>
      </c>
      <c r="AB67" s="161">
        <f t="shared" si="69"/>
        <v>0</v>
      </c>
      <c r="AC67" s="161">
        <f t="shared" si="69"/>
        <v>0</v>
      </c>
      <c r="AD67" s="161">
        <f t="shared" si="69"/>
        <v>0</v>
      </c>
      <c r="AE67" s="161">
        <f t="shared" si="69"/>
        <v>0</v>
      </c>
      <c r="AF67" s="161">
        <f t="shared" si="69"/>
        <v>0</v>
      </c>
      <c r="AG67" s="161">
        <f t="shared" si="69"/>
        <v>0</v>
      </c>
      <c r="AH67" s="142" t="s">
        <v>12</v>
      </c>
      <c r="AI67" s="133"/>
      <c r="AJ67" s="170"/>
      <c r="AK67" s="133"/>
      <c r="AL67" s="133"/>
      <c r="BU67" s="64"/>
      <c r="BV67" s="63" t="str">
        <f t="shared" si="65"/>
        <v/>
      </c>
      <c r="BW67" s="63" t="str">
        <f t="shared" si="66"/>
        <v/>
      </c>
      <c r="BX67" s="63" t="str">
        <f t="shared" si="67"/>
        <v/>
      </c>
      <c r="BY67" s="63" t="str">
        <f t="shared" si="68"/>
        <v/>
      </c>
    </row>
    <row r="68" spans="1:77" ht="19.5" hidden="1" customHeight="1" x14ac:dyDescent="0.25">
      <c r="A68" s="173"/>
      <c r="B68" s="130" t="s">
        <v>16</v>
      </c>
      <c r="C68" s="163">
        <f t="shared" ref="C68:AG68" si="70">IF(C10="PR",IF(C10="",0,1),0)</f>
        <v>0</v>
      </c>
      <c r="D68" s="163">
        <f t="shared" si="70"/>
        <v>0</v>
      </c>
      <c r="E68" s="163">
        <f t="shared" si="70"/>
        <v>0</v>
      </c>
      <c r="F68" s="163">
        <f t="shared" si="70"/>
        <v>0</v>
      </c>
      <c r="G68" s="163">
        <f t="shared" si="70"/>
        <v>0</v>
      </c>
      <c r="H68" s="163">
        <f t="shared" si="70"/>
        <v>0</v>
      </c>
      <c r="I68" s="163">
        <f t="shared" si="70"/>
        <v>0</v>
      </c>
      <c r="J68" s="163">
        <f t="shared" si="70"/>
        <v>0</v>
      </c>
      <c r="K68" s="163">
        <f t="shared" si="70"/>
        <v>0</v>
      </c>
      <c r="L68" s="163">
        <f t="shared" si="70"/>
        <v>0</v>
      </c>
      <c r="M68" s="163">
        <f t="shared" si="70"/>
        <v>0</v>
      </c>
      <c r="N68" s="163">
        <f t="shared" si="70"/>
        <v>0</v>
      </c>
      <c r="O68" s="163">
        <f t="shared" si="70"/>
        <v>0</v>
      </c>
      <c r="P68" s="163">
        <f t="shared" si="70"/>
        <v>0</v>
      </c>
      <c r="Q68" s="163">
        <f t="shared" si="70"/>
        <v>0</v>
      </c>
      <c r="R68" s="163">
        <f t="shared" si="70"/>
        <v>0</v>
      </c>
      <c r="S68" s="163">
        <f t="shared" si="70"/>
        <v>0</v>
      </c>
      <c r="T68" s="163">
        <f t="shared" si="70"/>
        <v>0</v>
      </c>
      <c r="U68" s="163">
        <f t="shared" si="70"/>
        <v>0</v>
      </c>
      <c r="V68" s="163">
        <f t="shared" si="70"/>
        <v>0</v>
      </c>
      <c r="W68" s="163">
        <f t="shared" si="70"/>
        <v>0</v>
      </c>
      <c r="X68" s="163">
        <f t="shared" si="70"/>
        <v>0</v>
      </c>
      <c r="Y68" s="163">
        <f t="shared" si="70"/>
        <v>0</v>
      </c>
      <c r="Z68" s="163">
        <f t="shared" si="70"/>
        <v>0</v>
      </c>
      <c r="AA68" s="163">
        <f t="shared" si="70"/>
        <v>0</v>
      </c>
      <c r="AB68" s="163">
        <f t="shared" si="70"/>
        <v>0</v>
      </c>
      <c r="AC68" s="163">
        <f t="shared" si="70"/>
        <v>0</v>
      </c>
      <c r="AD68" s="163">
        <f t="shared" si="70"/>
        <v>0</v>
      </c>
      <c r="AE68" s="163">
        <f t="shared" si="70"/>
        <v>0</v>
      </c>
      <c r="AF68" s="163">
        <f t="shared" si="70"/>
        <v>0</v>
      </c>
      <c r="AG68" s="163">
        <f t="shared" si="70"/>
        <v>0</v>
      </c>
      <c r="AH68" s="229">
        <f>SUM(C68:AG68)</f>
        <v>0</v>
      </c>
      <c r="AI68" s="229"/>
      <c r="AJ68" s="174" t="s">
        <v>69</v>
      </c>
      <c r="AK68" s="133"/>
      <c r="AL68" s="133"/>
    </row>
    <row r="69" spans="1:77" ht="19.5" hidden="1" customHeight="1" x14ac:dyDescent="0.25">
      <c r="A69" s="164" t="s">
        <v>73</v>
      </c>
      <c r="B69" s="165" t="s">
        <v>29</v>
      </c>
      <c r="C69" s="141">
        <f t="shared" ref="C69:AG69" si="71">IF(C11=$R32,$S32*24,IF(C11=$R33,$S33*24,IF(C11=$R34,$S34*24,IF(C11=$R35,$S35*24,IF(C11=$R36,$S36*24,IF(C11=$R37,$S37*24,IF(C11=$R38,$S38*24,IF(C11=$R39,$S39*24,IF(C11=$R40,$S40*24,"")))))))))</f>
        <v>18</v>
      </c>
      <c r="D69" s="141" t="str">
        <f t="shared" si="71"/>
        <v/>
      </c>
      <c r="E69" s="141" t="str">
        <f t="shared" si="71"/>
        <v/>
      </c>
      <c r="F69" s="141" t="str">
        <f t="shared" si="71"/>
        <v/>
      </c>
      <c r="G69" s="141" t="str">
        <f t="shared" si="71"/>
        <v/>
      </c>
      <c r="H69" s="141" t="str">
        <f t="shared" si="71"/>
        <v/>
      </c>
      <c r="I69" s="141">
        <f t="shared" si="71"/>
        <v>7</v>
      </c>
      <c r="J69" s="141">
        <f t="shared" si="71"/>
        <v>7</v>
      </c>
      <c r="K69" s="141">
        <f t="shared" si="71"/>
        <v>7</v>
      </c>
      <c r="L69" s="141">
        <f t="shared" si="71"/>
        <v>7</v>
      </c>
      <c r="M69" s="141">
        <f t="shared" si="71"/>
        <v>7</v>
      </c>
      <c r="N69" s="141">
        <f t="shared" si="71"/>
        <v>7</v>
      </c>
      <c r="O69" s="141">
        <f t="shared" si="71"/>
        <v>7</v>
      </c>
      <c r="P69" s="141" t="str">
        <f t="shared" si="71"/>
        <v/>
      </c>
      <c r="Q69" s="141" t="str">
        <f t="shared" si="71"/>
        <v/>
      </c>
      <c r="R69" s="141">
        <f t="shared" si="71"/>
        <v>7</v>
      </c>
      <c r="S69" s="141">
        <f t="shared" si="71"/>
        <v>7</v>
      </c>
      <c r="T69" s="141">
        <f t="shared" si="71"/>
        <v>7</v>
      </c>
      <c r="U69" s="141" t="str">
        <f t="shared" si="71"/>
        <v/>
      </c>
      <c r="V69" s="141" t="str">
        <f t="shared" si="71"/>
        <v/>
      </c>
      <c r="W69" s="141">
        <f t="shared" si="71"/>
        <v>7</v>
      </c>
      <c r="X69" s="141">
        <f t="shared" si="71"/>
        <v>7</v>
      </c>
      <c r="Y69" s="141" t="str">
        <f t="shared" si="71"/>
        <v/>
      </c>
      <c r="Z69" s="141" t="str">
        <f t="shared" si="71"/>
        <v/>
      </c>
      <c r="AA69" s="141" t="str">
        <f t="shared" si="71"/>
        <v/>
      </c>
      <c r="AB69" s="141">
        <f t="shared" si="71"/>
        <v>7</v>
      </c>
      <c r="AC69" s="141">
        <f t="shared" si="71"/>
        <v>7</v>
      </c>
      <c r="AD69" s="141" t="str">
        <f t="shared" si="71"/>
        <v/>
      </c>
      <c r="AE69" s="141" t="str">
        <f t="shared" si="71"/>
        <v/>
      </c>
      <c r="AF69" s="141">
        <f t="shared" si="71"/>
        <v>7</v>
      </c>
      <c r="AG69" s="141">
        <f t="shared" si="71"/>
        <v>7</v>
      </c>
      <c r="AH69" s="154" t="s">
        <v>12</v>
      </c>
      <c r="AI69" s="133"/>
      <c r="AJ69" s="170"/>
      <c r="AK69" s="133"/>
      <c r="AL69" s="133"/>
    </row>
    <row r="70" spans="1:77" ht="19.5" hidden="1" customHeight="1" x14ac:dyDescent="0.25">
      <c r="A70" s="166" t="s">
        <v>74</v>
      </c>
      <c r="B70" s="167" t="s">
        <v>30</v>
      </c>
      <c r="C70" s="141">
        <f t="shared" ref="C70:AG70" si="72">IF(C11=$R32,$V32*24,IF(C11=$R33,$V33*24,IF(C11=$R34,$V34*24,IF(C11=$R35,$V35*24,IF(C11=$R36,$V36*24,IF(C11=$R37,$V37*24,IF(C11=$R38,$V38*24,IF(C11=$R39,$V39*24,IF(C11=$R40,$V40*24,"")))))))))</f>
        <v>6</v>
      </c>
      <c r="D70" s="141" t="str">
        <f t="shared" si="72"/>
        <v/>
      </c>
      <c r="E70" s="141" t="str">
        <f t="shared" si="72"/>
        <v/>
      </c>
      <c r="F70" s="141" t="str">
        <f t="shared" si="72"/>
        <v/>
      </c>
      <c r="G70" s="141" t="str">
        <f t="shared" si="72"/>
        <v/>
      </c>
      <c r="H70" s="141" t="str">
        <f t="shared" si="72"/>
        <v/>
      </c>
      <c r="I70" s="141">
        <f t="shared" si="72"/>
        <v>19</v>
      </c>
      <c r="J70" s="141">
        <f t="shared" si="72"/>
        <v>19</v>
      </c>
      <c r="K70" s="141">
        <f t="shared" si="72"/>
        <v>19</v>
      </c>
      <c r="L70" s="141">
        <f t="shared" si="72"/>
        <v>19</v>
      </c>
      <c r="M70" s="141">
        <f t="shared" si="72"/>
        <v>19</v>
      </c>
      <c r="N70" s="141">
        <f t="shared" si="72"/>
        <v>19</v>
      </c>
      <c r="O70" s="141">
        <f t="shared" si="72"/>
        <v>19</v>
      </c>
      <c r="P70" s="141" t="str">
        <f t="shared" si="72"/>
        <v/>
      </c>
      <c r="Q70" s="141" t="str">
        <f t="shared" si="72"/>
        <v/>
      </c>
      <c r="R70" s="141">
        <f t="shared" si="72"/>
        <v>19</v>
      </c>
      <c r="S70" s="141">
        <f t="shared" si="72"/>
        <v>19</v>
      </c>
      <c r="T70" s="141">
        <f t="shared" si="72"/>
        <v>19</v>
      </c>
      <c r="U70" s="141" t="str">
        <f t="shared" si="72"/>
        <v/>
      </c>
      <c r="V70" s="141" t="str">
        <f t="shared" si="72"/>
        <v/>
      </c>
      <c r="W70" s="141">
        <f t="shared" si="72"/>
        <v>19</v>
      </c>
      <c r="X70" s="141">
        <f t="shared" si="72"/>
        <v>19</v>
      </c>
      <c r="Y70" s="141" t="str">
        <f t="shared" si="72"/>
        <v/>
      </c>
      <c r="Z70" s="141" t="str">
        <f t="shared" si="72"/>
        <v/>
      </c>
      <c r="AA70" s="141" t="str">
        <f t="shared" si="72"/>
        <v/>
      </c>
      <c r="AB70" s="141">
        <f t="shared" si="72"/>
        <v>19</v>
      </c>
      <c r="AC70" s="141">
        <f t="shared" si="72"/>
        <v>19</v>
      </c>
      <c r="AD70" s="141" t="str">
        <f t="shared" si="72"/>
        <v/>
      </c>
      <c r="AE70" s="141" t="str">
        <f t="shared" si="72"/>
        <v/>
      </c>
      <c r="AF70" s="141">
        <f t="shared" si="72"/>
        <v>19</v>
      </c>
      <c r="AG70" s="141">
        <f t="shared" si="72"/>
        <v>19</v>
      </c>
      <c r="AH70" s="154" t="s">
        <v>12</v>
      </c>
      <c r="AI70" s="133"/>
      <c r="AJ70" s="170"/>
      <c r="AK70" s="133"/>
      <c r="AL70" s="133"/>
    </row>
    <row r="71" spans="1:77" ht="19.5" hidden="1" customHeight="1" x14ac:dyDescent="0.25">
      <c r="A71" s="153"/>
      <c r="B71" s="168" t="s">
        <v>34</v>
      </c>
      <c r="C71" s="169">
        <f t="shared" ref="C71:X71" si="73">IF(C11=$R32,$BD32*24,IF(C11=$R33,$BD33*24,IF(C11=$R34,$BD34*24,IF(C11=$R35,$BD35*24,IF(C11=$R36,$BD36*24,IF(C11=$R37,$BD37*24,IF(C11=$R38,$BD38*24,IF(C11=$R39,$BD39*24,IF(C11=$R40,$BD40*24,"")))))))))</f>
        <v>8</v>
      </c>
      <c r="D71" s="169" t="str">
        <f t="shared" si="73"/>
        <v/>
      </c>
      <c r="E71" s="169" t="str">
        <f t="shared" si="73"/>
        <v/>
      </c>
      <c r="F71" s="169" t="str">
        <f t="shared" si="73"/>
        <v/>
      </c>
      <c r="G71" s="169" t="str">
        <f t="shared" si="73"/>
        <v/>
      </c>
      <c r="H71" s="169" t="str">
        <f t="shared" si="73"/>
        <v/>
      </c>
      <c r="I71" s="169">
        <f t="shared" si="73"/>
        <v>0</v>
      </c>
      <c r="J71" s="169">
        <f t="shared" si="73"/>
        <v>0</v>
      </c>
      <c r="K71" s="169">
        <f t="shared" si="73"/>
        <v>0</v>
      </c>
      <c r="L71" s="169">
        <f t="shared" si="73"/>
        <v>0</v>
      </c>
      <c r="M71" s="169">
        <f t="shared" si="73"/>
        <v>0</v>
      </c>
      <c r="N71" s="169">
        <f t="shared" si="73"/>
        <v>0</v>
      </c>
      <c r="O71" s="169">
        <f t="shared" si="73"/>
        <v>0</v>
      </c>
      <c r="P71" s="169" t="str">
        <f t="shared" si="73"/>
        <v/>
      </c>
      <c r="Q71" s="169" t="str">
        <f t="shared" si="73"/>
        <v/>
      </c>
      <c r="R71" s="169">
        <f t="shared" si="73"/>
        <v>0</v>
      </c>
      <c r="S71" s="169">
        <f t="shared" si="73"/>
        <v>0</v>
      </c>
      <c r="T71" s="169">
        <f t="shared" si="73"/>
        <v>0</v>
      </c>
      <c r="U71" s="169" t="str">
        <f t="shared" si="73"/>
        <v/>
      </c>
      <c r="V71" s="169" t="str">
        <f t="shared" si="73"/>
        <v/>
      </c>
      <c r="W71" s="169">
        <f t="shared" si="73"/>
        <v>0</v>
      </c>
      <c r="X71" s="169">
        <f t="shared" si="73"/>
        <v>0</v>
      </c>
      <c r="Y71" s="169" t="str">
        <f t="shared" ref="Y71:AD71" si="74">IF(Y11=$R32,$BD32*24,IF(Y11=$R33,$BD33*24,IF(Y11=$R34,$BD34*24,IF(Y11=$R35,$BD35*24,IF(Y11=$R36,$BD36*24,IF(Y11=$R37,$BD37*24,IF(Y11=$R38,$BD38*24,IF(Y11=$R39,$BD39*24,IF(Y11=$R40,$BD40*24,"")))))))))</f>
        <v/>
      </c>
      <c r="Z71" s="169" t="str">
        <f t="shared" si="74"/>
        <v/>
      </c>
      <c r="AA71" s="169" t="str">
        <f t="shared" si="74"/>
        <v/>
      </c>
      <c r="AB71" s="169">
        <f t="shared" si="74"/>
        <v>0</v>
      </c>
      <c r="AC71" s="169">
        <f t="shared" si="74"/>
        <v>0</v>
      </c>
      <c r="AD71" s="169" t="str">
        <f t="shared" si="74"/>
        <v/>
      </c>
      <c r="AE71" s="169" t="str">
        <f>IF(AE11=$R32,$BD32*24,IF(AE11=$R33,$BD33*24,IF(AE11=$R34,$BD34*24,IF(AE11=$R35,$BD35*24,IF(AE11=$R36,$BD36*24,IF(AE11=$R37,$BD37*24,IF(AE11=$R38,$BD38*24,IF(AE11=$R39,$BD39*24,IF(AE11=$R40,$BD40*24,"")))))))))</f>
        <v/>
      </c>
      <c r="AF71" s="169">
        <f>IF(AF11=$R32,$BD32*24,IF(AF11=$R33,$BD33*24,IF(AF11=$R34,$BD34*24,IF(AF11=$R35,$BD35*24,IF(AF11=$R36,$BD36*24,IF(AF11=$R37,$BD37*24,IF(AF11=$R38,$BD38*24,IF(AF11=$R39,$BD39*24,IF(AF11=$R40,$BD40*24,"")))))))))</f>
        <v>0</v>
      </c>
      <c r="AG71" s="169">
        <f>IF(AG11=$R32,$BD32*24,IF(AG11=$R33,$BD33*24,IF(AG11=$R34,$BD34*24,IF(AG11=$R35,$BD35*24,IF(AG11=$R36,$BD36*24,IF(AG11=$R37,$BD37*24,IF(AG11=$R38,$BD38*24,IF(AG11=$R39,$BD39*24,IF(AG11=$R40,$BD40*24,"")))))))))</f>
        <v>0</v>
      </c>
      <c r="AH71" s="148">
        <f>SUM(C71:AG71)</f>
        <v>8</v>
      </c>
      <c r="AI71" s="133"/>
      <c r="AJ71" s="170"/>
      <c r="AK71" s="133"/>
      <c r="AL71" s="133"/>
    </row>
    <row r="72" spans="1:77" ht="19.5" hidden="1" customHeight="1" x14ac:dyDescent="0.25">
      <c r="A72" s="153"/>
      <c r="B72" s="167" t="s">
        <v>59</v>
      </c>
      <c r="C72" s="141">
        <f t="shared" ref="C72:AG72" si="75">IF(C11="V",$C36,IF(C11="PR",$C38,0))</f>
        <v>0</v>
      </c>
      <c r="D72" s="141">
        <f t="shared" si="75"/>
        <v>0</v>
      </c>
      <c r="E72" s="141">
        <f t="shared" si="75"/>
        <v>0</v>
      </c>
      <c r="F72" s="141">
        <f t="shared" si="75"/>
        <v>0</v>
      </c>
      <c r="G72" s="141">
        <f t="shared" si="75"/>
        <v>0</v>
      </c>
      <c r="H72" s="141">
        <f t="shared" si="75"/>
        <v>0</v>
      </c>
      <c r="I72" s="141">
        <f t="shared" si="75"/>
        <v>0</v>
      </c>
      <c r="J72" s="141">
        <f t="shared" si="75"/>
        <v>0</v>
      </c>
      <c r="K72" s="141">
        <f t="shared" si="75"/>
        <v>0</v>
      </c>
      <c r="L72" s="141">
        <f t="shared" si="75"/>
        <v>0</v>
      </c>
      <c r="M72" s="141">
        <f t="shared" si="75"/>
        <v>0</v>
      </c>
      <c r="N72" s="141">
        <f t="shared" si="75"/>
        <v>0</v>
      </c>
      <c r="O72" s="141">
        <f t="shared" si="75"/>
        <v>0</v>
      </c>
      <c r="P72" s="141">
        <f t="shared" si="75"/>
        <v>0</v>
      </c>
      <c r="Q72" s="141">
        <f t="shared" si="75"/>
        <v>0</v>
      </c>
      <c r="R72" s="141">
        <f t="shared" si="75"/>
        <v>0</v>
      </c>
      <c r="S72" s="141">
        <f t="shared" si="75"/>
        <v>0</v>
      </c>
      <c r="T72" s="141">
        <f t="shared" si="75"/>
        <v>0</v>
      </c>
      <c r="U72" s="141">
        <f t="shared" si="75"/>
        <v>0</v>
      </c>
      <c r="V72" s="141">
        <f t="shared" si="75"/>
        <v>0</v>
      </c>
      <c r="W72" s="141">
        <f t="shared" si="75"/>
        <v>0</v>
      </c>
      <c r="X72" s="141">
        <f t="shared" si="75"/>
        <v>0</v>
      </c>
      <c r="Y72" s="141">
        <f t="shared" si="75"/>
        <v>0</v>
      </c>
      <c r="Z72" s="141">
        <f t="shared" si="75"/>
        <v>0</v>
      </c>
      <c r="AA72" s="141">
        <f t="shared" si="75"/>
        <v>0</v>
      </c>
      <c r="AB72" s="141">
        <f t="shared" si="75"/>
        <v>0</v>
      </c>
      <c r="AC72" s="141">
        <f t="shared" si="75"/>
        <v>0</v>
      </c>
      <c r="AD72" s="141">
        <f t="shared" si="75"/>
        <v>0</v>
      </c>
      <c r="AE72" s="141">
        <f t="shared" si="75"/>
        <v>0</v>
      </c>
      <c r="AF72" s="141">
        <f t="shared" si="75"/>
        <v>0</v>
      </c>
      <c r="AG72" s="141">
        <f t="shared" si="75"/>
        <v>0</v>
      </c>
      <c r="AH72" s="226">
        <f>SUM(C72:AG72)</f>
        <v>0</v>
      </c>
      <c r="AI72" s="226"/>
      <c r="AJ72" s="170" t="s">
        <v>12</v>
      </c>
      <c r="AK72" s="133"/>
      <c r="AL72" s="133"/>
    </row>
    <row r="73" spans="1:77" ht="19.5" hidden="1" customHeight="1" x14ac:dyDescent="0.25">
      <c r="A73" s="150" t="s">
        <v>60</v>
      </c>
      <c r="B73" s="167" t="s">
        <v>61</v>
      </c>
      <c r="C73" s="151">
        <f t="shared" ref="C73:X73" si="76">IF(C11=$R32,$BC32,IF(C11=$R33,$BC33,IF(C11=$R34,$BC34,IF(C11=$R35,$BC35,IF(C11=$R36,$BC36,IF(C11=$R37,$BC37,IF(C11=$R38,$BC38,IF(C11=$R39,$BC39,IF(C11=$R40,$BC40,0)))))))))</f>
        <v>12</v>
      </c>
      <c r="D73" s="151">
        <f t="shared" si="76"/>
        <v>0</v>
      </c>
      <c r="E73" s="151">
        <f t="shared" si="76"/>
        <v>0</v>
      </c>
      <c r="F73" s="151">
        <f t="shared" si="76"/>
        <v>0</v>
      </c>
      <c r="G73" s="151">
        <f t="shared" si="76"/>
        <v>0</v>
      </c>
      <c r="H73" s="151">
        <f t="shared" si="76"/>
        <v>0</v>
      </c>
      <c r="I73" s="151">
        <f t="shared" si="76"/>
        <v>11.999999999999998</v>
      </c>
      <c r="J73" s="151">
        <f t="shared" si="76"/>
        <v>11.999999999999998</v>
      </c>
      <c r="K73" s="151">
        <f t="shared" si="76"/>
        <v>11.999999999999998</v>
      </c>
      <c r="L73" s="151">
        <f t="shared" si="76"/>
        <v>11.999999999999998</v>
      </c>
      <c r="M73" s="151">
        <f t="shared" si="76"/>
        <v>11.999999999999998</v>
      </c>
      <c r="N73" s="151">
        <f t="shared" si="76"/>
        <v>11.999999999999998</v>
      </c>
      <c r="O73" s="151">
        <f t="shared" si="76"/>
        <v>11.999999999999998</v>
      </c>
      <c r="P73" s="151">
        <f t="shared" si="76"/>
        <v>0</v>
      </c>
      <c r="Q73" s="151">
        <f t="shared" si="76"/>
        <v>0</v>
      </c>
      <c r="R73" s="151">
        <f t="shared" si="76"/>
        <v>11.999999999999998</v>
      </c>
      <c r="S73" s="151">
        <f t="shared" si="76"/>
        <v>11.999999999999998</v>
      </c>
      <c r="T73" s="151">
        <f t="shared" si="76"/>
        <v>11.999999999999998</v>
      </c>
      <c r="U73" s="151">
        <f t="shared" si="76"/>
        <v>0</v>
      </c>
      <c r="V73" s="151">
        <f t="shared" si="76"/>
        <v>0</v>
      </c>
      <c r="W73" s="151">
        <f t="shared" si="76"/>
        <v>11.999999999999998</v>
      </c>
      <c r="X73" s="151">
        <f t="shared" si="76"/>
        <v>11.999999999999998</v>
      </c>
      <c r="Y73" s="151">
        <f t="shared" ref="Y73:AD73" si="77">IF(Y11=$R32,$BC32,IF(Y11=$R33,$BC33,IF(Y11=$R34,$BC34,IF(Y11=$R35,$BC35,IF(Y11=$R36,$BC36,IF(Y11=$R37,$BC37,IF(Y11=$R38,$BC38,IF(Y11=$R39,$BC39,IF(Y11=$R40,$BC40,0)))))))))</f>
        <v>0</v>
      </c>
      <c r="Z73" s="151">
        <f t="shared" si="77"/>
        <v>0</v>
      </c>
      <c r="AA73" s="151">
        <f t="shared" si="77"/>
        <v>0</v>
      </c>
      <c r="AB73" s="151">
        <f t="shared" si="77"/>
        <v>11.999999999999998</v>
      </c>
      <c r="AC73" s="151">
        <f t="shared" si="77"/>
        <v>11.999999999999998</v>
      </c>
      <c r="AD73" s="151">
        <f t="shared" si="77"/>
        <v>0</v>
      </c>
      <c r="AE73" s="151">
        <f>IF(AE11=$R32,$BC32,IF(AE11=$R33,$BC33,IF(AE11=$R34,$BC34,IF(AE11=$R35,$BC35,IF(AE11=$R36,$BC36,IF(AE11=$R37,$BC37,IF(AE11=$R38,$BC38,IF(AE11=$R39,$BC39,IF(AE11=$R40,$BC40,0)))))))))</f>
        <v>0</v>
      </c>
      <c r="AF73" s="151">
        <f>IF(AF11=$R32,$BC32,IF(AF11=$R33,$BC33,IF(AF11=$R34,$BC34,IF(AF11=$R35,$BC35,IF(AF11=$R36,$BC36,IF(AF11=$R37,$BC37,IF(AF11=$R38,$BC38,IF(AF11=$R39,$BC39,IF(AF11=$R40,$BC40,0)))))))))</f>
        <v>11.999999999999998</v>
      </c>
      <c r="AG73" s="151">
        <f>IF(AG11=$R32,$BC32,IF(AG11=$R33,$BC33,IF(AG11=$R34,$BC34,IF(AG11=$R35,$BC35,IF(AG11=$R36,$BC36,IF(AG11=$R37,$BC37,IF(AG11=$R38,$BC38,IF(AG11=$R39,$BC39,IF(AG11=$R40,$BC40,0)))))))))</f>
        <v>11.999999999999998</v>
      </c>
      <c r="AH73" s="226">
        <f>SUM(C73:AG73)</f>
        <v>204</v>
      </c>
      <c r="AI73" s="226"/>
      <c r="AJ73" s="175" t="s">
        <v>62</v>
      </c>
      <c r="AK73" s="133" t="s">
        <v>12</v>
      </c>
      <c r="AL73" s="133"/>
    </row>
    <row r="74" spans="1:77" ht="19.5" hidden="1" customHeight="1" x14ac:dyDescent="0.25">
      <c r="A74" s="153" t="s">
        <v>48</v>
      </c>
      <c r="B74" s="149" t="s">
        <v>63</v>
      </c>
      <c r="C74" s="141" t="b">
        <f t="shared" ref="C74:AG74" si="78">IF(C46=1,IF(C69&lt;C70,C73,0))</f>
        <v>0</v>
      </c>
      <c r="D74" s="141" t="b">
        <f t="shared" si="78"/>
        <v>0</v>
      </c>
      <c r="E74" s="141">
        <f t="shared" si="78"/>
        <v>0</v>
      </c>
      <c r="F74" s="141">
        <f t="shared" si="78"/>
        <v>0</v>
      </c>
      <c r="G74" s="141" t="b">
        <f t="shared" si="78"/>
        <v>0</v>
      </c>
      <c r="H74" s="141" t="b">
        <f t="shared" si="78"/>
        <v>0</v>
      </c>
      <c r="I74" s="141" t="b">
        <f t="shared" si="78"/>
        <v>0</v>
      </c>
      <c r="J74" s="141" t="b">
        <f t="shared" si="78"/>
        <v>0</v>
      </c>
      <c r="K74" s="141" t="b">
        <f t="shared" si="78"/>
        <v>0</v>
      </c>
      <c r="L74" s="141">
        <f t="shared" si="78"/>
        <v>11.999999999999998</v>
      </c>
      <c r="M74" s="141">
        <f t="shared" si="78"/>
        <v>11.999999999999998</v>
      </c>
      <c r="N74" s="141" t="b">
        <f t="shared" si="78"/>
        <v>0</v>
      </c>
      <c r="O74" s="141" t="b">
        <f t="shared" si="78"/>
        <v>0</v>
      </c>
      <c r="P74" s="141" t="b">
        <f t="shared" si="78"/>
        <v>0</v>
      </c>
      <c r="Q74" s="141" t="b">
        <f t="shared" si="78"/>
        <v>0</v>
      </c>
      <c r="R74" s="141" t="b">
        <f t="shared" si="78"/>
        <v>0</v>
      </c>
      <c r="S74" s="141">
        <f t="shared" si="78"/>
        <v>11.999999999999998</v>
      </c>
      <c r="T74" s="141">
        <f t="shared" si="78"/>
        <v>11.999999999999998</v>
      </c>
      <c r="U74" s="141" t="b">
        <f t="shared" si="78"/>
        <v>0</v>
      </c>
      <c r="V74" s="141" t="b">
        <f t="shared" si="78"/>
        <v>0</v>
      </c>
      <c r="W74" s="141" t="b">
        <f t="shared" si="78"/>
        <v>0</v>
      </c>
      <c r="X74" s="141" t="b">
        <f t="shared" si="78"/>
        <v>0</v>
      </c>
      <c r="Y74" s="141" t="b">
        <f t="shared" si="78"/>
        <v>0</v>
      </c>
      <c r="Z74" s="141">
        <f t="shared" si="78"/>
        <v>0</v>
      </c>
      <c r="AA74" s="141">
        <f t="shared" si="78"/>
        <v>0</v>
      </c>
      <c r="AB74" s="141" t="b">
        <f t="shared" si="78"/>
        <v>0</v>
      </c>
      <c r="AC74" s="141" t="b">
        <f t="shared" si="78"/>
        <v>0</v>
      </c>
      <c r="AD74" s="141" t="b">
        <f t="shared" si="78"/>
        <v>0</v>
      </c>
      <c r="AE74" s="141" t="b">
        <f t="shared" si="78"/>
        <v>0</v>
      </c>
      <c r="AF74" s="141" t="b">
        <f t="shared" si="78"/>
        <v>0</v>
      </c>
      <c r="AG74" s="141">
        <f t="shared" si="78"/>
        <v>11.999999999999998</v>
      </c>
      <c r="AH74" s="154" t="s">
        <v>12</v>
      </c>
      <c r="AI74" s="133"/>
      <c r="AJ74" s="170"/>
      <c r="AK74" s="133"/>
      <c r="AL74" s="133"/>
    </row>
    <row r="75" spans="1:77" ht="19.5" hidden="1" customHeight="1" x14ac:dyDescent="0.25">
      <c r="A75" s="176"/>
      <c r="B75" s="149" t="s">
        <v>64</v>
      </c>
      <c r="C75" s="141">
        <f t="shared" ref="C75:AG75" si="79">IF(C46=1,IF(C69&gt;C70,24-C69,0),0)</f>
        <v>0</v>
      </c>
      <c r="D75" s="141">
        <f t="shared" si="79"/>
        <v>0</v>
      </c>
      <c r="E75" s="141">
        <f t="shared" si="79"/>
        <v>0</v>
      </c>
      <c r="F75" s="141">
        <f t="shared" si="79"/>
        <v>0</v>
      </c>
      <c r="G75" s="141">
        <f t="shared" si="79"/>
        <v>0</v>
      </c>
      <c r="H75" s="141">
        <f t="shared" si="79"/>
        <v>0</v>
      </c>
      <c r="I75" s="141">
        <f t="shared" si="79"/>
        <v>0</v>
      </c>
      <c r="J75" s="141">
        <f t="shared" si="79"/>
        <v>0</v>
      </c>
      <c r="K75" s="141">
        <f t="shared" si="79"/>
        <v>0</v>
      </c>
      <c r="L75" s="141">
        <f t="shared" si="79"/>
        <v>0</v>
      </c>
      <c r="M75" s="141">
        <f t="shared" si="79"/>
        <v>0</v>
      </c>
      <c r="N75" s="141">
        <f t="shared" si="79"/>
        <v>0</v>
      </c>
      <c r="O75" s="141">
        <f t="shared" si="79"/>
        <v>0</v>
      </c>
      <c r="P75" s="141">
        <f t="shared" si="79"/>
        <v>0</v>
      </c>
      <c r="Q75" s="141">
        <f t="shared" si="79"/>
        <v>0</v>
      </c>
      <c r="R75" s="141">
        <f t="shared" si="79"/>
        <v>0</v>
      </c>
      <c r="S75" s="141">
        <f t="shared" si="79"/>
        <v>0</v>
      </c>
      <c r="T75" s="141">
        <f t="shared" si="79"/>
        <v>0</v>
      </c>
      <c r="U75" s="141">
        <f t="shared" si="79"/>
        <v>0</v>
      </c>
      <c r="V75" s="141">
        <f t="shared" si="79"/>
        <v>0</v>
      </c>
      <c r="W75" s="141">
        <f t="shared" si="79"/>
        <v>0</v>
      </c>
      <c r="X75" s="141">
        <f t="shared" si="79"/>
        <v>0</v>
      </c>
      <c r="Y75" s="141">
        <f t="shared" si="79"/>
        <v>0</v>
      </c>
      <c r="Z75" s="141">
        <f t="shared" si="79"/>
        <v>0</v>
      </c>
      <c r="AA75" s="141">
        <f t="shared" si="79"/>
        <v>0</v>
      </c>
      <c r="AB75" s="141">
        <f t="shared" si="79"/>
        <v>0</v>
      </c>
      <c r="AC75" s="141">
        <f t="shared" si="79"/>
        <v>0</v>
      </c>
      <c r="AD75" s="141">
        <f t="shared" si="79"/>
        <v>0</v>
      </c>
      <c r="AE75" s="141">
        <f t="shared" si="79"/>
        <v>0</v>
      </c>
      <c r="AF75" s="141">
        <f t="shared" si="79"/>
        <v>0</v>
      </c>
      <c r="AG75" s="141">
        <f t="shared" si="79"/>
        <v>0</v>
      </c>
      <c r="AH75" s="154" t="s">
        <v>12</v>
      </c>
      <c r="AI75" s="133"/>
      <c r="AJ75" s="170"/>
      <c r="AK75" s="133"/>
      <c r="AL75" s="133"/>
    </row>
    <row r="76" spans="1:77" ht="19.5" hidden="1" customHeight="1" x14ac:dyDescent="0.25">
      <c r="A76" s="176"/>
      <c r="B76" s="149" t="s">
        <v>65</v>
      </c>
      <c r="C76" s="141">
        <f t="shared" ref="C76:AG76" si="80">IF(D46=1,IF(C69&gt;C70,C70,0),0)</f>
        <v>0</v>
      </c>
      <c r="D76" s="141">
        <f t="shared" si="80"/>
        <v>0</v>
      </c>
      <c r="E76" s="141">
        <f t="shared" si="80"/>
        <v>0</v>
      </c>
      <c r="F76" s="141">
        <f t="shared" si="80"/>
        <v>0</v>
      </c>
      <c r="G76" s="141">
        <f t="shared" si="80"/>
        <v>0</v>
      </c>
      <c r="H76" s="141">
        <f t="shared" si="80"/>
        <v>0</v>
      </c>
      <c r="I76" s="141">
        <f t="shared" si="80"/>
        <v>0</v>
      </c>
      <c r="J76" s="141">
        <f t="shared" si="80"/>
        <v>0</v>
      </c>
      <c r="K76" s="141">
        <f t="shared" si="80"/>
        <v>0</v>
      </c>
      <c r="L76" s="141">
        <f t="shared" si="80"/>
        <v>0</v>
      </c>
      <c r="M76" s="141">
        <f t="shared" si="80"/>
        <v>0</v>
      </c>
      <c r="N76" s="141">
        <f t="shared" si="80"/>
        <v>0</v>
      </c>
      <c r="O76" s="141">
        <f t="shared" si="80"/>
        <v>0</v>
      </c>
      <c r="P76" s="141">
        <f t="shared" si="80"/>
        <v>0</v>
      </c>
      <c r="Q76" s="141">
        <f t="shared" si="80"/>
        <v>0</v>
      </c>
      <c r="R76" s="141">
        <f t="shared" si="80"/>
        <v>0</v>
      </c>
      <c r="S76" s="141">
        <f t="shared" si="80"/>
        <v>0</v>
      </c>
      <c r="T76" s="141">
        <f t="shared" si="80"/>
        <v>0</v>
      </c>
      <c r="U76" s="141">
        <f t="shared" si="80"/>
        <v>0</v>
      </c>
      <c r="V76" s="141">
        <f t="shared" si="80"/>
        <v>0</v>
      </c>
      <c r="W76" s="141">
        <f t="shared" si="80"/>
        <v>0</v>
      </c>
      <c r="X76" s="141">
        <f>IF(Y46=1,IF(X69&gt;X70,X70,0),0)</f>
        <v>0</v>
      </c>
      <c r="Y76" s="141">
        <f t="shared" si="80"/>
        <v>0</v>
      </c>
      <c r="Z76" s="141">
        <f t="shared" si="80"/>
        <v>0</v>
      </c>
      <c r="AA76" s="141">
        <f t="shared" si="80"/>
        <v>0</v>
      </c>
      <c r="AB76" s="141">
        <f t="shared" si="80"/>
        <v>0</v>
      </c>
      <c r="AC76" s="141">
        <f t="shared" si="80"/>
        <v>0</v>
      </c>
      <c r="AD76" s="141">
        <f t="shared" si="80"/>
        <v>0</v>
      </c>
      <c r="AE76" s="141">
        <f t="shared" si="80"/>
        <v>0</v>
      </c>
      <c r="AF76" s="141">
        <f t="shared" si="80"/>
        <v>0</v>
      </c>
      <c r="AG76" s="141">
        <f t="shared" si="80"/>
        <v>0</v>
      </c>
      <c r="AH76" s="154" t="s">
        <v>12</v>
      </c>
      <c r="AI76" s="133"/>
      <c r="AJ76" s="170"/>
      <c r="AK76" s="133"/>
      <c r="AL76" s="133"/>
    </row>
    <row r="77" spans="1:77" ht="19.5" hidden="1" customHeight="1" x14ac:dyDescent="0.25">
      <c r="A77" s="176"/>
      <c r="B77" s="149" t="s">
        <v>67</v>
      </c>
      <c r="C77" s="171">
        <f t="shared" ref="C77:AG77" si="81">SUM(C74:C76)</f>
        <v>0</v>
      </c>
      <c r="D77" s="171">
        <f t="shared" si="81"/>
        <v>0</v>
      </c>
      <c r="E77" s="171">
        <f t="shared" si="81"/>
        <v>0</v>
      </c>
      <c r="F77" s="171">
        <f t="shared" si="81"/>
        <v>0</v>
      </c>
      <c r="G77" s="171">
        <f t="shared" si="81"/>
        <v>0</v>
      </c>
      <c r="H77" s="171">
        <f t="shared" si="81"/>
        <v>0</v>
      </c>
      <c r="I77" s="171">
        <f t="shared" si="81"/>
        <v>0</v>
      </c>
      <c r="J77" s="171">
        <f t="shared" si="81"/>
        <v>0</v>
      </c>
      <c r="K77" s="171">
        <f t="shared" si="81"/>
        <v>0</v>
      </c>
      <c r="L77" s="171">
        <f t="shared" si="81"/>
        <v>11.999999999999998</v>
      </c>
      <c r="M77" s="171">
        <f t="shared" si="81"/>
        <v>11.999999999999998</v>
      </c>
      <c r="N77" s="171">
        <f t="shared" si="81"/>
        <v>0</v>
      </c>
      <c r="O77" s="171">
        <f t="shared" si="81"/>
        <v>0</v>
      </c>
      <c r="P77" s="171">
        <f t="shared" si="81"/>
        <v>0</v>
      </c>
      <c r="Q77" s="171">
        <f t="shared" si="81"/>
        <v>0</v>
      </c>
      <c r="R77" s="171">
        <f t="shared" si="81"/>
        <v>0</v>
      </c>
      <c r="S77" s="171">
        <f t="shared" si="81"/>
        <v>11.999999999999998</v>
      </c>
      <c r="T77" s="171">
        <f t="shared" si="81"/>
        <v>11.999999999999998</v>
      </c>
      <c r="U77" s="171">
        <f t="shared" si="81"/>
        <v>0</v>
      </c>
      <c r="V77" s="171">
        <f t="shared" si="81"/>
        <v>0</v>
      </c>
      <c r="W77" s="171">
        <f t="shared" si="81"/>
        <v>0</v>
      </c>
      <c r="X77" s="171">
        <f t="shared" si="81"/>
        <v>0</v>
      </c>
      <c r="Y77" s="171">
        <f t="shared" si="81"/>
        <v>0</v>
      </c>
      <c r="Z77" s="171">
        <f t="shared" si="81"/>
        <v>0</v>
      </c>
      <c r="AA77" s="171">
        <f t="shared" si="81"/>
        <v>0</v>
      </c>
      <c r="AB77" s="171">
        <f t="shared" si="81"/>
        <v>0</v>
      </c>
      <c r="AC77" s="171">
        <f t="shared" si="81"/>
        <v>0</v>
      </c>
      <c r="AD77" s="171">
        <f t="shared" si="81"/>
        <v>0</v>
      </c>
      <c r="AE77" s="171">
        <f t="shared" si="81"/>
        <v>0</v>
      </c>
      <c r="AF77" s="171">
        <f t="shared" si="81"/>
        <v>0</v>
      </c>
      <c r="AG77" s="171">
        <f t="shared" si="81"/>
        <v>11.999999999999998</v>
      </c>
      <c r="AH77" s="154" t="s">
        <v>12</v>
      </c>
      <c r="AI77" s="133"/>
      <c r="AJ77" s="170"/>
      <c r="AK77" s="133"/>
      <c r="AL77" s="133"/>
    </row>
    <row r="78" spans="1:77" ht="19.5" hidden="1" customHeight="1" x14ac:dyDescent="0.25">
      <c r="A78" s="177"/>
      <c r="B78" s="160" t="s">
        <v>68</v>
      </c>
      <c r="C78" s="161">
        <f t="shared" ref="C78:AG78" si="82">IF(C11="V",IF(C11="",0,1),0)</f>
        <v>0</v>
      </c>
      <c r="D78" s="161">
        <f t="shared" si="82"/>
        <v>0</v>
      </c>
      <c r="E78" s="161">
        <f t="shared" si="82"/>
        <v>0</v>
      </c>
      <c r="F78" s="161">
        <f t="shared" si="82"/>
        <v>0</v>
      </c>
      <c r="G78" s="161">
        <f t="shared" si="82"/>
        <v>0</v>
      </c>
      <c r="H78" s="161">
        <f t="shared" si="82"/>
        <v>0</v>
      </c>
      <c r="I78" s="161">
        <f t="shared" si="82"/>
        <v>0</v>
      </c>
      <c r="J78" s="161">
        <f t="shared" si="82"/>
        <v>0</v>
      </c>
      <c r="K78" s="161">
        <f t="shared" si="82"/>
        <v>0</v>
      </c>
      <c r="L78" s="161">
        <f t="shared" si="82"/>
        <v>0</v>
      </c>
      <c r="M78" s="161">
        <f t="shared" si="82"/>
        <v>0</v>
      </c>
      <c r="N78" s="161">
        <f t="shared" si="82"/>
        <v>0</v>
      </c>
      <c r="O78" s="161">
        <f t="shared" si="82"/>
        <v>0</v>
      </c>
      <c r="P78" s="161">
        <f t="shared" si="82"/>
        <v>0</v>
      </c>
      <c r="Q78" s="161">
        <f t="shared" si="82"/>
        <v>0</v>
      </c>
      <c r="R78" s="161">
        <f t="shared" si="82"/>
        <v>0</v>
      </c>
      <c r="S78" s="161">
        <f t="shared" si="82"/>
        <v>0</v>
      </c>
      <c r="T78" s="161">
        <f t="shared" si="82"/>
        <v>0</v>
      </c>
      <c r="U78" s="161">
        <f t="shared" si="82"/>
        <v>0</v>
      </c>
      <c r="V78" s="161">
        <f t="shared" si="82"/>
        <v>0</v>
      </c>
      <c r="W78" s="161">
        <f t="shared" si="82"/>
        <v>0</v>
      </c>
      <c r="X78" s="161">
        <f t="shared" si="82"/>
        <v>0</v>
      </c>
      <c r="Y78" s="161">
        <f t="shared" si="82"/>
        <v>0</v>
      </c>
      <c r="Z78" s="161">
        <f t="shared" si="82"/>
        <v>0</v>
      </c>
      <c r="AA78" s="161">
        <f t="shared" si="82"/>
        <v>0</v>
      </c>
      <c r="AB78" s="161">
        <f t="shared" si="82"/>
        <v>0</v>
      </c>
      <c r="AC78" s="161">
        <f t="shared" si="82"/>
        <v>0</v>
      </c>
      <c r="AD78" s="161">
        <f t="shared" si="82"/>
        <v>0</v>
      </c>
      <c r="AE78" s="161">
        <f t="shared" si="82"/>
        <v>0</v>
      </c>
      <c r="AF78" s="161">
        <f t="shared" si="82"/>
        <v>0</v>
      </c>
      <c r="AG78" s="161">
        <f t="shared" si="82"/>
        <v>0</v>
      </c>
      <c r="AH78" s="154" t="s">
        <v>12</v>
      </c>
      <c r="AI78" s="133"/>
      <c r="AJ78" s="170"/>
      <c r="AK78" s="133"/>
      <c r="AL78" s="133"/>
    </row>
    <row r="79" spans="1:77" ht="19.5" hidden="1" customHeight="1" x14ac:dyDescent="0.25">
      <c r="A79" s="173"/>
      <c r="B79" s="130" t="s">
        <v>16</v>
      </c>
      <c r="C79" s="163">
        <f t="shared" ref="C79:AG79" si="83">IF(C11="PR",IF(C11="",0,1),0)</f>
        <v>0</v>
      </c>
      <c r="D79" s="163">
        <f t="shared" si="83"/>
        <v>0</v>
      </c>
      <c r="E79" s="163">
        <f t="shared" si="83"/>
        <v>0</v>
      </c>
      <c r="F79" s="163">
        <f t="shared" si="83"/>
        <v>0</v>
      </c>
      <c r="G79" s="163">
        <f t="shared" si="83"/>
        <v>0</v>
      </c>
      <c r="H79" s="163">
        <f t="shared" si="83"/>
        <v>0</v>
      </c>
      <c r="I79" s="163">
        <f t="shared" si="83"/>
        <v>0</v>
      </c>
      <c r="J79" s="163">
        <f t="shared" si="83"/>
        <v>0</v>
      </c>
      <c r="K79" s="163">
        <f t="shared" si="83"/>
        <v>0</v>
      </c>
      <c r="L79" s="163">
        <f t="shared" si="83"/>
        <v>0</v>
      </c>
      <c r="M79" s="163">
        <f t="shared" si="83"/>
        <v>0</v>
      </c>
      <c r="N79" s="163">
        <f t="shared" si="83"/>
        <v>0</v>
      </c>
      <c r="O79" s="163">
        <f t="shared" si="83"/>
        <v>0</v>
      </c>
      <c r="P79" s="163">
        <f t="shared" si="83"/>
        <v>0</v>
      </c>
      <c r="Q79" s="163">
        <f t="shared" si="83"/>
        <v>0</v>
      </c>
      <c r="R79" s="163">
        <f t="shared" si="83"/>
        <v>0</v>
      </c>
      <c r="S79" s="163">
        <f t="shared" si="83"/>
        <v>0</v>
      </c>
      <c r="T79" s="163">
        <f t="shared" si="83"/>
        <v>0</v>
      </c>
      <c r="U79" s="163">
        <f t="shared" si="83"/>
        <v>0</v>
      </c>
      <c r="V79" s="163">
        <f t="shared" si="83"/>
        <v>0</v>
      </c>
      <c r="W79" s="163">
        <f t="shared" si="83"/>
        <v>0</v>
      </c>
      <c r="X79" s="163">
        <f t="shared" si="83"/>
        <v>0</v>
      </c>
      <c r="Y79" s="163">
        <f t="shared" si="83"/>
        <v>0</v>
      </c>
      <c r="Z79" s="163">
        <f t="shared" si="83"/>
        <v>0</v>
      </c>
      <c r="AA79" s="163">
        <f t="shared" si="83"/>
        <v>0</v>
      </c>
      <c r="AB79" s="163">
        <f t="shared" si="83"/>
        <v>0</v>
      </c>
      <c r="AC79" s="163">
        <f t="shared" si="83"/>
        <v>0</v>
      </c>
      <c r="AD79" s="163">
        <f t="shared" si="83"/>
        <v>0</v>
      </c>
      <c r="AE79" s="163">
        <f t="shared" si="83"/>
        <v>0</v>
      </c>
      <c r="AF79" s="163">
        <f t="shared" si="83"/>
        <v>0</v>
      </c>
      <c r="AG79" s="163">
        <f t="shared" si="83"/>
        <v>0</v>
      </c>
      <c r="AH79" s="229">
        <f>SUM(C79:AG79)</f>
        <v>0</v>
      </c>
      <c r="AI79" s="229"/>
      <c r="AJ79" s="174" t="s">
        <v>69</v>
      </c>
      <c r="AK79" s="133"/>
      <c r="AL79" s="133"/>
    </row>
    <row r="80" spans="1:77" ht="19.5" hidden="1" customHeight="1" x14ac:dyDescent="0.25">
      <c r="A80" s="164" t="s">
        <v>75</v>
      </c>
      <c r="B80" s="165" t="s">
        <v>29</v>
      </c>
      <c r="C80" s="141" t="str">
        <f t="shared" ref="C80:AG80" si="84">IF(C12=$R32,$S32*24,IF(C12=$R33,$S33*24,IF(C12=$R34,$S34*24,IF(C12=$R35,$S35*24,IF(C12=$R36,$S36*24,IF(C12=$R37,$S37*24,IF(C12=$R38,$S38*24,IF(C12=$R39,$S39*24,IF(C12=$R40,$S40*24,"")))))))))</f>
        <v/>
      </c>
      <c r="D80" s="141">
        <f t="shared" si="84"/>
        <v>7</v>
      </c>
      <c r="E80" s="141">
        <f t="shared" si="84"/>
        <v>7</v>
      </c>
      <c r="F80" s="141">
        <f t="shared" si="84"/>
        <v>7</v>
      </c>
      <c r="G80" s="141">
        <f t="shared" si="84"/>
        <v>7</v>
      </c>
      <c r="H80" s="141">
        <f t="shared" si="84"/>
        <v>7</v>
      </c>
      <c r="I80" s="141">
        <f t="shared" si="84"/>
        <v>6</v>
      </c>
      <c r="J80" s="141">
        <f t="shared" si="84"/>
        <v>6</v>
      </c>
      <c r="K80" s="141" t="str">
        <f t="shared" si="84"/>
        <v/>
      </c>
      <c r="L80" s="141" t="str">
        <f t="shared" si="84"/>
        <v/>
      </c>
      <c r="M80" s="141" t="str">
        <f t="shared" si="84"/>
        <v/>
      </c>
      <c r="N80" s="141" t="str">
        <f t="shared" si="84"/>
        <v/>
      </c>
      <c r="O80" s="141" t="str">
        <f t="shared" si="84"/>
        <v/>
      </c>
      <c r="P80" s="141">
        <f t="shared" si="84"/>
        <v>7</v>
      </c>
      <c r="Q80" s="141">
        <f t="shared" si="84"/>
        <v>7</v>
      </c>
      <c r="R80" s="141" t="str">
        <f t="shared" si="84"/>
        <v/>
      </c>
      <c r="S80" s="141" t="str">
        <f t="shared" si="84"/>
        <v/>
      </c>
      <c r="T80" s="141" t="str">
        <f t="shared" si="84"/>
        <v/>
      </c>
      <c r="U80" s="141">
        <f t="shared" si="84"/>
        <v>7</v>
      </c>
      <c r="V80" s="141">
        <f t="shared" si="84"/>
        <v>7</v>
      </c>
      <c r="W80" s="141" t="str">
        <f t="shared" si="84"/>
        <v/>
      </c>
      <c r="X80" s="141" t="str">
        <f t="shared" si="84"/>
        <v/>
      </c>
      <c r="Y80" s="141">
        <f t="shared" si="84"/>
        <v>7</v>
      </c>
      <c r="Z80" s="141">
        <f t="shared" si="84"/>
        <v>7</v>
      </c>
      <c r="AA80" s="141">
        <f t="shared" si="84"/>
        <v>7</v>
      </c>
      <c r="AB80" s="141" t="str">
        <f t="shared" si="84"/>
        <v/>
      </c>
      <c r="AC80" s="141" t="str">
        <f t="shared" si="84"/>
        <v/>
      </c>
      <c r="AD80" s="141">
        <f t="shared" si="84"/>
        <v>7</v>
      </c>
      <c r="AE80" s="141">
        <f t="shared" si="84"/>
        <v>7</v>
      </c>
      <c r="AF80" s="141" t="str">
        <f t="shared" si="84"/>
        <v/>
      </c>
      <c r="AG80" s="141" t="str">
        <f t="shared" si="84"/>
        <v/>
      </c>
      <c r="AH80" s="154" t="s">
        <v>12</v>
      </c>
      <c r="AI80" s="133"/>
      <c r="AJ80" s="170"/>
      <c r="AK80" s="133"/>
      <c r="AL80" s="133"/>
    </row>
    <row r="81" spans="1:38" ht="19.5" hidden="1" customHeight="1" x14ac:dyDescent="0.25">
      <c r="A81" s="166" t="s">
        <v>76</v>
      </c>
      <c r="B81" s="167" t="s">
        <v>30</v>
      </c>
      <c r="C81" s="141" t="str">
        <f t="shared" ref="C81:AG81" si="85">IF(C12=$R32,$V32*24,IF(C12=$R33,$V33*24,IF(C12=$R34,$V34*24,IF(C12=$R35,$V35*24,IF(C12=$R36,$V36*24,IF(C12=$R37,$V37*24,IF(C12=$R38,$V38*24,IF(C12=$R39,$V39*24,IF(C12=$R40,$V40*24,"")))))))))</f>
        <v/>
      </c>
      <c r="D81" s="141">
        <f t="shared" si="85"/>
        <v>19</v>
      </c>
      <c r="E81" s="141">
        <f t="shared" si="85"/>
        <v>19</v>
      </c>
      <c r="F81" s="141">
        <f t="shared" si="85"/>
        <v>19</v>
      </c>
      <c r="G81" s="141">
        <f t="shared" si="85"/>
        <v>19</v>
      </c>
      <c r="H81" s="141">
        <f t="shared" si="85"/>
        <v>19</v>
      </c>
      <c r="I81" s="141">
        <f t="shared" si="85"/>
        <v>18</v>
      </c>
      <c r="J81" s="141">
        <f t="shared" si="85"/>
        <v>18</v>
      </c>
      <c r="K81" s="141" t="str">
        <f t="shared" si="85"/>
        <v/>
      </c>
      <c r="L81" s="141" t="str">
        <f t="shared" si="85"/>
        <v/>
      </c>
      <c r="M81" s="141" t="str">
        <f t="shared" si="85"/>
        <v/>
      </c>
      <c r="N81" s="141" t="str">
        <f t="shared" si="85"/>
        <v/>
      </c>
      <c r="O81" s="141" t="str">
        <f t="shared" si="85"/>
        <v/>
      </c>
      <c r="P81" s="141">
        <f t="shared" si="85"/>
        <v>19</v>
      </c>
      <c r="Q81" s="141">
        <f t="shared" si="85"/>
        <v>19</v>
      </c>
      <c r="R81" s="141" t="str">
        <f t="shared" si="85"/>
        <v/>
      </c>
      <c r="S81" s="141" t="str">
        <f t="shared" si="85"/>
        <v/>
      </c>
      <c r="T81" s="141" t="str">
        <f t="shared" si="85"/>
        <v/>
      </c>
      <c r="U81" s="141">
        <f t="shared" si="85"/>
        <v>19</v>
      </c>
      <c r="V81" s="141">
        <f t="shared" si="85"/>
        <v>19</v>
      </c>
      <c r="W81" s="141" t="str">
        <f t="shared" si="85"/>
        <v/>
      </c>
      <c r="X81" s="141" t="str">
        <f t="shared" si="85"/>
        <v/>
      </c>
      <c r="Y81" s="141">
        <f t="shared" si="85"/>
        <v>19</v>
      </c>
      <c r="Z81" s="141">
        <f t="shared" si="85"/>
        <v>19</v>
      </c>
      <c r="AA81" s="141">
        <f t="shared" si="85"/>
        <v>19</v>
      </c>
      <c r="AB81" s="141" t="str">
        <f t="shared" si="85"/>
        <v/>
      </c>
      <c r="AC81" s="141" t="str">
        <f t="shared" si="85"/>
        <v/>
      </c>
      <c r="AD81" s="141">
        <f t="shared" si="85"/>
        <v>19</v>
      </c>
      <c r="AE81" s="141">
        <f t="shared" si="85"/>
        <v>19</v>
      </c>
      <c r="AF81" s="141" t="str">
        <f t="shared" si="85"/>
        <v/>
      </c>
      <c r="AG81" s="141" t="str">
        <f t="shared" si="85"/>
        <v/>
      </c>
      <c r="AH81" s="154" t="s">
        <v>12</v>
      </c>
      <c r="AI81" s="133"/>
      <c r="AJ81" s="170"/>
      <c r="AK81" s="133"/>
      <c r="AL81" s="133"/>
    </row>
    <row r="82" spans="1:38" ht="19.5" hidden="1" customHeight="1" x14ac:dyDescent="0.25">
      <c r="A82" s="153"/>
      <c r="B82" s="168" t="s">
        <v>34</v>
      </c>
      <c r="C82" s="169" t="str">
        <f t="shared" ref="C82:X82" si="86">IF(C12=$R32,$BD32*24,IF(C12=$R33,$BD33*24,IF(C12=$R34,$BD34*24,IF(C12=$R35,$BD35*24,IF(C12=$R36,$BD36*24,IF(C12=$R37,$BD37*24,IF(C12=$R38,$BD38*24,IF(C12=$R39,$BD39*24,IF(C12=$R40,$BD40*24,"")))))))))</f>
        <v/>
      </c>
      <c r="D82" s="169">
        <f t="shared" si="86"/>
        <v>0</v>
      </c>
      <c r="E82" s="169">
        <f t="shared" si="86"/>
        <v>0</v>
      </c>
      <c r="F82" s="169">
        <f t="shared" si="86"/>
        <v>0</v>
      </c>
      <c r="G82" s="169">
        <f t="shared" si="86"/>
        <v>0</v>
      </c>
      <c r="H82" s="169">
        <f t="shared" si="86"/>
        <v>0</v>
      </c>
      <c r="I82" s="169">
        <f t="shared" si="86"/>
        <v>0</v>
      </c>
      <c r="J82" s="169">
        <f t="shared" si="86"/>
        <v>0</v>
      </c>
      <c r="K82" s="169" t="str">
        <f t="shared" si="86"/>
        <v/>
      </c>
      <c r="L82" s="169" t="str">
        <f t="shared" si="86"/>
        <v/>
      </c>
      <c r="M82" s="169" t="str">
        <f t="shared" si="86"/>
        <v/>
      </c>
      <c r="N82" s="169" t="str">
        <f t="shared" si="86"/>
        <v/>
      </c>
      <c r="O82" s="169" t="str">
        <f t="shared" si="86"/>
        <v/>
      </c>
      <c r="P82" s="169">
        <f t="shared" si="86"/>
        <v>0</v>
      </c>
      <c r="Q82" s="169">
        <f t="shared" si="86"/>
        <v>0</v>
      </c>
      <c r="R82" s="169" t="str">
        <f t="shared" si="86"/>
        <v/>
      </c>
      <c r="S82" s="169" t="str">
        <f t="shared" si="86"/>
        <v/>
      </c>
      <c r="T82" s="169" t="str">
        <f t="shared" si="86"/>
        <v/>
      </c>
      <c r="U82" s="169">
        <f t="shared" si="86"/>
        <v>0</v>
      </c>
      <c r="V82" s="169">
        <f t="shared" si="86"/>
        <v>0</v>
      </c>
      <c r="W82" s="169" t="str">
        <f t="shared" si="86"/>
        <v/>
      </c>
      <c r="X82" s="169" t="str">
        <f t="shared" si="86"/>
        <v/>
      </c>
      <c r="Y82" s="169">
        <f t="shared" ref="Y82:AD82" si="87">IF(Y12=$R32,$BD32*24,IF(Y12=$R33,$BD33*24,IF(Y12=$R34,$BD34*24,IF(Y12=$R35,$BD35*24,IF(Y12=$R36,$BD36*24,IF(Y12=$R37,$BD37*24,IF(Y12=$R38,$BD38*24,IF(Y12=$R39,$BD39*24,IF(Y12=$R40,$BD40*24,"")))))))))</f>
        <v>0</v>
      </c>
      <c r="Z82" s="169">
        <f t="shared" si="87"/>
        <v>0</v>
      </c>
      <c r="AA82" s="169">
        <f t="shared" si="87"/>
        <v>0</v>
      </c>
      <c r="AB82" s="169" t="str">
        <f t="shared" si="87"/>
        <v/>
      </c>
      <c r="AC82" s="169" t="str">
        <f t="shared" si="87"/>
        <v/>
      </c>
      <c r="AD82" s="169">
        <f t="shared" si="87"/>
        <v>0</v>
      </c>
      <c r="AE82" s="169">
        <f>IF(AE12=$R32,$BD32*24,IF(AE12=$R33,$BD33*24,IF(AE12=$R34,$BD34*24,IF(AE12=$R35,$BD35*24,IF(AE12=$R36,$BD36*24,IF(AE12=$R37,$BD37*24,IF(AE12=$R38,$BD38*24,IF(AE12=$R39,$BD39*24,IF(AE12=$R40,$BD40*24,"")))))))))</f>
        <v>0</v>
      </c>
      <c r="AF82" s="169" t="str">
        <f>IF(AF12=$R32,$BD32*24,IF(AF12=$R33,$BD33*24,IF(AF12=$R34,$BD34*24,IF(AF12=$R35,$BD35*24,IF(AF12=$R36,$BD36*24,IF(AF12=$R37,$BD37*24,IF(AF12=$R38,$BD38*24,IF(AF12=$R39,$BD39*24,IF(AF12=$R40,$BD40*24,"")))))))))</f>
        <v/>
      </c>
      <c r="AG82" s="169" t="str">
        <f>IF(AG12=$R32,$BD32*24,IF(AG12=$R33,$BD33*24,IF(AG12=$R34,$BD34*24,IF(AG12=$R35,$BD35*24,IF(AG12=$R36,$BD36*24,IF(AG12=$R37,$BD37*24,IF(AG12=$R38,$BD38*24,IF(AG12=$R39,$BD39*24,IF(AG12=$R40,$BD40*24,"")))))))))</f>
        <v/>
      </c>
      <c r="AH82" s="148">
        <f>SUM(C82:AG82)</f>
        <v>0</v>
      </c>
      <c r="AI82" s="133"/>
      <c r="AJ82" s="170"/>
      <c r="AK82" s="133"/>
      <c r="AL82" s="133"/>
    </row>
    <row r="83" spans="1:38" ht="19.5" hidden="1" customHeight="1" x14ac:dyDescent="0.25">
      <c r="A83" s="153"/>
      <c r="B83" s="167" t="s">
        <v>59</v>
      </c>
      <c r="C83" s="141">
        <f t="shared" ref="C83:AG83" si="88">IF(C12="V",$C36,IF(C12="PR",$C38,0))</f>
        <v>0</v>
      </c>
      <c r="D83" s="141">
        <f t="shared" si="88"/>
        <v>0</v>
      </c>
      <c r="E83" s="141">
        <f t="shared" si="88"/>
        <v>0</v>
      </c>
      <c r="F83" s="141">
        <f t="shared" si="88"/>
        <v>0</v>
      </c>
      <c r="G83" s="141">
        <f t="shared" si="88"/>
        <v>0</v>
      </c>
      <c r="H83" s="141">
        <f t="shared" si="88"/>
        <v>0</v>
      </c>
      <c r="I83" s="141">
        <f t="shared" si="88"/>
        <v>0</v>
      </c>
      <c r="J83" s="141">
        <f t="shared" si="88"/>
        <v>0</v>
      </c>
      <c r="K83" s="141">
        <f t="shared" si="88"/>
        <v>0</v>
      </c>
      <c r="L83" s="141">
        <f t="shared" si="88"/>
        <v>0</v>
      </c>
      <c r="M83" s="141">
        <f t="shared" si="88"/>
        <v>0</v>
      </c>
      <c r="N83" s="141">
        <f t="shared" si="88"/>
        <v>0</v>
      </c>
      <c r="O83" s="141">
        <f t="shared" si="88"/>
        <v>0</v>
      </c>
      <c r="P83" s="141">
        <f t="shared" si="88"/>
        <v>0</v>
      </c>
      <c r="Q83" s="141">
        <f t="shared" si="88"/>
        <v>0</v>
      </c>
      <c r="R83" s="141">
        <f t="shared" si="88"/>
        <v>0</v>
      </c>
      <c r="S83" s="141">
        <f t="shared" si="88"/>
        <v>0</v>
      </c>
      <c r="T83" s="141">
        <f t="shared" si="88"/>
        <v>0</v>
      </c>
      <c r="U83" s="141">
        <f t="shared" si="88"/>
        <v>0</v>
      </c>
      <c r="V83" s="141">
        <f t="shared" si="88"/>
        <v>0</v>
      </c>
      <c r="W83" s="141">
        <f t="shared" si="88"/>
        <v>0</v>
      </c>
      <c r="X83" s="141">
        <f t="shared" si="88"/>
        <v>0</v>
      </c>
      <c r="Y83" s="141">
        <f t="shared" si="88"/>
        <v>0</v>
      </c>
      <c r="Z83" s="141">
        <f t="shared" si="88"/>
        <v>0</v>
      </c>
      <c r="AA83" s="141">
        <f t="shared" si="88"/>
        <v>0</v>
      </c>
      <c r="AB83" s="141">
        <f t="shared" si="88"/>
        <v>0</v>
      </c>
      <c r="AC83" s="141">
        <f t="shared" si="88"/>
        <v>0</v>
      </c>
      <c r="AD83" s="141">
        <f t="shared" si="88"/>
        <v>0</v>
      </c>
      <c r="AE83" s="141">
        <f t="shared" si="88"/>
        <v>0</v>
      </c>
      <c r="AF83" s="141">
        <f t="shared" si="88"/>
        <v>0</v>
      </c>
      <c r="AG83" s="141">
        <f t="shared" si="88"/>
        <v>0</v>
      </c>
      <c r="AH83" s="226">
        <f>SUM(C83:AG83)</f>
        <v>0</v>
      </c>
      <c r="AI83" s="226"/>
      <c r="AJ83" s="170" t="s">
        <v>12</v>
      </c>
      <c r="AK83" s="133"/>
      <c r="AL83" s="133"/>
    </row>
    <row r="84" spans="1:38" ht="19.5" hidden="1" customHeight="1" x14ac:dyDescent="0.25">
      <c r="A84" s="150" t="s">
        <v>60</v>
      </c>
      <c r="B84" s="167" t="s">
        <v>61</v>
      </c>
      <c r="C84" s="151">
        <f t="shared" ref="C84:X84" si="89">IF(C12=$R32,$BC32,IF(C12=$R33,$BC33,IF(C12=$R34,$BC34,IF(C12=$R35,$BC35,IF(C12=$R36,$BC36,IF(C12=$R37,$BC37,IF(C12=$R38,$BC38,IF(C12=$R39,$BC39,IF(C12=$R40,$BC40,0)))))))))</f>
        <v>0</v>
      </c>
      <c r="D84" s="151">
        <f t="shared" si="89"/>
        <v>11.999999999999998</v>
      </c>
      <c r="E84" s="151">
        <f t="shared" si="89"/>
        <v>11.999999999999998</v>
      </c>
      <c r="F84" s="151">
        <f t="shared" si="89"/>
        <v>11.999999999999998</v>
      </c>
      <c r="G84" s="151">
        <f t="shared" si="89"/>
        <v>11.999999999999998</v>
      </c>
      <c r="H84" s="151">
        <f t="shared" si="89"/>
        <v>11.999999999999998</v>
      </c>
      <c r="I84" s="151">
        <f t="shared" si="89"/>
        <v>12</v>
      </c>
      <c r="J84" s="151">
        <f t="shared" si="89"/>
        <v>12</v>
      </c>
      <c r="K84" s="151">
        <f t="shared" si="89"/>
        <v>0</v>
      </c>
      <c r="L84" s="151">
        <f t="shared" si="89"/>
        <v>0</v>
      </c>
      <c r="M84" s="151">
        <f t="shared" si="89"/>
        <v>0</v>
      </c>
      <c r="N84" s="151">
        <f t="shared" si="89"/>
        <v>0</v>
      </c>
      <c r="O84" s="151">
        <f t="shared" si="89"/>
        <v>0</v>
      </c>
      <c r="P84" s="151">
        <f t="shared" si="89"/>
        <v>11.999999999999998</v>
      </c>
      <c r="Q84" s="151">
        <f t="shared" si="89"/>
        <v>11.999999999999998</v>
      </c>
      <c r="R84" s="151">
        <f t="shared" si="89"/>
        <v>0</v>
      </c>
      <c r="S84" s="151">
        <f t="shared" si="89"/>
        <v>0</v>
      </c>
      <c r="T84" s="151">
        <f t="shared" si="89"/>
        <v>0</v>
      </c>
      <c r="U84" s="151">
        <f t="shared" si="89"/>
        <v>11.999999999999998</v>
      </c>
      <c r="V84" s="151">
        <f t="shared" si="89"/>
        <v>11.999999999999998</v>
      </c>
      <c r="W84" s="151">
        <f t="shared" si="89"/>
        <v>0</v>
      </c>
      <c r="X84" s="151">
        <f t="shared" si="89"/>
        <v>0</v>
      </c>
      <c r="Y84" s="151">
        <f t="shared" ref="Y84:AD84" si="90">IF(Y12=$R32,$BC32,IF(Y12=$R33,$BC33,IF(Y12=$R34,$BC34,IF(Y12=$R35,$BC35,IF(Y12=$R36,$BC36,IF(Y12=$R37,$BC37,IF(Y12=$R38,$BC38,IF(Y12=$R39,$BC39,IF(Y12=$R40,$BC40,0)))))))))</f>
        <v>11.999999999999998</v>
      </c>
      <c r="Z84" s="151">
        <f t="shared" si="90"/>
        <v>11.999999999999998</v>
      </c>
      <c r="AA84" s="151">
        <f t="shared" si="90"/>
        <v>11.999999999999998</v>
      </c>
      <c r="AB84" s="151">
        <f t="shared" si="90"/>
        <v>0</v>
      </c>
      <c r="AC84" s="151">
        <f t="shared" si="90"/>
        <v>0</v>
      </c>
      <c r="AD84" s="151">
        <f t="shared" si="90"/>
        <v>11.999999999999998</v>
      </c>
      <c r="AE84" s="151">
        <f>IF(AE12=$R32,$BC32,IF(AE12=$R33,$BC33,IF(AE12=$R34,$BC34,IF(AE12=$R35,$BC35,IF(AE12=$R36,$BC36,IF(AE12=$R37,$BC37,IF(AE12=$R38,$BC38,IF(AE12=$R39,$BC39,IF(AE12=$R40,$BC40,0)))))))))</f>
        <v>11.999999999999998</v>
      </c>
      <c r="AF84" s="151">
        <f>IF(AF12=$R32,$BC32,IF(AF12=$R33,$BC33,IF(AF12=$R34,$BC34,IF(AF12=$R35,$BC35,IF(AF12=$R36,$BC36,IF(AF12=$R37,$BC37,IF(AF12=$R38,$BC38,IF(AF12=$R39,$BC39,IF(AF12=$R40,$BC40,0)))))))))</f>
        <v>0</v>
      </c>
      <c r="AG84" s="151">
        <f>IF(AG12=$R32,$BC32,IF(AG12=$R33,$BC33,IF(AG12=$R34,$BC34,IF(AG12=$R35,$BC35,IF(AG12=$R36,$BC36,IF(AG12=$R37,$BC37,IF(AG12=$R38,$BC38,IF(AG12=$R39,$BC39,IF(AG12=$R40,$BC40,0)))))))))</f>
        <v>0</v>
      </c>
      <c r="AH84" s="226">
        <f>SUM(C84:AG84)</f>
        <v>192</v>
      </c>
      <c r="AI84" s="226"/>
      <c r="AJ84" s="175" t="s">
        <v>62</v>
      </c>
      <c r="AK84" s="133" t="s">
        <v>12</v>
      </c>
      <c r="AL84" s="133"/>
    </row>
    <row r="85" spans="1:38" ht="19.5" hidden="1" customHeight="1" x14ac:dyDescent="0.25">
      <c r="A85" s="153" t="s">
        <v>48</v>
      </c>
      <c r="B85" s="149" t="s">
        <v>63</v>
      </c>
      <c r="C85" s="141" t="b">
        <f t="shared" ref="C85:AG85" si="91">IF(C46=1,IF(C80&lt;C81,C84,0))</f>
        <v>0</v>
      </c>
      <c r="D85" s="141" t="b">
        <f t="shared" si="91"/>
        <v>0</v>
      </c>
      <c r="E85" s="141">
        <f t="shared" si="91"/>
        <v>11.999999999999998</v>
      </c>
      <c r="F85" s="141">
        <f t="shared" si="91"/>
        <v>11.999999999999998</v>
      </c>
      <c r="G85" s="141" t="b">
        <f t="shared" si="91"/>
        <v>0</v>
      </c>
      <c r="H85" s="141" t="b">
        <f t="shared" si="91"/>
        <v>0</v>
      </c>
      <c r="I85" s="141" t="b">
        <f t="shared" si="91"/>
        <v>0</v>
      </c>
      <c r="J85" s="141" t="b">
        <f t="shared" si="91"/>
        <v>0</v>
      </c>
      <c r="K85" s="141" t="b">
        <f t="shared" si="91"/>
        <v>0</v>
      </c>
      <c r="L85" s="141">
        <f t="shared" si="91"/>
        <v>0</v>
      </c>
      <c r="M85" s="141">
        <f t="shared" si="91"/>
        <v>0</v>
      </c>
      <c r="N85" s="141" t="b">
        <f t="shared" si="91"/>
        <v>0</v>
      </c>
      <c r="O85" s="141" t="b">
        <f t="shared" si="91"/>
        <v>0</v>
      </c>
      <c r="P85" s="141" t="b">
        <f t="shared" si="91"/>
        <v>0</v>
      </c>
      <c r="Q85" s="141" t="b">
        <f t="shared" si="91"/>
        <v>0</v>
      </c>
      <c r="R85" s="141" t="b">
        <f t="shared" si="91"/>
        <v>0</v>
      </c>
      <c r="S85" s="141">
        <f t="shared" si="91"/>
        <v>0</v>
      </c>
      <c r="T85" s="141">
        <f t="shared" si="91"/>
        <v>0</v>
      </c>
      <c r="U85" s="141" t="b">
        <f t="shared" si="91"/>
        <v>0</v>
      </c>
      <c r="V85" s="141" t="b">
        <f t="shared" si="91"/>
        <v>0</v>
      </c>
      <c r="W85" s="141" t="b">
        <f t="shared" si="91"/>
        <v>0</v>
      </c>
      <c r="X85" s="141" t="b">
        <f t="shared" si="91"/>
        <v>0</v>
      </c>
      <c r="Y85" s="141" t="b">
        <f t="shared" si="91"/>
        <v>0</v>
      </c>
      <c r="Z85" s="141">
        <f t="shared" si="91"/>
        <v>11.999999999999998</v>
      </c>
      <c r="AA85" s="141">
        <f t="shared" si="91"/>
        <v>11.999999999999998</v>
      </c>
      <c r="AB85" s="141" t="b">
        <f t="shared" si="91"/>
        <v>0</v>
      </c>
      <c r="AC85" s="141" t="b">
        <f t="shared" si="91"/>
        <v>0</v>
      </c>
      <c r="AD85" s="141" t="b">
        <f t="shared" si="91"/>
        <v>0</v>
      </c>
      <c r="AE85" s="141" t="b">
        <f t="shared" si="91"/>
        <v>0</v>
      </c>
      <c r="AF85" s="141" t="b">
        <f t="shared" si="91"/>
        <v>0</v>
      </c>
      <c r="AG85" s="141">
        <f t="shared" si="91"/>
        <v>0</v>
      </c>
      <c r="AH85" s="154" t="s">
        <v>12</v>
      </c>
      <c r="AI85" s="133"/>
      <c r="AJ85" s="170"/>
      <c r="AK85" s="133"/>
      <c r="AL85" s="133"/>
    </row>
    <row r="86" spans="1:38" ht="19.5" hidden="1" customHeight="1" x14ac:dyDescent="0.25">
      <c r="A86" s="176"/>
      <c r="B86" s="149" t="s">
        <v>64</v>
      </c>
      <c r="C86" s="141">
        <f t="shared" ref="C86:AG86" si="92">IF(C46=1,IF(C80&gt;C81,24-C80,0),0)</f>
        <v>0</v>
      </c>
      <c r="D86" s="141">
        <f t="shared" si="92"/>
        <v>0</v>
      </c>
      <c r="E86" s="141">
        <f t="shared" si="92"/>
        <v>0</v>
      </c>
      <c r="F86" s="141">
        <f t="shared" si="92"/>
        <v>0</v>
      </c>
      <c r="G86" s="141">
        <f t="shared" si="92"/>
        <v>0</v>
      </c>
      <c r="H86" s="141">
        <f t="shared" si="92"/>
        <v>0</v>
      </c>
      <c r="I86" s="141">
        <f t="shared" si="92"/>
        <v>0</v>
      </c>
      <c r="J86" s="141">
        <f t="shared" si="92"/>
        <v>0</v>
      </c>
      <c r="K86" s="141">
        <f t="shared" si="92"/>
        <v>0</v>
      </c>
      <c r="L86" s="141">
        <f t="shared" si="92"/>
        <v>0</v>
      </c>
      <c r="M86" s="141">
        <f t="shared" si="92"/>
        <v>0</v>
      </c>
      <c r="N86" s="141">
        <f t="shared" si="92"/>
        <v>0</v>
      </c>
      <c r="O86" s="141">
        <f t="shared" si="92"/>
        <v>0</v>
      </c>
      <c r="P86" s="141">
        <f t="shared" si="92"/>
        <v>0</v>
      </c>
      <c r="Q86" s="141">
        <f t="shared" si="92"/>
        <v>0</v>
      </c>
      <c r="R86" s="141">
        <f t="shared" si="92"/>
        <v>0</v>
      </c>
      <c r="S86" s="141">
        <f t="shared" si="92"/>
        <v>0</v>
      </c>
      <c r="T86" s="141">
        <f t="shared" si="92"/>
        <v>0</v>
      </c>
      <c r="U86" s="141">
        <f t="shared" si="92"/>
        <v>0</v>
      </c>
      <c r="V86" s="141">
        <f t="shared" si="92"/>
        <v>0</v>
      </c>
      <c r="W86" s="141">
        <f t="shared" si="92"/>
        <v>0</v>
      </c>
      <c r="X86" s="141">
        <f t="shared" si="92"/>
        <v>0</v>
      </c>
      <c r="Y86" s="141">
        <f t="shared" si="92"/>
        <v>0</v>
      </c>
      <c r="Z86" s="141">
        <f t="shared" si="92"/>
        <v>0</v>
      </c>
      <c r="AA86" s="141">
        <f t="shared" si="92"/>
        <v>0</v>
      </c>
      <c r="AB86" s="141">
        <f t="shared" si="92"/>
        <v>0</v>
      </c>
      <c r="AC86" s="141">
        <f t="shared" si="92"/>
        <v>0</v>
      </c>
      <c r="AD86" s="141">
        <f t="shared" si="92"/>
        <v>0</v>
      </c>
      <c r="AE86" s="141">
        <f t="shared" si="92"/>
        <v>0</v>
      </c>
      <c r="AF86" s="141">
        <f t="shared" si="92"/>
        <v>0</v>
      </c>
      <c r="AG86" s="141">
        <f t="shared" si="92"/>
        <v>0</v>
      </c>
      <c r="AH86" s="154" t="s">
        <v>12</v>
      </c>
      <c r="AI86" s="133"/>
      <c r="AJ86" s="170"/>
      <c r="AK86" s="133"/>
      <c r="AL86" s="133"/>
    </row>
    <row r="87" spans="1:38" ht="19.5" hidden="1" customHeight="1" x14ac:dyDescent="0.25">
      <c r="A87" s="176"/>
      <c r="B87" s="149" t="s">
        <v>65</v>
      </c>
      <c r="C87" s="141">
        <f t="shared" ref="C87:AG87" si="93">IF(D46=1,IF(C80&gt;C81,C81,0),0)</f>
        <v>0</v>
      </c>
      <c r="D87" s="141">
        <f t="shared" si="93"/>
        <v>0</v>
      </c>
      <c r="E87" s="141">
        <f t="shared" si="93"/>
        <v>0</v>
      </c>
      <c r="F87" s="141">
        <f t="shared" si="93"/>
        <v>0</v>
      </c>
      <c r="G87" s="141">
        <f t="shared" si="93"/>
        <v>0</v>
      </c>
      <c r="H87" s="141">
        <f t="shared" si="93"/>
        <v>0</v>
      </c>
      <c r="I87" s="141">
        <f t="shared" si="93"/>
        <v>0</v>
      </c>
      <c r="J87" s="141">
        <f t="shared" si="93"/>
        <v>0</v>
      </c>
      <c r="K87" s="141">
        <f t="shared" si="93"/>
        <v>0</v>
      </c>
      <c r="L87" s="141">
        <f t="shared" si="93"/>
        <v>0</v>
      </c>
      <c r="M87" s="141">
        <f t="shared" si="93"/>
        <v>0</v>
      </c>
      <c r="N87" s="141">
        <f t="shared" si="93"/>
        <v>0</v>
      </c>
      <c r="O87" s="141">
        <f t="shared" si="93"/>
        <v>0</v>
      </c>
      <c r="P87" s="141">
        <f t="shared" si="93"/>
        <v>0</v>
      </c>
      <c r="Q87" s="141">
        <f t="shared" si="93"/>
        <v>0</v>
      </c>
      <c r="R87" s="141">
        <f t="shared" si="93"/>
        <v>0</v>
      </c>
      <c r="S87" s="141">
        <f t="shared" si="93"/>
        <v>0</v>
      </c>
      <c r="T87" s="141">
        <f t="shared" si="93"/>
        <v>0</v>
      </c>
      <c r="U87" s="141">
        <f t="shared" si="93"/>
        <v>0</v>
      </c>
      <c r="V87" s="141">
        <f t="shared" si="93"/>
        <v>0</v>
      </c>
      <c r="W87" s="141">
        <f t="shared" si="93"/>
        <v>0</v>
      </c>
      <c r="X87" s="141">
        <f>IF(Y46=1,IF(X80&gt;X81,X81,0),0)</f>
        <v>0</v>
      </c>
      <c r="Y87" s="141">
        <f t="shared" si="93"/>
        <v>0</v>
      </c>
      <c r="Z87" s="141">
        <f t="shared" si="93"/>
        <v>0</v>
      </c>
      <c r="AA87" s="141">
        <f t="shared" si="93"/>
        <v>0</v>
      </c>
      <c r="AB87" s="141">
        <f t="shared" si="93"/>
        <v>0</v>
      </c>
      <c r="AC87" s="141">
        <f t="shared" si="93"/>
        <v>0</v>
      </c>
      <c r="AD87" s="141">
        <f t="shared" si="93"/>
        <v>0</v>
      </c>
      <c r="AE87" s="141">
        <f t="shared" si="93"/>
        <v>0</v>
      </c>
      <c r="AF87" s="141">
        <f t="shared" si="93"/>
        <v>0</v>
      </c>
      <c r="AG87" s="141">
        <f t="shared" si="93"/>
        <v>0</v>
      </c>
      <c r="AH87" s="154" t="s">
        <v>12</v>
      </c>
      <c r="AI87" s="133"/>
      <c r="AJ87" s="170"/>
      <c r="AK87" s="133"/>
      <c r="AL87" s="133"/>
    </row>
    <row r="88" spans="1:38" ht="19.5" hidden="1" customHeight="1" x14ac:dyDescent="0.25">
      <c r="A88" s="176"/>
      <c r="B88" s="149" t="s">
        <v>67</v>
      </c>
      <c r="C88" s="171">
        <f t="shared" ref="C88:AG88" si="94">SUM(C85:C87)</f>
        <v>0</v>
      </c>
      <c r="D88" s="171">
        <f t="shared" si="94"/>
        <v>0</v>
      </c>
      <c r="E88" s="171">
        <f t="shared" si="94"/>
        <v>11.999999999999998</v>
      </c>
      <c r="F88" s="171">
        <f t="shared" si="94"/>
        <v>11.999999999999998</v>
      </c>
      <c r="G88" s="171">
        <f t="shared" si="94"/>
        <v>0</v>
      </c>
      <c r="H88" s="171">
        <f t="shared" si="94"/>
        <v>0</v>
      </c>
      <c r="I88" s="171">
        <f t="shared" si="94"/>
        <v>0</v>
      </c>
      <c r="J88" s="171">
        <f t="shared" si="94"/>
        <v>0</v>
      </c>
      <c r="K88" s="171">
        <f t="shared" si="94"/>
        <v>0</v>
      </c>
      <c r="L88" s="171">
        <f t="shared" si="94"/>
        <v>0</v>
      </c>
      <c r="M88" s="171">
        <f t="shared" si="94"/>
        <v>0</v>
      </c>
      <c r="N88" s="171">
        <f t="shared" si="94"/>
        <v>0</v>
      </c>
      <c r="O88" s="171">
        <f t="shared" si="94"/>
        <v>0</v>
      </c>
      <c r="P88" s="171">
        <f t="shared" si="94"/>
        <v>0</v>
      </c>
      <c r="Q88" s="171">
        <f t="shared" si="94"/>
        <v>0</v>
      </c>
      <c r="R88" s="171">
        <f t="shared" si="94"/>
        <v>0</v>
      </c>
      <c r="S88" s="171">
        <f t="shared" si="94"/>
        <v>0</v>
      </c>
      <c r="T88" s="171">
        <f t="shared" si="94"/>
        <v>0</v>
      </c>
      <c r="U88" s="171">
        <f t="shared" si="94"/>
        <v>0</v>
      </c>
      <c r="V88" s="171">
        <f t="shared" si="94"/>
        <v>0</v>
      </c>
      <c r="W88" s="171">
        <f t="shared" si="94"/>
        <v>0</v>
      </c>
      <c r="X88" s="171">
        <f t="shared" si="94"/>
        <v>0</v>
      </c>
      <c r="Y88" s="171">
        <f t="shared" si="94"/>
        <v>0</v>
      </c>
      <c r="Z88" s="171">
        <f t="shared" si="94"/>
        <v>11.999999999999998</v>
      </c>
      <c r="AA88" s="171">
        <f t="shared" si="94"/>
        <v>11.999999999999998</v>
      </c>
      <c r="AB88" s="171">
        <f t="shared" si="94"/>
        <v>0</v>
      </c>
      <c r="AC88" s="171">
        <f t="shared" si="94"/>
        <v>0</v>
      </c>
      <c r="AD88" s="171">
        <f t="shared" si="94"/>
        <v>0</v>
      </c>
      <c r="AE88" s="171">
        <f t="shared" si="94"/>
        <v>0</v>
      </c>
      <c r="AF88" s="171">
        <f t="shared" si="94"/>
        <v>0</v>
      </c>
      <c r="AG88" s="171">
        <f t="shared" si="94"/>
        <v>0</v>
      </c>
      <c r="AH88" s="154" t="s">
        <v>12</v>
      </c>
      <c r="AI88" s="133"/>
      <c r="AJ88" s="170"/>
      <c r="AK88" s="133"/>
      <c r="AL88" s="133"/>
    </row>
    <row r="89" spans="1:38" ht="19.5" hidden="1" customHeight="1" x14ac:dyDescent="0.25">
      <c r="A89" s="177"/>
      <c r="B89" s="160" t="s">
        <v>68</v>
      </c>
      <c r="C89" s="161">
        <f t="shared" ref="C89:AG89" si="95">IF(C12="V",IF(C12="",0,1),0)</f>
        <v>0</v>
      </c>
      <c r="D89" s="161">
        <f t="shared" si="95"/>
        <v>0</v>
      </c>
      <c r="E89" s="161">
        <f t="shared" si="95"/>
        <v>0</v>
      </c>
      <c r="F89" s="161">
        <f t="shared" si="95"/>
        <v>0</v>
      </c>
      <c r="G89" s="161">
        <f t="shared" si="95"/>
        <v>0</v>
      </c>
      <c r="H89" s="161">
        <f t="shared" si="95"/>
        <v>0</v>
      </c>
      <c r="I89" s="161">
        <f t="shared" si="95"/>
        <v>0</v>
      </c>
      <c r="J89" s="161">
        <f t="shared" si="95"/>
        <v>0</v>
      </c>
      <c r="K89" s="161">
        <f t="shared" si="95"/>
        <v>0</v>
      </c>
      <c r="L89" s="161">
        <f t="shared" si="95"/>
        <v>0</v>
      </c>
      <c r="M89" s="161">
        <f t="shared" si="95"/>
        <v>0</v>
      </c>
      <c r="N89" s="161">
        <f t="shared" si="95"/>
        <v>0</v>
      </c>
      <c r="O89" s="161">
        <f t="shared" si="95"/>
        <v>0</v>
      </c>
      <c r="P89" s="161">
        <f t="shared" si="95"/>
        <v>0</v>
      </c>
      <c r="Q89" s="161">
        <f t="shared" si="95"/>
        <v>0</v>
      </c>
      <c r="R89" s="161">
        <f t="shared" si="95"/>
        <v>0</v>
      </c>
      <c r="S89" s="161">
        <f t="shared" si="95"/>
        <v>0</v>
      </c>
      <c r="T89" s="161">
        <f t="shared" si="95"/>
        <v>0</v>
      </c>
      <c r="U89" s="161">
        <f t="shared" si="95"/>
        <v>0</v>
      </c>
      <c r="V89" s="161">
        <f t="shared" si="95"/>
        <v>0</v>
      </c>
      <c r="W89" s="161">
        <f t="shared" si="95"/>
        <v>0</v>
      </c>
      <c r="X89" s="161">
        <f t="shared" si="95"/>
        <v>0</v>
      </c>
      <c r="Y89" s="161">
        <f t="shared" si="95"/>
        <v>0</v>
      </c>
      <c r="Z89" s="161">
        <f t="shared" si="95"/>
        <v>0</v>
      </c>
      <c r="AA89" s="161">
        <f t="shared" si="95"/>
        <v>0</v>
      </c>
      <c r="AB89" s="161">
        <f t="shared" si="95"/>
        <v>0</v>
      </c>
      <c r="AC89" s="161">
        <f t="shared" si="95"/>
        <v>0</v>
      </c>
      <c r="AD89" s="161">
        <f t="shared" si="95"/>
        <v>0</v>
      </c>
      <c r="AE89" s="161">
        <f t="shared" si="95"/>
        <v>0</v>
      </c>
      <c r="AF89" s="161">
        <f t="shared" si="95"/>
        <v>0</v>
      </c>
      <c r="AG89" s="161">
        <f t="shared" si="95"/>
        <v>0</v>
      </c>
      <c r="AH89" s="154"/>
      <c r="AI89" s="133"/>
      <c r="AJ89" s="170"/>
      <c r="AK89" s="133"/>
      <c r="AL89" s="133"/>
    </row>
    <row r="90" spans="1:38" ht="19.5" hidden="1" customHeight="1" x14ac:dyDescent="0.25">
      <c r="A90" s="173"/>
      <c r="B90" s="130" t="s">
        <v>16</v>
      </c>
      <c r="C90" s="163">
        <f t="shared" ref="C90:AG90" si="96">IF(C12="PR",IF(C12="",0,1),0)</f>
        <v>0</v>
      </c>
      <c r="D90" s="163">
        <f t="shared" si="96"/>
        <v>0</v>
      </c>
      <c r="E90" s="163">
        <f t="shared" si="96"/>
        <v>0</v>
      </c>
      <c r="F90" s="163">
        <f t="shared" si="96"/>
        <v>0</v>
      </c>
      <c r="G90" s="163">
        <f t="shared" si="96"/>
        <v>0</v>
      </c>
      <c r="H90" s="163">
        <f t="shared" si="96"/>
        <v>0</v>
      </c>
      <c r="I90" s="163">
        <f t="shared" si="96"/>
        <v>0</v>
      </c>
      <c r="J90" s="163">
        <f t="shared" si="96"/>
        <v>0</v>
      </c>
      <c r="K90" s="163">
        <f t="shared" si="96"/>
        <v>0</v>
      </c>
      <c r="L90" s="163">
        <f t="shared" si="96"/>
        <v>0</v>
      </c>
      <c r="M90" s="163">
        <f t="shared" si="96"/>
        <v>0</v>
      </c>
      <c r="N90" s="163">
        <f t="shared" si="96"/>
        <v>0</v>
      </c>
      <c r="O90" s="163">
        <f t="shared" si="96"/>
        <v>0</v>
      </c>
      <c r="P90" s="163">
        <f t="shared" si="96"/>
        <v>0</v>
      </c>
      <c r="Q90" s="163">
        <f t="shared" si="96"/>
        <v>0</v>
      </c>
      <c r="R90" s="163">
        <f t="shared" si="96"/>
        <v>0</v>
      </c>
      <c r="S90" s="163">
        <f t="shared" si="96"/>
        <v>0</v>
      </c>
      <c r="T90" s="163">
        <f t="shared" si="96"/>
        <v>0</v>
      </c>
      <c r="U90" s="163">
        <f t="shared" si="96"/>
        <v>0</v>
      </c>
      <c r="V90" s="163">
        <f t="shared" si="96"/>
        <v>0</v>
      </c>
      <c r="W90" s="163">
        <f t="shared" si="96"/>
        <v>0</v>
      </c>
      <c r="X90" s="163">
        <f t="shared" si="96"/>
        <v>0</v>
      </c>
      <c r="Y90" s="163">
        <f t="shared" si="96"/>
        <v>0</v>
      </c>
      <c r="Z90" s="163">
        <f t="shared" si="96"/>
        <v>0</v>
      </c>
      <c r="AA90" s="163">
        <f t="shared" si="96"/>
        <v>0</v>
      </c>
      <c r="AB90" s="163">
        <f t="shared" si="96"/>
        <v>0</v>
      </c>
      <c r="AC90" s="163">
        <f t="shared" si="96"/>
        <v>0</v>
      </c>
      <c r="AD90" s="163">
        <f t="shared" si="96"/>
        <v>0</v>
      </c>
      <c r="AE90" s="163">
        <f t="shared" si="96"/>
        <v>0</v>
      </c>
      <c r="AF90" s="163">
        <f t="shared" si="96"/>
        <v>0</v>
      </c>
      <c r="AG90" s="163">
        <f t="shared" si="96"/>
        <v>0</v>
      </c>
      <c r="AH90" s="229">
        <f>SUM(C90:AG90)</f>
        <v>0</v>
      </c>
      <c r="AI90" s="229"/>
      <c r="AJ90" s="174" t="s">
        <v>69</v>
      </c>
      <c r="AK90" s="133"/>
      <c r="AL90" s="133"/>
    </row>
    <row r="91" spans="1:38" ht="19.5" hidden="1" customHeight="1" x14ac:dyDescent="0.25">
      <c r="A91" s="164" t="s">
        <v>77</v>
      </c>
      <c r="B91" s="165" t="s">
        <v>29</v>
      </c>
      <c r="C91" s="141">
        <f t="shared" ref="C91:AG91" si="97">IF(C13=$R32,$S32*24,IF(C13=$R33,$S33*24,IF(C13=$R34,$S34*24,IF(C13=$R35,$S35*24,IF(C13=$R36,$S36*24,IF(C13=$R37,$S37*24,IF(C13=$R38,$S38*24,IF(C13=$R39,$S39*24,IF(C13=$R40,$S40*24,"")))))))))</f>
        <v>7</v>
      </c>
      <c r="D91" s="141">
        <f t="shared" si="97"/>
        <v>6</v>
      </c>
      <c r="E91" s="141">
        <f t="shared" si="97"/>
        <v>6</v>
      </c>
      <c r="F91" s="141">
        <f t="shared" si="97"/>
        <v>6</v>
      </c>
      <c r="G91" s="141">
        <f t="shared" si="97"/>
        <v>19</v>
      </c>
      <c r="H91" s="141">
        <f t="shared" si="97"/>
        <v>19</v>
      </c>
      <c r="I91" s="141" t="str">
        <f t="shared" si="97"/>
        <v/>
      </c>
      <c r="J91" s="141" t="str">
        <f t="shared" si="97"/>
        <v/>
      </c>
      <c r="K91" s="141" t="str">
        <f t="shared" si="97"/>
        <v/>
      </c>
      <c r="L91" s="141" t="str">
        <f t="shared" si="97"/>
        <v/>
      </c>
      <c r="M91" s="141" t="str">
        <f t="shared" si="97"/>
        <v/>
      </c>
      <c r="N91" s="141" t="str">
        <f t="shared" si="97"/>
        <v/>
      </c>
      <c r="O91" s="141" t="str">
        <f t="shared" si="97"/>
        <v/>
      </c>
      <c r="P91" s="141" t="str">
        <f t="shared" si="97"/>
        <v/>
      </c>
      <c r="Q91" s="141" t="str">
        <f t="shared" si="97"/>
        <v/>
      </c>
      <c r="R91" s="141" t="str">
        <f>IF(R13=$R32,$S32*24,IF(R13=$R33,$S33*24,IF(R13=$R34,$S34*24,IF(R13=$R35,$S35*24,IF(R13=$R36,$S36*24,IF(R13=$R37,$S37*24,IF(R13=$R38,$S38*24,IF(R13=$R39,$S39*24,IF(R13=$R40,$S40*24,"")))))))))</f>
        <v/>
      </c>
      <c r="S91" s="141" t="str">
        <f t="shared" si="97"/>
        <v/>
      </c>
      <c r="T91" s="141" t="str">
        <f t="shared" si="97"/>
        <v/>
      </c>
      <c r="U91" s="141" t="str">
        <f t="shared" si="97"/>
        <v/>
      </c>
      <c r="V91" s="141" t="str">
        <f t="shared" si="97"/>
        <v/>
      </c>
      <c r="W91" s="141">
        <f t="shared" si="97"/>
        <v>6</v>
      </c>
      <c r="X91" s="141">
        <f t="shared" si="97"/>
        <v>6</v>
      </c>
      <c r="Y91" s="141">
        <f t="shared" si="97"/>
        <v>6</v>
      </c>
      <c r="Z91" s="141">
        <f t="shared" si="97"/>
        <v>6</v>
      </c>
      <c r="AA91" s="141">
        <f t="shared" si="97"/>
        <v>6</v>
      </c>
      <c r="AB91" s="141">
        <f t="shared" si="97"/>
        <v>6</v>
      </c>
      <c r="AC91" s="141">
        <f t="shared" si="97"/>
        <v>6</v>
      </c>
      <c r="AD91" s="141" t="str">
        <f t="shared" si="97"/>
        <v/>
      </c>
      <c r="AE91" s="141" t="str">
        <f t="shared" si="97"/>
        <v/>
      </c>
      <c r="AF91" s="141">
        <f t="shared" si="97"/>
        <v>6</v>
      </c>
      <c r="AG91" s="141">
        <f t="shared" si="97"/>
        <v>6</v>
      </c>
      <c r="AH91" s="154" t="s">
        <v>12</v>
      </c>
      <c r="AI91" s="133"/>
      <c r="AJ91" s="170"/>
      <c r="AK91" s="133"/>
      <c r="AL91" s="133"/>
    </row>
    <row r="92" spans="1:38" ht="19.5" hidden="1" customHeight="1" x14ac:dyDescent="0.25">
      <c r="A92" s="166" t="s">
        <v>78</v>
      </c>
      <c r="B92" s="167" t="s">
        <v>30</v>
      </c>
      <c r="C92" s="141">
        <f t="shared" ref="C92:AG92" si="98">IF(C13=$R32,$V32*24,IF(C13=$R33,$V33*24,IF(C13=$R34,$V34*24,IF(C13=$R35,$V35*24,IF(C13=$R36,$V36*24,IF(C13=$R37,$V37*24,IF(C13=$R38,$V38*24,IF(C13=$R39,$V39*24,IF(C13=$R40,$V40*24,"")))))))))</f>
        <v>19</v>
      </c>
      <c r="D92" s="141">
        <f t="shared" si="98"/>
        <v>18</v>
      </c>
      <c r="E92" s="141">
        <f t="shared" si="98"/>
        <v>18</v>
      </c>
      <c r="F92" s="141">
        <f t="shared" si="98"/>
        <v>18</v>
      </c>
      <c r="G92" s="141">
        <f t="shared" si="98"/>
        <v>7</v>
      </c>
      <c r="H92" s="141">
        <f t="shared" si="98"/>
        <v>7</v>
      </c>
      <c r="I92" s="141" t="str">
        <f t="shared" si="98"/>
        <v/>
      </c>
      <c r="J92" s="141" t="str">
        <f t="shared" si="98"/>
        <v/>
      </c>
      <c r="K92" s="141" t="str">
        <f t="shared" si="98"/>
        <v/>
      </c>
      <c r="L92" s="141" t="str">
        <f t="shared" si="98"/>
        <v/>
      </c>
      <c r="M92" s="141" t="str">
        <f t="shared" si="98"/>
        <v/>
      </c>
      <c r="N92" s="141" t="str">
        <f t="shared" si="98"/>
        <v/>
      </c>
      <c r="O92" s="141" t="str">
        <f t="shared" si="98"/>
        <v/>
      </c>
      <c r="P92" s="141" t="str">
        <f t="shared" si="98"/>
        <v/>
      </c>
      <c r="Q92" s="141" t="str">
        <f t="shared" si="98"/>
        <v/>
      </c>
      <c r="R92" s="141" t="str">
        <f>IF(R13=$R32,$V32*24,IF(R13=$R33,$V33*24,IF(R13=$R34,$V34*24,IF(R13=$R35,$V35*24,IF(R13=$R36,$V36*24,IF(R13=$R37,$V37*24,IF(R13=$R38,$V38*24,IF(R13=$R39,$V39*24,IF(R13=$R40,$V40*24,"")))))))))</f>
        <v/>
      </c>
      <c r="S92" s="141" t="str">
        <f t="shared" si="98"/>
        <v/>
      </c>
      <c r="T92" s="141" t="str">
        <f t="shared" si="98"/>
        <v/>
      </c>
      <c r="U92" s="141" t="str">
        <f t="shared" si="98"/>
        <v/>
      </c>
      <c r="V92" s="141" t="str">
        <f t="shared" si="98"/>
        <v/>
      </c>
      <c r="W92" s="141">
        <f t="shared" si="98"/>
        <v>18</v>
      </c>
      <c r="X92" s="141">
        <f t="shared" si="98"/>
        <v>18</v>
      </c>
      <c r="Y92" s="141">
        <f t="shared" si="98"/>
        <v>18</v>
      </c>
      <c r="Z92" s="141">
        <f t="shared" si="98"/>
        <v>18</v>
      </c>
      <c r="AA92" s="141">
        <f t="shared" si="98"/>
        <v>18</v>
      </c>
      <c r="AB92" s="141">
        <f t="shared" si="98"/>
        <v>18</v>
      </c>
      <c r="AC92" s="141">
        <f t="shared" si="98"/>
        <v>18</v>
      </c>
      <c r="AD92" s="141" t="str">
        <f t="shared" si="98"/>
        <v/>
      </c>
      <c r="AE92" s="141" t="str">
        <f t="shared" si="98"/>
        <v/>
      </c>
      <c r="AF92" s="141">
        <f t="shared" si="98"/>
        <v>18</v>
      </c>
      <c r="AG92" s="141">
        <f t="shared" si="98"/>
        <v>18</v>
      </c>
      <c r="AH92" s="154" t="s">
        <v>12</v>
      </c>
      <c r="AI92" s="133"/>
      <c r="AJ92" s="170"/>
      <c r="AK92" s="133"/>
      <c r="AL92" s="133"/>
    </row>
    <row r="93" spans="1:38" ht="19.5" hidden="1" customHeight="1" x14ac:dyDescent="0.25">
      <c r="A93" s="153"/>
      <c r="B93" s="168" t="s">
        <v>34</v>
      </c>
      <c r="C93" s="169">
        <f t="shared" ref="C93:X93" si="99">IF(C13=$R32,$BD32*24,IF(C13=$R33,$BD33*24,IF(C13=$R34,$BD34*24,IF(C13=$R35,$BD35*24,IF(C13=$R36,$BD36*24,IF(C13=$R37,$BD37*24,IF(C13=$R38,$BD38*24,IF(C13=$R39,$BD39*24,IF(C13=$R40,$BD40*24,"")))))))))</f>
        <v>0</v>
      </c>
      <c r="D93" s="169">
        <f t="shared" si="99"/>
        <v>0</v>
      </c>
      <c r="E93" s="169">
        <f t="shared" si="99"/>
        <v>0</v>
      </c>
      <c r="F93" s="169">
        <f t="shared" si="99"/>
        <v>0</v>
      </c>
      <c r="G93" s="169">
        <f t="shared" si="99"/>
        <v>8</v>
      </c>
      <c r="H93" s="169">
        <f t="shared" si="99"/>
        <v>8</v>
      </c>
      <c r="I93" s="169" t="str">
        <f t="shared" si="99"/>
        <v/>
      </c>
      <c r="J93" s="169" t="str">
        <f t="shared" si="99"/>
        <v/>
      </c>
      <c r="K93" s="169" t="str">
        <f t="shared" si="99"/>
        <v/>
      </c>
      <c r="L93" s="169" t="str">
        <f t="shared" si="99"/>
        <v/>
      </c>
      <c r="M93" s="169" t="str">
        <f t="shared" si="99"/>
        <v/>
      </c>
      <c r="N93" s="169" t="str">
        <f t="shared" si="99"/>
        <v/>
      </c>
      <c r="O93" s="169" t="str">
        <f t="shared" si="99"/>
        <v/>
      </c>
      <c r="P93" s="169" t="str">
        <f t="shared" si="99"/>
        <v/>
      </c>
      <c r="Q93" s="169" t="str">
        <f t="shared" si="99"/>
        <v/>
      </c>
      <c r="R93" s="169" t="str">
        <f>IF(R13=$R32,$BD32*24,IF(R13=$R33,$BD33*24,IF(R13=$R34,$BD34*24,IF(R13=$R35,$BD35*24,IF(R13=$R36,$BD36*24,IF(R13=$R37,$BD37*24,IF(R13=$R38,$BD38*24,IF(R13=$R39,$BD39*24,IF(R13=$R40,$BD40*24,"")))))))))</f>
        <v/>
      </c>
      <c r="S93" s="169" t="str">
        <f t="shared" si="99"/>
        <v/>
      </c>
      <c r="T93" s="169" t="str">
        <f t="shared" si="99"/>
        <v/>
      </c>
      <c r="U93" s="169" t="str">
        <f t="shared" si="99"/>
        <v/>
      </c>
      <c r="V93" s="169" t="str">
        <f t="shared" si="99"/>
        <v/>
      </c>
      <c r="W93" s="169">
        <f t="shared" si="99"/>
        <v>0</v>
      </c>
      <c r="X93" s="169">
        <f t="shared" si="99"/>
        <v>0</v>
      </c>
      <c r="Y93" s="169">
        <f t="shared" ref="Y93:AD93" si="100">IF(Y13=$R32,$BD32*24,IF(Y13=$R33,$BD33*24,IF(Y13=$R34,$BD34*24,IF(Y13=$R35,$BD35*24,IF(Y13=$R36,$BD36*24,IF(Y13=$R37,$BD37*24,IF(Y13=$R38,$BD38*24,IF(Y13=$R39,$BD39*24,IF(Y13=$R40,$BD40*24,"")))))))))</f>
        <v>0</v>
      </c>
      <c r="Z93" s="169">
        <f t="shared" si="100"/>
        <v>0</v>
      </c>
      <c r="AA93" s="169">
        <f t="shared" si="100"/>
        <v>0</v>
      </c>
      <c r="AB93" s="169">
        <f t="shared" si="100"/>
        <v>0</v>
      </c>
      <c r="AC93" s="169">
        <f t="shared" si="100"/>
        <v>0</v>
      </c>
      <c r="AD93" s="169" t="str">
        <f t="shared" si="100"/>
        <v/>
      </c>
      <c r="AE93" s="169" t="str">
        <f>IF(AE13=$R32,$BD32*24,IF(AE13=$R33,$BD33*24,IF(AE13=$R34,$BD34*24,IF(AE13=$R35,$BD35*24,IF(AE13=$R36,$BD36*24,IF(AE13=$R37,$BD37*24,IF(AE13=$R38,$BD38*24,IF(AE13=$R39,$BD39*24,IF(AE13=$R40,$BD40*24,"")))))))))</f>
        <v/>
      </c>
      <c r="AF93" s="169">
        <f>IF(AF13=$R32,$BD32*24,IF(AF13=$R33,$BD33*24,IF(AF13=$R34,$BD34*24,IF(AF13=$R35,$BD35*24,IF(AF13=$R36,$BD36*24,IF(AF13=$R37,$BD37*24,IF(AF13=$R38,$BD38*24,IF(AF13=$R39,$BD39*24,IF(AF13=$R40,$BD40*24,"")))))))))</f>
        <v>0</v>
      </c>
      <c r="AG93" s="169">
        <f>IF(AG13=$R32,$BD32*24,IF(AG13=$R33,$BD33*24,IF(AG13=$R34,$BD34*24,IF(AG13=$R35,$BD35*24,IF(AG13=$R36,$BD36*24,IF(AG13=$R37,$BD37*24,IF(AG13=$R38,$BD38*24,IF(AG13=$R39,$BD39*24,IF(AG13=$R40,$BD40*24,"")))))))))</f>
        <v>0</v>
      </c>
      <c r="AH93" s="148">
        <f>SUM(C93:AG93)</f>
        <v>16</v>
      </c>
      <c r="AI93" s="133"/>
      <c r="AJ93" s="170"/>
      <c r="AK93" s="133"/>
      <c r="AL93" s="133"/>
    </row>
    <row r="94" spans="1:38" ht="19.5" hidden="1" customHeight="1" x14ac:dyDescent="0.25">
      <c r="A94" s="153"/>
      <c r="B94" s="167" t="s">
        <v>59</v>
      </c>
      <c r="C94" s="141">
        <f t="shared" ref="C94:AG94" si="101">IF(C13="V",$C36,IF(C13="PR",$C38,0))</f>
        <v>0</v>
      </c>
      <c r="D94" s="141">
        <f t="shared" si="101"/>
        <v>0</v>
      </c>
      <c r="E94" s="141">
        <f t="shared" si="101"/>
        <v>0</v>
      </c>
      <c r="F94" s="141">
        <f t="shared" si="101"/>
        <v>0</v>
      </c>
      <c r="G94" s="141">
        <f t="shared" si="101"/>
        <v>0</v>
      </c>
      <c r="H94" s="141">
        <f t="shared" si="101"/>
        <v>0</v>
      </c>
      <c r="I94" s="141">
        <f t="shared" si="101"/>
        <v>0</v>
      </c>
      <c r="J94" s="141">
        <f t="shared" si="101"/>
        <v>0</v>
      </c>
      <c r="K94" s="141">
        <f t="shared" si="101"/>
        <v>0</v>
      </c>
      <c r="L94" s="141">
        <f t="shared" si="101"/>
        <v>0</v>
      </c>
      <c r="M94" s="141">
        <f t="shared" si="101"/>
        <v>0</v>
      </c>
      <c r="N94" s="141">
        <f t="shared" si="101"/>
        <v>0</v>
      </c>
      <c r="O94" s="141">
        <f t="shared" si="101"/>
        <v>0</v>
      </c>
      <c r="P94" s="141">
        <f t="shared" si="101"/>
        <v>0</v>
      </c>
      <c r="Q94" s="141">
        <f t="shared" si="101"/>
        <v>0</v>
      </c>
      <c r="R94" s="141">
        <f>IF(R13="V",$C36,IF(R13="PR",$C38,0))</f>
        <v>0</v>
      </c>
      <c r="S94" s="141">
        <f t="shared" si="101"/>
        <v>0</v>
      </c>
      <c r="T94" s="141">
        <f t="shared" si="101"/>
        <v>0</v>
      </c>
      <c r="U94" s="141">
        <f t="shared" si="101"/>
        <v>0</v>
      </c>
      <c r="V94" s="141">
        <f t="shared" si="101"/>
        <v>0</v>
      </c>
      <c r="W94" s="141">
        <f t="shared" si="101"/>
        <v>0</v>
      </c>
      <c r="X94" s="141">
        <f t="shared" si="101"/>
        <v>0</v>
      </c>
      <c r="Y94" s="141">
        <f t="shared" si="101"/>
        <v>0</v>
      </c>
      <c r="Z94" s="141">
        <f t="shared" si="101"/>
        <v>0</v>
      </c>
      <c r="AA94" s="141">
        <f t="shared" si="101"/>
        <v>0</v>
      </c>
      <c r="AB94" s="141">
        <f t="shared" si="101"/>
        <v>0</v>
      </c>
      <c r="AC94" s="141">
        <f t="shared" si="101"/>
        <v>0</v>
      </c>
      <c r="AD94" s="141">
        <f t="shared" si="101"/>
        <v>0</v>
      </c>
      <c r="AE94" s="141">
        <f t="shared" si="101"/>
        <v>0</v>
      </c>
      <c r="AF94" s="141">
        <f t="shared" si="101"/>
        <v>0</v>
      </c>
      <c r="AG94" s="141">
        <f t="shared" si="101"/>
        <v>0</v>
      </c>
      <c r="AH94" s="231">
        <f>SUM(C94:AG94)</f>
        <v>0</v>
      </c>
      <c r="AI94" s="231"/>
      <c r="AJ94" s="170" t="s">
        <v>12</v>
      </c>
      <c r="AK94" s="133"/>
      <c r="AL94" s="133"/>
    </row>
    <row r="95" spans="1:38" ht="19.5" hidden="1" customHeight="1" x14ac:dyDescent="0.25">
      <c r="A95" s="150" t="s">
        <v>60</v>
      </c>
      <c r="B95" s="167" t="s">
        <v>61</v>
      </c>
      <c r="C95" s="151">
        <f t="shared" ref="C95:X95" si="102">IF(C13=$R32,$BC32,IF(C13=$R33,$BC33,IF(C13=$R34,$BC34,IF(C13=$R35,$BC35,IF(C13=$R36,$BC36,IF(C13=$R37,$BC37,IF(C13=$R38,$BC38,IF(C13=$R39,$BC39,IF(C13=$R40,$BC40,0)))))))))</f>
        <v>11.999999999999998</v>
      </c>
      <c r="D95" s="151">
        <f t="shared" si="102"/>
        <v>12</v>
      </c>
      <c r="E95" s="151">
        <f t="shared" si="102"/>
        <v>12</v>
      </c>
      <c r="F95" s="151">
        <f t="shared" si="102"/>
        <v>12</v>
      </c>
      <c r="G95" s="151">
        <f t="shared" si="102"/>
        <v>12</v>
      </c>
      <c r="H95" s="151">
        <f t="shared" si="102"/>
        <v>12</v>
      </c>
      <c r="I95" s="151">
        <f t="shared" si="102"/>
        <v>0</v>
      </c>
      <c r="J95" s="151">
        <f t="shared" si="102"/>
        <v>0</v>
      </c>
      <c r="K95" s="151">
        <f t="shared" si="102"/>
        <v>0</v>
      </c>
      <c r="L95" s="151">
        <f t="shared" si="102"/>
        <v>0</v>
      </c>
      <c r="M95" s="151">
        <f t="shared" si="102"/>
        <v>0</v>
      </c>
      <c r="N95" s="151">
        <f t="shared" si="102"/>
        <v>0</v>
      </c>
      <c r="O95" s="151">
        <f t="shared" si="102"/>
        <v>0</v>
      </c>
      <c r="P95" s="151">
        <f t="shared" si="102"/>
        <v>0</v>
      </c>
      <c r="Q95" s="151">
        <f t="shared" si="102"/>
        <v>0</v>
      </c>
      <c r="R95" s="151">
        <f>IF(R13=$R32,$BC32,IF(R13=$R33,$BC33,IF(R13=$R34,$BC34,IF(R13=$R35,$BC35,IF(R13=$R36,$BC36,IF(R13=$R37,$BC37,IF(R13=$R38,$BC38,IF(R13=$R39,$BC39,IF(R13=$R40,$BC40,0)))))))))</f>
        <v>0</v>
      </c>
      <c r="S95" s="151">
        <f t="shared" si="102"/>
        <v>0</v>
      </c>
      <c r="T95" s="151">
        <f t="shared" si="102"/>
        <v>0</v>
      </c>
      <c r="U95" s="151">
        <f t="shared" si="102"/>
        <v>0</v>
      </c>
      <c r="V95" s="151">
        <f t="shared" si="102"/>
        <v>0</v>
      </c>
      <c r="W95" s="151">
        <f t="shared" si="102"/>
        <v>12</v>
      </c>
      <c r="X95" s="151">
        <f t="shared" si="102"/>
        <v>12</v>
      </c>
      <c r="Y95" s="151">
        <f t="shared" ref="Y95:AD95" si="103">IF(Y13=$R32,$BC32,IF(Y13=$R33,$BC33,IF(Y13=$R34,$BC34,IF(Y13=$R35,$BC35,IF(Y13=$R36,$BC36,IF(Y13=$R37,$BC37,IF(Y13=$R38,$BC38,IF(Y13=$R39,$BC39,IF(Y13=$R40,$BC40,0)))))))))</f>
        <v>12</v>
      </c>
      <c r="Z95" s="151">
        <f t="shared" si="103"/>
        <v>12</v>
      </c>
      <c r="AA95" s="151">
        <f t="shared" si="103"/>
        <v>12</v>
      </c>
      <c r="AB95" s="151">
        <f t="shared" si="103"/>
        <v>12</v>
      </c>
      <c r="AC95" s="151">
        <f t="shared" si="103"/>
        <v>12</v>
      </c>
      <c r="AD95" s="151">
        <f t="shared" si="103"/>
        <v>0</v>
      </c>
      <c r="AE95" s="151">
        <f>IF(AE13=$R32,$BC32,IF(AE13=$R33,$BC33,IF(AE13=$R34,$BC34,IF(AE13=$R35,$BC35,IF(AE13=$R36,$BC36,IF(AE13=$R37,$BC37,IF(AE13=$R38,$BC38,IF(AE13=$R39,$BC39,IF(AE13=$R40,$BC40,0)))))))))</f>
        <v>0</v>
      </c>
      <c r="AF95" s="151">
        <f>IF(AF13=$R32,$BC32,IF(AF13=$R33,$BC33,IF(AF13=$R34,$BC34,IF(AF13=$R35,$BC35,IF(AF13=$R36,$BC36,IF(AF13=$R37,$BC37,IF(AF13=$R38,$BC38,IF(AF13=$R39,$BC39,IF(AF13=$R40,$BC40,0)))))))))</f>
        <v>12</v>
      </c>
      <c r="AG95" s="151">
        <f>IF(AG13=$R32,$BC32,IF(AG13=$R33,$BC33,IF(AG13=$R34,$BC34,IF(AG13=$R35,$BC35,IF(AG13=$R36,$BC36,IF(AG13=$R37,$BC37,IF(AG13=$R38,$BC38,IF(AG13=$R39,$BC39,IF(AG13=$R40,$BC40,0)))))))))</f>
        <v>12</v>
      </c>
      <c r="AH95" s="226">
        <f>SUM(C95:AG95)</f>
        <v>180</v>
      </c>
      <c r="AI95" s="226"/>
      <c r="AJ95" s="175" t="s">
        <v>62</v>
      </c>
      <c r="AK95" s="133" t="s">
        <v>12</v>
      </c>
      <c r="AL95" s="133"/>
    </row>
    <row r="96" spans="1:38" ht="19.5" hidden="1" customHeight="1" x14ac:dyDescent="0.25">
      <c r="A96" s="153" t="s">
        <v>48</v>
      </c>
      <c r="B96" s="149" t="s">
        <v>63</v>
      </c>
      <c r="C96" s="141" t="b">
        <f t="shared" ref="C96:AG96" si="104">IF(C46=1,IF(C91&lt;C92,C95,0))</f>
        <v>0</v>
      </c>
      <c r="D96" s="141" t="b">
        <f t="shared" si="104"/>
        <v>0</v>
      </c>
      <c r="E96" s="141">
        <f t="shared" si="104"/>
        <v>12</v>
      </c>
      <c r="F96" s="141">
        <f t="shared" si="104"/>
        <v>12</v>
      </c>
      <c r="G96" s="141" t="b">
        <f t="shared" si="104"/>
        <v>0</v>
      </c>
      <c r="H96" s="141" t="b">
        <f t="shared" si="104"/>
        <v>0</v>
      </c>
      <c r="I96" s="141" t="b">
        <f t="shared" si="104"/>
        <v>0</v>
      </c>
      <c r="J96" s="141" t="b">
        <f t="shared" si="104"/>
        <v>0</v>
      </c>
      <c r="K96" s="141" t="b">
        <f t="shared" si="104"/>
        <v>0</v>
      </c>
      <c r="L96" s="141">
        <f t="shared" si="104"/>
        <v>0</v>
      </c>
      <c r="M96" s="141">
        <f t="shared" si="104"/>
        <v>0</v>
      </c>
      <c r="N96" s="141" t="b">
        <f t="shared" si="104"/>
        <v>0</v>
      </c>
      <c r="O96" s="141" t="b">
        <f t="shared" si="104"/>
        <v>0</v>
      </c>
      <c r="P96" s="141" t="b">
        <f t="shared" si="104"/>
        <v>0</v>
      </c>
      <c r="Q96" s="141" t="b">
        <f t="shared" si="104"/>
        <v>0</v>
      </c>
      <c r="R96" s="141" t="b">
        <f t="shared" si="104"/>
        <v>0</v>
      </c>
      <c r="S96" s="141">
        <f t="shared" si="104"/>
        <v>0</v>
      </c>
      <c r="T96" s="141">
        <f t="shared" si="104"/>
        <v>0</v>
      </c>
      <c r="U96" s="141" t="b">
        <f t="shared" si="104"/>
        <v>0</v>
      </c>
      <c r="V96" s="141" t="b">
        <f t="shared" si="104"/>
        <v>0</v>
      </c>
      <c r="W96" s="141" t="b">
        <f t="shared" si="104"/>
        <v>0</v>
      </c>
      <c r="X96" s="141" t="b">
        <f t="shared" si="104"/>
        <v>0</v>
      </c>
      <c r="Y96" s="141" t="b">
        <f t="shared" si="104"/>
        <v>0</v>
      </c>
      <c r="Z96" s="141">
        <f t="shared" si="104"/>
        <v>12</v>
      </c>
      <c r="AA96" s="141">
        <f t="shared" si="104"/>
        <v>12</v>
      </c>
      <c r="AB96" s="141" t="b">
        <f t="shared" si="104"/>
        <v>0</v>
      </c>
      <c r="AC96" s="141" t="b">
        <f t="shared" si="104"/>
        <v>0</v>
      </c>
      <c r="AD96" s="141" t="b">
        <f t="shared" si="104"/>
        <v>0</v>
      </c>
      <c r="AE96" s="141" t="b">
        <f t="shared" si="104"/>
        <v>0</v>
      </c>
      <c r="AF96" s="141" t="b">
        <f t="shared" si="104"/>
        <v>0</v>
      </c>
      <c r="AG96" s="141">
        <f t="shared" si="104"/>
        <v>12</v>
      </c>
      <c r="AH96" s="154" t="s">
        <v>12</v>
      </c>
      <c r="AI96" s="133"/>
      <c r="AJ96" s="170"/>
      <c r="AK96" s="133"/>
      <c r="AL96" s="133"/>
    </row>
    <row r="97" spans="1:57" ht="19.5" hidden="1" customHeight="1" x14ac:dyDescent="0.25">
      <c r="A97" s="176"/>
      <c r="B97" s="149" t="s">
        <v>64</v>
      </c>
      <c r="C97" s="141">
        <f t="shared" ref="C97:AG97" si="105">IF(C46=1,IF(C91&gt;C92,24-C91,0),0)</f>
        <v>0</v>
      </c>
      <c r="D97" s="141">
        <f t="shared" si="105"/>
        <v>0</v>
      </c>
      <c r="E97" s="141">
        <f t="shared" si="105"/>
        <v>0</v>
      </c>
      <c r="F97" s="141">
        <f t="shared" si="105"/>
        <v>0</v>
      </c>
      <c r="G97" s="141">
        <f t="shared" si="105"/>
        <v>0</v>
      </c>
      <c r="H97" s="141">
        <f t="shared" si="105"/>
        <v>0</v>
      </c>
      <c r="I97" s="141">
        <f t="shared" si="105"/>
        <v>0</v>
      </c>
      <c r="J97" s="141">
        <f t="shared" si="105"/>
        <v>0</v>
      </c>
      <c r="K97" s="141">
        <f t="shared" si="105"/>
        <v>0</v>
      </c>
      <c r="L97" s="141">
        <f t="shared" si="105"/>
        <v>0</v>
      </c>
      <c r="M97" s="141">
        <f t="shared" si="105"/>
        <v>0</v>
      </c>
      <c r="N97" s="141">
        <f t="shared" si="105"/>
        <v>0</v>
      </c>
      <c r="O97" s="141">
        <f t="shared" si="105"/>
        <v>0</v>
      </c>
      <c r="P97" s="141">
        <f t="shared" si="105"/>
        <v>0</v>
      </c>
      <c r="Q97" s="141">
        <f t="shared" si="105"/>
        <v>0</v>
      </c>
      <c r="R97" s="141">
        <f t="shared" si="105"/>
        <v>0</v>
      </c>
      <c r="S97" s="141">
        <f t="shared" si="105"/>
        <v>0</v>
      </c>
      <c r="T97" s="141">
        <f t="shared" si="105"/>
        <v>0</v>
      </c>
      <c r="U97" s="141">
        <f t="shared" si="105"/>
        <v>0</v>
      </c>
      <c r="V97" s="141">
        <f t="shared" si="105"/>
        <v>0</v>
      </c>
      <c r="W97" s="141">
        <f t="shared" si="105"/>
        <v>0</v>
      </c>
      <c r="X97" s="141">
        <f t="shared" si="105"/>
        <v>0</v>
      </c>
      <c r="Y97" s="141">
        <f t="shared" si="105"/>
        <v>0</v>
      </c>
      <c r="Z97" s="141">
        <f t="shared" si="105"/>
        <v>0</v>
      </c>
      <c r="AA97" s="141">
        <f t="shared" si="105"/>
        <v>0</v>
      </c>
      <c r="AB97" s="141">
        <f t="shared" si="105"/>
        <v>0</v>
      </c>
      <c r="AC97" s="141">
        <f t="shared" si="105"/>
        <v>0</v>
      </c>
      <c r="AD97" s="141">
        <f t="shared" si="105"/>
        <v>0</v>
      </c>
      <c r="AE97" s="141">
        <f t="shared" si="105"/>
        <v>0</v>
      </c>
      <c r="AF97" s="141">
        <f t="shared" si="105"/>
        <v>0</v>
      </c>
      <c r="AG97" s="141">
        <f t="shared" si="105"/>
        <v>0</v>
      </c>
      <c r="AH97" s="154" t="s">
        <v>12</v>
      </c>
      <c r="AI97" s="133"/>
      <c r="AJ97" s="170"/>
      <c r="AK97" s="133"/>
      <c r="AL97" s="133"/>
    </row>
    <row r="98" spans="1:57" ht="19.5" hidden="1" customHeight="1" x14ac:dyDescent="0.25">
      <c r="A98" s="176"/>
      <c r="B98" s="149" t="s">
        <v>65</v>
      </c>
      <c r="C98" s="141">
        <f t="shared" ref="C98:AG98" si="106">IF(D46=1,IF(C91&gt;C92,C92,0),0)</f>
        <v>0</v>
      </c>
      <c r="D98" s="141">
        <f t="shared" si="106"/>
        <v>0</v>
      </c>
      <c r="E98" s="141">
        <f t="shared" si="106"/>
        <v>0</v>
      </c>
      <c r="F98" s="141">
        <f t="shared" si="106"/>
        <v>0</v>
      </c>
      <c r="G98" s="141">
        <f t="shared" si="106"/>
        <v>0</v>
      </c>
      <c r="H98" s="141">
        <f t="shared" si="106"/>
        <v>0</v>
      </c>
      <c r="I98" s="141">
        <f t="shared" si="106"/>
        <v>0</v>
      </c>
      <c r="J98" s="141">
        <f t="shared" si="106"/>
        <v>0</v>
      </c>
      <c r="K98" s="141">
        <f t="shared" si="106"/>
        <v>0</v>
      </c>
      <c r="L98" s="141">
        <f t="shared" si="106"/>
        <v>0</v>
      </c>
      <c r="M98" s="141">
        <f t="shared" si="106"/>
        <v>0</v>
      </c>
      <c r="N98" s="141">
        <f t="shared" si="106"/>
        <v>0</v>
      </c>
      <c r="O98" s="141">
        <f t="shared" si="106"/>
        <v>0</v>
      </c>
      <c r="P98" s="141">
        <f t="shared" si="106"/>
        <v>0</v>
      </c>
      <c r="Q98" s="141">
        <f t="shared" si="106"/>
        <v>0</v>
      </c>
      <c r="R98" s="141">
        <f t="shared" si="106"/>
        <v>0</v>
      </c>
      <c r="S98" s="141">
        <f t="shared" si="106"/>
        <v>0</v>
      </c>
      <c r="T98" s="141">
        <f t="shared" si="106"/>
        <v>0</v>
      </c>
      <c r="U98" s="141">
        <f t="shared" si="106"/>
        <v>0</v>
      </c>
      <c r="V98" s="141">
        <f t="shared" si="106"/>
        <v>0</v>
      </c>
      <c r="W98" s="141">
        <f t="shared" si="106"/>
        <v>0</v>
      </c>
      <c r="X98" s="141">
        <f>IF(Y46=1,IF(X91&gt;X92,X92,0),0)</f>
        <v>0</v>
      </c>
      <c r="Y98" s="141">
        <f t="shared" si="106"/>
        <v>0</v>
      </c>
      <c r="Z98" s="141">
        <f t="shared" si="106"/>
        <v>0</v>
      </c>
      <c r="AA98" s="141">
        <f t="shared" si="106"/>
        <v>0</v>
      </c>
      <c r="AB98" s="141">
        <f t="shared" si="106"/>
        <v>0</v>
      </c>
      <c r="AC98" s="141">
        <f t="shared" si="106"/>
        <v>0</v>
      </c>
      <c r="AD98" s="141">
        <f t="shared" si="106"/>
        <v>0</v>
      </c>
      <c r="AE98" s="141">
        <f t="shared" si="106"/>
        <v>0</v>
      </c>
      <c r="AF98" s="141">
        <f t="shared" si="106"/>
        <v>0</v>
      </c>
      <c r="AG98" s="141">
        <f t="shared" si="106"/>
        <v>0</v>
      </c>
      <c r="AH98" s="154" t="s">
        <v>12</v>
      </c>
      <c r="AI98" s="133"/>
      <c r="AJ98" s="170"/>
      <c r="AK98" s="133"/>
      <c r="AL98" s="133"/>
    </row>
    <row r="99" spans="1:57" ht="19.5" hidden="1" customHeight="1" x14ac:dyDescent="0.25">
      <c r="A99" s="176"/>
      <c r="B99" s="149" t="s">
        <v>67</v>
      </c>
      <c r="C99" s="178">
        <f t="shared" ref="C99:AG99" si="107">SUM(C96:C98)</f>
        <v>0</v>
      </c>
      <c r="D99" s="178">
        <f t="shared" si="107"/>
        <v>0</v>
      </c>
      <c r="E99" s="178">
        <f t="shared" si="107"/>
        <v>12</v>
      </c>
      <c r="F99" s="178">
        <f t="shared" si="107"/>
        <v>12</v>
      </c>
      <c r="G99" s="178">
        <f t="shared" si="107"/>
        <v>0</v>
      </c>
      <c r="H99" s="178">
        <f t="shared" si="107"/>
        <v>0</v>
      </c>
      <c r="I99" s="178">
        <f t="shared" si="107"/>
        <v>0</v>
      </c>
      <c r="J99" s="178">
        <f t="shared" si="107"/>
        <v>0</v>
      </c>
      <c r="K99" s="178">
        <f t="shared" si="107"/>
        <v>0</v>
      </c>
      <c r="L99" s="178">
        <f t="shared" si="107"/>
        <v>0</v>
      </c>
      <c r="M99" s="178">
        <f t="shared" si="107"/>
        <v>0</v>
      </c>
      <c r="N99" s="178">
        <f t="shared" si="107"/>
        <v>0</v>
      </c>
      <c r="O99" s="178">
        <f t="shared" si="107"/>
        <v>0</v>
      </c>
      <c r="P99" s="178">
        <f t="shared" si="107"/>
        <v>0</v>
      </c>
      <c r="Q99" s="178">
        <f t="shared" si="107"/>
        <v>0</v>
      </c>
      <c r="R99" s="178">
        <f t="shared" si="107"/>
        <v>0</v>
      </c>
      <c r="S99" s="178">
        <f t="shared" si="107"/>
        <v>0</v>
      </c>
      <c r="T99" s="178">
        <f t="shared" si="107"/>
        <v>0</v>
      </c>
      <c r="U99" s="178">
        <f t="shared" si="107"/>
        <v>0</v>
      </c>
      <c r="V99" s="178">
        <f t="shared" si="107"/>
        <v>0</v>
      </c>
      <c r="W99" s="178">
        <f t="shared" si="107"/>
        <v>0</v>
      </c>
      <c r="X99" s="178">
        <f t="shared" si="107"/>
        <v>0</v>
      </c>
      <c r="Y99" s="178">
        <f t="shared" si="107"/>
        <v>0</v>
      </c>
      <c r="Z99" s="178">
        <f t="shared" si="107"/>
        <v>12</v>
      </c>
      <c r="AA99" s="178">
        <f t="shared" si="107"/>
        <v>12</v>
      </c>
      <c r="AB99" s="178">
        <f t="shared" si="107"/>
        <v>0</v>
      </c>
      <c r="AC99" s="178">
        <f t="shared" si="107"/>
        <v>0</v>
      </c>
      <c r="AD99" s="178">
        <f t="shared" si="107"/>
        <v>0</v>
      </c>
      <c r="AE99" s="178">
        <f t="shared" si="107"/>
        <v>0</v>
      </c>
      <c r="AF99" s="178">
        <f t="shared" si="107"/>
        <v>0</v>
      </c>
      <c r="AG99" s="178">
        <f t="shared" si="107"/>
        <v>12</v>
      </c>
      <c r="AH99" s="154" t="s">
        <v>12</v>
      </c>
      <c r="AI99" s="133"/>
      <c r="AJ99" s="170"/>
      <c r="AK99" s="133"/>
      <c r="AL99" s="133"/>
    </row>
    <row r="100" spans="1:57" ht="19.5" hidden="1" customHeight="1" x14ac:dyDescent="0.25">
      <c r="A100" s="177"/>
      <c r="B100" s="160" t="s">
        <v>68</v>
      </c>
      <c r="C100" s="161">
        <f t="shared" ref="C100:AG100" si="108">IF(C13="V",IF(C13="",0,1),0)</f>
        <v>0</v>
      </c>
      <c r="D100" s="161">
        <f t="shared" si="108"/>
        <v>0</v>
      </c>
      <c r="E100" s="161">
        <f t="shared" si="108"/>
        <v>0</v>
      </c>
      <c r="F100" s="161">
        <f t="shared" si="108"/>
        <v>0</v>
      </c>
      <c r="G100" s="161">
        <f t="shared" si="108"/>
        <v>0</v>
      </c>
      <c r="H100" s="161">
        <f t="shared" si="108"/>
        <v>0</v>
      </c>
      <c r="I100" s="161">
        <f t="shared" si="108"/>
        <v>0</v>
      </c>
      <c r="J100" s="161">
        <f t="shared" si="108"/>
        <v>0</v>
      </c>
      <c r="K100" s="161">
        <f t="shared" si="108"/>
        <v>0</v>
      </c>
      <c r="L100" s="161">
        <f t="shared" si="108"/>
        <v>0</v>
      </c>
      <c r="M100" s="161">
        <f t="shared" si="108"/>
        <v>0</v>
      </c>
      <c r="N100" s="161">
        <f t="shared" si="108"/>
        <v>0</v>
      </c>
      <c r="O100" s="161">
        <f t="shared" si="108"/>
        <v>0</v>
      </c>
      <c r="P100" s="161">
        <f t="shared" si="108"/>
        <v>0</v>
      </c>
      <c r="Q100" s="161">
        <f t="shared" si="108"/>
        <v>0</v>
      </c>
      <c r="R100" s="161">
        <f>IF(R13="V",IF(R13="",0,1),0)</f>
        <v>0</v>
      </c>
      <c r="S100" s="161">
        <f t="shared" si="108"/>
        <v>0</v>
      </c>
      <c r="T100" s="161">
        <f t="shared" si="108"/>
        <v>0</v>
      </c>
      <c r="U100" s="161">
        <f t="shared" si="108"/>
        <v>0</v>
      </c>
      <c r="V100" s="161">
        <f t="shared" si="108"/>
        <v>0</v>
      </c>
      <c r="W100" s="161">
        <f t="shared" si="108"/>
        <v>0</v>
      </c>
      <c r="X100" s="161">
        <f t="shared" si="108"/>
        <v>0</v>
      </c>
      <c r="Y100" s="161">
        <f t="shared" si="108"/>
        <v>0</v>
      </c>
      <c r="Z100" s="161">
        <f t="shared" si="108"/>
        <v>0</v>
      </c>
      <c r="AA100" s="161">
        <f t="shared" si="108"/>
        <v>0</v>
      </c>
      <c r="AB100" s="161">
        <f t="shared" si="108"/>
        <v>0</v>
      </c>
      <c r="AC100" s="161">
        <f t="shared" si="108"/>
        <v>0</v>
      </c>
      <c r="AD100" s="161">
        <f t="shared" si="108"/>
        <v>0</v>
      </c>
      <c r="AE100" s="161">
        <f t="shared" si="108"/>
        <v>0</v>
      </c>
      <c r="AF100" s="161">
        <f t="shared" si="108"/>
        <v>0</v>
      </c>
      <c r="AG100" s="161">
        <f t="shared" si="108"/>
        <v>0</v>
      </c>
      <c r="AH100" s="154" t="s">
        <v>12</v>
      </c>
      <c r="AI100" s="133"/>
      <c r="AJ100" s="170"/>
      <c r="AK100" s="133"/>
      <c r="AL100" s="133"/>
    </row>
    <row r="101" spans="1:57" ht="19.5" hidden="1" customHeight="1" x14ac:dyDescent="0.25">
      <c r="A101" s="173"/>
      <c r="B101" s="130" t="s">
        <v>16</v>
      </c>
      <c r="C101" s="179">
        <f t="shared" ref="C101:AG101" si="109">IF(C13="PR",IF(C13="",0,1),0)</f>
        <v>0</v>
      </c>
      <c r="D101" s="179">
        <f t="shared" si="109"/>
        <v>0</v>
      </c>
      <c r="E101" s="179">
        <f t="shared" si="109"/>
        <v>0</v>
      </c>
      <c r="F101" s="179">
        <f t="shared" si="109"/>
        <v>0</v>
      </c>
      <c r="G101" s="179">
        <f t="shared" si="109"/>
        <v>0</v>
      </c>
      <c r="H101" s="179">
        <f t="shared" si="109"/>
        <v>0</v>
      </c>
      <c r="I101" s="179">
        <f t="shared" si="109"/>
        <v>0</v>
      </c>
      <c r="J101" s="179">
        <f t="shared" si="109"/>
        <v>0</v>
      </c>
      <c r="K101" s="179">
        <f t="shared" si="109"/>
        <v>0</v>
      </c>
      <c r="L101" s="179">
        <f t="shared" si="109"/>
        <v>0</v>
      </c>
      <c r="M101" s="179">
        <f t="shared" si="109"/>
        <v>0</v>
      </c>
      <c r="N101" s="179">
        <f t="shared" si="109"/>
        <v>0</v>
      </c>
      <c r="O101" s="179">
        <f t="shared" si="109"/>
        <v>0</v>
      </c>
      <c r="P101" s="179">
        <f t="shared" si="109"/>
        <v>0</v>
      </c>
      <c r="Q101" s="179">
        <f t="shared" si="109"/>
        <v>0</v>
      </c>
      <c r="R101" s="179">
        <f>IF(R13="PR",IF(R13="",0,1),0)</f>
        <v>0</v>
      </c>
      <c r="S101" s="179">
        <f t="shared" si="109"/>
        <v>0</v>
      </c>
      <c r="T101" s="179">
        <f t="shared" si="109"/>
        <v>0</v>
      </c>
      <c r="U101" s="179">
        <f t="shared" si="109"/>
        <v>0</v>
      </c>
      <c r="V101" s="179">
        <f t="shared" si="109"/>
        <v>0</v>
      </c>
      <c r="W101" s="179">
        <f t="shared" si="109"/>
        <v>0</v>
      </c>
      <c r="X101" s="179">
        <f t="shared" si="109"/>
        <v>0</v>
      </c>
      <c r="Y101" s="179">
        <f t="shared" si="109"/>
        <v>0</v>
      </c>
      <c r="Z101" s="179">
        <f t="shared" si="109"/>
        <v>0</v>
      </c>
      <c r="AA101" s="179">
        <f t="shared" si="109"/>
        <v>0</v>
      </c>
      <c r="AB101" s="179">
        <f t="shared" si="109"/>
        <v>0</v>
      </c>
      <c r="AC101" s="179">
        <f t="shared" si="109"/>
        <v>0</v>
      </c>
      <c r="AD101" s="179">
        <f t="shared" si="109"/>
        <v>0</v>
      </c>
      <c r="AE101" s="179">
        <f t="shared" si="109"/>
        <v>0</v>
      </c>
      <c r="AF101" s="179">
        <f t="shared" si="109"/>
        <v>0</v>
      </c>
      <c r="AG101" s="179">
        <f t="shared" si="109"/>
        <v>0</v>
      </c>
      <c r="AH101" s="229">
        <f>SUM(C101:AG101)</f>
        <v>0</v>
      </c>
      <c r="AI101" s="229"/>
      <c r="AJ101" s="174" t="s">
        <v>69</v>
      </c>
      <c r="AK101" s="133"/>
      <c r="AL101" s="133"/>
    </row>
    <row r="102" spans="1:57" ht="19.5" hidden="1" customHeight="1" x14ac:dyDescent="0.25">
      <c r="A102" s="164" t="s">
        <v>79</v>
      </c>
      <c r="B102" s="165" t="s">
        <v>29</v>
      </c>
      <c r="C102" s="141">
        <f t="shared" ref="C102:AG102" si="110">IF(C14=$R32,$S32*24,IF(C14=$R33,$S33*24,IF(C14=$R34,$S34*24,IF(C14=$R35,$S35*24,IF(C14=$R36,$S36*24,IF(C14=$R37,$S37*24,IF(C14=$R38,$S38*24,IF(C14=$R39,$S39*24,IF(C14=$R40,$S40*24,"")))))))))</f>
        <v>6</v>
      </c>
      <c r="D102" s="141" t="str">
        <f t="shared" si="110"/>
        <v/>
      </c>
      <c r="E102" s="141" t="str">
        <f t="shared" si="110"/>
        <v/>
      </c>
      <c r="F102" s="141" t="str">
        <f t="shared" si="110"/>
        <v/>
      </c>
      <c r="G102" s="141">
        <f t="shared" si="110"/>
        <v>6</v>
      </c>
      <c r="H102" s="141">
        <f t="shared" si="110"/>
        <v>6</v>
      </c>
      <c r="I102" s="141" t="str">
        <f t="shared" si="110"/>
        <v/>
      </c>
      <c r="J102" s="141" t="str">
        <f t="shared" si="110"/>
        <v/>
      </c>
      <c r="K102" s="141">
        <f t="shared" si="110"/>
        <v>18</v>
      </c>
      <c r="L102" s="141">
        <f t="shared" si="110"/>
        <v>18</v>
      </c>
      <c r="M102" s="141">
        <f t="shared" si="110"/>
        <v>18</v>
      </c>
      <c r="N102" s="141" t="str">
        <f t="shared" si="110"/>
        <v/>
      </c>
      <c r="O102" s="141" t="str">
        <f t="shared" si="110"/>
        <v/>
      </c>
      <c r="P102" s="141">
        <f t="shared" si="110"/>
        <v>6</v>
      </c>
      <c r="Q102" s="141">
        <f t="shared" si="110"/>
        <v>6</v>
      </c>
      <c r="R102" s="141" t="str">
        <f t="shared" si="110"/>
        <v/>
      </c>
      <c r="S102" s="141" t="str">
        <f t="shared" si="110"/>
        <v/>
      </c>
      <c r="T102" s="141" t="str">
        <f t="shared" si="110"/>
        <v/>
      </c>
      <c r="U102" s="141">
        <f t="shared" si="110"/>
        <v>6</v>
      </c>
      <c r="V102" s="141">
        <f t="shared" si="110"/>
        <v>6</v>
      </c>
      <c r="W102" s="141" t="str">
        <f t="shared" si="110"/>
        <v/>
      </c>
      <c r="X102" s="141" t="str">
        <f t="shared" si="110"/>
        <v/>
      </c>
      <c r="Y102" s="141">
        <f t="shared" si="110"/>
        <v>6</v>
      </c>
      <c r="Z102" s="141">
        <f t="shared" si="110"/>
        <v>6</v>
      </c>
      <c r="AA102" s="141">
        <f t="shared" si="110"/>
        <v>6</v>
      </c>
      <c r="AB102" s="141" t="str">
        <f t="shared" si="110"/>
        <v/>
      </c>
      <c r="AC102" s="141" t="str">
        <f t="shared" si="110"/>
        <v/>
      </c>
      <c r="AD102" s="141">
        <f t="shared" si="110"/>
        <v>6</v>
      </c>
      <c r="AE102" s="141">
        <f t="shared" si="110"/>
        <v>6</v>
      </c>
      <c r="AF102" s="141" t="str">
        <f t="shared" si="110"/>
        <v/>
      </c>
      <c r="AG102" s="141" t="str">
        <f t="shared" si="110"/>
        <v/>
      </c>
      <c r="AH102" s="154" t="s">
        <v>12</v>
      </c>
      <c r="AI102" s="133"/>
      <c r="AJ102" s="170"/>
      <c r="AK102" s="133"/>
      <c r="AL102" s="133"/>
    </row>
    <row r="103" spans="1:57" ht="19.5" hidden="1" customHeight="1" x14ac:dyDescent="0.25">
      <c r="A103" s="166" t="s">
        <v>80</v>
      </c>
      <c r="B103" s="167" t="s">
        <v>30</v>
      </c>
      <c r="C103" s="141">
        <f t="shared" ref="C103:AG103" si="111">IF(C14=$R32,$V32*24,IF(C14=$R33,$V33*24,IF(C14=$R34,$V34*24,IF(C14=$R35,$V35*24,IF(C14=$R36,$V36*24,IF(C14=$R37,$V37*24,IF(C14=$R38,$V38*24,IF(C14=$R39,$V39*24,IF(C14=$R40,$V40*24,"")))))))))</f>
        <v>18</v>
      </c>
      <c r="D103" s="141" t="str">
        <f t="shared" si="111"/>
        <v/>
      </c>
      <c r="E103" s="141" t="str">
        <f t="shared" si="111"/>
        <v/>
      </c>
      <c r="F103" s="141" t="str">
        <f t="shared" si="111"/>
        <v/>
      </c>
      <c r="G103" s="141">
        <f t="shared" si="111"/>
        <v>18</v>
      </c>
      <c r="H103" s="141">
        <f t="shared" si="111"/>
        <v>18</v>
      </c>
      <c r="I103" s="141" t="str">
        <f t="shared" si="111"/>
        <v/>
      </c>
      <c r="J103" s="141" t="str">
        <f t="shared" si="111"/>
        <v/>
      </c>
      <c r="K103" s="141">
        <f t="shared" si="111"/>
        <v>6</v>
      </c>
      <c r="L103" s="141">
        <f t="shared" si="111"/>
        <v>6</v>
      </c>
      <c r="M103" s="141">
        <f t="shared" si="111"/>
        <v>6</v>
      </c>
      <c r="N103" s="141" t="str">
        <f t="shared" si="111"/>
        <v/>
      </c>
      <c r="O103" s="141" t="str">
        <f t="shared" si="111"/>
        <v/>
      </c>
      <c r="P103" s="141">
        <f t="shared" si="111"/>
        <v>18</v>
      </c>
      <c r="Q103" s="141">
        <f t="shared" si="111"/>
        <v>18</v>
      </c>
      <c r="R103" s="141" t="str">
        <f t="shared" si="111"/>
        <v/>
      </c>
      <c r="S103" s="141" t="str">
        <f t="shared" si="111"/>
        <v/>
      </c>
      <c r="T103" s="141" t="str">
        <f t="shared" si="111"/>
        <v/>
      </c>
      <c r="U103" s="141">
        <f t="shared" si="111"/>
        <v>18</v>
      </c>
      <c r="V103" s="141">
        <f t="shared" si="111"/>
        <v>18</v>
      </c>
      <c r="W103" s="141" t="str">
        <f t="shared" si="111"/>
        <v/>
      </c>
      <c r="X103" s="141" t="str">
        <f t="shared" si="111"/>
        <v/>
      </c>
      <c r="Y103" s="141">
        <f t="shared" si="111"/>
        <v>18</v>
      </c>
      <c r="Z103" s="141">
        <f t="shared" si="111"/>
        <v>18</v>
      </c>
      <c r="AA103" s="141">
        <f t="shared" si="111"/>
        <v>18</v>
      </c>
      <c r="AB103" s="141" t="str">
        <f t="shared" si="111"/>
        <v/>
      </c>
      <c r="AC103" s="141" t="str">
        <f t="shared" si="111"/>
        <v/>
      </c>
      <c r="AD103" s="141">
        <f t="shared" si="111"/>
        <v>18</v>
      </c>
      <c r="AE103" s="141">
        <f t="shared" si="111"/>
        <v>18</v>
      </c>
      <c r="AF103" s="141" t="str">
        <f t="shared" si="111"/>
        <v/>
      </c>
      <c r="AG103" s="141" t="str">
        <f t="shared" si="111"/>
        <v/>
      </c>
      <c r="AH103" s="154" t="s">
        <v>12</v>
      </c>
      <c r="AI103" s="133"/>
      <c r="AJ103" s="170"/>
      <c r="AK103" s="133"/>
      <c r="AL103" s="133"/>
    </row>
    <row r="104" spans="1:57" ht="19.5" hidden="1" customHeight="1" x14ac:dyDescent="0.25">
      <c r="A104" s="153"/>
      <c r="B104" s="168" t="s">
        <v>34</v>
      </c>
      <c r="C104" s="169">
        <f t="shared" ref="C104:X104" si="112">IF(C14=$R32,$BD32*24,IF(C14=$R33,$BD33*24,IF(C14=$R34,$BD34*24,IF(C14=$R35,$BD35*24,IF(C14=$R36,$BD36*24,IF(C14=$R37,$BD37*24,IF(C14=$R38,$BD38*24,IF(C14=$R39,$BD39*24,IF(C14=$R40,$BD40*24,"")))))))))</f>
        <v>0</v>
      </c>
      <c r="D104" s="169" t="str">
        <f t="shared" si="112"/>
        <v/>
      </c>
      <c r="E104" s="169" t="str">
        <f t="shared" si="112"/>
        <v/>
      </c>
      <c r="F104" s="169" t="str">
        <f t="shared" si="112"/>
        <v/>
      </c>
      <c r="G104" s="169">
        <f t="shared" si="112"/>
        <v>0</v>
      </c>
      <c r="H104" s="169">
        <f t="shared" si="112"/>
        <v>0</v>
      </c>
      <c r="I104" s="169" t="str">
        <f t="shared" si="112"/>
        <v/>
      </c>
      <c r="J104" s="169" t="str">
        <f t="shared" si="112"/>
        <v/>
      </c>
      <c r="K104" s="169">
        <f t="shared" si="112"/>
        <v>8</v>
      </c>
      <c r="L104" s="169">
        <f t="shared" si="112"/>
        <v>8</v>
      </c>
      <c r="M104" s="169">
        <f t="shared" si="112"/>
        <v>8</v>
      </c>
      <c r="N104" s="169" t="str">
        <f t="shared" si="112"/>
        <v/>
      </c>
      <c r="O104" s="169" t="str">
        <f t="shared" si="112"/>
        <v/>
      </c>
      <c r="P104" s="169">
        <f t="shared" si="112"/>
        <v>0</v>
      </c>
      <c r="Q104" s="169">
        <f t="shared" si="112"/>
        <v>0</v>
      </c>
      <c r="R104" s="169" t="str">
        <f t="shared" si="112"/>
        <v/>
      </c>
      <c r="S104" s="169" t="str">
        <f t="shared" si="112"/>
        <v/>
      </c>
      <c r="T104" s="169" t="str">
        <f t="shared" si="112"/>
        <v/>
      </c>
      <c r="U104" s="169">
        <f t="shared" si="112"/>
        <v>0</v>
      </c>
      <c r="V104" s="169">
        <f t="shared" si="112"/>
        <v>0</v>
      </c>
      <c r="W104" s="169" t="str">
        <f t="shared" si="112"/>
        <v/>
      </c>
      <c r="X104" s="169" t="str">
        <f t="shared" si="112"/>
        <v/>
      </c>
      <c r="Y104" s="169">
        <f t="shared" ref="Y104:AD104" si="113">IF(Y14=$R32,$BD32*24,IF(Y14=$R33,$BD33*24,IF(Y14=$R34,$BD34*24,IF(Y14=$R35,$BD35*24,IF(Y14=$R36,$BD36*24,IF(Y14=$R37,$BD37*24,IF(Y14=$R38,$BD38*24,IF(Y14=$R39,$BD39*24,IF(Y14=$R40,$BD40*24,"")))))))))</f>
        <v>0</v>
      </c>
      <c r="Z104" s="169">
        <f t="shared" si="113"/>
        <v>0</v>
      </c>
      <c r="AA104" s="169">
        <f t="shared" si="113"/>
        <v>0</v>
      </c>
      <c r="AB104" s="169" t="str">
        <f t="shared" si="113"/>
        <v/>
      </c>
      <c r="AC104" s="169" t="str">
        <f t="shared" si="113"/>
        <v/>
      </c>
      <c r="AD104" s="169">
        <f t="shared" si="113"/>
        <v>0</v>
      </c>
      <c r="AE104" s="169">
        <f>IF(AE14=$R32,$BD32*24,IF(AE14=$R33,$BD33*24,IF(AE14=$R34,$BD34*24,IF(AE14=$R35,$BD35*24,IF(AE14=$R36,$BD36*24,IF(AE14=$R37,$BD37*24,IF(AE14=$R38,$BD38*24,IF(AE14=$R39,$BD39*24,IF(AE14=$R40,$BD40*24,"")))))))))</f>
        <v>0</v>
      </c>
      <c r="AF104" s="169" t="str">
        <f>IF(AF14=$R32,$BD32*24,IF(AF14=$R33,$BD33*24,IF(AF14=$R34,$BD34*24,IF(AF14=$R35,$BD35*24,IF(AF14=$R36,$BD36*24,IF(AF14=$R37,$BD37*24,IF(AF14=$R38,$BD38*24,IF(AF14=$R39,$BD39*24,IF(AF14=$R40,$BD40*24,"")))))))))</f>
        <v/>
      </c>
      <c r="AG104" s="169" t="str">
        <f>IF(AG14=$R32,$BD32*24,IF(AG14=$R33,$BD33*24,IF(AG14=$R34,$BD34*24,IF(AG14=$R35,$BD35*24,IF(AG14=$R36,$BD36*24,IF(AG14=$R37,$BD37*24,IF(AG14=$R38,$BD38*24,IF(AG14=$R39,$BD39*24,IF(AG14=$R40,$BD40*24,"")))))))))</f>
        <v/>
      </c>
      <c r="AH104" s="148">
        <f>SUM(C104:AG104)</f>
        <v>24</v>
      </c>
      <c r="AI104" s="133"/>
      <c r="AJ104" s="170"/>
      <c r="AK104" s="133"/>
      <c r="AL104" s="133"/>
    </row>
    <row r="105" spans="1:57" ht="19.5" hidden="1" customHeight="1" x14ac:dyDescent="0.25">
      <c r="A105" s="153"/>
      <c r="B105" s="167" t="s">
        <v>59</v>
      </c>
      <c r="C105" s="141">
        <f t="shared" ref="C105:AG105" si="114">IF(C14="V",$C36,IF(C14="PR",$C38,0))</f>
        <v>0</v>
      </c>
      <c r="D105" s="141">
        <f t="shared" si="114"/>
        <v>0</v>
      </c>
      <c r="E105" s="141">
        <f t="shared" si="114"/>
        <v>0</v>
      </c>
      <c r="F105" s="141">
        <f t="shared" si="114"/>
        <v>0</v>
      </c>
      <c r="G105" s="141">
        <f t="shared" si="114"/>
        <v>0</v>
      </c>
      <c r="H105" s="141">
        <f t="shared" si="114"/>
        <v>0</v>
      </c>
      <c r="I105" s="141">
        <f t="shared" si="114"/>
        <v>0</v>
      </c>
      <c r="J105" s="141">
        <f t="shared" si="114"/>
        <v>0</v>
      </c>
      <c r="K105" s="141">
        <f t="shared" si="114"/>
        <v>0</v>
      </c>
      <c r="L105" s="141">
        <f t="shared" si="114"/>
        <v>0</v>
      </c>
      <c r="M105" s="141">
        <f t="shared" si="114"/>
        <v>0</v>
      </c>
      <c r="N105" s="141">
        <f t="shared" si="114"/>
        <v>0</v>
      </c>
      <c r="O105" s="141">
        <f t="shared" si="114"/>
        <v>0</v>
      </c>
      <c r="P105" s="141">
        <f t="shared" si="114"/>
        <v>0</v>
      </c>
      <c r="Q105" s="141">
        <f t="shared" si="114"/>
        <v>0</v>
      </c>
      <c r="R105" s="141">
        <f t="shared" si="114"/>
        <v>0</v>
      </c>
      <c r="S105" s="141">
        <f t="shared" si="114"/>
        <v>0</v>
      </c>
      <c r="T105" s="141">
        <f t="shared" si="114"/>
        <v>0</v>
      </c>
      <c r="U105" s="141">
        <f t="shared" si="114"/>
        <v>0</v>
      </c>
      <c r="V105" s="141">
        <f t="shared" si="114"/>
        <v>0</v>
      </c>
      <c r="W105" s="141">
        <f t="shared" si="114"/>
        <v>0</v>
      </c>
      <c r="X105" s="141">
        <f t="shared" si="114"/>
        <v>0</v>
      </c>
      <c r="Y105" s="141">
        <f t="shared" si="114"/>
        <v>0</v>
      </c>
      <c r="Z105" s="141">
        <f t="shared" si="114"/>
        <v>0</v>
      </c>
      <c r="AA105" s="141">
        <f t="shared" si="114"/>
        <v>0</v>
      </c>
      <c r="AB105" s="141">
        <f t="shared" si="114"/>
        <v>0</v>
      </c>
      <c r="AC105" s="141">
        <f t="shared" si="114"/>
        <v>0</v>
      </c>
      <c r="AD105" s="141">
        <f t="shared" si="114"/>
        <v>0</v>
      </c>
      <c r="AE105" s="141">
        <f t="shared" si="114"/>
        <v>0</v>
      </c>
      <c r="AF105" s="141">
        <f t="shared" si="114"/>
        <v>0</v>
      </c>
      <c r="AG105" s="141">
        <f t="shared" si="114"/>
        <v>0</v>
      </c>
      <c r="AH105" s="226">
        <f>SUM(C105:AG105)</f>
        <v>0</v>
      </c>
      <c r="AI105" s="226"/>
      <c r="AJ105" s="230">
        <f>SUM(AH50+AH61+AH72+AH83+AH94+AH105)</f>
        <v>0</v>
      </c>
      <c r="AK105" s="230"/>
      <c r="AL105" s="133" t="s">
        <v>56</v>
      </c>
      <c r="AM105" s="1" t="s">
        <v>12</v>
      </c>
    </row>
    <row r="106" spans="1:57" ht="19.5" hidden="1" customHeight="1" x14ac:dyDescent="0.25">
      <c r="A106" s="150" t="s">
        <v>60</v>
      </c>
      <c r="B106" s="167" t="s">
        <v>61</v>
      </c>
      <c r="C106" s="151">
        <f t="shared" ref="C106:X106" si="115">IF(C14=$R32,$BC32,IF(C14=$R33,$BC33,IF(C14=$R34,$BC34,IF(C14=$R35,$BC35,IF(C14=$R36,$BC36,IF(C14=$R37,$BC37,IF(C14=$R38,$BC38,IF(C14=$R39,$BC39,IF(C14=$R40,$BC40,0)))))))))</f>
        <v>12</v>
      </c>
      <c r="D106" s="151">
        <f t="shared" si="115"/>
        <v>0</v>
      </c>
      <c r="E106" s="151">
        <f t="shared" si="115"/>
        <v>0</v>
      </c>
      <c r="F106" s="151">
        <f t="shared" si="115"/>
        <v>0</v>
      </c>
      <c r="G106" s="151">
        <f t="shared" si="115"/>
        <v>12</v>
      </c>
      <c r="H106" s="151">
        <f t="shared" si="115"/>
        <v>12</v>
      </c>
      <c r="I106" s="151">
        <f t="shared" si="115"/>
        <v>0</v>
      </c>
      <c r="J106" s="151">
        <f t="shared" si="115"/>
        <v>0</v>
      </c>
      <c r="K106" s="151">
        <f t="shared" si="115"/>
        <v>12</v>
      </c>
      <c r="L106" s="151">
        <f t="shared" si="115"/>
        <v>12</v>
      </c>
      <c r="M106" s="151">
        <f t="shared" si="115"/>
        <v>12</v>
      </c>
      <c r="N106" s="151">
        <f t="shared" si="115"/>
        <v>0</v>
      </c>
      <c r="O106" s="151">
        <f t="shared" si="115"/>
        <v>0</v>
      </c>
      <c r="P106" s="151">
        <f t="shared" si="115"/>
        <v>12</v>
      </c>
      <c r="Q106" s="151">
        <f t="shared" si="115"/>
        <v>12</v>
      </c>
      <c r="R106" s="151">
        <f t="shared" si="115"/>
        <v>0</v>
      </c>
      <c r="S106" s="151">
        <f t="shared" si="115"/>
        <v>0</v>
      </c>
      <c r="T106" s="151">
        <f t="shared" si="115"/>
        <v>0</v>
      </c>
      <c r="U106" s="151">
        <f t="shared" si="115"/>
        <v>12</v>
      </c>
      <c r="V106" s="151">
        <f t="shared" si="115"/>
        <v>12</v>
      </c>
      <c r="W106" s="151">
        <f t="shared" si="115"/>
        <v>0</v>
      </c>
      <c r="X106" s="151">
        <f t="shared" si="115"/>
        <v>0</v>
      </c>
      <c r="Y106" s="151">
        <f t="shared" ref="Y106:AD106" si="116">IF(Y14=$R32,$BC32,IF(Y14=$R33,$BC33,IF(Y14=$R34,$BC34,IF(Y14=$R35,$BC35,IF(Y14=$R36,$BC36,IF(Y14=$R37,$BC37,IF(Y14=$R38,$BC38,IF(Y14=$R39,$BC39,IF(Y14=$R40,$BC40,0)))))))))</f>
        <v>12</v>
      </c>
      <c r="Z106" s="151">
        <f t="shared" si="116"/>
        <v>12</v>
      </c>
      <c r="AA106" s="151">
        <f t="shared" si="116"/>
        <v>12</v>
      </c>
      <c r="AB106" s="151">
        <f t="shared" si="116"/>
        <v>0</v>
      </c>
      <c r="AC106" s="151">
        <f t="shared" si="116"/>
        <v>0</v>
      </c>
      <c r="AD106" s="151">
        <f t="shared" si="116"/>
        <v>12</v>
      </c>
      <c r="AE106" s="151">
        <f>IF(AE14=$R32,$BC32,IF(AE14=$R33,$BC33,IF(AE14=$R34,$BC34,IF(AE14=$R35,$BC35,IF(AE14=$R36,$BC36,IF(AE14=$R37,$BC37,IF(AE14=$R38,$BC38,IF(AE14=$R39,$BC39,IF(AE14=$R40,$BC40,0)))))))))</f>
        <v>12</v>
      </c>
      <c r="AF106" s="151">
        <f>IF(AF14=$R32,$BC32,IF(AF14=$R33,$BC33,IF(AF14=$R34,$BC34,IF(AF14=$R35,$BC35,IF(AF14=$R36,$BC36,IF(AF14=$R37,$BC37,IF(AF14=$R38,$BC38,IF(AF14=$R39,$BC39,IF(AF14=$R40,$BC40,0)))))))))</f>
        <v>0</v>
      </c>
      <c r="AG106" s="151">
        <f>IF(AG14=$R32,$BC32,IF(AG14=$R33,$BC33,IF(AG14=$R34,$BC34,IF(AG14=$R35,$BC35,IF(AG14=$R36,$BC36,IF(AG14=$R37,$BC37,IF(AG14=$R38,$BC38,IF(AG14=$R39,$BC39,IF(AG14=$R40,$BC40,0)))))))))</f>
        <v>0</v>
      </c>
      <c r="AH106" s="226">
        <f>SUM(C106:AG106)</f>
        <v>180</v>
      </c>
      <c r="AI106" s="226"/>
      <c r="AJ106" s="174" t="s">
        <v>62</v>
      </c>
      <c r="AK106" s="133" t="s">
        <v>12</v>
      </c>
      <c r="AL106" s="133"/>
    </row>
    <row r="107" spans="1:57" ht="19.5" hidden="1" customHeight="1" x14ac:dyDescent="0.25">
      <c r="A107" s="153" t="s">
        <v>48</v>
      </c>
      <c r="B107" s="149" t="s">
        <v>63</v>
      </c>
      <c r="C107" s="141" t="b">
        <f t="shared" ref="C107:AG107" si="117">IF(C46=1,IF(C102&lt;C103,C106,0))</f>
        <v>0</v>
      </c>
      <c r="D107" s="141" t="b">
        <f t="shared" si="117"/>
        <v>0</v>
      </c>
      <c r="E107" s="141">
        <f t="shared" si="117"/>
        <v>0</v>
      </c>
      <c r="F107" s="141">
        <f t="shared" si="117"/>
        <v>0</v>
      </c>
      <c r="G107" s="141" t="b">
        <f t="shared" si="117"/>
        <v>0</v>
      </c>
      <c r="H107" s="141" t="b">
        <f t="shared" si="117"/>
        <v>0</v>
      </c>
      <c r="I107" s="141" t="b">
        <f t="shared" si="117"/>
        <v>0</v>
      </c>
      <c r="J107" s="141" t="b">
        <f t="shared" si="117"/>
        <v>0</v>
      </c>
      <c r="K107" s="141" t="b">
        <f t="shared" si="117"/>
        <v>0</v>
      </c>
      <c r="L107" s="141">
        <f t="shared" si="117"/>
        <v>0</v>
      </c>
      <c r="M107" s="141">
        <f t="shared" si="117"/>
        <v>0</v>
      </c>
      <c r="N107" s="141" t="b">
        <f t="shared" si="117"/>
        <v>0</v>
      </c>
      <c r="O107" s="141" t="b">
        <f t="shared" si="117"/>
        <v>0</v>
      </c>
      <c r="P107" s="141" t="b">
        <f t="shared" si="117"/>
        <v>0</v>
      </c>
      <c r="Q107" s="141" t="b">
        <f t="shared" si="117"/>
        <v>0</v>
      </c>
      <c r="R107" s="141" t="b">
        <f t="shared" si="117"/>
        <v>0</v>
      </c>
      <c r="S107" s="141">
        <f t="shared" si="117"/>
        <v>0</v>
      </c>
      <c r="T107" s="141">
        <f t="shared" si="117"/>
        <v>0</v>
      </c>
      <c r="U107" s="141" t="b">
        <f t="shared" si="117"/>
        <v>0</v>
      </c>
      <c r="V107" s="141" t="b">
        <f t="shared" si="117"/>
        <v>0</v>
      </c>
      <c r="W107" s="141" t="b">
        <f t="shared" si="117"/>
        <v>0</v>
      </c>
      <c r="X107" s="141" t="b">
        <f t="shared" si="117"/>
        <v>0</v>
      </c>
      <c r="Y107" s="141" t="b">
        <f t="shared" si="117"/>
        <v>0</v>
      </c>
      <c r="Z107" s="141">
        <f t="shared" si="117"/>
        <v>12</v>
      </c>
      <c r="AA107" s="141">
        <f t="shared" si="117"/>
        <v>12</v>
      </c>
      <c r="AB107" s="141" t="b">
        <f t="shared" si="117"/>
        <v>0</v>
      </c>
      <c r="AC107" s="141" t="b">
        <f t="shared" si="117"/>
        <v>0</v>
      </c>
      <c r="AD107" s="141" t="b">
        <f t="shared" si="117"/>
        <v>0</v>
      </c>
      <c r="AE107" s="141" t="b">
        <f t="shared" si="117"/>
        <v>0</v>
      </c>
      <c r="AF107" s="141" t="b">
        <f t="shared" si="117"/>
        <v>0</v>
      </c>
      <c r="AG107" s="141">
        <f t="shared" si="117"/>
        <v>0</v>
      </c>
      <c r="AH107" s="154" t="s">
        <v>12</v>
      </c>
      <c r="AI107" s="133"/>
      <c r="AJ107" s="170"/>
      <c r="AK107" s="133"/>
      <c r="AL107" s="133"/>
      <c r="BE107" s="31"/>
    </row>
    <row r="108" spans="1:57" ht="19.5" hidden="1" customHeight="1" x14ac:dyDescent="0.25">
      <c r="A108" s="176"/>
      <c r="B108" s="149" t="s">
        <v>64</v>
      </c>
      <c r="C108" s="141">
        <f>IF(C46=1,IF(C113&gt;C114,24-C113,0),0)</f>
        <v>0</v>
      </c>
      <c r="D108" s="141">
        <f t="shared" ref="D108:AG108" si="118">IF(D46=1,IF(D102&gt;D103,24-D102,0),0)</f>
        <v>0</v>
      </c>
      <c r="E108" s="141">
        <f t="shared" si="118"/>
        <v>0</v>
      </c>
      <c r="F108" s="141">
        <f t="shared" si="118"/>
        <v>0</v>
      </c>
      <c r="G108" s="141">
        <f t="shared" si="118"/>
        <v>0</v>
      </c>
      <c r="H108" s="141">
        <f t="shared" si="118"/>
        <v>0</v>
      </c>
      <c r="I108" s="141">
        <f t="shared" si="118"/>
        <v>0</v>
      </c>
      <c r="J108" s="141">
        <f t="shared" si="118"/>
        <v>0</v>
      </c>
      <c r="K108" s="141">
        <f t="shared" si="118"/>
        <v>0</v>
      </c>
      <c r="L108" s="141">
        <f t="shared" si="118"/>
        <v>6</v>
      </c>
      <c r="M108" s="141">
        <f t="shared" si="118"/>
        <v>6</v>
      </c>
      <c r="N108" s="141">
        <f t="shared" si="118"/>
        <v>0</v>
      </c>
      <c r="O108" s="141">
        <f t="shared" si="118"/>
        <v>0</v>
      </c>
      <c r="P108" s="141">
        <f t="shared" si="118"/>
        <v>0</v>
      </c>
      <c r="Q108" s="141">
        <f t="shared" si="118"/>
        <v>0</v>
      </c>
      <c r="R108" s="141">
        <f t="shared" si="118"/>
        <v>0</v>
      </c>
      <c r="S108" s="141">
        <f t="shared" si="118"/>
        <v>0</v>
      </c>
      <c r="T108" s="141">
        <f t="shared" si="118"/>
        <v>0</v>
      </c>
      <c r="U108" s="141">
        <f t="shared" si="118"/>
        <v>0</v>
      </c>
      <c r="V108" s="141">
        <f t="shared" si="118"/>
        <v>0</v>
      </c>
      <c r="W108" s="141">
        <f t="shared" si="118"/>
        <v>0</v>
      </c>
      <c r="X108" s="141">
        <f t="shared" si="118"/>
        <v>0</v>
      </c>
      <c r="Y108" s="141">
        <f t="shared" si="118"/>
        <v>0</v>
      </c>
      <c r="Z108" s="141">
        <f t="shared" si="118"/>
        <v>0</v>
      </c>
      <c r="AA108" s="141">
        <f t="shared" si="118"/>
        <v>0</v>
      </c>
      <c r="AB108" s="141">
        <f t="shared" si="118"/>
        <v>0</v>
      </c>
      <c r="AC108" s="141">
        <f t="shared" si="118"/>
        <v>0</v>
      </c>
      <c r="AD108" s="141">
        <f t="shared" si="118"/>
        <v>0</v>
      </c>
      <c r="AE108" s="141">
        <f t="shared" si="118"/>
        <v>0</v>
      </c>
      <c r="AF108" s="141">
        <f t="shared" si="118"/>
        <v>0</v>
      </c>
      <c r="AG108" s="141">
        <f t="shared" si="118"/>
        <v>0</v>
      </c>
      <c r="AH108" s="154" t="s">
        <v>12</v>
      </c>
      <c r="AI108" s="133"/>
      <c r="AJ108" s="170"/>
      <c r="AK108" s="133"/>
      <c r="AL108" s="133"/>
    </row>
    <row r="109" spans="1:57" ht="19.5" hidden="1" customHeight="1" x14ac:dyDescent="0.25">
      <c r="A109" s="176"/>
      <c r="B109" s="149" t="s">
        <v>65</v>
      </c>
      <c r="C109" s="141">
        <f t="shared" ref="C109:AG109" si="119">IF(D46=1,IF(C102&gt;C103,C103,0),0)</f>
        <v>0</v>
      </c>
      <c r="D109" s="141">
        <f t="shared" si="119"/>
        <v>0</v>
      </c>
      <c r="E109" s="141">
        <f t="shared" si="119"/>
        <v>0</v>
      </c>
      <c r="F109" s="141">
        <f t="shared" si="119"/>
        <v>0</v>
      </c>
      <c r="G109" s="141">
        <f t="shared" si="119"/>
        <v>0</v>
      </c>
      <c r="H109" s="141">
        <f t="shared" si="119"/>
        <v>0</v>
      </c>
      <c r="I109" s="141">
        <f t="shared" si="119"/>
        <v>0</v>
      </c>
      <c r="J109" s="141">
        <f t="shared" si="119"/>
        <v>0</v>
      </c>
      <c r="K109" s="141">
        <f t="shared" si="119"/>
        <v>6</v>
      </c>
      <c r="L109" s="141">
        <f t="shared" si="119"/>
        <v>6</v>
      </c>
      <c r="M109" s="141">
        <f t="shared" si="119"/>
        <v>0</v>
      </c>
      <c r="N109" s="141">
        <f t="shared" si="119"/>
        <v>0</v>
      </c>
      <c r="O109" s="141">
        <f t="shared" si="119"/>
        <v>0</v>
      </c>
      <c r="P109" s="141">
        <f t="shared" si="119"/>
        <v>0</v>
      </c>
      <c r="Q109" s="141">
        <f t="shared" si="119"/>
        <v>0</v>
      </c>
      <c r="R109" s="141">
        <f t="shared" si="119"/>
        <v>0</v>
      </c>
      <c r="S109" s="141">
        <f t="shared" si="119"/>
        <v>0</v>
      </c>
      <c r="T109" s="141">
        <f t="shared" si="119"/>
        <v>0</v>
      </c>
      <c r="U109" s="141">
        <f t="shared" si="119"/>
        <v>0</v>
      </c>
      <c r="V109" s="141">
        <f t="shared" si="119"/>
        <v>0</v>
      </c>
      <c r="W109" s="141">
        <f t="shared" si="119"/>
        <v>0</v>
      </c>
      <c r="X109" s="141">
        <f>IF(Y46=1,IF(X102&gt;X103,X103,0),0)</f>
        <v>0</v>
      </c>
      <c r="Y109" s="141">
        <f t="shared" si="119"/>
        <v>0</v>
      </c>
      <c r="Z109" s="141">
        <f t="shared" si="119"/>
        <v>0</v>
      </c>
      <c r="AA109" s="141">
        <f t="shared" si="119"/>
        <v>0</v>
      </c>
      <c r="AB109" s="141">
        <f t="shared" si="119"/>
        <v>0</v>
      </c>
      <c r="AC109" s="141">
        <f t="shared" si="119"/>
        <v>0</v>
      </c>
      <c r="AD109" s="141">
        <f t="shared" si="119"/>
        <v>0</v>
      </c>
      <c r="AE109" s="141">
        <f t="shared" si="119"/>
        <v>0</v>
      </c>
      <c r="AF109" s="141">
        <f t="shared" si="119"/>
        <v>0</v>
      </c>
      <c r="AG109" s="141">
        <f t="shared" si="119"/>
        <v>0</v>
      </c>
      <c r="AH109" s="154" t="s">
        <v>12</v>
      </c>
      <c r="AI109" s="133"/>
      <c r="AJ109" s="170"/>
      <c r="AK109" s="133"/>
      <c r="AL109" s="133"/>
    </row>
    <row r="110" spans="1:57" ht="19.5" hidden="1" customHeight="1" x14ac:dyDescent="0.25">
      <c r="A110" s="176"/>
      <c r="B110" s="149" t="s">
        <v>67</v>
      </c>
      <c r="C110" s="171">
        <f t="shared" ref="C110:AG110" si="120">SUM(C107:C109)</f>
        <v>0</v>
      </c>
      <c r="D110" s="171">
        <f t="shared" si="120"/>
        <v>0</v>
      </c>
      <c r="E110" s="171">
        <f t="shared" si="120"/>
        <v>0</v>
      </c>
      <c r="F110" s="171">
        <f t="shared" si="120"/>
        <v>0</v>
      </c>
      <c r="G110" s="171">
        <f t="shared" si="120"/>
        <v>0</v>
      </c>
      <c r="H110" s="171">
        <f t="shared" si="120"/>
        <v>0</v>
      </c>
      <c r="I110" s="171">
        <f t="shared" si="120"/>
        <v>0</v>
      </c>
      <c r="J110" s="171">
        <f t="shared" si="120"/>
        <v>0</v>
      </c>
      <c r="K110" s="171">
        <f t="shared" si="120"/>
        <v>6</v>
      </c>
      <c r="L110" s="171">
        <f t="shared" si="120"/>
        <v>12</v>
      </c>
      <c r="M110" s="171">
        <f t="shared" si="120"/>
        <v>6</v>
      </c>
      <c r="N110" s="171">
        <f t="shared" si="120"/>
        <v>0</v>
      </c>
      <c r="O110" s="171">
        <f t="shared" si="120"/>
        <v>0</v>
      </c>
      <c r="P110" s="171">
        <f t="shared" si="120"/>
        <v>0</v>
      </c>
      <c r="Q110" s="171">
        <f t="shared" si="120"/>
        <v>0</v>
      </c>
      <c r="R110" s="171">
        <f t="shared" si="120"/>
        <v>0</v>
      </c>
      <c r="S110" s="171">
        <f t="shared" si="120"/>
        <v>0</v>
      </c>
      <c r="T110" s="171">
        <f t="shared" si="120"/>
        <v>0</v>
      </c>
      <c r="U110" s="171">
        <f t="shared" si="120"/>
        <v>0</v>
      </c>
      <c r="V110" s="171">
        <f t="shared" si="120"/>
        <v>0</v>
      </c>
      <c r="W110" s="171">
        <f t="shared" si="120"/>
        <v>0</v>
      </c>
      <c r="X110" s="171">
        <f t="shared" si="120"/>
        <v>0</v>
      </c>
      <c r="Y110" s="171">
        <f t="shared" si="120"/>
        <v>0</v>
      </c>
      <c r="Z110" s="171">
        <f t="shared" si="120"/>
        <v>12</v>
      </c>
      <c r="AA110" s="171">
        <f t="shared" si="120"/>
        <v>12</v>
      </c>
      <c r="AB110" s="171">
        <f t="shared" si="120"/>
        <v>0</v>
      </c>
      <c r="AC110" s="171">
        <f t="shared" si="120"/>
        <v>0</v>
      </c>
      <c r="AD110" s="171">
        <f t="shared" si="120"/>
        <v>0</v>
      </c>
      <c r="AE110" s="171">
        <f t="shared" si="120"/>
        <v>0</v>
      </c>
      <c r="AF110" s="171">
        <f t="shared" si="120"/>
        <v>0</v>
      </c>
      <c r="AG110" s="171">
        <f t="shared" si="120"/>
        <v>0</v>
      </c>
      <c r="AH110" s="154" t="s">
        <v>12</v>
      </c>
      <c r="AI110" s="133"/>
      <c r="AJ110" s="170"/>
      <c r="AK110" s="133"/>
      <c r="AL110" s="133"/>
    </row>
    <row r="111" spans="1:57" ht="19.5" hidden="1" customHeight="1" x14ac:dyDescent="0.25">
      <c r="A111" s="177"/>
      <c r="B111" s="160" t="s">
        <v>68</v>
      </c>
      <c r="C111" s="161">
        <f t="shared" ref="C111:AG111" si="121">IF(C14="V",IF(C14="",0,1),0)</f>
        <v>0</v>
      </c>
      <c r="D111" s="161">
        <f t="shared" si="121"/>
        <v>0</v>
      </c>
      <c r="E111" s="161">
        <f t="shared" si="121"/>
        <v>0</v>
      </c>
      <c r="F111" s="161">
        <f t="shared" si="121"/>
        <v>0</v>
      </c>
      <c r="G111" s="161">
        <f t="shared" si="121"/>
        <v>0</v>
      </c>
      <c r="H111" s="161">
        <f t="shared" si="121"/>
        <v>0</v>
      </c>
      <c r="I111" s="161">
        <f t="shared" si="121"/>
        <v>0</v>
      </c>
      <c r="J111" s="161">
        <f t="shared" si="121"/>
        <v>0</v>
      </c>
      <c r="K111" s="161">
        <f t="shared" si="121"/>
        <v>0</v>
      </c>
      <c r="L111" s="161">
        <f t="shared" si="121"/>
        <v>0</v>
      </c>
      <c r="M111" s="161">
        <f t="shared" si="121"/>
        <v>0</v>
      </c>
      <c r="N111" s="161">
        <f t="shared" si="121"/>
        <v>0</v>
      </c>
      <c r="O111" s="161">
        <f t="shared" si="121"/>
        <v>0</v>
      </c>
      <c r="P111" s="161">
        <f t="shared" si="121"/>
        <v>0</v>
      </c>
      <c r="Q111" s="161">
        <f t="shared" si="121"/>
        <v>0</v>
      </c>
      <c r="R111" s="161">
        <f t="shared" si="121"/>
        <v>0</v>
      </c>
      <c r="S111" s="161">
        <f t="shared" si="121"/>
        <v>0</v>
      </c>
      <c r="T111" s="161">
        <f t="shared" si="121"/>
        <v>0</v>
      </c>
      <c r="U111" s="161">
        <f t="shared" si="121"/>
        <v>0</v>
      </c>
      <c r="V111" s="161">
        <f t="shared" si="121"/>
        <v>0</v>
      </c>
      <c r="W111" s="161">
        <f t="shared" si="121"/>
        <v>0</v>
      </c>
      <c r="X111" s="161">
        <f t="shared" si="121"/>
        <v>0</v>
      </c>
      <c r="Y111" s="161">
        <f t="shared" si="121"/>
        <v>0</v>
      </c>
      <c r="Z111" s="161">
        <f t="shared" si="121"/>
        <v>0</v>
      </c>
      <c r="AA111" s="161">
        <f t="shared" si="121"/>
        <v>0</v>
      </c>
      <c r="AB111" s="161">
        <f t="shared" si="121"/>
        <v>0</v>
      </c>
      <c r="AC111" s="161">
        <f t="shared" si="121"/>
        <v>0</v>
      </c>
      <c r="AD111" s="161">
        <f t="shared" si="121"/>
        <v>0</v>
      </c>
      <c r="AE111" s="161">
        <f t="shared" si="121"/>
        <v>0</v>
      </c>
      <c r="AF111" s="161">
        <f t="shared" si="121"/>
        <v>0</v>
      </c>
      <c r="AG111" s="161">
        <f t="shared" si="121"/>
        <v>0</v>
      </c>
      <c r="AH111" s="154" t="s">
        <v>12</v>
      </c>
      <c r="AI111" s="133"/>
      <c r="AJ111" s="170"/>
      <c r="AK111" s="133"/>
      <c r="AL111" s="133"/>
    </row>
    <row r="112" spans="1:57" ht="19.5" hidden="1" customHeight="1" x14ac:dyDescent="0.25">
      <c r="A112" s="180"/>
      <c r="B112" s="181" t="s">
        <v>16</v>
      </c>
      <c r="C112" s="182">
        <f t="shared" ref="C112:AG112" si="122">IF(C14="PR",IF(C14="",0,1),0)</f>
        <v>0</v>
      </c>
      <c r="D112" s="182">
        <f t="shared" si="122"/>
        <v>0</v>
      </c>
      <c r="E112" s="182">
        <f t="shared" si="122"/>
        <v>0</v>
      </c>
      <c r="F112" s="182">
        <f t="shared" si="122"/>
        <v>0</v>
      </c>
      <c r="G112" s="182">
        <f t="shared" si="122"/>
        <v>0</v>
      </c>
      <c r="H112" s="182">
        <f t="shared" si="122"/>
        <v>0</v>
      </c>
      <c r="I112" s="182">
        <f t="shared" si="122"/>
        <v>0</v>
      </c>
      <c r="J112" s="182">
        <f t="shared" si="122"/>
        <v>0</v>
      </c>
      <c r="K112" s="182">
        <f t="shared" si="122"/>
        <v>0</v>
      </c>
      <c r="L112" s="182">
        <f t="shared" si="122"/>
        <v>0</v>
      </c>
      <c r="M112" s="182">
        <f t="shared" si="122"/>
        <v>0</v>
      </c>
      <c r="N112" s="182">
        <f t="shared" si="122"/>
        <v>0</v>
      </c>
      <c r="O112" s="182">
        <f t="shared" si="122"/>
        <v>0</v>
      </c>
      <c r="P112" s="182">
        <f t="shared" si="122"/>
        <v>0</v>
      </c>
      <c r="Q112" s="182">
        <f t="shared" si="122"/>
        <v>0</v>
      </c>
      <c r="R112" s="182">
        <f t="shared" si="122"/>
        <v>0</v>
      </c>
      <c r="S112" s="182">
        <f t="shared" si="122"/>
        <v>0</v>
      </c>
      <c r="T112" s="182">
        <f t="shared" si="122"/>
        <v>0</v>
      </c>
      <c r="U112" s="182">
        <f t="shared" si="122"/>
        <v>0</v>
      </c>
      <c r="V112" s="182">
        <f t="shared" si="122"/>
        <v>0</v>
      </c>
      <c r="W112" s="182">
        <f t="shared" si="122"/>
        <v>0</v>
      </c>
      <c r="X112" s="182">
        <f t="shared" si="122"/>
        <v>0</v>
      </c>
      <c r="Y112" s="182">
        <f t="shared" si="122"/>
        <v>0</v>
      </c>
      <c r="Z112" s="182">
        <f t="shared" si="122"/>
        <v>0</v>
      </c>
      <c r="AA112" s="182">
        <f t="shared" si="122"/>
        <v>0</v>
      </c>
      <c r="AB112" s="182">
        <f t="shared" si="122"/>
        <v>0</v>
      </c>
      <c r="AC112" s="182">
        <f t="shared" si="122"/>
        <v>0</v>
      </c>
      <c r="AD112" s="182">
        <f t="shared" si="122"/>
        <v>0</v>
      </c>
      <c r="AE112" s="182">
        <f t="shared" si="122"/>
        <v>0</v>
      </c>
      <c r="AF112" s="182">
        <f t="shared" si="122"/>
        <v>0</v>
      </c>
      <c r="AG112" s="182">
        <f t="shared" si="122"/>
        <v>0</v>
      </c>
      <c r="AH112" s="227">
        <f>SUM(C112:AG112)</f>
        <v>0</v>
      </c>
      <c r="AI112" s="227"/>
      <c r="AJ112" s="174" t="s">
        <v>69</v>
      </c>
      <c r="AK112" s="133"/>
      <c r="AL112" s="133"/>
    </row>
    <row r="113" spans="1:57" s="31" customFormat="1" ht="19.5" hidden="1" customHeight="1" x14ac:dyDescent="0.25">
      <c r="A113" s="164" t="s">
        <v>81</v>
      </c>
      <c r="B113" s="165" t="s">
        <v>29</v>
      </c>
      <c r="C113" s="141" t="str">
        <f t="shared" ref="C113:AG113" si="123">IF(C15=$R32,$S32*24,IF(C15=$R33,$S33*24,IF(C15=$R34,$S34*24,IF(C15=$R35,$S35*24,IF(C15=$R36,$S36*24,IF(C15=$R37,$S37*24,IF(C15=$R38,$S38*24,IF(C15=$R39,$S39*24,IF(C15=$R40,$S40*24,"")))))))))</f>
        <v/>
      </c>
      <c r="D113" s="141">
        <f t="shared" si="123"/>
        <v>18</v>
      </c>
      <c r="E113" s="141">
        <f t="shared" si="123"/>
        <v>18</v>
      </c>
      <c r="F113" s="141">
        <f t="shared" si="123"/>
        <v>18</v>
      </c>
      <c r="G113" s="141" t="str">
        <f t="shared" si="123"/>
        <v/>
      </c>
      <c r="H113" s="141" t="str">
        <f t="shared" si="123"/>
        <v/>
      </c>
      <c r="I113" s="141">
        <f t="shared" si="123"/>
        <v>18</v>
      </c>
      <c r="J113" s="141">
        <f t="shared" si="123"/>
        <v>18</v>
      </c>
      <c r="K113" s="141" t="str">
        <f t="shared" si="123"/>
        <v/>
      </c>
      <c r="L113" s="141" t="str">
        <f t="shared" si="123"/>
        <v/>
      </c>
      <c r="M113" s="141" t="str">
        <f t="shared" si="123"/>
        <v/>
      </c>
      <c r="N113" s="141" t="str">
        <f t="shared" si="123"/>
        <v/>
      </c>
      <c r="O113" s="141">
        <f t="shared" si="123"/>
        <v>18</v>
      </c>
      <c r="P113" s="141" t="str">
        <f t="shared" si="123"/>
        <v/>
      </c>
      <c r="Q113" s="141">
        <f t="shared" si="123"/>
        <v>22</v>
      </c>
      <c r="R113" s="141">
        <f t="shared" si="123"/>
        <v>18</v>
      </c>
      <c r="S113" s="141">
        <f t="shared" si="123"/>
        <v>18</v>
      </c>
      <c r="T113" s="141">
        <f t="shared" si="123"/>
        <v>18</v>
      </c>
      <c r="U113" s="141">
        <f t="shared" si="123"/>
        <v>22</v>
      </c>
      <c r="V113" s="141" t="str">
        <f t="shared" si="123"/>
        <v/>
      </c>
      <c r="W113" s="141" t="str">
        <f t="shared" si="123"/>
        <v/>
      </c>
      <c r="X113" s="141">
        <f t="shared" si="123"/>
        <v>18</v>
      </c>
      <c r="Y113" s="141" t="str">
        <f t="shared" si="123"/>
        <v/>
      </c>
      <c r="Z113" s="141" t="str">
        <f t="shared" si="123"/>
        <v/>
      </c>
      <c r="AA113" s="141" t="str">
        <f t="shared" si="123"/>
        <v/>
      </c>
      <c r="AB113" s="141">
        <f t="shared" si="123"/>
        <v>18</v>
      </c>
      <c r="AC113" s="141">
        <f t="shared" si="123"/>
        <v>18</v>
      </c>
      <c r="AD113" s="141" t="str">
        <f t="shared" si="123"/>
        <v/>
      </c>
      <c r="AE113" s="141" t="str">
        <f t="shared" si="123"/>
        <v/>
      </c>
      <c r="AF113" s="141">
        <f t="shared" si="123"/>
        <v>18</v>
      </c>
      <c r="AG113" s="141">
        <f t="shared" si="123"/>
        <v>18</v>
      </c>
      <c r="AH113" s="154" t="s">
        <v>12</v>
      </c>
      <c r="AI113" s="133"/>
      <c r="AJ113" s="170"/>
      <c r="AK113" s="133"/>
      <c r="AL113" s="133"/>
      <c r="BE113" s="1"/>
    </row>
    <row r="114" spans="1:57" ht="19.5" hidden="1" customHeight="1" x14ac:dyDescent="0.25">
      <c r="A114" s="166" t="s">
        <v>82</v>
      </c>
      <c r="B114" s="167" t="s">
        <v>30</v>
      </c>
      <c r="C114" s="141" t="str">
        <f t="shared" ref="C114:AG114" si="124">IF(C15=$R32,$V32*24,IF(C15=$R33,$V33*24,IF(C15=$R34,$V34*24,IF(C15=$R35,$V35*24,IF(C15=$R36,$V36*24,IF(C15=$R37,$V37*24,IF(C15=$R38,$V38*24,IF(C15=$R39,$V39*24,IF(C15=$R40,$V40*24,"")))))))))</f>
        <v/>
      </c>
      <c r="D114" s="141">
        <f t="shared" si="124"/>
        <v>6</v>
      </c>
      <c r="E114" s="141">
        <f t="shared" si="124"/>
        <v>6</v>
      </c>
      <c r="F114" s="141">
        <f t="shared" si="124"/>
        <v>6</v>
      </c>
      <c r="G114" s="141" t="str">
        <f t="shared" si="124"/>
        <v/>
      </c>
      <c r="H114" s="141" t="str">
        <f t="shared" si="124"/>
        <v/>
      </c>
      <c r="I114" s="141">
        <f t="shared" si="124"/>
        <v>6</v>
      </c>
      <c r="J114" s="141">
        <f t="shared" si="124"/>
        <v>6</v>
      </c>
      <c r="K114" s="141" t="str">
        <f t="shared" si="124"/>
        <v/>
      </c>
      <c r="L114" s="141" t="str">
        <f t="shared" si="124"/>
        <v/>
      </c>
      <c r="M114" s="141" t="str">
        <f t="shared" si="124"/>
        <v/>
      </c>
      <c r="N114" s="141" t="str">
        <f t="shared" si="124"/>
        <v/>
      </c>
      <c r="O114" s="141">
        <f t="shared" si="124"/>
        <v>6</v>
      </c>
      <c r="P114" s="141" t="str">
        <f t="shared" si="124"/>
        <v/>
      </c>
      <c r="Q114" s="141">
        <f t="shared" si="124"/>
        <v>6</v>
      </c>
      <c r="R114" s="141">
        <f t="shared" si="124"/>
        <v>6</v>
      </c>
      <c r="S114" s="141">
        <f t="shared" si="124"/>
        <v>6</v>
      </c>
      <c r="T114" s="141">
        <f t="shared" si="124"/>
        <v>6</v>
      </c>
      <c r="U114" s="141">
        <f t="shared" si="124"/>
        <v>6</v>
      </c>
      <c r="V114" s="141" t="str">
        <f t="shared" si="124"/>
        <v/>
      </c>
      <c r="W114" s="141" t="str">
        <f t="shared" si="124"/>
        <v/>
      </c>
      <c r="X114" s="141">
        <f t="shared" si="124"/>
        <v>6</v>
      </c>
      <c r="Y114" s="141" t="str">
        <f t="shared" si="124"/>
        <v/>
      </c>
      <c r="Z114" s="141" t="str">
        <f t="shared" si="124"/>
        <v/>
      </c>
      <c r="AA114" s="141" t="str">
        <f t="shared" si="124"/>
        <v/>
      </c>
      <c r="AB114" s="141">
        <f t="shared" si="124"/>
        <v>6</v>
      </c>
      <c r="AC114" s="141">
        <f t="shared" si="124"/>
        <v>6</v>
      </c>
      <c r="AD114" s="141" t="str">
        <f t="shared" si="124"/>
        <v/>
      </c>
      <c r="AE114" s="141" t="str">
        <f t="shared" si="124"/>
        <v/>
      </c>
      <c r="AF114" s="141">
        <f t="shared" si="124"/>
        <v>6</v>
      </c>
      <c r="AG114" s="141">
        <f t="shared" si="124"/>
        <v>6</v>
      </c>
      <c r="AH114" s="154" t="s">
        <v>12</v>
      </c>
      <c r="AI114" s="133"/>
      <c r="AJ114" s="170"/>
      <c r="AK114" s="133"/>
      <c r="AL114" s="133"/>
    </row>
    <row r="115" spans="1:57" ht="19.5" hidden="1" customHeight="1" x14ac:dyDescent="0.25">
      <c r="A115" s="153"/>
      <c r="B115" s="168" t="s">
        <v>34</v>
      </c>
      <c r="C115" s="169" t="str">
        <f t="shared" ref="C115:X115" si="125">IF(C15=$R32,$BD32*24,IF(C15=$R33,$BD33*24,IF(C15=$R34,$BD34*24,IF(C15=$R35,$BD35*24,IF(C15=$R36,$BD36*24,IF(C15=$R37,$BD37*24,IF(C15=$R38,$BD38*24,IF(C15=$R39,$BD39*24,IF(C15=$R40,$BD40*24,"")))))))))</f>
        <v/>
      </c>
      <c r="D115" s="169">
        <f t="shared" si="125"/>
        <v>8</v>
      </c>
      <c r="E115" s="169">
        <f t="shared" si="125"/>
        <v>8</v>
      </c>
      <c r="F115" s="169">
        <f t="shared" si="125"/>
        <v>8</v>
      </c>
      <c r="G115" s="169" t="str">
        <f t="shared" si="125"/>
        <v/>
      </c>
      <c r="H115" s="169" t="str">
        <f t="shared" si="125"/>
        <v/>
      </c>
      <c r="I115" s="169">
        <f t="shared" si="125"/>
        <v>8</v>
      </c>
      <c r="J115" s="169">
        <f t="shared" si="125"/>
        <v>8</v>
      </c>
      <c r="K115" s="169" t="str">
        <f t="shared" si="125"/>
        <v/>
      </c>
      <c r="L115" s="169" t="str">
        <f t="shared" si="125"/>
        <v/>
      </c>
      <c r="M115" s="169" t="str">
        <f t="shared" si="125"/>
        <v/>
      </c>
      <c r="N115" s="169" t="str">
        <f t="shared" si="125"/>
        <v/>
      </c>
      <c r="O115" s="169">
        <f t="shared" si="125"/>
        <v>8</v>
      </c>
      <c r="P115" s="169" t="str">
        <f t="shared" si="125"/>
        <v/>
      </c>
      <c r="Q115" s="169">
        <f t="shared" si="125"/>
        <v>8</v>
      </c>
      <c r="R115" s="169">
        <f t="shared" si="125"/>
        <v>8</v>
      </c>
      <c r="S115" s="169">
        <f t="shared" si="125"/>
        <v>8</v>
      </c>
      <c r="T115" s="169">
        <f t="shared" si="125"/>
        <v>8</v>
      </c>
      <c r="U115" s="169">
        <f t="shared" si="125"/>
        <v>8</v>
      </c>
      <c r="V115" s="169" t="str">
        <f t="shared" si="125"/>
        <v/>
      </c>
      <c r="W115" s="169" t="str">
        <f t="shared" si="125"/>
        <v/>
      </c>
      <c r="X115" s="169">
        <f t="shared" si="125"/>
        <v>8</v>
      </c>
      <c r="Y115" s="169" t="str">
        <f t="shared" ref="Y115:AD115" si="126">IF(Y15=$R32,$BD32*24,IF(Y15=$R33,$BD33*24,IF(Y15=$R34,$BD34*24,IF(Y15=$R35,$BD35*24,IF(Y15=$R36,$BD36*24,IF(Y15=$R37,$BD37*24,IF(Y15=$R38,$BD38*24,IF(Y15=$R39,$BD39*24,IF(Y15=$R40,$BD40*24,"")))))))))</f>
        <v/>
      </c>
      <c r="Z115" s="169" t="str">
        <f t="shared" si="126"/>
        <v/>
      </c>
      <c r="AA115" s="169" t="str">
        <f t="shared" si="126"/>
        <v/>
      </c>
      <c r="AB115" s="169">
        <f t="shared" si="126"/>
        <v>8</v>
      </c>
      <c r="AC115" s="169">
        <f t="shared" si="126"/>
        <v>8</v>
      </c>
      <c r="AD115" s="169" t="str">
        <f t="shared" si="126"/>
        <v/>
      </c>
      <c r="AE115" s="169" t="str">
        <f>IF(AE15=$R32,$BD32*24,IF(AE15=$R33,$BD33*24,IF(AE15=$R34,$BD34*24,IF(AE15=$R35,$BD35*24,IF(AE15=$R36,$BD36*24,IF(AE15=$R37,$BD37*24,IF(AE15=$R38,$BD38*24,IF(AE15=$R39,$BD39*24,IF(AE15=$R40,$BD40*24,"")))))))))</f>
        <v/>
      </c>
      <c r="AF115" s="169">
        <f>IF(AF15=$R32,$BD32*24,IF(AF15=$R33,$BD33*24,IF(AF15=$R34,$BD34*24,IF(AF15=$R35,$BD35*24,IF(AF15=$R36,$BD36*24,IF(AF15=$R37,$BD37*24,IF(AF15=$R38,$BD38*24,IF(AF15=$R39,$BD39*24,IF(AF15=$R40,$BD40*24,"")))))))))</f>
        <v>8</v>
      </c>
      <c r="AG115" s="169">
        <f>IF(AG15=$R32,$BD32*24,IF(AG15=$R33,$BD33*24,IF(AG15=$R34,$BD34*24,IF(AG15=$R35,$BD35*24,IF(AG15=$R36,$BD36*24,IF(AG15=$R37,$BD37*24,IF(AG15=$R38,$BD38*24,IF(AG15=$R39,$BD39*24,IF(AG15=$R40,$BD40*24,"")))))))))</f>
        <v>8</v>
      </c>
      <c r="AH115" s="148">
        <f>SUM(C115:AG115)</f>
        <v>128</v>
      </c>
      <c r="AI115" s="133"/>
      <c r="AJ115" s="170"/>
      <c r="AK115" s="133"/>
      <c r="AL115" s="133"/>
    </row>
    <row r="116" spans="1:57" ht="19.5" hidden="1" customHeight="1" x14ac:dyDescent="0.25">
      <c r="A116" s="153"/>
      <c r="B116" s="167" t="s">
        <v>59</v>
      </c>
      <c r="C116" s="141">
        <f t="shared" ref="C116:AG116" si="127">IF(C15="V",$C36,IF(C15="PR",$C38,0))</f>
        <v>0</v>
      </c>
      <c r="D116" s="141">
        <f t="shared" si="127"/>
        <v>0</v>
      </c>
      <c r="E116" s="141">
        <f t="shared" si="127"/>
        <v>0</v>
      </c>
      <c r="F116" s="141">
        <f t="shared" si="127"/>
        <v>0</v>
      </c>
      <c r="G116" s="141">
        <f t="shared" si="127"/>
        <v>0</v>
      </c>
      <c r="H116" s="141">
        <f t="shared" si="127"/>
        <v>0</v>
      </c>
      <c r="I116" s="141">
        <f t="shared" si="127"/>
        <v>0</v>
      </c>
      <c r="J116" s="141">
        <f t="shared" si="127"/>
        <v>0</v>
      </c>
      <c r="K116" s="141">
        <f t="shared" si="127"/>
        <v>0</v>
      </c>
      <c r="L116" s="141">
        <f t="shared" si="127"/>
        <v>0</v>
      </c>
      <c r="M116" s="141">
        <f t="shared" si="127"/>
        <v>0</v>
      </c>
      <c r="N116" s="141">
        <f t="shared" si="127"/>
        <v>0</v>
      </c>
      <c r="O116" s="141">
        <f t="shared" si="127"/>
        <v>0</v>
      </c>
      <c r="P116" s="141">
        <f t="shared" si="127"/>
        <v>0</v>
      </c>
      <c r="Q116" s="141">
        <f t="shared" si="127"/>
        <v>0</v>
      </c>
      <c r="R116" s="141">
        <f t="shared" si="127"/>
        <v>0</v>
      </c>
      <c r="S116" s="141">
        <f t="shared" si="127"/>
        <v>0</v>
      </c>
      <c r="T116" s="141">
        <f t="shared" si="127"/>
        <v>0</v>
      </c>
      <c r="U116" s="141">
        <f t="shared" si="127"/>
        <v>0</v>
      </c>
      <c r="V116" s="141">
        <f t="shared" si="127"/>
        <v>0</v>
      </c>
      <c r="W116" s="141">
        <f t="shared" si="127"/>
        <v>0</v>
      </c>
      <c r="X116" s="141">
        <f t="shared" si="127"/>
        <v>0</v>
      </c>
      <c r="Y116" s="141">
        <f t="shared" si="127"/>
        <v>0</v>
      </c>
      <c r="Z116" s="141">
        <f t="shared" si="127"/>
        <v>0</v>
      </c>
      <c r="AA116" s="141">
        <f t="shared" si="127"/>
        <v>0</v>
      </c>
      <c r="AB116" s="141">
        <f t="shared" si="127"/>
        <v>0</v>
      </c>
      <c r="AC116" s="141">
        <f t="shared" si="127"/>
        <v>0</v>
      </c>
      <c r="AD116" s="141">
        <f t="shared" si="127"/>
        <v>0</v>
      </c>
      <c r="AE116" s="141">
        <f t="shared" si="127"/>
        <v>0</v>
      </c>
      <c r="AF116" s="141">
        <f t="shared" si="127"/>
        <v>0</v>
      </c>
      <c r="AG116" s="141">
        <f t="shared" si="127"/>
        <v>0</v>
      </c>
      <c r="AH116" s="226">
        <f>SUM(C116:AG116)</f>
        <v>0</v>
      </c>
      <c r="AI116" s="226"/>
      <c r="AJ116" s="230">
        <f>SUM(AH61+AH72+AH83+AH94+AH105+AH116)</f>
        <v>0</v>
      </c>
      <c r="AK116" s="230"/>
      <c r="AL116" s="133" t="s">
        <v>56</v>
      </c>
    </row>
    <row r="117" spans="1:57" ht="19.5" hidden="1" customHeight="1" x14ac:dyDescent="0.25">
      <c r="A117" s="150" t="s">
        <v>60</v>
      </c>
      <c r="B117" s="167" t="s">
        <v>61</v>
      </c>
      <c r="C117" s="151">
        <f t="shared" ref="C117:X117" si="128">IF(C15=$R32,$BC32,IF(C15=$R33,$BC33,IF(C15=$R34,$BC34,IF(C15=$R35,$BC35,IF(C15=$R36,$BC36,IF(C15=$R37,$BC37,IF(C15=$R38,$BC38,IF(C15=$R39,$BC39,IF(C15=$R40,$BC40,0)))))))))</f>
        <v>0</v>
      </c>
      <c r="D117" s="151">
        <f t="shared" si="128"/>
        <v>12</v>
      </c>
      <c r="E117" s="151">
        <f t="shared" si="128"/>
        <v>12</v>
      </c>
      <c r="F117" s="151">
        <f t="shared" si="128"/>
        <v>12</v>
      </c>
      <c r="G117" s="151">
        <f t="shared" si="128"/>
        <v>0</v>
      </c>
      <c r="H117" s="151">
        <f t="shared" si="128"/>
        <v>0</v>
      </c>
      <c r="I117" s="151">
        <f t="shared" si="128"/>
        <v>12</v>
      </c>
      <c r="J117" s="151">
        <f t="shared" si="128"/>
        <v>12</v>
      </c>
      <c r="K117" s="151">
        <f t="shared" si="128"/>
        <v>0</v>
      </c>
      <c r="L117" s="151">
        <f t="shared" si="128"/>
        <v>0</v>
      </c>
      <c r="M117" s="151">
        <f t="shared" si="128"/>
        <v>0</v>
      </c>
      <c r="N117" s="151">
        <f t="shared" si="128"/>
        <v>0</v>
      </c>
      <c r="O117" s="151">
        <f t="shared" si="128"/>
        <v>12</v>
      </c>
      <c r="P117" s="151">
        <f t="shared" si="128"/>
        <v>0</v>
      </c>
      <c r="Q117" s="151">
        <f t="shared" si="128"/>
        <v>7.9999999999999716</v>
      </c>
      <c r="R117" s="151">
        <f t="shared" si="128"/>
        <v>12</v>
      </c>
      <c r="S117" s="151">
        <f t="shared" si="128"/>
        <v>12</v>
      </c>
      <c r="T117" s="151">
        <f t="shared" si="128"/>
        <v>12</v>
      </c>
      <c r="U117" s="151">
        <f t="shared" si="128"/>
        <v>7.9999999999999716</v>
      </c>
      <c r="V117" s="151">
        <f t="shared" si="128"/>
        <v>0</v>
      </c>
      <c r="W117" s="151">
        <f t="shared" si="128"/>
        <v>0</v>
      </c>
      <c r="X117" s="151">
        <f t="shared" si="128"/>
        <v>12</v>
      </c>
      <c r="Y117" s="151">
        <f t="shared" ref="Y117:AD117" si="129">IF(Y15=$R32,$BC32,IF(Y15=$R33,$BC33,IF(Y15=$R34,$BC34,IF(Y15=$R35,$BC35,IF(Y15=$R36,$BC36,IF(Y15=$R37,$BC37,IF(Y15=$R38,$BC38,IF(Y15=$R39,$BC39,IF(Y15=$R40,$BC40,0)))))))))</f>
        <v>0</v>
      </c>
      <c r="Z117" s="151">
        <f t="shared" si="129"/>
        <v>0</v>
      </c>
      <c r="AA117" s="151">
        <f t="shared" si="129"/>
        <v>0</v>
      </c>
      <c r="AB117" s="151">
        <f t="shared" si="129"/>
        <v>12</v>
      </c>
      <c r="AC117" s="151">
        <f t="shared" si="129"/>
        <v>12</v>
      </c>
      <c r="AD117" s="151">
        <f t="shared" si="129"/>
        <v>0</v>
      </c>
      <c r="AE117" s="151">
        <f>IF(AE15=$R32,$BC32,IF(AE15=$R33,$BC33,IF(AE15=$R34,$BC34,IF(AE15=$R35,$BC35,IF(AE15=$R36,$BC36,IF(AE15=$R37,$BC37,IF(AE15=$R38,$BC38,IF(AE15=$R39,$BC39,IF(AE15=$R40,$BC40,0)))))))))</f>
        <v>0</v>
      </c>
      <c r="AF117" s="151">
        <f>IF(AF15=$R32,$BC32,IF(AF15=$R33,$BC33,IF(AF15=$R34,$BC34,IF(AF15=$R35,$BC35,IF(AF15=$R36,$BC36,IF(AF15=$R37,$BC37,IF(AF15=$R38,$BC38,IF(AF15=$R39,$BC39,IF(AF15=$R40,$BC40,0)))))))))</f>
        <v>12</v>
      </c>
      <c r="AG117" s="151">
        <f>IF(AG15=$R32,$BC32,IF(AG15=$R33,$BC33,IF(AG15=$R34,$BC34,IF(AG15=$R35,$BC35,IF(AG15=$R36,$BC36,IF(AG15=$R37,$BC37,IF(AG15=$R38,$BC38,IF(AG15=$R39,$BC39,IF(AG15=$R40,$BC40,0)))))))))</f>
        <v>12</v>
      </c>
      <c r="AH117" s="226">
        <f>SUM(C117:AG117)</f>
        <v>183.99999999999994</v>
      </c>
      <c r="AI117" s="226"/>
      <c r="AJ117" s="174" t="s">
        <v>62</v>
      </c>
      <c r="AK117" s="133" t="s">
        <v>12</v>
      </c>
      <c r="AL117" s="133"/>
    </row>
    <row r="118" spans="1:57" ht="19.5" hidden="1" customHeight="1" x14ac:dyDescent="0.25">
      <c r="A118" s="153" t="s">
        <v>48</v>
      </c>
      <c r="B118" s="149" t="s">
        <v>63</v>
      </c>
      <c r="C118" s="141" t="b">
        <f t="shared" ref="C118:AG118" si="130">IF(C46=1,IF(C113&lt;C114,C117,0))</f>
        <v>0</v>
      </c>
      <c r="D118" s="141" t="b">
        <f t="shared" si="130"/>
        <v>0</v>
      </c>
      <c r="E118" s="141">
        <f t="shared" si="130"/>
        <v>0</v>
      </c>
      <c r="F118" s="141">
        <f t="shared" si="130"/>
        <v>0</v>
      </c>
      <c r="G118" s="141" t="b">
        <f t="shared" si="130"/>
        <v>0</v>
      </c>
      <c r="H118" s="141" t="b">
        <f t="shared" si="130"/>
        <v>0</v>
      </c>
      <c r="I118" s="141" t="b">
        <f t="shared" si="130"/>
        <v>0</v>
      </c>
      <c r="J118" s="141" t="b">
        <f t="shared" si="130"/>
        <v>0</v>
      </c>
      <c r="K118" s="141" t="b">
        <f t="shared" si="130"/>
        <v>0</v>
      </c>
      <c r="L118" s="141">
        <f t="shared" si="130"/>
        <v>0</v>
      </c>
      <c r="M118" s="141">
        <f t="shared" si="130"/>
        <v>0</v>
      </c>
      <c r="N118" s="141" t="b">
        <f t="shared" si="130"/>
        <v>0</v>
      </c>
      <c r="O118" s="141" t="b">
        <f t="shared" si="130"/>
        <v>0</v>
      </c>
      <c r="P118" s="141" t="b">
        <f t="shared" si="130"/>
        <v>0</v>
      </c>
      <c r="Q118" s="141" t="b">
        <f t="shared" si="130"/>
        <v>0</v>
      </c>
      <c r="R118" s="141" t="b">
        <f t="shared" si="130"/>
        <v>0</v>
      </c>
      <c r="S118" s="141">
        <f t="shared" si="130"/>
        <v>0</v>
      </c>
      <c r="T118" s="141">
        <f t="shared" si="130"/>
        <v>0</v>
      </c>
      <c r="U118" s="141" t="b">
        <f t="shared" si="130"/>
        <v>0</v>
      </c>
      <c r="V118" s="141" t="b">
        <f t="shared" si="130"/>
        <v>0</v>
      </c>
      <c r="W118" s="141" t="b">
        <f t="shared" si="130"/>
        <v>0</v>
      </c>
      <c r="X118" s="141" t="b">
        <f t="shared" si="130"/>
        <v>0</v>
      </c>
      <c r="Y118" s="141" t="b">
        <f t="shared" si="130"/>
        <v>0</v>
      </c>
      <c r="Z118" s="141">
        <f t="shared" si="130"/>
        <v>0</v>
      </c>
      <c r="AA118" s="141">
        <f t="shared" si="130"/>
        <v>0</v>
      </c>
      <c r="AB118" s="141" t="b">
        <f t="shared" si="130"/>
        <v>0</v>
      </c>
      <c r="AC118" s="141" t="b">
        <f t="shared" si="130"/>
        <v>0</v>
      </c>
      <c r="AD118" s="141" t="b">
        <f t="shared" si="130"/>
        <v>0</v>
      </c>
      <c r="AE118" s="141" t="b">
        <f t="shared" si="130"/>
        <v>0</v>
      </c>
      <c r="AF118" s="141" t="b">
        <f t="shared" si="130"/>
        <v>0</v>
      </c>
      <c r="AG118" s="141">
        <f t="shared" si="130"/>
        <v>0</v>
      </c>
      <c r="AH118" s="154" t="s">
        <v>12</v>
      </c>
      <c r="AI118" s="133"/>
      <c r="AJ118" s="170"/>
      <c r="AK118" s="133"/>
      <c r="AL118" s="133"/>
    </row>
    <row r="119" spans="1:57" ht="19.5" hidden="1" customHeight="1" x14ac:dyDescent="0.25">
      <c r="A119" s="176"/>
      <c r="B119" s="149" t="s">
        <v>64</v>
      </c>
      <c r="C119" s="141">
        <f t="shared" ref="C119:AG119" si="131">IF(C46=1,IF(C113&gt;C114,24-C113,0),0)</f>
        <v>0</v>
      </c>
      <c r="D119" s="141">
        <f t="shared" si="131"/>
        <v>0</v>
      </c>
      <c r="E119" s="141">
        <f t="shared" si="131"/>
        <v>6</v>
      </c>
      <c r="F119" s="141">
        <f t="shared" si="131"/>
        <v>6</v>
      </c>
      <c r="G119" s="141">
        <f t="shared" si="131"/>
        <v>0</v>
      </c>
      <c r="H119" s="141">
        <f t="shared" si="131"/>
        <v>0</v>
      </c>
      <c r="I119" s="141">
        <f t="shared" si="131"/>
        <v>0</v>
      </c>
      <c r="J119" s="141">
        <f t="shared" si="131"/>
        <v>0</v>
      </c>
      <c r="K119" s="141">
        <f t="shared" si="131"/>
        <v>0</v>
      </c>
      <c r="L119" s="141">
        <f t="shared" si="131"/>
        <v>0</v>
      </c>
      <c r="M119" s="141">
        <f t="shared" si="131"/>
        <v>0</v>
      </c>
      <c r="N119" s="141">
        <f t="shared" si="131"/>
        <v>0</v>
      </c>
      <c r="O119" s="141">
        <f t="shared" si="131"/>
        <v>0</v>
      </c>
      <c r="P119" s="141">
        <f t="shared" si="131"/>
        <v>0</v>
      </c>
      <c r="Q119" s="141">
        <f t="shared" si="131"/>
        <v>0</v>
      </c>
      <c r="R119" s="141">
        <f t="shared" si="131"/>
        <v>0</v>
      </c>
      <c r="S119" s="141">
        <f t="shared" si="131"/>
        <v>6</v>
      </c>
      <c r="T119" s="141">
        <f t="shared" si="131"/>
        <v>6</v>
      </c>
      <c r="U119" s="141">
        <f t="shared" si="131"/>
        <v>0</v>
      </c>
      <c r="V119" s="141">
        <f t="shared" si="131"/>
        <v>0</v>
      </c>
      <c r="W119" s="141">
        <f t="shared" si="131"/>
        <v>0</v>
      </c>
      <c r="X119" s="141">
        <f t="shared" si="131"/>
        <v>0</v>
      </c>
      <c r="Y119" s="141">
        <f t="shared" si="131"/>
        <v>0</v>
      </c>
      <c r="Z119" s="141">
        <f t="shared" si="131"/>
        <v>0</v>
      </c>
      <c r="AA119" s="141">
        <f t="shared" si="131"/>
        <v>0</v>
      </c>
      <c r="AB119" s="141">
        <f t="shared" si="131"/>
        <v>0</v>
      </c>
      <c r="AC119" s="141">
        <f t="shared" si="131"/>
        <v>0</v>
      </c>
      <c r="AD119" s="141">
        <f t="shared" si="131"/>
        <v>0</v>
      </c>
      <c r="AE119" s="141">
        <f t="shared" si="131"/>
        <v>0</v>
      </c>
      <c r="AF119" s="141">
        <f t="shared" si="131"/>
        <v>0</v>
      </c>
      <c r="AG119" s="141">
        <f t="shared" si="131"/>
        <v>6</v>
      </c>
      <c r="AH119" s="154" t="s">
        <v>12</v>
      </c>
      <c r="AI119" s="133"/>
      <c r="AJ119" s="170"/>
      <c r="AK119" s="133"/>
      <c r="AL119" s="133"/>
    </row>
    <row r="120" spans="1:57" ht="19.5" hidden="1" customHeight="1" x14ac:dyDescent="0.25">
      <c r="A120" s="176"/>
      <c r="B120" s="149" t="s">
        <v>65</v>
      </c>
      <c r="C120" s="141">
        <f t="shared" ref="C120:AG120" si="132">IF(D46=1,IF(C113&gt;C114,C114,0),0)</f>
        <v>0</v>
      </c>
      <c r="D120" s="141">
        <f t="shared" si="132"/>
        <v>6</v>
      </c>
      <c r="E120" s="141">
        <f t="shared" si="132"/>
        <v>6</v>
      </c>
      <c r="F120" s="141">
        <f t="shared" si="132"/>
        <v>0</v>
      </c>
      <c r="G120" s="141">
        <f t="shared" si="132"/>
        <v>0</v>
      </c>
      <c r="H120" s="141">
        <f t="shared" si="132"/>
        <v>0</v>
      </c>
      <c r="I120" s="141">
        <f t="shared" si="132"/>
        <v>0</v>
      </c>
      <c r="J120" s="141">
        <f t="shared" si="132"/>
        <v>0</v>
      </c>
      <c r="K120" s="141">
        <f t="shared" si="132"/>
        <v>0</v>
      </c>
      <c r="L120" s="141">
        <f t="shared" si="132"/>
        <v>0</v>
      </c>
      <c r="M120" s="141">
        <f t="shared" si="132"/>
        <v>0</v>
      </c>
      <c r="N120" s="141">
        <f t="shared" si="132"/>
        <v>0</v>
      </c>
      <c r="O120" s="141">
        <f t="shared" si="132"/>
        <v>0</v>
      </c>
      <c r="P120" s="141">
        <f t="shared" si="132"/>
        <v>0</v>
      </c>
      <c r="Q120" s="141">
        <f t="shared" si="132"/>
        <v>0</v>
      </c>
      <c r="R120" s="141">
        <f t="shared" si="132"/>
        <v>6</v>
      </c>
      <c r="S120" s="141">
        <f t="shared" si="132"/>
        <v>6</v>
      </c>
      <c r="T120" s="141">
        <f t="shared" si="132"/>
        <v>0</v>
      </c>
      <c r="U120" s="141">
        <f t="shared" si="132"/>
        <v>0</v>
      </c>
      <c r="V120" s="141">
        <f t="shared" si="132"/>
        <v>0</v>
      </c>
      <c r="W120" s="141">
        <f t="shared" si="132"/>
        <v>0</v>
      </c>
      <c r="X120" s="141">
        <f>IF(Y46=1,IF(X113&gt;X114,X114,0),0)</f>
        <v>0</v>
      </c>
      <c r="Y120" s="141">
        <f t="shared" si="132"/>
        <v>0</v>
      </c>
      <c r="Z120" s="141">
        <f t="shared" si="132"/>
        <v>0</v>
      </c>
      <c r="AA120" s="141">
        <f t="shared" si="132"/>
        <v>0</v>
      </c>
      <c r="AB120" s="141">
        <f t="shared" si="132"/>
        <v>0</v>
      </c>
      <c r="AC120" s="141">
        <f t="shared" si="132"/>
        <v>0</v>
      </c>
      <c r="AD120" s="141">
        <f t="shared" si="132"/>
        <v>0</v>
      </c>
      <c r="AE120" s="141">
        <f t="shared" si="132"/>
        <v>0</v>
      </c>
      <c r="AF120" s="141">
        <f t="shared" si="132"/>
        <v>6</v>
      </c>
      <c r="AG120" s="141">
        <f t="shared" si="132"/>
        <v>0</v>
      </c>
      <c r="AH120" s="154" t="s">
        <v>12</v>
      </c>
      <c r="AI120" s="133"/>
      <c r="AJ120" s="170"/>
      <c r="AK120" s="133"/>
      <c r="AL120" s="133"/>
    </row>
    <row r="121" spans="1:57" ht="19.5" hidden="1" customHeight="1" x14ac:dyDescent="0.25">
      <c r="A121" s="176"/>
      <c r="B121" s="149" t="s">
        <v>67</v>
      </c>
      <c r="C121" s="171">
        <f t="shared" ref="C121:AG121" si="133">SUM(C118:C120)</f>
        <v>0</v>
      </c>
      <c r="D121" s="171">
        <f t="shared" si="133"/>
        <v>6</v>
      </c>
      <c r="E121" s="171">
        <f t="shared" si="133"/>
        <v>12</v>
      </c>
      <c r="F121" s="171">
        <f t="shared" si="133"/>
        <v>6</v>
      </c>
      <c r="G121" s="171">
        <f t="shared" si="133"/>
        <v>0</v>
      </c>
      <c r="H121" s="171">
        <f t="shared" si="133"/>
        <v>0</v>
      </c>
      <c r="I121" s="171">
        <f t="shared" si="133"/>
        <v>0</v>
      </c>
      <c r="J121" s="171">
        <f t="shared" si="133"/>
        <v>0</v>
      </c>
      <c r="K121" s="171">
        <f t="shared" si="133"/>
        <v>0</v>
      </c>
      <c r="L121" s="171">
        <f t="shared" si="133"/>
        <v>0</v>
      </c>
      <c r="M121" s="171">
        <f t="shared" si="133"/>
        <v>0</v>
      </c>
      <c r="N121" s="171">
        <f t="shared" si="133"/>
        <v>0</v>
      </c>
      <c r="O121" s="171">
        <f t="shared" si="133"/>
        <v>0</v>
      </c>
      <c r="P121" s="171">
        <f t="shared" si="133"/>
        <v>0</v>
      </c>
      <c r="Q121" s="171">
        <f t="shared" si="133"/>
        <v>0</v>
      </c>
      <c r="R121" s="171">
        <f t="shared" si="133"/>
        <v>6</v>
      </c>
      <c r="S121" s="171">
        <f t="shared" si="133"/>
        <v>12</v>
      </c>
      <c r="T121" s="171">
        <f t="shared" si="133"/>
        <v>6</v>
      </c>
      <c r="U121" s="171">
        <f t="shared" si="133"/>
        <v>0</v>
      </c>
      <c r="V121" s="171">
        <f t="shared" si="133"/>
        <v>0</v>
      </c>
      <c r="W121" s="171">
        <f t="shared" si="133"/>
        <v>0</v>
      </c>
      <c r="X121" s="171">
        <f t="shared" si="133"/>
        <v>0</v>
      </c>
      <c r="Y121" s="171">
        <f t="shared" si="133"/>
        <v>0</v>
      </c>
      <c r="Z121" s="171">
        <f t="shared" si="133"/>
        <v>0</v>
      </c>
      <c r="AA121" s="171">
        <f t="shared" si="133"/>
        <v>0</v>
      </c>
      <c r="AB121" s="171">
        <f t="shared" si="133"/>
        <v>0</v>
      </c>
      <c r="AC121" s="171">
        <f t="shared" si="133"/>
        <v>0</v>
      </c>
      <c r="AD121" s="171">
        <f t="shared" si="133"/>
        <v>0</v>
      </c>
      <c r="AE121" s="171">
        <f t="shared" si="133"/>
        <v>0</v>
      </c>
      <c r="AF121" s="171">
        <f t="shared" si="133"/>
        <v>6</v>
      </c>
      <c r="AG121" s="171">
        <f t="shared" si="133"/>
        <v>6</v>
      </c>
      <c r="AH121" s="154" t="s">
        <v>12</v>
      </c>
      <c r="AI121" s="133"/>
      <c r="AJ121" s="170"/>
      <c r="AK121" s="133"/>
      <c r="AL121" s="133"/>
    </row>
    <row r="122" spans="1:57" ht="19.5" hidden="1" customHeight="1" x14ac:dyDescent="0.25">
      <c r="A122" s="177"/>
      <c r="B122" s="160" t="s">
        <v>68</v>
      </c>
      <c r="C122" s="182">
        <f t="shared" ref="C122:AG122" si="134">IF(C15="V",IF(C15="",0,1),0)</f>
        <v>0</v>
      </c>
      <c r="D122" s="182">
        <f t="shared" si="134"/>
        <v>0</v>
      </c>
      <c r="E122" s="182">
        <f t="shared" si="134"/>
        <v>0</v>
      </c>
      <c r="F122" s="182">
        <f t="shared" si="134"/>
        <v>0</v>
      </c>
      <c r="G122" s="182">
        <f t="shared" si="134"/>
        <v>0</v>
      </c>
      <c r="H122" s="182">
        <f t="shared" si="134"/>
        <v>0</v>
      </c>
      <c r="I122" s="182">
        <f t="shared" si="134"/>
        <v>0</v>
      </c>
      <c r="J122" s="182">
        <f t="shared" si="134"/>
        <v>0</v>
      </c>
      <c r="K122" s="182">
        <f t="shared" si="134"/>
        <v>0</v>
      </c>
      <c r="L122" s="182">
        <f t="shared" si="134"/>
        <v>0</v>
      </c>
      <c r="M122" s="182">
        <f t="shared" si="134"/>
        <v>0</v>
      </c>
      <c r="N122" s="182">
        <f t="shared" si="134"/>
        <v>0</v>
      </c>
      <c r="O122" s="182">
        <f t="shared" si="134"/>
        <v>0</v>
      </c>
      <c r="P122" s="182">
        <f t="shared" si="134"/>
        <v>0</v>
      </c>
      <c r="Q122" s="182">
        <f t="shared" si="134"/>
        <v>0</v>
      </c>
      <c r="R122" s="182">
        <f t="shared" si="134"/>
        <v>0</v>
      </c>
      <c r="S122" s="182">
        <f t="shared" si="134"/>
        <v>0</v>
      </c>
      <c r="T122" s="182">
        <f t="shared" si="134"/>
        <v>0</v>
      </c>
      <c r="U122" s="182">
        <f t="shared" si="134"/>
        <v>0</v>
      </c>
      <c r="V122" s="182">
        <f t="shared" si="134"/>
        <v>0</v>
      </c>
      <c r="W122" s="182">
        <f t="shared" si="134"/>
        <v>0</v>
      </c>
      <c r="X122" s="182">
        <f t="shared" si="134"/>
        <v>0</v>
      </c>
      <c r="Y122" s="182">
        <f t="shared" si="134"/>
        <v>0</v>
      </c>
      <c r="Z122" s="182">
        <f t="shared" si="134"/>
        <v>0</v>
      </c>
      <c r="AA122" s="182">
        <f t="shared" si="134"/>
        <v>0</v>
      </c>
      <c r="AB122" s="182">
        <f t="shared" si="134"/>
        <v>0</v>
      </c>
      <c r="AC122" s="182">
        <f t="shared" si="134"/>
        <v>0</v>
      </c>
      <c r="AD122" s="182">
        <f t="shared" si="134"/>
        <v>0</v>
      </c>
      <c r="AE122" s="182">
        <f t="shared" si="134"/>
        <v>0</v>
      </c>
      <c r="AF122" s="182">
        <f t="shared" si="134"/>
        <v>0</v>
      </c>
      <c r="AG122" s="182">
        <f t="shared" si="134"/>
        <v>0</v>
      </c>
      <c r="AH122" s="154" t="s">
        <v>12</v>
      </c>
      <c r="AI122" s="133"/>
      <c r="AJ122" s="170"/>
      <c r="AK122" s="133"/>
      <c r="AL122" s="133"/>
    </row>
    <row r="123" spans="1:57" ht="19.5" hidden="1" customHeight="1" x14ac:dyDescent="0.25">
      <c r="A123" s="180"/>
      <c r="B123" s="181" t="s">
        <v>16</v>
      </c>
      <c r="C123" s="182">
        <f t="shared" ref="C123:AG123" si="135">IF(C15="PR",IF(C15="",0,1),0)</f>
        <v>0</v>
      </c>
      <c r="D123" s="182">
        <f t="shared" si="135"/>
        <v>0</v>
      </c>
      <c r="E123" s="182">
        <f t="shared" si="135"/>
        <v>0</v>
      </c>
      <c r="F123" s="182">
        <f t="shared" si="135"/>
        <v>0</v>
      </c>
      <c r="G123" s="182">
        <f t="shared" si="135"/>
        <v>0</v>
      </c>
      <c r="H123" s="182">
        <f t="shared" si="135"/>
        <v>0</v>
      </c>
      <c r="I123" s="182">
        <f t="shared" si="135"/>
        <v>0</v>
      </c>
      <c r="J123" s="182">
        <f t="shared" si="135"/>
        <v>0</v>
      </c>
      <c r="K123" s="182">
        <f t="shared" si="135"/>
        <v>0</v>
      </c>
      <c r="L123" s="182">
        <f t="shared" si="135"/>
        <v>0</v>
      </c>
      <c r="M123" s="182">
        <f t="shared" si="135"/>
        <v>0</v>
      </c>
      <c r="N123" s="182">
        <f t="shared" si="135"/>
        <v>0</v>
      </c>
      <c r="O123" s="182">
        <f t="shared" si="135"/>
        <v>0</v>
      </c>
      <c r="P123" s="182">
        <f t="shared" si="135"/>
        <v>0</v>
      </c>
      <c r="Q123" s="182">
        <f t="shared" si="135"/>
        <v>0</v>
      </c>
      <c r="R123" s="182">
        <f t="shared" si="135"/>
        <v>0</v>
      </c>
      <c r="S123" s="182">
        <f t="shared" si="135"/>
        <v>0</v>
      </c>
      <c r="T123" s="182">
        <f t="shared" si="135"/>
        <v>0</v>
      </c>
      <c r="U123" s="182">
        <f t="shared" si="135"/>
        <v>0</v>
      </c>
      <c r="V123" s="182">
        <f t="shared" si="135"/>
        <v>0</v>
      </c>
      <c r="W123" s="182">
        <f t="shared" si="135"/>
        <v>0</v>
      </c>
      <c r="X123" s="182">
        <f t="shared" si="135"/>
        <v>0</v>
      </c>
      <c r="Y123" s="182">
        <f t="shared" si="135"/>
        <v>0</v>
      </c>
      <c r="Z123" s="182">
        <f t="shared" si="135"/>
        <v>0</v>
      </c>
      <c r="AA123" s="182">
        <f t="shared" si="135"/>
        <v>0</v>
      </c>
      <c r="AB123" s="182">
        <f t="shared" si="135"/>
        <v>0</v>
      </c>
      <c r="AC123" s="182">
        <f t="shared" si="135"/>
        <v>0</v>
      </c>
      <c r="AD123" s="182">
        <f t="shared" si="135"/>
        <v>0</v>
      </c>
      <c r="AE123" s="182">
        <f t="shared" si="135"/>
        <v>0</v>
      </c>
      <c r="AF123" s="182">
        <f t="shared" si="135"/>
        <v>0</v>
      </c>
      <c r="AG123" s="182">
        <f t="shared" si="135"/>
        <v>0</v>
      </c>
      <c r="AH123" s="227">
        <f>SUM(C123:AG123)</f>
        <v>0</v>
      </c>
      <c r="AI123" s="227"/>
      <c r="AJ123" s="174" t="s">
        <v>69</v>
      </c>
      <c r="AK123" s="133"/>
      <c r="AL123" s="133"/>
    </row>
    <row r="124" spans="1:57" ht="19.5" hidden="1" customHeight="1" x14ac:dyDescent="0.25">
      <c r="A124" s="164" t="s">
        <v>83</v>
      </c>
      <c r="B124" s="165" t="s">
        <v>29</v>
      </c>
      <c r="C124" s="141" t="str">
        <f t="shared" ref="C124:AG124" si="136">IF(C16=$R32,$S32*24,IF(C16=$R33,$S33*24,IF(C16=$R34,$S34*24,IF(C16=$R35,$S35*24,IF(C16=$R36,$S36*24,IF(C16=$R37,$S37*24,IF(C16=$R38,$S38*24,IF(C16=$R39,$S39*24,IF(C16=$R40,$S40*24,"")))))))))</f>
        <v/>
      </c>
      <c r="D124" s="141" t="str">
        <f t="shared" si="136"/>
        <v/>
      </c>
      <c r="E124" s="141" t="str">
        <f t="shared" si="136"/>
        <v/>
      </c>
      <c r="F124" s="141" t="str">
        <f t="shared" si="136"/>
        <v/>
      </c>
      <c r="G124" s="141" t="str">
        <f t="shared" si="136"/>
        <v/>
      </c>
      <c r="H124" s="141" t="str">
        <f t="shared" si="136"/>
        <v/>
      </c>
      <c r="I124" s="141" t="str">
        <f t="shared" si="136"/>
        <v/>
      </c>
      <c r="J124" s="141" t="str">
        <f t="shared" si="136"/>
        <v/>
      </c>
      <c r="K124" s="141">
        <f t="shared" si="136"/>
        <v>18</v>
      </c>
      <c r="L124" s="141">
        <f t="shared" si="136"/>
        <v>18</v>
      </c>
      <c r="M124" s="141">
        <f t="shared" si="136"/>
        <v>18</v>
      </c>
      <c r="N124" s="141">
        <f t="shared" si="136"/>
        <v>18</v>
      </c>
      <c r="O124" s="141" t="str">
        <f t="shared" si="136"/>
        <v/>
      </c>
      <c r="P124" s="141">
        <f t="shared" si="136"/>
        <v>19</v>
      </c>
      <c r="Q124" s="141">
        <f t="shared" si="136"/>
        <v>19</v>
      </c>
      <c r="R124" s="141" t="str">
        <f t="shared" si="136"/>
        <v/>
      </c>
      <c r="S124" s="141" t="str">
        <f t="shared" si="136"/>
        <v/>
      </c>
      <c r="T124" s="141" t="str">
        <f t="shared" si="136"/>
        <v/>
      </c>
      <c r="U124" s="141">
        <f t="shared" si="136"/>
        <v>19</v>
      </c>
      <c r="V124" s="141">
        <f t="shared" si="136"/>
        <v>19</v>
      </c>
      <c r="W124" s="141">
        <f t="shared" si="136"/>
        <v>18</v>
      </c>
      <c r="X124" s="141" t="str">
        <f t="shared" si="136"/>
        <v/>
      </c>
      <c r="Y124" s="141">
        <f t="shared" si="136"/>
        <v>18</v>
      </c>
      <c r="Z124" s="141">
        <f t="shared" si="136"/>
        <v>18</v>
      </c>
      <c r="AA124" s="141">
        <f t="shared" si="136"/>
        <v>18</v>
      </c>
      <c r="AB124" s="141" t="str">
        <f t="shared" si="136"/>
        <v/>
      </c>
      <c r="AC124" s="141" t="str">
        <f t="shared" si="136"/>
        <v/>
      </c>
      <c r="AD124" s="141">
        <f t="shared" si="136"/>
        <v>19</v>
      </c>
      <c r="AE124" s="141">
        <f t="shared" si="136"/>
        <v>19</v>
      </c>
      <c r="AF124" s="141" t="str">
        <f t="shared" si="136"/>
        <v/>
      </c>
      <c r="AG124" s="141" t="str">
        <f t="shared" si="136"/>
        <v/>
      </c>
      <c r="AH124" s="154" t="s">
        <v>12</v>
      </c>
      <c r="AI124" s="133"/>
      <c r="AJ124" s="170"/>
      <c r="AK124" s="133"/>
      <c r="AL124" s="133"/>
    </row>
    <row r="125" spans="1:57" ht="19.5" hidden="1" customHeight="1" x14ac:dyDescent="0.25">
      <c r="A125" s="166" t="s">
        <v>84</v>
      </c>
      <c r="B125" s="167" t="s">
        <v>30</v>
      </c>
      <c r="C125" s="141" t="str">
        <f t="shared" ref="C125:AG125" si="137">IF(C16=$R32,$V32*24,IF(C16=$R33,$V33*24,IF(C16=$R34,$V34*24,IF(C16=$R35,$V35*24,IF(C16=$R36,$V36*24,IF(C16=$R37,$V37*24,IF(C16=$R38,$V38*24,IF(C16=$R39,$V39*24,IF(C16=$R40,$V40*24,"")))))))))</f>
        <v/>
      </c>
      <c r="D125" s="141" t="str">
        <f t="shared" si="137"/>
        <v/>
      </c>
      <c r="E125" s="141" t="str">
        <f t="shared" si="137"/>
        <v/>
      </c>
      <c r="F125" s="141" t="str">
        <f t="shared" si="137"/>
        <v/>
      </c>
      <c r="G125" s="141" t="str">
        <f t="shared" si="137"/>
        <v/>
      </c>
      <c r="H125" s="141" t="str">
        <f t="shared" si="137"/>
        <v/>
      </c>
      <c r="I125" s="141" t="str">
        <f t="shared" si="137"/>
        <v/>
      </c>
      <c r="J125" s="141" t="str">
        <f t="shared" si="137"/>
        <v/>
      </c>
      <c r="K125" s="141">
        <f t="shared" si="137"/>
        <v>6</v>
      </c>
      <c r="L125" s="141">
        <f t="shared" si="137"/>
        <v>6</v>
      </c>
      <c r="M125" s="141">
        <f t="shared" si="137"/>
        <v>6</v>
      </c>
      <c r="N125" s="141">
        <f t="shared" si="137"/>
        <v>6</v>
      </c>
      <c r="O125" s="141" t="str">
        <f t="shared" si="137"/>
        <v/>
      </c>
      <c r="P125" s="141">
        <f t="shared" si="137"/>
        <v>7</v>
      </c>
      <c r="Q125" s="141">
        <f t="shared" si="137"/>
        <v>7</v>
      </c>
      <c r="R125" s="141" t="str">
        <f t="shared" si="137"/>
        <v/>
      </c>
      <c r="S125" s="141" t="str">
        <f t="shared" si="137"/>
        <v/>
      </c>
      <c r="T125" s="141" t="str">
        <f t="shared" si="137"/>
        <v/>
      </c>
      <c r="U125" s="141">
        <f t="shared" si="137"/>
        <v>7</v>
      </c>
      <c r="V125" s="141">
        <f t="shared" si="137"/>
        <v>7</v>
      </c>
      <c r="W125" s="141">
        <f t="shared" si="137"/>
        <v>6</v>
      </c>
      <c r="X125" s="141" t="str">
        <f t="shared" si="137"/>
        <v/>
      </c>
      <c r="Y125" s="141">
        <f t="shared" si="137"/>
        <v>6</v>
      </c>
      <c r="Z125" s="141">
        <f t="shared" si="137"/>
        <v>6</v>
      </c>
      <c r="AA125" s="141">
        <f t="shared" si="137"/>
        <v>6</v>
      </c>
      <c r="AB125" s="141" t="str">
        <f t="shared" si="137"/>
        <v/>
      </c>
      <c r="AC125" s="141" t="str">
        <f t="shared" si="137"/>
        <v/>
      </c>
      <c r="AD125" s="141">
        <f t="shared" si="137"/>
        <v>7</v>
      </c>
      <c r="AE125" s="141">
        <f t="shared" si="137"/>
        <v>7</v>
      </c>
      <c r="AF125" s="141" t="str">
        <f t="shared" si="137"/>
        <v/>
      </c>
      <c r="AG125" s="141" t="str">
        <f t="shared" si="137"/>
        <v/>
      </c>
      <c r="AH125" s="154" t="s">
        <v>12</v>
      </c>
      <c r="AI125" s="133"/>
      <c r="AJ125" s="170"/>
      <c r="AK125" s="133"/>
      <c r="AL125" s="133"/>
    </row>
    <row r="126" spans="1:57" ht="19.5" hidden="1" customHeight="1" x14ac:dyDescent="0.25">
      <c r="A126" s="153"/>
      <c r="B126" s="168" t="s">
        <v>34</v>
      </c>
      <c r="C126" s="169" t="str">
        <f t="shared" ref="C126:X126" si="138">IF(C16=$R32,$BD32*24,IF(C16=$R33,$BD33*24,IF(C16=$R34,$BD34*24,IF(C16=$R35,$BD35*24,IF(C16=$R36,$BD36*24,IF(C16=$R37,$BD37*24,IF(C16=$R38,$BD38*24,IF(C16=$R39,$BD39*24,IF(C16=$R40,$BD40*24,"")))))))))</f>
        <v/>
      </c>
      <c r="D126" s="169" t="str">
        <f t="shared" si="138"/>
        <v/>
      </c>
      <c r="E126" s="169" t="str">
        <f t="shared" si="138"/>
        <v/>
      </c>
      <c r="F126" s="169" t="str">
        <f t="shared" si="138"/>
        <v/>
      </c>
      <c r="G126" s="169" t="str">
        <f t="shared" si="138"/>
        <v/>
      </c>
      <c r="H126" s="169" t="str">
        <f t="shared" si="138"/>
        <v/>
      </c>
      <c r="I126" s="169" t="str">
        <f t="shared" si="138"/>
        <v/>
      </c>
      <c r="J126" s="169" t="str">
        <f t="shared" si="138"/>
        <v/>
      </c>
      <c r="K126" s="169">
        <f t="shared" si="138"/>
        <v>8</v>
      </c>
      <c r="L126" s="169">
        <f t="shared" si="138"/>
        <v>8</v>
      </c>
      <c r="M126" s="169">
        <f t="shared" si="138"/>
        <v>8</v>
      </c>
      <c r="N126" s="169">
        <f t="shared" si="138"/>
        <v>8</v>
      </c>
      <c r="O126" s="169" t="str">
        <f t="shared" si="138"/>
        <v/>
      </c>
      <c r="P126" s="169">
        <f t="shared" si="138"/>
        <v>8</v>
      </c>
      <c r="Q126" s="169">
        <f t="shared" si="138"/>
        <v>8</v>
      </c>
      <c r="R126" s="169" t="str">
        <f t="shared" si="138"/>
        <v/>
      </c>
      <c r="S126" s="169" t="str">
        <f t="shared" si="138"/>
        <v/>
      </c>
      <c r="T126" s="169" t="str">
        <f t="shared" si="138"/>
        <v/>
      </c>
      <c r="U126" s="169">
        <f t="shared" si="138"/>
        <v>8</v>
      </c>
      <c r="V126" s="169">
        <f t="shared" si="138"/>
        <v>8</v>
      </c>
      <c r="W126" s="169">
        <f t="shared" si="138"/>
        <v>8</v>
      </c>
      <c r="X126" s="169" t="str">
        <f t="shared" si="138"/>
        <v/>
      </c>
      <c r="Y126" s="169">
        <f t="shared" ref="Y126:AD126" si="139">IF(Y16=$R32,$BD32*24,IF(Y16=$R33,$BD33*24,IF(Y16=$R34,$BD34*24,IF(Y16=$R35,$BD35*24,IF(Y16=$R36,$BD36*24,IF(Y16=$R37,$BD37*24,IF(Y16=$R38,$BD38*24,IF(Y16=$R39,$BD39*24,IF(Y16=$R40,$BD40*24,"")))))))))</f>
        <v>8</v>
      </c>
      <c r="Z126" s="169">
        <f t="shared" si="139"/>
        <v>8</v>
      </c>
      <c r="AA126" s="169">
        <f t="shared" si="139"/>
        <v>8</v>
      </c>
      <c r="AB126" s="169" t="str">
        <f t="shared" si="139"/>
        <v/>
      </c>
      <c r="AC126" s="169" t="str">
        <f t="shared" si="139"/>
        <v/>
      </c>
      <c r="AD126" s="169">
        <f t="shared" si="139"/>
        <v>8</v>
      </c>
      <c r="AE126" s="169">
        <f>IF(AE16=$R32,$BD32*24,IF(AE16=$R33,$BD33*24,IF(AE16=$R34,$BD34*24,IF(AE16=$R35,$BD35*24,IF(AE16=$R36,$BD36*24,IF(AE16=$R37,$BD37*24,IF(AE16=$R38,$BD38*24,IF(AE16=$R39,$BD39*24,IF(AE16=$R40,$BD40*24,"")))))))))</f>
        <v>8</v>
      </c>
      <c r="AF126" s="169" t="str">
        <f>IF(AF16=$R32,$BD32*24,IF(AF16=$R33,$BD33*24,IF(AF16=$R34,$BD34*24,IF(AF16=$R35,$BD35*24,IF(AF16=$R36,$BD36*24,IF(AF16=$R37,$BD37*24,IF(AF16=$R38,$BD38*24,IF(AF16=$R39,$BD39*24,IF(AF16=$R40,$BD40*24,"")))))))))</f>
        <v/>
      </c>
      <c r="AG126" s="169" t="str">
        <f>IF(AG16=$R32,$BD32*24,IF(AG16=$R33,$BD33*24,IF(AG16=$R34,$BD34*24,IF(AG16=$R35,$BD35*24,IF(AG16=$R36,$BD36*24,IF(AG16=$R37,$BD37*24,IF(AG16=$R38,$BD38*24,IF(AG16=$R39,$BD39*24,IF(AG16=$R40,$BD40*24,"")))))))))</f>
        <v/>
      </c>
      <c r="AH126" s="148">
        <f>SUM(C126:AG126)</f>
        <v>112</v>
      </c>
      <c r="AI126" s="133"/>
      <c r="AJ126" s="170"/>
      <c r="AK126" s="133"/>
      <c r="AL126" s="133"/>
    </row>
    <row r="127" spans="1:57" ht="19.5" hidden="1" customHeight="1" x14ac:dyDescent="0.25">
      <c r="A127" s="153"/>
      <c r="B127" s="167" t="s">
        <v>59</v>
      </c>
      <c r="C127" s="141">
        <f t="shared" ref="C127:AG127" si="140">IF(C16="V",$C36,IF(C16="PR",$C38,0))</f>
        <v>0</v>
      </c>
      <c r="D127" s="141">
        <f t="shared" si="140"/>
        <v>0</v>
      </c>
      <c r="E127" s="141">
        <f t="shared" si="140"/>
        <v>0</v>
      </c>
      <c r="F127" s="141">
        <f t="shared" si="140"/>
        <v>0</v>
      </c>
      <c r="G127" s="141">
        <f t="shared" si="140"/>
        <v>0</v>
      </c>
      <c r="H127" s="141">
        <f t="shared" si="140"/>
        <v>0</v>
      </c>
      <c r="I127" s="141">
        <f t="shared" si="140"/>
        <v>0</v>
      </c>
      <c r="J127" s="141">
        <f t="shared" si="140"/>
        <v>0</v>
      </c>
      <c r="K127" s="141">
        <f t="shared" si="140"/>
        <v>0</v>
      </c>
      <c r="L127" s="141">
        <f t="shared" si="140"/>
        <v>0</v>
      </c>
      <c r="M127" s="141">
        <f t="shared" si="140"/>
        <v>0</v>
      </c>
      <c r="N127" s="141">
        <f t="shared" si="140"/>
        <v>0</v>
      </c>
      <c r="O127" s="141">
        <f t="shared" si="140"/>
        <v>0</v>
      </c>
      <c r="P127" s="141">
        <f t="shared" si="140"/>
        <v>0</v>
      </c>
      <c r="Q127" s="141">
        <f t="shared" si="140"/>
        <v>0</v>
      </c>
      <c r="R127" s="141">
        <f t="shared" si="140"/>
        <v>0</v>
      </c>
      <c r="S127" s="141">
        <f t="shared" si="140"/>
        <v>0</v>
      </c>
      <c r="T127" s="141">
        <f t="shared" si="140"/>
        <v>0</v>
      </c>
      <c r="U127" s="141">
        <f t="shared" si="140"/>
        <v>0</v>
      </c>
      <c r="V127" s="141">
        <f t="shared" si="140"/>
        <v>0</v>
      </c>
      <c r="W127" s="141">
        <f t="shared" si="140"/>
        <v>0</v>
      </c>
      <c r="X127" s="141">
        <f t="shared" si="140"/>
        <v>0</v>
      </c>
      <c r="Y127" s="141">
        <f t="shared" si="140"/>
        <v>0</v>
      </c>
      <c r="Z127" s="141">
        <f t="shared" si="140"/>
        <v>0</v>
      </c>
      <c r="AA127" s="141">
        <f t="shared" si="140"/>
        <v>0</v>
      </c>
      <c r="AB127" s="141">
        <f t="shared" si="140"/>
        <v>0</v>
      </c>
      <c r="AC127" s="141">
        <f t="shared" si="140"/>
        <v>0</v>
      </c>
      <c r="AD127" s="141">
        <f t="shared" si="140"/>
        <v>0</v>
      </c>
      <c r="AE127" s="141">
        <f t="shared" si="140"/>
        <v>0</v>
      </c>
      <c r="AF127" s="141">
        <f t="shared" si="140"/>
        <v>0</v>
      </c>
      <c r="AG127" s="141">
        <f t="shared" si="140"/>
        <v>0</v>
      </c>
      <c r="AH127" s="226">
        <f>SUM(C127:AG127)</f>
        <v>0</v>
      </c>
      <c r="AI127" s="226"/>
      <c r="AJ127" s="230">
        <f>SUM(AH72+AH83+AH94+AH105+AH116+AH127)</f>
        <v>0</v>
      </c>
      <c r="AK127" s="230"/>
      <c r="AL127" s="133" t="s">
        <v>56</v>
      </c>
    </row>
    <row r="128" spans="1:57" ht="19.5" hidden="1" customHeight="1" x14ac:dyDescent="0.25">
      <c r="A128" s="150" t="s">
        <v>60</v>
      </c>
      <c r="B128" s="167" t="s">
        <v>61</v>
      </c>
      <c r="C128" s="151">
        <f t="shared" ref="C128:X128" si="141">IF(C16=$R32,$BC32,IF(C16=$R33,$BC33,IF(C16=$R34,$BC34,IF(C16=$R35,$BC35,IF(C16=$R36,$BC36,IF(C16=$R37,$BC37,IF(C16=$R38,$BC38,IF(C16=$R39,$BC39,IF(C16=$R40,$BC40,0)))))))))</f>
        <v>0</v>
      </c>
      <c r="D128" s="151">
        <f t="shared" si="141"/>
        <v>0</v>
      </c>
      <c r="E128" s="151">
        <f t="shared" si="141"/>
        <v>0</v>
      </c>
      <c r="F128" s="151">
        <f t="shared" si="141"/>
        <v>0</v>
      </c>
      <c r="G128" s="151">
        <f t="shared" si="141"/>
        <v>0</v>
      </c>
      <c r="H128" s="151">
        <f t="shared" si="141"/>
        <v>0</v>
      </c>
      <c r="I128" s="151">
        <f t="shared" si="141"/>
        <v>0</v>
      </c>
      <c r="J128" s="151">
        <f t="shared" si="141"/>
        <v>0</v>
      </c>
      <c r="K128" s="151">
        <f t="shared" si="141"/>
        <v>12</v>
      </c>
      <c r="L128" s="151">
        <f t="shared" si="141"/>
        <v>12</v>
      </c>
      <c r="M128" s="151">
        <f t="shared" si="141"/>
        <v>12</v>
      </c>
      <c r="N128" s="151">
        <f t="shared" si="141"/>
        <v>12</v>
      </c>
      <c r="O128" s="151">
        <f t="shared" si="141"/>
        <v>0</v>
      </c>
      <c r="P128" s="151">
        <f t="shared" si="141"/>
        <v>12</v>
      </c>
      <c r="Q128" s="151">
        <f t="shared" si="141"/>
        <v>12</v>
      </c>
      <c r="R128" s="151">
        <f t="shared" si="141"/>
        <v>0</v>
      </c>
      <c r="S128" s="151">
        <f t="shared" si="141"/>
        <v>0</v>
      </c>
      <c r="T128" s="151">
        <f t="shared" si="141"/>
        <v>0</v>
      </c>
      <c r="U128" s="151">
        <f t="shared" si="141"/>
        <v>12</v>
      </c>
      <c r="V128" s="151">
        <f t="shared" si="141"/>
        <v>12</v>
      </c>
      <c r="W128" s="151">
        <f t="shared" si="141"/>
        <v>12</v>
      </c>
      <c r="X128" s="151">
        <f t="shared" si="141"/>
        <v>0</v>
      </c>
      <c r="Y128" s="151">
        <f t="shared" ref="Y128:AD128" si="142">IF(Y16=$R32,$BC32,IF(Y16=$R33,$BC33,IF(Y16=$R34,$BC34,IF(Y16=$R35,$BC35,IF(Y16=$R36,$BC36,IF(Y16=$R37,$BC37,IF(Y16=$R38,$BC38,IF(Y16=$R39,$BC39,IF(Y16=$R40,$BC40,0)))))))))</f>
        <v>12</v>
      </c>
      <c r="Z128" s="151">
        <f t="shared" si="142"/>
        <v>12</v>
      </c>
      <c r="AA128" s="151">
        <f t="shared" si="142"/>
        <v>12</v>
      </c>
      <c r="AB128" s="151">
        <f t="shared" si="142"/>
        <v>0</v>
      </c>
      <c r="AC128" s="151">
        <f t="shared" si="142"/>
        <v>0</v>
      </c>
      <c r="AD128" s="151">
        <f t="shared" si="142"/>
        <v>12</v>
      </c>
      <c r="AE128" s="151">
        <f>IF(AE16=$R32,$BC32,IF(AE16=$R33,$BC33,IF(AE16=$R34,$BC34,IF(AE16=$R35,$BC35,IF(AE16=$R36,$BC36,IF(AE16=$R37,$BC37,IF(AE16=$R38,$BC38,IF(AE16=$R39,$BC39,IF(AE16=$R40,$BC40,0)))))))))</f>
        <v>12</v>
      </c>
      <c r="AF128" s="151">
        <f>IF(AF16=$R32,$BC32,IF(AF16=$R33,$BC33,IF(AF16=$R34,$BC34,IF(AF16=$R35,$BC35,IF(AF16=$R36,$BC36,IF(AF16=$R37,$BC37,IF(AF16=$R38,$BC38,IF(AF16=$R39,$BC39,IF(AF16=$R40,$BC40,0)))))))))</f>
        <v>0</v>
      </c>
      <c r="AG128" s="151">
        <f>IF(AG16=$R32,$BC32,IF(AG16=$R33,$BC33,IF(AG16=$R34,$BC34,IF(AG16=$R35,$BC35,IF(AG16=$R36,$BC36,IF(AG16=$R37,$BC37,IF(AG16=$R38,$BC38,IF(AG16=$R39,$BC39,IF(AG16=$R40,$BC40,0)))))))))</f>
        <v>0</v>
      </c>
      <c r="AH128" s="226">
        <f>SUM(C128:AG128)</f>
        <v>168</v>
      </c>
      <c r="AI128" s="226"/>
      <c r="AJ128" s="174" t="s">
        <v>62</v>
      </c>
      <c r="AK128" s="133" t="s">
        <v>12</v>
      </c>
      <c r="AL128" s="133"/>
    </row>
    <row r="129" spans="1:38" ht="19.5" hidden="1" customHeight="1" x14ac:dyDescent="0.25">
      <c r="A129" s="153" t="s">
        <v>48</v>
      </c>
      <c r="B129" s="149" t="s">
        <v>63</v>
      </c>
      <c r="C129" s="141" t="b">
        <f t="shared" ref="C129:AG129" si="143">IF(C46=1,IF(C124&lt;C125,C128,0))</f>
        <v>0</v>
      </c>
      <c r="D129" s="141" t="b">
        <f t="shared" si="143"/>
        <v>0</v>
      </c>
      <c r="E129" s="141">
        <f t="shared" si="143"/>
        <v>0</v>
      </c>
      <c r="F129" s="141">
        <f t="shared" si="143"/>
        <v>0</v>
      </c>
      <c r="G129" s="141" t="b">
        <f t="shared" si="143"/>
        <v>0</v>
      </c>
      <c r="H129" s="141" t="b">
        <f t="shared" si="143"/>
        <v>0</v>
      </c>
      <c r="I129" s="141" t="b">
        <f t="shared" si="143"/>
        <v>0</v>
      </c>
      <c r="J129" s="141" t="b">
        <f t="shared" si="143"/>
        <v>0</v>
      </c>
      <c r="K129" s="141" t="b">
        <f t="shared" si="143"/>
        <v>0</v>
      </c>
      <c r="L129" s="141">
        <f t="shared" si="143"/>
        <v>0</v>
      </c>
      <c r="M129" s="141">
        <f t="shared" si="143"/>
        <v>0</v>
      </c>
      <c r="N129" s="141" t="b">
        <f t="shared" si="143"/>
        <v>0</v>
      </c>
      <c r="O129" s="141" t="b">
        <f t="shared" si="143"/>
        <v>0</v>
      </c>
      <c r="P129" s="141" t="b">
        <f t="shared" si="143"/>
        <v>0</v>
      </c>
      <c r="Q129" s="141" t="b">
        <f t="shared" si="143"/>
        <v>0</v>
      </c>
      <c r="R129" s="141" t="b">
        <f t="shared" si="143"/>
        <v>0</v>
      </c>
      <c r="S129" s="141">
        <f t="shared" si="143"/>
        <v>0</v>
      </c>
      <c r="T129" s="141">
        <f t="shared" si="143"/>
        <v>0</v>
      </c>
      <c r="U129" s="141" t="b">
        <f t="shared" si="143"/>
        <v>0</v>
      </c>
      <c r="V129" s="141" t="b">
        <f t="shared" si="143"/>
        <v>0</v>
      </c>
      <c r="W129" s="141" t="b">
        <f t="shared" si="143"/>
        <v>0</v>
      </c>
      <c r="X129" s="141" t="b">
        <f t="shared" si="143"/>
        <v>0</v>
      </c>
      <c r="Y129" s="141" t="b">
        <f t="shared" si="143"/>
        <v>0</v>
      </c>
      <c r="Z129" s="141">
        <f t="shared" si="143"/>
        <v>0</v>
      </c>
      <c r="AA129" s="141">
        <f t="shared" si="143"/>
        <v>0</v>
      </c>
      <c r="AB129" s="141" t="b">
        <f t="shared" si="143"/>
        <v>0</v>
      </c>
      <c r="AC129" s="141" t="b">
        <f t="shared" si="143"/>
        <v>0</v>
      </c>
      <c r="AD129" s="141" t="b">
        <f t="shared" si="143"/>
        <v>0</v>
      </c>
      <c r="AE129" s="141" t="b">
        <f t="shared" si="143"/>
        <v>0</v>
      </c>
      <c r="AF129" s="141" t="b">
        <f t="shared" si="143"/>
        <v>0</v>
      </c>
      <c r="AG129" s="141">
        <f t="shared" si="143"/>
        <v>0</v>
      </c>
      <c r="AH129" s="154" t="s">
        <v>12</v>
      </c>
      <c r="AI129" s="133"/>
      <c r="AJ129" s="170"/>
      <c r="AK129" s="133"/>
      <c r="AL129" s="133"/>
    </row>
    <row r="130" spans="1:38" ht="19.5" hidden="1" customHeight="1" x14ac:dyDescent="0.25">
      <c r="A130" s="176"/>
      <c r="B130" s="149" t="s">
        <v>64</v>
      </c>
      <c r="C130" s="141">
        <f t="shared" ref="C130:AG130" si="144">IF(C46=1,IF(C124&gt;C125,24-C124,0),0)</f>
        <v>0</v>
      </c>
      <c r="D130" s="141">
        <f t="shared" si="144"/>
        <v>0</v>
      </c>
      <c r="E130" s="141">
        <f t="shared" si="144"/>
        <v>0</v>
      </c>
      <c r="F130" s="141">
        <f t="shared" si="144"/>
        <v>0</v>
      </c>
      <c r="G130" s="141">
        <f t="shared" si="144"/>
        <v>0</v>
      </c>
      <c r="H130" s="141">
        <f t="shared" si="144"/>
        <v>0</v>
      </c>
      <c r="I130" s="141">
        <f t="shared" si="144"/>
        <v>0</v>
      </c>
      <c r="J130" s="141">
        <f t="shared" si="144"/>
        <v>0</v>
      </c>
      <c r="K130" s="141">
        <f t="shared" si="144"/>
        <v>0</v>
      </c>
      <c r="L130" s="141">
        <f t="shared" si="144"/>
        <v>6</v>
      </c>
      <c r="M130" s="141">
        <f t="shared" si="144"/>
        <v>6</v>
      </c>
      <c r="N130" s="141">
        <f t="shared" si="144"/>
        <v>0</v>
      </c>
      <c r="O130" s="141">
        <f t="shared" si="144"/>
        <v>0</v>
      </c>
      <c r="P130" s="141">
        <f t="shared" si="144"/>
        <v>0</v>
      </c>
      <c r="Q130" s="141">
        <f t="shared" si="144"/>
        <v>0</v>
      </c>
      <c r="R130" s="141">
        <f t="shared" si="144"/>
        <v>0</v>
      </c>
      <c r="S130" s="141">
        <f t="shared" si="144"/>
        <v>0</v>
      </c>
      <c r="T130" s="141">
        <f t="shared" si="144"/>
        <v>0</v>
      </c>
      <c r="U130" s="141">
        <f t="shared" si="144"/>
        <v>0</v>
      </c>
      <c r="V130" s="141">
        <f t="shared" si="144"/>
        <v>0</v>
      </c>
      <c r="W130" s="141">
        <f t="shared" si="144"/>
        <v>0</v>
      </c>
      <c r="X130" s="141">
        <f t="shared" si="144"/>
        <v>0</v>
      </c>
      <c r="Y130" s="141">
        <f t="shared" si="144"/>
        <v>0</v>
      </c>
      <c r="Z130" s="141">
        <f t="shared" si="144"/>
        <v>6</v>
      </c>
      <c r="AA130" s="141">
        <f t="shared" si="144"/>
        <v>6</v>
      </c>
      <c r="AB130" s="141">
        <f t="shared" si="144"/>
        <v>0</v>
      </c>
      <c r="AC130" s="141">
        <f t="shared" si="144"/>
        <v>0</v>
      </c>
      <c r="AD130" s="141">
        <f t="shared" si="144"/>
        <v>0</v>
      </c>
      <c r="AE130" s="141">
        <f t="shared" si="144"/>
        <v>0</v>
      </c>
      <c r="AF130" s="141">
        <f t="shared" si="144"/>
        <v>0</v>
      </c>
      <c r="AG130" s="141">
        <f t="shared" si="144"/>
        <v>0</v>
      </c>
      <c r="AH130" s="154" t="s">
        <v>12</v>
      </c>
      <c r="AI130" s="133"/>
      <c r="AJ130" s="170"/>
      <c r="AK130" s="133"/>
      <c r="AL130" s="133"/>
    </row>
    <row r="131" spans="1:38" ht="19.5" hidden="1" customHeight="1" x14ac:dyDescent="0.25">
      <c r="A131" s="176"/>
      <c r="B131" s="149" t="s">
        <v>65</v>
      </c>
      <c r="C131" s="141">
        <f t="shared" ref="C131:AG131" si="145">IF(D46=1,IF(C124&gt;C125,C125,0),0)</f>
        <v>0</v>
      </c>
      <c r="D131" s="141">
        <f t="shared" si="145"/>
        <v>0</v>
      </c>
      <c r="E131" s="141">
        <f t="shared" si="145"/>
        <v>0</v>
      </c>
      <c r="F131" s="141">
        <f t="shared" si="145"/>
        <v>0</v>
      </c>
      <c r="G131" s="141">
        <f t="shared" si="145"/>
        <v>0</v>
      </c>
      <c r="H131" s="141">
        <f t="shared" si="145"/>
        <v>0</v>
      </c>
      <c r="I131" s="141">
        <f t="shared" si="145"/>
        <v>0</v>
      </c>
      <c r="J131" s="141">
        <f t="shared" si="145"/>
        <v>0</v>
      </c>
      <c r="K131" s="141">
        <f t="shared" si="145"/>
        <v>6</v>
      </c>
      <c r="L131" s="141">
        <f t="shared" si="145"/>
        <v>6</v>
      </c>
      <c r="M131" s="141">
        <f t="shared" si="145"/>
        <v>0</v>
      </c>
      <c r="N131" s="141">
        <f t="shared" si="145"/>
        <v>0</v>
      </c>
      <c r="O131" s="141">
        <f t="shared" si="145"/>
        <v>0</v>
      </c>
      <c r="P131" s="141">
        <f t="shared" si="145"/>
        <v>0</v>
      </c>
      <c r="Q131" s="141">
        <f t="shared" si="145"/>
        <v>0</v>
      </c>
      <c r="R131" s="141">
        <f t="shared" si="145"/>
        <v>0</v>
      </c>
      <c r="S131" s="141">
        <f t="shared" si="145"/>
        <v>0</v>
      </c>
      <c r="T131" s="141">
        <f t="shared" si="145"/>
        <v>0</v>
      </c>
      <c r="U131" s="141">
        <f t="shared" si="145"/>
        <v>0</v>
      </c>
      <c r="V131" s="141">
        <f t="shared" si="145"/>
        <v>0</v>
      </c>
      <c r="W131" s="141">
        <f t="shared" si="145"/>
        <v>0</v>
      </c>
      <c r="X131" s="141">
        <f>IF(Y46=1,IF(X124&gt;X125,X125,0),0)</f>
        <v>0</v>
      </c>
      <c r="Y131" s="141">
        <f t="shared" si="145"/>
        <v>6</v>
      </c>
      <c r="Z131" s="141">
        <f t="shared" si="145"/>
        <v>6</v>
      </c>
      <c r="AA131" s="141">
        <f t="shared" si="145"/>
        <v>0</v>
      </c>
      <c r="AB131" s="141">
        <f t="shared" si="145"/>
        <v>0</v>
      </c>
      <c r="AC131" s="141">
        <f t="shared" si="145"/>
        <v>0</v>
      </c>
      <c r="AD131" s="141">
        <f t="shared" si="145"/>
        <v>0</v>
      </c>
      <c r="AE131" s="141">
        <f t="shared" si="145"/>
        <v>0</v>
      </c>
      <c r="AF131" s="141">
        <f t="shared" si="145"/>
        <v>0</v>
      </c>
      <c r="AG131" s="141">
        <f t="shared" si="145"/>
        <v>0</v>
      </c>
      <c r="AH131" s="154" t="s">
        <v>12</v>
      </c>
      <c r="AI131" s="133"/>
      <c r="AJ131" s="170"/>
      <c r="AK131" s="133"/>
      <c r="AL131" s="133"/>
    </row>
    <row r="132" spans="1:38" ht="19.5" hidden="1" customHeight="1" x14ac:dyDescent="0.25">
      <c r="A132" s="176"/>
      <c r="B132" s="149" t="s">
        <v>67</v>
      </c>
      <c r="C132" s="171">
        <f t="shared" ref="C132:AG132" si="146">SUM(C129:C131)</f>
        <v>0</v>
      </c>
      <c r="D132" s="171">
        <f t="shared" si="146"/>
        <v>0</v>
      </c>
      <c r="E132" s="171">
        <f t="shared" si="146"/>
        <v>0</v>
      </c>
      <c r="F132" s="171">
        <f t="shared" si="146"/>
        <v>0</v>
      </c>
      <c r="G132" s="171">
        <f t="shared" si="146"/>
        <v>0</v>
      </c>
      <c r="H132" s="171">
        <f t="shared" si="146"/>
        <v>0</v>
      </c>
      <c r="I132" s="171">
        <f t="shared" si="146"/>
        <v>0</v>
      </c>
      <c r="J132" s="171">
        <f t="shared" si="146"/>
        <v>0</v>
      </c>
      <c r="K132" s="171">
        <f t="shared" si="146"/>
        <v>6</v>
      </c>
      <c r="L132" s="171">
        <f t="shared" si="146"/>
        <v>12</v>
      </c>
      <c r="M132" s="171">
        <f t="shared" si="146"/>
        <v>6</v>
      </c>
      <c r="N132" s="171">
        <f t="shared" si="146"/>
        <v>0</v>
      </c>
      <c r="O132" s="171">
        <f t="shared" si="146"/>
        <v>0</v>
      </c>
      <c r="P132" s="171">
        <f t="shared" si="146"/>
        <v>0</v>
      </c>
      <c r="Q132" s="171">
        <f t="shared" si="146"/>
        <v>0</v>
      </c>
      <c r="R132" s="171">
        <f t="shared" si="146"/>
        <v>0</v>
      </c>
      <c r="S132" s="171">
        <f t="shared" si="146"/>
        <v>0</v>
      </c>
      <c r="T132" s="171">
        <f t="shared" si="146"/>
        <v>0</v>
      </c>
      <c r="U132" s="171">
        <f t="shared" si="146"/>
        <v>0</v>
      </c>
      <c r="V132" s="171">
        <f t="shared" si="146"/>
        <v>0</v>
      </c>
      <c r="W132" s="171">
        <f t="shared" si="146"/>
        <v>0</v>
      </c>
      <c r="X132" s="171">
        <f t="shared" si="146"/>
        <v>0</v>
      </c>
      <c r="Y132" s="171">
        <f t="shared" si="146"/>
        <v>6</v>
      </c>
      <c r="Z132" s="171">
        <f t="shared" si="146"/>
        <v>12</v>
      </c>
      <c r="AA132" s="171">
        <f t="shared" si="146"/>
        <v>6</v>
      </c>
      <c r="AB132" s="171">
        <f t="shared" si="146"/>
        <v>0</v>
      </c>
      <c r="AC132" s="171">
        <f t="shared" si="146"/>
        <v>0</v>
      </c>
      <c r="AD132" s="171">
        <f t="shared" si="146"/>
        <v>0</v>
      </c>
      <c r="AE132" s="171">
        <f t="shared" si="146"/>
        <v>0</v>
      </c>
      <c r="AF132" s="171">
        <f t="shared" si="146"/>
        <v>0</v>
      </c>
      <c r="AG132" s="171">
        <f t="shared" si="146"/>
        <v>0</v>
      </c>
      <c r="AH132" s="154" t="s">
        <v>12</v>
      </c>
      <c r="AI132" s="133"/>
      <c r="AJ132" s="170"/>
      <c r="AK132" s="133"/>
      <c r="AL132" s="133"/>
    </row>
    <row r="133" spans="1:38" ht="19.5" hidden="1" customHeight="1" x14ac:dyDescent="0.25">
      <c r="A133" s="177"/>
      <c r="B133" s="160" t="s">
        <v>68</v>
      </c>
      <c r="C133" s="161">
        <f t="shared" ref="C133:AG133" si="147">IF(C16="V",IF(C16="",0,1),0)</f>
        <v>0</v>
      </c>
      <c r="D133" s="161">
        <f t="shared" si="147"/>
        <v>0</v>
      </c>
      <c r="E133" s="161">
        <f t="shared" si="147"/>
        <v>0</v>
      </c>
      <c r="F133" s="161">
        <f t="shared" si="147"/>
        <v>0</v>
      </c>
      <c r="G133" s="161">
        <f t="shared" si="147"/>
        <v>0</v>
      </c>
      <c r="H133" s="161">
        <f t="shared" si="147"/>
        <v>0</v>
      </c>
      <c r="I133" s="161">
        <f t="shared" si="147"/>
        <v>0</v>
      </c>
      <c r="J133" s="161">
        <f t="shared" si="147"/>
        <v>0</v>
      </c>
      <c r="K133" s="161">
        <f t="shared" si="147"/>
        <v>0</v>
      </c>
      <c r="L133" s="161">
        <f t="shared" si="147"/>
        <v>0</v>
      </c>
      <c r="M133" s="161">
        <f t="shared" si="147"/>
        <v>0</v>
      </c>
      <c r="N133" s="161">
        <f t="shared" si="147"/>
        <v>0</v>
      </c>
      <c r="O133" s="161">
        <f t="shared" si="147"/>
        <v>0</v>
      </c>
      <c r="P133" s="161">
        <f t="shared" si="147"/>
        <v>0</v>
      </c>
      <c r="Q133" s="161">
        <f t="shared" si="147"/>
        <v>0</v>
      </c>
      <c r="R133" s="161">
        <f t="shared" si="147"/>
        <v>0</v>
      </c>
      <c r="S133" s="161">
        <f t="shared" si="147"/>
        <v>0</v>
      </c>
      <c r="T133" s="161">
        <f t="shared" si="147"/>
        <v>0</v>
      </c>
      <c r="U133" s="161">
        <f t="shared" si="147"/>
        <v>0</v>
      </c>
      <c r="V133" s="161">
        <f t="shared" si="147"/>
        <v>0</v>
      </c>
      <c r="W133" s="161">
        <f t="shared" si="147"/>
        <v>0</v>
      </c>
      <c r="X133" s="161">
        <f t="shared" si="147"/>
        <v>0</v>
      </c>
      <c r="Y133" s="161">
        <f t="shared" si="147"/>
        <v>0</v>
      </c>
      <c r="Z133" s="161">
        <f t="shared" si="147"/>
        <v>0</v>
      </c>
      <c r="AA133" s="161">
        <f t="shared" si="147"/>
        <v>0</v>
      </c>
      <c r="AB133" s="161">
        <f t="shared" si="147"/>
        <v>0</v>
      </c>
      <c r="AC133" s="161">
        <f t="shared" si="147"/>
        <v>0</v>
      </c>
      <c r="AD133" s="161">
        <f t="shared" si="147"/>
        <v>0</v>
      </c>
      <c r="AE133" s="161">
        <f t="shared" si="147"/>
        <v>0</v>
      </c>
      <c r="AF133" s="161">
        <f t="shared" si="147"/>
        <v>0</v>
      </c>
      <c r="AG133" s="161">
        <f t="shared" si="147"/>
        <v>0</v>
      </c>
      <c r="AH133" s="154" t="s">
        <v>12</v>
      </c>
      <c r="AI133" s="133"/>
      <c r="AJ133" s="170"/>
      <c r="AK133" s="133"/>
      <c r="AL133" s="133"/>
    </row>
    <row r="134" spans="1:38" ht="19.5" hidden="1" customHeight="1" x14ac:dyDescent="0.25">
      <c r="A134" s="180"/>
      <c r="B134" s="181" t="s">
        <v>16</v>
      </c>
      <c r="C134" s="182">
        <f t="shared" ref="C134:AG134" si="148">IF(C16="PR",IF(C16="",0,1),0)</f>
        <v>0</v>
      </c>
      <c r="D134" s="182">
        <f t="shared" si="148"/>
        <v>0</v>
      </c>
      <c r="E134" s="182">
        <f t="shared" si="148"/>
        <v>0</v>
      </c>
      <c r="F134" s="182">
        <f t="shared" si="148"/>
        <v>0</v>
      </c>
      <c r="G134" s="182">
        <f t="shared" si="148"/>
        <v>0</v>
      </c>
      <c r="H134" s="182">
        <f t="shared" si="148"/>
        <v>0</v>
      </c>
      <c r="I134" s="182">
        <f t="shared" si="148"/>
        <v>0</v>
      </c>
      <c r="J134" s="182">
        <f t="shared" si="148"/>
        <v>0</v>
      </c>
      <c r="K134" s="182">
        <f t="shared" si="148"/>
        <v>0</v>
      </c>
      <c r="L134" s="182">
        <f t="shared" si="148"/>
        <v>0</v>
      </c>
      <c r="M134" s="182">
        <f t="shared" si="148"/>
        <v>0</v>
      </c>
      <c r="N134" s="182">
        <f t="shared" si="148"/>
        <v>0</v>
      </c>
      <c r="O134" s="182">
        <f t="shared" si="148"/>
        <v>0</v>
      </c>
      <c r="P134" s="182">
        <f t="shared" si="148"/>
        <v>0</v>
      </c>
      <c r="Q134" s="182">
        <f t="shared" si="148"/>
        <v>0</v>
      </c>
      <c r="R134" s="182">
        <f t="shared" si="148"/>
        <v>0</v>
      </c>
      <c r="S134" s="182">
        <f t="shared" si="148"/>
        <v>0</v>
      </c>
      <c r="T134" s="182">
        <f t="shared" si="148"/>
        <v>0</v>
      </c>
      <c r="U134" s="182">
        <f t="shared" si="148"/>
        <v>0</v>
      </c>
      <c r="V134" s="182">
        <f t="shared" si="148"/>
        <v>0</v>
      </c>
      <c r="W134" s="182">
        <f t="shared" si="148"/>
        <v>0</v>
      </c>
      <c r="X134" s="182">
        <f t="shared" si="148"/>
        <v>0</v>
      </c>
      <c r="Y134" s="182">
        <f t="shared" si="148"/>
        <v>0</v>
      </c>
      <c r="Z134" s="182">
        <f t="shared" si="148"/>
        <v>0</v>
      </c>
      <c r="AA134" s="182">
        <f t="shared" si="148"/>
        <v>0</v>
      </c>
      <c r="AB134" s="182">
        <f t="shared" si="148"/>
        <v>0</v>
      </c>
      <c r="AC134" s="182">
        <f t="shared" si="148"/>
        <v>0</v>
      </c>
      <c r="AD134" s="182">
        <f t="shared" si="148"/>
        <v>0</v>
      </c>
      <c r="AE134" s="182">
        <f t="shared" si="148"/>
        <v>0</v>
      </c>
      <c r="AF134" s="182">
        <f t="shared" si="148"/>
        <v>0</v>
      </c>
      <c r="AG134" s="182">
        <f t="shared" si="148"/>
        <v>0</v>
      </c>
      <c r="AH134" s="227">
        <f>SUM(C134:AG134)</f>
        <v>0</v>
      </c>
      <c r="AI134" s="227"/>
      <c r="AJ134" s="174" t="s">
        <v>69</v>
      </c>
      <c r="AK134" s="133"/>
      <c r="AL134" s="133"/>
    </row>
    <row r="135" spans="1:38" ht="19.5" hidden="1" customHeight="1" x14ac:dyDescent="0.25">
      <c r="A135" s="164" t="s">
        <v>85</v>
      </c>
      <c r="B135" s="165" t="s">
        <v>29</v>
      </c>
      <c r="C135" s="141" t="str">
        <f t="shared" ref="C135:AG135" si="149">IF(C17=$R32,$S32*24,IF(C17=$R33,$S33*24,IF(C17=$R34,$S34*24,IF(C17=$R35,$S35*24,IF(C17=$R36,$S36*24,IF(C17=$R37,$S37*24,IF(C17=$R38,$S38*24,IF(C17=$R39,$S39*24,IF(C17=$R40,$S40*24,"")))))))))</f>
        <v/>
      </c>
      <c r="D135" s="141" t="str">
        <f t="shared" si="149"/>
        <v/>
      </c>
      <c r="E135" s="141" t="str">
        <f t="shared" si="149"/>
        <v/>
      </c>
      <c r="F135" s="141" t="str">
        <f t="shared" si="149"/>
        <v/>
      </c>
      <c r="G135" s="141">
        <f t="shared" si="149"/>
        <v>22</v>
      </c>
      <c r="H135" s="141">
        <f t="shared" si="149"/>
        <v>22</v>
      </c>
      <c r="I135" s="141" t="str">
        <f t="shared" si="149"/>
        <v/>
      </c>
      <c r="J135" s="141" t="str">
        <f t="shared" si="149"/>
        <v/>
      </c>
      <c r="K135" s="141">
        <f t="shared" si="149"/>
        <v>22</v>
      </c>
      <c r="L135" s="141">
        <f t="shared" si="149"/>
        <v>22</v>
      </c>
      <c r="M135" s="141">
        <f t="shared" si="149"/>
        <v>22</v>
      </c>
      <c r="N135" s="141" t="str">
        <f t="shared" si="149"/>
        <v/>
      </c>
      <c r="O135" s="141" t="str">
        <f t="shared" si="149"/>
        <v/>
      </c>
      <c r="P135" s="141" t="str">
        <f t="shared" si="149"/>
        <v/>
      </c>
      <c r="Q135" s="141">
        <f t="shared" si="149"/>
        <v>18</v>
      </c>
      <c r="R135" s="141" t="str">
        <f t="shared" si="149"/>
        <v/>
      </c>
      <c r="S135" s="141" t="str">
        <f t="shared" si="149"/>
        <v/>
      </c>
      <c r="T135" s="141" t="str">
        <f t="shared" si="149"/>
        <v/>
      </c>
      <c r="U135" s="141" t="str">
        <f t="shared" si="149"/>
        <v/>
      </c>
      <c r="V135" s="141" t="str">
        <f t="shared" si="149"/>
        <v/>
      </c>
      <c r="W135" s="141" t="str">
        <f t="shared" si="149"/>
        <v/>
      </c>
      <c r="X135" s="141" t="str">
        <f t="shared" si="149"/>
        <v/>
      </c>
      <c r="Y135" s="141">
        <f t="shared" si="149"/>
        <v>22</v>
      </c>
      <c r="Z135" s="141">
        <f t="shared" si="149"/>
        <v>22</v>
      </c>
      <c r="AA135" s="141">
        <f t="shared" si="149"/>
        <v>22</v>
      </c>
      <c r="AB135" s="141" t="str">
        <f t="shared" si="149"/>
        <v/>
      </c>
      <c r="AC135" s="141" t="str">
        <f t="shared" si="149"/>
        <v/>
      </c>
      <c r="AD135" s="141" t="str">
        <f t="shared" si="149"/>
        <v/>
      </c>
      <c r="AE135" s="141" t="str">
        <f t="shared" si="149"/>
        <v/>
      </c>
      <c r="AF135" s="141" t="str">
        <f t="shared" si="149"/>
        <v/>
      </c>
      <c r="AG135" s="141" t="str">
        <f t="shared" si="149"/>
        <v/>
      </c>
      <c r="AH135" s="154" t="s">
        <v>12</v>
      </c>
      <c r="AI135" s="133"/>
      <c r="AJ135" s="170"/>
      <c r="AK135" s="133"/>
      <c r="AL135" s="133"/>
    </row>
    <row r="136" spans="1:38" ht="19.5" hidden="1" customHeight="1" x14ac:dyDescent="0.25">
      <c r="A136" s="166" t="s">
        <v>86</v>
      </c>
      <c r="B136" s="167" t="s">
        <v>30</v>
      </c>
      <c r="C136" s="141" t="str">
        <f t="shared" ref="C136:AG136" si="150">IF(C17=$R32,$V32*24,IF(C17=$R33,$V33*24,IF(C17=$R34,$V34*24,IF(C17=$R35,$V35*24,IF(C17=$R36,$V36*24,IF(C17=$R37,$V37*24,IF(C17=$R38,$V38*24,IF(C17=$R39,$V39*24,IF(C17=$R40,$V40*24,"")))))))))</f>
        <v/>
      </c>
      <c r="D136" s="141" t="str">
        <f t="shared" si="150"/>
        <v/>
      </c>
      <c r="E136" s="141" t="str">
        <f t="shared" si="150"/>
        <v/>
      </c>
      <c r="F136" s="141" t="str">
        <f t="shared" si="150"/>
        <v/>
      </c>
      <c r="G136" s="141">
        <f t="shared" si="150"/>
        <v>6</v>
      </c>
      <c r="H136" s="141">
        <f t="shared" si="150"/>
        <v>6</v>
      </c>
      <c r="I136" s="141" t="str">
        <f t="shared" si="150"/>
        <v/>
      </c>
      <c r="J136" s="141" t="str">
        <f t="shared" si="150"/>
        <v/>
      </c>
      <c r="K136" s="141">
        <f t="shared" si="150"/>
        <v>6</v>
      </c>
      <c r="L136" s="141">
        <f t="shared" si="150"/>
        <v>6</v>
      </c>
      <c r="M136" s="141">
        <f t="shared" si="150"/>
        <v>6</v>
      </c>
      <c r="N136" s="141" t="str">
        <f t="shared" si="150"/>
        <v/>
      </c>
      <c r="O136" s="141" t="str">
        <f t="shared" si="150"/>
        <v/>
      </c>
      <c r="P136" s="141" t="str">
        <f t="shared" si="150"/>
        <v/>
      </c>
      <c r="Q136" s="141">
        <f t="shared" si="150"/>
        <v>6</v>
      </c>
      <c r="R136" s="141" t="str">
        <f t="shared" si="150"/>
        <v/>
      </c>
      <c r="S136" s="141" t="str">
        <f t="shared" si="150"/>
        <v/>
      </c>
      <c r="T136" s="141" t="str">
        <f t="shared" si="150"/>
        <v/>
      </c>
      <c r="U136" s="141" t="str">
        <f t="shared" si="150"/>
        <v/>
      </c>
      <c r="V136" s="141" t="str">
        <f t="shared" si="150"/>
        <v/>
      </c>
      <c r="W136" s="141" t="str">
        <f t="shared" si="150"/>
        <v/>
      </c>
      <c r="X136" s="141" t="str">
        <f t="shared" si="150"/>
        <v/>
      </c>
      <c r="Y136" s="141">
        <f t="shared" si="150"/>
        <v>6</v>
      </c>
      <c r="Z136" s="141">
        <f t="shared" si="150"/>
        <v>6</v>
      </c>
      <c r="AA136" s="141">
        <f t="shared" si="150"/>
        <v>6</v>
      </c>
      <c r="AB136" s="141" t="str">
        <f t="shared" si="150"/>
        <v/>
      </c>
      <c r="AC136" s="141" t="str">
        <f t="shared" si="150"/>
        <v/>
      </c>
      <c r="AD136" s="141" t="str">
        <f t="shared" si="150"/>
        <v/>
      </c>
      <c r="AE136" s="141" t="str">
        <f t="shared" si="150"/>
        <v/>
      </c>
      <c r="AF136" s="141" t="str">
        <f t="shared" si="150"/>
        <v/>
      </c>
      <c r="AG136" s="141" t="str">
        <f t="shared" si="150"/>
        <v/>
      </c>
      <c r="AH136" s="154" t="s">
        <v>12</v>
      </c>
      <c r="AI136" s="133"/>
      <c r="AJ136" s="170"/>
      <c r="AK136" s="133"/>
      <c r="AL136" s="133"/>
    </row>
    <row r="137" spans="1:38" ht="19.5" hidden="1" customHeight="1" x14ac:dyDescent="0.25">
      <c r="A137" s="153"/>
      <c r="B137" s="168" t="s">
        <v>34</v>
      </c>
      <c r="C137" s="169" t="str">
        <f t="shared" ref="C137:X137" si="151">IF(C17=$R32,$BD32*24,IF(C17=$R33,$BD33*24,IF(C17=$R34,$BD34*24,IF(C17=$R35,$BD35*24,IF(C17=$R36,$BD36*24,IF(C17=$R37,$BD37*24,IF(C17=$R38,$BD38*24,IF(C17=$R39,$BD39*24,IF(C17=$R40,$BD40*24,"")))))))))</f>
        <v/>
      </c>
      <c r="D137" s="169" t="str">
        <f t="shared" si="151"/>
        <v/>
      </c>
      <c r="E137" s="169" t="str">
        <f t="shared" si="151"/>
        <v/>
      </c>
      <c r="F137" s="169" t="str">
        <f t="shared" si="151"/>
        <v/>
      </c>
      <c r="G137" s="169">
        <f t="shared" si="151"/>
        <v>8</v>
      </c>
      <c r="H137" s="169">
        <f t="shared" si="151"/>
        <v>8</v>
      </c>
      <c r="I137" s="169" t="str">
        <f t="shared" si="151"/>
        <v/>
      </c>
      <c r="J137" s="169" t="str">
        <f t="shared" si="151"/>
        <v/>
      </c>
      <c r="K137" s="169">
        <f t="shared" si="151"/>
        <v>8</v>
      </c>
      <c r="L137" s="169">
        <f t="shared" si="151"/>
        <v>8</v>
      </c>
      <c r="M137" s="169">
        <f t="shared" si="151"/>
        <v>8</v>
      </c>
      <c r="N137" s="169" t="str">
        <f t="shared" si="151"/>
        <v/>
      </c>
      <c r="O137" s="169" t="str">
        <f t="shared" si="151"/>
        <v/>
      </c>
      <c r="P137" s="169" t="str">
        <f t="shared" si="151"/>
        <v/>
      </c>
      <c r="Q137" s="169">
        <f t="shared" si="151"/>
        <v>8</v>
      </c>
      <c r="R137" s="169" t="str">
        <f t="shared" si="151"/>
        <v/>
      </c>
      <c r="S137" s="169" t="str">
        <f t="shared" si="151"/>
        <v/>
      </c>
      <c r="T137" s="169" t="str">
        <f t="shared" si="151"/>
        <v/>
      </c>
      <c r="U137" s="169" t="str">
        <f t="shared" si="151"/>
        <v/>
      </c>
      <c r="V137" s="169" t="str">
        <f t="shared" si="151"/>
        <v/>
      </c>
      <c r="W137" s="169" t="str">
        <f t="shared" si="151"/>
        <v/>
      </c>
      <c r="X137" s="169" t="str">
        <f t="shared" si="151"/>
        <v/>
      </c>
      <c r="Y137" s="169">
        <f t="shared" ref="Y137:AD137" si="152">IF(Y17=$R32,$BD32*24,IF(Y17=$R33,$BD33*24,IF(Y17=$R34,$BD34*24,IF(Y17=$R35,$BD35*24,IF(Y17=$R36,$BD36*24,IF(Y17=$R37,$BD37*24,IF(Y17=$R38,$BD38*24,IF(Y17=$R39,$BD39*24,IF(Y17=$R40,$BD40*24,"")))))))))</f>
        <v>8</v>
      </c>
      <c r="Z137" s="169">
        <f t="shared" si="152"/>
        <v>8</v>
      </c>
      <c r="AA137" s="169">
        <f t="shared" si="152"/>
        <v>8</v>
      </c>
      <c r="AB137" s="169" t="str">
        <f t="shared" si="152"/>
        <v/>
      </c>
      <c r="AC137" s="169" t="str">
        <f t="shared" si="152"/>
        <v/>
      </c>
      <c r="AD137" s="169" t="str">
        <f t="shared" si="152"/>
        <v/>
      </c>
      <c r="AE137" s="169" t="str">
        <f>IF(AE17=$R32,$BD32*24,IF(AE17=$R33,$BD33*24,IF(AE17=$R34,$BD34*24,IF(AE17=$R35,$BD35*24,IF(AE17=$R36,$BD36*24,IF(AE17=$R37,$BD37*24,IF(AE17=$R38,$BD38*24,IF(AE17=$R39,$BD39*24,IF(AE17=$R40,$BD40*24,"")))))))))</f>
        <v/>
      </c>
      <c r="AF137" s="169" t="str">
        <f>IF(AF17=$R32,$BD32*24,IF(AF17=$R33,$BD33*24,IF(AF17=$R34,$BD34*24,IF(AF17=$R35,$BD35*24,IF(AF17=$R36,$BD36*24,IF(AF17=$R37,$BD37*24,IF(AF17=$R38,$BD38*24,IF(AF17=$R39,$BD39*24,IF(AF17=$R40,$BD40*24,"")))))))))</f>
        <v/>
      </c>
      <c r="AG137" s="169" t="str">
        <f>IF(AG17=$R32,$BD32*24,IF(AG17=$R33,$BD33*24,IF(AG17=$R34,$BD34*24,IF(AG17=$R35,$BD35*24,IF(AG17=$R36,$BD36*24,IF(AG17=$R37,$BD37*24,IF(AG17=$R38,$BD38*24,IF(AG17=$R39,$BD39*24,IF(AG17=$R40,$BD40*24,"")))))))))</f>
        <v/>
      </c>
      <c r="AH137" s="148">
        <f>SUM(C137:AG137)</f>
        <v>72</v>
      </c>
      <c r="AI137" s="133"/>
      <c r="AJ137" s="170"/>
      <c r="AK137" s="133"/>
      <c r="AL137" s="133"/>
    </row>
    <row r="138" spans="1:38" ht="19.5" hidden="1" customHeight="1" x14ac:dyDescent="0.25">
      <c r="A138" s="153"/>
      <c r="B138" s="167" t="s">
        <v>59</v>
      </c>
      <c r="C138" s="141">
        <f t="shared" ref="C138:AG138" si="153">IF(C17="V",$C36,IF(C17="PR",$C38,0))</f>
        <v>0</v>
      </c>
      <c r="D138" s="141">
        <f t="shared" si="153"/>
        <v>0</v>
      </c>
      <c r="E138" s="141">
        <f t="shared" si="153"/>
        <v>0</v>
      </c>
      <c r="F138" s="141">
        <f t="shared" si="153"/>
        <v>0</v>
      </c>
      <c r="G138" s="141">
        <f t="shared" si="153"/>
        <v>0</v>
      </c>
      <c r="H138" s="141">
        <f t="shared" si="153"/>
        <v>0</v>
      </c>
      <c r="I138" s="141">
        <f t="shared" si="153"/>
        <v>0</v>
      </c>
      <c r="J138" s="141">
        <f t="shared" si="153"/>
        <v>0</v>
      </c>
      <c r="K138" s="141">
        <f t="shared" si="153"/>
        <v>0</v>
      </c>
      <c r="L138" s="141">
        <f t="shared" si="153"/>
        <v>0</v>
      </c>
      <c r="M138" s="141">
        <f t="shared" si="153"/>
        <v>0</v>
      </c>
      <c r="N138" s="141">
        <f t="shared" si="153"/>
        <v>0</v>
      </c>
      <c r="O138" s="141">
        <f t="shared" si="153"/>
        <v>0</v>
      </c>
      <c r="P138" s="141">
        <f t="shared" si="153"/>
        <v>0</v>
      </c>
      <c r="Q138" s="141">
        <f t="shared" si="153"/>
        <v>0</v>
      </c>
      <c r="R138" s="141">
        <f t="shared" si="153"/>
        <v>0</v>
      </c>
      <c r="S138" s="141">
        <f t="shared" si="153"/>
        <v>0</v>
      </c>
      <c r="T138" s="141">
        <f t="shared" si="153"/>
        <v>0</v>
      </c>
      <c r="U138" s="141">
        <f t="shared" si="153"/>
        <v>0</v>
      </c>
      <c r="V138" s="141">
        <f t="shared" si="153"/>
        <v>0</v>
      </c>
      <c r="W138" s="141">
        <f t="shared" si="153"/>
        <v>0</v>
      </c>
      <c r="X138" s="141">
        <f t="shared" si="153"/>
        <v>0</v>
      </c>
      <c r="Y138" s="141">
        <f t="shared" si="153"/>
        <v>0</v>
      </c>
      <c r="Z138" s="141">
        <f t="shared" si="153"/>
        <v>0</v>
      </c>
      <c r="AA138" s="141">
        <f t="shared" si="153"/>
        <v>0</v>
      </c>
      <c r="AB138" s="141">
        <f t="shared" si="153"/>
        <v>0</v>
      </c>
      <c r="AC138" s="141">
        <f t="shared" si="153"/>
        <v>0</v>
      </c>
      <c r="AD138" s="141">
        <f t="shared" si="153"/>
        <v>0</v>
      </c>
      <c r="AE138" s="141">
        <f t="shared" si="153"/>
        <v>0</v>
      </c>
      <c r="AF138" s="141">
        <f t="shared" si="153"/>
        <v>0</v>
      </c>
      <c r="AG138" s="141">
        <f t="shared" si="153"/>
        <v>0</v>
      </c>
      <c r="AH138" s="226">
        <f>SUM(C138:AG138)</f>
        <v>0</v>
      </c>
      <c r="AI138" s="226"/>
      <c r="AJ138" s="230">
        <f>SUM(AH83+AH94+AH105+AH116+AH127+AH138)</f>
        <v>0</v>
      </c>
      <c r="AK138" s="230"/>
      <c r="AL138" s="133" t="s">
        <v>56</v>
      </c>
    </row>
    <row r="139" spans="1:38" ht="19.5" hidden="1" customHeight="1" x14ac:dyDescent="0.25">
      <c r="A139" s="150" t="s">
        <v>60</v>
      </c>
      <c r="B139" s="167" t="s">
        <v>61</v>
      </c>
      <c r="C139" s="151">
        <f t="shared" ref="C139:X139" si="154">IF(C17=$R32,$BC32,IF(C17=$R33,$BC33,IF(C17=$R34,$BC34,IF(C17=$R35,$BC35,IF(C17=$R36,$BC36,IF(C17=$R37,$BC37,IF(C17=$R38,$BC38,IF(C17=$R39,$BC39,IF(C17=$R40,$BC40,0)))))))))</f>
        <v>0</v>
      </c>
      <c r="D139" s="151">
        <f t="shared" si="154"/>
        <v>0</v>
      </c>
      <c r="E139" s="151">
        <f t="shared" si="154"/>
        <v>0</v>
      </c>
      <c r="F139" s="151">
        <f t="shared" si="154"/>
        <v>0</v>
      </c>
      <c r="G139" s="151">
        <f t="shared" si="154"/>
        <v>7.9999999999999716</v>
      </c>
      <c r="H139" s="151">
        <f t="shared" si="154"/>
        <v>7.9999999999999716</v>
      </c>
      <c r="I139" s="151">
        <f t="shared" si="154"/>
        <v>0</v>
      </c>
      <c r="J139" s="151">
        <f t="shared" si="154"/>
        <v>0</v>
      </c>
      <c r="K139" s="151">
        <f t="shared" si="154"/>
        <v>7.9999999999999716</v>
      </c>
      <c r="L139" s="151">
        <f t="shared" si="154"/>
        <v>7.9999999999999716</v>
      </c>
      <c r="M139" s="151">
        <f t="shared" si="154"/>
        <v>7.9999999999999716</v>
      </c>
      <c r="N139" s="151">
        <f t="shared" si="154"/>
        <v>0</v>
      </c>
      <c r="O139" s="151">
        <f t="shared" si="154"/>
        <v>0</v>
      </c>
      <c r="P139" s="151">
        <f t="shared" si="154"/>
        <v>0</v>
      </c>
      <c r="Q139" s="151">
        <f t="shared" si="154"/>
        <v>12</v>
      </c>
      <c r="R139" s="151">
        <f t="shared" si="154"/>
        <v>0</v>
      </c>
      <c r="S139" s="151">
        <f t="shared" si="154"/>
        <v>0</v>
      </c>
      <c r="T139" s="151">
        <f t="shared" si="154"/>
        <v>0</v>
      </c>
      <c r="U139" s="151">
        <f t="shared" si="154"/>
        <v>0</v>
      </c>
      <c r="V139" s="151">
        <f t="shared" si="154"/>
        <v>0</v>
      </c>
      <c r="W139" s="151">
        <f t="shared" si="154"/>
        <v>0</v>
      </c>
      <c r="X139" s="151">
        <f t="shared" si="154"/>
        <v>0</v>
      </c>
      <c r="Y139" s="151">
        <f t="shared" ref="Y139:AD139" si="155">IF(Y17=$R32,$BC32,IF(Y17=$R33,$BC33,IF(Y17=$R34,$BC34,IF(Y17=$R35,$BC35,IF(Y17=$R36,$BC36,IF(Y17=$R37,$BC37,IF(Y17=$R38,$BC38,IF(Y17=$R39,$BC39,IF(Y17=$R40,$BC40,0)))))))))</f>
        <v>7.9999999999999716</v>
      </c>
      <c r="Z139" s="151">
        <f t="shared" si="155"/>
        <v>7.9999999999999716</v>
      </c>
      <c r="AA139" s="151">
        <f t="shared" si="155"/>
        <v>7.9999999999999716</v>
      </c>
      <c r="AB139" s="151">
        <f t="shared" si="155"/>
        <v>0</v>
      </c>
      <c r="AC139" s="151">
        <f t="shared" si="155"/>
        <v>0</v>
      </c>
      <c r="AD139" s="151">
        <f t="shared" si="155"/>
        <v>0</v>
      </c>
      <c r="AE139" s="151">
        <f>IF(AE17=$R32,$BC32,IF(AE17=$R33,$BC33,IF(AE17=$R34,$BC34,IF(AE17=$R35,$BC35,IF(AE17=$R36,$BC36,IF(AE17=$R37,$BC37,IF(AE17=$R38,$BC38,IF(AE17=$R39,$BC39,IF(AE17=$R40,$BC40,0)))))))))</f>
        <v>0</v>
      </c>
      <c r="AF139" s="151">
        <f>IF(AF17=$R32,$BC32,IF(AF17=$R33,$BC33,IF(AF17=$R34,$BC34,IF(AF17=$R35,$BC35,IF(AF17=$R36,$BC36,IF(AF17=$R37,$BC37,IF(AF17=$R38,$BC38,IF(AF17=$R39,$BC39,IF(AF17=$R40,$BC40,0)))))))))</f>
        <v>0</v>
      </c>
      <c r="AG139" s="151">
        <f>IF(AG17=$R32,$BC32,IF(AG17=$R33,$BC33,IF(AG17=$R34,$BC34,IF(AG17=$R35,$BC35,IF(AG17=$R36,$BC36,IF(AG17=$R37,$BC37,IF(AG17=$R38,$BC38,IF(AG17=$R39,$BC39,IF(AG17=$R40,$BC40,0)))))))))</f>
        <v>0</v>
      </c>
      <c r="AH139" s="226">
        <f>SUM(C139:AG139)</f>
        <v>75.999999999999773</v>
      </c>
      <c r="AI139" s="226"/>
      <c r="AJ139" s="174" t="s">
        <v>62</v>
      </c>
      <c r="AK139" s="133" t="s">
        <v>12</v>
      </c>
      <c r="AL139" s="133"/>
    </row>
    <row r="140" spans="1:38" ht="19.5" hidden="1" customHeight="1" x14ac:dyDescent="0.25">
      <c r="A140" s="153" t="s">
        <v>48</v>
      </c>
      <c r="B140" s="149" t="s">
        <v>63</v>
      </c>
      <c r="C140" s="141" t="b">
        <f t="shared" ref="C140:AG140" si="156">IF(C46=1,IF(C135&lt;C136,C139,0))</f>
        <v>0</v>
      </c>
      <c r="D140" s="141" t="b">
        <f t="shared" si="156"/>
        <v>0</v>
      </c>
      <c r="E140" s="141">
        <f t="shared" si="156"/>
        <v>0</v>
      </c>
      <c r="F140" s="141">
        <f t="shared" si="156"/>
        <v>0</v>
      </c>
      <c r="G140" s="141" t="b">
        <f t="shared" si="156"/>
        <v>0</v>
      </c>
      <c r="H140" s="141" t="b">
        <f t="shared" si="156"/>
        <v>0</v>
      </c>
      <c r="I140" s="141" t="b">
        <f t="shared" si="156"/>
        <v>0</v>
      </c>
      <c r="J140" s="141" t="b">
        <f t="shared" si="156"/>
        <v>0</v>
      </c>
      <c r="K140" s="141" t="b">
        <f t="shared" si="156"/>
        <v>0</v>
      </c>
      <c r="L140" s="141">
        <f t="shared" si="156"/>
        <v>0</v>
      </c>
      <c r="M140" s="141">
        <f t="shared" si="156"/>
        <v>0</v>
      </c>
      <c r="N140" s="141" t="b">
        <f t="shared" si="156"/>
        <v>0</v>
      </c>
      <c r="O140" s="141" t="b">
        <f t="shared" si="156"/>
        <v>0</v>
      </c>
      <c r="P140" s="141" t="b">
        <f t="shared" si="156"/>
        <v>0</v>
      </c>
      <c r="Q140" s="141" t="b">
        <f t="shared" si="156"/>
        <v>0</v>
      </c>
      <c r="R140" s="141" t="b">
        <f t="shared" si="156"/>
        <v>0</v>
      </c>
      <c r="S140" s="141">
        <f t="shared" si="156"/>
        <v>0</v>
      </c>
      <c r="T140" s="141">
        <f t="shared" si="156"/>
        <v>0</v>
      </c>
      <c r="U140" s="141" t="b">
        <f t="shared" si="156"/>
        <v>0</v>
      </c>
      <c r="V140" s="141" t="b">
        <f t="shared" si="156"/>
        <v>0</v>
      </c>
      <c r="W140" s="141" t="b">
        <f t="shared" si="156"/>
        <v>0</v>
      </c>
      <c r="X140" s="141" t="b">
        <f t="shared" si="156"/>
        <v>0</v>
      </c>
      <c r="Y140" s="141" t="b">
        <f t="shared" si="156"/>
        <v>0</v>
      </c>
      <c r="Z140" s="141">
        <f t="shared" si="156"/>
        <v>0</v>
      </c>
      <c r="AA140" s="141">
        <f t="shared" si="156"/>
        <v>0</v>
      </c>
      <c r="AB140" s="141" t="b">
        <f t="shared" si="156"/>
        <v>0</v>
      </c>
      <c r="AC140" s="141" t="b">
        <f t="shared" si="156"/>
        <v>0</v>
      </c>
      <c r="AD140" s="141" t="b">
        <f t="shared" si="156"/>
        <v>0</v>
      </c>
      <c r="AE140" s="141" t="b">
        <f t="shared" si="156"/>
        <v>0</v>
      </c>
      <c r="AF140" s="141" t="b">
        <f t="shared" si="156"/>
        <v>0</v>
      </c>
      <c r="AG140" s="141">
        <f t="shared" si="156"/>
        <v>0</v>
      </c>
      <c r="AH140" s="154" t="s">
        <v>12</v>
      </c>
      <c r="AI140" s="133"/>
      <c r="AJ140" s="170"/>
      <c r="AK140" s="133"/>
      <c r="AL140" s="133"/>
    </row>
    <row r="141" spans="1:38" ht="19.5" hidden="1" customHeight="1" x14ac:dyDescent="0.25">
      <c r="A141" s="176"/>
      <c r="B141" s="149" t="s">
        <v>64</v>
      </c>
      <c r="C141" s="141">
        <f t="shared" ref="C141:AG141" si="157">IF(C46=1,IF(C135&gt;C136,24-C135,0),0)</f>
        <v>0</v>
      </c>
      <c r="D141" s="141">
        <f t="shared" si="157"/>
        <v>0</v>
      </c>
      <c r="E141" s="141">
        <f t="shared" si="157"/>
        <v>0</v>
      </c>
      <c r="F141" s="141">
        <f t="shared" si="157"/>
        <v>0</v>
      </c>
      <c r="G141" s="141">
        <f t="shared" si="157"/>
        <v>0</v>
      </c>
      <c r="H141" s="141">
        <f t="shared" si="157"/>
        <v>0</v>
      </c>
      <c r="I141" s="141">
        <f t="shared" si="157"/>
        <v>0</v>
      </c>
      <c r="J141" s="141">
        <f t="shared" si="157"/>
        <v>0</v>
      </c>
      <c r="K141" s="141">
        <f t="shared" si="157"/>
        <v>0</v>
      </c>
      <c r="L141" s="141">
        <f t="shared" si="157"/>
        <v>2</v>
      </c>
      <c r="M141" s="141">
        <f t="shared" si="157"/>
        <v>2</v>
      </c>
      <c r="N141" s="141">
        <f t="shared" si="157"/>
        <v>0</v>
      </c>
      <c r="O141" s="141">
        <f t="shared" si="157"/>
        <v>0</v>
      </c>
      <c r="P141" s="141">
        <f t="shared" si="157"/>
        <v>0</v>
      </c>
      <c r="Q141" s="141">
        <f t="shared" si="157"/>
        <v>0</v>
      </c>
      <c r="R141" s="141">
        <f t="shared" si="157"/>
        <v>0</v>
      </c>
      <c r="S141" s="141">
        <f t="shared" si="157"/>
        <v>0</v>
      </c>
      <c r="T141" s="141">
        <f t="shared" si="157"/>
        <v>0</v>
      </c>
      <c r="U141" s="141">
        <f t="shared" si="157"/>
        <v>0</v>
      </c>
      <c r="V141" s="141">
        <f t="shared" si="157"/>
        <v>0</v>
      </c>
      <c r="W141" s="141">
        <f t="shared" si="157"/>
        <v>0</v>
      </c>
      <c r="X141" s="141">
        <f t="shared" si="157"/>
        <v>0</v>
      </c>
      <c r="Y141" s="141">
        <f t="shared" si="157"/>
        <v>0</v>
      </c>
      <c r="Z141" s="141">
        <f t="shared" si="157"/>
        <v>2</v>
      </c>
      <c r="AA141" s="141">
        <f t="shared" si="157"/>
        <v>2</v>
      </c>
      <c r="AB141" s="141">
        <f t="shared" si="157"/>
        <v>0</v>
      </c>
      <c r="AC141" s="141">
        <f t="shared" si="157"/>
        <v>0</v>
      </c>
      <c r="AD141" s="141">
        <f t="shared" si="157"/>
        <v>0</v>
      </c>
      <c r="AE141" s="141">
        <f t="shared" si="157"/>
        <v>0</v>
      </c>
      <c r="AF141" s="141">
        <f t="shared" si="157"/>
        <v>0</v>
      </c>
      <c r="AG141" s="141">
        <f t="shared" si="157"/>
        <v>0</v>
      </c>
      <c r="AH141" s="154" t="s">
        <v>12</v>
      </c>
      <c r="AI141" s="133"/>
      <c r="AJ141" s="170"/>
      <c r="AK141" s="133"/>
      <c r="AL141" s="133"/>
    </row>
    <row r="142" spans="1:38" ht="19.5" hidden="1" customHeight="1" x14ac:dyDescent="0.25">
      <c r="A142" s="176"/>
      <c r="B142" s="149" t="s">
        <v>65</v>
      </c>
      <c r="C142" s="141">
        <f t="shared" ref="C142:AG142" si="158">IF(D46=1,IF(C135&gt;C136,C136,0),0)</f>
        <v>0</v>
      </c>
      <c r="D142" s="141">
        <f t="shared" si="158"/>
        <v>0</v>
      </c>
      <c r="E142" s="141">
        <f t="shared" si="158"/>
        <v>0</v>
      </c>
      <c r="F142" s="141">
        <f t="shared" si="158"/>
        <v>0</v>
      </c>
      <c r="G142" s="141">
        <f t="shared" si="158"/>
        <v>0</v>
      </c>
      <c r="H142" s="141">
        <f t="shared" si="158"/>
        <v>0</v>
      </c>
      <c r="I142" s="141">
        <f t="shared" si="158"/>
        <v>0</v>
      </c>
      <c r="J142" s="141">
        <f t="shared" si="158"/>
        <v>0</v>
      </c>
      <c r="K142" s="141">
        <f t="shared" si="158"/>
        <v>6</v>
      </c>
      <c r="L142" s="141">
        <f t="shared" si="158"/>
        <v>6</v>
      </c>
      <c r="M142" s="141">
        <f t="shared" si="158"/>
        <v>0</v>
      </c>
      <c r="N142" s="141">
        <f t="shared" si="158"/>
        <v>0</v>
      </c>
      <c r="O142" s="141">
        <f t="shared" si="158"/>
        <v>0</v>
      </c>
      <c r="P142" s="141">
        <f t="shared" si="158"/>
        <v>0</v>
      </c>
      <c r="Q142" s="141">
        <f t="shared" si="158"/>
        <v>0</v>
      </c>
      <c r="R142" s="141">
        <f t="shared" si="158"/>
        <v>0</v>
      </c>
      <c r="S142" s="141">
        <f t="shared" si="158"/>
        <v>0</v>
      </c>
      <c r="T142" s="141">
        <f t="shared" si="158"/>
        <v>0</v>
      </c>
      <c r="U142" s="141">
        <f t="shared" si="158"/>
        <v>0</v>
      </c>
      <c r="V142" s="141">
        <f t="shared" si="158"/>
        <v>0</v>
      </c>
      <c r="W142" s="141">
        <f t="shared" si="158"/>
        <v>0</v>
      </c>
      <c r="X142" s="141">
        <f>IF(Y46=1,IF(X135&gt;X136,X136,0),0)</f>
        <v>0</v>
      </c>
      <c r="Y142" s="141">
        <f t="shared" si="158"/>
        <v>6</v>
      </c>
      <c r="Z142" s="141">
        <f t="shared" si="158"/>
        <v>6</v>
      </c>
      <c r="AA142" s="141">
        <f t="shared" si="158"/>
        <v>0</v>
      </c>
      <c r="AB142" s="141">
        <f t="shared" si="158"/>
        <v>0</v>
      </c>
      <c r="AC142" s="141">
        <f t="shared" si="158"/>
        <v>0</v>
      </c>
      <c r="AD142" s="141">
        <f t="shared" si="158"/>
        <v>0</v>
      </c>
      <c r="AE142" s="141">
        <f t="shared" si="158"/>
        <v>0</v>
      </c>
      <c r="AF142" s="141">
        <f t="shared" si="158"/>
        <v>0</v>
      </c>
      <c r="AG142" s="141">
        <f t="shared" si="158"/>
        <v>0</v>
      </c>
      <c r="AH142" s="154" t="s">
        <v>12</v>
      </c>
      <c r="AI142" s="133"/>
      <c r="AJ142" s="170"/>
      <c r="AK142" s="133"/>
      <c r="AL142" s="133"/>
    </row>
    <row r="143" spans="1:38" ht="19.5" hidden="1" customHeight="1" x14ac:dyDescent="0.25">
      <c r="A143" s="176"/>
      <c r="B143" s="149" t="s">
        <v>67</v>
      </c>
      <c r="C143" s="171">
        <f>SUM(C140:C142)</f>
        <v>0</v>
      </c>
      <c r="D143" s="171">
        <f t="shared" ref="D143:AG143" si="159">SUM(D140:D142)</f>
        <v>0</v>
      </c>
      <c r="E143" s="171">
        <f t="shared" si="159"/>
        <v>0</v>
      </c>
      <c r="F143" s="171">
        <f t="shared" si="159"/>
        <v>0</v>
      </c>
      <c r="G143" s="171">
        <f t="shared" si="159"/>
        <v>0</v>
      </c>
      <c r="H143" s="171">
        <f t="shared" si="159"/>
        <v>0</v>
      </c>
      <c r="I143" s="171">
        <f t="shared" si="159"/>
        <v>0</v>
      </c>
      <c r="J143" s="171">
        <f t="shared" si="159"/>
        <v>0</v>
      </c>
      <c r="K143" s="171">
        <f t="shared" si="159"/>
        <v>6</v>
      </c>
      <c r="L143" s="171">
        <f t="shared" si="159"/>
        <v>8</v>
      </c>
      <c r="M143" s="171">
        <f t="shared" si="159"/>
        <v>2</v>
      </c>
      <c r="N143" s="171">
        <f t="shared" si="159"/>
        <v>0</v>
      </c>
      <c r="O143" s="171">
        <f t="shared" si="159"/>
        <v>0</v>
      </c>
      <c r="P143" s="171">
        <f t="shared" si="159"/>
        <v>0</v>
      </c>
      <c r="Q143" s="171">
        <f t="shared" si="159"/>
        <v>0</v>
      </c>
      <c r="R143" s="171">
        <f t="shared" si="159"/>
        <v>0</v>
      </c>
      <c r="S143" s="171">
        <f t="shared" si="159"/>
        <v>0</v>
      </c>
      <c r="T143" s="171">
        <f t="shared" si="159"/>
        <v>0</v>
      </c>
      <c r="U143" s="171">
        <f t="shared" si="159"/>
        <v>0</v>
      </c>
      <c r="V143" s="171">
        <f t="shared" si="159"/>
        <v>0</v>
      </c>
      <c r="W143" s="171">
        <f t="shared" si="159"/>
        <v>0</v>
      </c>
      <c r="X143" s="171">
        <f t="shared" si="159"/>
        <v>0</v>
      </c>
      <c r="Y143" s="171">
        <f t="shared" si="159"/>
        <v>6</v>
      </c>
      <c r="Z143" s="171">
        <f t="shared" si="159"/>
        <v>8</v>
      </c>
      <c r="AA143" s="171">
        <f t="shared" si="159"/>
        <v>2</v>
      </c>
      <c r="AB143" s="171">
        <f t="shared" si="159"/>
        <v>0</v>
      </c>
      <c r="AC143" s="171">
        <f t="shared" si="159"/>
        <v>0</v>
      </c>
      <c r="AD143" s="171">
        <f t="shared" si="159"/>
        <v>0</v>
      </c>
      <c r="AE143" s="171">
        <f t="shared" si="159"/>
        <v>0</v>
      </c>
      <c r="AF143" s="171">
        <f t="shared" si="159"/>
        <v>0</v>
      </c>
      <c r="AG143" s="171">
        <f t="shared" si="159"/>
        <v>0</v>
      </c>
      <c r="AH143" s="154" t="s">
        <v>12</v>
      </c>
      <c r="AI143" s="133"/>
      <c r="AJ143" s="170"/>
      <c r="AK143" s="133"/>
      <c r="AL143" s="133"/>
    </row>
    <row r="144" spans="1:38" ht="19.5" hidden="1" customHeight="1" x14ac:dyDescent="0.25">
      <c r="A144" s="177"/>
      <c r="B144" s="160" t="s">
        <v>68</v>
      </c>
      <c r="C144" s="161">
        <f t="shared" ref="C144:AG144" si="160">IF(C17="V",IF(C17="",0,1),0)</f>
        <v>0</v>
      </c>
      <c r="D144" s="161">
        <f t="shared" si="160"/>
        <v>0</v>
      </c>
      <c r="E144" s="161">
        <f t="shared" si="160"/>
        <v>0</v>
      </c>
      <c r="F144" s="161">
        <f t="shared" si="160"/>
        <v>0</v>
      </c>
      <c r="G144" s="161">
        <f t="shared" si="160"/>
        <v>0</v>
      </c>
      <c r="H144" s="161">
        <f t="shared" si="160"/>
        <v>0</v>
      </c>
      <c r="I144" s="161">
        <f t="shared" si="160"/>
        <v>0</v>
      </c>
      <c r="J144" s="161">
        <f t="shared" si="160"/>
        <v>0</v>
      </c>
      <c r="K144" s="161">
        <f t="shared" si="160"/>
        <v>0</v>
      </c>
      <c r="L144" s="161">
        <f t="shared" si="160"/>
        <v>0</v>
      </c>
      <c r="M144" s="161">
        <f t="shared" si="160"/>
        <v>0</v>
      </c>
      <c r="N144" s="161">
        <f t="shared" si="160"/>
        <v>0</v>
      </c>
      <c r="O144" s="161">
        <f t="shared" si="160"/>
        <v>0</v>
      </c>
      <c r="P144" s="161">
        <f t="shared" si="160"/>
        <v>0</v>
      </c>
      <c r="Q144" s="161">
        <f t="shared" si="160"/>
        <v>0</v>
      </c>
      <c r="R144" s="161">
        <f t="shared" si="160"/>
        <v>0</v>
      </c>
      <c r="S144" s="161">
        <f t="shared" si="160"/>
        <v>0</v>
      </c>
      <c r="T144" s="161">
        <f t="shared" si="160"/>
        <v>0</v>
      </c>
      <c r="U144" s="161">
        <f t="shared" si="160"/>
        <v>0</v>
      </c>
      <c r="V144" s="161">
        <f t="shared" si="160"/>
        <v>0</v>
      </c>
      <c r="W144" s="161">
        <f t="shared" si="160"/>
        <v>0</v>
      </c>
      <c r="X144" s="161">
        <f t="shared" si="160"/>
        <v>0</v>
      </c>
      <c r="Y144" s="161">
        <f t="shared" si="160"/>
        <v>0</v>
      </c>
      <c r="Z144" s="161">
        <f t="shared" si="160"/>
        <v>0</v>
      </c>
      <c r="AA144" s="161">
        <f t="shared" si="160"/>
        <v>0</v>
      </c>
      <c r="AB144" s="161">
        <f t="shared" si="160"/>
        <v>0</v>
      </c>
      <c r="AC144" s="161">
        <f t="shared" si="160"/>
        <v>0</v>
      </c>
      <c r="AD144" s="161">
        <f t="shared" si="160"/>
        <v>0</v>
      </c>
      <c r="AE144" s="161">
        <f t="shared" si="160"/>
        <v>0</v>
      </c>
      <c r="AF144" s="161">
        <f t="shared" si="160"/>
        <v>0</v>
      </c>
      <c r="AG144" s="161">
        <f t="shared" si="160"/>
        <v>0</v>
      </c>
      <c r="AH144" s="154" t="s">
        <v>12</v>
      </c>
      <c r="AI144" s="133"/>
      <c r="AJ144" s="170"/>
      <c r="AK144" s="133"/>
      <c r="AL144" s="133"/>
    </row>
    <row r="145" spans="1:38" ht="19.5" hidden="1" customHeight="1" x14ac:dyDescent="0.25">
      <c r="A145" s="180"/>
      <c r="B145" s="181" t="s">
        <v>16</v>
      </c>
      <c r="C145" s="182">
        <f t="shared" ref="C145:AG145" si="161">IF(C17="PR",IF(C17="",0,1),0)</f>
        <v>0</v>
      </c>
      <c r="D145" s="182">
        <f t="shared" si="161"/>
        <v>0</v>
      </c>
      <c r="E145" s="182">
        <f t="shared" si="161"/>
        <v>0</v>
      </c>
      <c r="F145" s="182">
        <f t="shared" si="161"/>
        <v>0</v>
      </c>
      <c r="G145" s="182">
        <f t="shared" si="161"/>
        <v>0</v>
      </c>
      <c r="H145" s="182">
        <f t="shared" si="161"/>
        <v>0</v>
      </c>
      <c r="I145" s="182">
        <f t="shared" si="161"/>
        <v>0</v>
      </c>
      <c r="J145" s="182">
        <f t="shared" si="161"/>
        <v>0</v>
      </c>
      <c r="K145" s="182">
        <f t="shared" si="161"/>
        <v>0</v>
      </c>
      <c r="L145" s="182">
        <f t="shared" si="161"/>
        <v>0</v>
      </c>
      <c r="M145" s="182">
        <f t="shared" si="161"/>
        <v>0</v>
      </c>
      <c r="N145" s="182">
        <f t="shared" si="161"/>
        <v>0</v>
      </c>
      <c r="O145" s="182">
        <f t="shared" si="161"/>
        <v>0</v>
      </c>
      <c r="P145" s="182">
        <f t="shared" si="161"/>
        <v>0</v>
      </c>
      <c r="Q145" s="182">
        <f t="shared" si="161"/>
        <v>0</v>
      </c>
      <c r="R145" s="182">
        <f t="shared" si="161"/>
        <v>0</v>
      </c>
      <c r="S145" s="182">
        <f t="shared" si="161"/>
        <v>0</v>
      </c>
      <c r="T145" s="182">
        <f t="shared" si="161"/>
        <v>0</v>
      </c>
      <c r="U145" s="182">
        <f t="shared" si="161"/>
        <v>0</v>
      </c>
      <c r="V145" s="182">
        <f t="shared" si="161"/>
        <v>0</v>
      </c>
      <c r="W145" s="182">
        <f t="shared" si="161"/>
        <v>0</v>
      </c>
      <c r="X145" s="182">
        <f t="shared" si="161"/>
        <v>0</v>
      </c>
      <c r="Y145" s="182">
        <f t="shared" si="161"/>
        <v>0</v>
      </c>
      <c r="Z145" s="182">
        <f t="shared" si="161"/>
        <v>0</v>
      </c>
      <c r="AA145" s="182">
        <f t="shared" si="161"/>
        <v>0</v>
      </c>
      <c r="AB145" s="182">
        <f t="shared" si="161"/>
        <v>0</v>
      </c>
      <c r="AC145" s="182">
        <f t="shared" si="161"/>
        <v>0</v>
      </c>
      <c r="AD145" s="182">
        <f t="shared" si="161"/>
        <v>0</v>
      </c>
      <c r="AE145" s="182">
        <f t="shared" si="161"/>
        <v>0</v>
      </c>
      <c r="AF145" s="182">
        <f t="shared" si="161"/>
        <v>0</v>
      </c>
      <c r="AG145" s="182">
        <f t="shared" si="161"/>
        <v>0</v>
      </c>
      <c r="AH145" s="227">
        <f>SUM(C145:AG145)</f>
        <v>0</v>
      </c>
      <c r="AI145" s="227"/>
      <c r="AJ145" s="174" t="s">
        <v>69</v>
      </c>
      <c r="AK145" s="133"/>
      <c r="AL145" s="133"/>
    </row>
    <row r="146" spans="1:38" ht="19.5" hidden="1" customHeight="1" x14ac:dyDescent="0.25">
      <c r="A146" s="164" t="s">
        <v>87</v>
      </c>
      <c r="B146" s="165" t="s">
        <v>29</v>
      </c>
      <c r="C146" s="141" t="str">
        <f t="shared" ref="C146:AG146" si="162">IF(C18=$R32,$S32*24,IF(C18=$R33,$S33*24,IF(C18=$R34,$S34*24,IF(C18=$R35,$S35*24,IF(C18=$R36,$S36*24,IF(C18=$R37,$S37*24,IF(C18=$R38,$S38*24,IF(C18=$R39,$S39*24,IF(C18=$R40,$S40*24,"")))))))))</f>
        <v/>
      </c>
      <c r="D146" s="141" t="str">
        <f t="shared" si="162"/>
        <v/>
      </c>
      <c r="E146" s="141" t="str">
        <f t="shared" si="162"/>
        <v/>
      </c>
      <c r="F146" s="141" t="str">
        <f t="shared" si="162"/>
        <v/>
      </c>
      <c r="G146" s="141">
        <f t="shared" si="162"/>
        <v>18</v>
      </c>
      <c r="H146" s="141">
        <f t="shared" si="162"/>
        <v>18</v>
      </c>
      <c r="I146" s="141" t="str">
        <f t="shared" si="162"/>
        <v/>
      </c>
      <c r="J146" s="141" t="str">
        <f t="shared" si="162"/>
        <v/>
      </c>
      <c r="K146" s="141">
        <f t="shared" si="162"/>
        <v>6</v>
      </c>
      <c r="L146" s="141">
        <f t="shared" si="162"/>
        <v>6</v>
      </c>
      <c r="M146" s="141">
        <f t="shared" si="162"/>
        <v>6</v>
      </c>
      <c r="N146" s="141">
        <f t="shared" si="162"/>
        <v>6</v>
      </c>
      <c r="O146" s="141">
        <f t="shared" si="162"/>
        <v>6</v>
      </c>
      <c r="P146" s="141">
        <f t="shared" si="162"/>
        <v>18</v>
      </c>
      <c r="Q146" s="141" t="str">
        <f t="shared" si="162"/>
        <v/>
      </c>
      <c r="R146" s="141">
        <f t="shared" si="162"/>
        <v>6</v>
      </c>
      <c r="S146" s="141">
        <f t="shared" si="162"/>
        <v>6</v>
      </c>
      <c r="T146" s="141">
        <f t="shared" si="162"/>
        <v>6</v>
      </c>
      <c r="U146" s="141">
        <f t="shared" si="162"/>
        <v>18</v>
      </c>
      <c r="V146" s="141">
        <f t="shared" si="162"/>
        <v>18</v>
      </c>
      <c r="W146" s="141" t="str">
        <f t="shared" si="162"/>
        <v/>
      </c>
      <c r="X146" s="141" t="str">
        <f t="shared" si="162"/>
        <v/>
      </c>
      <c r="Y146" s="141" t="str">
        <f t="shared" si="162"/>
        <v/>
      </c>
      <c r="Z146" s="141" t="str">
        <f t="shared" si="162"/>
        <v/>
      </c>
      <c r="AA146" s="141" t="str">
        <f t="shared" si="162"/>
        <v/>
      </c>
      <c r="AB146" s="141" t="str">
        <f t="shared" si="162"/>
        <v/>
      </c>
      <c r="AC146" s="141" t="str">
        <f t="shared" si="162"/>
        <v/>
      </c>
      <c r="AD146" s="141">
        <f t="shared" si="162"/>
        <v>18</v>
      </c>
      <c r="AE146" s="141">
        <f t="shared" si="162"/>
        <v>18</v>
      </c>
      <c r="AF146" s="141" t="str">
        <f t="shared" si="162"/>
        <v/>
      </c>
      <c r="AG146" s="141" t="str">
        <f t="shared" si="162"/>
        <v/>
      </c>
      <c r="AH146" s="154" t="s">
        <v>12</v>
      </c>
      <c r="AI146" s="133"/>
      <c r="AJ146" s="170"/>
      <c r="AK146" s="133"/>
      <c r="AL146" s="133"/>
    </row>
    <row r="147" spans="1:38" ht="19.5" hidden="1" customHeight="1" x14ac:dyDescent="0.25">
      <c r="A147" s="166" t="s">
        <v>88</v>
      </c>
      <c r="B147" s="167" t="s">
        <v>30</v>
      </c>
      <c r="C147" s="141" t="str">
        <f t="shared" ref="C147:AG147" si="163">IF(C18=$R32,$V32*24,IF(C18=$R33,$V33*24,IF(C18=$R34,$V34*24,IF(C18=$R35,$V35*24,IF(C18=$R36,$V36*24,IF(C18=$R37,$V37*24,IF(C18=$R38,$V38*24,IF(C18=$R39,$V39*24,IF(C18=$R40,$V40*24,"")))))))))</f>
        <v/>
      </c>
      <c r="D147" s="141" t="str">
        <f t="shared" si="163"/>
        <v/>
      </c>
      <c r="E147" s="141" t="str">
        <f t="shared" si="163"/>
        <v/>
      </c>
      <c r="F147" s="141" t="str">
        <f t="shared" si="163"/>
        <v/>
      </c>
      <c r="G147" s="141">
        <f t="shared" si="163"/>
        <v>6</v>
      </c>
      <c r="H147" s="141">
        <f t="shared" si="163"/>
        <v>6</v>
      </c>
      <c r="I147" s="141" t="str">
        <f t="shared" si="163"/>
        <v/>
      </c>
      <c r="J147" s="141" t="str">
        <f t="shared" si="163"/>
        <v/>
      </c>
      <c r="K147" s="141">
        <f t="shared" si="163"/>
        <v>18</v>
      </c>
      <c r="L147" s="141">
        <f t="shared" si="163"/>
        <v>18</v>
      </c>
      <c r="M147" s="141">
        <f t="shared" si="163"/>
        <v>18</v>
      </c>
      <c r="N147" s="141">
        <f t="shared" si="163"/>
        <v>18</v>
      </c>
      <c r="O147" s="141">
        <f t="shared" si="163"/>
        <v>18</v>
      </c>
      <c r="P147" s="141">
        <f t="shared" si="163"/>
        <v>6</v>
      </c>
      <c r="Q147" s="141" t="str">
        <f t="shared" si="163"/>
        <v/>
      </c>
      <c r="R147" s="141">
        <f t="shared" si="163"/>
        <v>18</v>
      </c>
      <c r="S147" s="141">
        <f t="shared" si="163"/>
        <v>18</v>
      </c>
      <c r="T147" s="141">
        <f t="shared" si="163"/>
        <v>18</v>
      </c>
      <c r="U147" s="141">
        <f t="shared" si="163"/>
        <v>6</v>
      </c>
      <c r="V147" s="141">
        <f t="shared" si="163"/>
        <v>6</v>
      </c>
      <c r="W147" s="141" t="str">
        <f t="shared" si="163"/>
        <v/>
      </c>
      <c r="X147" s="141" t="str">
        <f t="shared" si="163"/>
        <v/>
      </c>
      <c r="Y147" s="141" t="str">
        <f t="shared" si="163"/>
        <v/>
      </c>
      <c r="Z147" s="141" t="str">
        <f t="shared" si="163"/>
        <v/>
      </c>
      <c r="AA147" s="141" t="str">
        <f t="shared" si="163"/>
        <v/>
      </c>
      <c r="AB147" s="141" t="str">
        <f t="shared" si="163"/>
        <v/>
      </c>
      <c r="AC147" s="141" t="str">
        <f t="shared" si="163"/>
        <v/>
      </c>
      <c r="AD147" s="141">
        <f t="shared" si="163"/>
        <v>6</v>
      </c>
      <c r="AE147" s="141">
        <f t="shared" si="163"/>
        <v>6</v>
      </c>
      <c r="AF147" s="141" t="str">
        <f t="shared" si="163"/>
        <v/>
      </c>
      <c r="AG147" s="141" t="str">
        <f t="shared" si="163"/>
        <v/>
      </c>
      <c r="AH147" s="154" t="s">
        <v>12</v>
      </c>
      <c r="AI147" s="133"/>
      <c r="AJ147" s="170"/>
      <c r="AK147" s="133"/>
      <c r="AL147" s="133"/>
    </row>
    <row r="148" spans="1:38" ht="19.5" hidden="1" customHeight="1" x14ac:dyDescent="0.25">
      <c r="A148" s="153"/>
      <c r="B148" s="168" t="s">
        <v>34</v>
      </c>
      <c r="C148" s="169" t="str">
        <f t="shared" ref="C148:X148" si="164">IF(C18=$R32,$BD32*24,IF(C18=$R33,$BD33*24,IF(C18=$R34,$BD34*24,IF(C18=$R35,$BD35*24,IF(C18=$R36,$BD36*24,IF(C18=$R37,$BD37*24,IF(C18=$R38,$BD38*24,IF(C18=$R39,$BD39*24,IF(C18=$R40,$BD40*24,"")))))))))</f>
        <v/>
      </c>
      <c r="D148" s="169" t="str">
        <f t="shared" si="164"/>
        <v/>
      </c>
      <c r="E148" s="169" t="str">
        <f t="shared" si="164"/>
        <v/>
      </c>
      <c r="F148" s="169" t="str">
        <f t="shared" si="164"/>
        <v/>
      </c>
      <c r="G148" s="169">
        <f t="shared" si="164"/>
        <v>8</v>
      </c>
      <c r="H148" s="169">
        <f t="shared" si="164"/>
        <v>8</v>
      </c>
      <c r="I148" s="169" t="str">
        <f t="shared" si="164"/>
        <v/>
      </c>
      <c r="J148" s="169" t="str">
        <f t="shared" si="164"/>
        <v/>
      </c>
      <c r="K148" s="169">
        <f t="shared" si="164"/>
        <v>0</v>
      </c>
      <c r="L148" s="169">
        <f t="shared" si="164"/>
        <v>0</v>
      </c>
      <c r="M148" s="169">
        <f t="shared" si="164"/>
        <v>0</v>
      </c>
      <c r="N148" s="169">
        <f t="shared" si="164"/>
        <v>0</v>
      </c>
      <c r="O148" s="169">
        <f t="shared" si="164"/>
        <v>0</v>
      </c>
      <c r="P148" s="169">
        <f t="shared" si="164"/>
        <v>8</v>
      </c>
      <c r="Q148" s="169" t="str">
        <f t="shared" si="164"/>
        <v/>
      </c>
      <c r="R148" s="169">
        <f t="shared" si="164"/>
        <v>0</v>
      </c>
      <c r="S148" s="169">
        <f t="shared" si="164"/>
        <v>0</v>
      </c>
      <c r="T148" s="169">
        <f t="shared" si="164"/>
        <v>0</v>
      </c>
      <c r="U148" s="169">
        <f t="shared" si="164"/>
        <v>8</v>
      </c>
      <c r="V148" s="169">
        <f t="shared" si="164"/>
        <v>8</v>
      </c>
      <c r="W148" s="169" t="str">
        <f t="shared" si="164"/>
        <v/>
      </c>
      <c r="X148" s="169" t="str">
        <f t="shared" si="164"/>
        <v/>
      </c>
      <c r="Y148" s="169" t="str">
        <f t="shared" ref="Y148:AD148" si="165">IF(Y18=$R32,$BD32*24,IF(Y18=$R33,$BD33*24,IF(Y18=$R34,$BD34*24,IF(Y18=$R35,$BD35*24,IF(Y18=$R36,$BD36*24,IF(Y18=$R37,$BD37*24,IF(Y18=$R38,$BD38*24,IF(Y18=$R39,$BD39*24,IF(Y18=$R40,$BD40*24,"")))))))))</f>
        <v/>
      </c>
      <c r="Z148" s="169" t="str">
        <f t="shared" si="165"/>
        <v/>
      </c>
      <c r="AA148" s="169" t="str">
        <f t="shared" si="165"/>
        <v/>
      </c>
      <c r="AB148" s="169" t="str">
        <f t="shared" si="165"/>
        <v/>
      </c>
      <c r="AC148" s="169" t="str">
        <f t="shared" si="165"/>
        <v/>
      </c>
      <c r="AD148" s="169">
        <f t="shared" si="165"/>
        <v>8</v>
      </c>
      <c r="AE148" s="169">
        <f>IF(AE18=$R32,$BD32*24,IF(AE18=$R33,$BD33*24,IF(AE18=$R34,$BD34*24,IF(AE18=$R35,$BD35*24,IF(AE18=$R36,$BD36*24,IF(AE18=$R37,$BD37*24,IF(AE18=$R38,$BD38*24,IF(AE18=$R39,$BD39*24,IF(AE18=$R40,$BD40*24,"")))))))))</f>
        <v>8</v>
      </c>
      <c r="AF148" s="169" t="str">
        <f>IF(AF18=$R32,$BD32*24,IF(AF18=$R33,$BD33*24,IF(AF18=$R34,$BD34*24,IF(AF18=$R35,$BD35*24,IF(AF18=$R36,$BD36*24,IF(AF18=$R37,$BD37*24,IF(AF18=$R38,$BD38*24,IF(AF18=$R39,$BD39*24,IF(AF18=$R40,$BD40*24,"")))))))))</f>
        <v/>
      </c>
      <c r="AG148" s="169" t="str">
        <f>IF(AG18=$R32,$BD32*24,IF(AG18=$R33,$BD33*24,IF(AG18=$R34,$BD34*24,IF(AG18=$R35,$BD35*24,IF(AG18=$R36,$BD36*24,IF(AG18=$R37,$BD37*24,IF(AG18=$R38,$BD38*24,IF(AG18=$R39,$BD39*24,IF(AG18=$R40,$BD40*24,"")))))))))</f>
        <v/>
      </c>
      <c r="AH148" s="148">
        <f>SUM(C148:AG148)</f>
        <v>56</v>
      </c>
      <c r="AI148" s="133"/>
      <c r="AJ148" s="170"/>
      <c r="AK148" s="133"/>
      <c r="AL148" s="133"/>
    </row>
    <row r="149" spans="1:38" ht="19.5" hidden="1" customHeight="1" x14ac:dyDescent="0.25">
      <c r="A149" s="153"/>
      <c r="B149" s="167" t="s">
        <v>59</v>
      </c>
      <c r="C149" s="141">
        <f t="shared" ref="C149:AG149" si="166">IF(C18="V",$C36,IF(C18="PR",$C38,0))</f>
        <v>0</v>
      </c>
      <c r="D149" s="141">
        <f t="shared" si="166"/>
        <v>0</v>
      </c>
      <c r="E149" s="141">
        <f t="shared" si="166"/>
        <v>0</v>
      </c>
      <c r="F149" s="141">
        <f t="shared" si="166"/>
        <v>0</v>
      </c>
      <c r="G149" s="141">
        <f t="shared" si="166"/>
        <v>0</v>
      </c>
      <c r="H149" s="141">
        <f t="shared" si="166"/>
        <v>0</v>
      </c>
      <c r="I149" s="141">
        <f t="shared" si="166"/>
        <v>0</v>
      </c>
      <c r="J149" s="141">
        <f t="shared" si="166"/>
        <v>0</v>
      </c>
      <c r="K149" s="141">
        <f t="shared" si="166"/>
        <v>0</v>
      </c>
      <c r="L149" s="141">
        <f t="shared" si="166"/>
        <v>0</v>
      </c>
      <c r="M149" s="141">
        <f t="shared" si="166"/>
        <v>0</v>
      </c>
      <c r="N149" s="141">
        <f t="shared" si="166"/>
        <v>0</v>
      </c>
      <c r="O149" s="141">
        <f t="shared" si="166"/>
        <v>0</v>
      </c>
      <c r="P149" s="141">
        <f t="shared" si="166"/>
        <v>0</v>
      </c>
      <c r="Q149" s="141">
        <f t="shared" si="166"/>
        <v>0</v>
      </c>
      <c r="R149" s="141">
        <f t="shared" si="166"/>
        <v>0</v>
      </c>
      <c r="S149" s="141">
        <f t="shared" si="166"/>
        <v>0</v>
      </c>
      <c r="T149" s="141">
        <f t="shared" si="166"/>
        <v>0</v>
      </c>
      <c r="U149" s="141">
        <f t="shared" si="166"/>
        <v>0</v>
      </c>
      <c r="V149" s="141">
        <f t="shared" si="166"/>
        <v>0</v>
      </c>
      <c r="W149" s="141">
        <f t="shared" si="166"/>
        <v>0</v>
      </c>
      <c r="X149" s="141">
        <f t="shared" si="166"/>
        <v>0</v>
      </c>
      <c r="Y149" s="141">
        <f t="shared" si="166"/>
        <v>0</v>
      </c>
      <c r="Z149" s="141">
        <f t="shared" si="166"/>
        <v>0</v>
      </c>
      <c r="AA149" s="141">
        <f t="shared" si="166"/>
        <v>0</v>
      </c>
      <c r="AB149" s="141">
        <f t="shared" si="166"/>
        <v>0</v>
      </c>
      <c r="AC149" s="141">
        <f t="shared" si="166"/>
        <v>0</v>
      </c>
      <c r="AD149" s="141">
        <f t="shared" si="166"/>
        <v>0</v>
      </c>
      <c r="AE149" s="141">
        <f t="shared" si="166"/>
        <v>0</v>
      </c>
      <c r="AF149" s="141">
        <f t="shared" si="166"/>
        <v>0</v>
      </c>
      <c r="AG149" s="141">
        <f t="shared" si="166"/>
        <v>0</v>
      </c>
      <c r="AH149" s="226">
        <f>SUM(C149:AG149)</f>
        <v>0</v>
      </c>
      <c r="AI149" s="226"/>
      <c r="AJ149" s="230">
        <f>SUM(AH94+AH105+AH116+AH127+AH138+AH149)</f>
        <v>0</v>
      </c>
      <c r="AK149" s="230"/>
      <c r="AL149" s="133" t="s">
        <v>56</v>
      </c>
    </row>
    <row r="150" spans="1:38" ht="19.5" hidden="1" customHeight="1" x14ac:dyDescent="0.25">
      <c r="A150" s="150" t="s">
        <v>60</v>
      </c>
      <c r="B150" s="167" t="s">
        <v>61</v>
      </c>
      <c r="C150" s="151">
        <f t="shared" ref="C150:X150" si="167">IF(C18=$R32,$BC32,IF(C18=$R33,$BC33,IF(C18=$R34,$BC34,IF(C18=$R35,$BC35,IF(C18=$R36,$BC36,IF(C18=$R37,$BC37,IF(C18=$R38,$BC38,IF(C18=$R39,$BC39,IF(C18=$R40,$BC40,0)))))))))</f>
        <v>0</v>
      </c>
      <c r="D150" s="151">
        <f t="shared" si="167"/>
        <v>0</v>
      </c>
      <c r="E150" s="151">
        <f t="shared" si="167"/>
        <v>0</v>
      </c>
      <c r="F150" s="151">
        <f t="shared" si="167"/>
        <v>0</v>
      </c>
      <c r="G150" s="151">
        <f t="shared" si="167"/>
        <v>12</v>
      </c>
      <c r="H150" s="151">
        <f t="shared" si="167"/>
        <v>12</v>
      </c>
      <c r="I150" s="151">
        <f t="shared" si="167"/>
        <v>0</v>
      </c>
      <c r="J150" s="151">
        <f t="shared" si="167"/>
        <v>0</v>
      </c>
      <c r="K150" s="151">
        <f t="shared" si="167"/>
        <v>12</v>
      </c>
      <c r="L150" s="151">
        <f t="shared" si="167"/>
        <v>12</v>
      </c>
      <c r="M150" s="151">
        <f t="shared" si="167"/>
        <v>12</v>
      </c>
      <c r="N150" s="151">
        <f t="shared" si="167"/>
        <v>12</v>
      </c>
      <c r="O150" s="151">
        <f t="shared" si="167"/>
        <v>12</v>
      </c>
      <c r="P150" s="151">
        <f t="shared" si="167"/>
        <v>12</v>
      </c>
      <c r="Q150" s="151">
        <f t="shared" si="167"/>
        <v>0</v>
      </c>
      <c r="R150" s="151">
        <f t="shared" si="167"/>
        <v>12</v>
      </c>
      <c r="S150" s="151">
        <f t="shared" si="167"/>
        <v>12</v>
      </c>
      <c r="T150" s="151">
        <f t="shared" si="167"/>
        <v>12</v>
      </c>
      <c r="U150" s="151">
        <f t="shared" si="167"/>
        <v>12</v>
      </c>
      <c r="V150" s="151">
        <f t="shared" si="167"/>
        <v>12</v>
      </c>
      <c r="W150" s="151">
        <f t="shared" si="167"/>
        <v>0</v>
      </c>
      <c r="X150" s="151">
        <f t="shared" si="167"/>
        <v>0</v>
      </c>
      <c r="Y150" s="151">
        <f t="shared" ref="Y150:AD150" si="168">IF(Y18=$R32,$BC32,IF(Y18=$R33,$BC33,IF(Y18=$R34,$BC34,IF(Y18=$R35,$BC35,IF(Y18=$R36,$BC36,IF(Y18=$R37,$BC37,IF(Y18=$R38,$BC38,IF(Y18=$R39,$BC39,IF(Y18=$R40,$BC40,0)))))))))</f>
        <v>0</v>
      </c>
      <c r="Z150" s="151">
        <f t="shared" si="168"/>
        <v>0</v>
      </c>
      <c r="AA150" s="151">
        <f t="shared" si="168"/>
        <v>0</v>
      </c>
      <c r="AB150" s="151">
        <f t="shared" si="168"/>
        <v>0</v>
      </c>
      <c r="AC150" s="151">
        <f t="shared" si="168"/>
        <v>0</v>
      </c>
      <c r="AD150" s="151">
        <f t="shared" si="168"/>
        <v>12</v>
      </c>
      <c r="AE150" s="151">
        <f>IF(AE18=$R32,$BC32,IF(AE18=$R33,$BC33,IF(AE18=$R34,$BC34,IF(AE18=$R35,$BC35,IF(AE18=$R36,$BC36,IF(AE18=$R37,$BC37,IF(AE18=$R38,$BC38,IF(AE18=$R39,$BC39,IF(AE18=$R40,$BC40,0)))))))))</f>
        <v>12</v>
      </c>
      <c r="AF150" s="151">
        <f>IF(AF18=$R32,$BC32,IF(AF18=$R33,$BC33,IF(AF18=$R34,$BC34,IF(AF18=$R35,$BC35,IF(AF18=$R36,$BC36,IF(AF18=$R37,$BC37,IF(AF18=$R38,$BC38,IF(AF18=$R39,$BC39,IF(AF18=$R40,$BC40,0)))))))))</f>
        <v>0</v>
      </c>
      <c r="AG150" s="151">
        <f>IF(AG18=$R32,$BC32,IF(AG18=$R33,$BC33,IF(AG18=$R34,$BC34,IF(AG18=$R35,$BC35,IF(AG18=$R36,$BC36,IF(AG18=$R37,$BC37,IF(AG18=$R38,$BC38,IF(AG18=$R39,$BC39,IF(AG18=$R40,$BC40,0)))))))))</f>
        <v>0</v>
      </c>
      <c r="AH150" s="226">
        <f>SUM(C150:AG150)</f>
        <v>180</v>
      </c>
      <c r="AI150" s="226"/>
      <c r="AJ150" s="174" t="s">
        <v>62</v>
      </c>
      <c r="AK150" s="133" t="s">
        <v>12</v>
      </c>
      <c r="AL150" s="133"/>
    </row>
    <row r="151" spans="1:38" ht="19.5" hidden="1" customHeight="1" x14ac:dyDescent="0.25">
      <c r="A151" s="153" t="s">
        <v>48</v>
      </c>
      <c r="B151" s="149" t="s">
        <v>63</v>
      </c>
      <c r="C151" s="141" t="b">
        <f>IF(C46=1,IF(C146&lt;C147,C150,0))</f>
        <v>0</v>
      </c>
      <c r="D151" s="141" t="b">
        <f t="shared" ref="D151:AG151" si="169">IF(D46=1,IF(D146&lt;D147,D150,0))</f>
        <v>0</v>
      </c>
      <c r="E151" s="141">
        <f t="shared" si="169"/>
        <v>0</v>
      </c>
      <c r="F151" s="141">
        <f t="shared" si="169"/>
        <v>0</v>
      </c>
      <c r="G151" s="141" t="b">
        <f t="shared" si="169"/>
        <v>0</v>
      </c>
      <c r="H151" s="141" t="b">
        <f t="shared" si="169"/>
        <v>0</v>
      </c>
      <c r="I151" s="141" t="b">
        <f t="shared" si="169"/>
        <v>0</v>
      </c>
      <c r="J151" s="141" t="b">
        <f t="shared" si="169"/>
        <v>0</v>
      </c>
      <c r="K151" s="141" t="b">
        <f t="shared" si="169"/>
        <v>0</v>
      </c>
      <c r="L151" s="141">
        <f t="shared" si="169"/>
        <v>12</v>
      </c>
      <c r="M151" s="141">
        <f t="shared" si="169"/>
        <v>12</v>
      </c>
      <c r="N151" s="141" t="b">
        <f t="shared" si="169"/>
        <v>0</v>
      </c>
      <c r="O151" s="141" t="b">
        <f t="shared" si="169"/>
        <v>0</v>
      </c>
      <c r="P151" s="141" t="b">
        <f t="shared" si="169"/>
        <v>0</v>
      </c>
      <c r="Q151" s="141" t="b">
        <f t="shared" si="169"/>
        <v>0</v>
      </c>
      <c r="R151" s="141" t="b">
        <f t="shared" si="169"/>
        <v>0</v>
      </c>
      <c r="S151" s="141">
        <f t="shared" si="169"/>
        <v>12</v>
      </c>
      <c r="T151" s="141">
        <f t="shared" si="169"/>
        <v>12</v>
      </c>
      <c r="U151" s="141" t="b">
        <f t="shared" si="169"/>
        <v>0</v>
      </c>
      <c r="V151" s="141" t="b">
        <f t="shared" si="169"/>
        <v>0</v>
      </c>
      <c r="W151" s="141" t="b">
        <f t="shared" si="169"/>
        <v>0</v>
      </c>
      <c r="X151" s="141" t="b">
        <f t="shared" si="169"/>
        <v>0</v>
      </c>
      <c r="Y151" s="141" t="b">
        <f t="shared" si="169"/>
        <v>0</v>
      </c>
      <c r="Z151" s="141">
        <f t="shared" si="169"/>
        <v>0</v>
      </c>
      <c r="AA151" s="141">
        <f t="shared" si="169"/>
        <v>0</v>
      </c>
      <c r="AB151" s="141" t="b">
        <f t="shared" si="169"/>
        <v>0</v>
      </c>
      <c r="AC151" s="141" t="b">
        <f t="shared" si="169"/>
        <v>0</v>
      </c>
      <c r="AD151" s="141" t="b">
        <f t="shared" si="169"/>
        <v>0</v>
      </c>
      <c r="AE151" s="141" t="b">
        <f t="shared" si="169"/>
        <v>0</v>
      </c>
      <c r="AF151" s="141" t="b">
        <f t="shared" si="169"/>
        <v>0</v>
      </c>
      <c r="AG151" s="141">
        <f t="shared" si="169"/>
        <v>0</v>
      </c>
      <c r="AH151" s="154" t="s">
        <v>12</v>
      </c>
      <c r="AI151" s="133"/>
      <c r="AJ151" s="170"/>
      <c r="AK151" s="133"/>
      <c r="AL151" s="133"/>
    </row>
    <row r="152" spans="1:38" ht="19.5" hidden="1" customHeight="1" x14ac:dyDescent="0.25">
      <c r="A152" s="176"/>
      <c r="B152" s="149" t="s">
        <v>64</v>
      </c>
      <c r="C152" s="141">
        <f t="shared" ref="C152:AG152" si="170">IF(C46=1,IF(C146&gt;C147,24-C146,0),0)</f>
        <v>0</v>
      </c>
      <c r="D152" s="141">
        <f t="shared" si="170"/>
        <v>0</v>
      </c>
      <c r="E152" s="141">
        <f t="shared" si="170"/>
        <v>0</v>
      </c>
      <c r="F152" s="141">
        <f t="shared" si="170"/>
        <v>0</v>
      </c>
      <c r="G152" s="141">
        <f t="shared" si="170"/>
        <v>0</v>
      </c>
      <c r="H152" s="141">
        <f t="shared" si="170"/>
        <v>0</v>
      </c>
      <c r="I152" s="141">
        <f t="shared" si="170"/>
        <v>0</v>
      </c>
      <c r="J152" s="141">
        <f t="shared" si="170"/>
        <v>0</v>
      </c>
      <c r="K152" s="141">
        <f t="shared" si="170"/>
        <v>0</v>
      </c>
      <c r="L152" s="141">
        <f t="shared" si="170"/>
        <v>0</v>
      </c>
      <c r="M152" s="141">
        <f t="shared" si="170"/>
        <v>0</v>
      </c>
      <c r="N152" s="141">
        <f t="shared" si="170"/>
        <v>0</v>
      </c>
      <c r="O152" s="141">
        <f t="shared" si="170"/>
        <v>0</v>
      </c>
      <c r="P152" s="141">
        <f t="shared" si="170"/>
        <v>0</v>
      </c>
      <c r="Q152" s="141">
        <f t="shared" si="170"/>
        <v>0</v>
      </c>
      <c r="R152" s="141">
        <f t="shared" si="170"/>
        <v>0</v>
      </c>
      <c r="S152" s="141">
        <f t="shared" si="170"/>
        <v>0</v>
      </c>
      <c r="T152" s="141">
        <f t="shared" si="170"/>
        <v>0</v>
      </c>
      <c r="U152" s="141">
        <f t="shared" si="170"/>
        <v>0</v>
      </c>
      <c r="V152" s="141">
        <f t="shared" si="170"/>
        <v>0</v>
      </c>
      <c r="W152" s="141">
        <f t="shared" si="170"/>
        <v>0</v>
      </c>
      <c r="X152" s="141">
        <f t="shared" si="170"/>
        <v>0</v>
      </c>
      <c r="Y152" s="141">
        <f t="shared" si="170"/>
        <v>0</v>
      </c>
      <c r="Z152" s="141">
        <f t="shared" si="170"/>
        <v>0</v>
      </c>
      <c r="AA152" s="141">
        <f t="shared" si="170"/>
        <v>0</v>
      </c>
      <c r="AB152" s="141">
        <f t="shared" si="170"/>
        <v>0</v>
      </c>
      <c r="AC152" s="141">
        <f t="shared" si="170"/>
        <v>0</v>
      </c>
      <c r="AD152" s="141">
        <f t="shared" si="170"/>
        <v>0</v>
      </c>
      <c r="AE152" s="141">
        <f t="shared" si="170"/>
        <v>0</v>
      </c>
      <c r="AF152" s="141">
        <f t="shared" si="170"/>
        <v>0</v>
      </c>
      <c r="AG152" s="141">
        <f t="shared" si="170"/>
        <v>0</v>
      </c>
      <c r="AH152" s="154" t="s">
        <v>12</v>
      </c>
      <c r="AI152" s="133"/>
      <c r="AJ152" s="170"/>
      <c r="AK152" s="133"/>
      <c r="AL152" s="133"/>
    </row>
    <row r="153" spans="1:38" ht="19.5" hidden="1" customHeight="1" x14ac:dyDescent="0.25">
      <c r="A153" s="176"/>
      <c r="B153" s="149" t="s">
        <v>65</v>
      </c>
      <c r="C153" s="141">
        <f t="shared" ref="C153:AG153" si="171">IF(D46=1,IF(C146&gt;C147,C147,0),0)</f>
        <v>0</v>
      </c>
      <c r="D153" s="141">
        <f t="shared" si="171"/>
        <v>0</v>
      </c>
      <c r="E153" s="141">
        <f t="shared" si="171"/>
        <v>0</v>
      </c>
      <c r="F153" s="141">
        <f t="shared" si="171"/>
        <v>0</v>
      </c>
      <c r="G153" s="141">
        <f t="shared" si="171"/>
        <v>0</v>
      </c>
      <c r="H153" s="141">
        <f t="shared" si="171"/>
        <v>0</v>
      </c>
      <c r="I153" s="141">
        <f t="shared" si="171"/>
        <v>0</v>
      </c>
      <c r="J153" s="141">
        <f t="shared" si="171"/>
        <v>0</v>
      </c>
      <c r="K153" s="141">
        <f t="shared" si="171"/>
        <v>0</v>
      </c>
      <c r="L153" s="141">
        <f t="shared" si="171"/>
        <v>0</v>
      </c>
      <c r="M153" s="141">
        <f t="shared" si="171"/>
        <v>0</v>
      </c>
      <c r="N153" s="141">
        <f t="shared" si="171"/>
        <v>0</v>
      </c>
      <c r="O153" s="141">
        <f t="shared" si="171"/>
        <v>0</v>
      </c>
      <c r="P153" s="141">
        <f t="shared" si="171"/>
        <v>0</v>
      </c>
      <c r="Q153" s="141">
        <f t="shared" si="171"/>
        <v>0</v>
      </c>
      <c r="R153" s="141">
        <f t="shared" si="171"/>
        <v>0</v>
      </c>
      <c r="S153" s="141">
        <f t="shared" si="171"/>
        <v>0</v>
      </c>
      <c r="T153" s="141">
        <f t="shared" si="171"/>
        <v>0</v>
      </c>
      <c r="U153" s="141">
        <f t="shared" si="171"/>
        <v>0</v>
      </c>
      <c r="V153" s="141">
        <f t="shared" si="171"/>
        <v>0</v>
      </c>
      <c r="W153" s="141">
        <f t="shared" si="171"/>
        <v>0</v>
      </c>
      <c r="X153" s="141">
        <f>IF(Y46=1,IF(X146&gt;X147,X147,0),0)</f>
        <v>0</v>
      </c>
      <c r="Y153" s="141">
        <f t="shared" si="171"/>
        <v>0</v>
      </c>
      <c r="Z153" s="141">
        <f t="shared" si="171"/>
        <v>0</v>
      </c>
      <c r="AA153" s="141">
        <f t="shared" si="171"/>
        <v>0</v>
      </c>
      <c r="AB153" s="141">
        <f t="shared" si="171"/>
        <v>0</v>
      </c>
      <c r="AC153" s="141">
        <f t="shared" si="171"/>
        <v>0</v>
      </c>
      <c r="AD153" s="141">
        <f t="shared" si="171"/>
        <v>0</v>
      </c>
      <c r="AE153" s="141">
        <f t="shared" si="171"/>
        <v>0</v>
      </c>
      <c r="AF153" s="141">
        <f t="shared" si="171"/>
        <v>0</v>
      </c>
      <c r="AG153" s="141">
        <f t="shared" si="171"/>
        <v>0</v>
      </c>
      <c r="AH153" s="154" t="s">
        <v>12</v>
      </c>
      <c r="AI153" s="133"/>
      <c r="AJ153" s="170"/>
      <c r="AK153" s="133"/>
      <c r="AL153" s="133"/>
    </row>
    <row r="154" spans="1:38" ht="19.5" hidden="1" customHeight="1" x14ac:dyDescent="0.25">
      <c r="A154" s="176"/>
      <c r="B154" s="149" t="s">
        <v>67</v>
      </c>
      <c r="C154" s="171">
        <f>SUM(C151:C153)</f>
        <v>0</v>
      </c>
      <c r="D154" s="171">
        <f t="shared" ref="D154:AG154" si="172">SUM(D151:D153)</f>
        <v>0</v>
      </c>
      <c r="E154" s="171">
        <f t="shared" si="172"/>
        <v>0</v>
      </c>
      <c r="F154" s="171">
        <f t="shared" si="172"/>
        <v>0</v>
      </c>
      <c r="G154" s="171">
        <f t="shared" si="172"/>
        <v>0</v>
      </c>
      <c r="H154" s="171">
        <f t="shared" si="172"/>
        <v>0</v>
      </c>
      <c r="I154" s="171">
        <f t="shared" si="172"/>
        <v>0</v>
      </c>
      <c r="J154" s="171">
        <f t="shared" si="172"/>
        <v>0</v>
      </c>
      <c r="K154" s="171">
        <f t="shared" si="172"/>
        <v>0</v>
      </c>
      <c r="L154" s="171">
        <f t="shared" si="172"/>
        <v>12</v>
      </c>
      <c r="M154" s="171">
        <f t="shared" si="172"/>
        <v>12</v>
      </c>
      <c r="N154" s="171">
        <f t="shared" si="172"/>
        <v>0</v>
      </c>
      <c r="O154" s="171">
        <f t="shared" si="172"/>
        <v>0</v>
      </c>
      <c r="P154" s="171">
        <f t="shared" si="172"/>
        <v>0</v>
      </c>
      <c r="Q154" s="171">
        <f t="shared" si="172"/>
        <v>0</v>
      </c>
      <c r="R154" s="171">
        <f t="shared" si="172"/>
        <v>0</v>
      </c>
      <c r="S154" s="171">
        <f t="shared" si="172"/>
        <v>12</v>
      </c>
      <c r="T154" s="171">
        <f t="shared" si="172"/>
        <v>12</v>
      </c>
      <c r="U154" s="171">
        <f t="shared" si="172"/>
        <v>0</v>
      </c>
      <c r="V154" s="171">
        <f t="shared" si="172"/>
        <v>0</v>
      </c>
      <c r="W154" s="171">
        <f t="shared" si="172"/>
        <v>0</v>
      </c>
      <c r="X154" s="171">
        <f t="shared" si="172"/>
        <v>0</v>
      </c>
      <c r="Y154" s="171">
        <f t="shared" si="172"/>
        <v>0</v>
      </c>
      <c r="Z154" s="171">
        <f t="shared" si="172"/>
        <v>0</v>
      </c>
      <c r="AA154" s="171">
        <f t="shared" si="172"/>
        <v>0</v>
      </c>
      <c r="AB154" s="171">
        <f t="shared" si="172"/>
        <v>0</v>
      </c>
      <c r="AC154" s="171">
        <f t="shared" si="172"/>
        <v>0</v>
      </c>
      <c r="AD154" s="171">
        <f t="shared" si="172"/>
        <v>0</v>
      </c>
      <c r="AE154" s="171">
        <f t="shared" si="172"/>
        <v>0</v>
      </c>
      <c r="AF154" s="171">
        <f t="shared" si="172"/>
        <v>0</v>
      </c>
      <c r="AG154" s="171">
        <f t="shared" si="172"/>
        <v>0</v>
      </c>
      <c r="AH154" s="154" t="s">
        <v>12</v>
      </c>
      <c r="AI154" s="133"/>
      <c r="AJ154" s="170"/>
      <c r="AK154" s="133"/>
      <c r="AL154" s="133"/>
    </row>
    <row r="155" spans="1:38" ht="19.5" hidden="1" customHeight="1" x14ac:dyDescent="0.25">
      <c r="A155" s="177"/>
      <c r="B155" s="160" t="s">
        <v>68</v>
      </c>
      <c r="C155" s="161">
        <f t="shared" ref="C155:AG155" si="173">IF(C18="V",IF(C18="",0,1),0)</f>
        <v>0</v>
      </c>
      <c r="D155" s="161">
        <f t="shared" si="173"/>
        <v>0</v>
      </c>
      <c r="E155" s="161">
        <f t="shared" si="173"/>
        <v>0</v>
      </c>
      <c r="F155" s="161">
        <f t="shared" si="173"/>
        <v>0</v>
      </c>
      <c r="G155" s="161">
        <f t="shared" si="173"/>
        <v>0</v>
      </c>
      <c r="H155" s="161">
        <f t="shared" si="173"/>
        <v>0</v>
      </c>
      <c r="I155" s="161">
        <f t="shared" si="173"/>
        <v>0</v>
      </c>
      <c r="J155" s="161">
        <f t="shared" si="173"/>
        <v>0</v>
      </c>
      <c r="K155" s="161">
        <f t="shared" si="173"/>
        <v>0</v>
      </c>
      <c r="L155" s="161">
        <f t="shared" si="173"/>
        <v>0</v>
      </c>
      <c r="M155" s="161">
        <f t="shared" si="173"/>
        <v>0</v>
      </c>
      <c r="N155" s="161">
        <f t="shared" si="173"/>
        <v>0</v>
      </c>
      <c r="O155" s="161">
        <f t="shared" si="173"/>
        <v>0</v>
      </c>
      <c r="P155" s="161">
        <f t="shared" si="173"/>
        <v>0</v>
      </c>
      <c r="Q155" s="161">
        <f t="shared" si="173"/>
        <v>0</v>
      </c>
      <c r="R155" s="161">
        <f t="shared" si="173"/>
        <v>0</v>
      </c>
      <c r="S155" s="161">
        <f t="shared" si="173"/>
        <v>0</v>
      </c>
      <c r="T155" s="161">
        <f t="shared" si="173"/>
        <v>0</v>
      </c>
      <c r="U155" s="161">
        <f t="shared" si="173"/>
        <v>0</v>
      </c>
      <c r="V155" s="161">
        <f t="shared" si="173"/>
        <v>0</v>
      </c>
      <c r="W155" s="161">
        <f t="shared" si="173"/>
        <v>0</v>
      </c>
      <c r="X155" s="161">
        <f t="shared" si="173"/>
        <v>0</v>
      </c>
      <c r="Y155" s="161">
        <f t="shared" si="173"/>
        <v>0</v>
      </c>
      <c r="Z155" s="161">
        <f t="shared" si="173"/>
        <v>0</v>
      </c>
      <c r="AA155" s="161">
        <f t="shared" si="173"/>
        <v>0</v>
      </c>
      <c r="AB155" s="161">
        <f t="shared" si="173"/>
        <v>0</v>
      </c>
      <c r="AC155" s="161">
        <f t="shared" si="173"/>
        <v>0</v>
      </c>
      <c r="AD155" s="161">
        <f t="shared" si="173"/>
        <v>0</v>
      </c>
      <c r="AE155" s="161">
        <f t="shared" si="173"/>
        <v>0</v>
      </c>
      <c r="AF155" s="161">
        <f t="shared" si="173"/>
        <v>0</v>
      </c>
      <c r="AG155" s="161">
        <f t="shared" si="173"/>
        <v>0</v>
      </c>
      <c r="AH155" s="154" t="s">
        <v>12</v>
      </c>
      <c r="AI155" s="133"/>
      <c r="AJ155" s="170"/>
      <c r="AK155" s="133"/>
      <c r="AL155" s="133"/>
    </row>
    <row r="156" spans="1:38" ht="19.5" hidden="1" customHeight="1" x14ac:dyDescent="0.25">
      <c r="A156" s="180"/>
      <c r="B156" s="181" t="s">
        <v>16</v>
      </c>
      <c r="C156" s="182">
        <f t="shared" ref="C156:AG156" si="174">IF(C18="PR",IF(C18="",0,1),0)</f>
        <v>0</v>
      </c>
      <c r="D156" s="182">
        <f t="shared" si="174"/>
        <v>0</v>
      </c>
      <c r="E156" s="182">
        <f t="shared" si="174"/>
        <v>0</v>
      </c>
      <c r="F156" s="182">
        <f t="shared" si="174"/>
        <v>0</v>
      </c>
      <c r="G156" s="182">
        <f t="shared" si="174"/>
        <v>0</v>
      </c>
      <c r="H156" s="182">
        <f t="shared" si="174"/>
        <v>0</v>
      </c>
      <c r="I156" s="182">
        <f t="shared" si="174"/>
        <v>0</v>
      </c>
      <c r="J156" s="182">
        <f t="shared" si="174"/>
        <v>0</v>
      </c>
      <c r="K156" s="182">
        <f t="shared" si="174"/>
        <v>0</v>
      </c>
      <c r="L156" s="182">
        <f t="shared" si="174"/>
        <v>0</v>
      </c>
      <c r="M156" s="182">
        <f t="shared" si="174"/>
        <v>0</v>
      </c>
      <c r="N156" s="182">
        <f t="shared" si="174"/>
        <v>0</v>
      </c>
      <c r="O156" s="182">
        <f t="shared" si="174"/>
        <v>0</v>
      </c>
      <c r="P156" s="182">
        <f t="shared" si="174"/>
        <v>0</v>
      </c>
      <c r="Q156" s="182">
        <f t="shared" si="174"/>
        <v>0</v>
      </c>
      <c r="R156" s="182">
        <f t="shared" si="174"/>
        <v>0</v>
      </c>
      <c r="S156" s="182">
        <f t="shared" si="174"/>
        <v>0</v>
      </c>
      <c r="T156" s="182">
        <f t="shared" si="174"/>
        <v>0</v>
      </c>
      <c r="U156" s="182">
        <f t="shared" si="174"/>
        <v>0</v>
      </c>
      <c r="V156" s="182">
        <f t="shared" si="174"/>
        <v>0</v>
      </c>
      <c r="W156" s="182">
        <f t="shared" si="174"/>
        <v>0</v>
      </c>
      <c r="X156" s="182">
        <f t="shared" si="174"/>
        <v>0</v>
      </c>
      <c r="Y156" s="182">
        <f t="shared" si="174"/>
        <v>0</v>
      </c>
      <c r="Z156" s="182">
        <f t="shared" si="174"/>
        <v>0</v>
      </c>
      <c r="AA156" s="182">
        <f t="shared" si="174"/>
        <v>0</v>
      </c>
      <c r="AB156" s="182">
        <f t="shared" si="174"/>
        <v>0</v>
      </c>
      <c r="AC156" s="182">
        <f t="shared" si="174"/>
        <v>0</v>
      </c>
      <c r="AD156" s="182">
        <f t="shared" si="174"/>
        <v>0</v>
      </c>
      <c r="AE156" s="182">
        <f t="shared" si="174"/>
        <v>0</v>
      </c>
      <c r="AF156" s="182">
        <f t="shared" si="174"/>
        <v>0</v>
      </c>
      <c r="AG156" s="182">
        <f t="shared" si="174"/>
        <v>0</v>
      </c>
      <c r="AH156" s="227">
        <f>SUM(C156:AG156)</f>
        <v>0</v>
      </c>
      <c r="AI156" s="227"/>
      <c r="AJ156" s="174" t="s">
        <v>69</v>
      </c>
      <c r="AK156" s="133"/>
      <c r="AL156" s="133"/>
    </row>
    <row r="157" spans="1:38" ht="19.5" hidden="1" customHeight="1" x14ac:dyDescent="0.25">
      <c r="A157" s="164" t="s">
        <v>126</v>
      </c>
      <c r="B157" s="165" t="s">
        <v>29</v>
      </c>
      <c r="C157" s="141">
        <f>IF(C19=$R32,$S32*24,IF(C19=$R33,$S33*24,IF(C19=$R34,$S34*24,IF(C19=$R35,$S35*24,IF(C19=$R36,$S36*24,IF(C19=$R37,$S37*24,IF(C19=$R38,$S38*24,IF(C19=$R39,$S39*24,IF(C19=$R40,$S40*24,"")))))))))</f>
        <v>22</v>
      </c>
      <c r="D157" s="141">
        <f t="shared" ref="D157:AG157" si="175">IF(D19=$R32,$S32*24,IF(D19=$R33,$S33*24,IF(D19=$R34,$S34*24,IF(D19=$R35,$S35*24,IF(D19=$R36,$S36*24,IF(D19=$R37,$S37*24,IF(D19=$R38,$S38*24,IF(D19=$R39,$S39*24,IF(D19=$R40,$S40*24,"")))))))))</f>
        <v>22</v>
      </c>
      <c r="E157" s="141">
        <f t="shared" si="175"/>
        <v>22</v>
      </c>
      <c r="F157" s="141">
        <f t="shared" si="175"/>
        <v>22</v>
      </c>
      <c r="G157" s="141" t="str">
        <f t="shared" si="175"/>
        <v/>
      </c>
      <c r="H157" s="141" t="str">
        <f t="shared" si="175"/>
        <v/>
      </c>
      <c r="I157" s="141">
        <f t="shared" si="175"/>
        <v>22</v>
      </c>
      <c r="J157" s="141">
        <f t="shared" si="175"/>
        <v>22</v>
      </c>
      <c r="K157" s="141" t="str">
        <f t="shared" si="175"/>
        <v/>
      </c>
      <c r="L157" s="141" t="str">
        <f t="shared" si="175"/>
        <v/>
      </c>
      <c r="M157" s="141" t="str">
        <f t="shared" si="175"/>
        <v/>
      </c>
      <c r="N157" s="141">
        <f t="shared" si="175"/>
        <v>22</v>
      </c>
      <c r="O157" s="141">
        <f t="shared" si="175"/>
        <v>22</v>
      </c>
      <c r="P157" s="141">
        <f t="shared" si="175"/>
        <v>22</v>
      </c>
      <c r="Q157" s="141" t="str">
        <f t="shared" si="175"/>
        <v/>
      </c>
      <c r="R157" s="141">
        <f t="shared" si="175"/>
        <v>22</v>
      </c>
      <c r="S157" s="141">
        <f t="shared" si="175"/>
        <v>22</v>
      </c>
      <c r="T157" s="141">
        <f t="shared" si="175"/>
        <v>22</v>
      </c>
      <c r="U157" s="141" t="str">
        <f t="shared" si="175"/>
        <v/>
      </c>
      <c r="V157" s="141">
        <f t="shared" si="175"/>
        <v>22</v>
      </c>
      <c r="W157" s="141">
        <f t="shared" si="175"/>
        <v>22</v>
      </c>
      <c r="X157" s="141">
        <f t="shared" si="175"/>
        <v>22</v>
      </c>
      <c r="Y157" s="141" t="str">
        <f t="shared" si="175"/>
        <v/>
      </c>
      <c r="Z157" s="141" t="str">
        <f t="shared" si="175"/>
        <v/>
      </c>
      <c r="AA157" s="141" t="str">
        <f t="shared" si="175"/>
        <v/>
      </c>
      <c r="AB157" s="141">
        <f t="shared" si="175"/>
        <v>22</v>
      </c>
      <c r="AC157" s="141">
        <f t="shared" si="175"/>
        <v>22</v>
      </c>
      <c r="AD157" s="141">
        <f t="shared" si="175"/>
        <v>22</v>
      </c>
      <c r="AE157" s="141">
        <f t="shared" si="175"/>
        <v>22</v>
      </c>
      <c r="AF157" s="141">
        <f t="shared" si="175"/>
        <v>22</v>
      </c>
      <c r="AG157" s="141">
        <f t="shared" si="175"/>
        <v>22</v>
      </c>
      <c r="AH157" s="154" t="s">
        <v>12</v>
      </c>
      <c r="AI157" s="133"/>
      <c r="AJ157" s="170"/>
      <c r="AK157" s="133"/>
      <c r="AL157" s="133"/>
    </row>
    <row r="158" spans="1:38" ht="19.5" hidden="1" customHeight="1" x14ac:dyDescent="0.25">
      <c r="A158" s="166" t="s">
        <v>128</v>
      </c>
      <c r="B158" s="167" t="s">
        <v>30</v>
      </c>
      <c r="C158" s="141">
        <f>IF(C19=$R32,$V32*24,IF(C19=$R33,$V33*24,IF(C19=$R34,$V34*24,IF(C19=$R35,$V35*24,IF(C19=$R36,$V36*24,IF(C19=$R37,$V37*24,IF(C19=$R38,$V38*24,IF(C19=$R39,$V39*24,IF(C19=$R40,$V40*24,"")))))))))</f>
        <v>6</v>
      </c>
      <c r="D158" s="141">
        <f t="shared" ref="D158:AG158" si="176">IF(D19=$R32,$V32*24,IF(D19=$R33,$V33*24,IF(D19=$R34,$V34*24,IF(D19=$R35,$V35*24,IF(D19=$R36,$V36*24,IF(D19=$R37,$V37*24,IF(D19=$R38,$V38*24,IF(D19=$R39,$V39*24,IF(D19=$R40,$V40*24,"")))))))))</f>
        <v>6</v>
      </c>
      <c r="E158" s="141">
        <f t="shared" si="176"/>
        <v>6</v>
      </c>
      <c r="F158" s="141">
        <f t="shared" si="176"/>
        <v>6</v>
      </c>
      <c r="G158" s="141" t="str">
        <f t="shared" si="176"/>
        <v/>
      </c>
      <c r="H158" s="141" t="str">
        <f t="shared" si="176"/>
        <v/>
      </c>
      <c r="I158" s="141">
        <f t="shared" si="176"/>
        <v>6</v>
      </c>
      <c r="J158" s="141">
        <f t="shared" si="176"/>
        <v>6</v>
      </c>
      <c r="K158" s="141" t="str">
        <f t="shared" si="176"/>
        <v/>
      </c>
      <c r="L158" s="141" t="str">
        <f t="shared" si="176"/>
        <v/>
      </c>
      <c r="M158" s="141" t="str">
        <f t="shared" si="176"/>
        <v/>
      </c>
      <c r="N158" s="141">
        <f t="shared" si="176"/>
        <v>6</v>
      </c>
      <c r="O158" s="141">
        <f t="shared" si="176"/>
        <v>6</v>
      </c>
      <c r="P158" s="141">
        <f t="shared" si="176"/>
        <v>6</v>
      </c>
      <c r="Q158" s="141" t="str">
        <f t="shared" si="176"/>
        <v/>
      </c>
      <c r="R158" s="141">
        <f t="shared" si="176"/>
        <v>6</v>
      </c>
      <c r="S158" s="141">
        <f t="shared" si="176"/>
        <v>6</v>
      </c>
      <c r="T158" s="141">
        <f t="shared" si="176"/>
        <v>6</v>
      </c>
      <c r="U158" s="141" t="str">
        <f t="shared" si="176"/>
        <v/>
      </c>
      <c r="V158" s="141">
        <f t="shared" si="176"/>
        <v>6</v>
      </c>
      <c r="W158" s="141">
        <f t="shared" si="176"/>
        <v>6</v>
      </c>
      <c r="X158" s="141">
        <f t="shared" si="176"/>
        <v>6</v>
      </c>
      <c r="Y158" s="141" t="str">
        <f t="shared" si="176"/>
        <v/>
      </c>
      <c r="Z158" s="141" t="str">
        <f t="shared" si="176"/>
        <v/>
      </c>
      <c r="AA158" s="141" t="str">
        <f t="shared" si="176"/>
        <v/>
      </c>
      <c r="AB158" s="141">
        <f t="shared" si="176"/>
        <v>6</v>
      </c>
      <c r="AC158" s="141">
        <f t="shared" si="176"/>
        <v>6</v>
      </c>
      <c r="AD158" s="141">
        <f t="shared" si="176"/>
        <v>6</v>
      </c>
      <c r="AE158" s="141">
        <f t="shared" si="176"/>
        <v>6</v>
      </c>
      <c r="AF158" s="141">
        <f t="shared" si="176"/>
        <v>6</v>
      </c>
      <c r="AG158" s="141">
        <f t="shared" si="176"/>
        <v>6</v>
      </c>
      <c r="AH158" s="154" t="s">
        <v>12</v>
      </c>
      <c r="AI158" s="133"/>
      <c r="AJ158" s="170"/>
      <c r="AK158" s="133"/>
      <c r="AL158" s="133"/>
    </row>
    <row r="159" spans="1:38" ht="19.5" hidden="1" customHeight="1" x14ac:dyDescent="0.25">
      <c r="A159" s="153"/>
      <c r="B159" s="183" t="s">
        <v>34</v>
      </c>
      <c r="C159" s="169">
        <f t="shared" ref="C159:X159" si="177">IF(C19=$R32,$BD32*24,IF(C19=$R33,$BD33*24,IF(C19=$R34,$BD34*24,IF(C19=$R35,$BD35*24,IF(C19=$R36,$BD36*24,IF(C19=$R37,$BD37*24,IF(C19=$R38,$BD38*24,IF(C19=$R39,$BD39*24,IF(C19=$R40,$BD40*24,"")))))))))</f>
        <v>8</v>
      </c>
      <c r="D159" s="169">
        <f t="shared" si="177"/>
        <v>8</v>
      </c>
      <c r="E159" s="169">
        <f t="shared" si="177"/>
        <v>8</v>
      </c>
      <c r="F159" s="169">
        <f t="shared" si="177"/>
        <v>8</v>
      </c>
      <c r="G159" s="169" t="str">
        <f t="shared" si="177"/>
        <v/>
      </c>
      <c r="H159" s="169" t="str">
        <f t="shared" si="177"/>
        <v/>
      </c>
      <c r="I159" s="169">
        <f t="shared" si="177"/>
        <v>8</v>
      </c>
      <c r="J159" s="169">
        <f t="shared" si="177"/>
        <v>8</v>
      </c>
      <c r="K159" s="169" t="str">
        <f t="shared" si="177"/>
        <v/>
      </c>
      <c r="L159" s="169" t="str">
        <f t="shared" si="177"/>
        <v/>
      </c>
      <c r="M159" s="169" t="str">
        <f t="shared" si="177"/>
        <v/>
      </c>
      <c r="N159" s="169">
        <f t="shared" si="177"/>
        <v>8</v>
      </c>
      <c r="O159" s="169">
        <f t="shared" si="177"/>
        <v>8</v>
      </c>
      <c r="P159" s="169">
        <f t="shared" si="177"/>
        <v>8</v>
      </c>
      <c r="Q159" s="169" t="str">
        <f t="shared" si="177"/>
        <v/>
      </c>
      <c r="R159" s="169">
        <f t="shared" si="177"/>
        <v>8</v>
      </c>
      <c r="S159" s="169">
        <f t="shared" si="177"/>
        <v>8</v>
      </c>
      <c r="T159" s="169">
        <f t="shared" si="177"/>
        <v>8</v>
      </c>
      <c r="U159" s="169" t="str">
        <f t="shared" si="177"/>
        <v/>
      </c>
      <c r="V159" s="169">
        <f t="shared" si="177"/>
        <v>8</v>
      </c>
      <c r="W159" s="169">
        <f t="shared" si="177"/>
        <v>8</v>
      </c>
      <c r="X159" s="169">
        <f t="shared" si="177"/>
        <v>8</v>
      </c>
      <c r="Y159" s="169" t="str">
        <f t="shared" ref="Y159:AD159" si="178">IF(Y19=$R32,$BD32*24,IF(Y19=$R33,$BD33*24,IF(Y19=$R34,$BD34*24,IF(Y19=$R35,$BD35*24,IF(Y19=$R36,$BD36*24,IF(Y19=$R37,$BD37*24,IF(Y19=$R38,$BD38*24,IF(Y19=$R39,$BD39*24,IF(Y19=$R40,$BD40*24,"")))))))))</f>
        <v/>
      </c>
      <c r="Z159" s="169" t="str">
        <f t="shared" si="178"/>
        <v/>
      </c>
      <c r="AA159" s="169" t="str">
        <f t="shared" si="178"/>
        <v/>
      </c>
      <c r="AB159" s="169">
        <f t="shared" si="178"/>
        <v>8</v>
      </c>
      <c r="AC159" s="169">
        <f t="shared" si="178"/>
        <v>8</v>
      </c>
      <c r="AD159" s="169">
        <f t="shared" si="178"/>
        <v>8</v>
      </c>
      <c r="AE159" s="169">
        <f>IF(AE19=$R32,$BD32*24,IF(AE19=$R33,$BD33*24,IF(AE19=$R34,$BD34*24,IF(AE19=$R35,$BD35*24,IF(AE19=$R36,$BD36*24,IF(AE19=$R37,$BD37*24,IF(AE19=$R38,$BD38*24,IF(AE19=$R39,$BD39*24,IF(AE19=$R40,$BD40*24,"")))))))))</f>
        <v>8</v>
      </c>
      <c r="AF159" s="169">
        <f>IF(AF19=$R32,$BD32*24,IF(AF19=$R33,$BD33*24,IF(AF19=$R34,$BD34*24,IF(AF19=$R35,$BD35*24,IF(AF19=$R36,$BD36*24,IF(AF19=$R37,$BD37*24,IF(AF19=$R38,$BD38*24,IF(AF19=$R39,$BD39*24,IF(AF19=$R40,$BD40*24,"")))))))))</f>
        <v>8</v>
      </c>
      <c r="AG159" s="169">
        <f>IF(AG19=$R32,$BD32*24,IF(AG19=$R33,$BD33*24,IF(AG19=$R34,$BD34*24,IF(AG19=$R35,$BD35*24,IF(AG19=$R36,$BD36*24,IF(AG19=$R37,$BD37*24,IF(AG19=$R38,$BD38*24,IF(AG19=$R39,$BD39*24,IF(AG19=$R40,$BD40*24,"")))))))))</f>
        <v>8</v>
      </c>
      <c r="AH159" s="148">
        <f>SUM(C159:AG159)</f>
        <v>168</v>
      </c>
      <c r="AI159" s="133"/>
      <c r="AJ159" s="170"/>
      <c r="AK159" s="133"/>
      <c r="AL159" s="133"/>
    </row>
    <row r="160" spans="1:38" ht="19.5" hidden="1" customHeight="1" x14ac:dyDescent="0.25">
      <c r="A160" s="153"/>
      <c r="B160" s="167" t="s">
        <v>59</v>
      </c>
      <c r="C160" s="141">
        <f>IF(C19="V",$C36,IF(C19="PR",$C38,0))</f>
        <v>0</v>
      </c>
      <c r="D160" s="141">
        <f t="shared" ref="D160:AG160" si="179">IF(D19="V",$C36,IF(D19="PR",$C38,0))</f>
        <v>0</v>
      </c>
      <c r="E160" s="141">
        <f t="shared" si="179"/>
        <v>0</v>
      </c>
      <c r="F160" s="141">
        <f t="shared" si="179"/>
        <v>0</v>
      </c>
      <c r="G160" s="141">
        <f t="shared" si="179"/>
        <v>0</v>
      </c>
      <c r="H160" s="141">
        <f t="shared" si="179"/>
        <v>0</v>
      </c>
      <c r="I160" s="141">
        <f t="shared" si="179"/>
        <v>0</v>
      </c>
      <c r="J160" s="141">
        <f t="shared" si="179"/>
        <v>0</v>
      </c>
      <c r="K160" s="141">
        <f t="shared" si="179"/>
        <v>0</v>
      </c>
      <c r="L160" s="141">
        <f t="shared" si="179"/>
        <v>0</v>
      </c>
      <c r="M160" s="141">
        <f t="shared" si="179"/>
        <v>0</v>
      </c>
      <c r="N160" s="141">
        <f t="shared" si="179"/>
        <v>0</v>
      </c>
      <c r="O160" s="141">
        <f t="shared" si="179"/>
        <v>0</v>
      </c>
      <c r="P160" s="141">
        <f t="shared" si="179"/>
        <v>0</v>
      </c>
      <c r="Q160" s="141">
        <f t="shared" si="179"/>
        <v>0</v>
      </c>
      <c r="R160" s="141">
        <f t="shared" si="179"/>
        <v>0</v>
      </c>
      <c r="S160" s="141">
        <f t="shared" si="179"/>
        <v>0</v>
      </c>
      <c r="T160" s="141">
        <f t="shared" si="179"/>
        <v>0</v>
      </c>
      <c r="U160" s="141">
        <f t="shared" si="179"/>
        <v>0</v>
      </c>
      <c r="V160" s="141">
        <f t="shared" si="179"/>
        <v>0</v>
      </c>
      <c r="W160" s="141">
        <f t="shared" si="179"/>
        <v>0</v>
      </c>
      <c r="X160" s="141">
        <f t="shared" si="179"/>
        <v>0</v>
      </c>
      <c r="Y160" s="141">
        <f t="shared" si="179"/>
        <v>0</v>
      </c>
      <c r="Z160" s="141">
        <f t="shared" si="179"/>
        <v>0</v>
      </c>
      <c r="AA160" s="141">
        <f t="shared" si="179"/>
        <v>0</v>
      </c>
      <c r="AB160" s="141">
        <f t="shared" si="179"/>
        <v>0</v>
      </c>
      <c r="AC160" s="141">
        <f t="shared" si="179"/>
        <v>0</v>
      </c>
      <c r="AD160" s="141">
        <f t="shared" si="179"/>
        <v>0</v>
      </c>
      <c r="AE160" s="141">
        <f t="shared" si="179"/>
        <v>0</v>
      </c>
      <c r="AF160" s="141">
        <f t="shared" si="179"/>
        <v>0</v>
      </c>
      <c r="AG160" s="141">
        <f t="shared" si="179"/>
        <v>0</v>
      </c>
      <c r="AH160" s="226">
        <f>SUM(C160:AG160)</f>
        <v>0</v>
      </c>
      <c r="AI160" s="226"/>
      <c r="AJ160" s="230">
        <f>SUM(AH105+AH116+AH127+AH138+AH149+AH160)</f>
        <v>0</v>
      </c>
      <c r="AK160" s="230"/>
      <c r="AL160" s="133" t="s">
        <v>56</v>
      </c>
    </row>
    <row r="161" spans="1:38" ht="19.5" hidden="1" customHeight="1" x14ac:dyDescent="0.25">
      <c r="A161" s="150" t="s">
        <v>60</v>
      </c>
      <c r="B161" s="167" t="s">
        <v>61</v>
      </c>
      <c r="C161" s="151">
        <f t="shared" ref="C161:X161" si="180">IF(C19=$R32,$BC32,IF(C19=$R33,$BC33,IF(C19=$R34,$BC34,IF(C19=$R35,$BC35,IF(C19=$R36,$BC36,IF(C19=$R37,$BC37,IF(C19=$R38,$BC38,IF(C19=$R39,$BC39,IF(C19=$R40,$BC40,0)))))))))</f>
        <v>7.9999999999999716</v>
      </c>
      <c r="D161" s="151">
        <f t="shared" si="180"/>
        <v>7.9999999999999716</v>
      </c>
      <c r="E161" s="151">
        <f t="shared" si="180"/>
        <v>7.9999999999999716</v>
      </c>
      <c r="F161" s="151">
        <f t="shared" si="180"/>
        <v>7.9999999999999716</v>
      </c>
      <c r="G161" s="151">
        <f t="shared" si="180"/>
        <v>0</v>
      </c>
      <c r="H161" s="151">
        <f t="shared" si="180"/>
        <v>0</v>
      </c>
      <c r="I161" s="151">
        <f t="shared" si="180"/>
        <v>7.9999999999999716</v>
      </c>
      <c r="J161" s="151">
        <f t="shared" si="180"/>
        <v>7.9999999999999716</v>
      </c>
      <c r="K161" s="151">
        <f t="shared" si="180"/>
        <v>0</v>
      </c>
      <c r="L161" s="151">
        <f t="shared" si="180"/>
        <v>0</v>
      </c>
      <c r="M161" s="151">
        <f t="shared" si="180"/>
        <v>0</v>
      </c>
      <c r="N161" s="151">
        <f t="shared" si="180"/>
        <v>7.9999999999999716</v>
      </c>
      <c r="O161" s="151">
        <f t="shared" si="180"/>
        <v>7.9999999999999716</v>
      </c>
      <c r="P161" s="151">
        <f t="shared" si="180"/>
        <v>7.9999999999999716</v>
      </c>
      <c r="Q161" s="151">
        <f t="shared" si="180"/>
        <v>0</v>
      </c>
      <c r="R161" s="151">
        <f t="shared" si="180"/>
        <v>7.9999999999999716</v>
      </c>
      <c r="S161" s="151">
        <f t="shared" si="180"/>
        <v>7.9999999999999716</v>
      </c>
      <c r="T161" s="151">
        <f t="shared" si="180"/>
        <v>7.9999999999999716</v>
      </c>
      <c r="U161" s="151">
        <f t="shared" si="180"/>
        <v>0</v>
      </c>
      <c r="V161" s="151">
        <f t="shared" si="180"/>
        <v>7.9999999999999716</v>
      </c>
      <c r="W161" s="151">
        <f t="shared" si="180"/>
        <v>7.9999999999999716</v>
      </c>
      <c r="X161" s="151">
        <f t="shared" si="180"/>
        <v>7.9999999999999716</v>
      </c>
      <c r="Y161" s="151">
        <f t="shared" ref="Y161:AD161" si="181">IF(Y19=$R32,$BC32,IF(Y19=$R33,$BC33,IF(Y19=$R34,$BC34,IF(Y19=$R35,$BC35,IF(Y19=$R36,$BC36,IF(Y19=$R37,$BC37,IF(Y19=$R38,$BC38,IF(Y19=$R39,$BC39,IF(Y19=$R40,$BC40,0)))))))))</f>
        <v>0</v>
      </c>
      <c r="Z161" s="151">
        <f t="shared" si="181"/>
        <v>0</v>
      </c>
      <c r="AA161" s="151">
        <f t="shared" si="181"/>
        <v>0</v>
      </c>
      <c r="AB161" s="151">
        <f t="shared" si="181"/>
        <v>7.9999999999999716</v>
      </c>
      <c r="AC161" s="151">
        <f t="shared" si="181"/>
        <v>7.9999999999999716</v>
      </c>
      <c r="AD161" s="151">
        <f t="shared" si="181"/>
        <v>7.9999999999999716</v>
      </c>
      <c r="AE161" s="151">
        <f>IF(AE19=$R32,$BC32,IF(AE19=$R33,$BC33,IF(AE19=$R34,$BC34,IF(AE19=$R35,$BC35,IF(AE19=$R36,$BC36,IF(AE19=$R37,$BC37,IF(AE19=$R38,$BC38,IF(AE19=$R39,$BC39,IF(AE19=$R40,$BC40,0)))))))))</f>
        <v>7.9999999999999716</v>
      </c>
      <c r="AF161" s="151">
        <f>IF(AF19=$R32,$BC32,IF(AF19=$R33,$BC33,IF(AF19=$R34,$BC34,IF(AF19=$R35,$BC35,IF(AF19=$R36,$BC36,IF(AF19=$R37,$BC37,IF(AF19=$R38,$BC38,IF(AF19=$R39,$BC39,IF(AF19=$R40,$BC40,0)))))))))</f>
        <v>7.9999999999999716</v>
      </c>
      <c r="AG161" s="151">
        <f>IF(AG19=$R32,$BC32,IF(AG19=$R33,$BC33,IF(AG19=$R34,$BC34,IF(AG19=$R35,$BC35,IF(AG19=$R36,$BC36,IF(AG19=$R37,$BC37,IF(AG19=$R38,$BC38,IF(AG19=$R39,$BC39,IF(AG19=$R40,$BC40,0)))))))))</f>
        <v>7.9999999999999716</v>
      </c>
      <c r="AH161" s="226">
        <f>SUM(C161:AG161)</f>
        <v>167.9999999999994</v>
      </c>
      <c r="AI161" s="226"/>
      <c r="AJ161" s="174" t="s">
        <v>62</v>
      </c>
      <c r="AK161" s="133" t="s">
        <v>12</v>
      </c>
      <c r="AL161" s="133"/>
    </row>
    <row r="162" spans="1:38" ht="19.5" hidden="1" customHeight="1" x14ac:dyDescent="0.25">
      <c r="A162" s="153" t="s">
        <v>48</v>
      </c>
      <c r="B162" s="149" t="s">
        <v>63</v>
      </c>
      <c r="C162" s="141" t="b">
        <f>IF(C46=1,IF(C157&lt;C158,C161,0))</f>
        <v>0</v>
      </c>
      <c r="D162" s="141" t="b">
        <f t="shared" ref="D162:AG162" si="182">IF(D46=1,IF(D157&lt;D158,D161,0))</f>
        <v>0</v>
      </c>
      <c r="E162" s="141">
        <f t="shared" si="182"/>
        <v>0</v>
      </c>
      <c r="F162" s="141">
        <f t="shared" si="182"/>
        <v>0</v>
      </c>
      <c r="G162" s="141" t="b">
        <f t="shared" si="182"/>
        <v>0</v>
      </c>
      <c r="H162" s="141" t="b">
        <f t="shared" si="182"/>
        <v>0</v>
      </c>
      <c r="I162" s="141" t="b">
        <f t="shared" si="182"/>
        <v>0</v>
      </c>
      <c r="J162" s="141" t="b">
        <f t="shared" si="182"/>
        <v>0</v>
      </c>
      <c r="K162" s="141" t="b">
        <f t="shared" si="182"/>
        <v>0</v>
      </c>
      <c r="L162" s="141">
        <f t="shared" si="182"/>
        <v>0</v>
      </c>
      <c r="M162" s="141">
        <f t="shared" si="182"/>
        <v>0</v>
      </c>
      <c r="N162" s="141" t="b">
        <f t="shared" si="182"/>
        <v>0</v>
      </c>
      <c r="O162" s="141" t="b">
        <f t="shared" si="182"/>
        <v>0</v>
      </c>
      <c r="P162" s="141" t="b">
        <f t="shared" si="182"/>
        <v>0</v>
      </c>
      <c r="Q162" s="141" t="b">
        <f t="shared" si="182"/>
        <v>0</v>
      </c>
      <c r="R162" s="141" t="b">
        <f t="shared" si="182"/>
        <v>0</v>
      </c>
      <c r="S162" s="141">
        <f t="shared" si="182"/>
        <v>0</v>
      </c>
      <c r="T162" s="141">
        <f t="shared" si="182"/>
        <v>0</v>
      </c>
      <c r="U162" s="141" t="b">
        <f t="shared" si="182"/>
        <v>0</v>
      </c>
      <c r="V162" s="141" t="b">
        <f t="shared" si="182"/>
        <v>0</v>
      </c>
      <c r="W162" s="141" t="b">
        <f t="shared" si="182"/>
        <v>0</v>
      </c>
      <c r="X162" s="141" t="b">
        <f t="shared" si="182"/>
        <v>0</v>
      </c>
      <c r="Y162" s="141" t="b">
        <f t="shared" si="182"/>
        <v>0</v>
      </c>
      <c r="Z162" s="141">
        <f t="shared" si="182"/>
        <v>0</v>
      </c>
      <c r="AA162" s="141">
        <f t="shared" si="182"/>
        <v>0</v>
      </c>
      <c r="AB162" s="141" t="b">
        <f t="shared" si="182"/>
        <v>0</v>
      </c>
      <c r="AC162" s="141" t="b">
        <f t="shared" si="182"/>
        <v>0</v>
      </c>
      <c r="AD162" s="141" t="b">
        <f t="shared" si="182"/>
        <v>0</v>
      </c>
      <c r="AE162" s="141" t="b">
        <f t="shared" si="182"/>
        <v>0</v>
      </c>
      <c r="AF162" s="141" t="b">
        <f t="shared" si="182"/>
        <v>0</v>
      </c>
      <c r="AG162" s="141">
        <f t="shared" si="182"/>
        <v>0</v>
      </c>
      <c r="AH162" s="154" t="s">
        <v>12</v>
      </c>
      <c r="AI162" s="133"/>
      <c r="AJ162" s="170"/>
      <c r="AK162" s="133"/>
      <c r="AL162" s="133"/>
    </row>
    <row r="163" spans="1:38" ht="19.5" hidden="1" customHeight="1" x14ac:dyDescent="0.25">
      <c r="A163" s="176"/>
      <c r="B163" s="149" t="s">
        <v>64</v>
      </c>
      <c r="C163" s="141">
        <f>IF(C46=1,IF(C157&gt;C158,24-C157,0),0)</f>
        <v>0</v>
      </c>
      <c r="D163" s="141">
        <f t="shared" ref="D163:AG163" si="183">IF(D46=1,IF(D157&gt;D158,24-D157,0),0)</f>
        <v>0</v>
      </c>
      <c r="E163" s="141">
        <f t="shared" si="183"/>
        <v>2</v>
      </c>
      <c r="F163" s="141">
        <f t="shared" si="183"/>
        <v>2</v>
      </c>
      <c r="G163" s="141">
        <f t="shared" si="183"/>
        <v>0</v>
      </c>
      <c r="H163" s="141">
        <f t="shared" si="183"/>
        <v>0</v>
      </c>
      <c r="I163" s="141">
        <f t="shared" si="183"/>
        <v>0</v>
      </c>
      <c r="J163" s="141">
        <f t="shared" si="183"/>
        <v>0</v>
      </c>
      <c r="K163" s="141">
        <f t="shared" si="183"/>
        <v>0</v>
      </c>
      <c r="L163" s="141">
        <f t="shared" si="183"/>
        <v>0</v>
      </c>
      <c r="M163" s="141">
        <f t="shared" si="183"/>
        <v>0</v>
      </c>
      <c r="N163" s="141">
        <f t="shared" si="183"/>
        <v>0</v>
      </c>
      <c r="O163" s="141">
        <f t="shared" si="183"/>
        <v>0</v>
      </c>
      <c r="P163" s="141">
        <f t="shared" si="183"/>
        <v>0</v>
      </c>
      <c r="Q163" s="141">
        <f t="shared" si="183"/>
        <v>0</v>
      </c>
      <c r="R163" s="141">
        <f t="shared" si="183"/>
        <v>0</v>
      </c>
      <c r="S163" s="141">
        <f t="shared" si="183"/>
        <v>2</v>
      </c>
      <c r="T163" s="141">
        <f t="shared" si="183"/>
        <v>2</v>
      </c>
      <c r="U163" s="141">
        <f t="shared" si="183"/>
        <v>0</v>
      </c>
      <c r="V163" s="141">
        <f t="shared" si="183"/>
        <v>0</v>
      </c>
      <c r="W163" s="141">
        <f t="shared" si="183"/>
        <v>0</v>
      </c>
      <c r="X163" s="141">
        <f t="shared" si="183"/>
        <v>0</v>
      </c>
      <c r="Y163" s="141">
        <f t="shared" si="183"/>
        <v>0</v>
      </c>
      <c r="Z163" s="141">
        <f t="shared" si="183"/>
        <v>0</v>
      </c>
      <c r="AA163" s="141">
        <f t="shared" si="183"/>
        <v>0</v>
      </c>
      <c r="AB163" s="141">
        <f t="shared" si="183"/>
        <v>0</v>
      </c>
      <c r="AC163" s="141">
        <f t="shared" si="183"/>
        <v>0</v>
      </c>
      <c r="AD163" s="141">
        <f t="shared" si="183"/>
        <v>0</v>
      </c>
      <c r="AE163" s="141">
        <f t="shared" si="183"/>
        <v>0</v>
      </c>
      <c r="AF163" s="141">
        <f t="shared" si="183"/>
        <v>0</v>
      </c>
      <c r="AG163" s="141">
        <f t="shared" si="183"/>
        <v>2</v>
      </c>
      <c r="AH163" s="154" t="s">
        <v>12</v>
      </c>
      <c r="AI163" s="133"/>
      <c r="AJ163" s="170"/>
      <c r="AK163" s="133"/>
      <c r="AL163" s="133"/>
    </row>
    <row r="164" spans="1:38" ht="19.5" hidden="1" customHeight="1" x14ac:dyDescent="0.25">
      <c r="A164" s="176"/>
      <c r="B164" s="149" t="s">
        <v>65</v>
      </c>
      <c r="C164" s="141">
        <f>IF(C46=1,IF(C157&gt;C158,C158,0),0)</f>
        <v>0</v>
      </c>
      <c r="D164" s="141">
        <f t="shared" ref="D164:AG164" si="184">IF(D46=1,IF(D157&gt;D158,D158,0),0)</f>
        <v>0</v>
      </c>
      <c r="E164" s="141">
        <f t="shared" si="184"/>
        <v>6</v>
      </c>
      <c r="F164" s="141">
        <f t="shared" si="184"/>
        <v>6</v>
      </c>
      <c r="G164" s="141">
        <f t="shared" si="184"/>
        <v>0</v>
      </c>
      <c r="H164" s="141">
        <f t="shared" si="184"/>
        <v>0</v>
      </c>
      <c r="I164" s="141">
        <f t="shared" si="184"/>
        <v>0</v>
      </c>
      <c r="J164" s="141">
        <f t="shared" si="184"/>
        <v>0</v>
      </c>
      <c r="K164" s="141">
        <f t="shared" si="184"/>
        <v>0</v>
      </c>
      <c r="L164" s="141">
        <f t="shared" si="184"/>
        <v>0</v>
      </c>
      <c r="M164" s="141">
        <f t="shared" si="184"/>
        <v>0</v>
      </c>
      <c r="N164" s="141">
        <f t="shared" si="184"/>
        <v>0</v>
      </c>
      <c r="O164" s="141">
        <f t="shared" si="184"/>
        <v>0</v>
      </c>
      <c r="P164" s="141">
        <f t="shared" si="184"/>
        <v>0</v>
      </c>
      <c r="Q164" s="141">
        <f t="shared" si="184"/>
        <v>0</v>
      </c>
      <c r="R164" s="141">
        <f t="shared" si="184"/>
        <v>0</v>
      </c>
      <c r="S164" s="141">
        <f t="shared" si="184"/>
        <v>6</v>
      </c>
      <c r="T164" s="141">
        <f t="shared" si="184"/>
        <v>6</v>
      </c>
      <c r="U164" s="141">
        <f t="shared" si="184"/>
        <v>0</v>
      </c>
      <c r="V164" s="141">
        <f t="shared" si="184"/>
        <v>0</v>
      </c>
      <c r="W164" s="141">
        <f t="shared" si="184"/>
        <v>0</v>
      </c>
      <c r="X164" s="141">
        <f t="shared" si="184"/>
        <v>0</v>
      </c>
      <c r="Y164" s="141">
        <f t="shared" si="184"/>
        <v>0</v>
      </c>
      <c r="Z164" s="141">
        <f t="shared" si="184"/>
        <v>0</v>
      </c>
      <c r="AA164" s="141">
        <f t="shared" si="184"/>
        <v>0</v>
      </c>
      <c r="AB164" s="141">
        <f t="shared" si="184"/>
        <v>0</v>
      </c>
      <c r="AC164" s="141">
        <f t="shared" si="184"/>
        <v>0</v>
      </c>
      <c r="AD164" s="141">
        <f t="shared" si="184"/>
        <v>0</v>
      </c>
      <c r="AE164" s="141">
        <f t="shared" si="184"/>
        <v>0</v>
      </c>
      <c r="AF164" s="141">
        <f t="shared" si="184"/>
        <v>0</v>
      </c>
      <c r="AG164" s="141">
        <f t="shared" si="184"/>
        <v>6</v>
      </c>
      <c r="AH164" s="154" t="s">
        <v>12</v>
      </c>
      <c r="AI164" s="133"/>
      <c r="AJ164" s="170"/>
      <c r="AK164" s="133"/>
      <c r="AL164" s="133"/>
    </row>
    <row r="165" spans="1:38" ht="19.5" hidden="1" customHeight="1" x14ac:dyDescent="0.25">
      <c r="A165" s="176"/>
      <c r="B165" s="149" t="s">
        <v>67</v>
      </c>
      <c r="C165" s="171">
        <f t="shared" ref="C165:AG165" si="185">SUM(C162:C164)</f>
        <v>0</v>
      </c>
      <c r="D165" s="171">
        <f t="shared" si="185"/>
        <v>0</v>
      </c>
      <c r="E165" s="171">
        <f t="shared" si="185"/>
        <v>8</v>
      </c>
      <c r="F165" s="171">
        <f t="shared" si="185"/>
        <v>8</v>
      </c>
      <c r="G165" s="171">
        <f t="shared" si="185"/>
        <v>0</v>
      </c>
      <c r="H165" s="171">
        <f t="shared" si="185"/>
        <v>0</v>
      </c>
      <c r="I165" s="171">
        <f t="shared" si="185"/>
        <v>0</v>
      </c>
      <c r="J165" s="171">
        <f t="shared" si="185"/>
        <v>0</v>
      </c>
      <c r="K165" s="171">
        <f t="shared" si="185"/>
        <v>0</v>
      </c>
      <c r="L165" s="171">
        <f t="shared" si="185"/>
        <v>0</v>
      </c>
      <c r="M165" s="171">
        <f t="shared" si="185"/>
        <v>0</v>
      </c>
      <c r="N165" s="171">
        <f t="shared" si="185"/>
        <v>0</v>
      </c>
      <c r="O165" s="171">
        <f t="shared" si="185"/>
        <v>0</v>
      </c>
      <c r="P165" s="171">
        <f t="shared" si="185"/>
        <v>0</v>
      </c>
      <c r="Q165" s="171">
        <f t="shared" si="185"/>
        <v>0</v>
      </c>
      <c r="R165" s="171">
        <f t="shared" si="185"/>
        <v>0</v>
      </c>
      <c r="S165" s="171">
        <f t="shared" si="185"/>
        <v>8</v>
      </c>
      <c r="T165" s="171">
        <f t="shared" si="185"/>
        <v>8</v>
      </c>
      <c r="U165" s="171">
        <f t="shared" si="185"/>
        <v>0</v>
      </c>
      <c r="V165" s="171">
        <f t="shared" si="185"/>
        <v>0</v>
      </c>
      <c r="W165" s="171">
        <f t="shared" si="185"/>
        <v>0</v>
      </c>
      <c r="X165" s="171">
        <f t="shared" si="185"/>
        <v>0</v>
      </c>
      <c r="Y165" s="171">
        <f t="shared" si="185"/>
        <v>0</v>
      </c>
      <c r="Z165" s="171">
        <f t="shared" si="185"/>
        <v>0</v>
      </c>
      <c r="AA165" s="171">
        <f t="shared" si="185"/>
        <v>0</v>
      </c>
      <c r="AB165" s="171">
        <f t="shared" si="185"/>
        <v>0</v>
      </c>
      <c r="AC165" s="171">
        <f t="shared" si="185"/>
        <v>0</v>
      </c>
      <c r="AD165" s="171">
        <f t="shared" si="185"/>
        <v>0</v>
      </c>
      <c r="AE165" s="171">
        <f t="shared" si="185"/>
        <v>0</v>
      </c>
      <c r="AF165" s="171">
        <f t="shared" si="185"/>
        <v>0</v>
      </c>
      <c r="AG165" s="171">
        <f t="shared" si="185"/>
        <v>8</v>
      </c>
      <c r="AH165" s="154" t="s">
        <v>12</v>
      </c>
      <c r="AI165" s="133"/>
      <c r="AJ165" s="170"/>
      <c r="AK165" s="133"/>
      <c r="AL165" s="133"/>
    </row>
    <row r="166" spans="1:38" ht="19.5" hidden="1" customHeight="1" x14ac:dyDescent="0.25">
      <c r="A166" s="177"/>
      <c r="B166" s="160" t="s">
        <v>68</v>
      </c>
      <c r="C166" s="161">
        <f>IF(C19="V",IF(C19="",0,1),0)</f>
        <v>0</v>
      </c>
      <c r="D166" s="161">
        <f t="shared" ref="D166:AG166" si="186">IF(D19="V",IF(D19="",0,1),0)</f>
        <v>0</v>
      </c>
      <c r="E166" s="161">
        <f t="shared" si="186"/>
        <v>0</v>
      </c>
      <c r="F166" s="161">
        <f t="shared" si="186"/>
        <v>0</v>
      </c>
      <c r="G166" s="161">
        <f t="shared" si="186"/>
        <v>0</v>
      </c>
      <c r="H166" s="161">
        <f t="shared" si="186"/>
        <v>0</v>
      </c>
      <c r="I166" s="161">
        <f t="shared" si="186"/>
        <v>0</v>
      </c>
      <c r="J166" s="161">
        <f t="shared" si="186"/>
        <v>0</v>
      </c>
      <c r="K166" s="161">
        <f t="shared" si="186"/>
        <v>0</v>
      </c>
      <c r="L166" s="161">
        <f t="shared" si="186"/>
        <v>0</v>
      </c>
      <c r="M166" s="161">
        <f t="shared" si="186"/>
        <v>0</v>
      </c>
      <c r="N166" s="161">
        <f t="shared" si="186"/>
        <v>0</v>
      </c>
      <c r="O166" s="161">
        <f t="shared" si="186"/>
        <v>0</v>
      </c>
      <c r="P166" s="161">
        <f t="shared" si="186"/>
        <v>0</v>
      </c>
      <c r="Q166" s="161">
        <f t="shared" si="186"/>
        <v>0</v>
      </c>
      <c r="R166" s="161">
        <f t="shared" si="186"/>
        <v>0</v>
      </c>
      <c r="S166" s="161">
        <f t="shared" si="186"/>
        <v>0</v>
      </c>
      <c r="T166" s="161">
        <f t="shared" si="186"/>
        <v>0</v>
      </c>
      <c r="U166" s="161">
        <f t="shared" si="186"/>
        <v>0</v>
      </c>
      <c r="V166" s="161">
        <f t="shared" si="186"/>
        <v>0</v>
      </c>
      <c r="W166" s="161">
        <f t="shared" si="186"/>
        <v>0</v>
      </c>
      <c r="X166" s="161">
        <f t="shared" si="186"/>
        <v>0</v>
      </c>
      <c r="Y166" s="161">
        <f t="shared" si="186"/>
        <v>0</v>
      </c>
      <c r="Z166" s="161">
        <f t="shared" si="186"/>
        <v>0</v>
      </c>
      <c r="AA166" s="161">
        <f t="shared" si="186"/>
        <v>0</v>
      </c>
      <c r="AB166" s="161">
        <f t="shared" si="186"/>
        <v>0</v>
      </c>
      <c r="AC166" s="161">
        <f t="shared" si="186"/>
        <v>0</v>
      </c>
      <c r="AD166" s="161">
        <f t="shared" si="186"/>
        <v>0</v>
      </c>
      <c r="AE166" s="161">
        <f t="shared" si="186"/>
        <v>0</v>
      </c>
      <c r="AF166" s="161">
        <f t="shared" si="186"/>
        <v>0</v>
      </c>
      <c r="AG166" s="161">
        <f t="shared" si="186"/>
        <v>0</v>
      </c>
      <c r="AH166" s="154" t="s">
        <v>12</v>
      </c>
      <c r="AI166" s="133"/>
      <c r="AJ166" s="170"/>
      <c r="AK166" s="133"/>
      <c r="AL166" s="133"/>
    </row>
    <row r="167" spans="1:38" ht="19.5" hidden="1" customHeight="1" x14ac:dyDescent="0.25">
      <c r="A167" s="180"/>
      <c r="B167" s="181" t="s">
        <v>16</v>
      </c>
      <c r="C167" s="182">
        <f>IF(C19="PR",IF(C19="",0,1),0)</f>
        <v>0</v>
      </c>
      <c r="D167" s="182">
        <f t="shared" ref="D167:AG167" si="187">IF(D19="PR",IF(D19="",0,1),0)</f>
        <v>0</v>
      </c>
      <c r="E167" s="182">
        <f t="shared" si="187"/>
        <v>0</v>
      </c>
      <c r="F167" s="182">
        <f t="shared" si="187"/>
        <v>0</v>
      </c>
      <c r="G167" s="182">
        <f t="shared" si="187"/>
        <v>0</v>
      </c>
      <c r="H167" s="182">
        <f t="shared" si="187"/>
        <v>0</v>
      </c>
      <c r="I167" s="182">
        <f t="shared" si="187"/>
        <v>0</v>
      </c>
      <c r="J167" s="182">
        <f t="shared" si="187"/>
        <v>0</v>
      </c>
      <c r="K167" s="182">
        <f t="shared" si="187"/>
        <v>0</v>
      </c>
      <c r="L167" s="182">
        <f t="shared" si="187"/>
        <v>0</v>
      </c>
      <c r="M167" s="182">
        <f t="shared" si="187"/>
        <v>0</v>
      </c>
      <c r="N167" s="182">
        <f t="shared" si="187"/>
        <v>0</v>
      </c>
      <c r="O167" s="182">
        <f t="shared" si="187"/>
        <v>0</v>
      </c>
      <c r="P167" s="182">
        <f t="shared" si="187"/>
        <v>0</v>
      </c>
      <c r="Q167" s="182">
        <f t="shared" si="187"/>
        <v>0</v>
      </c>
      <c r="R167" s="182">
        <f t="shared" si="187"/>
        <v>0</v>
      </c>
      <c r="S167" s="182">
        <f t="shared" si="187"/>
        <v>0</v>
      </c>
      <c r="T167" s="182">
        <f t="shared" si="187"/>
        <v>0</v>
      </c>
      <c r="U167" s="182">
        <f t="shared" si="187"/>
        <v>0</v>
      </c>
      <c r="V167" s="182">
        <f t="shared" si="187"/>
        <v>0</v>
      </c>
      <c r="W167" s="182">
        <f t="shared" si="187"/>
        <v>0</v>
      </c>
      <c r="X167" s="182">
        <f t="shared" si="187"/>
        <v>0</v>
      </c>
      <c r="Y167" s="182">
        <f t="shared" si="187"/>
        <v>0</v>
      </c>
      <c r="Z167" s="182">
        <f t="shared" si="187"/>
        <v>0</v>
      </c>
      <c r="AA167" s="182">
        <f t="shared" si="187"/>
        <v>0</v>
      </c>
      <c r="AB167" s="182">
        <f t="shared" si="187"/>
        <v>0</v>
      </c>
      <c r="AC167" s="182">
        <f t="shared" si="187"/>
        <v>0</v>
      </c>
      <c r="AD167" s="182">
        <f t="shared" si="187"/>
        <v>0</v>
      </c>
      <c r="AE167" s="182">
        <f t="shared" si="187"/>
        <v>0</v>
      </c>
      <c r="AF167" s="182">
        <f t="shared" si="187"/>
        <v>0</v>
      </c>
      <c r="AG167" s="182">
        <f t="shared" si="187"/>
        <v>0</v>
      </c>
      <c r="AH167" s="227">
        <f>SUM(C167:AG167)</f>
        <v>0</v>
      </c>
      <c r="AI167" s="227"/>
      <c r="AJ167" s="174" t="s">
        <v>69</v>
      </c>
      <c r="AK167" s="133"/>
      <c r="AL167" s="133"/>
    </row>
    <row r="168" spans="1:38" ht="19.5" hidden="1" customHeight="1" x14ac:dyDescent="0.25">
      <c r="A168" s="164" t="s">
        <v>127</v>
      </c>
      <c r="B168" s="165" t="s">
        <v>29</v>
      </c>
      <c r="C168" s="141" t="str">
        <f>IF(C20=$R32,$S32*24,IF(C20=$R33,$S33*24,IF(C20=$R34,$S34*24,IF(C20=$R35,$S35*24,IF(C20=$R36,$S36*24,IF(C20=$R37,$S37*24,IF(C20=$R38,$S38*24,IF(C20=$R39,$S39*24,IF(C20=$R40,$S40*24,"")))))))))</f>
        <v/>
      </c>
      <c r="D168" s="141" t="str">
        <f t="shared" ref="D168:AG168" si="188">IF(D20=$R32,$S32*24,IF(D20=$R33,$S33*24,IF(D20=$R34,$S34*24,IF(D20=$R35,$S35*24,IF(D20=$R36,$S36*24,IF(D20=$R37,$S37*24,IF(D20=$R38,$S38*24,IF(D20=$R39,$S39*24,IF(D20=$R40,$S40*24,"")))))))))</f>
        <v/>
      </c>
      <c r="E168" s="141" t="str">
        <f t="shared" si="188"/>
        <v/>
      </c>
      <c r="F168" s="141" t="str">
        <f t="shared" si="188"/>
        <v/>
      </c>
      <c r="G168" s="141" t="str">
        <f t="shared" si="188"/>
        <v/>
      </c>
      <c r="H168" s="141" t="str">
        <f t="shared" si="188"/>
        <v/>
      </c>
      <c r="I168" s="141" t="str">
        <f t="shared" si="188"/>
        <v/>
      </c>
      <c r="J168" s="141" t="str">
        <f t="shared" si="188"/>
        <v/>
      </c>
      <c r="K168" s="141" t="str">
        <f t="shared" si="188"/>
        <v/>
      </c>
      <c r="L168" s="141" t="str">
        <f t="shared" si="188"/>
        <v/>
      </c>
      <c r="M168" s="141" t="str">
        <f t="shared" si="188"/>
        <v/>
      </c>
      <c r="N168" s="141" t="str">
        <f t="shared" si="188"/>
        <v/>
      </c>
      <c r="O168" s="141" t="str">
        <f t="shared" si="188"/>
        <v/>
      </c>
      <c r="P168" s="141" t="str">
        <f t="shared" si="188"/>
        <v/>
      </c>
      <c r="Q168" s="141" t="str">
        <f t="shared" si="188"/>
        <v/>
      </c>
      <c r="R168" s="141" t="str">
        <f t="shared" si="188"/>
        <v/>
      </c>
      <c r="S168" s="141" t="str">
        <f t="shared" si="188"/>
        <v/>
      </c>
      <c r="T168" s="141" t="str">
        <f t="shared" si="188"/>
        <v/>
      </c>
      <c r="U168" s="141" t="str">
        <f t="shared" si="188"/>
        <v/>
      </c>
      <c r="V168" s="141" t="str">
        <f t="shared" si="188"/>
        <v/>
      </c>
      <c r="W168" s="141" t="str">
        <f t="shared" si="188"/>
        <v/>
      </c>
      <c r="X168" s="141" t="str">
        <f t="shared" si="188"/>
        <v/>
      </c>
      <c r="Y168" s="141" t="str">
        <f t="shared" si="188"/>
        <v/>
      </c>
      <c r="Z168" s="141" t="str">
        <f t="shared" si="188"/>
        <v/>
      </c>
      <c r="AA168" s="141" t="str">
        <f t="shared" si="188"/>
        <v/>
      </c>
      <c r="AB168" s="141" t="str">
        <f t="shared" si="188"/>
        <v/>
      </c>
      <c r="AC168" s="141" t="str">
        <f t="shared" si="188"/>
        <v/>
      </c>
      <c r="AD168" s="141" t="str">
        <f t="shared" si="188"/>
        <v/>
      </c>
      <c r="AE168" s="141" t="str">
        <f t="shared" si="188"/>
        <v/>
      </c>
      <c r="AF168" s="141" t="str">
        <f t="shared" si="188"/>
        <v/>
      </c>
      <c r="AG168" s="141" t="str">
        <f t="shared" si="188"/>
        <v/>
      </c>
      <c r="AH168" s="154" t="s">
        <v>12</v>
      </c>
      <c r="AI168" s="133"/>
      <c r="AJ168" s="170"/>
      <c r="AK168" s="133"/>
      <c r="AL168" s="133"/>
    </row>
    <row r="169" spans="1:38" ht="19.5" hidden="1" customHeight="1" x14ac:dyDescent="0.25">
      <c r="A169" s="166" t="s">
        <v>129</v>
      </c>
      <c r="B169" s="167" t="s">
        <v>30</v>
      </c>
      <c r="C169" s="141" t="str">
        <f>IF(C20=$R32,$V32*24,IF(C20=$R33,$V33*24,IF(C20=$R34,$V34*24,IF(C20=$R35,$V35*24,IF(C20=$R36,$V36*24,IF(C20=$R37,$V37*24,IF(C20=$R38,$V38*24,IF(C20=$R39,$V39*24,IF(C20=$R40,$V40*24,"")))))))))</f>
        <v/>
      </c>
      <c r="D169" s="141" t="str">
        <f t="shared" ref="D169:AG169" si="189">IF(D20=$R32,$V32*24,IF(D20=$R33,$V33*24,IF(D20=$R34,$V34*24,IF(D20=$R35,$V35*24,IF(D20=$R36,$V36*24,IF(D20=$R37,$V37*24,IF(D20=$R38,$V38*24,IF(D20=$R39,$V39*24,IF(D20=$R40,$V40*24,"")))))))))</f>
        <v/>
      </c>
      <c r="E169" s="141" t="str">
        <f t="shared" si="189"/>
        <v/>
      </c>
      <c r="F169" s="141" t="str">
        <f t="shared" si="189"/>
        <v/>
      </c>
      <c r="G169" s="141" t="str">
        <f t="shared" si="189"/>
        <v/>
      </c>
      <c r="H169" s="141" t="str">
        <f t="shared" si="189"/>
        <v/>
      </c>
      <c r="I169" s="141" t="str">
        <f t="shared" si="189"/>
        <v/>
      </c>
      <c r="J169" s="141" t="str">
        <f t="shared" si="189"/>
        <v/>
      </c>
      <c r="K169" s="141" t="str">
        <f t="shared" si="189"/>
        <v/>
      </c>
      <c r="L169" s="141" t="str">
        <f t="shared" si="189"/>
        <v/>
      </c>
      <c r="M169" s="141" t="str">
        <f t="shared" si="189"/>
        <v/>
      </c>
      <c r="N169" s="141" t="str">
        <f t="shared" si="189"/>
        <v/>
      </c>
      <c r="O169" s="141" t="str">
        <f t="shared" si="189"/>
        <v/>
      </c>
      <c r="P169" s="141" t="str">
        <f t="shared" si="189"/>
        <v/>
      </c>
      <c r="Q169" s="141" t="str">
        <f t="shared" si="189"/>
        <v/>
      </c>
      <c r="R169" s="141" t="str">
        <f t="shared" si="189"/>
        <v/>
      </c>
      <c r="S169" s="141" t="str">
        <f t="shared" si="189"/>
        <v/>
      </c>
      <c r="T169" s="141" t="str">
        <f t="shared" si="189"/>
        <v/>
      </c>
      <c r="U169" s="141" t="str">
        <f t="shared" si="189"/>
        <v/>
      </c>
      <c r="V169" s="141" t="str">
        <f t="shared" si="189"/>
        <v/>
      </c>
      <c r="W169" s="141" t="str">
        <f t="shared" si="189"/>
        <v/>
      </c>
      <c r="X169" s="141" t="str">
        <f t="shared" si="189"/>
        <v/>
      </c>
      <c r="Y169" s="141" t="str">
        <f t="shared" si="189"/>
        <v/>
      </c>
      <c r="Z169" s="141" t="str">
        <f t="shared" si="189"/>
        <v/>
      </c>
      <c r="AA169" s="141" t="str">
        <f t="shared" si="189"/>
        <v/>
      </c>
      <c r="AB169" s="141" t="str">
        <f t="shared" si="189"/>
        <v/>
      </c>
      <c r="AC169" s="141" t="str">
        <f t="shared" si="189"/>
        <v/>
      </c>
      <c r="AD169" s="141" t="str">
        <f t="shared" si="189"/>
        <v/>
      </c>
      <c r="AE169" s="141" t="str">
        <f t="shared" si="189"/>
        <v/>
      </c>
      <c r="AF169" s="141" t="str">
        <f t="shared" si="189"/>
        <v/>
      </c>
      <c r="AG169" s="141" t="str">
        <f t="shared" si="189"/>
        <v/>
      </c>
      <c r="AH169" s="154" t="s">
        <v>12</v>
      </c>
      <c r="AI169" s="133"/>
      <c r="AJ169" s="170"/>
      <c r="AK169" s="133"/>
      <c r="AL169" s="133"/>
    </row>
    <row r="170" spans="1:38" ht="19.5" hidden="1" customHeight="1" x14ac:dyDescent="0.25">
      <c r="A170" s="153"/>
      <c r="B170" s="183" t="s">
        <v>34</v>
      </c>
      <c r="C170" s="169" t="str">
        <f t="shared" ref="C170:X170" si="190">IF(C20=$R32,$BD32*24,IF(C20=$R33,$BD33*24,IF(C20=$R34,$BD34*24,IF(C20=$R35,$BD35*24,IF(C20=$R36,$BD36*24,IF(C20=$R37,$BD37*24,IF(C20=$R38,$BD38*24,IF(C20=$R39,$BD39*24,IF(C20=$R40,$BD40*24,"")))))))))</f>
        <v/>
      </c>
      <c r="D170" s="169" t="str">
        <f t="shared" si="190"/>
        <v/>
      </c>
      <c r="E170" s="169" t="str">
        <f t="shared" si="190"/>
        <v/>
      </c>
      <c r="F170" s="169" t="str">
        <f t="shared" si="190"/>
        <v/>
      </c>
      <c r="G170" s="169" t="str">
        <f t="shared" si="190"/>
        <v/>
      </c>
      <c r="H170" s="169" t="str">
        <f t="shared" si="190"/>
        <v/>
      </c>
      <c r="I170" s="169" t="str">
        <f t="shared" si="190"/>
        <v/>
      </c>
      <c r="J170" s="169" t="str">
        <f t="shared" si="190"/>
        <v/>
      </c>
      <c r="K170" s="169" t="str">
        <f t="shared" si="190"/>
        <v/>
      </c>
      <c r="L170" s="169" t="str">
        <f t="shared" si="190"/>
        <v/>
      </c>
      <c r="M170" s="169" t="str">
        <f t="shared" si="190"/>
        <v/>
      </c>
      <c r="N170" s="169" t="str">
        <f t="shared" si="190"/>
        <v/>
      </c>
      <c r="O170" s="169" t="str">
        <f t="shared" si="190"/>
        <v/>
      </c>
      <c r="P170" s="169" t="str">
        <f t="shared" si="190"/>
        <v/>
      </c>
      <c r="Q170" s="169" t="str">
        <f t="shared" si="190"/>
        <v/>
      </c>
      <c r="R170" s="169" t="str">
        <f t="shared" si="190"/>
        <v/>
      </c>
      <c r="S170" s="169" t="str">
        <f t="shared" si="190"/>
        <v/>
      </c>
      <c r="T170" s="169" t="str">
        <f t="shared" si="190"/>
        <v/>
      </c>
      <c r="U170" s="169" t="str">
        <f t="shared" si="190"/>
        <v/>
      </c>
      <c r="V170" s="169" t="str">
        <f t="shared" si="190"/>
        <v/>
      </c>
      <c r="W170" s="169" t="str">
        <f t="shared" si="190"/>
        <v/>
      </c>
      <c r="X170" s="169" t="str">
        <f t="shared" si="190"/>
        <v/>
      </c>
      <c r="Y170" s="169" t="str">
        <f t="shared" ref="Y170:AD170" si="191">IF(Y20=$R32,$BD32*24,IF(Y20=$R33,$BD33*24,IF(Y20=$R34,$BD34*24,IF(Y20=$R35,$BD35*24,IF(Y20=$R36,$BD36*24,IF(Y20=$R37,$BD37*24,IF(Y20=$R38,$BD38*24,IF(Y20=$R39,$BD39*24,IF(Y20=$R40,$BD40*24,"")))))))))</f>
        <v/>
      </c>
      <c r="Z170" s="169" t="str">
        <f t="shared" si="191"/>
        <v/>
      </c>
      <c r="AA170" s="169" t="str">
        <f t="shared" si="191"/>
        <v/>
      </c>
      <c r="AB170" s="169" t="str">
        <f t="shared" si="191"/>
        <v/>
      </c>
      <c r="AC170" s="169" t="str">
        <f t="shared" si="191"/>
        <v/>
      </c>
      <c r="AD170" s="169" t="str">
        <f t="shared" si="191"/>
        <v/>
      </c>
      <c r="AE170" s="169" t="str">
        <f>IF(AE20=$R32,$BD32*24,IF(AE20=$R33,$BD33*24,IF(AE20=$R34,$BD34*24,IF(AE20=$R35,$BD35*24,IF(AE20=$R36,$BD36*24,IF(AE20=$R37,$BD37*24,IF(AE20=$R38,$BD38*24,IF(AE20=$R39,$BD39*24,IF(AE20=$R40,$BD40*24,"")))))))))</f>
        <v/>
      </c>
      <c r="AF170" s="169" t="str">
        <f>IF(AF20=$R32,$BD32*24,IF(AF20=$R33,$BD33*24,IF(AF20=$R34,$BD34*24,IF(AF20=$R35,$BD35*24,IF(AF20=$R36,$BD36*24,IF(AF20=$R37,$BD37*24,IF(AF20=$R38,$BD38*24,IF(AF20=$R39,$BD39*24,IF(AF20=$R40,$BD40*24,"")))))))))</f>
        <v/>
      </c>
      <c r="AG170" s="169" t="str">
        <f>IF(AG20=$R32,$BD32*24,IF(AG20=$R33,$BD33*24,IF(AG20=$R34,$BD34*24,IF(AG20=$R35,$BD35*24,IF(AG20=$R36,$BD36*24,IF(AG20=$R37,$BD37*24,IF(AG20=$R38,$BD38*24,IF(AG20=$R39,$BD39*24,IF(AG20=$R40,$BD40*24,"")))))))))</f>
        <v/>
      </c>
      <c r="AH170" s="148">
        <f>SUM(C170:AG170)</f>
        <v>0</v>
      </c>
      <c r="AI170" s="133"/>
      <c r="AJ170" s="170"/>
      <c r="AK170" s="133"/>
      <c r="AL170" s="133"/>
    </row>
    <row r="171" spans="1:38" ht="19.5" hidden="1" customHeight="1" x14ac:dyDescent="0.25">
      <c r="A171" s="153"/>
      <c r="B171" s="167" t="s">
        <v>59</v>
      </c>
      <c r="C171" s="141">
        <f>IF(C20="V",$C36,IF(C20="PR",$C38,0))</f>
        <v>0</v>
      </c>
      <c r="D171" s="141">
        <f t="shared" ref="D171:AG171" si="192">IF(D20="V",$C36,IF(D20="PR",$C38,0))</f>
        <v>0</v>
      </c>
      <c r="E171" s="141">
        <f t="shared" si="192"/>
        <v>0</v>
      </c>
      <c r="F171" s="141">
        <f t="shared" si="192"/>
        <v>0</v>
      </c>
      <c r="G171" s="141">
        <f t="shared" si="192"/>
        <v>0</v>
      </c>
      <c r="H171" s="141">
        <f t="shared" si="192"/>
        <v>0</v>
      </c>
      <c r="I171" s="141">
        <f t="shared" si="192"/>
        <v>0</v>
      </c>
      <c r="J171" s="141">
        <f t="shared" si="192"/>
        <v>0</v>
      </c>
      <c r="K171" s="141">
        <f t="shared" si="192"/>
        <v>0</v>
      </c>
      <c r="L171" s="141">
        <f t="shared" si="192"/>
        <v>0</v>
      </c>
      <c r="M171" s="141">
        <f t="shared" si="192"/>
        <v>0</v>
      </c>
      <c r="N171" s="141">
        <f t="shared" si="192"/>
        <v>0</v>
      </c>
      <c r="O171" s="141">
        <f t="shared" si="192"/>
        <v>0</v>
      </c>
      <c r="P171" s="141">
        <f t="shared" si="192"/>
        <v>0</v>
      </c>
      <c r="Q171" s="141">
        <f t="shared" si="192"/>
        <v>0</v>
      </c>
      <c r="R171" s="141">
        <f t="shared" si="192"/>
        <v>0</v>
      </c>
      <c r="S171" s="141">
        <f t="shared" si="192"/>
        <v>0</v>
      </c>
      <c r="T171" s="141">
        <f t="shared" si="192"/>
        <v>0</v>
      </c>
      <c r="U171" s="141">
        <f t="shared" si="192"/>
        <v>0</v>
      </c>
      <c r="V171" s="141">
        <f t="shared" si="192"/>
        <v>0</v>
      </c>
      <c r="W171" s="141">
        <f t="shared" si="192"/>
        <v>0</v>
      </c>
      <c r="X171" s="141">
        <f t="shared" si="192"/>
        <v>0</v>
      </c>
      <c r="Y171" s="141">
        <f t="shared" si="192"/>
        <v>0</v>
      </c>
      <c r="Z171" s="141">
        <f t="shared" si="192"/>
        <v>0</v>
      </c>
      <c r="AA171" s="141">
        <f t="shared" si="192"/>
        <v>0</v>
      </c>
      <c r="AB171" s="141">
        <f t="shared" si="192"/>
        <v>0</v>
      </c>
      <c r="AC171" s="141">
        <f t="shared" si="192"/>
        <v>0</v>
      </c>
      <c r="AD171" s="141">
        <f t="shared" si="192"/>
        <v>0</v>
      </c>
      <c r="AE171" s="141">
        <f t="shared" si="192"/>
        <v>0</v>
      </c>
      <c r="AF171" s="141">
        <f t="shared" si="192"/>
        <v>0</v>
      </c>
      <c r="AG171" s="141">
        <f t="shared" si="192"/>
        <v>0</v>
      </c>
      <c r="AH171" s="226">
        <f>SUM(C171:AG171)</f>
        <v>0</v>
      </c>
      <c r="AI171" s="226"/>
      <c r="AJ171" s="230">
        <f>SUM(AH116+AH127+AH138+AH149+AH160+AH171)</f>
        <v>0</v>
      </c>
      <c r="AK171" s="230"/>
      <c r="AL171" s="133" t="s">
        <v>56</v>
      </c>
    </row>
    <row r="172" spans="1:38" ht="19.5" hidden="1" customHeight="1" x14ac:dyDescent="0.25">
      <c r="A172" s="150" t="s">
        <v>60</v>
      </c>
      <c r="B172" s="167" t="s">
        <v>61</v>
      </c>
      <c r="C172" s="151">
        <f t="shared" ref="C172:X172" si="193">IF(C20=$R32,$BC32,IF(C20=$R33,$BC33,IF(C20=$R34,$BC34,IF(C20=$R35,$BC35,IF(C20=$R36,$BC36,IF(C20=$R37,$BC37,IF(C20=$R38,$BC38,IF(C20=$R39,$BC39,IF(C20=$R40,$BC40,0)))))))))</f>
        <v>0</v>
      </c>
      <c r="D172" s="151">
        <f t="shared" si="193"/>
        <v>0</v>
      </c>
      <c r="E172" s="151">
        <f t="shared" si="193"/>
        <v>0</v>
      </c>
      <c r="F172" s="151">
        <f t="shared" si="193"/>
        <v>0</v>
      </c>
      <c r="G172" s="151">
        <f t="shared" si="193"/>
        <v>0</v>
      </c>
      <c r="H172" s="151">
        <f t="shared" si="193"/>
        <v>0</v>
      </c>
      <c r="I172" s="151">
        <f t="shared" si="193"/>
        <v>0</v>
      </c>
      <c r="J172" s="151">
        <f t="shared" si="193"/>
        <v>0</v>
      </c>
      <c r="K172" s="151">
        <f t="shared" si="193"/>
        <v>0</v>
      </c>
      <c r="L172" s="151">
        <f t="shared" si="193"/>
        <v>0</v>
      </c>
      <c r="M172" s="151">
        <f t="shared" si="193"/>
        <v>0</v>
      </c>
      <c r="N172" s="151">
        <f t="shared" si="193"/>
        <v>0</v>
      </c>
      <c r="O172" s="151">
        <f t="shared" si="193"/>
        <v>0</v>
      </c>
      <c r="P172" s="151">
        <f t="shared" si="193"/>
        <v>0</v>
      </c>
      <c r="Q172" s="151">
        <f t="shared" si="193"/>
        <v>0</v>
      </c>
      <c r="R172" s="151">
        <f t="shared" si="193"/>
        <v>0</v>
      </c>
      <c r="S172" s="151">
        <f t="shared" si="193"/>
        <v>0</v>
      </c>
      <c r="T172" s="151">
        <f t="shared" si="193"/>
        <v>0</v>
      </c>
      <c r="U172" s="151">
        <f t="shared" si="193"/>
        <v>0</v>
      </c>
      <c r="V172" s="151">
        <f t="shared" si="193"/>
        <v>0</v>
      </c>
      <c r="W172" s="151">
        <f t="shared" si="193"/>
        <v>0</v>
      </c>
      <c r="X172" s="151">
        <f t="shared" si="193"/>
        <v>0</v>
      </c>
      <c r="Y172" s="151">
        <f t="shared" ref="Y172:AD172" si="194">IF(Y20=$R32,$BC32,IF(Y20=$R33,$BC33,IF(Y20=$R34,$BC34,IF(Y20=$R35,$BC35,IF(Y20=$R36,$BC36,IF(Y20=$R37,$BC37,IF(Y20=$R38,$BC38,IF(Y20=$R39,$BC39,IF(Y20=$R40,$BC40,0)))))))))</f>
        <v>0</v>
      </c>
      <c r="Z172" s="151">
        <f t="shared" si="194"/>
        <v>0</v>
      </c>
      <c r="AA172" s="151">
        <f t="shared" si="194"/>
        <v>0</v>
      </c>
      <c r="AB172" s="151">
        <f t="shared" si="194"/>
        <v>0</v>
      </c>
      <c r="AC172" s="151">
        <f t="shared" si="194"/>
        <v>0</v>
      </c>
      <c r="AD172" s="151">
        <f t="shared" si="194"/>
        <v>0</v>
      </c>
      <c r="AE172" s="151">
        <f>IF(AE20=$R32,$BC32,IF(AE20=$R33,$BC33,IF(AE20=$R34,$BC34,IF(AE20=$R35,$BC35,IF(AE20=$R36,$BC36,IF(AE20=$R37,$BC37,IF(AE20=$R38,$BC38,IF(AE20=$R39,$BC39,IF(AE20=$R40,$BC40,0)))))))))</f>
        <v>0</v>
      </c>
      <c r="AF172" s="151">
        <f>IF(AF20=$R32,$BC32,IF(AF20=$R33,$BC33,IF(AF20=$R34,$BC34,IF(AF20=$R35,$BC35,IF(AF20=$R36,$BC36,IF(AF20=$R37,$BC37,IF(AF20=$R38,$BC38,IF(AF20=$R39,$BC39,IF(AF20=$R40,$BC40,0)))))))))</f>
        <v>0</v>
      </c>
      <c r="AG172" s="151">
        <f>IF(AG20=$R32,$BC32,IF(AG20=$R33,$BC33,IF(AG20=$R34,$BC34,IF(AG20=$R35,$BC35,IF(AG20=$R36,$BC36,IF(AG20=$R37,$BC37,IF(AG20=$R38,$BC38,IF(AG20=$R39,$BC39,IF(AG20=$R40,$BC40,0)))))))))</f>
        <v>0</v>
      </c>
      <c r="AH172" s="226">
        <f>SUM(C172:AG172)</f>
        <v>0</v>
      </c>
      <c r="AI172" s="226"/>
      <c r="AJ172" s="174" t="s">
        <v>62</v>
      </c>
      <c r="AK172" s="133" t="s">
        <v>12</v>
      </c>
      <c r="AL172" s="133"/>
    </row>
    <row r="173" spans="1:38" ht="19.5" hidden="1" customHeight="1" x14ac:dyDescent="0.25">
      <c r="A173" s="153" t="s">
        <v>48</v>
      </c>
      <c r="B173" s="149" t="s">
        <v>63</v>
      </c>
      <c r="C173" s="141" t="b">
        <f>IF(C46=1,IF(C168&lt;C169,C172,0))</f>
        <v>0</v>
      </c>
      <c r="D173" s="141" t="b">
        <f t="shared" ref="D173:AG173" si="195">IF(D46=1,IF(D168&lt;D169,D172,0))</f>
        <v>0</v>
      </c>
      <c r="E173" s="141">
        <f t="shared" si="195"/>
        <v>0</v>
      </c>
      <c r="F173" s="141">
        <f t="shared" si="195"/>
        <v>0</v>
      </c>
      <c r="G173" s="141" t="b">
        <f t="shared" si="195"/>
        <v>0</v>
      </c>
      <c r="H173" s="141" t="b">
        <f t="shared" si="195"/>
        <v>0</v>
      </c>
      <c r="I173" s="141" t="b">
        <f t="shared" si="195"/>
        <v>0</v>
      </c>
      <c r="J173" s="141" t="b">
        <f t="shared" si="195"/>
        <v>0</v>
      </c>
      <c r="K173" s="141" t="b">
        <f t="shared" si="195"/>
        <v>0</v>
      </c>
      <c r="L173" s="141">
        <f t="shared" si="195"/>
        <v>0</v>
      </c>
      <c r="M173" s="141">
        <f t="shared" si="195"/>
        <v>0</v>
      </c>
      <c r="N173" s="141" t="b">
        <f t="shared" si="195"/>
        <v>0</v>
      </c>
      <c r="O173" s="141" t="b">
        <f t="shared" si="195"/>
        <v>0</v>
      </c>
      <c r="P173" s="141" t="b">
        <f t="shared" si="195"/>
        <v>0</v>
      </c>
      <c r="Q173" s="141" t="b">
        <f t="shared" si="195"/>
        <v>0</v>
      </c>
      <c r="R173" s="141" t="b">
        <f t="shared" si="195"/>
        <v>0</v>
      </c>
      <c r="S173" s="141">
        <f t="shared" si="195"/>
        <v>0</v>
      </c>
      <c r="T173" s="141">
        <f t="shared" si="195"/>
        <v>0</v>
      </c>
      <c r="U173" s="141" t="b">
        <f t="shared" si="195"/>
        <v>0</v>
      </c>
      <c r="V173" s="141" t="b">
        <f t="shared" si="195"/>
        <v>0</v>
      </c>
      <c r="W173" s="141" t="b">
        <f t="shared" si="195"/>
        <v>0</v>
      </c>
      <c r="X173" s="141" t="b">
        <f t="shared" si="195"/>
        <v>0</v>
      </c>
      <c r="Y173" s="141" t="b">
        <f t="shared" si="195"/>
        <v>0</v>
      </c>
      <c r="Z173" s="141">
        <f t="shared" si="195"/>
        <v>0</v>
      </c>
      <c r="AA173" s="141">
        <f t="shared" si="195"/>
        <v>0</v>
      </c>
      <c r="AB173" s="141" t="b">
        <f t="shared" si="195"/>
        <v>0</v>
      </c>
      <c r="AC173" s="141" t="b">
        <f t="shared" si="195"/>
        <v>0</v>
      </c>
      <c r="AD173" s="141" t="b">
        <f t="shared" si="195"/>
        <v>0</v>
      </c>
      <c r="AE173" s="141" t="b">
        <f t="shared" si="195"/>
        <v>0</v>
      </c>
      <c r="AF173" s="141" t="b">
        <f t="shared" si="195"/>
        <v>0</v>
      </c>
      <c r="AG173" s="141">
        <f t="shared" si="195"/>
        <v>0</v>
      </c>
      <c r="AH173" s="154" t="s">
        <v>12</v>
      </c>
      <c r="AI173" s="133"/>
      <c r="AJ173" s="170"/>
      <c r="AK173" s="133"/>
      <c r="AL173" s="133"/>
    </row>
    <row r="174" spans="1:38" ht="19.5" hidden="1" customHeight="1" x14ac:dyDescent="0.25">
      <c r="A174" s="176"/>
      <c r="B174" s="149" t="s">
        <v>64</v>
      </c>
      <c r="C174" s="141">
        <f>IF(C46=1,IF(C168&gt;C169,24-C168,0),0)</f>
        <v>0</v>
      </c>
      <c r="D174" s="141">
        <f t="shared" ref="D174:AG174" si="196">IF(D46=1,IF(D168&gt;D169,24-D168,0),0)</f>
        <v>0</v>
      </c>
      <c r="E174" s="141">
        <f t="shared" si="196"/>
        <v>0</v>
      </c>
      <c r="F174" s="141">
        <f t="shared" si="196"/>
        <v>0</v>
      </c>
      <c r="G174" s="141">
        <f t="shared" si="196"/>
        <v>0</v>
      </c>
      <c r="H174" s="141">
        <f t="shared" si="196"/>
        <v>0</v>
      </c>
      <c r="I174" s="141">
        <f t="shared" si="196"/>
        <v>0</v>
      </c>
      <c r="J174" s="141">
        <f t="shared" si="196"/>
        <v>0</v>
      </c>
      <c r="K174" s="141">
        <f t="shared" si="196"/>
        <v>0</v>
      </c>
      <c r="L174" s="141">
        <f t="shared" si="196"/>
        <v>0</v>
      </c>
      <c r="M174" s="141">
        <f t="shared" si="196"/>
        <v>0</v>
      </c>
      <c r="N174" s="141">
        <f t="shared" si="196"/>
        <v>0</v>
      </c>
      <c r="O174" s="141">
        <f t="shared" si="196"/>
        <v>0</v>
      </c>
      <c r="P174" s="141">
        <f t="shared" si="196"/>
        <v>0</v>
      </c>
      <c r="Q174" s="141">
        <f t="shared" si="196"/>
        <v>0</v>
      </c>
      <c r="R174" s="141">
        <f t="shared" si="196"/>
        <v>0</v>
      </c>
      <c r="S174" s="141">
        <f t="shared" si="196"/>
        <v>0</v>
      </c>
      <c r="T174" s="141">
        <f t="shared" si="196"/>
        <v>0</v>
      </c>
      <c r="U174" s="141">
        <f t="shared" si="196"/>
        <v>0</v>
      </c>
      <c r="V174" s="141">
        <f t="shared" si="196"/>
        <v>0</v>
      </c>
      <c r="W174" s="141">
        <f t="shared" si="196"/>
        <v>0</v>
      </c>
      <c r="X174" s="141">
        <f t="shared" si="196"/>
        <v>0</v>
      </c>
      <c r="Y174" s="141">
        <f t="shared" si="196"/>
        <v>0</v>
      </c>
      <c r="Z174" s="141">
        <f t="shared" si="196"/>
        <v>0</v>
      </c>
      <c r="AA174" s="141">
        <f t="shared" si="196"/>
        <v>0</v>
      </c>
      <c r="AB174" s="141">
        <f t="shared" si="196"/>
        <v>0</v>
      </c>
      <c r="AC174" s="141">
        <f t="shared" si="196"/>
        <v>0</v>
      </c>
      <c r="AD174" s="141">
        <f t="shared" si="196"/>
        <v>0</v>
      </c>
      <c r="AE174" s="141">
        <f t="shared" si="196"/>
        <v>0</v>
      </c>
      <c r="AF174" s="141">
        <f t="shared" si="196"/>
        <v>0</v>
      </c>
      <c r="AG174" s="141">
        <f t="shared" si="196"/>
        <v>0</v>
      </c>
      <c r="AH174" s="154" t="s">
        <v>12</v>
      </c>
      <c r="AI174" s="133"/>
      <c r="AJ174" s="170"/>
      <c r="AK174" s="133"/>
      <c r="AL174" s="133"/>
    </row>
    <row r="175" spans="1:38" ht="19.5" hidden="1" customHeight="1" x14ac:dyDescent="0.25">
      <c r="A175" s="176"/>
      <c r="B175" s="149" t="s">
        <v>65</v>
      </c>
      <c r="C175" s="141">
        <f>IF(C46=1,IF(C168&gt;C169,C169,0),0)</f>
        <v>0</v>
      </c>
      <c r="D175" s="141">
        <f t="shared" ref="D175:AG175" si="197">IF(D46=1,IF(D168&gt;D169,D169,0),0)</f>
        <v>0</v>
      </c>
      <c r="E175" s="141">
        <f t="shared" si="197"/>
        <v>0</v>
      </c>
      <c r="F175" s="141">
        <f t="shared" si="197"/>
        <v>0</v>
      </c>
      <c r="G175" s="141">
        <f t="shared" si="197"/>
        <v>0</v>
      </c>
      <c r="H175" s="141">
        <f t="shared" si="197"/>
        <v>0</v>
      </c>
      <c r="I175" s="141">
        <f t="shared" si="197"/>
        <v>0</v>
      </c>
      <c r="J175" s="141">
        <f t="shared" si="197"/>
        <v>0</v>
      </c>
      <c r="K175" s="141">
        <f t="shared" si="197"/>
        <v>0</v>
      </c>
      <c r="L175" s="141">
        <f t="shared" si="197"/>
        <v>0</v>
      </c>
      <c r="M175" s="141">
        <f t="shared" si="197"/>
        <v>0</v>
      </c>
      <c r="N175" s="141">
        <f t="shared" si="197"/>
        <v>0</v>
      </c>
      <c r="O175" s="141">
        <f t="shared" si="197"/>
        <v>0</v>
      </c>
      <c r="P175" s="141">
        <f t="shared" si="197"/>
        <v>0</v>
      </c>
      <c r="Q175" s="141">
        <f t="shared" si="197"/>
        <v>0</v>
      </c>
      <c r="R175" s="141">
        <f t="shared" si="197"/>
        <v>0</v>
      </c>
      <c r="S175" s="141">
        <f t="shared" si="197"/>
        <v>0</v>
      </c>
      <c r="T175" s="141">
        <f t="shared" si="197"/>
        <v>0</v>
      </c>
      <c r="U175" s="141">
        <f t="shared" si="197"/>
        <v>0</v>
      </c>
      <c r="V175" s="141">
        <f t="shared" si="197"/>
        <v>0</v>
      </c>
      <c r="W175" s="141">
        <f t="shared" si="197"/>
        <v>0</v>
      </c>
      <c r="X175" s="141">
        <f t="shared" si="197"/>
        <v>0</v>
      </c>
      <c r="Y175" s="141">
        <f t="shared" si="197"/>
        <v>0</v>
      </c>
      <c r="Z175" s="141">
        <f t="shared" si="197"/>
        <v>0</v>
      </c>
      <c r="AA175" s="141">
        <f t="shared" si="197"/>
        <v>0</v>
      </c>
      <c r="AB175" s="141">
        <f t="shared" si="197"/>
        <v>0</v>
      </c>
      <c r="AC175" s="141">
        <f t="shared" si="197"/>
        <v>0</v>
      </c>
      <c r="AD175" s="141">
        <f t="shared" si="197"/>
        <v>0</v>
      </c>
      <c r="AE175" s="141">
        <f t="shared" si="197"/>
        <v>0</v>
      </c>
      <c r="AF175" s="141">
        <f t="shared" si="197"/>
        <v>0</v>
      </c>
      <c r="AG175" s="141">
        <f t="shared" si="197"/>
        <v>0</v>
      </c>
      <c r="AH175" s="154" t="s">
        <v>12</v>
      </c>
      <c r="AI175" s="133"/>
      <c r="AJ175" s="170"/>
      <c r="AK175" s="133"/>
      <c r="AL175" s="133"/>
    </row>
    <row r="176" spans="1:38" ht="19.5" hidden="1" customHeight="1" x14ac:dyDescent="0.25">
      <c r="A176" s="176"/>
      <c r="B176" s="149" t="s">
        <v>67</v>
      </c>
      <c r="C176" s="171">
        <f>SUM(C173:C175)</f>
        <v>0</v>
      </c>
      <c r="D176" s="171">
        <f t="shared" ref="D176:AG176" si="198">SUM(D173:D175)</f>
        <v>0</v>
      </c>
      <c r="E176" s="171">
        <f t="shared" si="198"/>
        <v>0</v>
      </c>
      <c r="F176" s="171">
        <f t="shared" si="198"/>
        <v>0</v>
      </c>
      <c r="G176" s="171">
        <f t="shared" si="198"/>
        <v>0</v>
      </c>
      <c r="H176" s="171">
        <f t="shared" si="198"/>
        <v>0</v>
      </c>
      <c r="I176" s="171">
        <f t="shared" si="198"/>
        <v>0</v>
      </c>
      <c r="J176" s="171">
        <f t="shared" si="198"/>
        <v>0</v>
      </c>
      <c r="K176" s="171">
        <f t="shared" si="198"/>
        <v>0</v>
      </c>
      <c r="L176" s="171">
        <f t="shared" si="198"/>
        <v>0</v>
      </c>
      <c r="M176" s="171">
        <f t="shared" si="198"/>
        <v>0</v>
      </c>
      <c r="N176" s="171">
        <f t="shared" si="198"/>
        <v>0</v>
      </c>
      <c r="O176" s="171">
        <f t="shared" si="198"/>
        <v>0</v>
      </c>
      <c r="P176" s="171">
        <f t="shared" si="198"/>
        <v>0</v>
      </c>
      <c r="Q176" s="171">
        <f t="shared" si="198"/>
        <v>0</v>
      </c>
      <c r="R176" s="171">
        <f t="shared" si="198"/>
        <v>0</v>
      </c>
      <c r="S176" s="171">
        <f t="shared" si="198"/>
        <v>0</v>
      </c>
      <c r="T176" s="171">
        <f t="shared" si="198"/>
        <v>0</v>
      </c>
      <c r="U176" s="171">
        <f t="shared" si="198"/>
        <v>0</v>
      </c>
      <c r="V176" s="171">
        <f t="shared" si="198"/>
        <v>0</v>
      </c>
      <c r="W176" s="171">
        <f t="shared" si="198"/>
        <v>0</v>
      </c>
      <c r="X176" s="171">
        <f t="shared" si="198"/>
        <v>0</v>
      </c>
      <c r="Y176" s="171">
        <f t="shared" si="198"/>
        <v>0</v>
      </c>
      <c r="Z176" s="171">
        <f t="shared" si="198"/>
        <v>0</v>
      </c>
      <c r="AA176" s="171">
        <f t="shared" si="198"/>
        <v>0</v>
      </c>
      <c r="AB176" s="171">
        <f t="shared" si="198"/>
        <v>0</v>
      </c>
      <c r="AC176" s="171">
        <f t="shared" si="198"/>
        <v>0</v>
      </c>
      <c r="AD176" s="171">
        <f t="shared" si="198"/>
        <v>0</v>
      </c>
      <c r="AE176" s="171">
        <f t="shared" si="198"/>
        <v>0</v>
      </c>
      <c r="AF176" s="171">
        <f t="shared" si="198"/>
        <v>0</v>
      </c>
      <c r="AG176" s="171">
        <f t="shared" si="198"/>
        <v>0</v>
      </c>
      <c r="AH176" s="154" t="s">
        <v>12</v>
      </c>
      <c r="AI176" s="133"/>
      <c r="AJ176" s="170"/>
      <c r="AK176" s="133"/>
      <c r="AL176" s="133"/>
    </row>
    <row r="177" spans="1:38" ht="19.5" hidden="1" customHeight="1" x14ac:dyDescent="0.25">
      <c r="A177" s="177"/>
      <c r="B177" s="160" t="s">
        <v>68</v>
      </c>
      <c r="C177" s="161">
        <f>IF(C20="V",IF(C20="",0,1),0)</f>
        <v>0</v>
      </c>
      <c r="D177" s="161">
        <f t="shared" ref="D177:AG177" si="199">IF(D20="V",IF(D20="",0,1),0)</f>
        <v>0</v>
      </c>
      <c r="E177" s="161">
        <f t="shared" si="199"/>
        <v>0</v>
      </c>
      <c r="F177" s="161">
        <f t="shared" si="199"/>
        <v>0</v>
      </c>
      <c r="G177" s="161">
        <f t="shared" si="199"/>
        <v>0</v>
      </c>
      <c r="H177" s="161">
        <f t="shared" si="199"/>
        <v>0</v>
      </c>
      <c r="I177" s="161">
        <f t="shared" si="199"/>
        <v>0</v>
      </c>
      <c r="J177" s="161">
        <f t="shared" si="199"/>
        <v>0</v>
      </c>
      <c r="K177" s="161">
        <f t="shared" si="199"/>
        <v>0</v>
      </c>
      <c r="L177" s="161">
        <f t="shared" si="199"/>
        <v>0</v>
      </c>
      <c r="M177" s="161">
        <f t="shared" si="199"/>
        <v>0</v>
      </c>
      <c r="N177" s="161">
        <f t="shared" si="199"/>
        <v>0</v>
      </c>
      <c r="O177" s="161">
        <f t="shared" si="199"/>
        <v>0</v>
      </c>
      <c r="P177" s="161">
        <f t="shared" si="199"/>
        <v>0</v>
      </c>
      <c r="Q177" s="161">
        <f t="shared" si="199"/>
        <v>0</v>
      </c>
      <c r="R177" s="161">
        <f t="shared" si="199"/>
        <v>0</v>
      </c>
      <c r="S177" s="161">
        <f t="shared" si="199"/>
        <v>0</v>
      </c>
      <c r="T177" s="161">
        <f t="shared" si="199"/>
        <v>0</v>
      </c>
      <c r="U177" s="161">
        <f t="shared" si="199"/>
        <v>0</v>
      </c>
      <c r="V177" s="161">
        <f t="shared" si="199"/>
        <v>0</v>
      </c>
      <c r="W177" s="161">
        <f t="shared" si="199"/>
        <v>0</v>
      </c>
      <c r="X177" s="161">
        <f t="shared" si="199"/>
        <v>0</v>
      </c>
      <c r="Y177" s="161">
        <f t="shared" si="199"/>
        <v>0</v>
      </c>
      <c r="Z177" s="161">
        <f t="shared" si="199"/>
        <v>0</v>
      </c>
      <c r="AA177" s="161">
        <f t="shared" si="199"/>
        <v>0</v>
      </c>
      <c r="AB177" s="161">
        <f t="shared" si="199"/>
        <v>0</v>
      </c>
      <c r="AC177" s="161">
        <f t="shared" si="199"/>
        <v>0</v>
      </c>
      <c r="AD177" s="161">
        <f t="shared" si="199"/>
        <v>0</v>
      </c>
      <c r="AE177" s="161">
        <f t="shared" si="199"/>
        <v>0</v>
      </c>
      <c r="AF177" s="161">
        <f t="shared" si="199"/>
        <v>0</v>
      </c>
      <c r="AG177" s="161">
        <f t="shared" si="199"/>
        <v>0</v>
      </c>
      <c r="AH177" s="154" t="s">
        <v>12</v>
      </c>
      <c r="AI177" s="133"/>
      <c r="AJ177" s="170"/>
      <c r="AK177" s="133"/>
      <c r="AL177" s="133"/>
    </row>
    <row r="178" spans="1:38" ht="19.5" hidden="1" customHeight="1" x14ac:dyDescent="0.25">
      <c r="A178" s="180"/>
      <c r="B178" s="181" t="s">
        <v>16</v>
      </c>
      <c r="C178" s="182">
        <f>IF(C20="PR",IF(C20="",0,1),0)</f>
        <v>0</v>
      </c>
      <c r="D178" s="182">
        <f t="shared" ref="D178:AG178" si="200">IF(D20="PR",IF(D20="",0,1),0)</f>
        <v>0</v>
      </c>
      <c r="E178" s="182">
        <f t="shared" si="200"/>
        <v>0</v>
      </c>
      <c r="F178" s="182">
        <f t="shared" si="200"/>
        <v>0</v>
      </c>
      <c r="G178" s="182">
        <f t="shared" si="200"/>
        <v>0</v>
      </c>
      <c r="H178" s="182">
        <f t="shared" si="200"/>
        <v>0</v>
      </c>
      <c r="I178" s="182">
        <f t="shared" si="200"/>
        <v>0</v>
      </c>
      <c r="J178" s="182">
        <f t="shared" si="200"/>
        <v>0</v>
      </c>
      <c r="K178" s="182">
        <f t="shared" si="200"/>
        <v>0</v>
      </c>
      <c r="L178" s="182">
        <f t="shared" si="200"/>
        <v>0</v>
      </c>
      <c r="M178" s="182">
        <f t="shared" si="200"/>
        <v>0</v>
      </c>
      <c r="N178" s="182">
        <f t="shared" si="200"/>
        <v>0</v>
      </c>
      <c r="O178" s="182">
        <f t="shared" si="200"/>
        <v>0</v>
      </c>
      <c r="P178" s="182">
        <f t="shared" si="200"/>
        <v>0</v>
      </c>
      <c r="Q178" s="182">
        <f t="shared" si="200"/>
        <v>0</v>
      </c>
      <c r="R178" s="182">
        <f t="shared" si="200"/>
        <v>0</v>
      </c>
      <c r="S178" s="182">
        <f t="shared" si="200"/>
        <v>0</v>
      </c>
      <c r="T178" s="182">
        <f t="shared" si="200"/>
        <v>0</v>
      </c>
      <c r="U178" s="182">
        <f t="shared" si="200"/>
        <v>0</v>
      </c>
      <c r="V178" s="182">
        <f t="shared" si="200"/>
        <v>0</v>
      </c>
      <c r="W178" s="182">
        <f t="shared" si="200"/>
        <v>0</v>
      </c>
      <c r="X178" s="182">
        <f t="shared" si="200"/>
        <v>0</v>
      </c>
      <c r="Y178" s="182">
        <f t="shared" si="200"/>
        <v>0</v>
      </c>
      <c r="Z178" s="182">
        <f t="shared" si="200"/>
        <v>0</v>
      </c>
      <c r="AA178" s="182">
        <f t="shared" si="200"/>
        <v>0</v>
      </c>
      <c r="AB178" s="182">
        <f t="shared" si="200"/>
        <v>0</v>
      </c>
      <c r="AC178" s="182">
        <f t="shared" si="200"/>
        <v>0</v>
      </c>
      <c r="AD178" s="182">
        <f t="shared" si="200"/>
        <v>0</v>
      </c>
      <c r="AE178" s="182">
        <f t="shared" si="200"/>
        <v>0</v>
      </c>
      <c r="AF178" s="182">
        <f t="shared" si="200"/>
        <v>0</v>
      </c>
      <c r="AG178" s="182">
        <f t="shared" si="200"/>
        <v>0</v>
      </c>
      <c r="AH178" s="227">
        <f>SUM(C178:AG178)</f>
        <v>0</v>
      </c>
      <c r="AI178" s="227"/>
      <c r="AJ178" s="174" t="s">
        <v>69</v>
      </c>
      <c r="AK178" s="133"/>
      <c r="AL178" s="133"/>
    </row>
    <row r="179" spans="1:38" ht="19.5" hidden="1" customHeight="1" x14ac:dyDescent="0.25">
      <c r="A179" s="116"/>
      <c r="B179" s="184"/>
      <c r="C179" s="185"/>
      <c r="D179" s="185"/>
      <c r="E179" s="185"/>
      <c r="F179" s="185"/>
      <c r="G179" s="186"/>
      <c r="H179" s="185"/>
      <c r="I179" s="185"/>
      <c r="J179" s="185"/>
      <c r="K179" s="185"/>
      <c r="L179" s="185"/>
      <c r="M179" s="185"/>
      <c r="N179" s="186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185"/>
      <c r="AF179" s="185"/>
      <c r="AG179" s="185"/>
      <c r="AH179" s="133"/>
      <c r="AI179" s="133"/>
      <c r="AJ179" s="133"/>
      <c r="AK179" s="133"/>
      <c r="AL179" s="133"/>
    </row>
    <row r="180" spans="1:38" ht="19.5" hidden="1" customHeight="1" x14ac:dyDescent="0.25">
      <c r="A180" s="116"/>
      <c r="B180" s="184"/>
      <c r="C180" s="185"/>
      <c r="D180" s="185"/>
      <c r="E180" s="185"/>
      <c r="F180" s="185"/>
      <c r="G180" s="186"/>
      <c r="H180" s="185"/>
      <c r="I180" s="185"/>
      <c r="J180" s="185"/>
      <c r="K180" s="185"/>
      <c r="L180" s="185"/>
      <c r="M180" s="185"/>
      <c r="N180" s="186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185"/>
      <c r="AF180" s="185"/>
      <c r="AG180" s="185"/>
      <c r="AH180" s="116"/>
      <c r="AI180" s="116"/>
      <c r="AJ180" s="116"/>
      <c r="AK180" s="116"/>
      <c r="AL180" s="116"/>
    </row>
    <row r="181" spans="1:38" ht="19.5" hidden="1" customHeight="1" x14ac:dyDescent="0.25">
      <c r="A181" s="116"/>
      <c r="B181" s="184"/>
      <c r="C181" s="185"/>
      <c r="D181" s="185"/>
      <c r="E181" s="185"/>
      <c r="F181" s="185"/>
      <c r="G181" s="186"/>
      <c r="H181" s="185"/>
      <c r="I181" s="185"/>
      <c r="J181" s="185"/>
      <c r="K181" s="185"/>
      <c r="L181" s="185"/>
      <c r="M181" s="185"/>
      <c r="N181" s="186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/>
      <c r="AH181" s="116"/>
      <c r="AI181" s="116"/>
      <c r="AJ181" s="116"/>
      <c r="AK181" s="116"/>
      <c r="AL181" s="116"/>
    </row>
    <row r="182" spans="1:38" ht="19.5" hidden="1" customHeight="1" x14ac:dyDescent="0.25">
      <c r="A182" s="116"/>
      <c r="B182" s="126"/>
      <c r="C182" s="116"/>
      <c r="D182" s="116"/>
      <c r="E182" s="116"/>
      <c r="F182" s="116"/>
      <c r="G182" s="114"/>
      <c r="H182" s="116"/>
      <c r="I182" s="116"/>
      <c r="J182" s="116"/>
      <c r="K182" s="116"/>
      <c r="L182" s="116"/>
      <c r="M182" s="116"/>
      <c r="N182" s="114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  <c r="AH182" s="116"/>
      <c r="AI182" s="116"/>
      <c r="AJ182" s="116"/>
      <c r="AK182" s="116"/>
      <c r="AL182" s="116"/>
    </row>
    <row r="183" spans="1:38" ht="19.5" hidden="1" customHeight="1" x14ac:dyDescent="0.25">
      <c r="A183" s="116"/>
      <c r="B183" s="126"/>
      <c r="C183" s="116"/>
      <c r="D183" s="116"/>
      <c r="E183" s="116"/>
      <c r="F183" s="116"/>
      <c r="G183" s="114"/>
      <c r="H183" s="116"/>
      <c r="I183" s="116"/>
      <c r="J183" s="116"/>
      <c r="K183" s="116"/>
      <c r="L183" s="116"/>
      <c r="M183" s="116"/>
      <c r="N183" s="114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  <c r="AI183" s="116"/>
      <c r="AJ183" s="116"/>
      <c r="AK183" s="116"/>
      <c r="AL183" s="116"/>
    </row>
    <row r="184" spans="1:38" ht="19.5" hidden="1" customHeight="1" x14ac:dyDescent="0.25">
      <c r="A184" s="116"/>
      <c r="B184" s="126"/>
      <c r="C184" s="116"/>
      <c r="D184" s="116"/>
      <c r="E184" s="116"/>
      <c r="F184" s="116"/>
      <c r="G184" s="114"/>
      <c r="H184" s="116"/>
      <c r="I184" s="116"/>
      <c r="J184" s="116"/>
      <c r="K184" s="116"/>
      <c r="L184" s="116"/>
      <c r="M184" s="116"/>
      <c r="N184" s="114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  <c r="AI184" s="116"/>
      <c r="AJ184" s="116"/>
      <c r="AK184" s="116"/>
      <c r="AL184" s="116"/>
    </row>
    <row r="185" spans="1:38" ht="19.5" hidden="1" customHeight="1" x14ac:dyDescent="0.25">
      <c r="A185" s="116"/>
      <c r="B185" s="116"/>
      <c r="C185" s="116"/>
      <c r="D185" s="116"/>
      <c r="E185" s="116"/>
      <c r="F185" s="116"/>
      <c r="G185" s="114"/>
      <c r="H185" s="116"/>
      <c r="I185" s="116"/>
      <c r="J185" s="116"/>
      <c r="K185" s="116"/>
      <c r="L185" s="116"/>
      <c r="M185" s="116"/>
      <c r="N185" s="114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  <c r="AI185" s="116"/>
      <c r="AJ185" s="116"/>
      <c r="AK185" s="116"/>
      <c r="AL185" s="116"/>
    </row>
    <row r="186" spans="1:38" ht="19.5" hidden="1" customHeight="1" x14ac:dyDescent="0.25">
      <c r="A186" s="116"/>
      <c r="B186" s="116"/>
      <c r="C186" s="228" t="s">
        <v>89</v>
      </c>
      <c r="D186" s="228"/>
      <c r="E186" s="228"/>
      <c r="F186" s="228"/>
      <c r="G186" s="228"/>
      <c r="H186" s="228"/>
      <c r="I186" s="228"/>
      <c r="J186" s="228"/>
      <c r="K186" s="228"/>
      <c r="L186" s="228"/>
      <c r="M186" s="116"/>
      <c r="N186" s="114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  <c r="AH186" s="116"/>
      <c r="AI186" s="116"/>
      <c r="AJ186" s="116"/>
      <c r="AK186" s="116"/>
      <c r="AL186" s="116"/>
    </row>
    <row r="187" spans="1:38" ht="19.5" hidden="1" customHeight="1" x14ac:dyDescent="0.25">
      <c r="A187" s="180"/>
      <c r="B187" s="181" t="s">
        <v>90</v>
      </c>
      <c r="C187" s="187">
        <f t="shared" ref="C187:AG187" si="201">IF(C49&gt;=4,IF(C49="",0,8),IF(C49&gt;=0.1,IF(C49="",0,C49),""))</f>
        <v>0</v>
      </c>
      <c r="D187" s="187">
        <f t="shared" si="201"/>
        <v>0</v>
      </c>
      <c r="E187" s="187">
        <f t="shared" si="201"/>
        <v>0</v>
      </c>
      <c r="F187" s="187">
        <f t="shared" si="201"/>
        <v>0</v>
      </c>
      <c r="G187" s="187">
        <f t="shared" si="201"/>
        <v>0</v>
      </c>
      <c r="H187" s="187">
        <f t="shared" si="201"/>
        <v>0</v>
      </c>
      <c r="I187" s="187">
        <f t="shared" si="201"/>
        <v>0</v>
      </c>
      <c r="J187" s="187">
        <f t="shared" si="201"/>
        <v>0</v>
      </c>
      <c r="K187" s="187">
        <f t="shared" si="201"/>
        <v>0</v>
      </c>
      <c r="L187" s="187">
        <f t="shared" si="201"/>
        <v>0</v>
      </c>
      <c r="M187" s="187">
        <f t="shared" si="201"/>
        <v>0</v>
      </c>
      <c r="N187" s="187">
        <f t="shared" si="201"/>
        <v>0</v>
      </c>
      <c r="O187" s="187">
        <f t="shared" si="201"/>
        <v>0</v>
      </c>
      <c r="P187" s="187">
        <f t="shared" si="201"/>
        <v>0</v>
      </c>
      <c r="Q187" s="187">
        <f t="shared" si="201"/>
        <v>0</v>
      </c>
      <c r="R187" s="187">
        <f t="shared" si="201"/>
        <v>0</v>
      </c>
      <c r="S187" s="187">
        <f t="shared" si="201"/>
        <v>0</v>
      </c>
      <c r="T187" s="187">
        <f t="shared" si="201"/>
        <v>0</v>
      </c>
      <c r="U187" s="187">
        <f t="shared" si="201"/>
        <v>0</v>
      </c>
      <c r="V187" s="187">
        <f t="shared" si="201"/>
        <v>0</v>
      </c>
      <c r="W187" s="187">
        <f t="shared" si="201"/>
        <v>0</v>
      </c>
      <c r="X187" s="187">
        <f t="shared" si="201"/>
        <v>0</v>
      </c>
      <c r="Y187" s="187">
        <f t="shared" si="201"/>
        <v>0</v>
      </c>
      <c r="Z187" s="187">
        <f t="shared" si="201"/>
        <v>0</v>
      </c>
      <c r="AA187" s="187">
        <f t="shared" si="201"/>
        <v>0</v>
      </c>
      <c r="AB187" s="187">
        <f t="shared" si="201"/>
        <v>0</v>
      </c>
      <c r="AC187" s="187">
        <f t="shared" si="201"/>
        <v>0</v>
      </c>
      <c r="AD187" s="187">
        <f t="shared" si="201"/>
        <v>0</v>
      </c>
      <c r="AE187" s="187">
        <f t="shared" si="201"/>
        <v>0</v>
      </c>
      <c r="AF187" s="187">
        <f t="shared" si="201"/>
        <v>0</v>
      </c>
      <c r="AG187" s="187">
        <f t="shared" si="201"/>
        <v>0</v>
      </c>
      <c r="AH187" s="188">
        <f t="shared" ref="AH187" si="202">SUM(C187:AG187)</f>
        <v>0</v>
      </c>
      <c r="AI187" s="116" t="s">
        <v>91</v>
      </c>
      <c r="AJ187" s="116"/>
      <c r="AK187" s="116"/>
      <c r="AL187" s="116"/>
    </row>
    <row r="188" spans="1:38" ht="19.5" hidden="1" customHeight="1" x14ac:dyDescent="0.25">
      <c r="A188" s="116"/>
      <c r="B188" s="181" t="s">
        <v>92</v>
      </c>
      <c r="C188" s="189">
        <v>1</v>
      </c>
      <c r="D188" s="189">
        <v>2</v>
      </c>
      <c r="E188" s="189">
        <v>3</v>
      </c>
      <c r="F188" s="189">
        <v>4</v>
      </c>
      <c r="G188" s="189">
        <v>5</v>
      </c>
      <c r="H188" s="189">
        <v>6</v>
      </c>
      <c r="I188" s="189">
        <v>7</v>
      </c>
      <c r="J188" s="189">
        <v>8</v>
      </c>
      <c r="K188" s="189">
        <v>9</v>
      </c>
      <c r="L188" s="189">
        <v>10</v>
      </c>
      <c r="M188" s="189">
        <v>11</v>
      </c>
      <c r="N188" s="189">
        <v>12</v>
      </c>
      <c r="O188" s="189">
        <v>13</v>
      </c>
      <c r="P188" s="189">
        <v>14</v>
      </c>
      <c r="Q188" s="189">
        <v>15</v>
      </c>
      <c r="R188" s="189">
        <v>16</v>
      </c>
      <c r="S188" s="189">
        <v>17</v>
      </c>
      <c r="T188" s="189">
        <v>18</v>
      </c>
      <c r="U188" s="189">
        <v>19</v>
      </c>
      <c r="V188" s="189">
        <v>20</v>
      </c>
      <c r="W188" s="189">
        <v>21</v>
      </c>
      <c r="X188" s="189">
        <v>22</v>
      </c>
      <c r="Y188" s="189">
        <v>23</v>
      </c>
      <c r="Z188" s="189">
        <v>24</v>
      </c>
      <c r="AA188" s="189">
        <v>25</v>
      </c>
      <c r="AB188" s="189">
        <v>26</v>
      </c>
      <c r="AC188" s="189">
        <v>27</v>
      </c>
      <c r="AD188" s="189">
        <v>28</v>
      </c>
      <c r="AE188" s="189">
        <v>29</v>
      </c>
      <c r="AF188" s="189">
        <v>30</v>
      </c>
      <c r="AG188" s="189">
        <v>31</v>
      </c>
      <c r="AH188" s="116"/>
      <c r="AI188" s="116"/>
      <c r="AJ188" s="116"/>
      <c r="AK188" s="116"/>
      <c r="AL188" s="116"/>
    </row>
    <row r="189" spans="1:38" ht="19.5" hidden="1" customHeight="1" x14ac:dyDescent="0.25">
      <c r="A189" s="116"/>
      <c r="B189" s="116"/>
      <c r="C189" s="116"/>
      <c r="D189" s="116"/>
      <c r="E189" s="116"/>
      <c r="F189" s="116"/>
      <c r="G189" s="114"/>
      <c r="H189" s="116"/>
      <c r="I189" s="116"/>
      <c r="J189" s="116"/>
      <c r="K189" s="116"/>
      <c r="L189" s="116"/>
      <c r="M189" s="116"/>
      <c r="N189" s="114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  <c r="AH189" s="116"/>
      <c r="AI189" s="116"/>
      <c r="AJ189" s="116"/>
      <c r="AK189" s="116"/>
      <c r="AL189" s="116"/>
    </row>
    <row r="190" spans="1:38" ht="19.5" hidden="1" customHeight="1" x14ac:dyDescent="0.25">
      <c r="A190" s="116"/>
      <c r="B190" s="116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  <c r="AB190" s="221"/>
      <c r="AC190" s="221"/>
      <c r="AD190" s="221"/>
      <c r="AE190" s="221"/>
      <c r="AF190" s="221"/>
      <c r="AG190" s="221"/>
      <c r="AH190" s="116"/>
      <c r="AI190" s="116"/>
      <c r="AJ190" s="116"/>
      <c r="AK190" s="116"/>
      <c r="AL190" s="116"/>
    </row>
    <row r="191" spans="1:38" ht="19.5" hidden="1" customHeight="1" x14ac:dyDescent="0.25">
      <c r="A191" s="116"/>
      <c r="B191" s="181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  <c r="AA191" s="190"/>
      <c r="AB191" s="190"/>
      <c r="AC191" s="190"/>
      <c r="AD191" s="190"/>
      <c r="AE191" s="190"/>
      <c r="AF191" s="190"/>
      <c r="AG191" s="190"/>
      <c r="AH191" s="116"/>
      <c r="AI191" s="116"/>
      <c r="AJ191" s="116"/>
      <c r="AK191" s="116"/>
      <c r="AL191" s="116"/>
    </row>
    <row r="192" spans="1:38" ht="19.5" hidden="1" customHeight="1" x14ac:dyDescent="0.25">
      <c r="A192" s="116"/>
      <c r="B192" s="191"/>
      <c r="C192" s="192"/>
      <c r="D192" s="192"/>
      <c r="E192" s="192"/>
      <c r="F192" s="192"/>
      <c r="G192" s="193"/>
      <c r="H192" s="192"/>
      <c r="I192" s="192"/>
      <c r="J192" s="192"/>
      <c r="K192" s="192"/>
      <c r="L192" s="192"/>
      <c r="M192" s="192"/>
      <c r="N192" s="193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  <c r="AA192" s="192"/>
      <c r="AB192" s="192"/>
      <c r="AC192" s="192"/>
      <c r="AD192" s="192"/>
      <c r="AE192" s="192"/>
      <c r="AF192" s="192"/>
      <c r="AG192" s="192"/>
      <c r="AH192" s="116"/>
      <c r="AI192" s="116"/>
      <c r="AJ192" s="116"/>
      <c r="AK192" s="116"/>
      <c r="AL192" s="116"/>
    </row>
    <row r="193" spans="1:38" ht="19.5" hidden="1" customHeight="1" x14ac:dyDescent="0.25">
      <c r="A193" s="116"/>
      <c r="B193" s="116"/>
      <c r="C193" s="116"/>
      <c r="D193" s="116"/>
      <c r="E193" s="116"/>
      <c r="F193" s="116"/>
      <c r="G193" s="114"/>
      <c r="H193" s="116"/>
      <c r="I193" s="116"/>
      <c r="J193" s="116"/>
      <c r="K193" s="116"/>
      <c r="L193" s="116"/>
      <c r="M193" s="116"/>
      <c r="N193" s="114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  <c r="AH193" s="116"/>
      <c r="AI193" s="116"/>
      <c r="AJ193" s="116"/>
      <c r="AK193" s="116"/>
      <c r="AL193" s="116"/>
    </row>
    <row r="194" spans="1:38" ht="19.5" hidden="1" customHeight="1" x14ac:dyDescent="0.25">
      <c r="A194" s="116"/>
      <c r="B194" s="116"/>
      <c r="C194" s="116"/>
      <c r="D194" s="116"/>
      <c r="E194" s="116"/>
      <c r="F194" s="116"/>
      <c r="G194" s="114"/>
      <c r="H194" s="116"/>
      <c r="I194" s="116"/>
      <c r="J194" s="116"/>
      <c r="K194" s="116"/>
      <c r="L194" s="116"/>
      <c r="M194" s="116"/>
      <c r="N194" s="114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  <c r="AK194" s="116"/>
      <c r="AL194" s="116"/>
    </row>
    <row r="195" spans="1:38" ht="19.5" hidden="1" customHeight="1" x14ac:dyDescent="0.25">
      <c r="A195" s="116"/>
      <c r="B195" s="116"/>
      <c r="C195" s="116"/>
      <c r="D195" s="116"/>
      <c r="E195" s="116"/>
      <c r="F195" s="116"/>
      <c r="G195" s="114"/>
      <c r="H195" s="116"/>
      <c r="I195" s="116"/>
      <c r="J195" s="116"/>
      <c r="K195" s="116"/>
      <c r="L195" s="116"/>
      <c r="M195" s="116"/>
      <c r="N195" s="114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  <c r="AJ195" s="116"/>
      <c r="AK195" s="116"/>
      <c r="AL195" s="116"/>
    </row>
    <row r="196" spans="1:38" ht="19.5" hidden="1" customHeight="1" x14ac:dyDescent="0.25">
      <c r="A196" s="116"/>
      <c r="B196" s="116"/>
      <c r="C196" s="116"/>
      <c r="D196" s="116"/>
      <c r="E196" s="116"/>
      <c r="F196" s="116"/>
      <c r="G196" s="114"/>
      <c r="H196" s="116"/>
      <c r="I196" s="116"/>
      <c r="J196" s="116"/>
      <c r="K196" s="116"/>
      <c r="L196" s="116"/>
      <c r="M196" s="116"/>
      <c r="N196" s="114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  <c r="AJ196" s="116"/>
      <c r="AK196" s="116"/>
      <c r="AL196" s="116"/>
    </row>
    <row r="197" spans="1:38" ht="19.5" hidden="1" customHeight="1" x14ac:dyDescent="0.25">
      <c r="A197" s="116"/>
      <c r="B197" s="116"/>
      <c r="C197" s="116"/>
      <c r="D197" s="116"/>
      <c r="E197" s="116"/>
      <c r="F197" s="116"/>
      <c r="G197" s="114"/>
      <c r="H197" s="116"/>
      <c r="I197" s="116"/>
      <c r="J197" s="116"/>
      <c r="K197" s="116"/>
      <c r="L197" s="116"/>
      <c r="M197" s="116"/>
      <c r="N197" s="114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  <c r="AI197" s="116"/>
      <c r="AJ197" s="116"/>
      <c r="AK197" s="116"/>
      <c r="AL197" s="116"/>
    </row>
    <row r="198" spans="1:38" ht="19.5" hidden="1" customHeight="1" x14ac:dyDescent="0.25">
      <c r="A198" s="116"/>
      <c r="B198" s="116"/>
      <c r="C198" s="116"/>
      <c r="D198" s="116"/>
      <c r="E198" s="116"/>
      <c r="F198" s="116"/>
      <c r="G198" s="114"/>
      <c r="H198" s="116"/>
      <c r="I198" s="116"/>
      <c r="J198" s="116"/>
      <c r="K198" s="116"/>
      <c r="L198" s="116"/>
      <c r="M198" s="116"/>
      <c r="N198" s="114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  <c r="AL198" s="116"/>
    </row>
    <row r="199" spans="1:38" ht="19.5" hidden="1" customHeight="1" x14ac:dyDescent="0.25">
      <c r="A199" s="116"/>
      <c r="B199" s="116"/>
      <c r="C199" s="116"/>
      <c r="D199" s="116"/>
      <c r="E199" s="116"/>
      <c r="F199" s="116"/>
      <c r="G199" s="114"/>
      <c r="H199" s="116"/>
      <c r="I199" s="116"/>
      <c r="J199" s="116"/>
      <c r="K199" s="116"/>
      <c r="L199" s="116"/>
      <c r="M199" s="116"/>
      <c r="N199" s="114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  <c r="AJ199" s="116"/>
      <c r="AK199" s="116"/>
      <c r="AL199" s="116"/>
    </row>
    <row r="200" spans="1:38" ht="19.5" hidden="1" customHeight="1" x14ac:dyDescent="0.25">
      <c r="A200" s="116"/>
      <c r="B200" s="116"/>
      <c r="C200" s="116"/>
      <c r="D200" s="116"/>
      <c r="E200" s="116"/>
      <c r="F200" s="116"/>
      <c r="G200" s="114"/>
      <c r="H200" s="116"/>
      <c r="I200" s="116"/>
      <c r="J200" s="116"/>
      <c r="K200" s="116"/>
      <c r="L200" s="116"/>
      <c r="M200" s="116"/>
      <c r="N200" s="114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  <c r="AI200" s="116"/>
      <c r="AJ200" s="116"/>
      <c r="AK200" s="116"/>
      <c r="AL200" s="116"/>
    </row>
    <row r="201" spans="1:38" ht="19.5" customHeight="1" x14ac:dyDescent="0.25">
      <c r="A201" s="116"/>
      <c r="B201" s="116"/>
      <c r="C201" s="116"/>
      <c r="D201" s="116"/>
      <c r="E201" s="116"/>
      <c r="F201" s="116"/>
      <c r="G201" s="114"/>
      <c r="H201" s="116"/>
      <c r="I201" s="116"/>
      <c r="J201" s="116"/>
      <c r="K201" s="116"/>
      <c r="L201" s="116"/>
      <c r="M201" s="116"/>
      <c r="N201" s="114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  <c r="AK201" s="116"/>
      <c r="AL201" s="116"/>
    </row>
    <row r="202" spans="1:38" ht="19.5" customHeight="1" x14ac:dyDescent="0.25"/>
    <row r="203" spans="1:38" ht="19.5" customHeight="1" x14ac:dyDescent="0.25"/>
    <row r="204" spans="1:38" ht="19.5" customHeight="1" x14ac:dyDescent="0.25"/>
    <row r="205" spans="1:38" ht="19.5" customHeight="1" x14ac:dyDescent="0.25"/>
    <row r="206" spans="1:38" ht="19.5" customHeight="1" x14ac:dyDescent="0.25"/>
  </sheetData>
  <sheetProtection algorithmName="SHA-512" hashValue="XtWgTXNPmriHxyArkhkai8wXbpenFlO40WtDP0Nu/AI3WMX5j4yt6whbnTVRCyG+9lmOrRSULdYh8sMWBIZA3g==" saltValue="S9GoNsQf8mEeDAzbTQXtEA==" spinCount="100000" sheet="1" objects="1" scenarios="1" formatCells="0"/>
  <mergeCells count="148">
    <mergeCell ref="A8:B8"/>
    <mergeCell ref="A9:B9"/>
    <mergeCell ref="A10:B10"/>
    <mergeCell ref="A11:B11"/>
    <mergeCell ref="A12:B12"/>
    <mergeCell ref="A13:B13"/>
    <mergeCell ref="A14:B14"/>
    <mergeCell ref="B3:J3"/>
    <mergeCell ref="B4:O4"/>
    <mergeCell ref="D24:E24"/>
    <mergeCell ref="G24:H24"/>
    <mergeCell ref="A15:B15"/>
    <mergeCell ref="A16:B16"/>
    <mergeCell ref="A17:B17"/>
    <mergeCell ref="A18:B18"/>
    <mergeCell ref="C23:H23"/>
    <mergeCell ref="A20:B20"/>
    <mergeCell ref="A19:B19"/>
    <mergeCell ref="R25:S25"/>
    <mergeCell ref="R26:S26"/>
    <mergeCell ref="U24:V24"/>
    <mergeCell ref="U25:V25"/>
    <mergeCell ref="J23:O23"/>
    <mergeCell ref="R24:S24"/>
    <mergeCell ref="Q23:AA23"/>
    <mergeCell ref="Z4:AB4"/>
    <mergeCell ref="BB31:BC31"/>
    <mergeCell ref="AR31:AZ31"/>
    <mergeCell ref="AE27:AF27"/>
    <mergeCell ref="K26:L26"/>
    <mergeCell ref="N26:O26"/>
    <mergeCell ref="U26:V26"/>
    <mergeCell ref="W24:X24"/>
    <mergeCell ref="W25:X25"/>
    <mergeCell ref="W26:X26"/>
    <mergeCell ref="Z24:AA24"/>
    <mergeCell ref="Z25:AA25"/>
    <mergeCell ref="Z26:AA26"/>
    <mergeCell ref="AC4:AH4"/>
    <mergeCell ref="Q4:X4"/>
    <mergeCell ref="A32:B32"/>
    <mergeCell ref="C32:N32"/>
    <mergeCell ref="S32:T32"/>
    <mergeCell ref="V32:W32"/>
    <mergeCell ref="D25:E25"/>
    <mergeCell ref="G25:H25"/>
    <mergeCell ref="AJ24:AL24"/>
    <mergeCell ref="AJ25:AL25"/>
    <mergeCell ref="K24:L24"/>
    <mergeCell ref="K25:L25"/>
    <mergeCell ref="N24:O24"/>
    <mergeCell ref="N25:O25"/>
    <mergeCell ref="AD32:AG32"/>
    <mergeCell ref="C29:AJ29"/>
    <mergeCell ref="A31:N31"/>
    <mergeCell ref="R31:W31"/>
    <mergeCell ref="AD31:AI31"/>
    <mergeCell ref="D26:E26"/>
    <mergeCell ref="G26:H26"/>
    <mergeCell ref="AI32:AJ32"/>
    <mergeCell ref="AJ26:AL26"/>
    <mergeCell ref="AH24:AI24"/>
    <mergeCell ref="AH25:AI25"/>
    <mergeCell ref="AH26:AI26"/>
    <mergeCell ref="A35:B35"/>
    <mergeCell ref="C35:N35"/>
    <mergeCell ref="S35:T35"/>
    <mergeCell ref="V35:W35"/>
    <mergeCell ref="A36:B36"/>
    <mergeCell ref="C36:N36"/>
    <mergeCell ref="S36:T36"/>
    <mergeCell ref="V36:W36"/>
    <mergeCell ref="A33:B33"/>
    <mergeCell ref="C33:N33"/>
    <mergeCell ref="S33:T33"/>
    <mergeCell ref="V33:W33"/>
    <mergeCell ref="A34:B34"/>
    <mergeCell ref="C34:N34"/>
    <mergeCell ref="S34:T34"/>
    <mergeCell ref="V34:W34"/>
    <mergeCell ref="C43:D43"/>
    <mergeCell ref="E43:AI43"/>
    <mergeCell ref="AI45:AJ45"/>
    <mergeCell ref="AI46:AJ46"/>
    <mergeCell ref="AI47:AJ47"/>
    <mergeCell ref="AN47:AO47"/>
    <mergeCell ref="A37:B37"/>
    <mergeCell ref="C37:N37"/>
    <mergeCell ref="S37:T37"/>
    <mergeCell ref="V37:W37"/>
    <mergeCell ref="A38:B38"/>
    <mergeCell ref="C38:N38"/>
    <mergeCell ref="S38:T38"/>
    <mergeCell ref="V38:W38"/>
    <mergeCell ref="AH83:AI83"/>
    <mergeCell ref="AH84:AI84"/>
    <mergeCell ref="AH90:AI90"/>
    <mergeCell ref="AH94:AI94"/>
    <mergeCell ref="AH95:AI95"/>
    <mergeCell ref="AH101:AI101"/>
    <mergeCell ref="AN49:AO49"/>
    <mergeCell ref="AH50:AI50"/>
    <mergeCell ref="AH51:AI51"/>
    <mergeCell ref="AH57:AI57"/>
    <mergeCell ref="AH149:AI149"/>
    <mergeCell ref="AJ149:AK149"/>
    <mergeCell ref="AH160:AI160"/>
    <mergeCell ref="AJ160:AK160"/>
    <mergeCell ref="AH161:AI161"/>
    <mergeCell ref="AH167:AI167"/>
    <mergeCell ref="AJ105:AK105"/>
    <mergeCell ref="AH106:AI106"/>
    <mergeCell ref="AH112:AI112"/>
    <mergeCell ref="AH116:AI116"/>
    <mergeCell ref="AJ116:AK116"/>
    <mergeCell ref="AH117:AI117"/>
    <mergeCell ref="AH123:AI123"/>
    <mergeCell ref="AH127:AI127"/>
    <mergeCell ref="AJ127:AK127"/>
    <mergeCell ref="AH128:AI128"/>
    <mergeCell ref="AH134:AI134"/>
    <mergeCell ref="AJ138:AK138"/>
    <mergeCell ref="AH139:AI139"/>
    <mergeCell ref="AH145:AI145"/>
    <mergeCell ref="C190:AG190"/>
    <mergeCell ref="S39:T39"/>
    <mergeCell ref="V39:W39"/>
    <mergeCell ref="S40:T40"/>
    <mergeCell ref="V40:W40"/>
    <mergeCell ref="C42:V42"/>
    <mergeCell ref="W42:AH42"/>
    <mergeCell ref="AH150:AI150"/>
    <mergeCell ref="AH156:AI156"/>
    <mergeCell ref="C186:L186"/>
    <mergeCell ref="AH138:AI138"/>
    <mergeCell ref="AH171:AI171"/>
    <mergeCell ref="AH105:AI105"/>
    <mergeCell ref="AH61:AI61"/>
    <mergeCell ref="AH62:AI62"/>
    <mergeCell ref="AH68:AI68"/>
    <mergeCell ref="AH72:AI72"/>
    <mergeCell ref="AH73:AI73"/>
    <mergeCell ref="AH79:AI79"/>
    <mergeCell ref="AI48:AJ48"/>
    <mergeCell ref="AI49:AJ49"/>
    <mergeCell ref="AJ171:AK171"/>
    <mergeCell ref="AH172:AI172"/>
    <mergeCell ref="AH178:AI178"/>
  </mergeCells>
  <conditionalFormatting sqref="C7:AG8 D9 F9:AG9 C9:C10 E9:E10">
    <cfRule type="expression" dxfId="12" priority="3" stopIfTrue="1">
      <formula>C$46=1</formula>
    </cfRule>
  </conditionalFormatting>
  <conditionalFormatting sqref="C10:AG20">
    <cfRule type="expression" dxfId="11" priority="1" stopIfTrue="1">
      <formula>C$46=1</formula>
    </cfRule>
  </conditionalFormatting>
  <hyperlinks>
    <hyperlink ref="C42" r:id="rId1" xr:uid="{00000000-0004-0000-0000-000000000000}"/>
  </hyperlinks>
  <printOptions horizontalCentered="1"/>
  <pageMargins left="7.874015748031496E-2" right="7.874015748031496E-2" top="0.31496062992125984" bottom="0" header="0.51181102362204722" footer="0.51181102362204722"/>
  <pageSetup paperSize="9" scale="97" orientation="landscape" useFirstPageNumber="1" r:id="rId2"/>
  <headerFooter alignWithMargins="0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I201"/>
  <sheetViews>
    <sheetView showGridLines="0" showRowColHeaders="0" topLeftCell="A5" zoomScale="130" zoomScaleNormal="130" zoomScaleSheetLayoutView="75" workbookViewId="0">
      <selection activeCell="D17" sqref="D17"/>
    </sheetView>
  </sheetViews>
  <sheetFormatPr baseColWidth="10" defaultColWidth="11.140625" defaultRowHeight="20.25" customHeight="1" x14ac:dyDescent="0.25"/>
  <cols>
    <col min="1" max="2" width="9.7109375" style="1" customWidth="1"/>
    <col min="3" max="6" width="3.28515625" style="1" customWidth="1"/>
    <col min="7" max="7" width="3.28515625" style="2" customWidth="1"/>
    <col min="8" max="13" width="3.28515625" style="1" customWidth="1"/>
    <col min="14" max="14" width="3.28515625" style="2" customWidth="1"/>
    <col min="15" max="33" width="3.28515625" style="1" customWidth="1"/>
    <col min="34" max="34" width="7.7109375" style="1" customWidth="1"/>
    <col min="35" max="38" width="4.7109375" style="1" customWidth="1"/>
    <col min="39" max="59" width="6.7109375" style="1" hidden="1" customWidth="1"/>
    <col min="60" max="83" width="4.7109375" style="1" hidden="1" customWidth="1"/>
    <col min="84" max="95" width="0" style="1" hidden="1" customWidth="1"/>
    <col min="96" max="16384" width="11.140625" style="1"/>
  </cols>
  <sheetData>
    <row r="1" spans="1:84" s="2" customFormat="1" ht="19.5" customHeight="1" x14ac:dyDescent="0.35">
      <c r="B1" s="3"/>
      <c r="M1" s="4"/>
      <c r="U1" s="5"/>
      <c r="V1" s="6"/>
      <c r="Z1" s="7"/>
      <c r="AA1" s="7"/>
      <c r="AB1" s="7"/>
      <c r="AC1" s="7"/>
      <c r="AD1" s="7"/>
      <c r="AE1" s="7"/>
      <c r="AF1" s="7"/>
      <c r="AG1" s="1"/>
      <c r="AH1" s="1"/>
      <c r="AI1" s="1"/>
      <c r="AJ1" s="1"/>
    </row>
    <row r="2" spans="1:84" s="2" customFormat="1" ht="19.5" customHeight="1" x14ac:dyDescent="0.35">
      <c r="B2" s="3"/>
      <c r="M2" s="4"/>
      <c r="U2" s="5"/>
      <c r="V2" s="6"/>
      <c r="Z2" s="7"/>
      <c r="AA2" s="7"/>
      <c r="AB2" s="7"/>
      <c r="AC2" s="7"/>
      <c r="AD2" s="7"/>
      <c r="AE2" s="7"/>
      <c r="AF2" s="7"/>
      <c r="AG2" s="1"/>
      <c r="AH2" s="1"/>
      <c r="AI2" s="1"/>
      <c r="AJ2" s="1"/>
    </row>
    <row r="3" spans="1:84" s="2" customFormat="1" ht="19.5" customHeight="1" x14ac:dyDescent="0.35">
      <c r="B3" s="271" t="str">
        <f t="shared" ref="B3:B4" si="0">C32</f>
        <v>EMPRESA</v>
      </c>
      <c r="C3" s="271"/>
      <c r="D3" s="271"/>
      <c r="E3" s="271"/>
      <c r="F3" s="271"/>
      <c r="G3" s="271"/>
      <c r="H3" s="271"/>
      <c r="I3" s="271"/>
      <c r="J3" s="271"/>
      <c r="M3" s="4"/>
      <c r="U3" s="5"/>
      <c r="V3" s="6"/>
      <c r="Z3" s="7"/>
      <c r="AA3" s="7"/>
      <c r="AB3" s="7"/>
      <c r="AC3" s="7"/>
      <c r="AD3" s="7"/>
      <c r="AE3" s="7"/>
      <c r="AF3" s="7"/>
      <c r="AG3" s="1"/>
      <c r="AH3" s="1"/>
      <c r="AI3" s="1"/>
      <c r="AJ3" s="1"/>
    </row>
    <row r="4" spans="1:84" s="9" customFormat="1" ht="17.25" customHeight="1" x14ac:dyDescent="0.25">
      <c r="A4" s="8"/>
      <c r="B4" s="272" t="str">
        <f t="shared" si="0"/>
        <v>CENTRO</v>
      </c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1"/>
      <c r="Q4" s="232">
        <f>DATE($C$34,$C$35,1)</f>
        <v>46054</v>
      </c>
      <c r="R4" s="232"/>
      <c r="S4" s="232"/>
      <c r="T4" s="232"/>
      <c r="U4" s="232"/>
      <c r="V4" s="232"/>
      <c r="W4" s="232"/>
      <c r="X4" s="232"/>
      <c r="Y4" s="1"/>
      <c r="Z4" s="259">
        <f>SUM(AH51+AH62+AH73+AH84+AH95+AH106+AH117+AH128+AH139+AH150+AH161+AH172)</f>
        <v>1008</v>
      </c>
      <c r="AA4" s="259"/>
      <c r="AB4" s="259"/>
      <c r="AC4" s="267" t="s">
        <v>0</v>
      </c>
      <c r="AD4" s="267"/>
      <c r="AE4" s="267"/>
      <c r="AF4" s="267"/>
      <c r="AG4" s="267"/>
      <c r="AH4" s="267"/>
      <c r="AI4" s="1"/>
      <c r="AJ4" s="1"/>
    </row>
    <row r="5" spans="1:84" s="2" customFormat="1" ht="17.25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/>
      <c r="AD5" s="12"/>
      <c r="AE5" s="12">
        <f>IF(CA59=28,IF(CA59="",0,1),IF(CA59=1,IF(CA59="",0,1),""))</f>
        <v>1</v>
      </c>
      <c r="AF5" s="12" t="str">
        <f>IF(CA59=29,IF(CA59="",0,1),IF(CA59=1,IF(CA59="",0,1),""))</f>
        <v/>
      </c>
      <c r="AG5" s="12" t="str">
        <f>IF(CA59=30,IF(CA59="",0,1),IF(CA59=1,IF(CA59="",0,1),""))</f>
        <v/>
      </c>
      <c r="AH5" s="12" t="str">
        <f>IF(CA59=31,IF(CA59="",0,1),IF(CA59=1,IF(CA59="",0,1),""))</f>
        <v/>
      </c>
      <c r="AI5" s="1"/>
      <c r="AJ5" s="1"/>
    </row>
    <row r="6" spans="1:84" s="13" customFormat="1" ht="17.25" customHeight="1" x14ac:dyDescent="0.25">
      <c r="B6" s="14" t="s">
        <v>1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"/>
      <c r="AJ6" s="1"/>
    </row>
    <row r="7" spans="1:84" s="11" customFormat="1" ht="19.5" customHeight="1" x14ac:dyDescent="0.25">
      <c r="A7" s="16"/>
      <c r="B7" s="17" t="s">
        <v>2</v>
      </c>
      <c r="C7" s="18" t="str">
        <f>IF(AV47="LUNES","lu",IF(AV47="MARTES","ma",IF(AV47="MIERCOLES","mi",IF(AV47="JUEVES","ju",IF(AV47="VIERNES","vi",IF(AV47="SABADO","S",IF(AV47="DOMINGO","D","")))))))</f>
        <v>D</v>
      </c>
      <c r="D7" s="18" t="str">
        <f t="shared" ref="D7:AD7" si="1">IF(C7="lu","ma",IF(C7="ma","mi",IF(C7="mi","ju",IF(C7="ju","vi",IF(C7="vi","S",IF(C7="S","D",IF(C7="D","lu","")))))))</f>
        <v>lu</v>
      </c>
      <c r="E7" s="18" t="str">
        <f t="shared" si="1"/>
        <v>ma</v>
      </c>
      <c r="F7" s="18" t="str">
        <f t="shared" si="1"/>
        <v>mi</v>
      </c>
      <c r="G7" s="18" t="str">
        <f t="shared" si="1"/>
        <v>ju</v>
      </c>
      <c r="H7" s="18" t="str">
        <f t="shared" si="1"/>
        <v>vi</v>
      </c>
      <c r="I7" s="18" t="str">
        <f t="shared" si="1"/>
        <v>S</v>
      </c>
      <c r="J7" s="18" t="str">
        <f t="shared" si="1"/>
        <v>D</v>
      </c>
      <c r="K7" s="18" t="str">
        <f t="shared" si="1"/>
        <v>lu</v>
      </c>
      <c r="L7" s="18" t="str">
        <f t="shared" si="1"/>
        <v>ma</v>
      </c>
      <c r="M7" s="18" t="str">
        <f t="shared" si="1"/>
        <v>mi</v>
      </c>
      <c r="N7" s="18" t="str">
        <f t="shared" si="1"/>
        <v>ju</v>
      </c>
      <c r="O7" s="18" t="str">
        <f t="shared" si="1"/>
        <v>vi</v>
      </c>
      <c r="P7" s="18" t="str">
        <f t="shared" si="1"/>
        <v>S</v>
      </c>
      <c r="Q7" s="18" t="str">
        <f t="shared" si="1"/>
        <v>D</v>
      </c>
      <c r="R7" s="18" t="str">
        <f t="shared" si="1"/>
        <v>lu</v>
      </c>
      <c r="S7" s="18" t="str">
        <f t="shared" si="1"/>
        <v>ma</v>
      </c>
      <c r="T7" s="18" t="str">
        <f t="shared" si="1"/>
        <v>mi</v>
      </c>
      <c r="U7" s="18" t="str">
        <f t="shared" si="1"/>
        <v>ju</v>
      </c>
      <c r="V7" s="18" t="str">
        <f t="shared" si="1"/>
        <v>vi</v>
      </c>
      <c r="W7" s="18" t="str">
        <f t="shared" si="1"/>
        <v>S</v>
      </c>
      <c r="X7" s="18" t="str">
        <f t="shared" si="1"/>
        <v>D</v>
      </c>
      <c r="Y7" s="18" t="str">
        <f t="shared" si="1"/>
        <v>lu</v>
      </c>
      <c r="Z7" s="18" t="str">
        <f t="shared" si="1"/>
        <v>ma</v>
      </c>
      <c r="AA7" s="18" t="str">
        <f t="shared" si="1"/>
        <v>mi</v>
      </c>
      <c r="AB7" s="18" t="str">
        <f t="shared" si="1"/>
        <v>ju</v>
      </c>
      <c r="AC7" s="18" t="str">
        <f t="shared" si="1"/>
        <v>vi</v>
      </c>
      <c r="AD7" s="18" t="str">
        <f t="shared" si="1"/>
        <v>S</v>
      </c>
      <c r="AE7" s="18" t="str">
        <f>IF(AE8="","",IF(AD7="lu","ma",IF(AD7="ma","mi",IF(AD7="mi","ju",IF(AD7="ju","vi",IF(AD7="vi","S",IF(AD7="S","D",IF(AD7="D","lu",""))))))))</f>
        <v/>
      </c>
      <c r="AF7" s="18" t="str">
        <f>IF(AF8="","",IF(AE7="lu","ma",IF(AE7="ma","mi",IF(AE7="mi","ju",IF(AE7="ju","vi",IF(AE7="vi","S",IF(AE7="S","D",IF(AE7="D","lu",""))))))))</f>
        <v/>
      </c>
      <c r="AG7" s="18" t="str">
        <f>IF(AG8="","",IF(AF7="lu","ma",IF(AF7="ma","mi",IF(AF7="mi","ju",IF(AF7="ju","vi",IF(AF7="vi","S",IF(AF7="S","D",IF(AF7="D","lu",""))))))))</f>
        <v/>
      </c>
      <c r="AH7" s="16"/>
    </row>
    <row r="8" spans="1:84" s="22" customFormat="1" ht="19.5" customHeight="1" x14ac:dyDescent="0.2">
      <c r="A8" s="270" t="s">
        <v>3</v>
      </c>
      <c r="B8" s="270"/>
      <c r="C8" s="18">
        <v>1</v>
      </c>
      <c r="D8" s="18">
        <v>2</v>
      </c>
      <c r="E8" s="18">
        <v>3</v>
      </c>
      <c r="F8" s="18">
        <v>4</v>
      </c>
      <c r="G8" s="18">
        <v>5</v>
      </c>
      <c r="H8" s="18">
        <v>6</v>
      </c>
      <c r="I8" s="18">
        <v>7</v>
      </c>
      <c r="J8" s="18">
        <v>8</v>
      </c>
      <c r="K8" s="18">
        <v>9</v>
      </c>
      <c r="L8" s="18">
        <v>10</v>
      </c>
      <c r="M8" s="18">
        <v>11</v>
      </c>
      <c r="N8" s="18">
        <v>12</v>
      </c>
      <c r="O8" s="18">
        <v>13</v>
      </c>
      <c r="P8" s="18">
        <v>14</v>
      </c>
      <c r="Q8" s="18">
        <v>15</v>
      </c>
      <c r="R8" s="18">
        <v>16</v>
      </c>
      <c r="S8" s="18">
        <v>17</v>
      </c>
      <c r="T8" s="18">
        <v>18</v>
      </c>
      <c r="U8" s="18">
        <v>19</v>
      </c>
      <c r="V8" s="18">
        <v>20</v>
      </c>
      <c r="W8" s="18">
        <v>21</v>
      </c>
      <c r="X8" s="18">
        <v>22</v>
      </c>
      <c r="Y8" s="18">
        <v>23</v>
      </c>
      <c r="Z8" s="18">
        <v>24</v>
      </c>
      <c r="AA8" s="18">
        <v>25</v>
      </c>
      <c r="AB8" s="18">
        <v>26</v>
      </c>
      <c r="AC8" s="18">
        <v>27</v>
      </c>
      <c r="AD8" s="18">
        <v>28</v>
      </c>
      <c r="AE8" s="18" t="str">
        <f>IF(CA59=28,"",IF(CA59=29,29,IF(CA59=30,29,IF(CA59=31,29,""))))</f>
        <v/>
      </c>
      <c r="AF8" s="18" t="str">
        <f>IF(CA59=28,"",IF(CA59=29,"",IF(CA59=30,30,IF(CA59=31,30,""))))</f>
        <v/>
      </c>
      <c r="AG8" s="18" t="str">
        <f>IF(CA59=28,"",IF(CA59=29,"",IF(CA59=30,"",IF(CA59=31,31,""))))</f>
        <v/>
      </c>
      <c r="AH8" s="19" t="s">
        <v>60</v>
      </c>
      <c r="AI8" s="20" t="s">
        <v>4</v>
      </c>
      <c r="AJ8" s="20" t="s">
        <v>5</v>
      </c>
      <c r="AK8" s="21" t="s">
        <v>6</v>
      </c>
      <c r="AL8" s="21" t="s">
        <v>7</v>
      </c>
    </row>
    <row r="9" spans="1:84" s="2" customFormat="1" ht="20.100000000000001" customHeight="1" x14ac:dyDescent="0.25">
      <c r="A9" s="268" t="s">
        <v>155</v>
      </c>
      <c r="B9" s="268"/>
      <c r="C9" s="23" t="s">
        <v>152</v>
      </c>
      <c r="D9" s="23"/>
      <c r="E9" s="23"/>
      <c r="F9" s="23"/>
      <c r="G9" s="23" t="s">
        <v>153</v>
      </c>
      <c r="H9" s="23" t="s">
        <v>153</v>
      </c>
      <c r="I9" s="23" t="s">
        <v>153</v>
      </c>
      <c r="J9" s="23" t="s">
        <v>153</v>
      </c>
      <c r="K9" s="23"/>
      <c r="L9" s="23"/>
      <c r="M9" s="23" t="s">
        <v>153</v>
      </c>
      <c r="N9" s="23" t="s">
        <v>153</v>
      </c>
      <c r="O9" s="23"/>
      <c r="P9" s="23"/>
      <c r="Q9" s="23"/>
      <c r="R9" s="23" t="s">
        <v>153</v>
      </c>
      <c r="S9" s="23" t="s">
        <v>153</v>
      </c>
      <c r="T9" s="24"/>
      <c r="U9" s="23"/>
      <c r="V9" s="23" t="s">
        <v>153</v>
      </c>
      <c r="W9" s="23" t="s">
        <v>153</v>
      </c>
      <c r="X9" s="23" t="s">
        <v>153</v>
      </c>
      <c r="Y9" s="23"/>
      <c r="Z9" s="23"/>
      <c r="AA9" s="23" t="s">
        <v>153</v>
      </c>
      <c r="AB9" s="23" t="s">
        <v>153</v>
      </c>
      <c r="AC9" s="23"/>
      <c r="AD9" s="23"/>
      <c r="AE9" s="23"/>
      <c r="AF9" s="23"/>
      <c r="AG9" s="23"/>
      <c r="AH9" s="83">
        <f>SUM(AH50:AH51)</f>
        <v>168</v>
      </c>
      <c r="AI9" s="84">
        <f>AH9-C37</f>
        <v>6</v>
      </c>
      <c r="AJ9" s="84">
        <f>SUM(C55:AG55)</f>
        <v>54</v>
      </c>
      <c r="AK9" s="84">
        <f>AK32</f>
        <v>112</v>
      </c>
      <c r="AL9" s="18">
        <f>SUM(C56:AG56)</f>
        <v>0</v>
      </c>
      <c r="CB9" s="25">
        <f>ROUNDDOWN(AH9,0)</f>
        <v>168</v>
      </c>
      <c r="CC9" s="26">
        <f>AH9-INT(AH9)</f>
        <v>0</v>
      </c>
      <c r="CD9" s="27">
        <f>CC9/24</f>
        <v>0</v>
      </c>
      <c r="CE9"/>
      <c r="CF9"/>
    </row>
    <row r="10" spans="1:84" s="2" customFormat="1" ht="20.100000000000001" customHeight="1" x14ac:dyDescent="0.25">
      <c r="A10" s="268" t="s">
        <v>156</v>
      </c>
      <c r="B10" s="268"/>
      <c r="C10" s="23"/>
      <c r="D10" s="23" t="s">
        <v>153</v>
      </c>
      <c r="E10" s="23" t="s">
        <v>153</v>
      </c>
      <c r="F10" s="23" t="s">
        <v>153</v>
      </c>
      <c r="G10" s="23"/>
      <c r="H10" s="23"/>
      <c r="I10" s="23"/>
      <c r="J10" s="23"/>
      <c r="K10" s="23" t="s">
        <v>153</v>
      </c>
      <c r="L10" s="23" t="s">
        <v>153</v>
      </c>
      <c r="M10" s="23"/>
      <c r="N10" s="23"/>
      <c r="O10" s="23" t="s">
        <v>153</v>
      </c>
      <c r="P10" s="23" t="s">
        <v>153</v>
      </c>
      <c r="Q10" s="23" t="s">
        <v>153</v>
      </c>
      <c r="R10" s="23"/>
      <c r="S10" s="23"/>
      <c r="T10" s="23" t="s">
        <v>153</v>
      </c>
      <c r="U10" s="23" t="s">
        <v>153</v>
      </c>
      <c r="V10" s="23"/>
      <c r="W10" s="23"/>
      <c r="X10" s="23"/>
      <c r="Y10" s="23" t="s">
        <v>153</v>
      </c>
      <c r="Z10" s="23" t="s">
        <v>153</v>
      </c>
      <c r="AA10" s="23"/>
      <c r="AB10" s="23"/>
      <c r="AC10" s="23" t="s">
        <v>153</v>
      </c>
      <c r="AD10" s="23" t="s">
        <v>153</v>
      </c>
      <c r="AE10" s="23"/>
      <c r="AF10" s="23"/>
      <c r="AG10" s="23"/>
      <c r="AH10" s="83">
        <f>SUM(AH61:AH62)</f>
        <v>168</v>
      </c>
      <c r="AI10" s="84">
        <f>AH10-C37</f>
        <v>6</v>
      </c>
      <c r="AJ10" s="84">
        <f>SUM(C66:AG66)</f>
        <v>36</v>
      </c>
      <c r="AK10" s="84">
        <f t="shared" ref="AK10:AK20" si="2">AK33</f>
        <v>112</v>
      </c>
      <c r="AL10" s="18">
        <f>SUM(C67:AG67)</f>
        <v>0</v>
      </c>
      <c r="CF10"/>
    </row>
    <row r="11" spans="1:84" s="2" customFormat="1" ht="20.100000000000001" customHeight="1" x14ac:dyDescent="0.25">
      <c r="A11" s="268" t="s">
        <v>157</v>
      </c>
      <c r="B11" s="268"/>
      <c r="C11" s="23" t="s">
        <v>91</v>
      </c>
      <c r="D11" s="23" t="s">
        <v>91</v>
      </c>
      <c r="E11" s="23" t="s">
        <v>91</v>
      </c>
      <c r="F11" s="23" t="s">
        <v>91</v>
      </c>
      <c r="G11" s="23" t="s">
        <v>91</v>
      </c>
      <c r="H11" s="23" t="s">
        <v>91</v>
      </c>
      <c r="I11" s="23" t="s">
        <v>91</v>
      </c>
      <c r="J11" s="23" t="s">
        <v>91</v>
      </c>
      <c r="K11" s="23" t="s">
        <v>91</v>
      </c>
      <c r="L11" s="23" t="s">
        <v>91</v>
      </c>
      <c r="M11" s="23" t="s">
        <v>91</v>
      </c>
      <c r="N11" s="23" t="s">
        <v>91</v>
      </c>
      <c r="O11" s="23" t="s">
        <v>91</v>
      </c>
      <c r="P11" s="23" t="s">
        <v>91</v>
      </c>
      <c r="Q11" s="23" t="s">
        <v>91</v>
      </c>
      <c r="R11" s="23" t="s">
        <v>91</v>
      </c>
      <c r="S11" s="23" t="s">
        <v>91</v>
      </c>
      <c r="T11" s="23" t="s">
        <v>91</v>
      </c>
      <c r="U11" s="23" t="s">
        <v>91</v>
      </c>
      <c r="V11" s="23" t="s">
        <v>91</v>
      </c>
      <c r="W11" s="23" t="s">
        <v>91</v>
      </c>
      <c r="X11" s="23" t="s">
        <v>91</v>
      </c>
      <c r="Y11" s="23" t="s">
        <v>91</v>
      </c>
      <c r="Z11" s="23" t="s">
        <v>91</v>
      </c>
      <c r="AA11" s="23" t="s">
        <v>91</v>
      </c>
      <c r="AB11" s="23" t="s">
        <v>91</v>
      </c>
      <c r="AC11" s="23" t="s">
        <v>91</v>
      </c>
      <c r="AD11" s="23" t="s">
        <v>91</v>
      </c>
      <c r="AE11" s="23"/>
      <c r="AF11" s="23"/>
      <c r="AG11" s="23"/>
      <c r="AH11" s="83">
        <f>SUM(AH72:AH73)</f>
        <v>0</v>
      </c>
      <c r="AI11" s="84">
        <f>AH11-C37</f>
        <v>-162</v>
      </c>
      <c r="AJ11" s="84">
        <f>SUM(C77:AG77)</f>
        <v>0</v>
      </c>
      <c r="AK11" s="84">
        <f t="shared" si="2"/>
        <v>0</v>
      </c>
      <c r="AL11" s="18">
        <f>SUM(C78:AG78)</f>
        <v>0</v>
      </c>
      <c r="CF11"/>
    </row>
    <row r="12" spans="1:84" s="2" customFormat="1" ht="20.100000000000001" customHeight="1" x14ac:dyDescent="0.25">
      <c r="A12" s="268" t="s">
        <v>169</v>
      </c>
      <c r="B12" s="268"/>
      <c r="C12" s="23"/>
      <c r="D12" s="23" t="s">
        <v>151</v>
      </c>
      <c r="E12" s="23" t="s">
        <v>151</v>
      </c>
      <c r="F12" s="23"/>
      <c r="G12" s="23"/>
      <c r="H12" s="23" t="s">
        <v>151</v>
      </c>
      <c r="I12" s="23" t="s">
        <v>151</v>
      </c>
      <c r="J12" s="23" t="s">
        <v>151</v>
      </c>
      <c r="K12" s="23"/>
      <c r="L12" s="23"/>
      <c r="M12" s="23" t="s">
        <v>151</v>
      </c>
      <c r="N12" s="23" t="s">
        <v>151</v>
      </c>
      <c r="O12" s="23"/>
      <c r="P12" s="23"/>
      <c r="Q12" s="23"/>
      <c r="R12" s="23" t="s">
        <v>151</v>
      </c>
      <c r="S12" s="23" t="s">
        <v>151</v>
      </c>
      <c r="T12" s="23"/>
      <c r="U12" s="23"/>
      <c r="V12" s="23" t="s">
        <v>151</v>
      </c>
      <c r="W12" s="23" t="s">
        <v>151</v>
      </c>
      <c r="X12" s="23" t="s">
        <v>151</v>
      </c>
      <c r="Y12" s="23"/>
      <c r="Z12" s="23"/>
      <c r="AA12" s="23" t="s">
        <v>151</v>
      </c>
      <c r="AB12" s="23" t="s">
        <v>151</v>
      </c>
      <c r="AC12" s="23"/>
      <c r="AD12" s="23"/>
      <c r="AE12" s="23"/>
      <c r="AF12" s="23"/>
      <c r="AG12" s="23"/>
      <c r="AH12" s="83">
        <f>SUM(AH83:AH84)</f>
        <v>167.99999999999997</v>
      </c>
      <c r="AI12" s="84">
        <f>AH12-C37</f>
        <v>5.9999999999999716</v>
      </c>
      <c r="AJ12" s="84">
        <f>SUM(C88:AG88)</f>
        <v>47.999999999999993</v>
      </c>
      <c r="AK12" s="84">
        <f t="shared" si="2"/>
        <v>0</v>
      </c>
      <c r="AL12" s="18">
        <f>SUM(C89:AG89)</f>
        <v>0</v>
      </c>
      <c r="CF12"/>
    </row>
    <row r="13" spans="1:84" s="2" customFormat="1" ht="20.100000000000001" customHeight="1" x14ac:dyDescent="0.25">
      <c r="A13" s="268" t="s">
        <v>12</v>
      </c>
      <c r="B13" s="268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83">
        <f>SUM(AH94:AH95)</f>
        <v>0</v>
      </c>
      <c r="AI13" s="84">
        <f>AH13-C37</f>
        <v>-162</v>
      </c>
      <c r="AJ13" s="84">
        <f>SUM(C99:AG99)</f>
        <v>0</v>
      </c>
      <c r="AK13" s="84">
        <f t="shared" si="2"/>
        <v>0</v>
      </c>
      <c r="AL13" s="18">
        <f>SUM(C100:AG100)</f>
        <v>0</v>
      </c>
      <c r="CB13" s="28"/>
      <c r="CF13"/>
    </row>
    <row r="14" spans="1:84" s="2" customFormat="1" ht="19.5" customHeight="1" x14ac:dyDescent="0.25">
      <c r="A14" s="268" t="s">
        <v>160</v>
      </c>
      <c r="B14" s="268"/>
      <c r="C14" s="23"/>
      <c r="D14" s="23" t="s">
        <v>150</v>
      </c>
      <c r="E14" s="23" t="s">
        <v>150</v>
      </c>
      <c r="F14" s="23"/>
      <c r="G14" s="23"/>
      <c r="H14" s="23" t="s">
        <v>150</v>
      </c>
      <c r="I14" s="23" t="s">
        <v>150</v>
      </c>
      <c r="J14" s="23" t="s">
        <v>150</v>
      </c>
      <c r="K14" s="23"/>
      <c r="L14" s="23"/>
      <c r="M14" s="23" t="s">
        <v>150</v>
      </c>
      <c r="N14" s="23" t="s">
        <v>150</v>
      </c>
      <c r="O14" s="23"/>
      <c r="P14" s="23"/>
      <c r="Q14" s="23"/>
      <c r="R14" s="23" t="s">
        <v>150</v>
      </c>
      <c r="S14" s="23" t="s">
        <v>150</v>
      </c>
      <c r="T14" s="23"/>
      <c r="U14" s="23"/>
      <c r="V14" s="23" t="s">
        <v>150</v>
      </c>
      <c r="W14" s="23" t="s">
        <v>150</v>
      </c>
      <c r="X14" s="23" t="s">
        <v>150</v>
      </c>
      <c r="Y14" s="23"/>
      <c r="Z14" s="23"/>
      <c r="AA14" s="23" t="s">
        <v>150</v>
      </c>
      <c r="AB14" s="23" t="s">
        <v>150</v>
      </c>
      <c r="AC14" s="23"/>
      <c r="AD14" s="23"/>
      <c r="AE14" s="23"/>
      <c r="AF14" s="23"/>
      <c r="AG14" s="23"/>
      <c r="AH14" s="83">
        <f>SUM(AH105:AH106)</f>
        <v>168</v>
      </c>
      <c r="AI14" s="84">
        <f>AH14-C37</f>
        <v>6</v>
      </c>
      <c r="AJ14" s="84">
        <f>SUM(C110:AG110)</f>
        <v>48</v>
      </c>
      <c r="AK14" s="84">
        <f t="shared" si="2"/>
        <v>0</v>
      </c>
      <c r="AL14" s="18">
        <f>SUM(C111:AG111)</f>
        <v>0</v>
      </c>
      <c r="CF14"/>
    </row>
    <row r="15" spans="1:84" s="2" customFormat="1" ht="19.5" customHeight="1" x14ac:dyDescent="0.25">
      <c r="A15" s="268" t="s">
        <v>161</v>
      </c>
      <c r="B15" s="268"/>
      <c r="C15" s="23" t="s">
        <v>151</v>
      </c>
      <c r="D15" s="23"/>
      <c r="E15" s="23"/>
      <c r="F15" s="23" t="s">
        <v>151</v>
      </c>
      <c r="G15" s="23" t="s">
        <v>151</v>
      </c>
      <c r="H15" s="23"/>
      <c r="I15" s="23"/>
      <c r="J15" s="23"/>
      <c r="K15" s="23" t="s">
        <v>151</v>
      </c>
      <c r="L15" s="23" t="s">
        <v>151</v>
      </c>
      <c r="M15" s="23"/>
      <c r="N15" s="23"/>
      <c r="O15" s="23" t="s">
        <v>151</v>
      </c>
      <c r="P15" s="23" t="s">
        <v>151</v>
      </c>
      <c r="Q15" s="23" t="s">
        <v>151</v>
      </c>
      <c r="R15" s="23"/>
      <c r="S15" s="23"/>
      <c r="T15" s="23" t="s">
        <v>151</v>
      </c>
      <c r="U15" s="23" t="s">
        <v>151</v>
      </c>
      <c r="V15" s="23"/>
      <c r="W15" s="23"/>
      <c r="X15" s="23"/>
      <c r="Y15" s="23" t="s">
        <v>151</v>
      </c>
      <c r="Z15" s="23" t="s">
        <v>151</v>
      </c>
      <c r="AA15" s="23"/>
      <c r="AB15" s="23"/>
      <c r="AC15" s="23" t="s">
        <v>151</v>
      </c>
      <c r="AD15" s="23" t="s">
        <v>151</v>
      </c>
      <c r="AE15" s="23"/>
      <c r="AF15" s="23"/>
      <c r="AG15" s="23"/>
      <c r="AH15" s="83">
        <f>SUM(AH116:AH117)</f>
        <v>167.99999999999997</v>
      </c>
      <c r="AI15" s="84">
        <f>AH15-C37</f>
        <v>5.9999999999999716</v>
      </c>
      <c r="AJ15" s="84">
        <f>SUM(C121:AG121)</f>
        <v>47.999999999999993</v>
      </c>
      <c r="AK15" s="84">
        <f t="shared" si="2"/>
        <v>0</v>
      </c>
      <c r="AL15" s="18">
        <f>SUM(C122:AG122)</f>
        <v>0</v>
      </c>
      <c r="CF15"/>
    </row>
    <row r="16" spans="1:84" s="2" customFormat="1" ht="19.5" customHeight="1" x14ac:dyDescent="0.25">
      <c r="A16" s="268" t="s">
        <v>162</v>
      </c>
      <c r="B16" s="268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83">
        <f>SUM(AH127:AH128)</f>
        <v>0</v>
      </c>
      <c r="AI16" s="84">
        <f>AH16-C37</f>
        <v>-162</v>
      </c>
      <c r="AJ16" s="84">
        <f>SUM(C132:AG132)</f>
        <v>0</v>
      </c>
      <c r="AK16" s="84">
        <f t="shared" si="2"/>
        <v>0</v>
      </c>
      <c r="AL16" s="18">
        <f>SUM(C133:AG133)</f>
        <v>0</v>
      </c>
      <c r="CF16"/>
    </row>
    <row r="17" spans="1:87" s="2" customFormat="1" ht="19.5" customHeight="1" x14ac:dyDescent="0.25">
      <c r="A17" s="268" t="s">
        <v>163</v>
      </c>
      <c r="B17" s="268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83">
        <f>SUM(AH138:AH139)</f>
        <v>0</v>
      </c>
      <c r="AI17" s="84">
        <f>AH17-C37</f>
        <v>-162</v>
      </c>
      <c r="AJ17" s="84">
        <f>SUM(C143:AG143)</f>
        <v>0</v>
      </c>
      <c r="AK17" s="84">
        <f t="shared" si="2"/>
        <v>0</v>
      </c>
      <c r="AL17" s="18">
        <f>SUM(C144:AG144)</f>
        <v>0</v>
      </c>
      <c r="CF17"/>
    </row>
    <row r="18" spans="1:87" s="2" customFormat="1" ht="19.5" customHeight="1" x14ac:dyDescent="0.25">
      <c r="A18" s="268" t="s">
        <v>178</v>
      </c>
      <c r="B18" s="268"/>
      <c r="C18" s="23" t="s">
        <v>150</v>
      </c>
      <c r="D18" s="23"/>
      <c r="E18" s="23"/>
      <c r="F18" s="23" t="s">
        <v>150</v>
      </c>
      <c r="G18" s="23" t="s">
        <v>150</v>
      </c>
      <c r="H18" s="23"/>
      <c r="I18" s="23"/>
      <c r="J18" s="23"/>
      <c r="K18" s="23" t="s">
        <v>150</v>
      </c>
      <c r="L18" s="23" t="s">
        <v>150</v>
      </c>
      <c r="M18" s="23"/>
      <c r="N18" s="23"/>
      <c r="O18" s="23" t="s">
        <v>150</v>
      </c>
      <c r="P18" s="23" t="s">
        <v>150</v>
      </c>
      <c r="Q18" s="23" t="s">
        <v>150</v>
      </c>
      <c r="R18" s="23"/>
      <c r="S18" s="23"/>
      <c r="T18" s="23" t="s">
        <v>150</v>
      </c>
      <c r="U18" s="23" t="s">
        <v>150</v>
      </c>
      <c r="V18" s="23"/>
      <c r="W18" s="23"/>
      <c r="X18" s="23"/>
      <c r="Y18" s="23" t="s">
        <v>150</v>
      </c>
      <c r="Z18" s="23" t="s">
        <v>150</v>
      </c>
      <c r="AA18" s="23"/>
      <c r="AB18" s="23"/>
      <c r="AC18" s="23" t="s">
        <v>150</v>
      </c>
      <c r="AD18" s="23" t="s">
        <v>150</v>
      </c>
      <c r="AE18" s="23"/>
      <c r="AF18" s="23"/>
      <c r="AG18" s="23"/>
      <c r="AH18" s="83">
        <f>SUM(AH149:AH150)</f>
        <v>168</v>
      </c>
      <c r="AI18" s="84">
        <f>AH18-C37</f>
        <v>6</v>
      </c>
      <c r="AJ18" s="84">
        <f>SUM(C154:AG154)</f>
        <v>48</v>
      </c>
      <c r="AK18" s="84">
        <f t="shared" si="2"/>
        <v>0</v>
      </c>
      <c r="AL18" s="18">
        <f>SUM(C155:AG155)</f>
        <v>0</v>
      </c>
      <c r="CF18"/>
    </row>
    <row r="19" spans="1:87" s="2" customFormat="1" ht="19.5" customHeight="1" x14ac:dyDescent="0.25">
      <c r="A19" s="268"/>
      <c r="B19" s="268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83">
        <f>SUM(AH160:AH161)</f>
        <v>0</v>
      </c>
      <c r="AI19" s="84">
        <f>AH19-C37</f>
        <v>-162</v>
      </c>
      <c r="AJ19" s="84">
        <f>SUM(C165:AG165)</f>
        <v>0</v>
      </c>
      <c r="AK19" s="84">
        <f t="shared" si="2"/>
        <v>0</v>
      </c>
      <c r="AL19" s="18">
        <f>SUM(C166:AG166)</f>
        <v>0</v>
      </c>
      <c r="CF19"/>
    </row>
    <row r="20" spans="1:87" s="2" customFormat="1" ht="19.5" customHeight="1" x14ac:dyDescent="0.25">
      <c r="A20" s="268"/>
      <c r="B20" s="268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83">
        <f>SUM(AH171:AH172)</f>
        <v>0</v>
      </c>
      <c r="AI20" s="84">
        <f>AH20-C37</f>
        <v>-162</v>
      </c>
      <c r="AJ20" s="84">
        <f>SUM(C176:AG176)</f>
        <v>0</v>
      </c>
      <c r="AK20" s="84">
        <f t="shared" si="2"/>
        <v>0</v>
      </c>
      <c r="AL20" s="18">
        <f>SUM(C177:AG177)</f>
        <v>0</v>
      </c>
      <c r="CF20"/>
    </row>
    <row r="21" spans="1:87" s="2" customFormat="1" ht="19.5" customHeight="1" x14ac:dyDescent="0.25">
      <c r="A21" s="10"/>
      <c r="B21" s="29" t="s">
        <v>8</v>
      </c>
      <c r="C21" s="113">
        <f>SUM(C51+C62+C73+C84+C95+C106+C117+C128+C139+C150+C161+C172)</f>
        <v>36</v>
      </c>
      <c r="D21" s="113">
        <f t="shared" ref="D21:AG21" si="3">SUM(D51+D62+D73+D84+D95+D106+D117+D128+D139+D150+D161+D172)</f>
        <v>36</v>
      </c>
      <c r="E21" s="113">
        <f t="shared" si="3"/>
        <v>36</v>
      </c>
      <c r="F21" s="113">
        <f t="shared" si="3"/>
        <v>36</v>
      </c>
      <c r="G21" s="113">
        <f t="shared" si="3"/>
        <v>36</v>
      </c>
      <c r="H21" s="113">
        <f t="shared" si="3"/>
        <v>36</v>
      </c>
      <c r="I21" s="113">
        <f t="shared" si="3"/>
        <v>36</v>
      </c>
      <c r="J21" s="113">
        <f t="shared" si="3"/>
        <v>36</v>
      </c>
      <c r="K21" s="113">
        <f t="shared" si="3"/>
        <v>36</v>
      </c>
      <c r="L21" s="113">
        <f t="shared" si="3"/>
        <v>36</v>
      </c>
      <c r="M21" s="113">
        <f t="shared" si="3"/>
        <v>36</v>
      </c>
      <c r="N21" s="113">
        <f t="shared" si="3"/>
        <v>36</v>
      </c>
      <c r="O21" s="113">
        <f t="shared" si="3"/>
        <v>36</v>
      </c>
      <c r="P21" s="113">
        <f t="shared" si="3"/>
        <v>36</v>
      </c>
      <c r="Q21" s="113">
        <f t="shared" si="3"/>
        <v>36</v>
      </c>
      <c r="R21" s="113">
        <f t="shared" si="3"/>
        <v>36</v>
      </c>
      <c r="S21" s="113">
        <f t="shared" si="3"/>
        <v>36</v>
      </c>
      <c r="T21" s="113">
        <f t="shared" si="3"/>
        <v>36</v>
      </c>
      <c r="U21" s="113">
        <f t="shared" si="3"/>
        <v>36</v>
      </c>
      <c r="V21" s="113">
        <f t="shared" si="3"/>
        <v>36</v>
      </c>
      <c r="W21" s="113">
        <f t="shared" si="3"/>
        <v>36</v>
      </c>
      <c r="X21" s="113">
        <f t="shared" si="3"/>
        <v>36</v>
      </c>
      <c r="Y21" s="113">
        <f t="shared" si="3"/>
        <v>36</v>
      </c>
      <c r="Z21" s="113">
        <f t="shared" si="3"/>
        <v>36</v>
      </c>
      <c r="AA21" s="113">
        <f t="shared" si="3"/>
        <v>36</v>
      </c>
      <c r="AB21" s="113">
        <f t="shared" si="3"/>
        <v>36</v>
      </c>
      <c r="AC21" s="113">
        <f t="shared" si="3"/>
        <v>36</v>
      </c>
      <c r="AD21" s="113">
        <f t="shared" si="3"/>
        <v>36</v>
      </c>
      <c r="AE21" s="113">
        <f t="shared" si="3"/>
        <v>0</v>
      </c>
      <c r="AF21" s="113">
        <f t="shared" si="3"/>
        <v>0</v>
      </c>
      <c r="AG21" s="113">
        <f t="shared" si="3"/>
        <v>0</v>
      </c>
      <c r="AH21" s="30"/>
      <c r="AI21" s="30"/>
      <c r="AJ21" s="30"/>
      <c r="AK21" s="30"/>
      <c r="AL21" s="30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</row>
    <row r="22" spans="1:87" s="2" customFormat="1" ht="19.5" customHeight="1" x14ac:dyDescent="0.25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</row>
    <row r="23" spans="1:87" s="2" customFormat="1" ht="19.5" customHeight="1" x14ac:dyDescent="0.25">
      <c r="A23" s="80"/>
      <c r="B23" s="80"/>
      <c r="C23" s="273" t="s">
        <v>9</v>
      </c>
      <c r="D23" s="273"/>
      <c r="E23" s="273"/>
      <c r="F23" s="273"/>
      <c r="G23" s="273"/>
      <c r="H23" s="273"/>
      <c r="I23" s="82"/>
      <c r="J23" s="274" t="s">
        <v>9</v>
      </c>
      <c r="K23" s="274"/>
      <c r="L23" s="274"/>
      <c r="M23" s="274"/>
      <c r="N23" s="274"/>
      <c r="O23" s="274"/>
      <c r="P23" s="32"/>
      <c r="Q23" s="274" t="s">
        <v>136</v>
      </c>
      <c r="R23" s="274"/>
      <c r="S23" s="274"/>
      <c r="T23" s="274"/>
      <c r="U23" s="274"/>
      <c r="V23" s="274"/>
      <c r="W23" s="274"/>
      <c r="X23" s="274"/>
      <c r="Y23" s="274"/>
      <c r="Z23" s="274"/>
      <c r="AA23" s="274"/>
      <c r="AB23" s="82"/>
      <c r="AC23" s="82"/>
      <c r="AD23" s="82"/>
      <c r="AE23" s="82"/>
      <c r="AF23" s="80"/>
      <c r="AG23" s="80"/>
      <c r="AH23" s="80"/>
      <c r="AI23" s="80"/>
      <c r="AJ23" s="80"/>
      <c r="AK23" s="80"/>
      <c r="AL23" s="80"/>
      <c r="AM23"/>
      <c r="AN23"/>
      <c r="AO23"/>
      <c r="AP23"/>
      <c r="AQ23" s="1" t="s">
        <v>10</v>
      </c>
      <c r="AR23" s="1"/>
      <c r="AS23" s="1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</row>
    <row r="24" spans="1:87" ht="14.45" customHeight="1" x14ac:dyDescent="0.25">
      <c r="A24" s="82"/>
      <c r="B24" s="82"/>
      <c r="C24" s="108" t="str">
        <f t="shared" ref="C24:D26" si="4">R32</f>
        <v>D1</v>
      </c>
      <c r="D24" s="275">
        <f t="shared" si="4"/>
        <v>0.25</v>
      </c>
      <c r="E24" s="275"/>
      <c r="F24" s="33" t="s">
        <v>11</v>
      </c>
      <c r="G24" s="276">
        <f t="shared" ref="G24:G26" si="5">V32</f>
        <v>0.75</v>
      </c>
      <c r="H24" s="276"/>
      <c r="I24" s="105"/>
      <c r="J24" s="107" t="str">
        <f t="shared" ref="J24:K26" si="6">R35</f>
        <v>N2</v>
      </c>
      <c r="K24" s="277">
        <f t="shared" si="6"/>
        <v>0.79166666666666663</v>
      </c>
      <c r="L24" s="278"/>
      <c r="M24" s="110" t="s">
        <v>11</v>
      </c>
      <c r="N24" s="277">
        <f>V35</f>
        <v>0.29166666666666669</v>
      </c>
      <c r="O24" s="279"/>
      <c r="P24" s="32"/>
      <c r="Q24" s="107" t="str">
        <f>R38</f>
        <v>G</v>
      </c>
      <c r="R24" s="280"/>
      <c r="S24" s="280"/>
      <c r="T24" s="109" t="s">
        <v>11</v>
      </c>
      <c r="U24" s="280"/>
      <c r="V24" s="280"/>
      <c r="W24" s="281"/>
      <c r="X24" s="280"/>
      <c r="Y24" s="109" t="s">
        <v>11</v>
      </c>
      <c r="Z24" s="282"/>
      <c r="AA24" s="283"/>
      <c r="AB24" s="106"/>
      <c r="AC24" s="80"/>
      <c r="AD24" s="104"/>
      <c r="AE24" s="104"/>
      <c r="AF24" s="104"/>
      <c r="AG24" s="107" t="s">
        <v>12</v>
      </c>
      <c r="AH24" s="256" t="s">
        <v>1</v>
      </c>
      <c r="AI24" s="257"/>
      <c r="AJ24" s="245"/>
      <c r="AK24" s="245"/>
      <c r="AL24" s="245"/>
      <c r="AM24"/>
      <c r="AN24"/>
      <c r="AO24"/>
      <c r="AP24"/>
      <c r="AQ24" s="1" t="s">
        <v>13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</row>
    <row r="25" spans="1:87" s="2" customFormat="1" ht="14.45" customHeight="1" x14ac:dyDescent="0.25">
      <c r="A25" s="82"/>
      <c r="B25" s="82"/>
      <c r="C25" s="108" t="str">
        <f t="shared" si="4"/>
        <v>N1</v>
      </c>
      <c r="D25" s="275">
        <f t="shared" si="4"/>
        <v>0.75</v>
      </c>
      <c r="E25" s="275"/>
      <c r="F25" s="33" t="s">
        <v>11</v>
      </c>
      <c r="G25" s="276">
        <f t="shared" si="5"/>
        <v>0.25</v>
      </c>
      <c r="H25" s="276"/>
      <c r="I25" s="105"/>
      <c r="J25" s="107" t="str">
        <f t="shared" si="6"/>
        <v>N3</v>
      </c>
      <c r="K25" s="280">
        <f t="shared" si="6"/>
        <v>0.91666666666666663</v>
      </c>
      <c r="L25" s="278"/>
      <c r="M25" s="110" t="s">
        <v>11</v>
      </c>
      <c r="N25" s="280">
        <f>V36</f>
        <v>0.25</v>
      </c>
      <c r="O25" s="279"/>
      <c r="P25" s="32"/>
      <c r="Q25" s="107" t="str">
        <f>R39</f>
        <v>H</v>
      </c>
      <c r="R25" s="280"/>
      <c r="S25" s="280"/>
      <c r="T25" s="109" t="s">
        <v>11</v>
      </c>
      <c r="U25" s="280"/>
      <c r="V25" s="280"/>
      <c r="W25" s="281"/>
      <c r="X25" s="280"/>
      <c r="Y25" s="109" t="s">
        <v>11</v>
      </c>
      <c r="Z25" s="284"/>
      <c r="AA25" s="283"/>
      <c r="AB25" s="106"/>
      <c r="AC25" s="80"/>
      <c r="AD25" s="104"/>
      <c r="AE25" s="104"/>
      <c r="AF25" s="104"/>
      <c r="AG25" s="107" t="s">
        <v>14</v>
      </c>
      <c r="AH25" s="256" t="s">
        <v>59</v>
      </c>
      <c r="AI25" s="257"/>
      <c r="AJ25" s="245"/>
      <c r="AK25" s="245"/>
      <c r="AL25" s="245"/>
      <c r="AM25"/>
      <c r="AN25"/>
      <c r="AO25"/>
      <c r="AP25"/>
      <c r="AQ25" s="1" t="s">
        <v>15</v>
      </c>
      <c r="AR25" s="1"/>
      <c r="AS25" s="1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</row>
    <row r="26" spans="1:87" s="2" customFormat="1" ht="14.45" customHeight="1" x14ac:dyDescent="0.25">
      <c r="A26" s="82"/>
      <c r="B26" s="82"/>
      <c r="C26" s="108" t="str">
        <f t="shared" si="4"/>
        <v>D2</v>
      </c>
      <c r="D26" s="275">
        <f t="shared" si="4"/>
        <v>0.29166666666666669</v>
      </c>
      <c r="E26" s="275"/>
      <c r="F26" s="33" t="s">
        <v>11</v>
      </c>
      <c r="G26" s="276">
        <f t="shared" si="5"/>
        <v>0.79166666666666663</v>
      </c>
      <c r="H26" s="276"/>
      <c r="I26" s="105"/>
      <c r="J26" s="107" t="str">
        <f t="shared" si="6"/>
        <v>F</v>
      </c>
      <c r="K26" s="280">
        <f t="shared" si="6"/>
        <v>0.20833333333333334</v>
      </c>
      <c r="L26" s="278"/>
      <c r="M26" s="110" t="s">
        <v>11</v>
      </c>
      <c r="N26" s="280">
        <f>V37</f>
        <v>0.25</v>
      </c>
      <c r="O26" s="279"/>
      <c r="P26" s="32"/>
      <c r="Q26" s="107" t="str">
        <f>R40</f>
        <v>I</v>
      </c>
      <c r="R26" s="280"/>
      <c r="S26" s="280"/>
      <c r="T26" s="109" t="s">
        <v>11</v>
      </c>
      <c r="U26" s="280"/>
      <c r="V26" s="280"/>
      <c r="W26" s="281"/>
      <c r="X26" s="280"/>
      <c r="Y26" s="109" t="s">
        <v>11</v>
      </c>
      <c r="Z26" s="284"/>
      <c r="AA26" s="283"/>
      <c r="AB26" s="106"/>
      <c r="AC26" s="80"/>
      <c r="AD26" s="104"/>
      <c r="AE26" s="104"/>
      <c r="AF26" s="104"/>
      <c r="AG26" s="107" t="s">
        <v>16</v>
      </c>
      <c r="AH26" s="256" t="s">
        <v>42</v>
      </c>
      <c r="AI26" s="257"/>
      <c r="AJ26" s="245"/>
      <c r="AK26" s="245"/>
      <c r="AL26" s="245"/>
      <c r="AM26"/>
      <c r="AN26"/>
      <c r="AO26"/>
      <c r="AP26"/>
      <c r="AQ26" s="1" t="s">
        <v>17</v>
      </c>
      <c r="AR26" s="1"/>
      <c r="AS26" s="1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</row>
    <row r="27" spans="1:87" s="2" customFormat="1" ht="14.45" customHeight="1" x14ac:dyDescent="0.25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82"/>
      <c r="Z27" s="82"/>
      <c r="AA27" s="82"/>
      <c r="AB27" s="82"/>
      <c r="AC27" s="82"/>
      <c r="AD27" s="82"/>
      <c r="AE27" s="262"/>
      <c r="AF27" s="262"/>
      <c r="AG27" s="82"/>
      <c r="AH27" s="82"/>
      <c r="AI27" s="82"/>
      <c r="AJ27" s="32"/>
      <c r="AK27" s="32"/>
      <c r="AL27" s="32"/>
    </row>
    <row r="28" spans="1:87" s="2" customFormat="1" ht="14.45" customHeight="1" x14ac:dyDescent="0.25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32"/>
      <c r="AK28" s="32"/>
      <c r="AL28" s="32"/>
    </row>
    <row r="29" spans="1:87" s="2" customFormat="1" ht="14.45" customHeight="1" x14ac:dyDescent="0.25">
      <c r="A29" s="82"/>
      <c r="B29" s="81" t="s">
        <v>18</v>
      </c>
      <c r="C29" s="251" t="str">
        <f>E43</f>
        <v xml:space="preserve">*Aquí notas que se vean en el cuadrante... </v>
      </c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  <c r="AA29" s="251"/>
      <c r="AB29" s="251"/>
      <c r="AC29" s="251"/>
      <c r="AD29" s="251"/>
      <c r="AE29" s="251"/>
      <c r="AF29" s="251"/>
      <c r="AG29" s="251"/>
      <c r="AH29" s="251"/>
      <c r="AI29" s="251"/>
      <c r="AJ29" s="251"/>
      <c r="AK29" s="32"/>
      <c r="AL29" s="32"/>
    </row>
    <row r="30" spans="1:87" s="2" customFormat="1" ht="19.5" customHeight="1" x14ac:dyDescent="0.35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32"/>
      <c r="AK30" s="32"/>
      <c r="AL30" s="32"/>
      <c r="AN30" s="5" t="s">
        <v>19</v>
      </c>
      <c r="AO30" s="5"/>
      <c r="AP30" s="5" t="s">
        <v>20</v>
      </c>
      <c r="AQ30" s="5" t="s">
        <v>21</v>
      </c>
      <c r="AR30" s="5"/>
      <c r="AS30" s="5"/>
      <c r="AT30" s="5"/>
      <c r="AU30" s="5"/>
      <c r="AV30" s="5"/>
      <c r="AW30" s="5"/>
      <c r="AX30" s="5" t="s">
        <v>22</v>
      </c>
      <c r="AY30" s="5"/>
      <c r="AZ30" s="5" t="s">
        <v>23</v>
      </c>
      <c r="BA30" s="5"/>
      <c r="BB30" s="5"/>
      <c r="BC30" s="5"/>
      <c r="BD30" s="5" t="s">
        <v>24</v>
      </c>
    </row>
    <row r="31" spans="1:87" s="2" customFormat="1" ht="19.5" customHeight="1" x14ac:dyDescent="0.25">
      <c r="A31" s="252" t="s">
        <v>25</v>
      </c>
      <c r="B31" s="252"/>
      <c r="C31" s="252"/>
      <c r="D31" s="252"/>
      <c r="E31" s="252"/>
      <c r="F31" s="252"/>
      <c r="G31" s="252"/>
      <c r="H31" s="252"/>
      <c r="I31" s="252"/>
      <c r="J31" s="252"/>
      <c r="K31" s="252"/>
      <c r="L31" s="252"/>
      <c r="M31" s="252"/>
      <c r="N31" s="252"/>
      <c r="O31" s="114"/>
      <c r="P31" s="114"/>
      <c r="Q31" s="114"/>
      <c r="R31" s="252" t="s">
        <v>9</v>
      </c>
      <c r="S31" s="252"/>
      <c r="T31" s="252"/>
      <c r="U31" s="252"/>
      <c r="V31" s="252"/>
      <c r="W31" s="252"/>
      <c r="X31" s="115"/>
      <c r="Y31" s="115"/>
      <c r="Z31" s="115"/>
      <c r="AA31" s="115"/>
      <c r="AB31" s="115"/>
      <c r="AC31" s="116"/>
      <c r="AD31" s="253" t="s">
        <v>26</v>
      </c>
      <c r="AE31" s="253"/>
      <c r="AF31" s="253"/>
      <c r="AG31" s="253"/>
      <c r="AH31" s="253"/>
      <c r="AI31" s="253"/>
      <c r="AJ31" s="114"/>
      <c r="AK31" s="212" t="s">
        <v>6</v>
      </c>
      <c r="AL31" s="114"/>
      <c r="AN31" s="97" t="s">
        <v>27</v>
      </c>
      <c r="AO31" s="97" t="s">
        <v>28</v>
      </c>
      <c r="AP31" s="97" t="s">
        <v>29</v>
      </c>
      <c r="AQ31" s="97" t="s">
        <v>30</v>
      </c>
      <c r="AR31" s="261" t="s">
        <v>31</v>
      </c>
      <c r="AS31" s="261"/>
      <c r="AT31" s="261"/>
      <c r="AU31" s="261"/>
      <c r="AV31" s="261"/>
      <c r="AW31" s="261"/>
      <c r="AX31" s="261"/>
      <c r="AY31" s="261"/>
      <c r="AZ31" s="261"/>
      <c r="BA31" s="97" t="s">
        <v>32</v>
      </c>
      <c r="BB31" s="260" t="s">
        <v>33</v>
      </c>
      <c r="BC31" s="260"/>
      <c r="BD31" s="103" t="s">
        <v>34</v>
      </c>
      <c r="BE31" s="56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</row>
    <row r="32" spans="1:87" s="2" customFormat="1" ht="19.5" customHeight="1" x14ac:dyDescent="0.25">
      <c r="A32" s="238" t="s">
        <v>35</v>
      </c>
      <c r="B32" s="238"/>
      <c r="C32" s="242" t="str">
        <f>CONTROL!B34</f>
        <v>EMPRESA</v>
      </c>
      <c r="D32" s="242"/>
      <c r="E32" s="242"/>
      <c r="F32" s="242"/>
      <c r="G32" s="242"/>
      <c r="H32" s="242"/>
      <c r="I32" s="242"/>
      <c r="J32" s="242"/>
      <c r="K32" s="242"/>
      <c r="L32" s="242"/>
      <c r="M32" s="242"/>
      <c r="N32" s="242"/>
      <c r="O32" s="114"/>
      <c r="P32" s="114"/>
      <c r="Q32" s="117"/>
      <c r="R32" s="85" t="s">
        <v>150</v>
      </c>
      <c r="S32" s="240">
        <v>0.25</v>
      </c>
      <c r="T32" s="240"/>
      <c r="U32" s="118" t="s">
        <v>11</v>
      </c>
      <c r="V32" s="241">
        <v>0.75</v>
      </c>
      <c r="W32" s="241"/>
      <c r="X32" s="115"/>
      <c r="Y32" s="115"/>
      <c r="Z32" s="115"/>
      <c r="AA32" s="115"/>
      <c r="AB32" s="115"/>
      <c r="AC32" s="116"/>
      <c r="AD32" s="250" t="s">
        <v>36</v>
      </c>
      <c r="AE32" s="250"/>
      <c r="AF32" s="250"/>
      <c r="AG32" s="250"/>
      <c r="AH32" s="86">
        <v>0.5</v>
      </c>
      <c r="AI32" s="254">
        <f>AH32/24</f>
        <v>2.0833333333333332E-2</v>
      </c>
      <c r="AJ32" s="255"/>
      <c r="AK32" s="217">
        <f>AH49</f>
        <v>112</v>
      </c>
      <c r="AL32" s="214" t="s">
        <v>90</v>
      </c>
      <c r="AM32" s="9"/>
      <c r="AN32" s="34">
        <f t="shared" ref="AN32:AN40" si="7">IF(AS32/24=0,0,AS32/24)</f>
        <v>0</v>
      </c>
      <c r="AO32" s="35">
        <f t="shared" ref="AO32:AO40" si="8">IF(BA32=0,"",BA32)</f>
        <v>0.5</v>
      </c>
      <c r="AP32" s="36">
        <f t="shared" ref="AP32:AP39" si="9">S32*24</f>
        <v>6</v>
      </c>
      <c r="AQ32" s="36">
        <f t="shared" ref="AQ32:AQ40" si="10">V32*24</f>
        <v>18</v>
      </c>
      <c r="AR32" s="36">
        <f t="shared" ref="AR32:AR40" si="11">AS32</f>
        <v>0</v>
      </c>
      <c r="AS32" s="37">
        <f t="shared" ref="AS32:AS40" si="12">IF(AV32&gt;=4,AT32,AT32)</f>
        <v>0</v>
      </c>
      <c r="AT32" s="38">
        <f t="shared" ref="AT32:AT40" si="13">IF(AV32&gt;8,8,AU32)</f>
        <v>0</v>
      </c>
      <c r="AU32" s="39">
        <f t="shared" ref="AU32:AU40" si="14">IF(AV32&lt;0,0,AV32)</f>
        <v>0</v>
      </c>
      <c r="AV32" s="40">
        <f t="shared" ref="AV32:AV40" si="15">IF(AP32=AQ32,0,IF(AP32&gt;AQ32,AW32,IF(AP32&gt;=6,AX32,AQ32-AP32)))</f>
        <v>-12</v>
      </c>
      <c r="AW32" s="36">
        <f t="shared" ref="AW32:AW40" si="16">IF(AP32&lt;6,(AQ32-22+24)+(6-AP32),IF(AP32&gt;=22,AY32,IF(AV2&lt;=6,(AQ32-22)+24,8)))</f>
        <v>20</v>
      </c>
      <c r="AX32" s="41">
        <f t="shared" ref="AX32:AX40" si="17">IF(AQ32&gt;22,AZ32,IF(AP32&lt;AQ32,AP32-AQ32,IF(AP32&gt;6,0,(6-AP32))))</f>
        <v>-12</v>
      </c>
      <c r="AY32" s="36">
        <f t="shared" ref="AY32:AY40" si="18">IF(AQ32&lt;=6,(AQ32-AP32)+24,IF(AQ32&gt;22,8,(6-AP32)+24))</f>
        <v>24</v>
      </c>
      <c r="AZ32" s="42">
        <f t="shared" ref="AZ32:AZ40" si="19">IF(AP32&lt;=6,(6-AP32)+(AQ32-22),IF(AP32&gt;22,(AQ32-AP32),(AQ32-22)))</f>
        <v>-4</v>
      </c>
      <c r="BA32" s="36">
        <f t="shared" ref="BA32:BA40" si="20">IF(V32-S32&gt;=0,V32-S32,V32-S32+24)</f>
        <v>0.5</v>
      </c>
      <c r="BB32" s="36">
        <f t="shared" ref="BB32:BB40" si="21">IF(AO32&lt;1,AO32*24,(AO32-24)*24)</f>
        <v>12</v>
      </c>
      <c r="BC32" s="36">
        <f t="shared" ref="BC32:BC40" si="22">IF(BB32&gt;=0,BB32,BB32+24)</f>
        <v>12</v>
      </c>
      <c r="BD32" s="43">
        <f t="shared" ref="BD32:BD40" si="23">IF(AX32&lt;=0,AN32,IF(AX32&gt;=0.1,AX32/24))</f>
        <v>0</v>
      </c>
      <c r="BE32" s="44" t="str">
        <f t="shared" ref="BE32:BE34" si="24">IF(BD38&gt;=4,IF(BD38="",0,8),IF(BD38&gt;=0.1,IF(BD38="",0,BD38),""))</f>
        <v/>
      </c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</row>
    <row r="33" spans="1:80" s="2" customFormat="1" ht="19.5" customHeight="1" x14ac:dyDescent="0.25">
      <c r="A33" s="238" t="s">
        <v>37</v>
      </c>
      <c r="B33" s="238"/>
      <c r="C33" s="242" t="str">
        <f>CONTROL!B35</f>
        <v>CENTRO</v>
      </c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114"/>
      <c r="P33" s="114"/>
      <c r="Q33" s="117"/>
      <c r="R33" s="85" t="s">
        <v>152</v>
      </c>
      <c r="S33" s="240">
        <v>0.75</v>
      </c>
      <c r="T33" s="240"/>
      <c r="U33" s="118" t="s">
        <v>11</v>
      </c>
      <c r="V33" s="241">
        <v>0.25</v>
      </c>
      <c r="W33" s="241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4"/>
      <c r="AK33" s="217">
        <f>AH60</f>
        <v>112</v>
      </c>
      <c r="AL33" s="214" t="s">
        <v>138</v>
      </c>
      <c r="AM33" s="9"/>
      <c r="AN33" s="35">
        <f t="shared" si="7"/>
        <v>0.33333333333333331</v>
      </c>
      <c r="AO33" s="35">
        <f t="shared" si="8"/>
        <v>23.5</v>
      </c>
      <c r="AP33" s="36">
        <f t="shared" si="9"/>
        <v>18</v>
      </c>
      <c r="AQ33" s="36">
        <f t="shared" si="10"/>
        <v>6</v>
      </c>
      <c r="AR33" s="36">
        <f t="shared" si="11"/>
        <v>8</v>
      </c>
      <c r="AS33" s="37">
        <f t="shared" si="12"/>
        <v>8</v>
      </c>
      <c r="AT33" s="38">
        <f t="shared" si="13"/>
        <v>8</v>
      </c>
      <c r="AU33" s="39">
        <f t="shared" si="14"/>
        <v>8</v>
      </c>
      <c r="AV33" s="36">
        <f t="shared" si="15"/>
        <v>8</v>
      </c>
      <c r="AW33" s="36">
        <f t="shared" si="16"/>
        <v>8</v>
      </c>
      <c r="AX33" s="41">
        <f t="shared" si="17"/>
        <v>0</v>
      </c>
      <c r="AY33" s="36">
        <f t="shared" si="18"/>
        <v>12</v>
      </c>
      <c r="AZ33" s="36">
        <f t="shared" si="19"/>
        <v>-16</v>
      </c>
      <c r="BA33" s="36">
        <f t="shared" si="20"/>
        <v>23.5</v>
      </c>
      <c r="BB33" s="36">
        <f t="shared" si="21"/>
        <v>-12</v>
      </c>
      <c r="BC33" s="36">
        <f t="shared" si="22"/>
        <v>12</v>
      </c>
      <c r="BD33" s="43">
        <f t="shared" si="23"/>
        <v>0.33333333333333331</v>
      </c>
      <c r="BE33" s="44" t="str">
        <f t="shared" si="24"/>
        <v/>
      </c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</row>
    <row r="34" spans="1:80" s="2" customFormat="1" ht="19.5" customHeight="1" x14ac:dyDescent="0.35">
      <c r="A34" s="238" t="s">
        <v>38</v>
      </c>
      <c r="B34" s="238"/>
      <c r="C34" s="242">
        <v>2026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114"/>
      <c r="P34" s="114"/>
      <c r="Q34" s="117"/>
      <c r="R34" s="85" t="s">
        <v>151</v>
      </c>
      <c r="S34" s="240">
        <v>0.29166666666666669</v>
      </c>
      <c r="T34" s="240"/>
      <c r="U34" s="118" t="s">
        <v>11</v>
      </c>
      <c r="V34" s="241">
        <v>0.79166666666666663</v>
      </c>
      <c r="W34" s="241"/>
      <c r="X34" s="115"/>
      <c r="Y34" s="119"/>
      <c r="Z34" s="119"/>
      <c r="AA34" s="119"/>
      <c r="AB34" s="119"/>
      <c r="AC34" s="119"/>
      <c r="AD34" s="119"/>
      <c r="AE34" s="115"/>
      <c r="AF34" s="115"/>
      <c r="AG34" s="115"/>
      <c r="AH34" s="115"/>
      <c r="AI34" s="115"/>
      <c r="AJ34" s="115"/>
      <c r="AK34" s="217">
        <f>AH71</f>
        <v>0</v>
      </c>
      <c r="AL34" s="214" t="s">
        <v>139</v>
      </c>
      <c r="AM34" s="9"/>
      <c r="AN34" s="35">
        <f t="shared" si="7"/>
        <v>0</v>
      </c>
      <c r="AO34" s="35">
        <f t="shared" si="8"/>
        <v>0.49999999999999994</v>
      </c>
      <c r="AP34" s="36">
        <f t="shared" si="9"/>
        <v>7</v>
      </c>
      <c r="AQ34" s="36">
        <f t="shared" si="10"/>
        <v>19</v>
      </c>
      <c r="AR34" s="36">
        <f t="shared" si="11"/>
        <v>0</v>
      </c>
      <c r="AS34" s="37">
        <f t="shared" si="12"/>
        <v>0</v>
      </c>
      <c r="AT34" s="38">
        <f t="shared" si="13"/>
        <v>0</v>
      </c>
      <c r="AU34" s="39">
        <f t="shared" si="14"/>
        <v>0</v>
      </c>
      <c r="AV34" s="36">
        <f t="shared" si="15"/>
        <v>-12</v>
      </c>
      <c r="AW34" s="36">
        <f t="shared" si="16"/>
        <v>21</v>
      </c>
      <c r="AX34" s="41">
        <f t="shared" si="17"/>
        <v>-12</v>
      </c>
      <c r="AY34" s="36">
        <f t="shared" si="18"/>
        <v>23</v>
      </c>
      <c r="AZ34" s="36">
        <f t="shared" si="19"/>
        <v>-3</v>
      </c>
      <c r="BA34" s="36">
        <f t="shared" si="20"/>
        <v>0.49999999999999994</v>
      </c>
      <c r="BB34" s="36">
        <f t="shared" si="21"/>
        <v>11.999999999999998</v>
      </c>
      <c r="BC34" s="36">
        <f t="shared" si="22"/>
        <v>11.999999999999998</v>
      </c>
      <c r="BD34" s="43">
        <f t="shared" si="23"/>
        <v>0</v>
      </c>
      <c r="BE34" s="44" t="str">
        <f t="shared" si="24"/>
        <v/>
      </c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</row>
    <row r="35" spans="1:80" s="2" customFormat="1" ht="19.5" customHeight="1" x14ac:dyDescent="0.25">
      <c r="A35" s="238" t="s">
        <v>39</v>
      </c>
      <c r="B35" s="238"/>
      <c r="C35" s="285">
        <v>2</v>
      </c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7"/>
      <c r="O35" s="114"/>
      <c r="P35" s="114"/>
      <c r="Q35" s="117"/>
      <c r="R35" s="85" t="s">
        <v>153</v>
      </c>
      <c r="S35" s="240">
        <v>0.79166666666666663</v>
      </c>
      <c r="T35" s="240"/>
      <c r="U35" s="118" t="s">
        <v>11</v>
      </c>
      <c r="V35" s="241">
        <v>0.29166666666666669</v>
      </c>
      <c r="W35" s="241"/>
      <c r="X35" s="115"/>
      <c r="Y35" s="120"/>
      <c r="Z35" s="121"/>
      <c r="AA35" s="121"/>
      <c r="AB35" s="120"/>
      <c r="AC35" s="121"/>
      <c r="AD35" s="121"/>
      <c r="AE35" s="115"/>
      <c r="AF35" s="115"/>
      <c r="AG35" s="115"/>
      <c r="AH35" s="115"/>
      <c r="AI35" s="115"/>
      <c r="AJ35" s="115"/>
      <c r="AK35" s="217">
        <f>AH82</f>
        <v>0</v>
      </c>
      <c r="AL35" s="214" t="s">
        <v>140</v>
      </c>
      <c r="AM35" s="9"/>
      <c r="AN35" s="35">
        <f t="shared" si="7"/>
        <v>0.33333333333333331</v>
      </c>
      <c r="AO35" s="35">
        <f t="shared" si="8"/>
        <v>23.5</v>
      </c>
      <c r="AP35" s="36">
        <f t="shared" si="9"/>
        <v>19</v>
      </c>
      <c r="AQ35" s="36">
        <f t="shared" si="10"/>
        <v>7</v>
      </c>
      <c r="AR35" s="36">
        <f t="shared" si="11"/>
        <v>8</v>
      </c>
      <c r="AS35" s="37">
        <f t="shared" si="12"/>
        <v>8</v>
      </c>
      <c r="AT35" s="38">
        <f t="shared" si="13"/>
        <v>8</v>
      </c>
      <c r="AU35" s="39">
        <f t="shared" si="14"/>
        <v>9</v>
      </c>
      <c r="AV35" s="36">
        <f t="shared" si="15"/>
        <v>9</v>
      </c>
      <c r="AW35" s="36">
        <f t="shared" si="16"/>
        <v>9</v>
      </c>
      <c r="AX35" s="41">
        <f t="shared" si="17"/>
        <v>0</v>
      </c>
      <c r="AY35" s="36">
        <f t="shared" si="18"/>
        <v>11</v>
      </c>
      <c r="AZ35" s="36">
        <f t="shared" si="19"/>
        <v>-15</v>
      </c>
      <c r="BA35" s="36">
        <f t="shared" si="20"/>
        <v>23.5</v>
      </c>
      <c r="BB35" s="36">
        <f t="shared" si="21"/>
        <v>-12</v>
      </c>
      <c r="BC35" s="36">
        <f t="shared" si="22"/>
        <v>12</v>
      </c>
      <c r="BD35" s="43">
        <f t="shared" si="23"/>
        <v>0.33333333333333331</v>
      </c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</row>
    <row r="36" spans="1:80" s="2" customFormat="1" ht="19.5" customHeight="1" x14ac:dyDescent="0.25">
      <c r="A36" s="238" t="s">
        <v>40</v>
      </c>
      <c r="B36" s="238"/>
      <c r="C36" s="239">
        <v>5.22</v>
      </c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114"/>
      <c r="P36" s="114"/>
      <c r="Q36" s="117"/>
      <c r="R36" s="85" t="s">
        <v>154</v>
      </c>
      <c r="S36" s="240">
        <v>0.91666666666666663</v>
      </c>
      <c r="T36" s="240"/>
      <c r="U36" s="118" t="s">
        <v>11</v>
      </c>
      <c r="V36" s="241">
        <v>0.25</v>
      </c>
      <c r="W36" s="241"/>
      <c r="X36" s="115"/>
      <c r="Y36" s="120"/>
      <c r="Z36" s="121"/>
      <c r="AA36" s="121"/>
      <c r="AB36" s="120"/>
      <c r="AC36" s="121"/>
      <c r="AD36" s="121"/>
      <c r="AE36" s="115"/>
      <c r="AF36" s="115"/>
      <c r="AG36" s="115"/>
      <c r="AH36" s="115"/>
      <c r="AI36" s="115"/>
      <c r="AJ36" s="115"/>
      <c r="AK36" s="217">
        <f>AH93</f>
        <v>0</v>
      </c>
      <c r="AL36" s="214" t="s">
        <v>141</v>
      </c>
      <c r="AM36" s="9"/>
      <c r="AN36" s="35">
        <f t="shared" si="7"/>
        <v>0.33333333333333331</v>
      </c>
      <c r="AO36" s="35">
        <f t="shared" si="8"/>
        <v>23.333333333333332</v>
      </c>
      <c r="AP36" s="36">
        <f t="shared" si="9"/>
        <v>22</v>
      </c>
      <c r="AQ36" s="36">
        <f t="shared" si="10"/>
        <v>6</v>
      </c>
      <c r="AR36" s="36">
        <f t="shared" si="11"/>
        <v>8</v>
      </c>
      <c r="AS36" s="37">
        <f t="shared" si="12"/>
        <v>8</v>
      </c>
      <c r="AT36" s="38">
        <f t="shared" si="13"/>
        <v>8</v>
      </c>
      <c r="AU36" s="39">
        <f t="shared" si="14"/>
        <v>8</v>
      </c>
      <c r="AV36" s="36">
        <f t="shared" si="15"/>
        <v>8</v>
      </c>
      <c r="AW36" s="36">
        <f t="shared" si="16"/>
        <v>8</v>
      </c>
      <c r="AX36" s="41">
        <f t="shared" si="17"/>
        <v>0</v>
      </c>
      <c r="AY36" s="36">
        <f t="shared" si="18"/>
        <v>8</v>
      </c>
      <c r="AZ36" s="36">
        <f t="shared" si="19"/>
        <v>-16</v>
      </c>
      <c r="BA36" s="36">
        <f t="shared" si="20"/>
        <v>23.333333333333332</v>
      </c>
      <c r="BB36" s="36">
        <f t="shared" si="21"/>
        <v>-16.000000000000028</v>
      </c>
      <c r="BC36" s="36">
        <f t="shared" si="22"/>
        <v>7.9999999999999716</v>
      </c>
      <c r="BD36" s="43">
        <f t="shared" si="23"/>
        <v>0.33333333333333331</v>
      </c>
      <c r="BE36" s="1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</row>
    <row r="37" spans="1:80" s="2" customFormat="1" ht="19.5" customHeight="1" x14ac:dyDescent="0.25">
      <c r="A37" s="238" t="s">
        <v>41</v>
      </c>
      <c r="B37" s="238"/>
      <c r="C37" s="239">
        <v>162</v>
      </c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116"/>
      <c r="P37" s="116"/>
      <c r="Q37" s="117"/>
      <c r="R37" s="85" t="str">
        <f>CONTROL!F40</f>
        <v>F</v>
      </c>
      <c r="S37" s="240">
        <f>CONTROL!G40</f>
        <v>0.20833333333333334</v>
      </c>
      <c r="T37" s="240"/>
      <c r="U37" s="118" t="s">
        <v>11</v>
      </c>
      <c r="V37" s="241">
        <f>CONTROL!H40</f>
        <v>0.25</v>
      </c>
      <c r="W37" s="241"/>
      <c r="X37" s="115"/>
      <c r="Y37" s="120"/>
      <c r="Z37" s="121"/>
      <c r="AA37" s="121"/>
      <c r="AB37" s="120"/>
      <c r="AC37" s="121"/>
      <c r="AD37" s="121"/>
      <c r="AE37" s="115"/>
      <c r="AF37" s="115"/>
      <c r="AG37" s="115"/>
      <c r="AH37" s="115"/>
      <c r="AI37" s="115"/>
      <c r="AJ37" s="116"/>
      <c r="AK37" s="217">
        <f>AH104</f>
        <v>0</v>
      </c>
      <c r="AL37" s="214" t="s">
        <v>142</v>
      </c>
      <c r="AM37" s="9"/>
      <c r="AN37" s="35">
        <f t="shared" si="7"/>
        <v>4.1666666666666664E-2</v>
      </c>
      <c r="AO37" s="35">
        <f t="shared" si="8"/>
        <v>4.1666666666666657E-2</v>
      </c>
      <c r="AP37" s="36">
        <f t="shared" si="9"/>
        <v>5</v>
      </c>
      <c r="AQ37" s="36">
        <f t="shared" si="10"/>
        <v>6</v>
      </c>
      <c r="AR37" s="36">
        <f t="shared" si="11"/>
        <v>1</v>
      </c>
      <c r="AS37" s="37">
        <f t="shared" si="12"/>
        <v>1</v>
      </c>
      <c r="AT37" s="38">
        <f t="shared" si="13"/>
        <v>1</v>
      </c>
      <c r="AU37" s="39">
        <f t="shared" si="14"/>
        <v>1</v>
      </c>
      <c r="AV37" s="36">
        <f t="shared" si="15"/>
        <v>1</v>
      </c>
      <c r="AW37" s="36">
        <f t="shared" si="16"/>
        <v>9</v>
      </c>
      <c r="AX37" s="41">
        <f t="shared" si="17"/>
        <v>-1</v>
      </c>
      <c r="AY37" s="36">
        <f t="shared" si="18"/>
        <v>25</v>
      </c>
      <c r="AZ37" s="36">
        <f t="shared" si="19"/>
        <v>-15</v>
      </c>
      <c r="BA37" s="36">
        <f t="shared" si="20"/>
        <v>4.1666666666666657E-2</v>
      </c>
      <c r="BB37" s="36">
        <f t="shared" si="21"/>
        <v>0.99999999999999978</v>
      </c>
      <c r="BC37" s="36">
        <f t="shared" si="22"/>
        <v>0.99999999999999978</v>
      </c>
      <c r="BD37" s="43">
        <f t="shared" si="23"/>
        <v>4.1666666666666664E-2</v>
      </c>
      <c r="BE37" s="1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</row>
    <row r="38" spans="1:80" s="2" customFormat="1" ht="20.100000000000001" customHeight="1" x14ac:dyDescent="0.25">
      <c r="A38" s="238" t="s">
        <v>42</v>
      </c>
      <c r="B38" s="238"/>
      <c r="C38" s="239">
        <v>0</v>
      </c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122"/>
      <c r="P38" s="122"/>
      <c r="Q38" s="115"/>
      <c r="R38" s="197" t="str">
        <f>CONTROL!F41</f>
        <v>G</v>
      </c>
      <c r="S38" s="222">
        <f>CONTROL!G41</f>
        <v>0.29166666666666669</v>
      </c>
      <c r="T38" s="222"/>
      <c r="U38" s="118" t="s">
        <v>11</v>
      </c>
      <c r="V38" s="223">
        <f>CONTROL!H41</f>
        <v>0.33333333333333331</v>
      </c>
      <c r="W38" s="223"/>
      <c r="X38" s="115"/>
      <c r="Y38" s="120"/>
      <c r="Z38" s="121"/>
      <c r="AA38" s="121"/>
      <c r="AB38" s="120"/>
      <c r="AC38" s="121"/>
      <c r="AD38" s="121"/>
      <c r="AE38" s="116"/>
      <c r="AF38" s="116"/>
      <c r="AG38" s="116"/>
      <c r="AH38" s="116"/>
      <c r="AI38" s="116"/>
      <c r="AJ38" s="114"/>
      <c r="AK38" s="217">
        <f>AH115</f>
        <v>0</v>
      </c>
      <c r="AL38" s="214" t="s">
        <v>143</v>
      </c>
      <c r="AN38" s="35">
        <f t="shared" si="7"/>
        <v>0</v>
      </c>
      <c r="AO38" s="35">
        <f t="shared" si="8"/>
        <v>4.166666666666663E-2</v>
      </c>
      <c r="AP38" s="36">
        <f t="shared" si="9"/>
        <v>7</v>
      </c>
      <c r="AQ38" s="36">
        <f t="shared" si="10"/>
        <v>8</v>
      </c>
      <c r="AR38" s="36">
        <f t="shared" si="11"/>
        <v>0</v>
      </c>
      <c r="AS38" s="37">
        <f t="shared" si="12"/>
        <v>0</v>
      </c>
      <c r="AT38" s="38">
        <f t="shared" si="13"/>
        <v>0</v>
      </c>
      <c r="AU38" s="39">
        <f t="shared" si="14"/>
        <v>0</v>
      </c>
      <c r="AV38" s="36">
        <f t="shared" si="15"/>
        <v>-1</v>
      </c>
      <c r="AW38" s="36">
        <f t="shared" si="16"/>
        <v>10</v>
      </c>
      <c r="AX38" s="41">
        <f t="shared" si="17"/>
        <v>-1</v>
      </c>
      <c r="AY38" s="36">
        <f t="shared" si="18"/>
        <v>23</v>
      </c>
      <c r="AZ38" s="36">
        <f t="shared" si="19"/>
        <v>-14</v>
      </c>
      <c r="BA38" s="36">
        <f t="shared" si="20"/>
        <v>4.166666666666663E-2</v>
      </c>
      <c r="BB38" s="36">
        <f t="shared" si="21"/>
        <v>0.99999999999999911</v>
      </c>
      <c r="BC38" s="36">
        <f t="shared" si="22"/>
        <v>0.99999999999999911</v>
      </c>
      <c r="BD38" s="43">
        <f t="shared" si="23"/>
        <v>0</v>
      </c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</row>
    <row r="39" spans="1:80" s="2" customFormat="1" ht="20.100000000000001" customHeight="1" x14ac:dyDescent="0.25">
      <c r="A39" s="123"/>
      <c r="B39" s="116"/>
      <c r="C39" s="124"/>
      <c r="D39" s="116"/>
      <c r="E39" s="116"/>
      <c r="F39" s="116"/>
      <c r="G39" s="116"/>
      <c r="H39" s="116"/>
      <c r="I39" s="116"/>
      <c r="J39" s="116"/>
      <c r="K39" s="116"/>
      <c r="L39" s="122"/>
      <c r="M39" s="122"/>
      <c r="N39" s="125"/>
      <c r="O39" s="122"/>
      <c r="P39" s="122"/>
      <c r="Q39" s="115"/>
      <c r="R39" s="197" t="str">
        <f>CONTROL!F42</f>
        <v>H</v>
      </c>
      <c r="S39" s="222">
        <f>CONTROL!G42</f>
        <v>0.33333333333333331</v>
      </c>
      <c r="T39" s="222"/>
      <c r="U39" s="118" t="s">
        <v>11</v>
      </c>
      <c r="V39" s="223">
        <f>CONTROL!H42</f>
        <v>0.375</v>
      </c>
      <c r="W39" s="223"/>
      <c r="X39" s="115"/>
      <c r="Y39" s="120"/>
      <c r="Z39" s="121"/>
      <c r="AA39" s="121"/>
      <c r="AB39" s="120"/>
      <c r="AC39" s="121"/>
      <c r="AD39" s="121"/>
      <c r="AE39" s="116"/>
      <c r="AF39" s="116"/>
      <c r="AG39" s="116"/>
      <c r="AH39" s="116"/>
      <c r="AI39" s="116"/>
      <c r="AJ39" s="114"/>
      <c r="AK39" s="217">
        <f>AH126</f>
        <v>0</v>
      </c>
      <c r="AL39" s="214" t="s">
        <v>144</v>
      </c>
      <c r="AN39" s="35">
        <f t="shared" si="7"/>
        <v>0</v>
      </c>
      <c r="AO39" s="35">
        <f t="shared" si="8"/>
        <v>4.1666666666666685E-2</v>
      </c>
      <c r="AP39" s="36">
        <f t="shared" si="9"/>
        <v>8</v>
      </c>
      <c r="AQ39" s="36">
        <f t="shared" si="10"/>
        <v>9</v>
      </c>
      <c r="AR39" s="36">
        <f t="shared" si="11"/>
        <v>0</v>
      </c>
      <c r="AS39" s="37">
        <f t="shared" si="12"/>
        <v>0</v>
      </c>
      <c r="AT39" s="38">
        <f t="shared" si="13"/>
        <v>0</v>
      </c>
      <c r="AU39" s="39">
        <f t="shared" si="14"/>
        <v>0</v>
      </c>
      <c r="AV39" s="36">
        <f t="shared" si="15"/>
        <v>-1</v>
      </c>
      <c r="AW39" s="36">
        <f t="shared" si="16"/>
        <v>11</v>
      </c>
      <c r="AX39" s="41">
        <f t="shared" si="17"/>
        <v>-1</v>
      </c>
      <c r="AY39" s="36">
        <f t="shared" si="18"/>
        <v>22</v>
      </c>
      <c r="AZ39" s="36">
        <f t="shared" si="19"/>
        <v>-13</v>
      </c>
      <c r="BA39" s="36">
        <f t="shared" si="20"/>
        <v>4.1666666666666685E-2</v>
      </c>
      <c r="BB39" s="36">
        <f t="shared" si="21"/>
        <v>1.0000000000000004</v>
      </c>
      <c r="BC39" s="36">
        <f t="shared" si="22"/>
        <v>1.0000000000000004</v>
      </c>
      <c r="BD39" s="43">
        <f t="shared" si="23"/>
        <v>0</v>
      </c>
      <c r="BE39" s="31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</row>
    <row r="40" spans="1:80" s="2" customFormat="1" ht="20.100000000000001" customHeight="1" x14ac:dyDescent="0.25">
      <c r="A40" s="123"/>
      <c r="B40" s="116"/>
      <c r="C40" s="124"/>
      <c r="D40" s="116"/>
      <c r="E40" s="116"/>
      <c r="F40" s="116"/>
      <c r="G40" s="116"/>
      <c r="H40" s="116"/>
      <c r="I40" s="116"/>
      <c r="J40" s="116"/>
      <c r="K40" s="116"/>
      <c r="L40" s="122"/>
      <c r="M40" s="122"/>
      <c r="N40" s="125"/>
      <c r="O40" s="122"/>
      <c r="P40" s="122"/>
      <c r="Q40" s="115"/>
      <c r="R40" s="197" t="str">
        <f>CONTROL!F43</f>
        <v>I</v>
      </c>
      <c r="S40" s="222">
        <f>CONTROL!G43</f>
        <v>0.41666666666666669</v>
      </c>
      <c r="T40" s="222"/>
      <c r="U40" s="118" t="s">
        <v>11</v>
      </c>
      <c r="V40" s="223">
        <f>CONTROL!H43</f>
        <v>0.45833333333333331</v>
      </c>
      <c r="W40" s="223"/>
      <c r="X40" s="115"/>
      <c r="Y40" s="120"/>
      <c r="Z40" s="121"/>
      <c r="AA40" s="121"/>
      <c r="AB40" s="120"/>
      <c r="AC40" s="121"/>
      <c r="AD40" s="121"/>
      <c r="AE40" s="116"/>
      <c r="AF40" s="116"/>
      <c r="AG40" s="116"/>
      <c r="AH40" s="116"/>
      <c r="AI40" s="116"/>
      <c r="AJ40" s="114"/>
      <c r="AK40" s="217">
        <f>AH137</f>
        <v>0</v>
      </c>
      <c r="AL40" s="214" t="s">
        <v>145</v>
      </c>
      <c r="AN40" s="35">
        <f t="shared" si="7"/>
        <v>0</v>
      </c>
      <c r="AO40" s="35">
        <f t="shared" si="8"/>
        <v>4.166666666666663E-2</v>
      </c>
      <c r="AP40" s="36">
        <f>S40*24+24</f>
        <v>34</v>
      </c>
      <c r="AQ40" s="36">
        <f t="shared" si="10"/>
        <v>11</v>
      </c>
      <c r="AR40" s="36">
        <f t="shared" si="11"/>
        <v>0</v>
      </c>
      <c r="AS40" s="37">
        <f t="shared" si="12"/>
        <v>0</v>
      </c>
      <c r="AT40" s="38">
        <f t="shared" si="13"/>
        <v>0</v>
      </c>
      <c r="AU40" s="39">
        <f t="shared" si="14"/>
        <v>0</v>
      </c>
      <c r="AV40" s="36">
        <f t="shared" si="15"/>
        <v>-4</v>
      </c>
      <c r="AW40" s="36">
        <f t="shared" si="16"/>
        <v>-4</v>
      </c>
      <c r="AX40" s="41">
        <f t="shared" si="17"/>
        <v>0</v>
      </c>
      <c r="AY40" s="36">
        <f t="shared" si="18"/>
        <v>-4</v>
      </c>
      <c r="AZ40" s="36">
        <f t="shared" si="19"/>
        <v>-23</v>
      </c>
      <c r="BA40" s="36">
        <f t="shared" si="20"/>
        <v>4.166666666666663E-2</v>
      </c>
      <c r="BB40" s="36">
        <f t="shared" si="21"/>
        <v>0.99999999999999911</v>
      </c>
      <c r="BC40" s="36">
        <f t="shared" si="22"/>
        <v>0.99999999999999911</v>
      </c>
      <c r="BD40" s="43">
        <f t="shared" si="23"/>
        <v>0</v>
      </c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</row>
    <row r="41" spans="1:80" s="2" customFormat="1" ht="20.100000000000001" customHeight="1" x14ac:dyDescent="0.25">
      <c r="A41" s="123"/>
      <c r="B41" s="116"/>
      <c r="C41" s="124"/>
      <c r="D41" s="116"/>
      <c r="E41" s="116"/>
      <c r="F41" s="116"/>
      <c r="G41" s="116"/>
      <c r="H41" s="116"/>
      <c r="I41" s="116"/>
      <c r="J41" s="116"/>
      <c r="K41" s="116"/>
      <c r="L41" s="122"/>
      <c r="M41" s="122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6"/>
      <c r="AB41" s="116"/>
      <c r="AC41" s="116"/>
      <c r="AD41" s="116"/>
      <c r="AE41" s="116"/>
      <c r="AF41" s="116"/>
      <c r="AG41" s="116"/>
      <c r="AH41" s="116"/>
      <c r="AI41" s="116"/>
      <c r="AJ41" s="114"/>
      <c r="AK41" s="217">
        <f>AH148</f>
        <v>0</v>
      </c>
      <c r="AL41" s="214" t="s">
        <v>146</v>
      </c>
      <c r="AN41" s="10"/>
      <c r="AO41" s="10"/>
      <c r="AP41" s="46">
        <f>S41*24</f>
        <v>0</v>
      </c>
      <c r="AQ41" s="10"/>
      <c r="AR41" s="47">
        <v>1</v>
      </c>
      <c r="AS41" s="47">
        <v>2</v>
      </c>
      <c r="AT41" s="47">
        <v>3</v>
      </c>
      <c r="AU41" s="47">
        <v>4</v>
      </c>
      <c r="AV41" s="47">
        <v>5</v>
      </c>
      <c r="AW41" s="47">
        <v>6</v>
      </c>
      <c r="AX41" s="47">
        <v>7</v>
      </c>
      <c r="AY41" s="47">
        <v>8</v>
      </c>
      <c r="AZ41" s="47">
        <v>9</v>
      </c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</row>
    <row r="42" spans="1:80" ht="20.100000000000001" customHeight="1" x14ac:dyDescent="0.25">
      <c r="A42" s="116"/>
      <c r="B42" s="126"/>
      <c r="C42" s="224" t="s">
        <v>43</v>
      </c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5" t="str">
        <f>CONTROL!B38</f>
        <v>OSCAR ORGEIRA © 20.03.00 EXCEL</v>
      </c>
      <c r="X42" s="225"/>
      <c r="Y42" s="225"/>
      <c r="Z42" s="225"/>
      <c r="AA42" s="225"/>
      <c r="AB42" s="225"/>
      <c r="AC42" s="225"/>
      <c r="AD42" s="225"/>
      <c r="AE42" s="225"/>
      <c r="AF42" s="225"/>
      <c r="AG42" s="225"/>
      <c r="AH42" s="225"/>
      <c r="AI42" s="127"/>
      <c r="AJ42" s="116"/>
      <c r="AK42" s="218">
        <f>AH159</f>
        <v>0</v>
      </c>
      <c r="AL42" s="215" t="s">
        <v>147</v>
      </c>
      <c r="BE42" s="10"/>
    </row>
    <row r="43" spans="1:80" ht="20.100000000000001" customHeight="1" x14ac:dyDescent="0.25">
      <c r="A43" s="116"/>
      <c r="B43" s="116"/>
      <c r="C43" s="234" t="s">
        <v>44</v>
      </c>
      <c r="D43" s="234"/>
      <c r="E43" s="235" t="s">
        <v>45</v>
      </c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  <c r="AA43" s="235"/>
      <c r="AB43" s="235"/>
      <c r="AC43" s="235"/>
      <c r="AD43" s="235"/>
      <c r="AE43" s="235"/>
      <c r="AF43" s="235"/>
      <c r="AG43" s="235"/>
      <c r="AH43" s="235"/>
      <c r="AI43" s="235"/>
      <c r="AJ43" s="116"/>
      <c r="AK43" s="218">
        <f>AH170</f>
        <v>0</v>
      </c>
      <c r="AL43" s="215" t="s">
        <v>148</v>
      </c>
      <c r="BE43" s="10"/>
    </row>
    <row r="44" spans="1:80" s="2" customFormat="1" ht="15.95" hidden="1" customHeight="1" x14ac:dyDescent="0.25">
      <c r="A44" s="123"/>
      <c r="B44" s="114"/>
      <c r="C44" s="128"/>
      <c r="D44" s="114"/>
      <c r="E44" s="114"/>
      <c r="F44" s="114"/>
      <c r="G44" s="114"/>
      <c r="H44" s="114"/>
      <c r="I44" s="114"/>
      <c r="J44" s="114"/>
      <c r="K44" s="114"/>
      <c r="L44" s="125"/>
      <c r="M44" s="125"/>
      <c r="N44" s="125"/>
      <c r="O44" s="125"/>
      <c r="P44" s="125"/>
      <c r="Q44" s="125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N44" s="10"/>
      <c r="AO44" s="10"/>
      <c r="AP44" s="10"/>
      <c r="AQ44" s="10"/>
      <c r="AR44" s="47"/>
      <c r="AS44" s="47"/>
      <c r="AT44" s="47"/>
      <c r="AU44" s="47"/>
      <c r="AV44" s="47"/>
      <c r="AW44" s="47"/>
      <c r="AX44" s="47"/>
      <c r="AY44" s="47"/>
      <c r="AZ44" s="47"/>
      <c r="BA44" s="10"/>
      <c r="BB44" s="10"/>
      <c r="BC44" s="10"/>
      <c r="BD44" s="10"/>
      <c r="BE44" s="48" t="str">
        <f>INDEX({"do";"lu";"ma";"mi";"ju";"vi";"sa"},1+MOD($AR$47+4-2,7))</f>
        <v>ju</v>
      </c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</row>
    <row r="45" spans="1:80" ht="15.95" hidden="1" customHeight="1" x14ac:dyDescent="0.25">
      <c r="A45" s="129"/>
      <c r="B45" s="130" t="s">
        <v>46</v>
      </c>
      <c r="C45" s="131">
        <f t="shared" ref="C45:AH45" si="25">IF(C7="S",IF(C7="",0,1),IF(C7="D",IF(C7="",0,1),""))</f>
        <v>1</v>
      </c>
      <c r="D45" s="131" t="str">
        <f t="shared" si="25"/>
        <v/>
      </c>
      <c r="E45" s="131" t="str">
        <f t="shared" si="25"/>
        <v/>
      </c>
      <c r="F45" s="131" t="str">
        <f t="shared" si="25"/>
        <v/>
      </c>
      <c r="G45" s="131" t="str">
        <f t="shared" si="25"/>
        <v/>
      </c>
      <c r="H45" s="131" t="str">
        <f t="shared" si="25"/>
        <v/>
      </c>
      <c r="I45" s="131">
        <f t="shared" si="25"/>
        <v>1</v>
      </c>
      <c r="J45" s="131">
        <f t="shared" si="25"/>
        <v>1</v>
      </c>
      <c r="K45" s="131" t="str">
        <f t="shared" si="25"/>
        <v/>
      </c>
      <c r="L45" s="131" t="str">
        <f t="shared" si="25"/>
        <v/>
      </c>
      <c r="M45" s="131" t="str">
        <f t="shared" si="25"/>
        <v/>
      </c>
      <c r="N45" s="131" t="str">
        <f t="shared" si="25"/>
        <v/>
      </c>
      <c r="O45" s="131" t="str">
        <f t="shared" si="25"/>
        <v/>
      </c>
      <c r="P45" s="131">
        <f t="shared" si="25"/>
        <v>1</v>
      </c>
      <c r="Q45" s="131">
        <f t="shared" si="25"/>
        <v>1</v>
      </c>
      <c r="R45" s="131" t="str">
        <f t="shared" si="25"/>
        <v/>
      </c>
      <c r="S45" s="131" t="str">
        <f t="shared" si="25"/>
        <v/>
      </c>
      <c r="T45" s="131" t="str">
        <f t="shared" si="25"/>
        <v/>
      </c>
      <c r="U45" s="131" t="str">
        <f t="shared" si="25"/>
        <v/>
      </c>
      <c r="V45" s="131" t="str">
        <f t="shared" si="25"/>
        <v/>
      </c>
      <c r="W45" s="131">
        <f t="shared" si="25"/>
        <v>1</v>
      </c>
      <c r="X45" s="131">
        <f t="shared" si="25"/>
        <v>1</v>
      </c>
      <c r="Y45" s="131" t="str">
        <f t="shared" si="25"/>
        <v/>
      </c>
      <c r="Z45" s="131" t="str">
        <f t="shared" si="25"/>
        <v/>
      </c>
      <c r="AA45" s="131" t="str">
        <f t="shared" si="25"/>
        <v/>
      </c>
      <c r="AB45" s="131" t="str">
        <f t="shared" si="25"/>
        <v/>
      </c>
      <c r="AC45" s="131" t="str">
        <f t="shared" si="25"/>
        <v/>
      </c>
      <c r="AD45" s="131">
        <f t="shared" si="25"/>
        <v>1</v>
      </c>
      <c r="AE45" s="131" t="str">
        <f t="shared" si="25"/>
        <v/>
      </c>
      <c r="AF45" s="131" t="str">
        <f t="shared" si="25"/>
        <v/>
      </c>
      <c r="AG45" s="131" t="str">
        <f t="shared" si="25"/>
        <v/>
      </c>
      <c r="AH45" s="132" t="str">
        <f t="shared" si="25"/>
        <v/>
      </c>
      <c r="AI45" s="236" t="s">
        <v>8</v>
      </c>
      <c r="AJ45" s="236"/>
      <c r="AK45" s="133"/>
      <c r="AL45" s="133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49" t="str">
        <f>IF(MONTH($Q$4)&lt;&gt;MONTH($Q$4-(WEEKDAY($Q$4,1)-($AR$47-1))-IF((WEEKDAY($Q$4,1)-($AR$47-1))&lt;=0,7,0)+(ROW(BE45)-ROW($AN$51))*7+(COLUMN(BE45)-COLUMN($AN$51)+1)),"",$Q$4-(WEEKDAY($Q$4,1)-($AR$47-1))-IF((WEEKDAY($Q$4,1)-($AR$47-1))&lt;=0,7,0)+(ROW(BE45)-ROW($AN$51))*7+(COLUMN(BE45)-COLUMN($AN$51)+1))</f>
        <v/>
      </c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</row>
    <row r="46" spans="1:80" s="2" customFormat="1" ht="15.95" hidden="1" customHeight="1" x14ac:dyDescent="0.25">
      <c r="A46" s="134" t="s">
        <v>47</v>
      </c>
      <c r="B46" s="134" t="s">
        <v>48</v>
      </c>
      <c r="C46" s="135">
        <f t="shared" ref="C46:AG46" si="26">IF(C6="X",IF(C6="",0,1),IF(C45=1,IF(C45="",0,1),""))</f>
        <v>1</v>
      </c>
      <c r="D46" s="135" t="str">
        <f t="shared" si="26"/>
        <v/>
      </c>
      <c r="E46" s="135" t="str">
        <f t="shared" si="26"/>
        <v/>
      </c>
      <c r="F46" s="135" t="str">
        <f t="shared" si="26"/>
        <v/>
      </c>
      <c r="G46" s="135" t="str">
        <f t="shared" si="26"/>
        <v/>
      </c>
      <c r="H46" s="135" t="str">
        <f t="shared" si="26"/>
        <v/>
      </c>
      <c r="I46" s="135">
        <f t="shared" si="26"/>
        <v>1</v>
      </c>
      <c r="J46" s="135">
        <f t="shared" si="26"/>
        <v>1</v>
      </c>
      <c r="K46" s="135" t="str">
        <f t="shared" si="26"/>
        <v/>
      </c>
      <c r="L46" s="135" t="str">
        <f t="shared" si="26"/>
        <v/>
      </c>
      <c r="M46" s="135" t="str">
        <f t="shared" si="26"/>
        <v/>
      </c>
      <c r="N46" s="135" t="str">
        <f t="shared" si="26"/>
        <v/>
      </c>
      <c r="O46" s="135" t="str">
        <f t="shared" si="26"/>
        <v/>
      </c>
      <c r="P46" s="135">
        <f t="shared" si="26"/>
        <v>1</v>
      </c>
      <c r="Q46" s="135">
        <f t="shared" si="26"/>
        <v>1</v>
      </c>
      <c r="R46" s="135" t="str">
        <f t="shared" si="26"/>
        <v/>
      </c>
      <c r="S46" s="135" t="str">
        <f t="shared" si="26"/>
        <v/>
      </c>
      <c r="T46" s="135" t="str">
        <f t="shared" si="26"/>
        <v/>
      </c>
      <c r="U46" s="135" t="str">
        <f t="shared" si="26"/>
        <v/>
      </c>
      <c r="V46" s="135" t="str">
        <f t="shared" si="26"/>
        <v/>
      </c>
      <c r="W46" s="135">
        <f t="shared" si="26"/>
        <v>1</v>
      </c>
      <c r="X46" s="135">
        <f t="shared" si="26"/>
        <v>1</v>
      </c>
      <c r="Y46" s="135" t="str">
        <f t="shared" si="26"/>
        <v/>
      </c>
      <c r="Z46" s="135" t="str">
        <f t="shared" si="26"/>
        <v/>
      </c>
      <c r="AA46" s="135" t="str">
        <f t="shared" si="26"/>
        <v/>
      </c>
      <c r="AB46" s="135" t="str">
        <f t="shared" si="26"/>
        <v/>
      </c>
      <c r="AC46" s="135" t="str">
        <f t="shared" si="26"/>
        <v/>
      </c>
      <c r="AD46" s="135">
        <f t="shared" si="26"/>
        <v>1</v>
      </c>
      <c r="AE46" s="132" t="str">
        <f t="shared" si="26"/>
        <v/>
      </c>
      <c r="AF46" s="132" t="str">
        <f t="shared" si="26"/>
        <v/>
      </c>
      <c r="AG46" s="132" t="str">
        <f t="shared" si="26"/>
        <v/>
      </c>
      <c r="AH46" s="136" t="b">
        <f>IF(AH6="X",IF(AH6="",0,1))</f>
        <v>0</v>
      </c>
      <c r="AI46" s="231">
        <f>(AH32-AH33)*AL46</f>
        <v>4</v>
      </c>
      <c r="AJ46" s="231"/>
      <c r="AK46" s="137" t="s">
        <v>49</v>
      </c>
      <c r="AL46" s="138">
        <f>SUM(C46:AG46)</f>
        <v>8</v>
      </c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</row>
    <row r="47" spans="1:80" s="2" customFormat="1" ht="15.95" hidden="1" customHeight="1" x14ac:dyDescent="0.3">
      <c r="A47" s="139" t="s">
        <v>50</v>
      </c>
      <c r="B47" s="140" t="s">
        <v>29</v>
      </c>
      <c r="C47" s="141">
        <f t="shared" ref="C47:AG47" si="27">IF(C9=$R32,$S32*24,IF(C9=$R33,$S33*24,IF(C9=$R34,$S34*24,IF(C9=$R35,$S35*24,IF(C9=$R36,$S36*24,IF(C9=$R37,$S37*24,IF(C9=$R38,$S38*24,IF(C9=$R39,$S39*24,IF(C9=$R40,$S40*24,"")))))))))</f>
        <v>18</v>
      </c>
      <c r="D47" s="141" t="str">
        <f t="shared" si="27"/>
        <v/>
      </c>
      <c r="E47" s="141" t="str">
        <f t="shared" si="27"/>
        <v/>
      </c>
      <c r="F47" s="141" t="str">
        <f t="shared" si="27"/>
        <v/>
      </c>
      <c r="G47" s="141">
        <f>IF(G9=$R32,$S32*24,IF(G9=$R33,$S33*24,IF(G9=$R34,$S34*24,IF(G9=$R35,$S35*24,IF(G9=$R36,$S36*24,IF(G9=$R37,$S37*24,IF(G9=$R38,$S38*24,IF(G9=$R39,$S39*24,IF(G9=$R40,$S40*24,"")))))))))</f>
        <v>19</v>
      </c>
      <c r="H47" s="141">
        <f t="shared" si="27"/>
        <v>19</v>
      </c>
      <c r="I47" s="141">
        <f t="shared" si="27"/>
        <v>19</v>
      </c>
      <c r="J47" s="141">
        <f t="shared" si="27"/>
        <v>19</v>
      </c>
      <c r="K47" s="141" t="str">
        <f t="shared" si="27"/>
        <v/>
      </c>
      <c r="L47" s="141" t="str">
        <f t="shared" si="27"/>
        <v/>
      </c>
      <c r="M47" s="141">
        <f t="shared" si="27"/>
        <v>19</v>
      </c>
      <c r="N47" s="141">
        <f t="shared" si="27"/>
        <v>19</v>
      </c>
      <c r="O47" s="141" t="str">
        <f t="shared" si="27"/>
        <v/>
      </c>
      <c r="P47" s="141" t="str">
        <f t="shared" si="27"/>
        <v/>
      </c>
      <c r="Q47" s="141" t="str">
        <f t="shared" si="27"/>
        <v/>
      </c>
      <c r="R47" s="141">
        <f t="shared" si="27"/>
        <v>19</v>
      </c>
      <c r="S47" s="141">
        <f t="shared" si="27"/>
        <v>19</v>
      </c>
      <c r="T47" s="141" t="str">
        <f t="shared" si="27"/>
        <v/>
      </c>
      <c r="U47" s="141" t="str">
        <f t="shared" si="27"/>
        <v/>
      </c>
      <c r="V47" s="141">
        <f t="shared" si="27"/>
        <v>19</v>
      </c>
      <c r="W47" s="141">
        <f t="shared" si="27"/>
        <v>19</v>
      </c>
      <c r="X47" s="141">
        <f t="shared" si="27"/>
        <v>19</v>
      </c>
      <c r="Y47" s="141" t="str">
        <f t="shared" si="27"/>
        <v/>
      </c>
      <c r="Z47" s="141" t="str">
        <f t="shared" si="27"/>
        <v/>
      </c>
      <c r="AA47" s="141">
        <f t="shared" si="27"/>
        <v>19</v>
      </c>
      <c r="AB47" s="141">
        <f t="shared" si="27"/>
        <v>19</v>
      </c>
      <c r="AC47" s="141" t="str">
        <f t="shared" si="27"/>
        <v/>
      </c>
      <c r="AD47" s="141" t="str">
        <f t="shared" si="27"/>
        <v/>
      </c>
      <c r="AE47" s="141" t="str">
        <f t="shared" si="27"/>
        <v/>
      </c>
      <c r="AF47" s="141" t="str">
        <f t="shared" si="27"/>
        <v/>
      </c>
      <c r="AG47" s="141" t="str">
        <f t="shared" si="27"/>
        <v/>
      </c>
      <c r="AH47" s="142" t="s">
        <v>12</v>
      </c>
      <c r="AI47" s="231">
        <f>(CA59-AH46)*AH33</f>
        <v>0</v>
      </c>
      <c r="AJ47" s="231"/>
      <c r="AK47" s="137" t="s">
        <v>51</v>
      </c>
      <c r="AL47" s="137"/>
      <c r="AN47" s="237" t="s">
        <v>52</v>
      </c>
      <c r="AO47" s="237"/>
      <c r="AP47" s="10"/>
      <c r="AQ47" s="50" t="s">
        <v>53</v>
      </c>
      <c r="AR47" s="46">
        <v>2</v>
      </c>
      <c r="AS47" s="51">
        <v>1</v>
      </c>
      <c r="AT47" s="52" t="str">
        <f>IF(AN53="lu","LUNES",IF(AN53="ma","MARTES",IF(AN53="mi","MIERCOLES",IF(AN53="ju","JUEVES",IF(AN53="vi","VIERNES",IF(AN53="sa","SABADO",IF(AN53="do","DOMINGO",IF(AO53="lu","LUNES",IF(AO53="ma","MARTES",IF(AO53="mi","MIERCOLES",IF(AO53="ju","JUEVES",IF(AO53="vi","VIERNES",IF(AO53="sa","SABADO",IF(AO53="do","DOMINGO",IF(AP53="lu","LUNES",IF(AP53="ma","MARTES",IF(AP53="mi","MIERCOLES",IF(AP53="ju","JUEVES",IF(AP53="vi","VIERNES",IF(AP53="sa","SABADO",IF(AP53="do","DOMINGO",IF(AQ53="lu","LUNES",IF(AQ53="ma","MARTES",IF(AQ53="mi","MIERCOLES",IF(AQ53="ju","JUEVES",IF(AQ53="vi","VIERNES",IF(AQ53="sa","SABADO",IF(AQ53="do","DOMINGO",IF(AR53="lu","LUNES",IF(AR53="ma","MARTES",IF(AR53="mi","MIERCOLES",IF(AR53="ju","JUEVES",IF(AR53="vi","VIERNES",IF(AR53="sa","SABADO",IF(AR53="do","DOMINGO","")))))))))))))))))))))))))))))))))))</f>
        <v/>
      </c>
      <c r="AU47" s="50" t="s">
        <v>54</v>
      </c>
      <c r="AV47" s="53" t="str">
        <f>IF(AT47="LUNES","LUNES",IF(AT47="MARTES","MARTES",IF(AT47="MIERCOLES","MIERCOLES",IF(AT47="JUEVES","JUEVES",IF(AT47="VIERNES","VIERNES",IF(AT47="SABADO","SABADO",IF(AT47="DOMINGO","DOMINGO",IF(AT48="LUNES","LUNES",IF(AT48="MARTES","MARTES",IF(AT48="MIERCOLES","MIERCOLES",IF(AT48="JUEVES","JUEVES",IF(AT48="VIERNES","VIERNES",IF(AT48="SABADO","SABADO",IF(AT48="DOMINGO","DOMINGO",""))))))))))))))</f>
        <v>DOMINGO</v>
      </c>
      <c r="AW47" s="51">
        <v>28</v>
      </c>
      <c r="AX47" s="46">
        <f>$AR$48+27</f>
        <v>46081</v>
      </c>
      <c r="AY47" s="51">
        <v>30</v>
      </c>
      <c r="AZ47" s="46">
        <f>$AR$48+29</f>
        <v>46083</v>
      </c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</row>
    <row r="48" spans="1:80" s="2" customFormat="1" ht="15.95" hidden="1" customHeight="1" x14ac:dyDescent="0.35">
      <c r="A48" s="143" t="s">
        <v>55</v>
      </c>
      <c r="B48" s="144" t="s">
        <v>30</v>
      </c>
      <c r="C48" s="141">
        <f t="shared" ref="C48:AG48" si="28">IF(C9=$R32,$V32*24,IF(C9=$R33,$V33*24,IF(C9=$R34,$V34*24,IF(C9=$R35,$V35*24,IF(C9=$R36,$V36*24,IF(C9=$R37,$V37*24,IF(C9=$R38,$V38*24,IF(C9=$R39,$V39*24,IF(C9=$R40,$V40*24,"")))))))))</f>
        <v>6</v>
      </c>
      <c r="D48" s="141" t="str">
        <f t="shared" si="28"/>
        <v/>
      </c>
      <c r="E48" s="141" t="str">
        <f t="shared" si="28"/>
        <v/>
      </c>
      <c r="F48" s="141" t="str">
        <f t="shared" si="28"/>
        <v/>
      </c>
      <c r="G48" s="141">
        <f>IF(G9=$R32,$V32*24,IF(G9=$R33,$V33*24,IF(G9=$R34,$V34*24,IF(G9=$R35,$V35*24,IF(G9=$R36,$V36*24,IF(G9=$R37,$V37*24,IF(G9=$R38,$V38*24,IF(G9=$R39,$V39*24,IF(G9=$R40,$V40*24,"")))))))))</f>
        <v>7</v>
      </c>
      <c r="H48" s="141">
        <f t="shared" si="28"/>
        <v>7</v>
      </c>
      <c r="I48" s="141">
        <f t="shared" si="28"/>
        <v>7</v>
      </c>
      <c r="J48" s="141">
        <f t="shared" si="28"/>
        <v>7</v>
      </c>
      <c r="K48" s="141" t="str">
        <f t="shared" si="28"/>
        <v/>
      </c>
      <c r="L48" s="141" t="str">
        <f t="shared" si="28"/>
        <v/>
      </c>
      <c r="M48" s="141">
        <f t="shared" si="28"/>
        <v>7</v>
      </c>
      <c r="N48" s="141">
        <f t="shared" si="28"/>
        <v>7</v>
      </c>
      <c r="O48" s="141" t="str">
        <f t="shared" si="28"/>
        <v/>
      </c>
      <c r="P48" s="141" t="str">
        <f t="shared" si="28"/>
        <v/>
      </c>
      <c r="Q48" s="141" t="str">
        <f t="shared" si="28"/>
        <v/>
      </c>
      <c r="R48" s="141">
        <f t="shared" si="28"/>
        <v>7</v>
      </c>
      <c r="S48" s="141">
        <f t="shared" si="28"/>
        <v>7</v>
      </c>
      <c r="T48" s="141" t="str">
        <f t="shared" si="28"/>
        <v/>
      </c>
      <c r="U48" s="141" t="str">
        <f t="shared" si="28"/>
        <v/>
      </c>
      <c r="V48" s="141">
        <f t="shared" si="28"/>
        <v>7</v>
      </c>
      <c r="W48" s="141">
        <f t="shared" si="28"/>
        <v>7</v>
      </c>
      <c r="X48" s="141">
        <f t="shared" si="28"/>
        <v>7</v>
      </c>
      <c r="Y48" s="141" t="str">
        <f t="shared" si="28"/>
        <v/>
      </c>
      <c r="Z48" s="141" t="str">
        <f t="shared" si="28"/>
        <v/>
      </c>
      <c r="AA48" s="141">
        <f t="shared" si="28"/>
        <v>7</v>
      </c>
      <c r="AB48" s="141">
        <f t="shared" si="28"/>
        <v>7</v>
      </c>
      <c r="AC48" s="141" t="str">
        <f t="shared" si="28"/>
        <v/>
      </c>
      <c r="AD48" s="141" t="str">
        <f t="shared" si="28"/>
        <v/>
      </c>
      <c r="AE48" s="141" t="str">
        <f t="shared" si="28"/>
        <v/>
      </c>
      <c r="AF48" s="141" t="str">
        <f t="shared" si="28"/>
        <v/>
      </c>
      <c r="AG48" s="141" t="str">
        <f t="shared" si="28"/>
        <v/>
      </c>
      <c r="AH48" s="142" t="s">
        <v>12</v>
      </c>
      <c r="AI48" s="230">
        <f>SUM(AI46:AI47)</f>
        <v>4</v>
      </c>
      <c r="AJ48" s="230"/>
      <c r="AK48" s="137" t="s">
        <v>56</v>
      </c>
      <c r="AL48" s="137"/>
      <c r="AN48" s="10"/>
      <c r="AO48" s="10"/>
      <c r="AP48" s="10"/>
      <c r="AQ48" s="50" t="s">
        <v>57</v>
      </c>
      <c r="AR48" s="54">
        <f>DATE($C$34,$C$35,1)</f>
        <v>46054</v>
      </c>
      <c r="AS48" s="51">
        <v>2</v>
      </c>
      <c r="AT48" s="52" t="str">
        <f>IF(AS53="lu","LUNES",IF(AS53="ma","MARTES",IF(AS53="mi","MIERCOLES",IF(AS53="ju","JUEVES",IF(AS53="vi","VIERNES",IF(AS53="sa","SABADO",IF(AS53="do","DOMINGO",IF(AT53="lu","LUNES",IF(AT53="ma","MARTES",IF(AT53="mi","MIERCOLES",IF(AT53="ju","JUEVES",IF(AT53="vi","VIERNES",IF(AT53="sa","SABADO",IF(AT53="do","DOMINGO",""))))))))))))))</f>
        <v>DOMINGO</v>
      </c>
      <c r="AU48" s="10"/>
      <c r="AV48" s="51"/>
      <c r="AW48" s="51">
        <v>29</v>
      </c>
      <c r="AX48" s="46">
        <f>$AR$48+28</f>
        <v>46082</v>
      </c>
      <c r="AY48" s="51">
        <v>31</v>
      </c>
      <c r="AZ48" s="46">
        <f>$AR$48+30</f>
        <v>46084</v>
      </c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</row>
    <row r="49" spans="1:80" s="2" customFormat="1" ht="15.95" hidden="1" customHeight="1" x14ac:dyDescent="0.25">
      <c r="A49" s="145"/>
      <c r="B49" s="146" t="s">
        <v>34</v>
      </c>
      <c r="C49" s="147">
        <f t="shared" ref="C49:AD49" si="29">IF(C9=$R32,$BD32*24,IF(C9=$R33,$BD33*24,IF(C9=$R34,$BD34*24,IF(C9=$R35,$BD35*24,IF(C9=$R36,$BD36*24,IF(C9=$R37,$BD37*24,IF(C9=$R38,$BD38*24,IF(C9=$R39,$BD39*24,IF(C9=$R40,$BD40*24,"")))))))))</f>
        <v>8</v>
      </c>
      <c r="D49" s="147" t="str">
        <f t="shared" si="29"/>
        <v/>
      </c>
      <c r="E49" s="147" t="str">
        <f t="shared" si="29"/>
        <v/>
      </c>
      <c r="F49" s="147" t="str">
        <f t="shared" si="29"/>
        <v/>
      </c>
      <c r="G49" s="147">
        <f>IF(G9=$R32,$BD32*24,IF(G9=$R33,$BD33*24,IF(G9=$R34,$BD34*24,IF(G9=$R35,$BD35*24,IF(G9=$R36,$BD36*24,IF(G9=$R37,$BD37*24,IF(G9=$R38,$BD38*24,IF(G9=$R39,$BD39*24,IF(G9=$R40,$BD40*24,"")))))))))</f>
        <v>8</v>
      </c>
      <c r="H49" s="147">
        <f t="shared" si="29"/>
        <v>8</v>
      </c>
      <c r="I49" s="147">
        <f t="shared" si="29"/>
        <v>8</v>
      </c>
      <c r="J49" s="147">
        <f t="shared" si="29"/>
        <v>8</v>
      </c>
      <c r="K49" s="147" t="str">
        <f t="shared" si="29"/>
        <v/>
      </c>
      <c r="L49" s="147" t="str">
        <f t="shared" si="29"/>
        <v/>
      </c>
      <c r="M49" s="147">
        <f t="shared" si="29"/>
        <v>8</v>
      </c>
      <c r="N49" s="147">
        <f t="shared" si="29"/>
        <v>8</v>
      </c>
      <c r="O49" s="147" t="str">
        <f t="shared" si="29"/>
        <v/>
      </c>
      <c r="P49" s="147" t="str">
        <f t="shared" si="29"/>
        <v/>
      </c>
      <c r="Q49" s="147" t="str">
        <f t="shared" si="29"/>
        <v/>
      </c>
      <c r="R49" s="147">
        <f t="shared" si="29"/>
        <v>8</v>
      </c>
      <c r="S49" s="147">
        <f t="shared" si="29"/>
        <v>8</v>
      </c>
      <c r="T49" s="147" t="str">
        <f t="shared" si="29"/>
        <v/>
      </c>
      <c r="U49" s="147" t="str">
        <f t="shared" si="29"/>
        <v/>
      </c>
      <c r="V49" s="147">
        <f t="shared" si="29"/>
        <v>8</v>
      </c>
      <c r="W49" s="147">
        <f t="shared" si="29"/>
        <v>8</v>
      </c>
      <c r="X49" s="147">
        <f t="shared" si="29"/>
        <v>8</v>
      </c>
      <c r="Y49" s="147" t="str">
        <f t="shared" si="29"/>
        <v/>
      </c>
      <c r="Z49" s="147" t="str">
        <f t="shared" si="29"/>
        <v/>
      </c>
      <c r="AA49" s="147">
        <f t="shared" si="29"/>
        <v>8</v>
      </c>
      <c r="AB49" s="147">
        <f t="shared" si="29"/>
        <v>8</v>
      </c>
      <c r="AC49" s="147" t="str">
        <f t="shared" si="29"/>
        <v/>
      </c>
      <c r="AD49" s="147" t="str">
        <f t="shared" si="29"/>
        <v/>
      </c>
      <c r="AE49" s="147" t="str">
        <f>IF(AE9=$R32,$BD32*24,IF(AE9=$R33,$BD33*24,IF(AE9=$R34,$BD34*24,IF(AE9=$R35,$BD35*24,IF(AE9=$R36,$BD36*24,IF(AE9=$R37,$BD37*24,IF(AE9=$R38,$BD38*24,IF(AE9=$R39,$BD39*24,IF(AE9=$R40,$BD40*24,"")))))))))</f>
        <v/>
      </c>
      <c r="AF49" s="147" t="str">
        <f>IF(AF9=$R32,$BD32*24,IF(AF9=$R33,$BD33*24,IF(AF9=$R34,$BD34*24,IF(AF9=$R35,$BD35*24,IF(AF9=$R36,$BD36*24,IF(AF9=$R37,$BD37*24,IF(AF9=$R38,$BD38*24,IF(AF9=$R39,$BD39*24,IF(AF9=$R40,$BD40*24,"")))))))))</f>
        <v/>
      </c>
      <c r="AG49" s="147" t="str">
        <f>IF(AG9=$R32,$BD32*24,IF(AG9=$R33,$BD33*24,IF(AG9=$R34,$BD34*24,IF(AG9=$R35,$BD35*24,IF(AG9=$R36,$BD36*24,IF(AG9=$R37,$BD37*24,IF(AG9=$R38,$BD38*24,IF(AG9=$R39,$BD39*24,IF(AG9=$R40,$BD40*24,"")))))))))</f>
        <v/>
      </c>
      <c r="AH49" s="148">
        <f>SUM(C49:AG49)</f>
        <v>112</v>
      </c>
      <c r="AI49" s="231">
        <f>C37*AF36</f>
        <v>0</v>
      </c>
      <c r="AJ49" s="231"/>
      <c r="AK49" s="137" t="s">
        <v>58</v>
      </c>
      <c r="AL49" s="137"/>
      <c r="AN49" s="232">
        <f>Q4</f>
        <v>46054</v>
      </c>
      <c r="AO49" s="232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</row>
    <row r="50" spans="1:80" s="2" customFormat="1" ht="15.95" hidden="1" customHeight="1" x14ac:dyDescent="0.25">
      <c r="A50" s="145"/>
      <c r="B50" s="149" t="s">
        <v>59</v>
      </c>
      <c r="C50" s="141">
        <f t="shared" ref="C50:AG50" si="30">IF(C9="V",$C36,IF(C9="PR",$C38,0))</f>
        <v>0</v>
      </c>
      <c r="D50" s="141">
        <f t="shared" si="30"/>
        <v>0</v>
      </c>
      <c r="E50" s="141">
        <f t="shared" si="30"/>
        <v>0</v>
      </c>
      <c r="F50" s="141">
        <f t="shared" si="30"/>
        <v>0</v>
      </c>
      <c r="G50" s="141">
        <f>IF(G9="V",$C36,IF(G9="PR",$C38,0))</f>
        <v>0</v>
      </c>
      <c r="H50" s="141">
        <f t="shared" si="30"/>
        <v>0</v>
      </c>
      <c r="I50" s="141">
        <f t="shared" si="30"/>
        <v>0</v>
      </c>
      <c r="J50" s="141">
        <f t="shared" si="30"/>
        <v>0</v>
      </c>
      <c r="K50" s="141">
        <f t="shared" si="30"/>
        <v>0</v>
      </c>
      <c r="L50" s="141">
        <f t="shared" si="30"/>
        <v>0</v>
      </c>
      <c r="M50" s="141">
        <f t="shared" si="30"/>
        <v>0</v>
      </c>
      <c r="N50" s="141">
        <f t="shared" si="30"/>
        <v>0</v>
      </c>
      <c r="O50" s="141">
        <f t="shared" si="30"/>
        <v>0</v>
      </c>
      <c r="P50" s="141">
        <f t="shared" si="30"/>
        <v>0</v>
      </c>
      <c r="Q50" s="141">
        <f t="shared" si="30"/>
        <v>0</v>
      </c>
      <c r="R50" s="141">
        <f t="shared" si="30"/>
        <v>0</v>
      </c>
      <c r="S50" s="141">
        <f t="shared" si="30"/>
        <v>0</v>
      </c>
      <c r="T50" s="141">
        <f t="shared" si="30"/>
        <v>0</v>
      </c>
      <c r="U50" s="141">
        <f t="shared" si="30"/>
        <v>0</v>
      </c>
      <c r="V50" s="141">
        <f t="shared" si="30"/>
        <v>0</v>
      </c>
      <c r="W50" s="141">
        <f t="shared" si="30"/>
        <v>0</v>
      </c>
      <c r="X50" s="141">
        <f t="shared" si="30"/>
        <v>0</v>
      </c>
      <c r="Y50" s="141">
        <f t="shared" si="30"/>
        <v>0</v>
      </c>
      <c r="Z50" s="141">
        <f t="shared" si="30"/>
        <v>0</v>
      </c>
      <c r="AA50" s="141">
        <f t="shared" si="30"/>
        <v>0</v>
      </c>
      <c r="AB50" s="141">
        <f t="shared" si="30"/>
        <v>0</v>
      </c>
      <c r="AC50" s="141">
        <f t="shared" si="30"/>
        <v>0</v>
      </c>
      <c r="AD50" s="141">
        <f t="shared" si="30"/>
        <v>0</v>
      </c>
      <c r="AE50" s="141">
        <f t="shared" si="30"/>
        <v>0</v>
      </c>
      <c r="AF50" s="141">
        <f t="shared" si="30"/>
        <v>0</v>
      </c>
      <c r="AG50" s="141">
        <f t="shared" si="30"/>
        <v>0</v>
      </c>
      <c r="AH50" s="226">
        <f>SUM(C50:AG50)</f>
        <v>0</v>
      </c>
      <c r="AI50" s="226"/>
      <c r="AJ50" s="137" t="s">
        <v>12</v>
      </c>
      <c r="AK50" s="137"/>
      <c r="AL50" s="137"/>
      <c r="AN50" s="48" t="str">
        <f>INDEX({"do";"lu";"ma";"mi";"ju";"vi";"sa"},1+MOD($AR$47+1-2,7))</f>
        <v>lu</v>
      </c>
      <c r="AO50" s="48" t="str">
        <f>INDEX({"do";"lu";"ma";"mi";"ju";"vi";"sa"},1+MOD($AR$47+2-2,7))</f>
        <v>ma</v>
      </c>
      <c r="AP50" s="48" t="str">
        <f>INDEX({"do";"lu";"ma";"mi";"ju";"vi";"sa"},1+MOD($AR$47+3-2,7))</f>
        <v>mi</v>
      </c>
      <c r="AQ50" s="48" t="str">
        <f>INDEX({"do";"lu";"ma";"mi";"ju";"vi";"sa"},1+MOD($AR$47+4-2,7))</f>
        <v>ju</v>
      </c>
      <c r="AR50" s="48" t="str">
        <f>INDEX({"do";"lu";"ma";"mi";"ju";"vi";"sa"},1+MOD($AR$47+5-2,7))</f>
        <v>vi</v>
      </c>
      <c r="AS50" s="48" t="str">
        <f>INDEX({"do";"lu";"ma";"mi";"ju";"vi";"sa"},1+MOD($AR$47+6-2,7))</f>
        <v>sa</v>
      </c>
      <c r="AT50" s="48" t="str">
        <f>INDEX({"do";"lu";"ma";"mi";"ju";"vi";"sa"},1+MOD($AR$47+7-2,7))</f>
        <v>do</v>
      </c>
      <c r="AU50" s="48" t="str">
        <f>INDEX({"do";"lu";"ma";"mi";"ju";"vi";"sa"},1+MOD($AR$47+1-2,7))</f>
        <v>lu</v>
      </c>
      <c r="AV50" s="48" t="str">
        <f>INDEX({"do";"lu";"ma";"mi";"ju";"vi";"sa"},1+MOD($AR$47+2-2,7))</f>
        <v>ma</v>
      </c>
      <c r="AW50" s="48" t="str">
        <f>INDEX({"do";"lu";"ma";"mi";"ju";"vi";"sa"},1+MOD($AR$47+3-2,7))</f>
        <v>mi</v>
      </c>
      <c r="AX50" s="48" t="str">
        <f>INDEX({"do";"lu";"ma";"mi";"ju";"vi";"sa"},1+MOD($AR$47+4-2,7))</f>
        <v>ju</v>
      </c>
      <c r="AY50" s="48" t="str">
        <f>INDEX({"do";"lu";"ma";"mi";"ju";"vi";"sa"},1+MOD($AR$47+5-2,7))</f>
        <v>vi</v>
      </c>
      <c r="AZ50" s="48" t="str">
        <f>INDEX({"do";"lu";"ma";"mi";"ju";"vi";"sa"},1+MOD($AR$47+6-2,7))</f>
        <v>sa</v>
      </c>
      <c r="BA50" s="48" t="str">
        <f>INDEX({"do";"lu";"ma";"mi";"ju";"vi";"sa"},1+MOD($AR$47+7-2,7))</f>
        <v>do</v>
      </c>
      <c r="BB50" s="48" t="str">
        <f>INDEX({"do";"lu";"ma";"mi";"ju";"vi";"sa"},1+MOD($AR$47+1-2,7))</f>
        <v>lu</v>
      </c>
      <c r="BC50" s="48" t="str">
        <f>INDEX({"do";"lu";"ma";"mi";"ju";"vi";"sa"},1+MOD($AR$47+2-2,7))</f>
        <v>ma</v>
      </c>
      <c r="BD50" s="48" t="str">
        <f>INDEX({"do";"lu";"ma";"mi";"ju";"vi";"sa"},1+MOD($AR$47+3-2,7))</f>
        <v>mi</v>
      </c>
      <c r="BE50" s="10"/>
      <c r="BF50" s="48" t="str">
        <f>INDEX({"do";"lu";"ma";"mi";"ju";"vi";"sa"},1+MOD($AR$47+5-2,7))</f>
        <v>vi</v>
      </c>
      <c r="BG50" s="48" t="str">
        <f>INDEX({"do";"lu";"ma";"mi";"ju";"vi";"sa"},1+MOD($AR$47+6-2,7))</f>
        <v>sa</v>
      </c>
      <c r="BH50" s="48" t="str">
        <f>INDEX({"do";"lu";"ma";"mi";"ju";"vi";"sa"},1+MOD($AR$47+7-2,7))</f>
        <v>do</v>
      </c>
      <c r="BI50" s="48" t="str">
        <f>INDEX({"do";"lu";"ma";"mi";"ju";"vi";"sa"},1+MOD($AR$47+1-2,7))</f>
        <v>lu</v>
      </c>
      <c r="BJ50" s="48" t="str">
        <f>INDEX({"do";"lu";"ma";"mi";"ju";"vi";"sa"},1+MOD($AR$47+2-2,7))</f>
        <v>ma</v>
      </c>
      <c r="BK50" s="48" t="str">
        <f>INDEX({"do";"lu";"ma";"mi";"ju";"vi";"sa"},1+MOD($AR$47+3-2,7))</f>
        <v>mi</v>
      </c>
      <c r="BL50" s="48" t="str">
        <f>INDEX({"do";"lu";"ma";"mi";"ju";"vi";"sa"},1+MOD($AR$47+4-2,7))</f>
        <v>ju</v>
      </c>
      <c r="BM50" s="48" t="str">
        <f>INDEX({"do";"lu";"ma";"mi";"ju";"vi";"sa"},1+MOD($AR$47+5-2,7))</f>
        <v>vi</v>
      </c>
      <c r="BN50" s="48" t="str">
        <f>INDEX({"do";"lu";"ma";"mi";"ju";"vi";"sa"},1+MOD($AR$47+6-2,7))</f>
        <v>sa</v>
      </c>
      <c r="BO50" s="48" t="str">
        <f>INDEX({"do";"lu";"ma";"mi";"ju";"vi";"sa"},1+MOD($AR$47+7-2,7))</f>
        <v>do</v>
      </c>
      <c r="BP50" s="48" t="str">
        <f>INDEX({"do";"lu";"ma";"mi";"ju";"vi";"sa"},1+MOD($AR$47+1-2,7))</f>
        <v>lu</v>
      </c>
      <c r="BQ50" s="48" t="str">
        <f>INDEX({"do";"lu";"ma";"mi";"ju";"vi";"sa"},1+MOD($AR$47+2-2,7))</f>
        <v>ma</v>
      </c>
      <c r="BR50" s="48" t="str">
        <f>INDEX({"do";"lu";"ma";"mi";"ju";"vi";"sa"},1+MOD($AR$47+3-2,7))</f>
        <v>mi</v>
      </c>
      <c r="BS50" s="48" t="str">
        <f>INDEX({"do";"lu";"ma";"mi";"ju";"vi";"sa"},1+MOD($AR$47+4-2,7))</f>
        <v>ju</v>
      </c>
      <c r="BT50" s="48" t="str">
        <f>INDEX({"do";"lu";"ma";"mi";"ju";"vi";"sa"},1+MOD($AR$47+5-2,7))</f>
        <v>vi</v>
      </c>
      <c r="BU50" s="48" t="str">
        <f>INDEX({"do";"lu";"ma";"mi";"ju";"vi";"sa"},1+MOD($AR$47+6-2,7))</f>
        <v>sa</v>
      </c>
      <c r="BV50" s="48" t="str">
        <f>INDEX({"do";"lu";"ma";"mi";"ju";"vi";"sa"},1+MOD($AR$47+7-2,7))</f>
        <v>do</v>
      </c>
      <c r="BW50" s="48" t="str">
        <f>INDEX({"do";"lu";"ma";"mi";"ju";"vi";"sa"},1+MOD($AR$47+1-2,7))</f>
        <v>lu</v>
      </c>
      <c r="BX50" s="48" t="str">
        <f>INDEX({"do";"lu";"ma";"mi";"ju";"vi";"sa"},1+MOD($AR$47+2-2,7))</f>
        <v>ma</v>
      </c>
      <c r="BY50" s="10"/>
      <c r="BZ50" s="10"/>
      <c r="CA50" s="10"/>
      <c r="CB50" s="10"/>
    </row>
    <row r="51" spans="1:80" s="2" customFormat="1" ht="15.95" hidden="1" customHeight="1" x14ac:dyDescent="0.25">
      <c r="A51" s="150" t="s">
        <v>60</v>
      </c>
      <c r="B51" s="144" t="s">
        <v>61</v>
      </c>
      <c r="C51" s="151">
        <f t="shared" ref="C51:AD51" si="31">IF(C9=$R32,$BC32,IF(C9=$R33,$BC33,IF(C9=$R34,$BC34,IF(C9=$R35,$BC35,IF(C9=$R36,$BC36,IF(C9=$R37,$BC37,IF(C9=$R38,$BC38,IF(C9=$R39,$BC39,IF(C9=$R40,$BC40,0)))))))))</f>
        <v>12</v>
      </c>
      <c r="D51" s="151">
        <f t="shared" si="31"/>
        <v>0</v>
      </c>
      <c r="E51" s="151">
        <f t="shared" si="31"/>
        <v>0</v>
      </c>
      <c r="F51" s="151">
        <f t="shared" si="31"/>
        <v>0</v>
      </c>
      <c r="G51" s="151">
        <f>IF(G9=$R32,$BC32,IF(G9=$R33,$BC33,IF(G9=$R34,$BC34,IF(G9=$R35,$BC35,IF(G9=$R36,$BC36,IF(G9=$R37,$BC37,IF(G9=$R38,$BC38,IF(G9=$R39,$BC39,IF(G9=$R40,$BC40,0)))))))))</f>
        <v>12</v>
      </c>
      <c r="H51" s="151">
        <f t="shared" si="31"/>
        <v>12</v>
      </c>
      <c r="I51" s="151">
        <f t="shared" si="31"/>
        <v>12</v>
      </c>
      <c r="J51" s="151">
        <f t="shared" si="31"/>
        <v>12</v>
      </c>
      <c r="K51" s="151">
        <f t="shared" si="31"/>
        <v>0</v>
      </c>
      <c r="L51" s="151">
        <f t="shared" si="31"/>
        <v>0</v>
      </c>
      <c r="M51" s="151">
        <f t="shared" si="31"/>
        <v>12</v>
      </c>
      <c r="N51" s="151">
        <f t="shared" si="31"/>
        <v>12</v>
      </c>
      <c r="O51" s="151">
        <f t="shared" si="31"/>
        <v>0</v>
      </c>
      <c r="P51" s="151">
        <f t="shared" si="31"/>
        <v>0</v>
      </c>
      <c r="Q51" s="151">
        <f t="shared" si="31"/>
        <v>0</v>
      </c>
      <c r="R51" s="151">
        <f t="shared" si="31"/>
        <v>12</v>
      </c>
      <c r="S51" s="151">
        <f t="shared" si="31"/>
        <v>12</v>
      </c>
      <c r="T51" s="151">
        <f t="shared" si="31"/>
        <v>0</v>
      </c>
      <c r="U51" s="151">
        <f t="shared" si="31"/>
        <v>0</v>
      </c>
      <c r="V51" s="151">
        <f t="shared" si="31"/>
        <v>12</v>
      </c>
      <c r="W51" s="151">
        <f t="shared" si="31"/>
        <v>12</v>
      </c>
      <c r="X51" s="151">
        <f t="shared" si="31"/>
        <v>12</v>
      </c>
      <c r="Y51" s="151">
        <f t="shared" si="31"/>
        <v>0</v>
      </c>
      <c r="Z51" s="151">
        <f t="shared" si="31"/>
        <v>0</v>
      </c>
      <c r="AA51" s="151">
        <f t="shared" si="31"/>
        <v>12</v>
      </c>
      <c r="AB51" s="151">
        <f t="shared" si="31"/>
        <v>12</v>
      </c>
      <c r="AC51" s="151">
        <f t="shared" si="31"/>
        <v>0</v>
      </c>
      <c r="AD51" s="151">
        <f t="shared" si="31"/>
        <v>0</v>
      </c>
      <c r="AE51" s="151">
        <f>IF(AE9=$R32,$BC32,IF(AE9=$R33,$BC33,IF(AE9=$R34,$BC34,IF(AE9=$R35,$BC35,IF(AE9=$R36,$BC36,IF(AE9=$R37,$BC37,IF(AE9=$R38,$BC38,IF(AE9=$R39,$BC39,IF(AE9=$R40,$BC40,0)))))))))</f>
        <v>0</v>
      </c>
      <c r="AF51" s="151">
        <f>IF(AF9=$R32,$BC32,IF(AF9=$R33,$BC33,IF(AF9=$R34,$BC34,IF(AF9=$R35,$BC35,IF(AF9=$R36,$BC36,IF(AF9=$R37,$BC37,IF(AF9=$R38,$BC38,IF(AF9=$R39,$BC39,IF(AF9=$R40,$BC40,0)))))))))</f>
        <v>0</v>
      </c>
      <c r="AG51" s="151">
        <f>IF(AG9=$R32,$BC32,IF(AG9=$R33,$BC33,IF(AG9=$R34,$BC34,IF(AG9=$R35,$BC35,IF(AG9=$R36,$BC36,IF(AG9=$R37,$BC37,IF(AG9=$R38,$BC38,IF(AG9=$R39,$BC39,IF(AG9=$R40,$BC40,0)))))))))</f>
        <v>0</v>
      </c>
      <c r="AH51" s="226">
        <f>SUM(C51:AG51)</f>
        <v>168</v>
      </c>
      <c r="AI51" s="226"/>
      <c r="AJ51" s="152" t="s">
        <v>62</v>
      </c>
      <c r="AK51" s="137" t="s">
        <v>12</v>
      </c>
      <c r="AL51" s="137"/>
      <c r="AN51" s="49" t="str">
        <f t="shared" ref="AN51:BD51" si="32">IF(MONTH($Q$4)&lt;&gt;MONTH($Q$4-(WEEKDAY($Q$4,1)-($AR$47-1))-IF((WEEKDAY($Q$4,1)-($AR$47-1))&lt;=0,7,0)+(ROW(AN51)-ROW($AN$51))*7+(COLUMN(AN51)-COLUMN($AN$51)+1)),"",$Q$4-(WEEKDAY($Q$4,1)-($AR$47-1))-IF((WEEKDAY($Q$4,1)-($AR$47-1))&lt;=0,7,0)+(ROW(AN51)-ROW($AN$51))*7+(COLUMN(AN51)-COLUMN($AN$51)+1))</f>
        <v/>
      </c>
      <c r="AO51" s="49" t="str">
        <f t="shared" si="32"/>
        <v/>
      </c>
      <c r="AP51" s="49" t="str">
        <f t="shared" si="32"/>
        <v/>
      </c>
      <c r="AQ51" s="49" t="str">
        <f t="shared" si="32"/>
        <v/>
      </c>
      <c r="AR51" s="49" t="str">
        <f t="shared" si="32"/>
        <v/>
      </c>
      <c r="AS51" s="49" t="str">
        <f t="shared" si="32"/>
        <v/>
      </c>
      <c r="AT51" s="49">
        <f t="shared" si="32"/>
        <v>46054</v>
      </c>
      <c r="AU51" s="49">
        <f t="shared" si="32"/>
        <v>46055</v>
      </c>
      <c r="AV51" s="49">
        <f t="shared" si="32"/>
        <v>46056</v>
      </c>
      <c r="AW51" s="49">
        <f t="shared" si="32"/>
        <v>46057</v>
      </c>
      <c r="AX51" s="49">
        <f t="shared" si="32"/>
        <v>46058</v>
      </c>
      <c r="AY51" s="49">
        <f t="shared" si="32"/>
        <v>46059</v>
      </c>
      <c r="AZ51" s="49">
        <f t="shared" si="32"/>
        <v>46060</v>
      </c>
      <c r="BA51" s="49">
        <f t="shared" si="32"/>
        <v>46061</v>
      </c>
      <c r="BB51" s="49">
        <f t="shared" si="32"/>
        <v>46062</v>
      </c>
      <c r="BC51" s="49">
        <f t="shared" si="32"/>
        <v>46063</v>
      </c>
      <c r="BD51" s="49">
        <f t="shared" si="32"/>
        <v>46064</v>
      </c>
      <c r="BE51" s="31"/>
      <c r="BF51" s="49">
        <f t="shared" ref="BF51:BX51" si="33">IF(MONTH($Q$4)&lt;&gt;MONTH($Q$4-(WEEKDAY($Q$4,1)-($AR$47-1))-IF((WEEKDAY($Q$4,1)-($AR$47-1))&lt;=0,7,0)+(ROW(BF51)-ROW($AN$51))*7+(COLUMN(BF51)-COLUMN($AN$51)+1)),"",$Q$4-(WEEKDAY($Q$4,1)-($AR$47-1))-IF((WEEKDAY($Q$4,1)-($AR$47-1))&lt;=0,7,0)+(ROW(BF51)-ROW($AN$51))*7+(COLUMN(BF51)-COLUMN($AN$51)+1))</f>
        <v>46066</v>
      </c>
      <c r="BG51" s="49">
        <f t="shared" si="33"/>
        <v>46067</v>
      </c>
      <c r="BH51" s="49">
        <f t="shared" si="33"/>
        <v>46068</v>
      </c>
      <c r="BI51" s="49">
        <f t="shared" si="33"/>
        <v>46069</v>
      </c>
      <c r="BJ51" s="49">
        <f t="shared" si="33"/>
        <v>46070</v>
      </c>
      <c r="BK51" s="49">
        <f t="shared" si="33"/>
        <v>46071</v>
      </c>
      <c r="BL51" s="49">
        <f t="shared" si="33"/>
        <v>46072</v>
      </c>
      <c r="BM51" s="49">
        <f t="shared" si="33"/>
        <v>46073</v>
      </c>
      <c r="BN51" s="49">
        <f t="shared" si="33"/>
        <v>46074</v>
      </c>
      <c r="BO51" s="49">
        <f t="shared" si="33"/>
        <v>46075</v>
      </c>
      <c r="BP51" s="49">
        <f t="shared" si="33"/>
        <v>46076</v>
      </c>
      <c r="BQ51" s="49">
        <f t="shared" si="33"/>
        <v>46077</v>
      </c>
      <c r="BR51" s="49">
        <f t="shared" si="33"/>
        <v>46078</v>
      </c>
      <c r="BS51" s="49">
        <f t="shared" si="33"/>
        <v>46079</v>
      </c>
      <c r="BT51" s="49">
        <f t="shared" si="33"/>
        <v>46080</v>
      </c>
      <c r="BU51" s="49">
        <f t="shared" si="33"/>
        <v>46081</v>
      </c>
      <c r="BV51" s="49" t="str">
        <f t="shared" si="33"/>
        <v/>
      </c>
      <c r="BW51" s="49" t="str">
        <f t="shared" si="33"/>
        <v/>
      </c>
      <c r="BX51" s="49" t="str">
        <f t="shared" si="33"/>
        <v/>
      </c>
      <c r="BY51" s="10"/>
      <c r="BZ51" s="10"/>
      <c r="CA51" s="10"/>
      <c r="CB51" s="10"/>
    </row>
    <row r="52" spans="1:80" s="2" customFormat="1" ht="15.95" hidden="1" customHeight="1" x14ac:dyDescent="0.25">
      <c r="A52" s="153" t="s">
        <v>48</v>
      </c>
      <c r="B52" s="149" t="s">
        <v>63</v>
      </c>
      <c r="C52" s="141">
        <f t="shared" ref="C52:AG52" si="34">IF(C46=1,IF(C47&lt;C48,C51,0))</f>
        <v>0</v>
      </c>
      <c r="D52" s="141" t="b">
        <f t="shared" si="34"/>
        <v>0</v>
      </c>
      <c r="E52" s="141" t="b">
        <f t="shared" si="34"/>
        <v>0</v>
      </c>
      <c r="F52" s="141" t="b">
        <f t="shared" si="34"/>
        <v>0</v>
      </c>
      <c r="G52" s="141" t="b">
        <f t="shared" si="34"/>
        <v>0</v>
      </c>
      <c r="H52" s="141" t="b">
        <f t="shared" si="34"/>
        <v>0</v>
      </c>
      <c r="I52" s="141">
        <f t="shared" si="34"/>
        <v>0</v>
      </c>
      <c r="J52" s="141">
        <f t="shared" si="34"/>
        <v>0</v>
      </c>
      <c r="K52" s="141" t="b">
        <f t="shared" si="34"/>
        <v>0</v>
      </c>
      <c r="L52" s="141" t="b">
        <f t="shared" si="34"/>
        <v>0</v>
      </c>
      <c r="M52" s="141" t="b">
        <f t="shared" si="34"/>
        <v>0</v>
      </c>
      <c r="N52" s="141" t="b">
        <f t="shared" si="34"/>
        <v>0</v>
      </c>
      <c r="O52" s="141" t="b">
        <f t="shared" si="34"/>
        <v>0</v>
      </c>
      <c r="P52" s="141">
        <f t="shared" si="34"/>
        <v>0</v>
      </c>
      <c r="Q52" s="141">
        <f t="shared" si="34"/>
        <v>0</v>
      </c>
      <c r="R52" s="141" t="b">
        <f t="shared" si="34"/>
        <v>0</v>
      </c>
      <c r="S52" s="141" t="b">
        <f t="shared" si="34"/>
        <v>0</v>
      </c>
      <c r="T52" s="141" t="b">
        <f t="shared" si="34"/>
        <v>0</v>
      </c>
      <c r="U52" s="141" t="b">
        <f t="shared" si="34"/>
        <v>0</v>
      </c>
      <c r="V52" s="141" t="b">
        <f t="shared" si="34"/>
        <v>0</v>
      </c>
      <c r="W52" s="141">
        <f t="shared" si="34"/>
        <v>0</v>
      </c>
      <c r="X52" s="141">
        <f t="shared" si="34"/>
        <v>0</v>
      </c>
      <c r="Y52" s="141" t="b">
        <f t="shared" si="34"/>
        <v>0</v>
      </c>
      <c r="Z52" s="141" t="b">
        <f t="shared" si="34"/>
        <v>0</v>
      </c>
      <c r="AA52" s="141" t="b">
        <f t="shared" si="34"/>
        <v>0</v>
      </c>
      <c r="AB52" s="141" t="b">
        <f t="shared" si="34"/>
        <v>0</v>
      </c>
      <c r="AC52" s="141" t="b">
        <f t="shared" si="34"/>
        <v>0</v>
      </c>
      <c r="AD52" s="141">
        <f t="shared" si="34"/>
        <v>0</v>
      </c>
      <c r="AE52" s="141" t="b">
        <f t="shared" si="34"/>
        <v>0</v>
      </c>
      <c r="AF52" s="141" t="b">
        <f t="shared" si="34"/>
        <v>0</v>
      </c>
      <c r="AG52" s="141" t="b">
        <f t="shared" si="34"/>
        <v>0</v>
      </c>
      <c r="AH52" s="154" t="s">
        <v>12</v>
      </c>
      <c r="AI52" s="133"/>
      <c r="AJ52" s="155"/>
      <c r="AK52" s="156"/>
      <c r="AL52" s="137"/>
      <c r="AN52" s="55" t="str">
        <f t="shared" ref="AN52:AT52" si="35">IF(AN51=$AR$48,IF(AN51="",0,1),"")</f>
        <v/>
      </c>
      <c r="AO52" s="55" t="str">
        <f t="shared" si="35"/>
        <v/>
      </c>
      <c r="AP52" s="55" t="str">
        <f t="shared" si="35"/>
        <v/>
      </c>
      <c r="AQ52" s="55" t="str">
        <f t="shared" si="35"/>
        <v/>
      </c>
      <c r="AR52" s="55" t="str">
        <f t="shared" si="35"/>
        <v/>
      </c>
      <c r="AS52" s="55" t="str">
        <f t="shared" si="35"/>
        <v/>
      </c>
      <c r="AT52" s="55">
        <f t="shared" si="35"/>
        <v>1</v>
      </c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56"/>
      <c r="BF52" s="10"/>
      <c r="BG52" s="10"/>
      <c r="BH52" s="10"/>
      <c r="BI52" s="10"/>
      <c r="BJ52" s="10"/>
      <c r="BK52" s="10"/>
      <c r="BL52" s="10"/>
      <c r="BM52" s="10"/>
      <c r="BN52" s="10"/>
      <c r="BO52" s="96">
        <f t="shared" ref="BO52:BX52" si="36">BO51</f>
        <v>46075</v>
      </c>
      <c r="BP52" s="96">
        <f t="shared" si="36"/>
        <v>46076</v>
      </c>
      <c r="BQ52" s="96">
        <f t="shared" si="36"/>
        <v>46077</v>
      </c>
      <c r="BR52" s="96">
        <f t="shared" si="36"/>
        <v>46078</v>
      </c>
      <c r="BS52" s="96">
        <f t="shared" si="36"/>
        <v>46079</v>
      </c>
      <c r="BT52" s="96">
        <f t="shared" si="36"/>
        <v>46080</v>
      </c>
      <c r="BU52" s="96">
        <f t="shared" si="36"/>
        <v>46081</v>
      </c>
      <c r="BV52" s="96" t="str">
        <f t="shared" si="36"/>
        <v/>
      </c>
      <c r="BW52" s="96" t="str">
        <f t="shared" si="36"/>
        <v/>
      </c>
      <c r="BX52" s="96" t="str">
        <f t="shared" si="36"/>
        <v/>
      </c>
      <c r="BY52" s="10"/>
      <c r="BZ52" s="10"/>
      <c r="CA52" s="10"/>
      <c r="CB52" s="10"/>
    </row>
    <row r="53" spans="1:80" s="2" customFormat="1" ht="15.95" hidden="1" customHeight="1" x14ac:dyDescent="0.25">
      <c r="A53" s="153"/>
      <c r="B53" s="149" t="s">
        <v>64</v>
      </c>
      <c r="C53" s="141">
        <f t="shared" ref="C53:AG53" si="37">IF(C46=1,IF(C47&gt;C48,24-C47,0),0)</f>
        <v>6</v>
      </c>
      <c r="D53" s="141">
        <f t="shared" si="37"/>
        <v>0</v>
      </c>
      <c r="E53" s="141">
        <f t="shared" si="37"/>
        <v>0</v>
      </c>
      <c r="F53" s="141">
        <f t="shared" si="37"/>
        <v>0</v>
      </c>
      <c r="G53" s="141">
        <f t="shared" si="37"/>
        <v>0</v>
      </c>
      <c r="H53" s="141">
        <f t="shared" si="37"/>
        <v>0</v>
      </c>
      <c r="I53" s="141">
        <f t="shared" si="37"/>
        <v>5</v>
      </c>
      <c r="J53" s="141">
        <f t="shared" si="37"/>
        <v>5</v>
      </c>
      <c r="K53" s="141">
        <f t="shared" si="37"/>
        <v>0</v>
      </c>
      <c r="L53" s="141">
        <f t="shared" si="37"/>
        <v>0</v>
      </c>
      <c r="M53" s="141">
        <f t="shared" si="37"/>
        <v>0</v>
      </c>
      <c r="N53" s="141">
        <f t="shared" si="37"/>
        <v>0</v>
      </c>
      <c r="O53" s="141">
        <f t="shared" si="37"/>
        <v>0</v>
      </c>
      <c r="P53" s="141">
        <f t="shared" si="37"/>
        <v>0</v>
      </c>
      <c r="Q53" s="141">
        <f t="shared" si="37"/>
        <v>0</v>
      </c>
      <c r="R53" s="141">
        <f t="shared" si="37"/>
        <v>0</v>
      </c>
      <c r="S53" s="141">
        <f t="shared" si="37"/>
        <v>0</v>
      </c>
      <c r="T53" s="141">
        <f t="shared" si="37"/>
        <v>0</v>
      </c>
      <c r="U53" s="141">
        <f t="shared" si="37"/>
        <v>0</v>
      </c>
      <c r="V53" s="141">
        <f t="shared" si="37"/>
        <v>0</v>
      </c>
      <c r="W53" s="141">
        <f t="shared" si="37"/>
        <v>5</v>
      </c>
      <c r="X53" s="141">
        <f t="shared" si="37"/>
        <v>5</v>
      </c>
      <c r="Y53" s="141">
        <f t="shared" si="37"/>
        <v>0</v>
      </c>
      <c r="Z53" s="141">
        <f t="shared" si="37"/>
        <v>0</v>
      </c>
      <c r="AA53" s="141">
        <f t="shared" si="37"/>
        <v>0</v>
      </c>
      <c r="AB53" s="141">
        <f t="shared" si="37"/>
        <v>0</v>
      </c>
      <c r="AC53" s="141">
        <f t="shared" si="37"/>
        <v>0</v>
      </c>
      <c r="AD53" s="141">
        <f t="shared" si="37"/>
        <v>0</v>
      </c>
      <c r="AE53" s="141">
        <f t="shared" si="37"/>
        <v>0</v>
      </c>
      <c r="AF53" s="141">
        <f t="shared" si="37"/>
        <v>0</v>
      </c>
      <c r="AG53" s="141">
        <f t="shared" si="37"/>
        <v>0</v>
      </c>
      <c r="AH53" s="154" t="s">
        <v>12</v>
      </c>
      <c r="AI53" s="133"/>
      <c r="AJ53" s="155"/>
      <c r="AK53" s="137"/>
      <c r="AL53" s="137"/>
      <c r="AN53" s="57" t="str">
        <f t="shared" ref="AN53:AT53" si="38">IF(AN52=1,IF(AN52="",0,AN50),"")</f>
        <v/>
      </c>
      <c r="AO53" s="57" t="str">
        <f t="shared" si="38"/>
        <v/>
      </c>
      <c r="AP53" s="57" t="str">
        <f t="shared" si="38"/>
        <v/>
      </c>
      <c r="AQ53" s="57" t="str">
        <f t="shared" si="38"/>
        <v/>
      </c>
      <c r="AR53" s="57" t="str">
        <f t="shared" si="38"/>
        <v/>
      </c>
      <c r="AS53" s="57" t="str">
        <f t="shared" si="38"/>
        <v/>
      </c>
      <c r="AT53" s="57" t="str">
        <f t="shared" si="38"/>
        <v>do</v>
      </c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56"/>
      <c r="BF53" s="10"/>
      <c r="BG53" s="10"/>
      <c r="BH53" s="10"/>
      <c r="BI53" s="10"/>
      <c r="BJ53" s="10"/>
      <c r="BK53" s="10"/>
      <c r="BL53" s="10"/>
      <c r="BM53" s="10"/>
      <c r="BN53" s="10"/>
      <c r="BO53" s="58" t="str">
        <f t="shared" ref="BO53:BX53" si="39">IF(BO52=$AR$48+30,IF(BO52="",0,1),IF(BO52=$AR$48+29,IF(BO52="",0,1),IF(BO52=$AR$48+28,IF(BO52="",0,1),IF(BO52=$AR$48+27,IF(BO52="",0,1),""))))</f>
        <v/>
      </c>
      <c r="BP53" s="58" t="str">
        <f t="shared" si="39"/>
        <v/>
      </c>
      <c r="BQ53" s="58" t="str">
        <f t="shared" si="39"/>
        <v/>
      </c>
      <c r="BR53" s="58" t="str">
        <f t="shared" si="39"/>
        <v/>
      </c>
      <c r="BS53" s="58" t="str">
        <f t="shared" si="39"/>
        <v/>
      </c>
      <c r="BT53" s="58" t="str">
        <f t="shared" si="39"/>
        <v/>
      </c>
      <c r="BU53" s="58">
        <f t="shared" si="39"/>
        <v>1</v>
      </c>
      <c r="BV53" s="58" t="str">
        <f t="shared" si="39"/>
        <v/>
      </c>
      <c r="BW53" s="58" t="str">
        <f t="shared" si="39"/>
        <v/>
      </c>
      <c r="BX53" s="58" t="str">
        <f t="shared" si="39"/>
        <v/>
      </c>
      <c r="BY53" s="10"/>
      <c r="BZ53" s="10"/>
      <c r="CA53" s="10"/>
      <c r="CB53" s="10"/>
    </row>
    <row r="54" spans="1:80" s="2" customFormat="1" ht="15.95" hidden="1" customHeight="1" x14ac:dyDescent="0.25">
      <c r="A54" s="157"/>
      <c r="B54" s="149" t="s">
        <v>65</v>
      </c>
      <c r="C54" s="141">
        <f t="shared" ref="C54:AG54" si="40">IF(D46=1,IF(C47&gt;C48,C48,0),0)</f>
        <v>0</v>
      </c>
      <c r="D54" s="141">
        <f t="shared" si="40"/>
        <v>0</v>
      </c>
      <c r="E54" s="141">
        <f t="shared" si="40"/>
        <v>0</v>
      </c>
      <c r="F54" s="141">
        <f t="shared" si="40"/>
        <v>0</v>
      </c>
      <c r="G54" s="141">
        <f t="shared" si="40"/>
        <v>0</v>
      </c>
      <c r="H54" s="141">
        <f t="shared" si="40"/>
        <v>7</v>
      </c>
      <c r="I54" s="141">
        <f t="shared" si="40"/>
        <v>7</v>
      </c>
      <c r="J54" s="141">
        <f t="shared" si="40"/>
        <v>0</v>
      </c>
      <c r="K54" s="141">
        <f t="shared" si="40"/>
        <v>0</v>
      </c>
      <c r="L54" s="141">
        <f t="shared" si="40"/>
        <v>0</v>
      </c>
      <c r="M54" s="141">
        <f t="shared" si="40"/>
        <v>0</v>
      </c>
      <c r="N54" s="141">
        <f t="shared" si="40"/>
        <v>0</v>
      </c>
      <c r="O54" s="141">
        <f t="shared" si="40"/>
        <v>0</v>
      </c>
      <c r="P54" s="141">
        <f t="shared" si="40"/>
        <v>0</v>
      </c>
      <c r="Q54" s="141">
        <f t="shared" si="40"/>
        <v>0</v>
      </c>
      <c r="R54" s="141">
        <f t="shared" si="40"/>
        <v>0</v>
      </c>
      <c r="S54" s="141">
        <f t="shared" si="40"/>
        <v>0</v>
      </c>
      <c r="T54" s="141">
        <f t="shared" si="40"/>
        <v>0</v>
      </c>
      <c r="U54" s="141">
        <f t="shared" si="40"/>
        <v>0</v>
      </c>
      <c r="V54" s="141">
        <f t="shared" si="40"/>
        <v>7</v>
      </c>
      <c r="W54" s="141">
        <f t="shared" si="40"/>
        <v>7</v>
      </c>
      <c r="X54" s="141">
        <f>IF(Y46=1,IF(X47&gt;X48,X48,0),0)</f>
        <v>0</v>
      </c>
      <c r="Y54" s="141">
        <f t="shared" si="40"/>
        <v>0</v>
      </c>
      <c r="Z54" s="141">
        <f t="shared" si="40"/>
        <v>0</v>
      </c>
      <c r="AA54" s="141">
        <f t="shared" si="40"/>
        <v>0</v>
      </c>
      <c r="AB54" s="141">
        <f t="shared" si="40"/>
        <v>0</v>
      </c>
      <c r="AC54" s="141">
        <f t="shared" si="40"/>
        <v>0</v>
      </c>
      <c r="AD54" s="141">
        <f t="shared" si="40"/>
        <v>0</v>
      </c>
      <c r="AE54" s="141">
        <f t="shared" si="40"/>
        <v>0</v>
      </c>
      <c r="AF54" s="141">
        <f t="shared" si="40"/>
        <v>0</v>
      </c>
      <c r="AG54" s="141">
        <f t="shared" si="40"/>
        <v>0</v>
      </c>
      <c r="AH54" s="154" t="s">
        <v>12</v>
      </c>
      <c r="AI54" s="133"/>
      <c r="AJ54" s="155"/>
      <c r="AK54" s="137"/>
      <c r="AL54" s="137"/>
      <c r="AN54" s="10"/>
      <c r="AO54" s="10"/>
      <c r="AP54" s="10"/>
      <c r="AQ54" s="10"/>
      <c r="AR54" s="47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56"/>
      <c r="BF54" s="10"/>
      <c r="BG54" s="10"/>
      <c r="BH54" s="10"/>
      <c r="BI54" s="10"/>
      <c r="BJ54" s="10"/>
      <c r="BK54" s="10"/>
      <c r="BL54" s="10"/>
      <c r="BM54" s="10"/>
      <c r="BN54" s="10"/>
      <c r="BO54" s="52" t="str">
        <f t="shared" ref="BO54:BX54" si="41">IF(BO53=1,IF(BO53="",0,BO52),"")</f>
        <v/>
      </c>
      <c r="BP54" s="52" t="str">
        <f t="shared" si="41"/>
        <v/>
      </c>
      <c r="BQ54" s="52" t="str">
        <f t="shared" si="41"/>
        <v/>
      </c>
      <c r="BR54" s="52" t="str">
        <f t="shared" si="41"/>
        <v/>
      </c>
      <c r="BS54" s="52" t="str">
        <f t="shared" si="41"/>
        <v/>
      </c>
      <c r="BT54" s="52" t="str">
        <f t="shared" si="41"/>
        <v/>
      </c>
      <c r="BU54" s="52">
        <f t="shared" si="41"/>
        <v>46081</v>
      </c>
      <c r="BV54" s="52" t="str">
        <f t="shared" si="41"/>
        <v/>
      </c>
      <c r="BW54" s="52" t="str">
        <f t="shared" si="41"/>
        <v/>
      </c>
      <c r="BX54" s="52" t="str">
        <f t="shared" si="41"/>
        <v/>
      </c>
      <c r="BY54" s="56"/>
      <c r="BZ54" s="97" t="s">
        <v>66</v>
      </c>
      <c r="CA54" s="56"/>
      <c r="CB54" s="10"/>
    </row>
    <row r="55" spans="1:80" s="2" customFormat="1" ht="15.95" hidden="1" customHeight="1" x14ac:dyDescent="0.25">
      <c r="A55" s="157"/>
      <c r="B55" s="149" t="s">
        <v>67</v>
      </c>
      <c r="C55" s="158">
        <f t="shared" ref="C55:AG55" si="42">SUM(C52:C54)</f>
        <v>6</v>
      </c>
      <c r="D55" s="158">
        <f t="shared" si="42"/>
        <v>0</v>
      </c>
      <c r="E55" s="158">
        <f t="shared" si="42"/>
        <v>0</v>
      </c>
      <c r="F55" s="158">
        <f t="shared" si="42"/>
        <v>0</v>
      </c>
      <c r="G55" s="158">
        <f t="shared" si="42"/>
        <v>0</v>
      </c>
      <c r="H55" s="158">
        <f t="shared" si="42"/>
        <v>7</v>
      </c>
      <c r="I55" s="158">
        <f t="shared" si="42"/>
        <v>12</v>
      </c>
      <c r="J55" s="158">
        <f t="shared" si="42"/>
        <v>5</v>
      </c>
      <c r="K55" s="158">
        <f t="shared" si="42"/>
        <v>0</v>
      </c>
      <c r="L55" s="158">
        <f t="shared" si="42"/>
        <v>0</v>
      </c>
      <c r="M55" s="158">
        <f t="shared" si="42"/>
        <v>0</v>
      </c>
      <c r="N55" s="158">
        <f t="shared" si="42"/>
        <v>0</v>
      </c>
      <c r="O55" s="158">
        <f t="shared" si="42"/>
        <v>0</v>
      </c>
      <c r="P55" s="158">
        <f t="shared" si="42"/>
        <v>0</v>
      </c>
      <c r="Q55" s="158">
        <f t="shared" si="42"/>
        <v>0</v>
      </c>
      <c r="R55" s="158">
        <f t="shared" si="42"/>
        <v>0</v>
      </c>
      <c r="S55" s="158">
        <f t="shared" si="42"/>
        <v>0</v>
      </c>
      <c r="T55" s="158">
        <f t="shared" si="42"/>
        <v>0</v>
      </c>
      <c r="U55" s="158">
        <f t="shared" si="42"/>
        <v>0</v>
      </c>
      <c r="V55" s="158">
        <f t="shared" si="42"/>
        <v>7</v>
      </c>
      <c r="W55" s="158">
        <f t="shared" si="42"/>
        <v>12</v>
      </c>
      <c r="X55" s="158">
        <f t="shared" si="42"/>
        <v>5</v>
      </c>
      <c r="Y55" s="158">
        <f t="shared" si="42"/>
        <v>0</v>
      </c>
      <c r="Z55" s="158">
        <f t="shared" si="42"/>
        <v>0</v>
      </c>
      <c r="AA55" s="158">
        <f t="shared" si="42"/>
        <v>0</v>
      </c>
      <c r="AB55" s="158">
        <f t="shared" si="42"/>
        <v>0</v>
      </c>
      <c r="AC55" s="158">
        <f t="shared" si="42"/>
        <v>0</v>
      </c>
      <c r="AD55" s="158">
        <f t="shared" si="42"/>
        <v>0</v>
      </c>
      <c r="AE55" s="158">
        <f t="shared" si="42"/>
        <v>0</v>
      </c>
      <c r="AF55" s="158">
        <f t="shared" si="42"/>
        <v>0</v>
      </c>
      <c r="AG55" s="158">
        <f t="shared" si="42"/>
        <v>0</v>
      </c>
      <c r="AH55" s="154" t="s">
        <v>12</v>
      </c>
      <c r="AI55" s="133"/>
      <c r="AJ55" s="155"/>
      <c r="AK55" s="137"/>
      <c r="AL55" s="137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59"/>
      <c r="BF55" s="10"/>
      <c r="BG55" s="10"/>
      <c r="BH55" s="10"/>
      <c r="BI55" s="10"/>
      <c r="BJ55" s="10"/>
      <c r="BK55" s="10"/>
      <c r="BL55" s="10"/>
      <c r="BM55" s="10"/>
      <c r="BN55" s="10"/>
      <c r="BO55" s="52" t="str">
        <f t="shared" ref="BO55:BX55" si="43">IF(BO54=$AZ48,IF(BO54="",0,$AZ48),"")</f>
        <v/>
      </c>
      <c r="BP55" s="52" t="str">
        <f t="shared" si="43"/>
        <v/>
      </c>
      <c r="BQ55" s="52" t="str">
        <f t="shared" si="43"/>
        <v/>
      </c>
      <c r="BR55" s="52" t="str">
        <f t="shared" si="43"/>
        <v/>
      </c>
      <c r="BS55" s="52" t="str">
        <f t="shared" si="43"/>
        <v/>
      </c>
      <c r="BT55" s="52" t="str">
        <f t="shared" si="43"/>
        <v/>
      </c>
      <c r="BU55" s="52" t="str">
        <f t="shared" si="43"/>
        <v/>
      </c>
      <c r="BV55" s="52" t="str">
        <f t="shared" si="43"/>
        <v/>
      </c>
      <c r="BW55" s="52" t="str">
        <f t="shared" si="43"/>
        <v/>
      </c>
      <c r="BX55" s="52" t="str">
        <f t="shared" si="43"/>
        <v/>
      </c>
      <c r="BY55" s="52">
        <f t="shared" ref="BY55:BY58" si="44">SUM(BO55:BX55)</f>
        <v>0</v>
      </c>
      <c r="BZ55" s="98" t="b">
        <f t="shared" ref="BZ55:BZ58" si="45">IF(BY55=$AZ$48,IF(BY55="",0,31),IF(BY55=$AZ$47,IF(BY55="",0,30),IF(BY55=$AX$48,IF(BY55="",0,29),IF(BY55=$AX$47,IF(BY55="",0,28)))))</f>
        <v>0</v>
      </c>
      <c r="CA55" s="99">
        <v>31</v>
      </c>
      <c r="CB55" s="10"/>
    </row>
    <row r="56" spans="1:80" s="2" customFormat="1" ht="15.95" hidden="1" customHeight="1" x14ac:dyDescent="0.25">
      <c r="A56" s="159"/>
      <c r="B56" s="160" t="s">
        <v>68</v>
      </c>
      <c r="C56" s="161">
        <f t="shared" ref="C56:AG56" si="46">IF(C9="V",IF(C9="",0,1),0)</f>
        <v>0</v>
      </c>
      <c r="D56" s="161">
        <f t="shared" si="46"/>
        <v>0</v>
      </c>
      <c r="E56" s="161">
        <f t="shared" si="46"/>
        <v>0</v>
      </c>
      <c r="F56" s="161">
        <f t="shared" si="46"/>
        <v>0</v>
      </c>
      <c r="G56" s="161">
        <f>IF(G9="V",IF(G9="",0,1),0)</f>
        <v>0</v>
      </c>
      <c r="H56" s="161">
        <f t="shared" si="46"/>
        <v>0</v>
      </c>
      <c r="I56" s="161">
        <f t="shared" si="46"/>
        <v>0</v>
      </c>
      <c r="J56" s="161">
        <f t="shared" si="46"/>
        <v>0</v>
      </c>
      <c r="K56" s="161">
        <f t="shared" si="46"/>
        <v>0</v>
      </c>
      <c r="L56" s="161">
        <f t="shared" si="46"/>
        <v>0</v>
      </c>
      <c r="M56" s="161">
        <f t="shared" si="46"/>
        <v>0</v>
      </c>
      <c r="N56" s="161">
        <f t="shared" si="46"/>
        <v>0</v>
      </c>
      <c r="O56" s="161">
        <f t="shared" si="46"/>
        <v>0</v>
      </c>
      <c r="P56" s="161">
        <f t="shared" si="46"/>
        <v>0</v>
      </c>
      <c r="Q56" s="161">
        <f t="shared" si="46"/>
        <v>0</v>
      </c>
      <c r="R56" s="161">
        <f t="shared" si="46"/>
        <v>0</v>
      </c>
      <c r="S56" s="161">
        <f t="shared" si="46"/>
        <v>0</v>
      </c>
      <c r="T56" s="161">
        <f t="shared" si="46"/>
        <v>0</v>
      </c>
      <c r="U56" s="161">
        <f t="shared" si="46"/>
        <v>0</v>
      </c>
      <c r="V56" s="161">
        <f t="shared" si="46"/>
        <v>0</v>
      </c>
      <c r="W56" s="161">
        <f t="shared" si="46"/>
        <v>0</v>
      </c>
      <c r="X56" s="161">
        <f t="shared" si="46"/>
        <v>0</v>
      </c>
      <c r="Y56" s="161">
        <f t="shared" si="46"/>
        <v>0</v>
      </c>
      <c r="Z56" s="161">
        <f t="shared" si="46"/>
        <v>0</v>
      </c>
      <c r="AA56" s="161">
        <f t="shared" si="46"/>
        <v>0</v>
      </c>
      <c r="AB56" s="161">
        <f t="shared" si="46"/>
        <v>0</v>
      </c>
      <c r="AC56" s="161">
        <f t="shared" si="46"/>
        <v>0</v>
      </c>
      <c r="AD56" s="161">
        <f t="shared" si="46"/>
        <v>0</v>
      </c>
      <c r="AE56" s="161">
        <f t="shared" si="46"/>
        <v>0</v>
      </c>
      <c r="AF56" s="161">
        <f t="shared" si="46"/>
        <v>0</v>
      </c>
      <c r="AG56" s="161">
        <f t="shared" si="46"/>
        <v>0</v>
      </c>
      <c r="AH56" s="154" t="s">
        <v>12</v>
      </c>
      <c r="AI56" s="133"/>
      <c r="AJ56" s="155"/>
      <c r="AK56" s="137"/>
      <c r="AL56" s="137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59"/>
      <c r="BF56" s="10"/>
      <c r="BG56" s="10"/>
      <c r="BH56" s="10"/>
      <c r="BI56" s="10"/>
      <c r="BJ56" s="10"/>
      <c r="BK56" s="10"/>
      <c r="BL56" s="10"/>
      <c r="BM56" s="10"/>
      <c r="BN56" s="10"/>
      <c r="BO56" s="52" t="str">
        <f t="shared" ref="BO56:BX56" si="47">IF(BO54=$AZ47,IF(BO54="",0,$AZ47),"")</f>
        <v/>
      </c>
      <c r="BP56" s="52" t="str">
        <f t="shared" si="47"/>
        <v/>
      </c>
      <c r="BQ56" s="52" t="str">
        <f t="shared" si="47"/>
        <v/>
      </c>
      <c r="BR56" s="52" t="str">
        <f t="shared" si="47"/>
        <v/>
      </c>
      <c r="BS56" s="52" t="str">
        <f t="shared" si="47"/>
        <v/>
      </c>
      <c r="BT56" s="52" t="str">
        <f t="shared" si="47"/>
        <v/>
      </c>
      <c r="BU56" s="52" t="str">
        <f t="shared" si="47"/>
        <v/>
      </c>
      <c r="BV56" s="52" t="str">
        <f t="shared" si="47"/>
        <v/>
      </c>
      <c r="BW56" s="52" t="str">
        <f t="shared" si="47"/>
        <v/>
      </c>
      <c r="BX56" s="52" t="str">
        <f t="shared" si="47"/>
        <v/>
      </c>
      <c r="BY56" s="52">
        <f t="shared" si="44"/>
        <v>0</v>
      </c>
      <c r="BZ56" s="98" t="b">
        <f t="shared" si="45"/>
        <v>0</v>
      </c>
      <c r="CA56" s="99">
        <v>30</v>
      </c>
      <c r="CB56" s="10"/>
    </row>
    <row r="57" spans="1:80" ht="15.95" hidden="1" customHeight="1" x14ac:dyDescent="0.25">
      <c r="A57" s="129"/>
      <c r="B57" s="162" t="s">
        <v>16</v>
      </c>
      <c r="C57" s="163">
        <f t="shared" ref="C57:AG57" si="48">IF(C9="PR",IF(C9="",0,1),0)</f>
        <v>0</v>
      </c>
      <c r="D57" s="163">
        <f t="shared" si="48"/>
        <v>0</v>
      </c>
      <c r="E57" s="163">
        <f t="shared" si="48"/>
        <v>0</v>
      </c>
      <c r="F57" s="163">
        <f t="shared" si="48"/>
        <v>0</v>
      </c>
      <c r="G57" s="163">
        <f>IF(G9="PR",IF(G9="",0,1),0)</f>
        <v>0</v>
      </c>
      <c r="H57" s="163">
        <f t="shared" si="48"/>
        <v>0</v>
      </c>
      <c r="I57" s="163">
        <f t="shared" si="48"/>
        <v>0</v>
      </c>
      <c r="J57" s="163">
        <f t="shared" si="48"/>
        <v>0</v>
      </c>
      <c r="K57" s="163">
        <f t="shared" si="48"/>
        <v>0</v>
      </c>
      <c r="L57" s="163">
        <f t="shared" si="48"/>
        <v>0</v>
      </c>
      <c r="M57" s="163">
        <f t="shared" si="48"/>
        <v>0</v>
      </c>
      <c r="N57" s="163">
        <f t="shared" si="48"/>
        <v>0</v>
      </c>
      <c r="O57" s="163">
        <f t="shared" si="48"/>
        <v>0</v>
      </c>
      <c r="P57" s="163">
        <f t="shared" si="48"/>
        <v>0</v>
      </c>
      <c r="Q57" s="163">
        <f t="shared" si="48"/>
        <v>0</v>
      </c>
      <c r="R57" s="163">
        <f t="shared" si="48"/>
        <v>0</v>
      </c>
      <c r="S57" s="163">
        <f t="shared" si="48"/>
        <v>0</v>
      </c>
      <c r="T57" s="163">
        <f t="shared" si="48"/>
        <v>0</v>
      </c>
      <c r="U57" s="163">
        <f t="shared" si="48"/>
        <v>0</v>
      </c>
      <c r="V57" s="163">
        <f t="shared" si="48"/>
        <v>0</v>
      </c>
      <c r="W57" s="163">
        <f t="shared" si="48"/>
        <v>0</v>
      </c>
      <c r="X57" s="163">
        <f t="shared" si="48"/>
        <v>0</v>
      </c>
      <c r="Y57" s="163">
        <f t="shared" si="48"/>
        <v>0</v>
      </c>
      <c r="Z57" s="163">
        <f t="shared" si="48"/>
        <v>0</v>
      </c>
      <c r="AA57" s="163">
        <f t="shared" si="48"/>
        <v>0</v>
      </c>
      <c r="AB57" s="163">
        <f t="shared" si="48"/>
        <v>0</v>
      </c>
      <c r="AC57" s="163">
        <f t="shared" si="48"/>
        <v>0</v>
      </c>
      <c r="AD57" s="163">
        <f t="shared" si="48"/>
        <v>0</v>
      </c>
      <c r="AE57" s="163">
        <f t="shared" si="48"/>
        <v>0</v>
      </c>
      <c r="AF57" s="163">
        <f t="shared" si="48"/>
        <v>0</v>
      </c>
      <c r="AG57" s="163">
        <f t="shared" si="48"/>
        <v>0</v>
      </c>
      <c r="AH57" s="233">
        <f>SUM(C57:AG57)</f>
        <v>0</v>
      </c>
      <c r="AI57" s="233"/>
      <c r="AJ57" s="137" t="s">
        <v>69</v>
      </c>
      <c r="AK57" s="133"/>
      <c r="AL57" s="133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59"/>
      <c r="BF57" s="31"/>
      <c r="BG57" s="31"/>
      <c r="BH57" s="31"/>
      <c r="BI57" s="31"/>
      <c r="BJ57" s="31"/>
      <c r="BK57" s="31"/>
      <c r="BL57" s="31"/>
      <c r="BM57" s="31"/>
      <c r="BN57" s="31"/>
      <c r="BO57" s="52" t="str">
        <f t="shared" ref="BO57:BX57" si="49">IF(BO54=$AX48,IF(BO54="",0,$AX48),"")</f>
        <v/>
      </c>
      <c r="BP57" s="52" t="str">
        <f t="shared" si="49"/>
        <v/>
      </c>
      <c r="BQ57" s="52" t="str">
        <f t="shared" si="49"/>
        <v/>
      </c>
      <c r="BR57" s="52" t="str">
        <f t="shared" si="49"/>
        <v/>
      </c>
      <c r="BS57" s="52" t="str">
        <f t="shared" si="49"/>
        <v/>
      </c>
      <c r="BT57" s="52" t="str">
        <f t="shared" si="49"/>
        <v/>
      </c>
      <c r="BU57" s="52" t="str">
        <f t="shared" si="49"/>
        <v/>
      </c>
      <c r="BV57" s="52" t="str">
        <f t="shared" si="49"/>
        <v/>
      </c>
      <c r="BW57" s="52" t="str">
        <f t="shared" si="49"/>
        <v/>
      </c>
      <c r="BX57" s="52" t="str">
        <f t="shared" si="49"/>
        <v/>
      </c>
      <c r="BY57" s="52">
        <f t="shared" si="44"/>
        <v>0</v>
      </c>
      <c r="BZ57" s="98" t="b">
        <f t="shared" si="45"/>
        <v>0</v>
      </c>
      <c r="CA57" s="99">
        <v>29</v>
      </c>
      <c r="CB57" s="31"/>
    </row>
    <row r="58" spans="1:80" s="59" customFormat="1" ht="15.95" hidden="1" customHeight="1" x14ac:dyDescent="0.25">
      <c r="A58" s="164" t="s">
        <v>70</v>
      </c>
      <c r="B58" s="165" t="s">
        <v>29</v>
      </c>
      <c r="C58" s="141" t="str">
        <f t="shared" ref="C58:AG58" si="50">IF(C10=$R32,$S32*24,IF(C10=$R33,$S33*24,IF(C10=$R34,$S34*24,IF(C10=$R35,$S35*24,IF(C10=$R36,$S36*24,IF(C10=$R37,$S37*24,IF(C10=$R38,$S38*24,IF(C10=$R39,$S39*24,IF(C10=$R40,$S40*24,"")))))))))</f>
        <v/>
      </c>
      <c r="D58" s="141">
        <f t="shared" si="50"/>
        <v>19</v>
      </c>
      <c r="E58" s="141">
        <f t="shared" si="50"/>
        <v>19</v>
      </c>
      <c r="F58" s="141">
        <f t="shared" si="50"/>
        <v>19</v>
      </c>
      <c r="G58" s="141" t="str">
        <f t="shared" si="50"/>
        <v/>
      </c>
      <c r="H58" s="141" t="str">
        <f t="shared" si="50"/>
        <v/>
      </c>
      <c r="I58" s="141" t="str">
        <f t="shared" si="50"/>
        <v/>
      </c>
      <c r="J58" s="141" t="str">
        <f t="shared" si="50"/>
        <v/>
      </c>
      <c r="K58" s="141">
        <f t="shared" si="50"/>
        <v>19</v>
      </c>
      <c r="L58" s="141">
        <f t="shared" si="50"/>
        <v>19</v>
      </c>
      <c r="M58" s="141" t="str">
        <f t="shared" si="50"/>
        <v/>
      </c>
      <c r="N58" s="141" t="str">
        <f t="shared" si="50"/>
        <v/>
      </c>
      <c r="O58" s="141">
        <f t="shared" si="50"/>
        <v>19</v>
      </c>
      <c r="P58" s="141">
        <f t="shared" si="50"/>
        <v>19</v>
      </c>
      <c r="Q58" s="141">
        <f t="shared" si="50"/>
        <v>19</v>
      </c>
      <c r="R58" s="141" t="str">
        <f t="shared" si="50"/>
        <v/>
      </c>
      <c r="S58" s="141" t="str">
        <f t="shared" si="50"/>
        <v/>
      </c>
      <c r="T58" s="141">
        <f t="shared" si="50"/>
        <v>19</v>
      </c>
      <c r="U58" s="141">
        <f t="shared" si="50"/>
        <v>19</v>
      </c>
      <c r="V58" s="141" t="str">
        <f t="shared" si="50"/>
        <v/>
      </c>
      <c r="W58" s="141" t="str">
        <f t="shared" si="50"/>
        <v/>
      </c>
      <c r="X58" s="141" t="str">
        <f t="shared" si="50"/>
        <v/>
      </c>
      <c r="Y58" s="141">
        <f t="shared" si="50"/>
        <v>19</v>
      </c>
      <c r="Z58" s="141">
        <f t="shared" si="50"/>
        <v>19</v>
      </c>
      <c r="AA58" s="141" t="str">
        <f t="shared" si="50"/>
        <v/>
      </c>
      <c r="AB58" s="141" t="str">
        <f t="shared" si="50"/>
        <v/>
      </c>
      <c r="AC58" s="141">
        <f t="shared" si="50"/>
        <v>19</v>
      </c>
      <c r="AD58" s="141">
        <f t="shared" si="50"/>
        <v>19</v>
      </c>
      <c r="AE58" s="141" t="str">
        <f t="shared" si="50"/>
        <v/>
      </c>
      <c r="AF58" s="141" t="str">
        <f t="shared" si="50"/>
        <v/>
      </c>
      <c r="AG58" s="141" t="str">
        <f t="shared" si="50"/>
        <v/>
      </c>
      <c r="AH58" s="154" t="s">
        <v>12</v>
      </c>
      <c r="AI58" s="133"/>
      <c r="AJ58" s="137"/>
      <c r="AK58" s="137"/>
      <c r="AL58" s="137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1"/>
      <c r="BF58" s="56"/>
      <c r="BG58" s="56"/>
      <c r="BH58" s="56"/>
      <c r="BI58" s="56"/>
      <c r="BJ58" s="56"/>
      <c r="BK58" s="56"/>
      <c r="BL58" s="56"/>
      <c r="BM58" s="56"/>
      <c r="BN58" s="56"/>
      <c r="BO58" s="52" t="str">
        <f t="shared" ref="BO58:BX58" si="51">IF(BO54=$AX47,IF(BO54="",0,$AX47),"")</f>
        <v/>
      </c>
      <c r="BP58" s="52" t="str">
        <f t="shared" si="51"/>
        <v/>
      </c>
      <c r="BQ58" s="52" t="str">
        <f t="shared" si="51"/>
        <v/>
      </c>
      <c r="BR58" s="52" t="str">
        <f t="shared" si="51"/>
        <v/>
      </c>
      <c r="BS58" s="52" t="str">
        <f t="shared" si="51"/>
        <v/>
      </c>
      <c r="BT58" s="52" t="str">
        <f t="shared" si="51"/>
        <v/>
      </c>
      <c r="BU58" s="52">
        <f t="shared" si="51"/>
        <v>46081</v>
      </c>
      <c r="BV58" s="52" t="str">
        <f t="shared" si="51"/>
        <v/>
      </c>
      <c r="BW58" s="52" t="str">
        <f t="shared" si="51"/>
        <v/>
      </c>
      <c r="BX58" s="52" t="str">
        <f t="shared" si="51"/>
        <v/>
      </c>
      <c r="BY58" s="52">
        <f t="shared" si="44"/>
        <v>46081</v>
      </c>
      <c r="BZ58" s="52">
        <f t="shared" si="45"/>
        <v>28</v>
      </c>
      <c r="CA58" s="99">
        <v>28</v>
      </c>
      <c r="CB58" s="56"/>
    </row>
    <row r="59" spans="1:80" s="59" customFormat="1" ht="15.95" hidden="1" customHeight="1" x14ac:dyDescent="0.25">
      <c r="A59" s="166" t="s">
        <v>71</v>
      </c>
      <c r="B59" s="167" t="s">
        <v>30</v>
      </c>
      <c r="C59" s="141" t="str">
        <f t="shared" ref="C59:AG59" si="52">IF(C10=$R32,$V32*24,IF(C10=$R33,$V33*24,IF(C10=$R34,$V34*24,IF(C10=$R35,$V35*24,IF(C10=$R36,$V36*24,IF(C10=$R37,$V37*24,IF(C10=$R38,$V38*24,IF(C10=$R39,$V39*24,IF(C10=$R40,$V40*24,"")))))))))</f>
        <v/>
      </c>
      <c r="D59" s="141">
        <f t="shared" si="52"/>
        <v>7</v>
      </c>
      <c r="E59" s="141">
        <f t="shared" si="52"/>
        <v>7</v>
      </c>
      <c r="F59" s="141">
        <f t="shared" si="52"/>
        <v>7</v>
      </c>
      <c r="G59" s="141" t="str">
        <f t="shared" si="52"/>
        <v/>
      </c>
      <c r="H59" s="141" t="str">
        <f t="shared" si="52"/>
        <v/>
      </c>
      <c r="I59" s="141" t="str">
        <f t="shared" si="52"/>
        <v/>
      </c>
      <c r="J59" s="141" t="str">
        <f t="shared" si="52"/>
        <v/>
      </c>
      <c r="K59" s="141">
        <f t="shared" si="52"/>
        <v>7</v>
      </c>
      <c r="L59" s="141">
        <f t="shared" si="52"/>
        <v>7</v>
      </c>
      <c r="M59" s="141" t="str">
        <f t="shared" si="52"/>
        <v/>
      </c>
      <c r="N59" s="141" t="str">
        <f t="shared" si="52"/>
        <v/>
      </c>
      <c r="O59" s="141">
        <f t="shared" si="52"/>
        <v>7</v>
      </c>
      <c r="P59" s="141">
        <f t="shared" si="52"/>
        <v>7</v>
      </c>
      <c r="Q59" s="141">
        <f t="shared" si="52"/>
        <v>7</v>
      </c>
      <c r="R59" s="141" t="str">
        <f t="shared" si="52"/>
        <v/>
      </c>
      <c r="S59" s="141" t="str">
        <f t="shared" si="52"/>
        <v/>
      </c>
      <c r="T59" s="141">
        <f t="shared" si="52"/>
        <v>7</v>
      </c>
      <c r="U59" s="141">
        <f t="shared" si="52"/>
        <v>7</v>
      </c>
      <c r="V59" s="141" t="str">
        <f t="shared" si="52"/>
        <v/>
      </c>
      <c r="W59" s="141" t="str">
        <f t="shared" si="52"/>
        <v/>
      </c>
      <c r="X59" s="141" t="str">
        <f t="shared" si="52"/>
        <v/>
      </c>
      <c r="Y59" s="141">
        <f t="shared" si="52"/>
        <v>7</v>
      </c>
      <c r="Z59" s="141">
        <f t="shared" si="52"/>
        <v>7</v>
      </c>
      <c r="AA59" s="141" t="str">
        <f t="shared" si="52"/>
        <v/>
      </c>
      <c r="AB59" s="141" t="str">
        <f t="shared" si="52"/>
        <v/>
      </c>
      <c r="AC59" s="141">
        <f t="shared" si="52"/>
        <v>7</v>
      </c>
      <c r="AD59" s="141">
        <f t="shared" si="52"/>
        <v>7</v>
      </c>
      <c r="AE59" s="141" t="str">
        <f t="shared" si="52"/>
        <v/>
      </c>
      <c r="AF59" s="141" t="str">
        <f t="shared" si="52"/>
        <v/>
      </c>
      <c r="AG59" s="141" t="str">
        <f t="shared" si="52"/>
        <v/>
      </c>
      <c r="AH59" s="154" t="s">
        <v>12</v>
      </c>
      <c r="AI59" s="133"/>
      <c r="AJ59" s="137"/>
      <c r="AK59" s="137"/>
      <c r="AL59" s="137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1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100" t="s">
        <v>56</v>
      </c>
      <c r="BZ59" s="52">
        <f>SUM(BZ55:BZ58)</f>
        <v>28</v>
      </c>
      <c r="CA59" s="53">
        <f>IF(BZ59=118,31,IF(BZ59=90,31,IF(BZ59=61,31,IF(BZ59=31,31,IF(BZ59=87,30,IF(BZ59=59,30,IF(BZ59=30,30,IF(BZ59=57,29,IF(BZ59=29,29,IF(BZ59=28,28,""))))))))))</f>
        <v>28</v>
      </c>
      <c r="CB59" s="10"/>
    </row>
    <row r="60" spans="1:80" s="59" customFormat="1" ht="15.95" hidden="1" customHeight="1" x14ac:dyDescent="0.25">
      <c r="A60" s="153"/>
      <c r="B60" s="168" t="s">
        <v>34</v>
      </c>
      <c r="C60" s="169" t="str">
        <f t="shared" ref="C60:AD60" si="53">IF(C10=$R32,$BD32*24,IF(C10=$R33,$BD33*24,IF(C10=$R34,$BD34*24,IF(C10=$R35,$BD35*24,IF(C10=$R36,$BD36*24,IF(C10=$R37,$BD37*24,IF(C10=$R38,$BD38*24,IF(C10=$R39,$BD39*24,IF(C10=$R40,$BD40*24,"")))))))))</f>
        <v/>
      </c>
      <c r="D60" s="169">
        <f t="shared" si="53"/>
        <v>8</v>
      </c>
      <c r="E60" s="169">
        <f t="shared" si="53"/>
        <v>8</v>
      </c>
      <c r="F60" s="169">
        <f t="shared" si="53"/>
        <v>8</v>
      </c>
      <c r="G60" s="169" t="str">
        <f t="shared" si="53"/>
        <v/>
      </c>
      <c r="H60" s="169" t="str">
        <f t="shared" si="53"/>
        <v/>
      </c>
      <c r="I60" s="169" t="str">
        <f t="shared" si="53"/>
        <v/>
      </c>
      <c r="J60" s="169" t="str">
        <f t="shared" si="53"/>
        <v/>
      </c>
      <c r="K60" s="169">
        <f t="shared" si="53"/>
        <v>8</v>
      </c>
      <c r="L60" s="169">
        <f t="shared" si="53"/>
        <v>8</v>
      </c>
      <c r="M60" s="169" t="str">
        <f t="shared" si="53"/>
        <v/>
      </c>
      <c r="N60" s="169" t="str">
        <f t="shared" si="53"/>
        <v/>
      </c>
      <c r="O60" s="169">
        <f t="shared" si="53"/>
        <v>8</v>
      </c>
      <c r="P60" s="169">
        <f t="shared" si="53"/>
        <v>8</v>
      </c>
      <c r="Q60" s="169">
        <f t="shared" si="53"/>
        <v>8</v>
      </c>
      <c r="R60" s="169" t="str">
        <f t="shared" si="53"/>
        <v/>
      </c>
      <c r="S60" s="169" t="str">
        <f t="shared" si="53"/>
        <v/>
      </c>
      <c r="T60" s="169">
        <f t="shared" si="53"/>
        <v>8</v>
      </c>
      <c r="U60" s="169">
        <f t="shared" si="53"/>
        <v>8</v>
      </c>
      <c r="V60" s="169" t="str">
        <f t="shared" si="53"/>
        <v/>
      </c>
      <c r="W60" s="169" t="str">
        <f t="shared" si="53"/>
        <v/>
      </c>
      <c r="X60" s="169" t="str">
        <f t="shared" si="53"/>
        <v/>
      </c>
      <c r="Y60" s="169">
        <f t="shared" si="53"/>
        <v>8</v>
      </c>
      <c r="Z60" s="169">
        <f t="shared" si="53"/>
        <v>8</v>
      </c>
      <c r="AA60" s="169" t="str">
        <f t="shared" si="53"/>
        <v/>
      </c>
      <c r="AB60" s="169" t="str">
        <f t="shared" si="53"/>
        <v/>
      </c>
      <c r="AC60" s="169">
        <f t="shared" si="53"/>
        <v>8</v>
      </c>
      <c r="AD60" s="169">
        <f t="shared" si="53"/>
        <v>8</v>
      </c>
      <c r="AE60" s="169" t="str">
        <f>IF(AE10=$R32,$BD32*24,IF(AE10=$R33,$BD33*24,IF(AE10=$R34,$BD34*24,IF(AE10=$R35,$BD35*24,IF(AE10=$R36,$BD36*24,IF(AE10=$R37,$BD37*24,IF(AE10=$R38,$BD38*24,IF(AE10=$R39,$BD39*24,IF(AE10=$R40,$BD40*24,"")))))))))</f>
        <v/>
      </c>
      <c r="AF60" s="169" t="str">
        <f>IF(AF10=$R32,$BD32*24,IF(AF10=$R33,$BD33*24,IF(AF10=$R34,$BD34*24,IF(AF10=$R35,$BD35*24,IF(AF10=$R36,$BD36*24,IF(AF10=$R37,$BD37*24,IF(AF10=$R38,$BD38*24,IF(AF10=$R39,$BD39*24,IF(AF10=$R40,$BD40*24,"")))))))))</f>
        <v/>
      </c>
      <c r="AG60" s="169" t="str">
        <f>IF(AG10=$R32,$BD32*24,IF(AG10=$R33,$BD33*24,IF(AG10=$R34,$BD34*24,IF(AG10=$R35,$BD35*24,IF(AG10=$R36,$BD36*24,IF(AG10=$R37,$BD37*24,IF(AG10=$R38,$BD38*24,IF(AG10=$R39,$BD39*24,IF(AG10=$R40,$BD40*24,"")))))))))</f>
        <v/>
      </c>
      <c r="AH60" s="148">
        <f>SUM(C60:AG60)</f>
        <v>112</v>
      </c>
      <c r="AI60" s="133"/>
      <c r="AJ60" s="137"/>
      <c r="AK60" s="137"/>
      <c r="AL60" s="137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1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101">
        <f>CA59</f>
        <v>28</v>
      </c>
      <c r="CB60" s="56"/>
    </row>
    <row r="61" spans="1:80" s="59" customFormat="1" ht="15.95" hidden="1" customHeight="1" x14ac:dyDescent="0.25">
      <c r="A61" s="153"/>
      <c r="B61" s="167" t="s">
        <v>59</v>
      </c>
      <c r="C61" s="141">
        <f t="shared" ref="C61:AG61" si="54">IF(C10="V",$C36,IF(C10="PR",$C38,0))</f>
        <v>0</v>
      </c>
      <c r="D61" s="141">
        <f t="shared" si="54"/>
        <v>0</v>
      </c>
      <c r="E61" s="141">
        <f t="shared" si="54"/>
        <v>0</v>
      </c>
      <c r="F61" s="141">
        <f t="shared" si="54"/>
        <v>0</v>
      </c>
      <c r="G61" s="141">
        <f t="shared" si="54"/>
        <v>0</v>
      </c>
      <c r="H61" s="141">
        <f t="shared" si="54"/>
        <v>0</v>
      </c>
      <c r="I61" s="141">
        <f t="shared" si="54"/>
        <v>0</v>
      </c>
      <c r="J61" s="141">
        <f t="shared" si="54"/>
        <v>0</v>
      </c>
      <c r="K61" s="141">
        <f t="shared" si="54"/>
        <v>0</v>
      </c>
      <c r="L61" s="141">
        <f t="shared" si="54"/>
        <v>0</v>
      </c>
      <c r="M61" s="141">
        <f t="shared" si="54"/>
        <v>0</v>
      </c>
      <c r="N61" s="141">
        <f t="shared" si="54"/>
        <v>0</v>
      </c>
      <c r="O61" s="141">
        <f t="shared" si="54"/>
        <v>0</v>
      </c>
      <c r="P61" s="141">
        <f t="shared" si="54"/>
        <v>0</v>
      </c>
      <c r="Q61" s="141">
        <f t="shared" si="54"/>
        <v>0</v>
      </c>
      <c r="R61" s="141">
        <f t="shared" si="54"/>
        <v>0</v>
      </c>
      <c r="S61" s="141">
        <f t="shared" si="54"/>
        <v>0</v>
      </c>
      <c r="T61" s="141">
        <f t="shared" si="54"/>
        <v>0</v>
      </c>
      <c r="U61" s="141">
        <f t="shared" si="54"/>
        <v>0</v>
      </c>
      <c r="V61" s="141">
        <f t="shared" si="54"/>
        <v>0</v>
      </c>
      <c r="W61" s="141">
        <f t="shared" si="54"/>
        <v>0</v>
      </c>
      <c r="X61" s="141">
        <f t="shared" si="54"/>
        <v>0</v>
      </c>
      <c r="Y61" s="141">
        <f t="shared" si="54"/>
        <v>0</v>
      </c>
      <c r="Z61" s="141">
        <f t="shared" si="54"/>
        <v>0</v>
      </c>
      <c r="AA61" s="141">
        <f t="shared" si="54"/>
        <v>0</v>
      </c>
      <c r="AB61" s="141">
        <f t="shared" si="54"/>
        <v>0</v>
      </c>
      <c r="AC61" s="141">
        <f t="shared" si="54"/>
        <v>0</v>
      </c>
      <c r="AD61" s="141">
        <f t="shared" si="54"/>
        <v>0</v>
      </c>
      <c r="AE61" s="141">
        <f t="shared" si="54"/>
        <v>0</v>
      </c>
      <c r="AF61" s="141">
        <f t="shared" si="54"/>
        <v>0</v>
      </c>
      <c r="AG61" s="141">
        <f t="shared" si="54"/>
        <v>0</v>
      </c>
      <c r="AH61" s="226">
        <f>SUM(C61:AG61)</f>
        <v>0</v>
      </c>
      <c r="AI61" s="226"/>
      <c r="AJ61" s="137" t="s">
        <v>12</v>
      </c>
      <c r="AK61" s="137"/>
      <c r="AL61" s="137"/>
      <c r="BE61" s="1"/>
      <c r="BU61" s="60" t="str">
        <f>BS50</f>
        <v>ju</v>
      </c>
      <c r="BV61" s="60" t="str">
        <f>BT50</f>
        <v>vi</v>
      </c>
      <c r="BW61" s="60" t="str">
        <f>BU50</f>
        <v>sa</v>
      </c>
      <c r="BX61" s="60" t="str">
        <f>BV50</f>
        <v>do</v>
      </c>
      <c r="BY61" s="60" t="str">
        <f>BW50</f>
        <v>lu</v>
      </c>
    </row>
    <row r="62" spans="1:80" s="59" customFormat="1" ht="15.95" hidden="1" customHeight="1" x14ac:dyDescent="0.25">
      <c r="A62" s="150" t="s">
        <v>60</v>
      </c>
      <c r="B62" s="167" t="s">
        <v>61</v>
      </c>
      <c r="C62" s="151">
        <f t="shared" ref="C62:AD62" si="55">IF(C10=$R32,$BC32,IF(C10=$R33,$BC33,IF(C10=$R34,$BC34,IF(C10=$R35,$BC35,IF(C10=$R36,$BC36,IF(C10=$R37,$BC37,IF(C10=$R38,$BC38,IF(C10=$R39,$BC39,IF(C10=$R40,$BC40,0)))))))))</f>
        <v>0</v>
      </c>
      <c r="D62" s="151">
        <f t="shared" si="55"/>
        <v>12</v>
      </c>
      <c r="E62" s="151">
        <f t="shared" si="55"/>
        <v>12</v>
      </c>
      <c r="F62" s="151">
        <f t="shared" si="55"/>
        <v>12</v>
      </c>
      <c r="G62" s="151">
        <f t="shared" si="55"/>
        <v>0</v>
      </c>
      <c r="H62" s="151">
        <f t="shared" si="55"/>
        <v>0</v>
      </c>
      <c r="I62" s="151">
        <f t="shared" si="55"/>
        <v>0</v>
      </c>
      <c r="J62" s="151">
        <f t="shared" si="55"/>
        <v>0</v>
      </c>
      <c r="K62" s="151">
        <f t="shared" si="55"/>
        <v>12</v>
      </c>
      <c r="L62" s="151">
        <f t="shared" si="55"/>
        <v>12</v>
      </c>
      <c r="M62" s="151">
        <f t="shared" si="55"/>
        <v>0</v>
      </c>
      <c r="N62" s="151">
        <f t="shared" si="55"/>
        <v>0</v>
      </c>
      <c r="O62" s="151">
        <f t="shared" si="55"/>
        <v>12</v>
      </c>
      <c r="P62" s="151">
        <f t="shared" si="55"/>
        <v>12</v>
      </c>
      <c r="Q62" s="151">
        <f t="shared" si="55"/>
        <v>12</v>
      </c>
      <c r="R62" s="151">
        <f t="shared" si="55"/>
        <v>0</v>
      </c>
      <c r="S62" s="151">
        <f t="shared" si="55"/>
        <v>0</v>
      </c>
      <c r="T62" s="151">
        <f t="shared" si="55"/>
        <v>12</v>
      </c>
      <c r="U62" s="151">
        <f t="shared" si="55"/>
        <v>12</v>
      </c>
      <c r="V62" s="151">
        <f t="shared" si="55"/>
        <v>0</v>
      </c>
      <c r="W62" s="151">
        <f t="shared" si="55"/>
        <v>0</v>
      </c>
      <c r="X62" s="151">
        <f t="shared" si="55"/>
        <v>0</v>
      </c>
      <c r="Y62" s="151">
        <f t="shared" si="55"/>
        <v>12</v>
      </c>
      <c r="Z62" s="151">
        <f t="shared" si="55"/>
        <v>12</v>
      </c>
      <c r="AA62" s="151">
        <f t="shared" si="55"/>
        <v>0</v>
      </c>
      <c r="AB62" s="151">
        <f t="shared" si="55"/>
        <v>0</v>
      </c>
      <c r="AC62" s="151">
        <f t="shared" si="55"/>
        <v>12</v>
      </c>
      <c r="AD62" s="151">
        <f t="shared" si="55"/>
        <v>12</v>
      </c>
      <c r="AE62" s="151">
        <f>IF(AE10=$R32,$BC32,IF(AE10=$R33,$BC33,IF(AE10=$R34,$BC34,IF(AE10=$R35,$BC35,IF(AE10=$R36,$BC36,IF(AE10=$R37,$BC37,IF(AE10=$R38,$BC38,IF(AE10=$R39,$BC39,IF(AE10=$R40,$BC40,0)))))))))</f>
        <v>0</v>
      </c>
      <c r="AF62" s="151">
        <f>IF(AF10=$R32,$BC32,IF(AF10=$R33,$BC33,IF(AF10=$R34,$BC34,IF(AF10=$R35,$BC35,IF(AF10=$R36,$BC36,IF(AF10=$R37,$BC37,IF(AF10=$R38,$BC38,IF(AF10=$R39,$BC39,IF(AF10=$R40,$BC40,0)))))))))</f>
        <v>0</v>
      </c>
      <c r="AG62" s="151">
        <f>IF(AG10=$R32,$BC32,IF(AG10=$R33,$BC33,IF(AG10=$R34,$BC34,IF(AG10=$R35,$BC35,IF(AG10=$R36,$BC36,IF(AG10=$R37,$BC37,IF(AG10=$R38,$BC38,IF(AG10=$R39,$BC39,IF(AG10=$R40,$BC40,0)))))))))</f>
        <v>0</v>
      </c>
      <c r="AH62" s="226">
        <f>SUM(C62:AG62)</f>
        <v>168</v>
      </c>
      <c r="AI62" s="226"/>
      <c r="AJ62" s="137" t="s">
        <v>62</v>
      </c>
      <c r="AK62" s="137" t="s">
        <v>12</v>
      </c>
      <c r="AL62" s="137"/>
      <c r="BE62" s="1"/>
      <c r="BU62" s="61">
        <v>28</v>
      </c>
      <c r="BV62" s="61">
        <v>29</v>
      </c>
      <c r="BW62" s="61">
        <v>30</v>
      </c>
      <c r="BX62" s="61">
        <v>31</v>
      </c>
      <c r="BY62" s="61">
        <v>1</v>
      </c>
    </row>
    <row r="63" spans="1:80" s="59" customFormat="1" ht="15.95" hidden="1" customHeight="1" x14ac:dyDescent="0.25">
      <c r="A63" s="153" t="s">
        <v>48</v>
      </c>
      <c r="B63" s="149" t="s">
        <v>63</v>
      </c>
      <c r="C63" s="141">
        <f t="shared" ref="C63:AG63" si="56">IF(C46=1,IF(C58&lt;C59,C62,0))</f>
        <v>0</v>
      </c>
      <c r="D63" s="141" t="b">
        <f t="shared" si="56"/>
        <v>0</v>
      </c>
      <c r="E63" s="141" t="b">
        <f t="shared" si="56"/>
        <v>0</v>
      </c>
      <c r="F63" s="141" t="b">
        <f t="shared" si="56"/>
        <v>0</v>
      </c>
      <c r="G63" s="141" t="b">
        <f t="shared" si="56"/>
        <v>0</v>
      </c>
      <c r="H63" s="141" t="b">
        <f t="shared" si="56"/>
        <v>0</v>
      </c>
      <c r="I63" s="141">
        <f t="shared" si="56"/>
        <v>0</v>
      </c>
      <c r="J63" s="141">
        <f t="shared" si="56"/>
        <v>0</v>
      </c>
      <c r="K63" s="141" t="b">
        <f t="shared" si="56"/>
        <v>0</v>
      </c>
      <c r="L63" s="141" t="b">
        <f t="shared" si="56"/>
        <v>0</v>
      </c>
      <c r="M63" s="141" t="b">
        <f t="shared" si="56"/>
        <v>0</v>
      </c>
      <c r="N63" s="141" t="b">
        <f t="shared" si="56"/>
        <v>0</v>
      </c>
      <c r="O63" s="141" t="b">
        <f t="shared" si="56"/>
        <v>0</v>
      </c>
      <c r="P63" s="141">
        <f t="shared" si="56"/>
        <v>0</v>
      </c>
      <c r="Q63" s="141">
        <f t="shared" si="56"/>
        <v>0</v>
      </c>
      <c r="R63" s="141" t="b">
        <f t="shared" si="56"/>
        <v>0</v>
      </c>
      <c r="S63" s="141" t="b">
        <f t="shared" si="56"/>
        <v>0</v>
      </c>
      <c r="T63" s="141" t="b">
        <f t="shared" si="56"/>
        <v>0</v>
      </c>
      <c r="U63" s="141" t="b">
        <f t="shared" si="56"/>
        <v>0</v>
      </c>
      <c r="V63" s="141" t="b">
        <f t="shared" si="56"/>
        <v>0</v>
      </c>
      <c r="W63" s="141">
        <f t="shared" si="56"/>
        <v>0</v>
      </c>
      <c r="X63" s="141">
        <f t="shared" si="56"/>
        <v>0</v>
      </c>
      <c r="Y63" s="141" t="b">
        <f t="shared" si="56"/>
        <v>0</v>
      </c>
      <c r="Z63" s="141" t="b">
        <f t="shared" si="56"/>
        <v>0</v>
      </c>
      <c r="AA63" s="141" t="b">
        <f t="shared" si="56"/>
        <v>0</v>
      </c>
      <c r="AB63" s="141" t="b">
        <f t="shared" si="56"/>
        <v>0</v>
      </c>
      <c r="AC63" s="141" t="b">
        <f t="shared" si="56"/>
        <v>0</v>
      </c>
      <c r="AD63" s="141">
        <f t="shared" si="56"/>
        <v>0</v>
      </c>
      <c r="AE63" s="141" t="b">
        <f t="shared" si="56"/>
        <v>0</v>
      </c>
      <c r="AF63" s="141" t="b">
        <f t="shared" si="56"/>
        <v>0</v>
      </c>
      <c r="AG63" s="141" t="b">
        <f t="shared" si="56"/>
        <v>0</v>
      </c>
      <c r="AH63" s="142" t="s">
        <v>12</v>
      </c>
      <c r="AI63" s="133"/>
      <c r="AJ63" s="137"/>
      <c r="AK63" s="137"/>
      <c r="AL63" s="137"/>
      <c r="BE63" s="1"/>
      <c r="BV63" s="102">
        <f>IF(CA59=28,IF(CA59="",0,1),IF(CA59=1,IF(CA59="",0,1),""))</f>
        <v>1</v>
      </c>
      <c r="BW63" s="102" t="str">
        <f>IF(CA59=29,IF(CA59="",0,1),IF(CA59=1,IF(CA59="",0,1),""))</f>
        <v/>
      </c>
      <c r="BX63" s="102" t="str">
        <f>IF(CA59=30,IF(CA59="",0,1),IF(CA59=1,IF(CA59="",0,1),""))</f>
        <v/>
      </c>
      <c r="BY63" s="102" t="str">
        <f>IF(CA59=31,IF(CA59="",0,1),IF(CA59=1,IF(CA59="",0,1),""))</f>
        <v/>
      </c>
    </row>
    <row r="64" spans="1:80" ht="15.95" hidden="1" customHeight="1" x14ac:dyDescent="0.25">
      <c r="A64" s="153"/>
      <c r="B64" s="149" t="s">
        <v>64</v>
      </c>
      <c r="C64" s="141">
        <f t="shared" ref="C64:AG64" si="57">IF(C46=1,IF(C58&gt;C59,24-C58,0),0)</f>
        <v>0</v>
      </c>
      <c r="D64" s="141">
        <f t="shared" si="57"/>
        <v>0</v>
      </c>
      <c r="E64" s="141">
        <f t="shared" si="57"/>
        <v>0</v>
      </c>
      <c r="F64" s="141">
        <f t="shared" si="57"/>
        <v>0</v>
      </c>
      <c r="G64" s="141">
        <f t="shared" si="57"/>
        <v>0</v>
      </c>
      <c r="H64" s="141">
        <f t="shared" si="57"/>
        <v>0</v>
      </c>
      <c r="I64" s="141">
        <f t="shared" si="57"/>
        <v>0</v>
      </c>
      <c r="J64" s="141">
        <f t="shared" si="57"/>
        <v>0</v>
      </c>
      <c r="K64" s="141">
        <f t="shared" si="57"/>
        <v>0</v>
      </c>
      <c r="L64" s="141">
        <f t="shared" si="57"/>
        <v>0</v>
      </c>
      <c r="M64" s="141">
        <f t="shared" si="57"/>
        <v>0</v>
      </c>
      <c r="N64" s="141">
        <f t="shared" si="57"/>
        <v>0</v>
      </c>
      <c r="O64" s="141">
        <f t="shared" si="57"/>
        <v>0</v>
      </c>
      <c r="P64" s="141">
        <f t="shared" si="57"/>
        <v>5</v>
      </c>
      <c r="Q64" s="141">
        <f t="shared" si="57"/>
        <v>5</v>
      </c>
      <c r="R64" s="141">
        <f t="shared" si="57"/>
        <v>0</v>
      </c>
      <c r="S64" s="141">
        <f t="shared" si="57"/>
        <v>0</v>
      </c>
      <c r="T64" s="141">
        <f t="shared" si="57"/>
        <v>0</v>
      </c>
      <c r="U64" s="141">
        <f t="shared" si="57"/>
        <v>0</v>
      </c>
      <c r="V64" s="141">
        <f t="shared" si="57"/>
        <v>0</v>
      </c>
      <c r="W64" s="141">
        <f t="shared" si="57"/>
        <v>0</v>
      </c>
      <c r="X64" s="141">
        <f t="shared" si="57"/>
        <v>0</v>
      </c>
      <c r="Y64" s="141">
        <f t="shared" si="57"/>
        <v>0</v>
      </c>
      <c r="Z64" s="141">
        <f t="shared" si="57"/>
        <v>0</v>
      </c>
      <c r="AA64" s="141">
        <f t="shared" si="57"/>
        <v>0</v>
      </c>
      <c r="AB64" s="141">
        <f t="shared" si="57"/>
        <v>0</v>
      </c>
      <c r="AC64" s="141">
        <f t="shared" si="57"/>
        <v>0</v>
      </c>
      <c r="AD64" s="141">
        <f t="shared" si="57"/>
        <v>5</v>
      </c>
      <c r="AE64" s="141">
        <f t="shared" si="57"/>
        <v>0</v>
      </c>
      <c r="AF64" s="141">
        <f t="shared" si="57"/>
        <v>0</v>
      </c>
      <c r="AG64" s="141">
        <f t="shared" si="57"/>
        <v>0</v>
      </c>
      <c r="AH64" s="142" t="s">
        <v>12</v>
      </c>
      <c r="AI64" s="133"/>
      <c r="AJ64" s="170"/>
      <c r="AK64" s="133"/>
      <c r="AL64" s="133"/>
      <c r="BU64" s="45" t="s">
        <v>72</v>
      </c>
      <c r="BV64" s="102" t="b">
        <f>IF(BV61="sa",IF(BV61="",0,"1"),IF(BV61="do",IF(BV61="",0,"1")))</f>
        <v>0</v>
      </c>
      <c r="BW64" s="102" t="str">
        <f>IF(BW61="sa",IF(BW61="",0,"1"),IF(BW61="do",IF(BW61="",0,"1")))</f>
        <v>1</v>
      </c>
      <c r="BX64" s="102" t="str">
        <f>IF(BX61="sa",IF(BX61="",0,"1"),IF(BX61="do",IF(BX61="",0,"1")))</f>
        <v>1</v>
      </c>
      <c r="BY64" s="102" t="b">
        <f>IF(BY61="sa",IF(BY61="",0,"1"),IF(BY61="do",IF(BY61="",0,"1")))</f>
        <v>0</v>
      </c>
    </row>
    <row r="65" spans="1:77" ht="15.95" hidden="1" customHeight="1" x14ac:dyDescent="0.25">
      <c r="A65" s="153"/>
      <c r="B65" s="149" t="s">
        <v>65</v>
      </c>
      <c r="C65" s="141">
        <f t="shared" ref="C65:AG65" si="58">IF(D46=1,IF(C58&gt;C59,C59,0),0)</f>
        <v>0</v>
      </c>
      <c r="D65" s="141">
        <f t="shared" si="58"/>
        <v>0</v>
      </c>
      <c r="E65" s="141">
        <f t="shared" si="58"/>
        <v>0</v>
      </c>
      <c r="F65" s="141">
        <f t="shared" si="58"/>
        <v>0</v>
      </c>
      <c r="G65" s="141">
        <f t="shared" si="58"/>
        <v>0</v>
      </c>
      <c r="H65" s="141">
        <f t="shared" si="58"/>
        <v>0</v>
      </c>
      <c r="I65" s="141">
        <f t="shared" si="58"/>
        <v>0</v>
      </c>
      <c r="J65" s="141">
        <f t="shared" si="58"/>
        <v>0</v>
      </c>
      <c r="K65" s="141">
        <f t="shared" si="58"/>
        <v>0</v>
      </c>
      <c r="L65" s="141">
        <f t="shared" si="58"/>
        <v>0</v>
      </c>
      <c r="M65" s="141">
        <f t="shared" si="58"/>
        <v>0</v>
      </c>
      <c r="N65" s="141">
        <f t="shared" si="58"/>
        <v>0</v>
      </c>
      <c r="O65" s="141">
        <f t="shared" si="58"/>
        <v>7</v>
      </c>
      <c r="P65" s="141">
        <f t="shared" si="58"/>
        <v>7</v>
      </c>
      <c r="Q65" s="141">
        <f t="shared" si="58"/>
        <v>0</v>
      </c>
      <c r="R65" s="141">
        <f t="shared" si="58"/>
        <v>0</v>
      </c>
      <c r="S65" s="141">
        <f t="shared" si="58"/>
        <v>0</v>
      </c>
      <c r="T65" s="141">
        <f t="shared" si="58"/>
        <v>0</v>
      </c>
      <c r="U65" s="141">
        <f t="shared" si="58"/>
        <v>0</v>
      </c>
      <c r="V65" s="141">
        <f t="shared" si="58"/>
        <v>0</v>
      </c>
      <c r="W65" s="141">
        <f t="shared" si="58"/>
        <v>0</v>
      </c>
      <c r="X65" s="141">
        <f>IF(Y46=1,IF(X58&gt;X59,X59,0),0)</f>
        <v>0</v>
      </c>
      <c r="Y65" s="141">
        <f t="shared" si="58"/>
        <v>0</v>
      </c>
      <c r="Z65" s="141">
        <f t="shared" si="58"/>
        <v>0</v>
      </c>
      <c r="AA65" s="141">
        <f t="shared" si="58"/>
        <v>0</v>
      </c>
      <c r="AB65" s="141">
        <f t="shared" si="58"/>
        <v>0</v>
      </c>
      <c r="AC65" s="141">
        <f t="shared" si="58"/>
        <v>7</v>
      </c>
      <c r="AD65" s="141">
        <f t="shared" si="58"/>
        <v>0</v>
      </c>
      <c r="AE65" s="141">
        <f t="shared" si="58"/>
        <v>0</v>
      </c>
      <c r="AF65" s="141">
        <f t="shared" si="58"/>
        <v>0</v>
      </c>
      <c r="AG65" s="141">
        <f t="shared" si="58"/>
        <v>0</v>
      </c>
      <c r="AH65" s="142" t="s">
        <v>12</v>
      </c>
      <c r="AI65" s="133"/>
      <c r="AJ65" s="170"/>
      <c r="AK65" s="133"/>
      <c r="AL65" s="133"/>
    </row>
    <row r="66" spans="1:77" ht="15.95" hidden="1" customHeight="1" x14ac:dyDescent="0.25">
      <c r="A66" s="153"/>
      <c r="B66" s="149" t="s">
        <v>67</v>
      </c>
      <c r="C66" s="171">
        <f t="shared" ref="C66:AG66" si="59">SUM(C63:C65)</f>
        <v>0</v>
      </c>
      <c r="D66" s="171">
        <f t="shared" si="59"/>
        <v>0</v>
      </c>
      <c r="E66" s="171">
        <f t="shared" si="59"/>
        <v>0</v>
      </c>
      <c r="F66" s="171">
        <f t="shared" si="59"/>
        <v>0</v>
      </c>
      <c r="G66" s="171">
        <f t="shared" si="59"/>
        <v>0</v>
      </c>
      <c r="H66" s="171">
        <f t="shared" si="59"/>
        <v>0</v>
      </c>
      <c r="I66" s="171">
        <f t="shared" si="59"/>
        <v>0</v>
      </c>
      <c r="J66" s="171">
        <f t="shared" si="59"/>
        <v>0</v>
      </c>
      <c r="K66" s="171">
        <f t="shared" si="59"/>
        <v>0</v>
      </c>
      <c r="L66" s="171">
        <f t="shared" si="59"/>
        <v>0</v>
      </c>
      <c r="M66" s="171">
        <f t="shared" si="59"/>
        <v>0</v>
      </c>
      <c r="N66" s="171">
        <f t="shared" si="59"/>
        <v>0</v>
      </c>
      <c r="O66" s="171">
        <f t="shared" si="59"/>
        <v>7</v>
      </c>
      <c r="P66" s="171">
        <f t="shared" si="59"/>
        <v>12</v>
      </c>
      <c r="Q66" s="171">
        <f t="shared" si="59"/>
        <v>5</v>
      </c>
      <c r="R66" s="171">
        <f t="shared" si="59"/>
        <v>0</v>
      </c>
      <c r="S66" s="171">
        <f t="shared" si="59"/>
        <v>0</v>
      </c>
      <c r="T66" s="171">
        <f t="shared" si="59"/>
        <v>0</v>
      </c>
      <c r="U66" s="171">
        <f t="shared" si="59"/>
        <v>0</v>
      </c>
      <c r="V66" s="171">
        <f t="shared" si="59"/>
        <v>0</v>
      </c>
      <c r="W66" s="171">
        <f t="shared" si="59"/>
        <v>0</v>
      </c>
      <c r="X66" s="171">
        <f t="shared" si="59"/>
        <v>0</v>
      </c>
      <c r="Y66" s="171">
        <f t="shared" si="59"/>
        <v>0</v>
      </c>
      <c r="Z66" s="171">
        <f t="shared" si="59"/>
        <v>0</v>
      </c>
      <c r="AA66" s="171">
        <f t="shared" si="59"/>
        <v>0</v>
      </c>
      <c r="AB66" s="171">
        <f t="shared" si="59"/>
        <v>0</v>
      </c>
      <c r="AC66" s="171">
        <f t="shared" si="59"/>
        <v>7</v>
      </c>
      <c r="AD66" s="171">
        <f t="shared" si="59"/>
        <v>5</v>
      </c>
      <c r="AE66" s="171">
        <f t="shared" si="59"/>
        <v>0</v>
      </c>
      <c r="AF66" s="171">
        <f t="shared" si="59"/>
        <v>0</v>
      </c>
      <c r="AG66" s="171">
        <f t="shared" si="59"/>
        <v>0</v>
      </c>
      <c r="AH66" s="142" t="s">
        <v>12</v>
      </c>
      <c r="AI66" s="133"/>
      <c r="AJ66" s="170"/>
      <c r="AK66" s="133"/>
      <c r="AL66" s="133"/>
      <c r="BU66" s="62"/>
      <c r="BV66" s="63" t="str">
        <f t="shared" ref="BV66:BY67" si="60">IF(BV65=2,IF(BV65="",0,"X"),IF(BV65=2,IF(BV65="",0,2),""))</f>
        <v/>
      </c>
      <c r="BW66" s="63" t="str">
        <f t="shared" si="60"/>
        <v/>
      </c>
      <c r="BX66" s="63" t="str">
        <f t="shared" si="60"/>
        <v/>
      </c>
      <c r="BY66" s="63" t="str">
        <f t="shared" si="60"/>
        <v/>
      </c>
    </row>
    <row r="67" spans="1:77" ht="15.95" hidden="1" customHeight="1" x14ac:dyDescent="0.25">
      <c r="A67" s="172"/>
      <c r="B67" s="160" t="s">
        <v>68</v>
      </c>
      <c r="C67" s="161">
        <f t="shared" ref="C67:AG67" si="61">IF(C10="V",IF(C10="",0,1),0)</f>
        <v>0</v>
      </c>
      <c r="D67" s="161">
        <f t="shared" si="61"/>
        <v>0</v>
      </c>
      <c r="E67" s="161">
        <f t="shared" si="61"/>
        <v>0</v>
      </c>
      <c r="F67" s="161">
        <f t="shared" si="61"/>
        <v>0</v>
      </c>
      <c r="G67" s="161">
        <f t="shared" si="61"/>
        <v>0</v>
      </c>
      <c r="H67" s="161">
        <f t="shared" si="61"/>
        <v>0</v>
      </c>
      <c r="I67" s="161">
        <f t="shared" si="61"/>
        <v>0</v>
      </c>
      <c r="J67" s="161">
        <f t="shared" si="61"/>
        <v>0</v>
      </c>
      <c r="K67" s="161">
        <f t="shared" si="61"/>
        <v>0</v>
      </c>
      <c r="L67" s="161">
        <f t="shared" si="61"/>
        <v>0</v>
      </c>
      <c r="M67" s="161">
        <f t="shared" si="61"/>
        <v>0</v>
      </c>
      <c r="N67" s="161">
        <f t="shared" si="61"/>
        <v>0</v>
      </c>
      <c r="O67" s="161">
        <f t="shared" si="61"/>
        <v>0</v>
      </c>
      <c r="P67" s="161">
        <f t="shared" si="61"/>
        <v>0</v>
      </c>
      <c r="Q67" s="161">
        <f t="shared" si="61"/>
        <v>0</v>
      </c>
      <c r="R67" s="161">
        <f t="shared" si="61"/>
        <v>0</v>
      </c>
      <c r="S67" s="161">
        <f t="shared" si="61"/>
        <v>0</v>
      </c>
      <c r="T67" s="161">
        <f t="shared" si="61"/>
        <v>0</v>
      </c>
      <c r="U67" s="161">
        <f t="shared" si="61"/>
        <v>0</v>
      </c>
      <c r="V67" s="161">
        <f t="shared" si="61"/>
        <v>0</v>
      </c>
      <c r="W67" s="161">
        <f t="shared" si="61"/>
        <v>0</v>
      </c>
      <c r="X67" s="161">
        <f t="shared" si="61"/>
        <v>0</v>
      </c>
      <c r="Y67" s="161">
        <f t="shared" si="61"/>
        <v>0</v>
      </c>
      <c r="Z67" s="161">
        <f t="shared" si="61"/>
        <v>0</v>
      </c>
      <c r="AA67" s="161">
        <f t="shared" si="61"/>
        <v>0</v>
      </c>
      <c r="AB67" s="161">
        <f t="shared" si="61"/>
        <v>0</v>
      </c>
      <c r="AC67" s="161">
        <f t="shared" si="61"/>
        <v>0</v>
      </c>
      <c r="AD67" s="161">
        <f t="shared" si="61"/>
        <v>0</v>
      </c>
      <c r="AE67" s="161">
        <f t="shared" si="61"/>
        <v>0</v>
      </c>
      <c r="AF67" s="161">
        <f t="shared" si="61"/>
        <v>0</v>
      </c>
      <c r="AG67" s="161">
        <f t="shared" si="61"/>
        <v>0</v>
      </c>
      <c r="AH67" s="142" t="s">
        <v>12</v>
      </c>
      <c r="AI67" s="133"/>
      <c r="AJ67" s="170"/>
      <c r="AK67" s="133"/>
      <c r="AL67" s="133"/>
      <c r="BU67" s="64"/>
      <c r="BV67" s="63" t="str">
        <f t="shared" si="60"/>
        <v/>
      </c>
      <c r="BW67" s="63" t="str">
        <f t="shared" si="60"/>
        <v/>
      </c>
      <c r="BX67" s="63" t="str">
        <f t="shared" si="60"/>
        <v/>
      </c>
      <c r="BY67" s="63" t="str">
        <f t="shared" si="60"/>
        <v/>
      </c>
    </row>
    <row r="68" spans="1:77" ht="15.95" hidden="1" customHeight="1" x14ac:dyDescent="0.25">
      <c r="A68" s="173"/>
      <c r="B68" s="130" t="s">
        <v>16</v>
      </c>
      <c r="C68" s="163">
        <f t="shared" ref="C68:AG68" si="62">IF(C10="PR",IF(C10="",0,1),0)</f>
        <v>0</v>
      </c>
      <c r="D68" s="163">
        <f t="shared" si="62"/>
        <v>0</v>
      </c>
      <c r="E68" s="163">
        <f t="shared" si="62"/>
        <v>0</v>
      </c>
      <c r="F68" s="163">
        <f t="shared" si="62"/>
        <v>0</v>
      </c>
      <c r="G68" s="163">
        <f t="shared" si="62"/>
        <v>0</v>
      </c>
      <c r="H68" s="163">
        <f t="shared" si="62"/>
        <v>0</v>
      </c>
      <c r="I68" s="163">
        <f t="shared" si="62"/>
        <v>0</v>
      </c>
      <c r="J68" s="163">
        <f t="shared" si="62"/>
        <v>0</v>
      </c>
      <c r="K68" s="163">
        <f t="shared" si="62"/>
        <v>0</v>
      </c>
      <c r="L68" s="163">
        <f t="shared" si="62"/>
        <v>0</v>
      </c>
      <c r="M68" s="163">
        <f t="shared" si="62"/>
        <v>0</v>
      </c>
      <c r="N68" s="163">
        <f t="shared" si="62"/>
        <v>0</v>
      </c>
      <c r="O68" s="163">
        <f t="shared" si="62"/>
        <v>0</v>
      </c>
      <c r="P68" s="163">
        <f t="shared" si="62"/>
        <v>0</v>
      </c>
      <c r="Q68" s="163">
        <f t="shared" si="62"/>
        <v>0</v>
      </c>
      <c r="R68" s="163">
        <f t="shared" si="62"/>
        <v>0</v>
      </c>
      <c r="S68" s="163">
        <f t="shared" si="62"/>
        <v>0</v>
      </c>
      <c r="T68" s="163">
        <f t="shared" si="62"/>
        <v>0</v>
      </c>
      <c r="U68" s="163">
        <f t="shared" si="62"/>
        <v>0</v>
      </c>
      <c r="V68" s="163">
        <f t="shared" si="62"/>
        <v>0</v>
      </c>
      <c r="W68" s="163">
        <f t="shared" si="62"/>
        <v>0</v>
      </c>
      <c r="X68" s="163">
        <f t="shared" si="62"/>
        <v>0</v>
      </c>
      <c r="Y68" s="163">
        <f t="shared" si="62"/>
        <v>0</v>
      </c>
      <c r="Z68" s="163">
        <f t="shared" si="62"/>
        <v>0</v>
      </c>
      <c r="AA68" s="163">
        <f t="shared" si="62"/>
        <v>0</v>
      </c>
      <c r="AB68" s="163">
        <f t="shared" si="62"/>
        <v>0</v>
      </c>
      <c r="AC68" s="163">
        <f t="shared" si="62"/>
        <v>0</v>
      </c>
      <c r="AD68" s="163">
        <f t="shared" si="62"/>
        <v>0</v>
      </c>
      <c r="AE68" s="163">
        <f t="shared" si="62"/>
        <v>0</v>
      </c>
      <c r="AF68" s="163">
        <f t="shared" si="62"/>
        <v>0</v>
      </c>
      <c r="AG68" s="163">
        <f t="shared" si="62"/>
        <v>0</v>
      </c>
      <c r="AH68" s="229">
        <f>SUM(C68:AG68)</f>
        <v>0</v>
      </c>
      <c r="AI68" s="229"/>
      <c r="AJ68" s="174" t="s">
        <v>69</v>
      </c>
      <c r="AK68" s="133"/>
      <c r="AL68" s="133"/>
    </row>
    <row r="69" spans="1:77" ht="15.95" hidden="1" customHeight="1" x14ac:dyDescent="0.25">
      <c r="A69" s="164" t="s">
        <v>73</v>
      </c>
      <c r="B69" s="165" t="s">
        <v>29</v>
      </c>
      <c r="C69" s="141" t="str">
        <f t="shared" ref="C69:AG69" si="63">IF(C11=$R32,$S32*24,IF(C11=$R33,$S33*24,IF(C11=$R34,$S34*24,IF(C11=$R35,$S35*24,IF(C11=$R36,$S36*24,IF(C11=$R37,$S37*24,IF(C11=$R38,$S38*24,IF(C11=$R39,$S39*24,IF(C11=$R40,$S40*24,"")))))))))</f>
        <v/>
      </c>
      <c r="D69" s="141" t="str">
        <f t="shared" si="63"/>
        <v/>
      </c>
      <c r="E69" s="141" t="str">
        <f t="shared" si="63"/>
        <v/>
      </c>
      <c r="F69" s="141" t="str">
        <f t="shared" si="63"/>
        <v/>
      </c>
      <c r="G69" s="141" t="str">
        <f t="shared" si="63"/>
        <v/>
      </c>
      <c r="H69" s="141" t="str">
        <f t="shared" si="63"/>
        <v/>
      </c>
      <c r="I69" s="141" t="str">
        <f t="shared" si="63"/>
        <v/>
      </c>
      <c r="J69" s="141" t="str">
        <f t="shared" si="63"/>
        <v/>
      </c>
      <c r="K69" s="141" t="str">
        <f t="shared" si="63"/>
        <v/>
      </c>
      <c r="L69" s="141" t="str">
        <f t="shared" si="63"/>
        <v/>
      </c>
      <c r="M69" s="141" t="str">
        <f t="shared" si="63"/>
        <v/>
      </c>
      <c r="N69" s="141" t="str">
        <f t="shared" si="63"/>
        <v/>
      </c>
      <c r="O69" s="141" t="str">
        <f t="shared" si="63"/>
        <v/>
      </c>
      <c r="P69" s="141" t="str">
        <f t="shared" si="63"/>
        <v/>
      </c>
      <c r="Q69" s="141" t="str">
        <f t="shared" si="63"/>
        <v/>
      </c>
      <c r="R69" s="141" t="str">
        <f t="shared" si="63"/>
        <v/>
      </c>
      <c r="S69" s="141" t="str">
        <f t="shared" si="63"/>
        <v/>
      </c>
      <c r="T69" s="141" t="str">
        <f t="shared" si="63"/>
        <v/>
      </c>
      <c r="U69" s="141" t="str">
        <f t="shared" si="63"/>
        <v/>
      </c>
      <c r="V69" s="141" t="str">
        <f t="shared" si="63"/>
        <v/>
      </c>
      <c r="W69" s="141" t="str">
        <f t="shared" si="63"/>
        <v/>
      </c>
      <c r="X69" s="141" t="str">
        <f t="shared" si="63"/>
        <v/>
      </c>
      <c r="Y69" s="141" t="str">
        <f t="shared" si="63"/>
        <v/>
      </c>
      <c r="Z69" s="141" t="str">
        <f t="shared" si="63"/>
        <v/>
      </c>
      <c r="AA69" s="141" t="str">
        <f t="shared" si="63"/>
        <v/>
      </c>
      <c r="AB69" s="141" t="str">
        <f t="shared" si="63"/>
        <v/>
      </c>
      <c r="AC69" s="141" t="str">
        <f t="shared" si="63"/>
        <v/>
      </c>
      <c r="AD69" s="141" t="str">
        <f t="shared" si="63"/>
        <v/>
      </c>
      <c r="AE69" s="141" t="str">
        <f t="shared" si="63"/>
        <v/>
      </c>
      <c r="AF69" s="141" t="str">
        <f t="shared" si="63"/>
        <v/>
      </c>
      <c r="AG69" s="141" t="str">
        <f t="shared" si="63"/>
        <v/>
      </c>
      <c r="AH69" s="154" t="s">
        <v>12</v>
      </c>
      <c r="AI69" s="133"/>
      <c r="AJ69" s="170"/>
      <c r="AK69" s="133"/>
      <c r="AL69" s="133"/>
    </row>
    <row r="70" spans="1:77" ht="15.95" hidden="1" customHeight="1" x14ac:dyDescent="0.25">
      <c r="A70" s="166" t="s">
        <v>74</v>
      </c>
      <c r="B70" s="167" t="s">
        <v>30</v>
      </c>
      <c r="C70" s="141" t="str">
        <f t="shared" ref="C70:AG70" si="64">IF(C11=$R32,$V32*24,IF(C11=$R33,$V33*24,IF(C11=$R34,$V34*24,IF(C11=$R35,$V35*24,IF(C11=$R36,$V36*24,IF(C11=$R37,$V37*24,IF(C11=$R38,$V38*24,IF(C11=$R39,$V39*24,IF(C11=$R40,$V40*24,"")))))))))</f>
        <v/>
      </c>
      <c r="D70" s="141" t="str">
        <f t="shared" si="64"/>
        <v/>
      </c>
      <c r="E70" s="141" t="str">
        <f t="shared" si="64"/>
        <v/>
      </c>
      <c r="F70" s="141" t="str">
        <f t="shared" si="64"/>
        <v/>
      </c>
      <c r="G70" s="141" t="str">
        <f t="shared" si="64"/>
        <v/>
      </c>
      <c r="H70" s="141" t="str">
        <f t="shared" si="64"/>
        <v/>
      </c>
      <c r="I70" s="141" t="str">
        <f t="shared" si="64"/>
        <v/>
      </c>
      <c r="J70" s="141" t="str">
        <f t="shared" si="64"/>
        <v/>
      </c>
      <c r="K70" s="141" t="str">
        <f t="shared" si="64"/>
        <v/>
      </c>
      <c r="L70" s="141" t="str">
        <f t="shared" si="64"/>
        <v/>
      </c>
      <c r="M70" s="141" t="str">
        <f t="shared" si="64"/>
        <v/>
      </c>
      <c r="N70" s="141" t="str">
        <f t="shared" si="64"/>
        <v/>
      </c>
      <c r="O70" s="141" t="str">
        <f t="shared" si="64"/>
        <v/>
      </c>
      <c r="P70" s="141" t="str">
        <f t="shared" si="64"/>
        <v/>
      </c>
      <c r="Q70" s="141" t="str">
        <f t="shared" si="64"/>
        <v/>
      </c>
      <c r="R70" s="141" t="str">
        <f t="shared" si="64"/>
        <v/>
      </c>
      <c r="S70" s="141" t="str">
        <f t="shared" si="64"/>
        <v/>
      </c>
      <c r="T70" s="141" t="str">
        <f t="shared" si="64"/>
        <v/>
      </c>
      <c r="U70" s="141" t="str">
        <f t="shared" si="64"/>
        <v/>
      </c>
      <c r="V70" s="141" t="str">
        <f t="shared" si="64"/>
        <v/>
      </c>
      <c r="W70" s="141" t="str">
        <f t="shared" si="64"/>
        <v/>
      </c>
      <c r="X70" s="141" t="str">
        <f t="shared" si="64"/>
        <v/>
      </c>
      <c r="Y70" s="141" t="str">
        <f t="shared" si="64"/>
        <v/>
      </c>
      <c r="Z70" s="141" t="str">
        <f t="shared" si="64"/>
        <v/>
      </c>
      <c r="AA70" s="141" t="str">
        <f t="shared" si="64"/>
        <v/>
      </c>
      <c r="AB70" s="141" t="str">
        <f t="shared" si="64"/>
        <v/>
      </c>
      <c r="AC70" s="141" t="str">
        <f t="shared" si="64"/>
        <v/>
      </c>
      <c r="AD70" s="141" t="str">
        <f t="shared" si="64"/>
        <v/>
      </c>
      <c r="AE70" s="141" t="str">
        <f t="shared" si="64"/>
        <v/>
      </c>
      <c r="AF70" s="141" t="str">
        <f t="shared" si="64"/>
        <v/>
      </c>
      <c r="AG70" s="141" t="str">
        <f t="shared" si="64"/>
        <v/>
      </c>
      <c r="AH70" s="154" t="s">
        <v>12</v>
      </c>
      <c r="AI70" s="133"/>
      <c r="AJ70" s="170"/>
      <c r="AK70" s="133"/>
      <c r="AL70" s="133"/>
    </row>
    <row r="71" spans="1:77" ht="15.95" hidden="1" customHeight="1" x14ac:dyDescent="0.25">
      <c r="A71" s="153"/>
      <c r="B71" s="168" t="s">
        <v>34</v>
      </c>
      <c r="C71" s="169" t="str">
        <f t="shared" ref="C71:AD71" si="65">IF(C11=$R32,$BD32*24,IF(C11=$R33,$BD33*24,IF(C11=$R34,$BD34*24,IF(C11=$R35,$BD35*24,IF(C11=$R36,$BD36*24,IF(C11=$R37,$BD37*24,IF(C11=$R38,$BD38*24,IF(C11=$R39,$BD39*24,IF(C11=$R40,$BD40*24,"")))))))))</f>
        <v/>
      </c>
      <c r="D71" s="169" t="str">
        <f t="shared" si="65"/>
        <v/>
      </c>
      <c r="E71" s="169" t="str">
        <f t="shared" si="65"/>
        <v/>
      </c>
      <c r="F71" s="169" t="str">
        <f t="shared" si="65"/>
        <v/>
      </c>
      <c r="G71" s="169" t="str">
        <f t="shared" si="65"/>
        <v/>
      </c>
      <c r="H71" s="169" t="str">
        <f t="shared" si="65"/>
        <v/>
      </c>
      <c r="I71" s="169" t="str">
        <f t="shared" si="65"/>
        <v/>
      </c>
      <c r="J71" s="169" t="str">
        <f t="shared" si="65"/>
        <v/>
      </c>
      <c r="K71" s="169" t="str">
        <f t="shared" si="65"/>
        <v/>
      </c>
      <c r="L71" s="169" t="str">
        <f t="shared" si="65"/>
        <v/>
      </c>
      <c r="M71" s="169" t="str">
        <f t="shared" si="65"/>
        <v/>
      </c>
      <c r="N71" s="169" t="str">
        <f t="shared" si="65"/>
        <v/>
      </c>
      <c r="O71" s="169" t="str">
        <f t="shared" si="65"/>
        <v/>
      </c>
      <c r="P71" s="169" t="str">
        <f t="shared" si="65"/>
        <v/>
      </c>
      <c r="Q71" s="169" t="str">
        <f t="shared" si="65"/>
        <v/>
      </c>
      <c r="R71" s="169" t="str">
        <f t="shared" si="65"/>
        <v/>
      </c>
      <c r="S71" s="169" t="str">
        <f t="shared" si="65"/>
        <v/>
      </c>
      <c r="T71" s="169" t="str">
        <f t="shared" si="65"/>
        <v/>
      </c>
      <c r="U71" s="169" t="str">
        <f t="shared" si="65"/>
        <v/>
      </c>
      <c r="V71" s="169" t="str">
        <f t="shared" si="65"/>
        <v/>
      </c>
      <c r="W71" s="169" t="str">
        <f t="shared" si="65"/>
        <v/>
      </c>
      <c r="X71" s="169" t="str">
        <f t="shared" si="65"/>
        <v/>
      </c>
      <c r="Y71" s="169" t="str">
        <f t="shared" si="65"/>
        <v/>
      </c>
      <c r="Z71" s="169" t="str">
        <f t="shared" si="65"/>
        <v/>
      </c>
      <c r="AA71" s="169" t="str">
        <f t="shared" si="65"/>
        <v/>
      </c>
      <c r="AB71" s="169" t="str">
        <f t="shared" si="65"/>
        <v/>
      </c>
      <c r="AC71" s="169" t="str">
        <f t="shared" si="65"/>
        <v/>
      </c>
      <c r="AD71" s="169" t="str">
        <f t="shared" si="65"/>
        <v/>
      </c>
      <c r="AE71" s="169" t="str">
        <f>IF(AE11=$R32,$BD32*24,IF(AE11=$R33,$BD33*24,IF(AE11=$R34,$BD34*24,IF(AE11=$R35,$BD35*24,IF(AE11=$R36,$BD36*24,IF(AE11=$R37,$BD37*24,IF(AE11=$R38,$BD38*24,IF(AE11=$R39,$BD39*24,IF(AE11=$R40,$BD40*24,"")))))))))</f>
        <v/>
      </c>
      <c r="AF71" s="169" t="str">
        <f>IF(AF11=$R32,$BD32*24,IF(AF11=$R33,$BD33*24,IF(AF11=$R34,$BD34*24,IF(AF11=$R35,$BD35*24,IF(AF11=$R36,$BD36*24,IF(AF11=$R37,$BD37*24,IF(AF11=$R38,$BD38*24,IF(AF11=$R39,$BD39*24,IF(AF11=$R40,$BD40*24,"")))))))))</f>
        <v/>
      </c>
      <c r="AG71" s="169" t="str">
        <f>IF(AG11=$R32,$BD32*24,IF(AG11=$R33,$BD33*24,IF(AG11=$R34,$BD34*24,IF(AG11=$R35,$BD35*24,IF(AG11=$R36,$BD36*24,IF(AG11=$R37,$BD37*24,IF(AG11=$R38,$BD38*24,IF(AG11=$R39,$BD39*24,IF(AG11=$R40,$BD40*24,"")))))))))</f>
        <v/>
      </c>
      <c r="AH71" s="148">
        <f>SUM(C71:AG71)</f>
        <v>0</v>
      </c>
      <c r="AI71" s="133"/>
      <c r="AJ71" s="170"/>
      <c r="AK71" s="133"/>
      <c r="AL71" s="133"/>
    </row>
    <row r="72" spans="1:77" ht="15.95" hidden="1" customHeight="1" x14ac:dyDescent="0.25">
      <c r="A72" s="153"/>
      <c r="B72" s="167" t="s">
        <v>59</v>
      </c>
      <c r="C72" s="141">
        <f t="shared" ref="C72:AG72" si="66">IF(C11="V",$C36,IF(C11="PR",$C38,0))</f>
        <v>0</v>
      </c>
      <c r="D72" s="141">
        <f t="shared" si="66"/>
        <v>0</v>
      </c>
      <c r="E72" s="141">
        <f t="shared" si="66"/>
        <v>0</v>
      </c>
      <c r="F72" s="141">
        <f t="shared" si="66"/>
        <v>0</v>
      </c>
      <c r="G72" s="141">
        <f t="shared" si="66"/>
        <v>0</v>
      </c>
      <c r="H72" s="141">
        <f t="shared" si="66"/>
        <v>0</v>
      </c>
      <c r="I72" s="141">
        <f t="shared" si="66"/>
        <v>0</v>
      </c>
      <c r="J72" s="141">
        <f t="shared" si="66"/>
        <v>0</v>
      </c>
      <c r="K72" s="141">
        <f t="shared" si="66"/>
        <v>0</v>
      </c>
      <c r="L72" s="141">
        <f t="shared" si="66"/>
        <v>0</v>
      </c>
      <c r="M72" s="141">
        <f t="shared" si="66"/>
        <v>0</v>
      </c>
      <c r="N72" s="141">
        <f t="shared" si="66"/>
        <v>0</v>
      </c>
      <c r="O72" s="141">
        <f t="shared" si="66"/>
        <v>0</v>
      </c>
      <c r="P72" s="141">
        <f t="shared" si="66"/>
        <v>0</v>
      </c>
      <c r="Q72" s="141">
        <f t="shared" si="66"/>
        <v>0</v>
      </c>
      <c r="R72" s="141">
        <f t="shared" si="66"/>
        <v>0</v>
      </c>
      <c r="S72" s="141">
        <f t="shared" si="66"/>
        <v>0</v>
      </c>
      <c r="T72" s="141">
        <f t="shared" si="66"/>
        <v>0</v>
      </c>
      <c r="U72" s="141">
        <f t="shared" si="66"/>
        <v>0</v>
      </c>
      <c r="V72" s="141">
        <f t="shared" si="66"/>
        <v>0</v>
      </c>
      <c r="W72" s="141">
        <f t="shared" si="66"/>
        <v>0</v>
      </c>
      <c r="X72" s="141">
        <f t="shared" si="66"/>
        <v>0</v>
      </c>
      <c r="Y72" s="141">
        <f t="shared" si="66"/>
        <v>0</v>
      </c>
      <c r="Z72" s="141">
        <f t="shared" si="66"/>
        <v>0</v>
      </c>
      <c r="AA72" s="141">
        <f t="shared" si="66"/>
        <v>0</v>
      </c>
      <c r="AB72" s="141">
        <f t="shared" si="66"/>
        <v>0</v>
      </c>
      <c r="AC72" s="141">
        <f t="shared" si="66"/>
        <v>0</v>
      </c>
      <c r="AD72" s="141">
        <f t="shared" si="66"/>
        <v>0</v>
      </c>
      <c r="AE72" s="141">
        <f t="shared" si="66"/>
        <v>0</v>
      </c>
      <c r="AF72" s="141">
        <f t="shared" si="66"/>
        <v>0</v>
      </c>
      <c r="AG72" s="141">
        <f t="shared" si="66"/>
        <v>0</v>
      </c>
      <c r="AH72" s="226">
        <f>SUM(C72:AG72)</f>
        <v>0</v>
      </c>
      <c r="AI72" s="226"/>
      <c r="AJ72" s="170" t="s">
        <v>12</v>
      </c>
      <c r="AK72" s="133"/>
      <c r="AL72" s="133"/>
    </row>
    <row r="73" spans="1:77" ht="15.95" hidden="1" customHeight="1" x14ac:dyDescent="0.25">
      <c r="A73" s="150" t="s">
        <v>60</v>
      </c>
      <c r="B73" s="167" t="s">
        <v>61</v>
      </c>
      <c r="C73" s="151">
        <f t="shared" ref="C73:AD73" si="67">IF(C11=$R32,$BC32,IF(C11=$R33,$BC33,IF(C11=$R34,$BC34,IF(C11=$R35,$BC35,IF(C11=$R36,$BC36,IF(C11=$R37,$BC37,IF(C11=$R38,$BC38,IF(C11=$R39,$BC39,IF(C11=$R40,$BC40,0)))))))))</f>
        <v>0</v>
      </c>
      <c r="D73" s="151">
        <f t="shared" si="67"/>
        <v>0</v>
      </c>
      <c r="E73" s="151">
        <f t="shared" si="67"/>
        <v>0</v>
      </c>
      <c r="F73" s="151">
        <f t="shared" si="67"/>
        <v>0</v>
      </c>
      <c r="G73" s="151">
        <f t="shared" si="67"/>
        <v>0</v>
      </c>
      <c r="H73" s="151">
        <f t="shared" si="67"/>
        <v>0</v>
      </c>
      <c r="I73" s="151">
        <f t="shared" si="67"/>
        <v>0</v>
      </c>
      <c r="J73" s="151">
        <f t="shared" si="67"/>
        <v>0</v>
      </c>
      <c r="K73" s="151">
        <f t="shared" si="67"/>
        <v>0</v>
      </c>
      <c r="L73" s="151">
        <f t="shared" si="67"/>
        <v>0</v>
      </c>
      <c r="M73" s="151">
        <f t="shared" si="67"/>
        <v>0</v>
      </c>
      <c r="N73" s="151">
        <f t="shared" si="67"/>
        <v>0</v>
      </c>
      <c r="O73" s="151">
        <f t="shared" si="67"/>
        <v>0</v>
      </c>
      <c r="P73" s="151">
        <f t="shared" si="67"/>
        <v>0</v>
      </c>
      <c r="Q73" s="151">
        <f t="shared" si="67"/>
        <v>0</v>
      </c>
      <c r="R73" s="151">
        <f t="shared" si="67"/>
        <v>0</v>
      </c>
      <c r="S73" s="151">
        <f t="shared" si="67"/>
        <v>0</v>
      </c>
      <c r="T73" s="151">
        <f t="shared" si="67"/>
        <v>0</v>
      </c>
      <c r="U73" s="151">
        <f t="shared" si="67"/>
        <v>0</v>
      </c>
      <c r="V73" s="151">
        <f t="shared" si="67"/>
        <v>0</v>
      </c>
      <c r="W73" s="151">
        <f t="shared" si="67"/>
        <v>0</v>
      </c>
      <c r="X73" s="151">
        <f t="shared" si="67"/>
        <v>0</v>
      </c>
      <c r="Y73" s="151">
        <f t="shared" si="67"/>
        <v>0</v>
      </c>
      <c r="Z73" s="151">
        <f t="shared" si="67"/>
        <v>0</v>
      </c>
      <c r="AA73" s="151">
        <f t="shared" si="67"/>
        <v>0</v>
      </c>
      <c r="AB73" s="151">
        <f t="shared" si="67"/>
        <v>0</v>
      </c>
      <c r="AC73" s="151">
        <f t="shared" si="67"/>
        <v>0</v>
      </c>
      <c r="AD73" s="151">
        <f t="shared" si="67"/>
        <v>0</v>
      </c>
      <c r="AE73" s="151">
        <f>IF(AE11=$R32,$BC32,IF(AE11=$R33,$BC33,IF(AE11=$R34,$BC34,IF(AE11=$R35,$BC35,IF(AE11=$R36,$BC36,IF(AE11=$R37,$BC37,IF(AE11=$R38,$BC38,IF(AE11=$R39,$BC39,IF(AE11=$R40,$BC40,0)))))))))</f>
        <v>0</v>
      </c>
      <c r="AF73" s="151">
        <f>IF(AF11=$R32,$BC32,IF(AF11=$R33,$BC33,IF(AF11=$R34,$BC34,IF(AF11=$R35,$BC35,IF(AF11=$R36,$BC36,IF(AF11=$R37,$BC37,IF(AF11=$R38,$BC38,IF(AF11=$R39,$BC39,IF(AF11=$R40,$BC40,0)))))))))</f>
        <v>0</v>
      </c>
      <c r="AG73" s="151">
        <f>IF(AG11=$R32,$BC32,IF(AG11=$R33,$BC33,IF(AG11=$R34,$BC34,IF(AG11=$R35,$BC35,IF(AG11=$R36,$BC36,IF(AG11=$R37,$BC37,IF(AG11=$R38,$BC38,IF(AG11=$R39,$BC39,IF(AG11=$R40,$BC40,0)))))))))</f>
        <v>0</v>
      </c>
      <c r="AH73" s="226">
        <f>SUM(C73:AG73)</f>
        <v>0</v>
      </c>
      <c r="AI73" s="226"/>
      <c r="AJ73" s="175" t="s">
        <v>62</v>
      </c>
      <c r="AK73" s="133" t="s">
        <v>12</v>
      </c>
      <c r="AL73" s="133"/>
    </row>
    <row r="74" spans="1:77" ht="15.95" hidden="1" customHeight="1" x14ac:dyDescent="0.25">
      <c r="A74" s="153" t="s">
        <v>48</v>
      </c>
      <c r="B74" s="149" t="s">
        <v>63</v>
      </c>
      <c r="C74" s="141">
        <f t="shared" ref="C74:AG74" si="68">IF(C46=1,IF(C69&lt;C70,C73,0))</f>
        <v>0</v>
      </c>
      <c r="D74" s="141" t="b">
        <f t="shared" si="68"/>
        <v>0</v>
      </c>
      <c r="E74" s="141" t="b">
        <f t="shared" si="68"/>
        <v>0</v>
      </c>
      <c r="F74" s="141" t="b">
        <f t="shared" si="68"/>
        <v>0</v>
      </c>
      <c r="G74" s="141" t="b">
        <f t="shared" si="68"/>
        <v>0</v>
      </c>
      <c r="H74" s="141" t="b">
        <f t="shared" si="68"/>
        <v>0</v>
      </c>
      <c r="I74" s="141">
        <f t="shared" si="68"/>
        <v>0</v>
      </c>
      <c r="J74" s="141">
        <f t="shared" si="68"/>
        <v>0</v>
      </c>
      <c r="K74" s="141" t="b">
        <f t="shared" si="68"/>
        <v>0</v>
      </c>
      <c r="L74" s="141" t="b">
        <f t="shared" si="68"/>
        <v>0</v>
      </c>
      <c r="M74" s="141" t="b">
        <f t="shared" si="68"/>
        <v>0</v>
      </c>
      <c r="N74" s="141" t="b">
        <f t="shared" si="68"/>
        <v>0</v>
      </c>
      <c r="O74" s="141" t="b">
        <f t="shared" si="68"/>
        <v>0</v>
      </c>
      <c r="P74" s="141">
        <f t="shared" si="68"/>
        <v>0</v>
      </c>
      <c r="Q74" s="141">
        <f t="shared" si="68"/>
        <v>0</v>
      </c>
      <c r="R74" s="141" t="b">
        <f t="shared" si="68"/>
        <v>0</v>
      </c>
      <c r="S74" s="141" t="b">
        <f t="shared" si="68"/>
        <v>0</v>
      </c>
      <c r="T74" s="141" t="b">
        <f t="shared" si="68"/>
        <v>0</v>
      </c>
      <c r="U74" s="141" t="b">
        <f t="shared" si="68"/>
        <v>0</v>
      </c>
      <c r="V74" s="141" t="b">
        <f t="shared" si="68"/>
        <v>0</v>
      </c>
      <c r="W74" s="141">
        <f t="shared" si="68"/>
        <v>0</v>
      </c>
      <c r="X74" s="141">
        <f t="shared" si="68"/>
        <v>0</v>
      </c>
      <c r="Y74" s="141" t="b">
        <f t="shared" si="68"/>
        <v>0</v>
      </c>
      <c r="Z74" s="141" t="b">
        <f t="shared" si="68"/>
        <v>0</v>
      </c>
      <c r="AA74" s="141" t="b">
        <f t="shared" si="68"/>
        <v>0</v>
      </c>
      <c r="AB74" s="141" t="b">
        <f t="shared" si="68"/>
        <v>0</v>
      </c>
      <c r="AC74" s="141" t="b">
        <f t="shared" si="68"/>
        <v>0</v>
      </c>
      <c r="AD74" s="141">
        <f t="shared" si="68"/>
        <v>0</v>
      </c>
      <c r="AE74" s="141" t="b">
        <f t="shared" si="68"/>
        <v>0</v>
      </c>
      <c r="AF74" s="141" t="b">
        <f t="shared" si="68"/>
        <v>0</v>
      </c>
      <c r="AG74" s="141" t="b">
        <f t="shared" si="68"/>
        <v>0</v>
      </c>
      <c r="AH74" s="154" t="s">
        <v>12</v>
      </c>
      <c r="AI74" s="133"/>
      <c r="AJ74" s="170"/>
      <c r="AK74" s="133"/>
      <c r="AL74" s="133"/>
    </row>
    <row r="75" spans="1:77" ht="15.95" hidden="1" customHeight="1" x14ac:dyDescent="0.25">
      <c r="A75" s="176"/>
      <c r="B75" s="149" t="s">
        <v>64</v>
      </c>
      <c r="C75" s="141">
        <f t="shared" ref="C75:AG75" si="69">IF(C46=1,IF(C69&gt;C70,24-C69,0),0)</f>
        <v>0</v>
      </c>
      <c r="D75" s="141">
        <f t="shared" si="69"/>
        <v>0</v>
      </c>
      <c r="E75" s="141">
        <f t="shared" si="69"/>
        <v>0</v>
      </c>
      <c r="F75" s="141">
        <f t="shared" si="69"/>
        <v>0</v>
      </c>
      <c r="G75" s="141">
        <f t="shared" si="69"/>
        <v>0</v>
      </c>
      <c r="H75" s="141">
        <f t="shared" si="69"/>
        <v>0</v>
      </c>
      <c r="I75" s="141">
        <f t="shared" si="69"/>
        <v>0</v>
      </c>
      <c r="J75" s="141">
        <f t="shared" si="69"/>
        <v>0</v>
      </c>
      <c r="K75" s="141">
        <f t="shared" si="69"/>
        <v>0</v>
      </c>
      <c r="L75" s="141">
        <f t="shared" si="69"/>
        <v>0</v>
      </c>
      <c r="M75" s="141">
        <f t="shared" si="69"/>
        <v>0</v>
      </c>
      <c r="N75" s="141">
        <f t="shared" si="69"/>
        <v>0</v>
      </c>
      <c r="O75" s="141">
        <f t="shared" si="69"/>
        <v>0</v>
      </c>
      <c r="P75" s="141">
        <f t="shared" si="69"/>
        <v>0</v>
      </c>
      <c r="Q75" s="141">
        <f t="shared" si="69"/>
        <v>0</v>
      </c>
      <c r="R75" s="141">
        <f t="shared" si="69"/>
        <v>0</v>
      </c>
      <c r="S75" s="141">
        <f t="shared" si="69"/>
        <v>0</v>
      </c>
      <c r="T75" s="141">
        <f t="shared" si="69"/>
        <v>0</v>
      </c>
      <c r="U75" s="141">
        <f t="shared" si="69"/>
        <v>0</v>
      </c>
      <c r="V75" s="141">
        <f t="shared" si="69"/>
        <v>0</v>
      </c>
      <c r="W75" s="141">
        <f t="shared" si="69"/>
        <v>0</v>
      </c>
      <c r="X75" s="141">
        <f t="shared" si="69"/>
        <v>0</v>
      </c>
      <c r="Y75" s="141">
        <f t="shared" si="69"/>
        <v>0</v>
      </c>
      <c r="Z75" s="141">
        <f t="shared" si="69"/>
        <v>0</v>
      </c>
      <c r="AA75" s="141">
        <f t="shared" si="69"/>
        <v>0</v>
      </c>
      <c r="AB75" s="141">
        <f t="shared" si="69"/>
        <v>0</v>
      </c>
      <c r="AC75" s="141">
        <f t="shared" si="69"/>
        <v>0</v>
      </c>
      <c r="AD75" s="141">
        <f t="shared" si="69"/>
        <v>0</v>
      </c>
      <c r="AE75" s="141">
        <f t="shared" si="69"/>
        <v>0</v>
      </c>
      <c r="AF75" s="141">
        <f t="shared" si="69"/>
        <v>0</v>
      </c>
      <c r="AG75" s="141">
        <f t="shared" si="69"/>
        <v>0</v>
      </c>
      <c r="AH75" s="154" t="s">
        <v>12</v>
      </c>
      <c r="AI75" s="133"/>
      <c r="AJ75" s="170"/>
      <c r="AK75" s="133"/>
      <c r="AL75" s="133"/>
    </row>
    <row r="76" spans="1:77" ht="15.95" hidden="1" customHeight="1" x14ac:dyDescent="0.25">
      <c r="A76" s="176"/>
      <c r="B76" s="149" t="s">
        <v>65</v>
      </c>
      <c r="C76" s="141">
        <f t="shared" ref="C76:AG76" si="70">IF(D46=1,IF(C69&gt;C70,C70,0),0)</f>
        <v>0</v>
      </c>
      <c r="D76" s="141">
        <f t="shared" si="70"/>
        <v>0</v>
      </c>
      <c r="E76" s="141">
        <f t="shared" si="70"/>
        <v>0</v>
      </c>
      <c r="F76" s="141">
        <f t="shared" si="70"/>
        <v>0</v>
      </c>
      <c r="G76" s="141">
        <f t="shared" si="70"/>
        <v>0</v>
      </c>
      <c r="H76" s="141">
        <f t="shared" si="70"/>
        <v>0</v>
      </c>
      <c r="I76" s="141">
        <f t="shared" si="70"/>
        <v>0</v>
      </c>
      <c r="J76" s="141">
        <f t="shared" si="70"/>
        <v>0</v>
      </c>
      <c r="K76" s="141">
        <f t="shared" si="70"/>
        <v>0</v>
      </c>
      <c r="L76" s="141">
        <f t="shared" si="70"/>
        <v>0</v>
      </c>
      <c r="M76" s="141">
        <f t="shared" si="70"/>
        <v>0</v>
      </c>
      <c r="N76" s="141">
        <f t="shared" si="70"/>
        <v>0</v>
      </c>
      <c r="O76" s="141">
        <f t="shared" si="70"/>
        <v>0</v>
      </c>
      <c r="P76" s="141">
        <f t="shared" si="70"/>
        <v>0</v>
      </c>
      <c r="Q76" s="141">
        <f t="shared" si="70"/>
        <v>0</v>
      </c>
      <c r="R76" s="141">
        <f t="shared" si="70"/>
        <v>0</v>
      </c>
      <c r="S76" s="141">
        <f t="shared" si="70"/>
        <v>0</v>
      </c>
      <c r="T76" s="141">
        <f t="shared" si="70"/>
        <v>0</v>
      </c>
      <c r="U76" s="141">
        <f t="shared" si="70"/>
        <v>0</v>
      </c>
      <c r="V76" s="141">
        <f t="shared" si="70"/>
        <v>0</v>
      </c>
      <c r="W76" s="141">
        <f t="shared" si="70"/>
        <v>0</v>
      </c>
      <c r="X76" s="141">
        <f>IF(Y46=1,IF(X69&gt;X70,X70,0),0)</f>
        <v>0</v>
      </c>
      <c r="Y76" s="141">
        <f t="shared" si="70"/>
        <v>0</v>
      </c>
      <c r="Z76" s="141">
        <f t="shared" si="70"/>
        <v>0</v>
      </c>
      <c r="AA76" s="141">
        <f t="shared" si="70"/>
        <v>0</v>
      </c>
      <c r="AB76" s="141">
        <f t="shared" si="70"/>
        <v>0</v>
      </c>
      <c r="AC76" s="141">
        <f t="shared" si="70"/>
        <v>0</v>
      </c>
      <c r="AD76" s="141">
        <f t="shared" si="70"/>
        <v>0</v>
      </c>
      <c r="AE76" s="141">
        <f t="shared" si="70"/>
        <v>0</v>
      </c>
      <c r="AF76" s="141">
        <f t="shared" si="70"/>
        <v>0</v>
      </c>
      <c r="AG76" s="141">
        <f t="shared" si="70"/>
        <v>0</v>
      </c>
      <c r="AH76" s="154" t="s">
        <v>12</v>
      </c>
      <c r="AI76" s="133"/>
      <c r="AJ76" s="170"/>
      <c r="AK76" s="133"/>
      <c r="AL76" s="133"/>
    </row>
    <row r="77" spans="1:77" ht="15.95" hidden="1" customHeight="1" x14ac:dyDescent="0.25">
      <c r="A77" s="176"/>
      <c r="B77" s="149" t="s">
        <v>67</v>
      </c>
      <c r="C77" s="171">
        <f t="shared" ref="C77:AG77" si="71">SUM(C74:C76)</f>
        <v>0</v>
      </c>
      <c r="D77" s="171">
        <f t="shared" si="71"/>
        <v>0</v>
      </c>
      <c r="E77" s="171">
        <f t="shared" si="71"/>
        <v>0</v>
      </c>
      <c r="F77" s="171">
        <f t="shared" si="71"/>
        <v>0</v>
      </c>
      <c r="G77" s="171">
        <f t="shared" si="71"/>
        <v>0</v>
      </c>
      <c r="H77" s="171">
        <f t="shared" si="71"/>
        <v>0</v>
      </c>
      <c r="I77" s="171">
        <f t="shared" si="71"/>
        <v>0</v>
      </c>
      <c r="J77" s="171">
        <f t="shared" si="71"/>
        <v>0</v>
      </c>
      <c r="K77" s="171">
        <f t="shared" si="71"/>
        <v>0</v>
      </c>
      <c r="L77" s="171">
        <f t="shared" si="71"/>
        <v>0</v>
      </c>
      <c r="M77" s="171">
        <f t="shared" si="71"/>
        <v>0</v>
      </c>
      <c r="N77" s="171">
        <f t="shared" si="71"/>
        <v>0</v>
      </c>
      <c r="O77" s="171">
        <f t="shared" si="71"/>
        <v>0</v>
      </c>
      <c r="P77" s="171">
        <f t="shared" si="71"/>
        <v>0</v>
      </c>
      <c r="Q77" s="171">
        <f t="shared" si="71"/>
        <v>0</v>
      </c>
      <c r="R77" s="171">
        <f t="shared" si="71"/>
        <v>0</v>
      </c>
      <c r="S77" s="171">
        <f t="shared" si="71"/>
        <v>0</v>
      </c>
      <c r="T77" s="171">
        <f t="shared" si="71"/>
        <v>0</v>
      </c>
      <c r="U77" s="171">
        <f t="shared" si="71"/>
        <v>0</v>
      </c>
      <c r="V77" s="171">
        <f t="shared" si="71"/>
        <v>0</v>
      </c>
      <c r="W77" s="171">
        <f t="shared" si="71"/>
        <v>0</v>
      </c>
      <c r="X77" s="171">
        <f t="shared" si="71"/>
        <v>0</v>
      </c>
      <c r="Y77" s="171">
        <f t="shared" si="71"/>
        <v>0</v>
      </c>
      <c r="Z77" s="171">
        <f t="shared" si="71"/>
        <v>0</v>
      </c>
      <c r="AA77" s="171">
        <f t="shared" si="71"/>
        <v>0</v>
      </c>
      <c r="AB77" s="171">
        <f t="shared" si="71"/>
        <v>0</v>
      </c>
      <c r="AC77" s="171">
        <f t="shared" si="71"/>
        <v>0</v>
      </c>
      <c r="AD77" s="171">
        <f t="shared" si="71"/>
        <v>0</v>
      </c>
      <c r="AE77" s="171">
        <f t="shared" si="71"/>
        <v>0</v>
      </c>
      <c r="AF77" s="171">
        <f t="shared" si="71"/>
        <v>0</v>
      </c>
      <c r="AG77" s="171">
        <f t="shared" si="71"/>
        <v>0</v>
      </c>
      <c r="AH77" s="154" t="s">
        <v>12</v>
      </c>
      <c r="AI77" s="133"/>
      <c r="AJ77" s="170"/>
      <c r="AK77" s="133"/>
      <c r="AL77" s="133"/>
    </row>
    <row r="78" spans="1:77" ht="15.95" hidden="1" customHeight="1" x14ac:dyDescent="0.25">
      <c r="A78" s="177"/>
      <c r="B78" s="160" t="s">
        <v>68</v>
      </c>
      <c r="C78" s="161">
        <f t="shared" ref="C78:AG78" si="72">IF(C11="V",IF(C11="",0,1),0)</f>
        <v>0</v>
      </c>
      <c r="D78" s="161">
        <f t="shared" si="72"/>
        <v>0</v>
      </c>
      <c r="E78" s="161">
        <f t="shared" si="72"/>
        <v>0</v>
      </c>
      <c r="F78" s="161">
        <f t="shared" si="72"/>
        <v>0</v>
      </c>
      <c r="G78" s="161">
        <f t="shared" si="72"/>
        <v>0</v>
      </c>
      <c r="H78" s="161">
        <f t="shared" si="72"/>
        <v>0</v>
      </c>
      <c r="I78" s="161">
        <f t="shared" si="72"/>
        <v>0</v>
      </c>
      <c r="J78" s="161">
        <f t="shared" si="72"/>
        <v>0</v>
      </c>
      <c r="K78" s="161">
        <f t="shared" si="72"/>
        <v>0</v>
      </c>
      <c r="L78" s="161">
        <f t="shared" si="72"/>
        <v>0</v>
      </c>
      <c r="M78" s="161">
        <f t="shared" si="72"/>
        <v>0</v>
      </c>
      <c r="N78" s="161">
        <f t="shared" si="72"/>
        <v>0</v>
      </c>
      <c r="O78" s="161">
        <f t="shared" si="72"/>
        <v>0</v>
      </c>
      <c r="P78" s="161">
        <f t="shared" si="72"/>
        <v>0</v>
      </c>
      <c r="Q78" s="161">
        <f t="shared" si="72"/>
        <v>0</v>
      </c>
      <c r="R78" s="161">
        <f t="shared" si="72"/>
        <v>0</v>
      </c>
      <c r="S78" s="161">
        <f t="shared" si="72"/>
        <v>0</v>
      </c>
      <c r="T78" s="161">
        <f t="shared" si="72"/>
        <v>0</v>
      </c>
      <c r="U78" s="161">
        <f t="shared" si="72"/>
        <v>0</v>
      </c>
      <c r="V78" s="161">
        <f t="shared" si="72"/>
        <v>0</v>
      </c>
      <c r="W78" s="161">
        <f t="shared" si="72"/>
        <v>0</v>
      </c>
      <c r="X78" s="161">
        <f t="shared" si="72"/>
        <v>0</v>
      </c>
      <c r="Y78" s="161">
        <f t="shared" si="72"/>
        <v>0</v>
      </c>
      <c r="Z78" s="161">
        <f t="shared" si="72"/>
        <v>0</v>
      </c>
      <c r="AA78" s="161">
        <f t="shared" si="72"/>
        <v>0</v>
      </c>
      <c r="AB78" s="161">
        <f t="shared" si="72"/>
        <v>0</v>
      </c>
      <c r="AC78" s="161">
        <f t="shared" si="72"/>
        <v>0</v>
      </c>
      <c r="AD78" s="161">
        <f t="shared" si="72"/>
        <v>0</v>
      </c>
      <c r="AE78" s="161">
        <f t="shared" si="72"/>
        <v>0</v>
      </c>
      <c r="AF78" s="161">
        <f t="shared" si="72"/>
        <v>0</v>
      </c>
      <c r="AG78" s="161">
        <f t="shared" si="72"/>
        <v>0</v>
      </c>
      <c r="AH78" s="154" t="s">
        <v>12</v>
      </c>
      <c r="AI78" s="133"/>
      <c r="AJ78" s="170"/>
      <c r="AK78" s="133"/>
      <c r="AL78" s="133"/>
    </row>
    <row r="79" spans="1:77" ht="15.95" hidden="1" customHeight="1" x14ac:dyDescent="0.25">
      <c r="A79" s="173"/>
      <c r="B79" s="130" t="s">
        <v>16</v>
      </c>
      <c r="C79" s="163">
        <f t="shared" ref="C79:AG79" si="73">IF(C11="PR",IF(C11="",0,1),0)</f>
        <v>0</v>
      </c>
      <c r="D79" s="163">
        <f t="shared" si="73"/>
        <v>0</v>
      </c>
      <c r="E79" s="163">
        <f t="shared" si="73"/>
        <v>0</v>
      </c>
      <c r="F79" s="163">
        <f t="shared" si="73"/>
        <v>0</v>
      </c>
      <c r="G79" s="163">
        <f t="shared" si="73"/>
        <v>0</v>
      </c>
      <c r="H79" s="163">
        <f t="shared" si="73"/>
        <v>0</v>
      </c>
      <c r="I79" s="163">
        <f t="shared" si="73"/>
        <v>0</v>
      </c>
      <c r="J79" s="163">
        <f t="shared" si="73"/>
        <v>0</v>
      </c>
      <c r="K79" s="163">
        <f t="shared" si="73"/>
        <v>0</v>
      </c>
      <c r="L79" s="163">
        <f t="shared" si="73"/>
        <v>0</v>
      </c>
      <c r="M79" s="163">
        <f t="shared" si="73"/>
        <v>0</v>
      </c>
      <c r="N79" s="163">
        <f t="shared" si="73"/>
        <v>0</v>
      </c>
      <c r="O79" s="163">
        <f t="shared" si="73"/>
        <v>0</v>
      </c>
      <c r="P79" s="163">
        <f t="shared" si="73"/>
        <v>0</v>
      </c>
      <c r="Q79" s="163">
        <f t="shared" si="73"/>
        <v>0</v>
      </c>
      <c r="R79" s="163">
        <f t="shared" si="73"/>
        <v>0</v>
      </c>
      <c r="S79" s="163">
        <f t="shared" si="73"/>
        <v>0</v>
      </c>
      <c r="T79" s="163">
        <f t="shared" si="73"/>
        <v>0</v>
      </c>
      <c r="U79" s="163">
        <f t="shared" si="73"/>
        <v>0</v>
      </c>
      <c r="V79" s="163">
        <f t="shared" si="73"/>
        <v>0</v>
      </c>
      <c r="W79" s="163">
        <f t="shared" si="73"/>
        <v>0</v>
      </c>
      <c r="X79" s="163">
        <f t="shared" si="73"/>
        <v>0</v>
      </c>
      <c r="Y79" s="163">
        <f t="shared" si="73"/>
        <v>0</v>
      </c>
      <c r="Z79" s="163">
        <f t="shared" si="73"/>
        <v>0</v>
      </c>
      <c r="AA79" s="163">
        <f t="shared" si="73"/>
        <v>0</v>
      </c>
      <c r="AB79" s="163">
        <f t="shared" si="73"/>
        <v>0</v>
      </c>
      <c r="AC79" s="163">
        <f t="shared" si="73"/>
        <v>0</v>
      </c>
      <c r="AD79" s="163">
        <f t="shared" si="73"/>
        <v>0</v>
      </c>
      <c r="AE79" s="163">
        <f t="shared" si="73"/>
        <v>0</v>
      </c>
      <c r="AF79" s="163">
        <f t="shared" si="73"/>
        <v>0</v>
      </c>
      <c r="AG79" s="163">
        <f t="shared" si="73"/>
        <v>0</v>
      </c>
      <c r="AH79" s="229">
        <f>SUM(C79:AG79)</f>
        <v>0</v>
      </c>
      <c r="AI79" s="229"/>
      <c r="AJ79" s="174" t="s">
        <v>69</v>
      </c>
      <c r="AK79" s="133"/>
      <c r="AL79" s="133"/>
    </row>
    <row r="80" spans="1:77" ht="15.95" hidden="1" customHeight="1" x14ac:dyDescent="0.25">
      <c r="A80" s="164" t="s">
        <v>75</v>
      </c>
      <c r="B80" s="165" t="s">
        <v>29</v>
      </c>
      <c r="C80" s="141" t="str">
        <f t="shared" ref="C80:AG80" si="74">IF(C12=$R32,$S32*24,IF(C12=$R33,$S33*24,IF(C12=$R34,$S34*24,IF(C12=$R35,$S35*24,IF(C12=$R36,$S36*24,IF(C12=$R37,$S37*24,IF(C12=$R38,$S38*24,IF(C12=$R39,$S39*24,IF(C12=$R40,$S40*24,"")))))))))</f>
        <v/>
      </c>
      <c r="D80" s="141">
        <f t="shared" si="74"/>
        <v>7</v>
      </c>
      <c r="E80" s="141">
        <f t="shared" si="74"/>
        <v>7</v>
      </c>
      <c r="F80" s="141" t="str">
        <f t="shared" si="74"/>
        <v/>
      </c>
      <c r="G80" s="141" t="str">
        <f t="shared" si="74"/>
        <v/>
      </c>
      <c r="H80" s="141">
        <f t="shared" si="74"/>
        <v>7</v>
      </c>
      <c r="I80" s="141">
        <f t="shared" si="74"/>
        <v>7</v>
      </c>
      <c r="J80" s="141">
        <f t="shared" si="74"/>
        <v>7</v>
      </c>
      <c r="K80" s="141" t="str">
        <f t="shared" si="74"/>
        <v/>
      </c>
      <c r="L80" s="141" t="str">
        <f t="shared" si="74"/>
        <v/>
      </c>
      <c r="M80" s="141">
        <f t="shared" si="74"/>
        <v>7</v>
      </c>
      <c r="N80" s="141">
        <f t="shared" si="74"/>
        <v>7</v>
      </c>
      <c r="O80" s="141" t="str">
        <f t="shared" si="74"/>
        <v/>
      </c>
      <c r="P80" s="141" t="str">
        <f t="shared" si="74"/>
        <v/>
      </c>
      <c r="Q80" s="141" t="str">
        <f t="shared" si="74"/>
        <v/>
      </c>
      <c r="R80" s="141">
        <f t="shared" si="74"/>
        <v>7</v>
      </c>
      <c r="S80" s="141">
        <f t="shared" si="74"/>
        <v>7</v>
      </c>
      <c r="T80" s="141" t="str">
        <f t="shared" si="74"/>
        <v/>
      </c>
      <c r="U80" s="141" t="str">
        <f t="shared" si="74"/>
        <v/>
      </c>
      <c r="V80" s="141">
        <f t="shared" si="74"/>
        <v>7</v>
      </c>
      <c r="W80" s="141">
        <f t="shared" si="74"/>
        <v>7</v>
      </c>
      <c r="X80" s="141">
        <f t="shared" si="74"/>
        <v>7</v>
      </c>
      <c r="Y80" s="141" t="str">
        <f t="shared" si="74"/>
        <v/>
      </c>
      <c r="Z80" s="141" t="str">
        <f t="shared" si="74"/>
        <v/>
      </c>
      <c r="AA80" s="141">
        <f t="shared" si="74"/>
        <v>7</v>
      </c>
      <c r="AB80" s="141">
        <f t="shared" si="74"/>
        <v>7</v>
      </c>
      <c r="AC80" s="141" t="str">
        <f t="shared" si="74"/>
        <v/>
      </c>
      <c r="AD80" s="141" t="str">
        <f t="shared" si="74"/>
        <v/>
      </c>
      <c r="AE80" s="141" t="str">
        <f t="shared" si="74"/>
        <v/>
      </c>
      <c r="AF80" s="141" t="str">
        <f t="shared" si="74"/>
        <v/>
      </c>
      <c r="AG80" s="141" t="str">
        <f t="shared" si="74"/>
        <v/>
      </c>
      <c r="AH80" s="154" t="s">
        <v>12</v>
      </c>
      <c r="AI80" s="133"/>
      <c r="AJ80" s="170"/>
      <c r="AK80" s="133"/>
      <c r="AL80" s="133"/>
    </row>
    <row r="81" spans="1:38" ht="15.95" hidden="1" customHeight="1" x14ac:dyDescent="0.25">
      <c r="A81" s="166" t="s">
        <v>76</v>
      </c>
      <c r="B81" s="167" t="s">
        <v>30</v>
      </c>
      <c r="C81" s="141" t="str">
        <f t="shared" ref="C81:AG81" si="75">IF(C12=$R32,$V32*24,IF(C12=$R33,$V33*24,IF(C12=$R34,$V34*24,IF(C12=$R35,$V35*24,IF(C12=$R36,$V36*24,IF(C12=$R37,$V37*24,IF(C12=$R38,$V38*24,IF(C12=$R39,$V39*24,IF(C12=$R40,$V40*24,"")))))))))</f>
        <v/>
      </c>
      <c r="D81" s="141">
        <f t="shared" si="75"/>
        <v>19</v>
      </c>
      <c r="E81" s="141">
        <f t="shared" si="75"/>
        <v>19</v>
      </c>
      <c r="F81" s="141" t="str">
        <f t="shared" si="75"/>
        <v/>
      </c>
      <c r="G81" s="141" t="str">
        <f t="shared" si="75"/>
        <v/>
      </c>
      <c r="H81" s="141">
        <f t="shared" si="75"/>
        <v>19</v>
      </c>
      <c r="I81" s="141">
        <f t="shared" si="75"/>
        <v>19</v>
      </c>
      <c r="J81" s="141">
        <f t="shared" si="75"/>
        <v>19</v>
      </c>
      <c r="K81" s="141" t="str">
        <f t="shared" si="75"/>
        <v/>
      </c>
      <c r="L81" s="141" t="str">
        <f t="shared" si="75"/>
        <v/>
      </c>
      <c r="M81" s="141">
        <f t="shared" si="75"/>
        <v>19</v>
      </c>
      <c r="N81" s="141">
        <f t="shared" si="75"/>
        <v>19</v>
      </c>
      <c r="O81" s="141" t="str">
        <f t="shared" si="75"/>
        <v/>
      </c>
      <c r="P81" s="141" t="str">
        <f t="shared" si="75"/>
        <v/>
      </c>
      <c r="Q81" s="141" t="str">
        <f t="shared" si="75"/>
        <v/>
      </c>
      <c r="R81" s="141">
        <f t="shared" si="75"/>
        <v>19</v>
      </c>
      <c r="S81" s="141">
        <f t="shared" si="75"/>
        <v>19</v>
      </c>
      <c r="T81" s="141" t="str">
        <f t="shared" si="75"/>
        <v/>
      </c>
      <c r="U81" s="141" t="str">
        <f t="shared" si="75"/>
        <v/>
      </c>
      <c r="V81" s="141">
        <f t="shared" si="75"/>
        <v>19</v>
      </c>
      <c r="W81" s="141">
        <f t="shared" si="75"/>
        <v>19</v>
      </c>
      <c r="X81" s="141">
        <f t="shared" si="75"/>
        <v>19</v>
      </c>
      <c r="Y81" s="141" t="str">
        <f t="shared" si="75"/>
        <v/>
      </c>
      <c r="Z81" s="141" t="str">
        <f t="shared" si="75"/>
        <v/>
      </c>
      <c r="AA81" s="141">
        <f t="shared" si="75"/>
        <v>19</v>
      </c>
      <c r="AB81" s="141">
        <f t="shared" si="75"/>
        <v>19</v>
      </c>
      <c r="AC81" s="141" t="str">
        <f t="shared" si="75"/>
        <v/>
      </c>
      <c r="AD81" s="141" t="str">
        <f t="shared" si="75"/>
        <v/>
      </c>
      <c r="AE81" s="141" t="str">
        <f t="shared" si="75"/>
        <v/>
      </c>
      <c r="AF81" s="141" t="str">
        <f t="shared" si="75"/>
        <v/>
      </c>
      <c r="AG81" s="141" t="str">
        <f t="shared" si="75"/>
        <v/>
      </c>
      <c r="AH81" s="154" t="s">
        <v>12</v>
      </c>
      <c r="AI81" s="133"/>
      <c r="AJ81" s="170"/>
      <c r="AK81" s="133"/>
      <c r="AL81" s="133"/>
    </row>
    <row r="82" spans="1:38" ht="15.95" hidden="1" customHeight="1" x14ac:dyDescent="0.25">
      <c r="A82" s="153"/>
      <c r="B82" s="168" t="s">
        <v>34</v>
      </c>
      <c r="C82" s="169" t="str">
        <f t="shared" ref="C82:AD82" si="76">IF(C12=$R32,$BD32*24,IF(C12=$R33,$BD33*24,IF(C12=$R34,$BD34*24,IF(C12=$R35,$BD35*24,IF(C12=$R36,$BD36*24,IF(C12=$R37,$BD37*24,IF(C12=$R38,$BD38*24,IF(C12=$R39,$BD39*24,IF(C12=$R40,$BD40*24,"")))))))))</f>
        <v/>
      </c>
      <c r="D82" s="169">
        <f t="shared" si="76"/>
        <v>0</v>
      </c>
      <c r="E82" s="169">
        <f t="shared" si="76"/>
        <v>0</v>
      </c>
      <c r="F82" s="169" t="str">
        <f t="shared" si="76"/>
        <v/>
      </c>
      <c r="G82" s="169" t="str">
        <f t="shared" si="76"/>
        <v/>
      </c>
      <c r="H82" s="169">
        <f t="shared" si="76"/>
        <v>0</v>
      </c>
      <c r="I82" s="169">
        <f t="shared" si="76"/>
        <v>0</v>
      </c>
      <c r="J82" s="169">
        <f t="shared" si="76"/>
        <v>0</v>
      </c>
      <c r="K82" s="169" t="str">
        <f t="shared" si="76"/>
        <v/>
      </c>
      <c r="L82" s="169" t="str">
        <f t="shared" si="76"/>
        <v/>
      </c>
      <c r="M82" s="169">
        <f t="shared" si="76"/>
        <v>0</v>
      </c>
      <c r="N82" s="169">
        <f t="shared" si="76"/>
        <v>0</v>
      </c>
      <c r="O82" s="169" t="str">
        <f t="shared" si="76"/>
        <v/>
      </c>
      <c r="P82" s="169" t="str">
        <f t="shared" si="76"/>
        <v/>
      </c>
      <c r="Q82" s="169" t="str">
        <f t="shared" si="76"/>
        <v/>
      </c>
      <c r="R82" s="169">
        <f t="shared" si="76"/>
        <v>0</v>
      </c>
      <c r="S82" s="169">
        <f t="shared" si="76"/>
        <v>0</v>
      </c>
      <c r="T82" s="169" t="str">
        <f t="shared" si="76"/>
        <v/>
      </c>
      <c r="U82" s="169" t="str">
        <f t="shared" si="76"/>
        <v/>
      </c>
      <c r="V82" s="169">
        <f t="shared" si="76"/>
        <v>0</v>
      </c>
      <c r="W82" s="169">
        <f t="shared" si="76"/>
        <v>0</v>
      </c>
      <c r="X82" s="169">
        <f t="shared" si="76"/>
        <v>0</v>
      </c>
      <c r="Y82" s="169" t="str">
        <f t="shared" si="76"/>
        <v/>
      </c>
      <c r="Z82" s="169" t="str">
        <f t="shared" si="76"/>
        <v/>
      </c>
      <c r="AA82" s="169">
        <f t="shared" si="76"/>
        <v>0</v>
      </c>
      <c r="AB82" s="169">
        <f t="shared" si="76"/>
        <v>0</v>
      </c>
      <c r="AC82" s="169" t="str">
        <f t="shared" si="76"/>
        <v/>
      </c>
      <c r="AD82" s="169" t="str">
        <f t="shared" si="76"/>
        <v/>
      </c>
      <c r="AE82" s="169" t="str">
        <f>IF(AE12=$R32,$BD32*24,IF(AE12=$R33,$BD33*24,IF(AE12=$R34,$BD34*24,IF(AE12=$R35,$BD35*24,IF(AE12=$R36,$BD36*24,IF(AE12=$R37,$BD37*24,IF(AE12=$R38,$BD38*24,IF(AE12=$R39,$BD39*24,IF(AE12=$R40,$BD40*24,"")))))))))</f>
        <v/>
      </c>
      <c r="AF82" s="169" t="str">
        <f>IF(AF12=$R32,$BD32*24,IF(AF12=$R33,$BD33*24,IF(AF12=$R34,$BD34*24,IF(AF12=$R35,$BD35*24,IF(AF12=$R36,$BD36*24,IF(AF12=$R37,$BD37*24,IF(AF12=$R38,$BD38*24,IF(AF12=$R39,$BD39*24,IF(AF12=$R40,$BD40*24,"")))))))))</f>
        <v/>
      </c>
      <c r="AG82" s="169" t="str">
        <f>IF(AG12=$R32,$BD32*24,IF(AG12=$R33,$BD33*24,IF(AG12=$R34,$BD34*24,IF(AG12=$R35,$BD35*24,IF(AG12=$R36,$BD36*24,IF(AG12=$R37,$BD37*24,IF(AG12=$R38,$BD38*24,IF(AG12=$R39,$BD39*24,IF(AG12=$R40,$BD40*24,"")))))))))</f>
        <v/>
      </c>
      <c r="AH82" s="148">
        <f>SUM(C82:AG82)</f>
        <v>0</v>
      </c>
      <c r="AI82" s="133"/>
      <c r="AJ82" s="170"/>
      <c r="AK82" s="133"/>
      <c r="AL82" s="133"/>
    </row>
    <row r="83" spans="1:38" ht="15.95" hidden="1" customHeight="1" x14ac:dyDescent="0.25">
      <c r="A83" s="153"/>
      <c r="B83" s="167" t="s">
        <v>59</v>
      </c>
      <c r="C83" s="141">
        <f t="shared" ref="C83:AG83" si="77">IF(C12="V",$C36,IF(C12="PR",$C38,0))</f>
        <v>0</v>
      </c>
      <c r="D83" s="141">
        <f t="shared" si="77"/>
        <v>0</v>
      </c>
      <c r="E83" s="141">
        <f t="shared" si="77"/>
        <v>0</v>
      </c>
      <c r="F83" s="141">
        <f t="shared" si="77"/>
        <v>0</v>
      </c>
      <c r="G83" s="141">
        <f t="shared" si="77"/>
        <v>0</v>
      </c>
      <c r="H83" s="141">
        <f t="shared" si="77"/>
        <v>0</v>
      </c>
      <c r="I83" s="141">
        <f t="shared" si="77"/>
        <v>0</v>
      </c>
      <c r="J83" s="141">
        <f t="shared" si="77"/>
        <v>0</v>
      </c>
      <c r="K83" s="141">
        <f t="shared" si="77"/>
        <v>0</v>
      </c>
      <c r="L83" s="141">
        <f t="shared" si="77"/>
        <v>0</v>
      </c>
      <c r="M83" s="141">
        <f t="shared" si="77"/>
        <v>0</v>
      </c>
      <c r="N83" s="141">
        <f t="shared" si="77"/>
        <v>0</v>
      </c>
      <c r="O83" s="141">
        <f t="shared" si="77"/>
        <v>0</v>
      </c>
      <c r="P83" s="141">
        <f t="shared" si="77"/>
        <v>0</v>
      </c>
      <c r="Q83" s="141">
        <f t="shared" si="77"/>
        <v>0</v>
      </c>
      <c r="R83" s="141">
        <f t="shared" si="77"/>
        <v>0</v>
      </c>
      <c r="S83" s="141">
        <f t="shared" si="77"/>
        <v>0</v>
      </c>
      <c r="T83" s="141">
        <f t="shared" si="77"/>
        <v>0</v>
      </c>
      <c r="U83" s="141">
        <f t="shared" si="77"/>
        <v>0</v>
      </c>
      <c r="V83" s="141">
        <f t="shared" si="77"/>
        <v>0</v>
      </c>
      <c r="W83" s="141">
        <f t="shared" si="77"/>
        <v>0</v>
      </c>
      <c r="X83" s="141">
        <f t="shared" si="77"/>
        <v>0</v>
      </c>
      <c r="Y83" s="141">
        <f t="shared" si="77"/>
        <v>0</v>
      </c>
      <c r="Z83" s="141">
        <f t="shared" si="77"/>
        <v>0</v>
      </c>
      <c r="AA83" s="141">
        <f t="shared" si="77"/>
        <v>0</v>
      </c>
      <c r="AB83" s="141">
        <f t="shared" si="77"/>
        <v>0</v>
      </c>
      <c r="AC83" s="141">
        <f t="shared" si="77"/>
        <v>0</v>
      </c>
      <c r="AD83" s="141">
        <f t="shared" si="77"/>
        <v>0</v>
      </c>
      <c r="AE83" s="141">
        <f t="shared" si="77"/>
        <v>0</v>
      </c>
      <c r="AF83" s="141">
        <f t="shared" si="77"/>
        <v>0</v>
      </c>
      <c r="AG83" s="141">
        <f t="shared" si="77"/>
        <v>0</v>
      </c>
      <c r="AH83" s="226">
        <f>SUM(C83:AG83)</f>
        <v>0</v>
      </c>
      <c r="AI83" s="226"/>
      <c r="AJ83" s="170" t="s">
        <v>12</v>
      </c>
      <c r="AK83" s="133"/>
      <c r="AL83" s="133"/>
    </row>
    <row r="84" spans="1:38" ht="15.95" hidden="1" customHeight="1" x14ac:dyDescent="0.25">
      <c r="A84" s="150" t="s">
        <v>60</v>
      </c>
      <c r="B84" s="167" t="s">
        <v>61</v>
      </c>
      <c r="C84" s="151">
        <f t="shared" ref="C84:AD84" si="78">IF(C12=$R32,$BC32,IF(C12=$R33,$BC33,IF(C12=$R34,$BC34,IF(C12=$R35,$BC35,IF(C12=$R36,$BC36,IF(C12=$R37,$BC37,IF(C12=$R38,$BC38,IF(C12=$R39,$BC39,IF(C12=$R40,$BC40,0)))))))))</f>
        <v>0</v>
      </c>
      <c r="D84" s="151">
        <f t="shared" si="78"/>
        <v>11.999999999999998</v>
      </c>
      <c r="E84" s="151">
        <f t="shared" si="78"/>
        <v>11.999999999999998</v>
      </c>
      <c r="F84" s="151">
        <f t="shared" si="78"/>
        <v>0</v>
      </c>
      <c r="G84" s="151">
        <f t="shared" si="78"/>
        <v>0</v>
      </c>
      <c r="H84" s="151">
        <f t="shared" si="78"/>
        <v>11.999999999999998</v>
      </c>
      <c r="I84" s="151">
        <f t="shared" si="78"/>
        <v>11.999999999999998</v>
      </c>
      <c r="J84" s="151">
        <f t="shared" si="78"/>
        <v>11.999999999999998</v>
      </c>
      <c r="K84" s="151">
        <f t="shared" si="78"/>
        <v>0</v>
      </c>
      <c r="L84" s="151">
        <f t="shared" si="78"/>
        <v>0</v>
      </c>
      <c r="M84" s="151">
        <f t="shared" si="78"/>
        <v>11.999999999999998</v>
      </c>
      <c r="N84" s="151">
        <f t="shared" si="78"/>
        <v>11.999999999999998</v>
      </c>
      <c r="O84" s="151">
        <f t="shared" si="78"/>
        <v>0</v>
      </c>
      <c r="P84" s="151">
        <f t="shared" si="78"/>
        <v>0</v>
      </c>
      <c r="Q84" s="151">
        <f t="shared" si="78"/>
        <v>0</v>
      </c>
      <c r="R84" s="151">
        <f t="shared" si="78"/>
        <v>11.999999999999998</v>
      </c>
      <c r="S84" s="151">
        <f t="shared" si="78"/>
        <v>11.999999999999998</v>
      </c>
      <c r="T84" s="151">
        <f t="shared" si="78"/>
        <v>0</v>
      </c>
      <c r="U84" s="151">
        <f t="shared" si="78"/>
        <v>0</v>
      </c>
      <c r="V84" s="151">
        <f t="shared" si="78"/>
        <v>11.999999999999998</v>
      </c>
      <c r="W84" s="151">
        <f t="shared" si="78"/>
        <v>11.999999999999998</v>
      </c>
      <c r="X84" s="151">
        <f t="shared" si="78"/>
        <v>11.999999999999998</v>
      </c>
      <c r="Y84" s="151">
        <f t="shared" si="78"/>
        <v>0</v>
      </c>
      <c r="Z84" s="151">
        <f t="shared" si="78"/>
        <v>0</v>
      </c>
      <c r="AA84" s="151">
        <f t="shared" si="78"/>
        <v>11.999999999999998</v>
      </c>
      <c r="AB84" s="151">
        <f t="shared" si="78"/>
        <v>11.999999999999998</v>
      </c>
      <c r="AC84" s="151">
        <f t="shared" si="78"/>
        <v>0</v>
      </c>
      <c r="AD84" s="151">
        <f t="shared" si="78"/>
        <v>0</v>
      </c>
      <c r="AE84" s="151">
        <f>IF(AE12=$R32,$BC32,IF(AE12=$R33,$BC33,IF(AE12=$R34,$BC34,IF(AE12=$R35,$BC35,IF(AE12=$R36,$BC36,IF(AE12=$R37,$BC37,IF(AE12=$R38,$BC38,IF(AE12=$R39,$BC39,IF(AE12=$R40,$BC40,0)))))))))</f>
        <v>0</v>
      </c>
      <c r="AF84" s="151">
        <f>IF(AF12=$R32,$BC32,IF(AF12=$R33,$BC33,IF(AF12=$R34,$BC34,IF(AF12=$R35,$BC35,IF(AF12=$R36,$BC36,IF(AF12=$R37,$BC37,IF(AF12=$R38,$BC38,IF(AF12=$R39,$BC39,IF(AF12=$R40,$BC40,0)))))))))</f>
        <v>0</v>
      </c>
      <c r="AG84" s="151">
        <f>IF(AG12=$R32,$BC32,IF(AG12=$R33,$BC33,IF(AG12=$R34,$BC34,IF(AG12=$R35,$BC35,IF(AG12=$R36,$BC36,IF(AG12=$R37,$BC37,IF(AG12=$R38,$BC38,IF(AG12=$R39,$BC39,IF(AG12=$R40,$BC40,0)))))))))</f>
        <v>0</v>
      </c>
      <c r="AH84" s="226">
        <f>SUM(C84:AG84)</f>
        <v>167.99999999999997</v>
      </c>
      <c r="AI84" s="226"/>
      <c r="AJ84" s="175" t="s">
        <v>62</v>
      </c>
      <c r="AK84" s="133" t="s">
        <v>12</v>
      </c>
      <c r="AL84" s="133"/>
    </row>
    <row r="85" spans="1:38" ht="15.95" hidden="1" customHeight="1" x14ac:dyDescent="0.25">
      <c r="A85" s="153" t="s">
        <v>48</v>
      </c>
      <c r="B85" s="149" t="s">
        <v>63</v>
      </c>
      <c r="C85" s="141">
        <f t="shared" ref="C85:AG85" si="79">IF(C46=1,IF(C80&lt;C81,C84,0))</f>
        <v>0</v>
      </c>
      <c r="D85" s="141" t="b">
        <f t="shared" si="79"/>
        <v>0</v>
      </c>
      <c r="E85" s="141" t="b">
        <f t="shared" si="79"/>
        <v>0</v>
      </c>
      <c r="F85" s="141" t="b">
        <f t="shared" si="79"/>
        <v>0</v>
      </c>
      <c r="G85" s="141" t="b">
        <f t="shared" si="79"/>
        <v>0</v>
      </c>
      <c r="H85" s="141" t="b">
        <f t="shared" si="79"/>
        <v>0</v>
      </c>
      <c r="I85" s="141">
        <f t="shared" si="79"/>
        <v>11.999999999999998</v>
      </c>
      <c r="J85" s="141">
        <f t="shared" si="79"/>
        <v>11.999999999999998</v>
      </c>
      <c r="K85" s="141" t="b">
        <f t="shared" si="79"/>
        <v>0</v>
      </c>
      <c r="L85" s="141" t="b">
        <f t="shared" si="79"/>
        <v>0</v>
      </c>
      <c r="M85" s="141" t="b">
        <f t="shared" si="79"/>
        <v>0</v>
      </c>
      <c r="N85" s="141" t="b">
        <f t="shared" si="79"/>
        <v>0</v>
      </c>
      <c r="O85" s="141" t="b">
        <f t="shared" si="79"/>
        <v>0</v>
      </c>
      <c r="P85" s="141">
        <f t="shared" si="79"/>
        <v>0</v>
      </c>
      <c r="Q85" s="141">
        <f t="shared" si="79"/>
        <v>0</v>
      </c>
      <c r="R85" s="141" t="b">
        <f t="shared" si="79"/>
        <v>0</v>
      </c>
      <c r="S85" s="141" t="b">
        <f t="shared" si="79"/>
        <v>0</v>
      </c>
      <c r="T85" s="141" t="b">
        <f t="shared" si="79"/>
        <v>0</v>
      </c>
      <c r="U85" s="141" t="b">
        <f t="shared" si="79"/>
        <v>0</v>
      </c>
      <c r="V85" s="141" t="b">
        <f t="shared" si="79"/>
        <v>0</v>
      </c>
      <c r="W85" s="141">
        <f t="shared" si="79"/>
        <v>11.999999999999998</v>
      </c>
      <c r="X85" s="141">
        <f t="shared" si="79"/>
        <v>11.999999999999998</v>
      </c>
      <c r="Y85" s="141" t="b">
        <f t="shared" si="79"/>
        <v>0</v>
      </c>
      <c r="Z85" s="141" t="b">
        <f t="shared" si="79"/>
        <v>0</v>
      </c>
      <c r="AA85" s="141" t="b">
        <f t="shared" si="79"/>
        <v>0</v>
      </c>
      <c r="AB85" s="141" t="b">
        <f t="shared" si="79"/>
        <v>0</v>
      </c>
      <c r="AC85" s="141" t="b">
        <f t="shared" si="79"/>
        <v>0</v>
      </c>
      <c r="AD85" s="141">
        <f t="shared" si="79"/>
        <v>0</v>
      </c>
      <c r="AE85" s="141" t="b">
        <f t="shared" si="79"/>
        <v>0</v>
      </c>
      <c r="AF85" s="141" t="b">
        <f t="shared" si="79"/>
        <v>0</v>
      </c>
      <c r="AG85" s="141" t="b">
        <f t="shared" si="79"/>
        <v>0</v>
      </c>
      <c r="AH85" s="154" t="s">
        <v>12</v>
      </c>
      <c r="AI85" s="133"/>
      <c r="AJ85" s="170"/>
      <c r="AK85" s="133"/>
      <c r="AL85" s="133"/>
    </row>
    <row r="86" spans="1:38" ht="15.95" hidden="1" customHeight="1" x14ac:dyDescent="0.25">
      <c r="A86" s="176"/>
      <c r="B86" s="149" t="s">
        <v>64</v>
      </c>
      <c r="C86" s="141">
        <f t="shared" ref="C86:AG86" si="80">IF(C46=1,IF(C80&gt;C81,24-C80,0),0)</f>
        <v>0</v>
      </c>
      <c r="D86" s="141">
        <f t="shared" si="80"/>
        <v>0</v>
      </c>
      <c r="E86" s="141">
        <f t="shared" si="80"/>
        <v>0</v>
      </c>
      <c r="F86" s="141">
        <f t="shared" si="80"/>
        <v>0</v>
      </c>
      <c r="G86" s="141">
        <f t="shared" si="80"/>
        <v>0</v>
      </c>
      <c r="H86" s="141">
        <f t="shared" si="80"/>
        <v>0</v>
      </c>
      <c r="I86" s="141">
        <f t="shared" si="80"/>
        <v>0</v>
      </c>
      <c r="J86" s="141">
        <f t="shared" si="80"/>
        <v>0</v>
      </c>
      <c r="K86" s="141">
        <f t="shared" si="80"/>
        <v>0</v>
      </c>
      <c r="L86" s="141">
        <f t="shared" si="80"/>
        <v>0</v>
      </c>
      <c r="M86" s="141">
        <f t="shared" si="80"/>
        <v>0</v>
      </c>
      <c r="N86" s="141">
        <f t="shared" si="80"/>
        <v>0</v>
      </c>
      <c r="O86" s="141">
        <f t="shared" si="80"/>
        <v>0</v>
      </c>
      <c r="P86" s="141">
        <f t="shared" si="80"/>
        <v>0</v>
      </c>
      <c r="Q86" s="141">
        <f t="shared" si="80"/>
        <v>0</v>
      </c>
      <c r="R86" s="141">
        <f t="shared" si="80"/>
        <v>0</v>
      </c>
      <c r="S86" s="141">
        <f t="shared" si="80"/>
        <v>0</v>
      </c>
      <c r="T86" s="141">
        <f t="shared" si="80"/>
        <v>0</v>
      </c>
      <c r="U86" s="141">
        <f t="shared" si="80"/>
        <v>0</v>
      </c>
      <c r="V86" s="141">
        <f t="shared" si="80"/>
        <v>0</v>
      </c>
      <c r="W86" s="141">
        <f t="shared" si="80"/>
        <v>0</v>
      </c>
      <c r="X86" s="141">
        <f t="shared" si="80"/>
        <v>0</v>
      </c>
      <c r="Y86" s="141">
        <f t="shared" si="80"/>
        <v>0</v>
      </c>
      <c r="Z86" s="141">
        <f t="shared" si="80"/>
        <v>0</v>
      </c>
      <c r="AA86" s="141">
        <f t="shared" si="80"/>
        <v>0</v>
      </c>
      <c r="AB86" s="141">
        <f t="shared" si="80"/>
        <v>0</v>
      </c>
      <c r="AC86" s="141">
        <f t="shared" si="80"/>
        <v>0</v>
      </c>
      <c r="AD86" s="141">
        <f t="shared" si="80"/>
        <v>0</v>
      </c>
      <c r="AE86" s="141">
        <f t="shared" si="80"/>
        <v>0</v>
      </c>
      <c r="AF86" s="141">
        <f t="shared" si="80"/>
        <v>0</v>
      </c>
      <c r="AG86" s="141">
        <f t="shared" si="80"/>
        <v>0</v>
      </c>
      <c r="AH86" s="154" t="s">
        <v>12</v>
      </c>
      <c r="AI86" s="133"/>
      <c r="AJ86" s="170"/>
      <c r="AK86" s="133"/>
      <c r="AL86" s="133"/>
    </row>
    <row r="87" spans="1:38" ht="15.95" hidden="1" customHeight="1" x14ac:dyDescent="0.25">
      <c r="A87" s="176"/>
      <c r="B87" s="149" t="s">
        <v>65</v>
      </c>
      <c r="C87" s="141">
        <f t="shared" ref="C87:AG87" si="81">IF(D46=1,IF(C80&gt;C81,C81,0),0)</f>
        <v>0</v>
      </c>
      <c r="D87" s="141">
        <f t="shared" si="81"/>
        <v>0</v>
      </c>
      <c r="E87" s="141">
        <f t="shared" si="81"/>
        <v>0</v>
      </c>
      <c r="F87" s="141">
        <f t="shared" si="81"/>
        <v>0</v>
      </c>
      <c r="G87" s="141">
        <f t="shared" si="81"/>
        <v>0</v>
      </c>
      <c r="H87" s="141">
        <f t="shared" si="81"/>
        <v>0</v>
      </c>
      <c r="I87" s="141">
        <f t="shared" si="81"/>
        <v>0</v>
      </c>
      <c r="J87" s="141">
        <f t="shared" si="81"/>
        <v>0</v>
      </c>
      <c r="K87" s="141">
        <f t="shared" si="81"/>
        <v>0</v>
      </c>
      <c r="L87" s="141">
        <f t="shared" si="81"/>
        <v>0</v>
      </c>
      <c r="M87" s="141">
        <f t="shared" si="81"/>
        <v>0</v>
      </c>
      <c r="N87" s="141">
        <f t="shared" si="81"/>
        <v>0</v>
      </c>
      <c r="O87" s="141">
        <f t="shared" si="81"/>
        <v>0</v>
      </c>
      <c r="P87" s="141">
        <f t="shared" si="81"/>
        <v>0</v>
      </c>
      <c r="Q87" s="141">
        <f t="shared" si="81"/>
        <v>0</v>
      </c>
      <c r="R87" s="141">
        <f t="shared" si="81"/>
        <v>0</v>
      </c>
      <c r="S87" s="141">
        <f t="shared" si="81"/>
        <v>0</v>
      </c>
      <c r="T87" s="141">
        <f t="shared" si="81"/>
        <v>0</v>
      </c>
      <c r="U87" s="141">
        <f t="shared" si="81"/>
        <v>0</v>
      </c>
      <c r="V87" s="141">
        <f t="shared" si="81"/>
        <v>0</v>
      </c>
      <c r="W87" s="141">
        <f t="shared" si="81"/>
        <v>0</v>
      </c>
      <c r="X87" s="141">
        <f>IF(Y46=1,IF(X80&gt;X81,X81,0),0)</f>
        <v>0</v>
      </c>
      <c r="Y87" s="141">
        <f t="shared" si="81"/>
        <v>0</v>
      </c>
      <c r="Z87" s="141">
        <f t="shared" si="81"/>
        <v>0</v>
      </c>
      <c r="AA87" s="141">
        <f t="shared" si="81"/>
        <v>0</v>
      </c>
      <c r="AB87" s="141">
        <f t="shared" si="81"/>
        <v>0</v>
      </c>
      <c r="AC87" s="141">
        <f t="shared" si="81"/>
        <v>0</v>
      </c>
      <c r="AD87" s="141">
        <f t="shared" si="81"/>
        <v>0</v>
      </c>
      <c r="AE87" s="141">
        <f t="shared" si="81"/>
        <v>0</v>
      </c>
      <c r="AF87" s="141">
        <f t="shared" si="81"/>
        <v>0</v>
      </c>
      <c r="AG87" s="141">
        <f t="shared" si="81"/>
        <v>0</v>
      </c>
      <c r="AH87" s="154" t="s">
        <v>12</v>
      </c>
      <c r="AI87" s="133"/>
      <c r="AJ87" s="170"/>
      <c r="AK87" s="133"/>
      <c r="AL87" s="133"/>
    </row>
    <row r="88" spans="1:38" ht="15.95" hidden="1" customHeight="1" x14ac:dyDescent="0.25">
      <c r="A88" s="176"/>
      <c r="B88" s="149" t="s">
        <v>67</v>
      </c>
      <c r="C88" s="171">
        <f t="shared" ref="C88:AG88" si="82">SUM(C85:C87)</f>
        <v>0</v>
      </c>
      <c r="D88" s="171">
        <f t="shared" si="82"/>
        <v>0</v>
      </c>
      <c r="E88" s="171">
        <f t="shared" si="82"/>
        <v>0</v>
      </c>
      <c r="F88" s="171">
        <f t="shared" si="82"/>
        <v>0</v>
      </c>
      <c r="G88" s="171">
        <f t="shared" si="82"/>
        <v>0</v>
      </c>
      <c r="H88" s="171">
        <f t="shared" si="82"/>
        <v>0</v>
      </c>
      <c r="I88" s="171">
        <f t="shared" si="82"/>
        <v>11.999999999999998</v>
      </c>
      <c r="J88" s="171">
        <f t="shared" si="82"/>
        <v>11.999999999999998</v>
      </c>
      <c r="K88" s="171">
        <f t="shared" si="82"/>
        <v>0</v>
      </c>
      <c r="L88" s="171">
        <f t="shared" si="82"/>
        <v>0</v>
      </c>
      <c r="M88" s="171">
        <f t="shared" si="82"/>
        <v>0</v>
      </c>
      <c r="N88" s="171">
        <f t="shared" si="82"/>
        <v>0</v>
      </c>
      <c r="O88" s="171">
        <f t="shared" si="82"/>
        <v>0</v>
      </c>
      <c r="P88" s="171">
        <f t="shared" si="82"/>
        <v>0</v>
      </c>
      <c r="Q88" s="171">
        <f t="shared" si="82"/>
        <v>0</v>
      </c>
      <c r="R88" s="171">
        <f t="shared" si="82"/>
        <v>0</v>
      </c>
      <c r="S88" s="171">
        <f t="shared" si="82"/>
        <v>0</v>
      </c>
      <c r="T88" s="171">
        <f t="shared" si="82"/>
        <v>0</v>
      </c>
      <c r="U88" s="171">
        <f t="shared" si="82"/>
        <v>0</v>
      </c>
      <c r="V88" s="171">
        <f t="shared" si="82"/>
        <v>0</v>
      </c>
      <c r="W88" s="171">
        <f t="shared" si="82"/>
        <v>11.999999999999998</v>
      </c>
      <c r="X88" s="171">
        <f t="shared" si="82"/>
        <v>11.999999999999998</v>
      </c>
      <c r="Y88" s="171">
        <f t="shared" si="82"/>
        <v>0</v>
      </c>
      <c r="Z88" s="171">
        <f t="shared" si="82"/>
        <v>0</v>
      </c>
      <c r="AA88" s="171">
        <f t="shared" si="82"/>
        <v>0</v>
      </c>
      <c r="AB88" s="171">
        <f t="shared" si="82"/>
        <v>0</v>
      </c>
      <c r="AC88" s="171">
        <f t="shared" si="82"/>
        <v>0</v>
      </c>
      <c r="AD88" s="171">
        <f t="shared" si="82"/>
        <v>0</v>
      </c>
      <c r="AE88" s="171">
        <f t="shared" si="82"/>
        <v>0</v>
      </c>
      <c r="AF88" s="171">
        <f t="shared" si="82"/>
        <v>0</v>
      </c>
      <c r="AG88" s="171">
        <f t="shared" si="82"/>
        <v>0</v>
      </c>
      <c r="AH88" s="154" t="s">
        <v>12</v>
      </c>
      <c r="AI88" s="133"/>
      <c r="AJ88" s="170"/>
      <c r="AK88" s="133"/>
      <c r="AL88" s="133"/>
    </row>
    <row r="89" spans="1:38" ht="15.95" hidden="1" customHeight="1" x14ac:dyDescent="0.25">
      <c r="A89" s="177"/>
      <c r="B89" s="160" t="s">
        <v>68</v>
      </c>
      <c r="C89" s="161">
        <f t="shared" ref="C89:AG89" si="83">IF(C12="V",IF(C12="",0,1),0)</f>
        <v>0</v>
      </c>
      <c r="D89" s="161">
        <f t="shared" si="83"/>
        <v>0</v>
      </c>
      <c r="E89" s="161">
        <f t="shared" si="83"/>
        <v>0</v>
      </c>
      <c r="F89" s="161">
        <f t="shared" si="83"/>
        <v>0</v>
      </c>
      <c r="G89" s="161">
        <f t="shared" si="83"/>
        <v>0</v>
      </c>
      <c r="H89" s="161">
        <f t="shared" si="83"/>
        <v>0</v>
      </c>
      <c r="I89" s="161">
        <f t="shared" si="83"/>
        <v>0</v>
      </c>
      <c r="J89" s="161">
        <f t="shared" si="83"/>
        <v>0</v>
      </c>
      <c r="K89" s="161">
        <f t="shared" si="83"/>
        <v>0</v>
      </c>
      <c r="L89" s="161">
        <f t="shared" si="83"/>
        <v>0</v>
      </c>
      <c r="M89" s="161">
        <f t="shared" si="83"/>
        <v>0</v>
      </c>
      <c r="N89" s="161">
        <f t="shared" si="83"/>
        <v>0</v>
      </c>
      <c r="O89" s="161">
        <f t="shared" si="83"/>
        <v>0</v>
      </c>
      <c r="P89" s="161">
        <f t="shared" si="83"/>
        <v>0</v>
      </c>
      <c r="Q89" s="161">
        <f t="shared" si="83"/>
        <v>0</v>
      </c>
      <c r="R89" s="161">
        <f t="shared" si="83"/>
        <v>0</v>
      </c>
      <c r="S89" s="161">
        <f t="shared" si="83"/>
        <v>0</v>
      </c>
      <c r="T89" s="161">
        <f t="shared" si="83"/>
        <v>0</v>
      </c>
      <c r="U89" s="161">
        <f t="shared" si="83"/>
        <v>0</v>
      </c>
      <c r="V89" s="161">
        <f t="shared" si="83"/>
        <v>0</v>
      </c>
      <c r="W89" s="161">
        <f t="shared" si="83"/>
        <v>0</v>
      </c>
      <c r="X89" s="161">
        <f t="shared" si="83"/>
        <v>0</v>
      </c>
      <c r="Y89" s="161">
        <f t="shared" si="83"/>
        <v>0</v>
      </c>
      <c r="Z89" s="161">
        <f t="shared" si="83"/>
        <v>0</v>
      </c>
      <c r="AA89" s="161">
        <f t="shared" si="83"/>
        <v>0</v>
      </c>
      <c r="AB89" s="161">
        <f t="shared" si="83"/>
        <v>0</v>
      </c>
      <c r="AC89" s="161">
        <f t="shared" si="83"/>
        <v>0</v>
      </c>
      <c r="AD89" s="161">
        <f t="shared" si="83"/>
        <v>0</v>
      </c>
      <c r="AE89" s="161">
        <f t="shared" si="83"/>
        <v>0</v>
      </c>
      <c r="AF89" s="161">
        <f t="shared" si="83"/>
        <v>0</v>
      </c>
      <c r="AG89" s="161">
        <f t="shared" si="83"/>
        <v>0</v>
      </c>
      <c r="AH89" s="154"/>
      <c r="AI89" s="133"/>
      <c r="AJ89" s="170"/>
      <c r="AK89" s="133"/>
      <c r="AL89" s="133"/>
    </row>
    <row r="90" spans="1:38" ht="15.95" hidden="1" customHeight="1" x14ac:dyDescent="0.25">
      <c r="A90" s="173"/>
      <c r="B90" s="130" t="s">
        <v>16</v>
      </c>
      <c r="C90" s="163">
        <f t="shared" ref="C90:AG90" si="84">IF(C12="PR",IF(C12="",0,1),0)</f>
        <v>0</v>
      </c>
      <c r="D90" s="163">
        <f t="shared" si="84"/>
        <v>0</v>
      </c>
      <c r="E90" s="163">
        <f t="shared" si="84"/>
        <v>0</v>
      </c>
      <c r="F90" s="163">
        <f t="shared" si="84"/>
        <v>0</v>
      </c>
      <c r="G90" s="163">
        <f t="shared" si="84"/>
        <v>0</v>
      </c>
      <c r="H90" s="163">
        <f t="shared" si="84"/>
        <v>0</v>
      </c>
      <c r="I90" s="163">
        <f t="shared" si="84"/>
        <v>0</v>
      </c>
      <c r="J90" s="163">
        <f t="shared" si="84"/>
        <v>0</v>
      </c>
      <c r="K90" s="163">
        <f t="shared" si="84"/>
        <v>0</v>
      </c>
      <c r="L90" s="163">
        <f t="shared" si="84"/>
        <v>0</v>
      </c>
      <c r="M90" s="163">
        <f t="shared" si="84"/>
        <v>0</v>
      </c>
      <c r="N90" s="163">
        <f t="shared" si="84"/>
        <v>0</v>
      </c>
      <c r="O90" s="163">
        <f t="shared" si="84"/>
        <v>0</v>
      </c>
      <c r="P90" s="163">
        <f t="shared" si="84"/>
        <v>0</v>
      </c>
      <c r="Q90" s="163">
        <f t="shared" si="84"/>
        <v>0</v>
      </c>
      <c r="R90" s="163">
        <f t="shared" si="84"/>
        <v>0</v>
      </c>
      <c r="S90" s="163">
        <f t="shared" si="84"/>
        <v>0</v>
      </c>
      <c r="T90" s="163">
        <f t="shared" si="84"/>
        <v>0</v>
      </c>
      <c r="U90" s="163">
        <f t="shared" si="84"/>
        <v>0</v>
      </c>
      <c r="V90" s="163">
        <f t="shared" si="84"/>
        <v>0</v>
      </c>
      <c r="W90" s="163">
        <f t="shared" si="84"/>
        <v>0</v>
      </c>
      <c r="X90" s="163">
        <f t="shared" si="84"/>
        <v>0</v>
      </c>
      <c r="Y90" s="163">
        <f t="shared" si="84"/>
        <v>0</v>
      </c>
      <c r="Z90" s="163">
        <f t="shared" si="84"/>
        <v>0</v>
      </c>
      <c r="AA90" s="163">
        <f t="shared" si="84"/>
        <v>0</v>
      </c>
      <c r="AB90" s="163">
        <f t="shared" si="84"/>
        <v>0</v>
      </c>
      <c r="AC90" s="163">
        <f t="shared" si="84"/>
        <v>0</v>
      </c>
      <c r="AD90" s="163">
        <f t="shared" si="84"/>
        <v>0</v>
      </c>
      <c r="AE90" s="163">
        <f t="shared" si="84"/>
        <v>0</v>
      </c>
      <c r="AF90" s="163">
        <f t="shared" si="84"/>
        <v>0</v>
      </c>
      <c r="AG90" s="163">
        <f t="shared" si="84"/>
        <v>0</v>
      </c>
      <c r="AH90" s="229">
        <f>SUM(C90:AG90)</f>
        <v>0</v>
      </c>
      <c r="AI90" s="229"/>
      <c r="AJ90" s="174" t="s">
        <v>69</v>
      </c>
      <c r="AK90" s="133"/>
      <c r="AL90" s="133"/>
    </row>
    <row r="91" spans="1:38" ht="15.95" hidden="1" customHeight="1" x14ac:dyDescent="0.25">
      <c r="A91" s="164" t="s">
        <v>77</v>
      </c>
      <c r="B91" s="165" t="s">
        <v>29</v>
      </c>
      <c r="C91" s="141" t="str">
        <f t="shared" ref="C91:AG91" si="85">IF(C13=$R32,$S32*24,IF(C13=$R33,$S33*24,IF(C13=$R34,$S34*24,IF(C13=$R35,$S35*24,IF(C13=$R36,$S36*24,IF(C13=$R37,$S37*24,IF(C13=$R38,$S38*24,IF(C13=$R39,$S39*24,IF(C13=$R40,$S40*24,"")))))))))</f>
        <v/>
      </c>
      <c r="D91" s="141" t="str">
        <f t="shared" si="85"/>
        <v/>
      </c>
      <c r="E91" s="141" t="str">
        <f t="shared" si="85"/>
        <v/>
      </c>
      <c r="F91" s="141" t="str">
        <f t="shared" si="85"/>
        <v/>
      </c>
      <c r="G91" s="141" t="str">
        <f t="shared" si="85"/>
        <v/>
      </c>
      <c r="H91" s="141" t="str">
        <f t="shared" si="85"/>
        <v/>
      </c>
      <c r="I91" s="141" t="str">
        <f t="shared" si="85"/>
        <v/>
      </c>
      <c r="J91" s="141" t="str">
        <f t="shared" si="85"/>
        <v/>
      </c>
      <c r="K91" s="141" t="str">
        <f t="shared" si="85"/>
        <v/>
      </c>
      <c r="L91" s="141" t="str">
        <f t="shared" si="85"/>
        <v/>
      </c>
      <c r="M91" s="141" t="str">
        <f t="shared" si="85"/>
        <v/>
      </c>
      <c r="N91" s="141" t="str">
        <f t="shared" si="85"/>
        <v/>
      </c>
      <c r="O91" s="141" t="str">
        <f t="shared" si="85"/>
        <v/>
      </c>
      <c r="P91" s="141" t="str">
        <f t="shared" si="85"/>
        <v/>
      </c>
      <c r="Q91" s="141" t="str">
        <f t="shared" si="85"/>
        <v/>
      </c>
      <c r="R91" s="141" t="str">
        <f t="shared" si="85"/>
        <v/>
      </c>
      <c r="S91" s="141" t="str">
        <f t="shared" si="85"/>
        <v/>
      </c>
      <c r="T91" s="141" t="str">
        <f t="shared" si="85"/>
        <v/>
      </c>
      <c r="U91" s="141" t="str">
        <f t="shared" si="85"/>
        <v/>
      </c>
      <c r="V91" s="141" t="str">
        <f t="shared" si="85"/>
        <v/>
      </c>
      <c r="W91" s="141" t="str">
        <f t="shared" si="85"/>
        <v/>
      </c>
      <c r="X91" s="141" t="str">
        <f t="shared" si="85"/>
        <v/>
      </c>
      <c r="Y91" s="141" t="str">
        <f t="shared" si="85"/>
        <v/>
      </c>
      <c r="Z91" s="141" t="str">
        <f t="shared" si="85"/>
        <v/>
      </c>
      <c r="AA91" s="141" t="str">
        <f t="shared" si="85"/>
        <v/>
      </c>
      <c r="AB91" s="141" t="str">
        <f t="shared" si="85"/>
        <v/>
      </c>
      <c r="AC91" s="141" t="str">
        <f t="shared" si="85"/>
        <v/>
      </c>
      <c r="AD91" s="141" t="str">
        <f t="shared" si="85"/>
        <v/>
      </c>
      <c r="AE91" s="141" t="str">
        <f t="shared" si="85"/>
        <v/>
      </c>
      <c r="AF91" s="141" t="str">
        <f t="shared" si="85"/>
        <v/>
      </c>
      <c r="AG91" s="141" t="str">
        <f t="shared" si="85"/>
        <v/>
      </c>
      <c r="AH91" s="154" t="s">
        <v>12</v>
      </c>
      <c r="AI91" s="133"/>
      <c r="AJ91" s="170"/>
      <c r="AK91" s="133"/>
      <c r="AL91" s="133"/>
    </row>
    <row r="92" spans="1:38" ht="15.95" hidden="1" customHeight="1" x14ac:dyDescent="0.25">
      <c r="A92" s="166" t="s">
        <v>78</v>
      </c>
      <c r="B92" s="167" t="s">
        <v>30</v>
      </c>
      <c r="C92" s="141" t="str">
        <f t="shared" ref="C92:AG92" si="86">IF(C13=$R32,$V32*24,IF(C13=$R33,$V33*24,IF(C13=$R34,$V34*24,IF(C13=$R35,$V35*24,IF(C13=$R36,$V36*24,IF(C13=$R37,$V37*24,IF(C13=$R38,$V38*24,IF(C13=$R39,$V39*24,IF(C13=$R40,$V40*24,"")))))))))</f>
        <v/>
      </c>
      <c r="D92" s="141" t="str">
        <f t="shared" si="86"/>
        <v/>
      </c>
      <c r="E92" s="141" t="str">
        <f t="shared" si="86"/>
        <v/>
      </c>
      <c r="F92" s="141" t="str">
        <f t="shared" si="86"/>
        <v/>
      </c>
      <c r="G92" s="141" t="str">
        <f t="shared" si="86"/>
        <v/>
      </c>
      <c r="H92" s="141" t="str">
        <f t="shared" si="86"/>
        <v/>
      </c>
      <c r="I92" s="141" t="str">
        <f t="shared" si="86"/>
        <v/>
      </c>
      <c r="J92" s="141" t="str">
        <f t="shared" si="86"/>
        <v/>
      </c>
      <c r="K92" s="141" t="str">
        <f t="shared" si="86"/>
        <v/>
      </c>
      <c r="L92" s="141" t="str">
        <f t="shared" si="86"/>
        <v/>
      </c>
      <c r="M92" s="141" t="str">
        <f t="shared" si="86"/>
        <v/>
      </c>
      <c r="N92" s="141" t="str">
        <f t="shared" si="86"/>
        <v/>
      </c>
      <c r="O92" s="141" t="str">
        <f t="shared" si="86"/>
        <v/>
      </c>
      <c r="P92" s="141" t="str">
        <f t="shared" si="86"/>
        <v/>
      </c>
      <c r="Q92" s="141" t="str">
        <f t="shared" si="86"/>
        <v/>
      </c>
      <c r="R92" s="141" t="str">
        <f t="shared" si="86"/>
        <v/>
      </c>
      <c r="S92" s="141" t="str">
        <f t="shared" si="86"/>
        <v/>
      </c>
      <c r="T92" s="141" t="str">
        <f t="shared" si="86"/>
        <v/>
      </c>
      <c r="U92" s="141" t="str">
        <f t="shared" si="86"/>
        <v/>
      </c>
      <c r="V92" s="141" t="str">
        <f t="shared" si="86"/>
        <v/>
      </c>
      <c r="W92" s="141" t="str">
        <f t="shared" si="86"/>
        <v/>
      </c>
      <c r="X92" s="141" t="str">
        <f t="shared" si="86"/>
        <v/>
      </c>
      <c r="Y92" s="141" t="str">
        <f t="shared" si="86"/>
        <v/>
      </c>
      <c r="Z92" s="141" t="str">
        <f t="shared" si="86"/>
        <v/>
      </c>
      <c r="AA92" s="141" t="str">
        <f t="shared" si="86"/>
        <v/>
      </c>
      <c r="AB92" s="141" t="str">
        <f t="shared" si="86"/>
        <v/>
      </c>
      <c r="AC92" s="141" t="str">
        <f t="shared" si="86"/>
        <v/>
      </c>
      <c r="AD92" s="141" t="str">
        <f t="shared" si="86"/>
        <v/>
      </c>
      <c r="AE92" s="141" t="str">
        <f t="shared" si="86"/>
        <v/>
      </c>
      <c r="AF92" s="141" t="str">
        <f t="shared" si="86"/>
        <v/>
      </c>
      <c r="AG92" s="141" t="str">
        <f t="shared" si="86"/>
        <v/>
      </c>
      <c r="AH92" s="154" t="s">
        <v>12</v>
      </c>
      <c r="AI92" s="133"/>
      <c r="AJ92" s="170"/>
      <c r="AK92" s="133"/>
      <c r="AL92" s="133"/>
    </row>
    <row r="93" spans="1:38" ht="15.95" hidden="1" customHeight="1" x14ac:dyDescent="0.25">
      <c r="A93" s="153"/>
      <c r="B93" s="168" t="s">
        <v>34</v>
      </c>
      <c r="C93" s="169" t="str">
        <f t="shared" ref="C93:AD93" si="87">IF(C13=$R32,$BD32*24,IF(C13=$R33,$BD33*24,IF(C13=$R34,$BD34*24,IF(C13=$R35,$BD35*24,IF(C13=$R36,$BD36*24,IF(C13=$R37,$BD37*24,IF(C13=$R38,$BD38*24,IF(C13=$R39,$BD39*24,IF(C13=$R40,$BD40*24,"")))))))))</f>
        <v/>
      </c>
      <c r="D93" s="169" t="str">
        <f t="shared" si="87"/>
        <v/>
      </c>
      <c r="E93" s="169" t="str">
        <f t="shared" si="87"/>
        <v/>
      </c>
      <c r="F93" s="169" t="str">
        <f t="shared" si="87"/>
        <v/>
      </c>
      <c r="G93" s="169" t="str">
        <f t="shared" si="87"/>
        <v/>
      </c>
      <c r="H93" s="169" t="str">
        <f t="shared" si="87"/>
        <v/>
      </c>
      <c r="I93" s="169" t="str">
        <f t="shared" si="87"/>
        <v/>
      </c>
      <c r="J93" s="169" t="str">
        <f t="shared" si="87"/>
        <v/>
      </c>
      <c r="K93" s="169" t="str">
        <f t="shared" si="87"/>
        <v/>
      </c>
      <c r="L93" s="169" t="str">
        <f t="shared" si="87"/>
        <v/>
      </c>
      <c r="M93" s="169" t="str">
        <f t="shared" si="87"/>
        <v/>
      </c>
      <c r="N93" s="169" t="str">
        <f t="shared" si="87"/>
        <v/>
      </c>
      <c r="O93" s="169" t="str">
        <f t="shared" si="87"/>
        <v/>
      </c>
      <c r="P93" s="169" t="str">
        <f t="shared" si="87"/>
        <v/>
      </c>
      <c r="Q93" s="169" t="str">
        <f t="shared" si="87"/>
        <v/>
      </c>
      <c r="R93" s="169" t="str">
        <f t="shared" si="87"/>
        <v/>
      </c>
      <c r="S93" s="169" t="str">
        <f t="shared" si="87"/>
        <v/>
      </c>
      <c r="T93" s="169" t="str">
        <f t="shared" si="87"/>
        <v/>
      </c>
      <c r="U93" s="169" t="str">
        <f t="shared" si="87"/>
        <v/>
      </c>
      <c r="V93" s="169" t="str">
        <f t="shared" si="87"/>
        <v/>
      </c>
      <c r="W93" s="169" t="str">
        <f t="shared" si="87"/>
        <v/>
      </c>
      <c r="X93" s="169" t="str">
        <f t="shared" si="87"/>
        <v/>
      </c>
      <c r="Y93" s="169" t="str">
        <f t="shared" si="87"/>
        <v/>
      </c>
      <c r="Z93" s="169" t="str">
        <f t="shared" si="87"/>
        <v/>
      </c>
      <c r="AA93" s="169" t="str">
        <f t="shared" si="87"/>
        <v/>
      </c>
      <c r="AB93" s="169" t="str">
        <f t="shared" si="87"/>
        <v/>
      </c>
      <c r="AC93" s="169" t="str">
        <f t="shared" si="87"/>
        <v/>
      </c>
      <c r="AD93" s="169" t="str">
        <f t="shared" si="87"/>
        <v/>
      </c>
      <c r="AE93" s="169" t="str">
        <f>IF(AE13=$R32,$BD32*24,IF(AE13=$R33,$BD33*24,IF(AE13=$R34,$BD34*24,IF(AE13=$R35,$BD35*24,IF(AE13=$R36,$BD36*24,IF(AE13=$R37,$BD37*24,IF(AE13=$R38,$BD38*24,IF(AE13=$R39,$BD39*24,IF(AE13=$R40,$BD40*24,"")))))))))</f>
        <v/>
      </c>
      <c r="AF93" s="169" t="str">
        <f>IF(AF13=$R32,$BD32*24,IF(AF13=$R33,$BD33*24,IF(AF13=$R34,$BD34*24,IF(AF13=$R35,$BD35*24,IF(AF13=$R36,$BD36*24,IF(AF13=$R37,$BD37*24,IF(AF13=$R38,$BD38*24,IF(AF13=$R39,$BD39*24,IF(AF13=$R40,$BD40*24,"")))))))))</f>
        <v/>
      </c>
      <c r="AG93" s="169" t="str">
        <f>IF(AG13=$R32,$BD32*24,IF(AG13=$R33,$BD33*24,IF(AG13=$R34,$BD34*24,IF(AG13=$R35,$BD35*24,IF(AG13=$R36,$BD36*24,IF(AG13=$R37,$BD37*24,IF(AG13=$R38,$BD38*24,IF(AG13=$R39,$BD39*24,IF(AG13=$R40,$BD40*24,"")))))))))</f>
        <v/>
      </c>
      <c r="AH93" s="148">
        <f>SUM(C93:AG93)</f>
        <v>0</v>
      </c>
      <c r="AI93" s="133"/>
      <c r="AJ93" s="170"/>
      <c r="AK93" s="133"/>
      <c r="AL93" s="133"/>
    </row>
    <row r="94" spans="1:38" ht="15.95" hidden="1" customHeight="1" x14ac:dyDescent="0.25">
      <c r="A94" s="153"/>
      <c r="B94" s="167" t="s">
        <v>59</v>
      </c>
      <c r="C94" s="141">
        <f t="shared" ref="C94:AG94" si="88">IF(C13="V",$C36,IF(C13="PR",$C38,0))</f>
        <v>0</v>
      </c>
      <c r="D94" s="141">
        <f t="shared" si="88"/>
        <v>0</v>
      </c>
      <c r="E94" s="141">
        <f t="shared" si="88"/>
        <v>0</v>
      </c>
      <c r="F94" s="141">
        <f t="shared" si="88"/>
        <v>0</v>
      </c>
      <c r="G94" s="141">
        <f t="shared" si="88"/>
        <v>0</v>
      </c>
      <c r="H94" s="141">
        <f t="shared" si="88"/>
        <v>0</v>
      </c>
      <c r="I94" s="141">
        <f t="shared" si="88"/>
        <v>0</v>
      </c>
      <c r="J94" s="141">
        <f t="shared" si="88"/>
        <v>0</v>
      </c>
      <c r="K94" s="141">
        <f t="shared" si="88"/>
        <v>0</v>
      </c>
      <c r="L94" s="141">
        <f t="shared" si="88"/>
        <v>0</v>
      </c>
      <c r="M94" s="141">
        <f t="shared" si="88"/>
        <v>0</v>
      </c>
      <c r="N94" s="141">
        <f t="shared" si="88"/>
        <v>0</v>
      </c>
      <c r="O94" s="141">
        <f t="shared" si="88"/>
        <v>0</v>
      </c>
      <c r="P94" s="141">
        <f t="shared" si="88"/>
        <v>0</v>
      </c>
      <c r="Q94" s="141">
        <f t="shared" si="88"/>
        <v>0</v>
      </c>
      <c r="R94" s="141">
        <f t="shared" si="88"/>
        <v>0</v>
      </c>
      <c r="S94" s="141">
        <f t="shared" si="88"/>
        <v>0</v>
      </c>
      <c r="T94" s="141">
        <f t="shared" si="88"/>
        <v>0</v>
      </c>
      <c r="U94" s="141">
        <f t="shared" si="88"/>
        <v>0</v>
      </c>
      <c r="V94" s="141">
        <f t="shared" si="88"/>
        <v>0</v>
      </c>
      <c r="W94" s="141">
        <f t="shared" si="88"/>
        <v>0</v>
      </c>
      <c r="X94" s="141">
        <f t="shared" si="88"/>
        <v>0</v>
      </c>
      <c r="Y94" s="141">
        <f t="shared" si="88"/>
        <v>0</v>
      </c>
      <c r="Z94" s="141">
        <f t="shared" si="88"/>
        <v>0</v>
      </c>
      <c r="AA94" s="141">
        <f t="shared" si="88"/>
        <v>0</v>
      </c>
      <c r="AB94" s="141">
        <f t="shared" si="88"/>
        <v>0</v>
      </c>
      <c r="AC94" s="141">
        <f t="shared" si="88"/>
        <v>0</v>
      </c>
      <c r="AD94" s="141">
        <f t="shared" si="88"/>
        <v>0</v>
      </c>
      <c r="AE94" s="141">
        <f t="shared" si="88"/>
        <v>0</v>
      </c>
      <c r="AF94" s="141">
        <f t="shared" si="88"/>
        <v>0</v>
      </c>
      <c r="AG94" s="141">
        <f t="shared" si="88"/>
        <v>0</v>
      </c>
      <c r="AH94" s="231">
        <f>SUM(C94:AG94)</f>
        <v>0</v>
      </c>
      <c r="AI94" s="231"/>
      <c r="AJ94" s="170" t="s">
        <v>12</v>
      </c>
      <c r="AK94" s="133"/>
      <c r="AL94" s="133"/>
    </row>
    <row r="95" spans="1:38" ht="15.95" hidden="1" customHeight="1" x14ac:dyDescent="0.25">
      <c r="A95" s="150" t="s">
        <v>60</v>
      </c>
      <c r="B95" s="167" t="s">
        <v>61</v>
      </c>
      <c r="C95" s="151">
        <f t="shared" ref="C95:AD95" si="89">IF(C13=$R32,$BC32,IF(C13=$R33,$BC33,IF(C13=$R34,$BC34,IF(C13=$R35,$BC35,IF(C13=$R36,$BC36,IF(C13=$R37,$BC37,IF(C13=$R38,$BC38,IF(C13=$R39,$BC39,IF(C13=$R40,$BC40,0)))))))))</f>
        <v>0</v>
      </c>
      <c r="D95" s="151">
        <f t="shared" si="89"/>
        <v>0</v>
      </c>
      <c r="E95" s="151">
        <f t="shared" si="89"/>
        <v>0</v>
      </c>
      <c r="F95" s="151">
        <f t="shared" si="89"/>
        <v>0</v>
      </c>
      <c r="G95" s="151">
        <f t="shared" si="89"/>
        <v>0</v>
      </c>
      <c r="H95" s="151">
        <f t="shared" si="89"/>
        <v>0</v>
      </c>
      <c r="I95" s="151">
        <f t="shared" si="89"/>
        <v>0</v>
      </c>
      <c r="J95" s="151">
        <f t="shared" si="89"/>
        <v>0</v>
      </c>
      <c r="K95" s="151">
        <f t="shared" si="89"/>
        <v>0</v>
      </c>
      <c r="L95" s="151">
        <f t="shared" si="89"/>
        <v>0</v>
      </c>
      <c r="M95" s="151">
        <f t="shared" si="89"/>
        <v>0</v>
      </c>
      <c r="N95" s="151">
        <f t="shared" si="89"/>
        <v>0</v>
      </c>
      <c r="O95" s="151">
        <f t="shared" si="89"/>
        <v>0</v>
      </c>
      <c r="P95" s="151">
        <f t="shared" si="89"/>
        <v>0</v>
      </c>
      <c r="Q95" s="151">
        <f t="shared" si="89"/>
        <v>0</v>
      </c>
      <c r="R95" s="151">
        <f t="shared" si="89"/>
        <v>0</v>
      </c>
      <c r="S95" s="151">
        <f t="shared" si="89"/>
        <v>0</v>
      </c>
      <c r="T95" s="151">
        <f t="shared" si="89"/>
        <v>0</v>
      </c>
      <c r="U95" s="151">
        <f t="shared" si="89"/>
        <v>0</v>
      </c>
      <c r="V95" s="151">
        <f t="shared" si="89"/>
        <v>0</v>
      </c>
      <c r="W95" s="151">
        <f t="shared" si="89"/>
        <v>0</v>
      </c>
      <c r="X95" s="151">
        <f t="shared" si="89"/>
        <v>0</v>
      </c>
      <c r="Y95" s="151">
        <f t="shared" si="89"/>
        <v>0</v>
      </c>
      <c r="Z95" s="151">
        <f t="shared" si="89"/>
        <v>0</v>
      </c>
      <c r="AA95" s="151">
        <f t="shared" si="89"/>
        <v>0</v>
      </c>
      <c r="AB95" s="151">
        <f t="shared" si="89"/>
        <v>0</v>
      </c>
      <c r="AC95" s="151">
        <f t="shared" si="89"/>
        <v>0</v>
      </c>
      <c r="AD95" s="151">
        <f t="shared" si="89"/>
        <v>0</v>
      </c>
      <c r="AE95" s="151">
        <f>IF(AE13=$R32,$BC32,IF(AE13=$R33,$BC33,IF(AE13=$R34,$BC34,IF(AE13=$R35,$BC35,IF(AE13=$R36,$BC36,IF(AE13=$R37,$BC37,IF(AE13=$R38,$BC38,IF(AE13=$R39,$BC39,IF(AE13=$R40,$BC40,0)))))))))</f>
        <v>0</v>
      </c>
      <c r="AF95" s="151">
        <f>IF(AF13=$R32,$BC32,IF(AF13=$R33,$BC33,IF(AF13=$R34,$BC34,IF(AF13=$R35,$BC35,IF(AF13=$R36,$BC36,IF(AF13=$R37,$BC37,IF(AF13=$R38,$BC38,IF(AF13=$R39,$BC39,IF(AF13=$R40,$BC40,0)))))))))</f>
        <v>0</v>
      </c>
      <c r="AG95" s="151">
        <f>IF(AG13=$R32,$BC32,IF(AG13=$R33,$BC33,IF(AG13=$R34,$BC34,IF(AG13=$R35,$BC35,IF(AG13=$R36,$BC36,IF(AG13=$R37,$BC37,IF(AG13=$R38,$BC38,IF(AG13=$R39,$BC39,IF(AG13=$R40,$BC40,0)))))))))</f>
        <v>0</v>
      </c>
      <c r="AH95" s="226">
        <f>SUM(C95:AG95)</f>
        <v>0</v>
      </c>
      <c r="AI95" s="226"/>
      <c r="AJ95" s="175" t="s">
        <v>62</v>
      </c>
      <c r="AK95" s="133" t="s">
        <v>12</v>
      </c>
      <c r="AL95" s="133"/>
    </row>
    <row r="96" spans="1:38" ht="15.95" hidden="1" customHeight="1" x14ac:dyDescent="0.25">
      <c r="A96" s="153" t="s">
        <v>48</v>
      </c>
      <c r="B96" s="149" t="s">
        <v>63</v>
      </c>
      <c r="C96" s="141">
        <f t="shared" ref="C96:AG96" si="90">IF(C46=1,IF(C91&lt;C92,C95,0))</f>
        <v>0</v>
      </c>
      <c r="D96" s="141" t="b">
        <f t="shared" si="90"/>
        <v>0</v>
      </c>
      <c r="E96" s="141" t="b">
        <f t="shared" si="90"/>
        <v>0</v>
      </c>
      <c r="F96" s="141" t="b">
        <f t="shared" si="90"/>
        <v>0</v>
      </c>
      <c r="G96" s="141" t="b">
        <f t="shared" si="90"/>
        <v>0</v>
      </c>
      <c r="H96" s="141" t="b">
        <f t="shared" si="90"/>
        <v>0</v>
      </c>
      <c r="I96" s="141">
        <f t="shared" si="90"/>
        <v>0</v>
      </c>
      <c r="J96" s="141">
        <f t="shared" si="90"/>
        <v>0</v>
      </c>
      <c r="K96" s="141" t="b">
        <f t="shared" si="90"/>
        <v>0</v>
      </c>
      <c r="L96" s="141" t="b">
        <f t="shared" si="90"/>
        <v>0</v>
      </c>
      <c r="M96" s="141" t="b">
        <f t="shared" si="90"/>
        <v>0</v>
      </c>
      <c r="N96" s="141" t="b">
        <f t="shared" si="90"/>
        <v>0</v>
      </c>
      <c r="O96" s="141" t="b">
        <f t="shared" si="90"/>
        <v>0</v>
      </c>
      <c r="P96" s="141">
        <f t="shared" si="90"/>
        <v>0</v>
      </c>
      <c r="Q96" s="141">
        <f t="shared" si="90"/>
        <v>0</v>
      </c>
      <c r="R96" s="141" t="b">
        <f t="shared" si="90"/>
        <v>0</v>
      </c>
      <c r="S96" s="141" t="b">
        <f t="shared" si="90"/>
        <v>0</v>
      </c>
      <c r="T96" s="141" t="b">
        <f t="shared" si="90"/>
        <v>0</v>
      </c>
      <c r="U96" s="141" t="b">
        <f t="shared" si="90"/>
        <v>0</v>
      </c>
      <c r="V96" s="141" t="b">
        <f t="shared" si="90"/>
        <v>0</v>
      </c>
      <c r="W96" s="141">
        <f t="shared" si="90"/>
        <v>0</v>
      </c>
      <c r="X96" s="141">
        <f t="shared" si="90"/>
        <v>0</v>
      </c>
      <c r="Y96" s="141" t="b">
        <f t="shared" si="90"/>
        <v>0</v>
      </c>
      <c r="Z96" s="141" t="b">
        <f t="shared" si="90"/>
        <v>0</v>
      </c>
      <c r="AA96" s="141" t="b">
        <f t="shared" si="90"/>
        <v>0</v>
      </c>
      <c r="AB96" s="141" t="b">
        <f t="shared" si="90"/>
        <v>0</v>
      </c>
      <c r="AC96" s="141" t="b">
        <f t="shared" si="90"/>
        <v>0</v>
      </c>
      <c r="AD96" s="141">
        <f t="shared" si="90"/>
        <v>0</v>
      </c>
      <c r="AE96" s="141" t="b">
        <f t="shared" si="90"/>
        <v>0</v>
      </c>
      <c r="AF96" s="141" t="b">
        <f t="shared" si="90"/>
        <v>0</v>
      </c>
      <c r="AG96" s="141" t="b">
        <f t="shared" si="90"/>
        <v>0</v>
      </c>
      <c r="AH96" s="154" t="s">
        <v>12</v>
      </c>
      <c r="AI96" s="133"/>
      <c r="AJ96" s="170"/>
      <c r="AK96" s="133"/>
      <c r="AL96" s="133"/>
    </row>
    <row r="97" spans="1:57" ht="15.95" hidden="1" customHeight="1" x14ac:dyDescent="0.25">
      <c r="A97" s="176"/>
      <c r="B97" s="149" t="s">
        <v>64</v>
      </c>
      <c r="C97" s="141">
        <f t="shared" ref="C97:AG97" si="91">IF(C46=1,IF(C91&gt;C92,24-C91,0),0)</f>
        <v>0</v>
      </c>
      <c r="D97" s="141">
        <f t="shared" si="91"/>
        <v>0</v>
      </c>
      <c r="E97" s="141">
        <f t="shared" si="91"/>
        <v>0</v>
      </c>
      <c r="F97" s="141">
        <f t="shared" si="91"/>
        <v>0</v>
      </c>
      <c r="G97" s="141">
        <f t="shared" si="91"/>
        <v>0</v>
      </c>
      <c r="H97" s="141">
        <f t="shared" si="91"/>
        <v>0</v>
      </c>
      <c r="I97" s="141">
        <f t="shared" si="91"/>
        <v>0</v>
      </c>
      <c r="J97" s="141">
        <f t="shared" si="91"/>
        <v>0</v>
      </c>
      <c r="K97" s="141">
        <f t="shared" si="91"/>
        <v>0</v>
      </c>
      <c r="L97" s="141">
        <f t="shared" si="91"/>
        <v>0</v>
      </c>
      <c r="M97" s="141">
        <f t="shared" si="91"/>
        <v>0</v>
      </c>
      <c r="N97" s="141">
        <f t="shared" si="91"/>
        <v>0</v>
      </c>
      <c r="O97" s="141">
        <f t="shared" si="91"/>
        <v>0</v>
      </c>
      <c r="P97" s="141">
        <f t="shared" si="91"/>
        <v>0</v>
      </c>
      <c r="Q97" s="141">
        <f t="shared" si="91"/>
        <v>0</v>
      </c>
      <c r="R97" s="141">
        <f t="shared" si="91"/>
        <v>0</v>
      </c>
      <c r="S97" s="141">
        <f t="shared" si="91"/>
        <v>0</v>
      </c>
      <c r="T97" s="141">
        <f t="shared" si="91"/>
        <v>0</v>
      </c>
      <c r="U97" s="141">
        <f t="shared" si="91"/>
        <v>0</v>
      </c>
      <c r="V97" s="141">
        <f t="shared" si="91"/>
        <v>0</v>
      </c>
      <c r="W97" s="141">
        <f t="shared" si="91"/>
        <v>0</v>
      </c>
      <c r="X97" s="141">
        <f t="shared" si="91"/>
        <v>0</v>
      </c>
      <c r="Y97" s="141">
        <f t="shared" si="91"/>
        <v>0</v>
      </c>
      <c r="Z97" s="141">
        <f t="shared" si="91"/>
        <v>0</v>
      </c>
      <c r="AA97" s="141">
        <f t="shared" si="91"/>
        <v>0</v>
      </c>
      <c r="AB97" s="141">
        <f t="shared" si="91"/>
        <v>0</v>
      </c>
      <c r="AC97" s="141">
        <f t="shared" si="91"/>
        <v>0</v>
      </c>
      <c r="AD97" s="141">
        <f t="shared" si="91"/>
        <v>0</v>
      </c>
      <c r="AE97" s="141">
        <f t="shared" si="91"/>
        <v>0</v>
      </c>
      <c r="AF97" s="141">
        <f t="shared" si="91"/>
        <v>0</v>
      </c>
      <c r="AG97" s="141">
        <f t="shared" si="91"/>
        <v>0</v>
      </c>
      <c r="AH97" s="154" t="s">
        <v>12</v>
      </c>
      <c r="AI97" s="133"/>
      <c r="AJ97" s="170"/>
      <c r="AK97" s="133"/>
      <c r="AL97" s="133"/>
    </row>
    <row r="98" spans="1:57" ht="15.95" hidden="1" customHeight="1" x14ac:dyDescent="0.25">
      <c r="A98" s="176"/>
      <c r="B98" s="149" t="s">
        <v>65</v>
      </c>
      <c r="C98" s="141">
        <f t="shared" ref="C98:AG98" si="92">IF(D46=1,IF(C91&gt;C92,C92,0),0)</f>
        <v>0</v>
      </c>
      <c r="D98" s="141">
        <f t="shared" si="92"/>
        <v>0</v>
      </c>
      <c r="E98" s="141">
        <f t="shared" si="92"/>
        <v>0</v>
      </c>
      <c r="F98" s="141">
        <f t="shared" si="92"/>
        <v>0</v>
      </c>
      <c r="G98" s="141">
        <f t="shared" si="92"/>
        <v>0</v>
      </c>
      <c r="H98" s="141">
        <f t="shared" si="92"/>
        <v>0</v>
      </c>
      <c r="I98" s="141">
        <f t="shared" si="92"/>
        <v>0</v>
      </c>
      <c r="J98" s="141">
        <f t="shared" si="92"/>
        <v>0</v>
      </c>
      <c r="K98" s="141">
        <f t="shared" si="92"/>
        <v>0</v>
      </c>
      <c r="L98" s="141">
        <f t="shared" si="92"/>
        <v>0</v>
      </c>
      <c r="M98" s="141">
        <f t="shared" si="92"/>
        <v>0</v>
      </c>
      <c r="N98" s="141">
        <f t="shared" si="92"/>
        <v>0</v>
      </c>
      <c r="O98" s="141">
        <f t="shared" si="92"/>
        <v>0</v>
      </c>
      <c r="P98" s="141">
        <f t="shared" si="92"/>
        <v>0</v>
      </c>
      <c r="Q98" s="141">
        <f t="shared" si="92"/>
        <v>0</v>
      </c>
      <c r="R98" s="141">
        <f t="shared" si="92"/>
        <v>0</v>
      </c>
      <c r="S98" s="141">
        <f t="shared" si="92"/>
        <v>0</v>
      </c>
      <c r="T98" s="141">
        <f t="shared" si="92"/>
        <v>0</v>
      </c>
      <c r="U98" s="141">
        <f t="shared" si="92"/>
        <v>0</v>
      </c>
      <c r="V98" s="141">
        <f t="shared" si="92"/>
        <v>0</v>
      </c>
      <c r="W98" s="141">
        <f t="shared" si="92"/>
        <v>0</v>
      </c>
      <c r="X98" s="141">
        <f>IF(Y46=1,IF(X91&gt;X92,X92,0),0)</f>
        <v>0</v>
      </c>
      <c r="Y98" s="141">
        <f t="shared" si="92"/>
        <v>0</v>
      </c>
      <c r="Z98" s="141">
        <f t="shared" si="92"/>
        <v>0</v>
      </c>
      <c r="AA98" s="141">
        <f t="shared" si="92"/>
        <v>0</v>
      </c>
      <c r="AB98" s="141">
        <f t="shared" si="92"/>
        <v>0</v>
      </c>
      <c r="AC98" s="141">
        <f t="shared" si="92"/>
        <v>0</v>
      </c>
      <c r="AD98" s="141">
        <f t="shared" si="92"/>
        <v>0</v>
      </c>
      <c r="AE98" s="141">
        <f t="shared" si="92"/>
        <v>0</v>
      </c>
      <c r="AF98" s="141">
        <f t="shared" si="92"/>
        <v>0</v>
      </c>
      <c r="AG98" s="141">
        <f t="shared" si="92"/>
        <v>0</v>
      </c>
      <c r="AH98" s="154" t="s">
        <v>12</v>
      </c>
      <c r="AI98" s="133"/>
      <c r="AJ98" s="170"/>
      <c r="AK98" s="133"/>
      <c r="AL98" s="133"/>
    </row>
    <row r="99" spans="1:57" ht="15.95" hidden="1" customHeight="1" x14ac:dyDescent="0.25">
      <c r="A99" s="176"/>
      <c r="B99" s="149" t="s">
        <v>67</v>
      </c>
      <c r="C99" s="178">
        <f t="shared" ref="C99:AG99" si="93">SUM(C96:C98)</f>
        <v>0</v>
      </c>
      <c r="D99" s="178">
        <f t="shared" si="93"/>
        <v>0</v>
      </c>
      <c r="E99" s="178">
        <f t="shared" si="93"/>
        <v>0</v>
      </c>
      <c r="F99" s="178">
        <f t="shared" si="93"/>
        <v>0</v>
      </c>
      <c r="G99" s="178">
        <f t="shared" si="93"/>
        <v>0</v>
      </c>
      <c r="H99" s="178">
        <f t="shared" si="93"/>
        <v>0</v>
      </c>
      <c r="I99" s="178">
        <f t="shared" si="93"/>
        <v>0</v>
      </c>
      <c r="J99" s="178">
        <f t="shared" si="93"/>
        <v>0</v>
      </c>
      <c r="K99" s="178">
        <f t="shared" si="93"/>
        <v>0</v>
      </c>
      <c r="L99" s="178">
        <f t="shared" si="93"/>
        <v>0</v>
      </c>
      <c r="M99" s="178">
        <f t="shared" si="93"/>
        <v>0</v>
      </c>
      <c r="N99" s="178">
        <f t="shared" si="93"/>
        <v>0</v>
      </c>
      <c r="O99" s="178">
        <f t="shared" si="93"/>
        <v>0</v>
      </c>
      <c r="P99" s="178">
        <f t="shared" si="93"/>
        <v>0</v>
      </c>
      <c r="Q99" s="178">
        <f t="shared" si="93"/>
        <v>0</v>
      </c>
      <c r="R99" s="178">
        <f t="shared" si="93"/>
        <v>0</v>
      </c>
      <c r="S99" s="178">
        <f t="shared" si="93"/>
        <v>0</v>
      </c>
      <c r="T99" s="178">
        <f t="shared" si="93"/>
        <v>0</v>
      </c>
      <c r="U99" s="178">
        <f t="shared" si="93"/>
        <v>0</v>
      </c>
      <c r="V99" s="178">
        <f t="shared" si="93"/>
        <v>0</v>
      </c>
      <c r="W99" s="178">
        <f t="shared" si="93"/>
        <v>0</v>
      </c>
      <c r="X99" s="178">
        <f t="shared" si="93"/>
        <v>0</v>
      </c>
      <c r="Y99" s="178">
        <f t="shared" si="93"/>
        <v>0</v>
      </c>
      <c r="Z99" s="178">
        <f t="shared" si="93"/>
        <v>0</v>
      </c>
      <c r="AA99" s="178">
        <f t="shared" si="93"/>
        <v>0</v>
      </c>
      <c r="AB99" s="178">
        <f t="shared" si="93"/>
        <v>0</v>
      </c>
      <c r="AC99" s="178">
        <f t="shared" si="93"/>
        <v>0</v>
      </c>
      <c r="AD99" s="178">
        <f t="shared" si="93"/>
        <v>0</v>
      </c>
      <c r="AE99" s="178">
        <f t="shared" si="93"/>
        <v>0</v>
      </c>
      <c r="AF99" s="178">
        <f t="shared" si="93"/>
        <v>0</v>
      </c>
      <c r="AG99" s="178">
        <f t="shared" si="93"/>
        <v>0</v>
      </c>
      <c r="AH99" s="154" t="s">
        <v>12</v>
      </c>
      <c r="AI99" s="133"/>
      <c r="AJ99" s="170"/>
      <c r="AK99" s="133"/>
      <c r="AL99" s="133"/>
    </row>
    <row r="100" spans="1:57" ht="15.95" hidden="1" customHeight="1" x14ac:dyDescent="0.25">
      <c r="A100" s="177"/>
      <c r="B100" s="160" t="s">
        <v>68</v>
      </c>
      <c r="C100" s="161">
        <f t="shared" ref="C100:AG100" si="94">IF(C13="V",IF(C13="",0,1),0)</f>
        <v>0</v>
      </c>
      <c r="D100" s="161">
        <f t="shared" si="94"/>
        <v>0</v>
      </c>
      <c r="E100" s="161">
        <f t="shared" si="94"/>
        <v>0</v>
      </c>
      <c r="F100" s="161">
        <f t="shared" si="94"/>
        <v>0</v>
      </c>
      <c r="G100" s="161">
        <f t="shared" si="94"/>
        <v>0</v>
      </c>
      <c r="H100" s="161">
        <f t="shared" si="94"/>
        <v>0</v>
      </c>
      <c r="I100" s="161">
        <f t="shared" si="94"/>
        <v>0</v>
      </c>
      <c r="J100" s="161">
        <f t="shared" si="94"/>
        <v>0</v>
      </c>
      <c r="K100" s="161">
        <f t="shared" si="94"/>
        <v>0</v>
      </c>
      <c r="L100" s="161">
        <f t="shared" si="94"/>
        <v>0</v>
      </c>
      <c r="M100" s="161">
        <f t="shared" si="94"/>
        <v>0</v>
      </c>
      <c r="N100" s="161">
        <f t="shared" si="94"/>
        <v>0</v>
      </c>
      <c r="O100" s="161">
        <f t="shared" si="94"/>
        <v>0</v>
      </c>
      <c r="P100" s="161">
        <f t="shared" si="94"/>
        <v>0</v>
      </c>
      <c r="Q100" s="161">
        <f t="shared" si="94"/>
        <v>0</v>
      </c>
      <c r="R100" s="161">
        <f t="shared" si="94"/>
        <v>0</v>
      </c>
      <c r="S100" s="161">
        <f t="shared" si="94"/>
        <v>0</v>
      </c>
      <c r="T100" s="161">
        <f t="shared" si="94"/>
        <v>0</v>
      </c>
      <c r="U100" s="161">
        <f t="shared" si="94"/>
        <v>0</v>
      </c>
      <c r="V100" s="161">
        <f t="shared" si="94"/>
        <v>0</v>
      </c>
      <c r="W100" s="161">
        <f t="shared" si="94"/>
        <v>0</v>
      </c>
      <c r="X100" s="161">
        <f t="shared" si="94"/>
        <v>0</v>
      </c>
      <c r="Y100" s="161">
        <f t="shared" si="94"/>
        <v>0</v>
      </c>
      <c r="Z100" s="161">
        <f t="shared" si="94"/>
        <v>0</v>
      </c>
      <c r="AA100" s="161">
        <f t="shared" si="94"/>
        <v>0</v>
      </c>
      <c r="AB100" s="161">
        <f t="shared" si="94"/>
        <v>0</v>
      </c>
      <c r="AC100" s="161">
        <f t="shared" si="94"/>
        <v>0</v>
      </c>
      <c r="AD100" s="161">
        <f t="shared" si="94"/>
        <v>0</v>
      </c>
      <c r="AE100" s="161">
        <f t="shared" si="94"/>
        <v>0</v>
      </c>
      <c r="AF100" s="161">
        <f t="shared" si="94"/>
        <v>0</v>
      </c>
      <c r="AG100" s="161">
        <f t="shared" si="94"/>
        <v>0</v>
      </c>
      <c r="AH100" s="154" t="s">
        <v>12</v>
      </c>
      <c r="AI100" s="133"/>
      <c r="AJ100" s="170"/>
      <c r="AK100" s="133"/>
      <c r="AL100" s="133"/>
    </row>
    <row r="101" spans="1:57" ht="15.95" hidden="1" customHeight="1" x14ac:dyDescent="0.25">
      <c r="A101" s="173"/>
      <c r="B101" s="130" t="s">
        <v>16</v>
      </c>
      <c r="C101" s="179">
        <f t="shared" ref="C101:AG101" si="95">IF(C13="PR",IF(C13="",0,1),0)</f>
        <v>0</v>
      </c>
      <c r="D101" s="179">
        <f t="shared" si="95"/>
        <v>0</v>
      </c>
      <c r="E101" s="179">
        <f t="shared" si="95"/>
        <v>0</v>
      </c>
      <c r="F101" s="179">
        <f t="shared" si="95"/>
        <v>0</v>
      </c>
      <c r="G101" s="179">
        <f t="shared" si="95"/>
        <v>0</v>
      </c>
      <c r="H101" s="179">
        <f t="shared" si="95"/>
        <v>0</v>
      </c>
      <c r="I101" s="179">
        <f t="shared" si="95"/>
        <v>0</v>
      </c>
      <c r="J101" s="179">
        <f t="shared" si="95"/>
        <v>0</v>
      </c>
      <c r="K101" s="179">
        <f t="shared" si="95"/>
        <v>0</v>
      </c>
      <c r="L101" s="179">
        <f t="shared" si="95"/>
        <v>0</v>
      </c>
      <c r="M101" s="179">
        <f t="shared" si="95"/>
        <v>0</v>
      </c>
      <c r="N101" s="179">
        <f t="shared" si="95"/>
        <v>0</v>
      </c>
      <c r="O101" s="179">
        <f t="shared" si="95"/>
        <v>0</v>
      </c>
      <c r="P101" s="179">
        <f t="shared" si="95"/>
        <v>0</v>
      </c>
      <c r="Q101" s="179">
        <f t="shared" si="95"/>
        <v>0</v>
      </c>
      <c r="R101" s="179">
        <f t="shared" si="95"/>
        <v>0</v>
      </c>
      <c r="S101" s="179">
        <f t="shared" si="95"/>
        <v>0</v>
      </c>
      <c r="T101" s="179">
        <f t="shared" si="95"/>
        <v>0</v>
      </c>
      <c r="U101" s="179">
        <f t="shared" si="95"/>
        <v>0</v>
      </c>
      <c r="V101" s="179">
        <f t="shared" si="95"/>
        <v>0</v>
      </c>
      <c r="W101" s="179">
        <f t="shared" si="95"/>
        <v>0</v>
      </c>
      <c r="X101" s="179">
        <f t="shared" si="95"/>
        <v>0</v>
      </c>
      <c r="Y101" s="179">
        <f t="shared" si="95"/>
        <v>0</v>
      </c>
      <c r="Z101" s="179">
        <f t="shared" si="95"/>
        <v>0</v>
      </c>
      <c r="AA101" s="179">
        <f t="shared" si="95"/>
        <v>0</v>
      </c>
      <c r="AB101" s="179">
        <f t="shared" si="95"/>
        <v>0</v>
      </c>
      <c r="AC101" s="179">
        <f t="shared" si="95"/>
        <v>0</v>
      </c>
      <c r="AD101" s="179">
        <f t="shared" si="95"/>
        <v>0</v>
      </c>
      <c r="AE101" s="179">
        <f t="shared" si="95"/>
        <v>0</v>
      </c>
      <c r="AF101" s="179">
        <f t="shared" si="95"/>
        <v>0</v>
      </c>
      <c r="AG101" s="179">
        <f t="shared" si="95"/>
        <v>0</v>
      </c>
      <c r="AH101" s="229">
        <f>SUM(C101:AG101)</f>
        <v>0</v>
      </c>
      <c r="AI101" s="229"/>
      <c r="AJ101" s="174" t="s">
        <v>69</v>
      </c>
      <c r="AK101" s="133"/>
      <c r="AL101" s="133"/>
    </row>
    <row r="102" spans="1:57" ht="15.95" hidden="1" customHeight="1" x14ac:dyDescent="0.25">
      <c r="A102" s="164" t="s">
        <v>79</v>
      </c>
      <c r="B102" s="165" t="s">
        <v>29</v>
      </c>
      <c r="C102" s="141" t="str">
        <f t="shared" ref="C102:AG102" si="96">IF(C14=$R32,$S32*24,IF(C14=$R33,$S33*24,IF(C14=$R34,$S34*24,IF(C14=$R35,$S35*24,IF(C14=$R36,$S36*24,IF(C14=$R37,$S37*24,IF(C14=$R38,$S38*24,IF(C14=$R39,$S39*24,IF(C14=$R40,$S40*24,"")))))))))</f>
        <v/>
      </c>
      <c r="D102" s="141">
        <f t="shared" si="96"/>
        <v>6</v>
      </c>
      <c r="E102" s="141">
        <f t="shared" si="96"/>
        <v>6</v>
      </c>
      <c r="F102" s="141" t="str">
        <f t="shared" si="96"/>
        <v/>
      </c>
      <c r="G102" s="141" t="str">
        <f t="shared" si="96"/>
        <v/>
      </c>
      <c r="H102" s="141">
        <f t="shared" si="96"/>
        <v>6</v>
      </c>
      <c r="I102" s="141">
        <f t="shared" si="96"/>
        <v>6</v>
      </c>
      <c r="J102" s="141">
        <f t="shared" si="96"/>
        <v>6</v>
      </c>
      <c r="K102" s="141" t="str">
        <f t="shared" si="96"/>
        <v/>
      </c>
      <c r="L102" s="141" t="str">
        <f t="shared" si="96"/>
        <v/>
      </c>
      <c r="M102" s="141">
        <f t="shared" si="96"/>
        <v>6</v>
      </c>
      <c r="N102" s="141">
        <f t="shared" si="96"/>
        <v>6</v>
      </c>
      <c r="O102" s="141" t="str">
        <f t="shared" si="96"/>
        <v/>
      </c>
      <c r="P102" s="141" t="str">
        <f t="shared" si="96"/>
        <v/>
      </c>
      <c r="Q102" s="141" t="str">
        <f t="shared" si="96"/>
        <v/>
      </c>
      <c r="R102" s="141">
        <f t="shared" si="96"/>
        <v>6</v>
      </c>
      <c r="S102" s="141">
        <f t="shared" si="96"/>
        <v>6</v>
      </c>
      <c r="T102" s="141" t="str">
        <f t="shared" si="96"/>
        <v/>
      </c>
      <c r="U102" s="141" t="str">
        <f t="shared" si="96"/>
        <v/>
      </c>
      <c r="V102" s="141">
        <f t="shared" si="96"/>
        <v>6</v>
      </c>
      <c r="W102" s="141">
        <f t="shared" si="96"/>
        <v>6</v>
      </c>
      <c r="X102" s="141">
        <f t="shared" si="96"/>
        <v>6</v>
      </c>
      <c r="Y102" s="141" t="str">
        <f t="shared" si="96"/>
        <v/>
      </c>
      <c r="Z102" s="141" t="str">
        <f t="shared" si="96"/>
        <v/>
      </c>
      <c r="AA102" s="141">
        <f t="shared" si="96"/>
        <v>6</v>
      </c>
      <c r="AB102" s="141">
        <f t="shared" si="96"/>
        <v>6</v>
      </c>
      <c r="AC102" s="141" t="str">
        <f t="shared" si="96"/>
        <v/>
      </c>
      <c r="AD102" s="141" t="str">
        <f t="shared" si="96"/>
        <v/>
      </c>
      <c r="AE102" s="141" t="str">
        <f t="shared" si="96"/>
        <v/>
      </c>
      <c r="AF102" s="141" t="str">
        <f t="shared" si="96"/>
        <v/>
      </c>
      <c r="AG102" s="141" t="str">
        <f t="shared" si="96"/>
        <v/>
      </c>
      <c r="AH102" s="154" t="s">
        <v>12</v>
      </c>
      <c r="AI102" s="133"/>
      <c r="AJ102" s="170"/>
      <c r="AK102" s="133"/>
      <c r="AL102" s="133"/>
    </row>
    <row r="103" spans="1:57" ht="15.95" hidden="1" customHeight="1" x14ac:dyDescent="0.25">
      <c r="A103" s="166" t="s">
        <v>80</v>
      </c>
      <c r="B103" s="167" t="s">
        <v>30</v>
      </c>
      <c r="C103" s="141" t="str">
        <f t="shared" ref="C103:AG103" si="97">IF(C14=$R32,$V32*24,IF(C14=$R33,$V33*24,IF(C14=$R34,$V34*24,IF(C14=$R35,$V35*24,IF(C14=$R36,$V36*24,IF(C14=$R37,$V37*24,IF(C14=$R38,$V38*24,IF(C14=$R39,$V39*24,IF(C14=$R40,$V40*24,"")))))))))</f>
        <v/>
      </c>
      <c r="D103" s="141">
        <f t="shared" si="97"/>
        <v>18</v>
      </c>
      <c r="E103" s="141">
        <f t="shared" si="97"/>
        <v>18</v>
      </c>
      <c r="F103" s="141" t="str">
        <f t="shared" si="97"/>
        <v/>
      </c>
      <c r="G103" s="141" t="str">
        <f t="shared" si="97"/>
        <v/>
      </c>
      <c r="H103" s="141">
        <f t="shared" si="97"/>
        <v>18</v>
      </c>
      <c r="I103" s="141">
        <f t="shared" si="97"/>
        <v>18</v>
      </c>
      <c r="J103" s="141">
        <f t="shared" si="97"/>
        <v>18</v>
      </c>
      <c r="K103" s="141" t="str">
        <f t="shared" si="97"/>
        <v/>
      </c>
      <c r="L103" s="141" t="str">
        <f t="shared" si="97"/>
        <v/>
      </c>
      <c r="M103" s="141">
        <f t="shared" si="97"/>
        <v>18</v>
      </c>
      <c r="N103" s="141">
        <f t="shared" si="97"/>
        <v>18</v>
      </c>
      <c r="O103" s="141" t="str">
        <f t="shared" si="97"/>
        <v/>
      </c>
      <c r="P103" s="141" t="str">
        <f t="shared" si="97"/>
        <v/>
      </c>
      <c r="Q103" s="141" t="str">
        <f t="shared" si="97"/>
        <v/>
      </c>
      <c r="R103" s="141">
        <f t="shared" si="97"/>
        <v>18</v>
      </c>
      <c r="S103" s="141">
        <f t="shared" si="97"/>
        <v>18</v>
      </c>
      <c r="T103" s="141" t="str">
        <f t="shared" si="97"/>
        <v/>
      </c>
      <c r="U103" s="141" t="str">
        <f t="shared" si="97"/>
        <v/>
      </c>
      <c r="V103" s="141">
        <f t="shared" si="97"/>
        <v>18</v>
      </c>
      <c r="W103" s="141">
        <f t="shared" si="97"/>
        <v>18</v>
      </c>
      <c r="X103" s="141">
        <f t="shared" si="97"/>
        <v>18</v>
      </c>
      <c r="Y103" s="141" t="str">
        <f t="shared" si="97"/>
        <v/>
      </c>
      <c r="Z103" s="141" t="str">
        <f t="shared" si="97"/>
        <v/>
      </c>
      <c r="AA103" s="141">
        <f t="shared" si="97"/>
        <v>18</v>
      </c>
      <c r="AB103" s="141">
        <f t="shared" si="97"/>
        <v>18</v>
      </c>
      <c r="AC103" s="141" t="str">
        <f t="shared" si="97"/>
        <v/>
      </c>
      <c r="AD103" s="141" t="str">
        <f t="shared" si="97"/>
        <v/>
      </c>
      <c r="AE103" s="141" t="str">
        <f t="shared" si="97"/>
        <v/>
      </c>
      <c r="AF103" s="141" t="str">
        <f t="shared" si="97"/>
        <v/>
      </c>
      <c r="AG103" s="141" t="str">
        <f t="shared" si="97"/>
        <v/>
      </c>
      <c r="AH103" s="154" t="s">
        <v>12</v>
      </c>
      <c r="AI103" s="133"/>
      <c r="AJ103" s="170"/>
      <c r="AK103" s="133"/>
      <c r="AL103" s="133"/>
    </row>
    <row r="104" spans="1:57" ht="15.95" hidden="1" customHeight="1" x14ac:dyDescent="0.25">
      <c r="A104" s="153"/>
      <c r="B104" s="168" t="s">
        <v>34</v>
      </c>
      <c r="C104" s="169" t="str">
        <f t="shared" ref="C104:AD104" si="98">IF(C14=$R32,$BD32*24,IF(C14=$R33,$BD33*24,IF(C14=$R34,$BD34*24,IF(C14=$R35,$BD35*24,IF(C14=$R36,$BD36*24,IF(C14=$R37,$BD37*24,IF(C14=$R38,$BD38*24,IF(C14=$R39,$BD39*24,IF(C14=$R40,$BD40*24,"")))))))))</f>
        <v/>
      </c>
      <c r="D104" s="169">
        <f t="shared" si="98"/>
        <v>0</v>
      </c>
      <c r="E104" s="169">
        <f t="shared" si="98"/>
        <v>0</v>
      </c>
      <c r="F104" s="169" t="str">
        <f t="shared" si="98"/>
        <v/>
      </c>
      <c r="G104" s="169" t="str">
        <f t="shared" si="98"/>
        <v/>
      </c>
      <c r="H104" s="169">
        <f t="shared" si="98"/>
        <v>0</v>
      </c>
      <c r="I104" s="169">
        <f t="shared" si="98"/>
        <v>0</v>
      </c>
      <c r="J104" s="169">
        <f t="shared" si="98"/>
        <v>0</v>
      </c>
      <c r="K104" s="169" t="str">
        <f t="shared" si="98"/>
        <v/>
      </c>
      <c r="L104" s="169" t="str">
        <f t="shared" si="98"/>
        <v/>
      </c>
      <c r="M104" s="169">
        <f t="shared" si="98"/>
        <v>0</v>
      </c>
      <c r="N104" s="169">
        <f t="shared" si="98"/>
        <v>0</v>
      </c>
      <c r="O104" s="169" t="str">
        <f t="shared" si="98"/>
        <v/>
      </c>
      <c r="P104" s="169" t="str">
        <f t="shared" si="98"/>
        <v/>
      </c>
      <c r="Q104" s="169" t="str">
        <f t="shared" si="98"/>
        <v/>
      </c>
      <c r="R104" s="169">
        <f t="shared" si="98"/>
        <v>0</v>
      </c>
      <c r="S104" s="169">
        <f t="shared" si="98"/>
        <v>0</v>
      </c>
      <c r="T104" s="169" t="str">
        <f t="shared" si="98"/>
        <v/>
      </c>
      <c r="U104" s="169" t="str">
        <f t="shared" si="98"/>
        <v/>
      </c>
      <c r="V104" s="169">
        <f t="shared" si="98"/>
        <v>0</v>
      </c>
      <c r="W104" s="169">
        <f t="shared" si="98"/>
        <v>0</v>
      </c>
      <c r="X104" s="169">
        <f t="shared" si="98"/>
        <v>0</v>
      </c>
      <c r="Y104" s="169" t="str">
        <f t="shared" si="98"/>
        <v/>
      </c>
      <c r="Z104" s="169" t="str">
        <f t="shared" si="98"/>
        <v/>
      </c>
      <c r="AA104" s="169">
        <f t="shared" si="98"/>
        <v>0</v>
      </c>
      <c r="AB104" s="169">
        <f t="shared" si="98"/>
        <v>0</v>
      </c>
      <c r="AC104" s="169" t="str">
        <f t="shared" si="98"/>
        <v/>
      </c>
      <c r="AD104" s="169" t="str">
        <f t="shared" si="98"/>
        <v/>
      </c>
      <c r="AE104" s="169" t="str">
        <f>IF(AE14=$R32,$BD32*24,IF(AE14=$R33,$BD33*24,IF(AE14=$R34,$BD34*24,IF(AE14=$R35,$BD35*24,IF(AE14=$R36,$BD36*24,IF(AE14=$R37,$BD37*24,IF(AE14=$R38,$BD38*24,IF(AE14=$R39,$BD39*24,IF(AE14=$R40,$BD40*24,"")))))))))</f>
        <v/>
      </c>
      <c r="AF104" s="169" t="str">
        <f>IF(AF14=$R32,$BD32*24,IF(AF14=$R33,$BD33*24,IF(AF14=$R34,$BD34*24,IF(AF14=$R35,$BD35*24,IF(AF14=$R36,$BD36*24,IF(AF14=$R37,$BD37*24,IF(AF14=$R38,$BD38*24,IF(AF14=$R39,$BD39*24,IF(AF14=$R40,$BD40*24,"")))))))))</f>
        <v/>
      </c>
      <c r="AG104" s="169" t="str">
        <f>IF(AG14=$R32,$BD32*24,IF(AG14=$R33,$BD33*24,IF(AG14=$R34,$BD34*24,IF(AG14=$R35,$BD35*24,IF(AG14=$R36,$BD36*24,IF(AG14=$R37,$BD37*24,IF(AG14=$R38,$BD38*24,IF(AG14=$R39,$BD39*24,IF(AG14=$R40,$BD40*24,"")))))))))</f>
        <v/>
      </c>
      <c r="AH104" s="148">
        <f>SUM(C104:AG104)</f>
        <v>0</v>
      </c>
      <c r="AI104" s="133"/>
      <c r="AJ104" s="170"/>
      <c r="AK104" s="133"/>
      <c r="AL104" s="133"/>
    </row>
    <row r="105" spans="1:57" ht="15.95" hidden="1" customHeight="1" x14ac:dyDescent="0.25">
      <c r="A105" s="153"/>
      <c r="B105" s="167" t="s">
        <v>59</v>
      </c>
      <c r="C105" s="141">
        <f t="shared" ref="C105:AG105" si="99">IF(C14="V",$C36,IF(C14="PR",$C38,0))</f>
        <v>0</v>
      </c>
      <c r="D105" s="141">
        <f t="shared" si="99"/>
        <v>0</v>
      </c>
      <c r="E105" s="141">
        <f t="shared" si="99"/>
        <v>0</v>
      </c>
      <c r="F105" s="141">
        <f t="shared" si="99"/>
        <v>0</v>
      </c>
      <c r="G105" s="141">
        <f t="shared" si="99"/>
        <v>0</v>
      </c>
      <c r="H105" s="141">
        <f t="shared" si="99"/>
        <v>0</v>
      </c>
      <c r="I105" s="141">
        <f t="shared" si="99"/>
        <v>0</v>
      </c>
      <c r="J105" s="141">
        <f t="shared" si="99"/>
        <v>0</v>
      </c>
      <c r="K105" s="141">
        <f t="shared" si="99"/>
        <v>0</v>
      </c>
      <c r="L105" s="141">
        <f t="shared" si="99"/>
        <v>0</v>
      </c>
      <c r="M105" s="141">
        <f t="shared" si="99"/>
        <v>0</v>
      </c>
      <c r="N105" s="141">
        <f t="shared" si="99"/>
        <v>0</v>
      </c>
      <c r="O105" s="141">
        <f t="shared" si="99"/>
        <v>0</v>
      </c>
      <c r="P105" s="141">
        <f t="shared" si="99"/>
        <v>0</v>
      </c>
      <c r="Q105" s="141">
        <f t="shared" si="99"/>
        <v>0</v>
      </c>
      <c r="R105" s="141">
        <f t="shared" si="99"/>
        <v>0</v>
      </c>
      <c r="S105" s="141">
        <f t="shared" si="99"/>
        <v>0</v>
      </c>
      <c r="T105" s="141">
        <f t="shared" si="99"/>
        <v>0</v>
      </c>
      <c r="U105" s="141">
        <f t="shared" si="99"/>
        <v>0</v>
      </c>
      <c r="V105" s="141">
        <f t="shared" si="99"/>
        <v>0</v>
      </c>
      <c r="W105" s="141">
        <f t="shared" si="99"/>
        <v>0</v>
      </c>
      <c r="X105" s="141">
        <f t="shared" si="99"/>
        <v>0</v>
      </c>
      <c r="Y105" s="141">
        <f t="shared" si="99"/>
        <v>0</v>
      </c>
      <c r="Z105" s="141">
        <f t="shared" si="99"/>
        <v>0</v>
      </c>
      <c r="AA105" s="141">
        <f t="shared" si="99"/>
        <v>0</v>
      </c>
      <c r="AB105" s="141">
        <f t="shared" si="99"/>
        <v>0</v>
      </c>
      <c r="AC105" s="141">
        <f t="shared" si="99"/>
        <v>0</v>
      </c>
      <c r="AD105" s="141">
        <f t="shared" si="99"/>
        <v>0</v>
      </c>
      <c r="AE105" s="141">
        <f t="shared" si="99"/>
        <v>0</v>
      </c>
      <c r="AF105" s="141">
        <f t="shared" si="99"/>
        <v>0</v>
      </c>
      <c r="AG105" s="141">
        <f t="shared" si="99"/>
        <v>0</v>
      </c>
      <c r="AH105" s="226">
        <f>SUM(C105:AG105)</f>
        <v>0</v>
      </c>
      <c r="AI105" s="226"/>
      <c r="AJ105" s="230">
        <f>SUM(AH50+AH61+AH72+AH83+AH94+AH105)</f>
        <v>0</v>
      </c>
      <c r="AK105" s="230"/>
      <c r="AL105" s="133" t="s">
        <v>56</v>
      </c>
      <c r="AM105" s="1" t="s">
        <v>12</v>
      </c>
    </row>
    <row r="106" spans="1:57" ht="15.95" hidden="1" customHeight="1" x14ac:dyDescent="0.25">
      <c r="A106" s="150" t="s">
        <v>60</v>
      </c>
      <c r="B106" s="167" t="s">
        <v>61</v>
      </c>
      <c r="C106" s="151">
        <f t="shared" ref="C106:AD106" si="100">IF(C14=$R32,$BC32,IF(C14=$R33,$BC33,IF(C14=$R34,$BC34,IF(C14=$R35,$BC35,IF(C14=$R36,$BC36,IF(C14=$R37,$BC37,IF(C14=$R38,$BC38,IF(C14=$R39,$BC39,IF(C14=$R40,$BC40,0)))))))))</f>
        <v>0</v>
      </c>
      <c r="D106" s="151">
        <f t="shared" si="100"/>
        <v>12</v>
      </c>
      <c r="E106" s="151">
        <f t="shared" si="100"/>
        <v>12</v>
      </c>
      <c r="F106" s="151">
        <f t="shared" si="100"/>
        <v>0</v>
      </c>
      <c r="G106" s="151">
        <f t="shared" si="100"/>
        <v>0</v>
      </c>
      <c r="H106" s="151">
        <f t="shared" si="100"/>
        <v>12</v>
      </c>
      <c r="I106" s="151">
        <f t="shared" si="100"/>
        <v>12</v>
      </c>
      <c r="J106" s="151">
        <f t="shared" si="100"/>
        <v>12</v>
      </c>
      <c r="K106" s="151">
        <f t="shared" si="100"/>
        <v>0</v>
      </c>
      <c r="L106" s="151">
        <f t="shared" si="100"/>
        <v>0</v>
      </c>
      <c r="M106" s="151">
        <f t="shared" si="100"/>
        <v>12</v>
      </c>
      <c r="N106" s="151">
        <f t="shared" si="100"/>
        <v>12</v>
      </c>
      <c r="O106" s="151">
        <f t="shared" si="100"/>
        <v>0</v>
      </c>
      <c r="P106" s="151">
        <f t="shared" si="100"/>
        <v>0</v>
      </c>
      <c r="Q106" s="151">
        <f t="shared" si="100"/>
        <v>0</v>
      </c>
      <c r="R106" s="151">
        <f t="shared" si="100"/>
        <v>12</v>
      </c>
      <c r="S106" s="151">
        <f t="shared" si="100"/>
        <v>12</v>
      </c>
      <c r="T106" s="151">
        <f t="shared" si="100"/>
        <v>0</v>
      </c>
      <c r="U106" s="151">
        <f t="shared" si="100"/>
        <v>0</v>
      </c>
      <c r="V106" s="151">
        <f t="shared" si="100"/>
        <v>12</v>
      </c>
      <c r="W106" s="151">
        <f t="shared" si="100"/>
        <v>12</v>
      </c>
      <c r="X106" s="151">
        <f t="shared" si="100"/>
        <v>12</v>
      </c>
      <c r="Y106" s="151">
        <f t="shared" si="100"/>
        <v>0</v>
      </c>
      <c r="Z106" s="151">
        <f t="shared" si="100"/>
        <v>0</v>
      </c>
      <c r="AA106" s="151">
        <f t="shared" si="100"/>
        <v>12</v>
      </c>
      <c r="AB106" s="151">
        <f t="shared" si="100"/>
        <v>12</v>
      </c>
      <c r="AC106" s="151">
        <f t="shared" si="100"/>
        <v>0</v>
      </c>
      <c r="AD106" s="151">
        <f t="shared" si="100"/>
        <v>0</v>
      </c>
      <c r="AE106" s="151">
        <f>IF(AE14=$R32,$BC32,IF(AE14=$R33,$BC33,IF(AE14=$R34,$BC34,IF(AE14=$R35,$BC35,IF(AE14=$R36,$BC36,IF(AE14=$R37,$BC37,IF(AE14=$R38,$BC38,IF(AE14=$R39,$BC39,IF(AE14=$R40,$BC40,0)))))))))</f>
        <v>0</v>
      </c>
      <c r="AF106" s="151">
        <f>IF(AF14=$R32,$BC32,IF(AF14=$R33,$BC33,IF(AF14=$R34,$BC34,IF(AF14=$R35,$BC35,IF(AF14=$R36,$BC36,IF(AF14=$R37,$BC37,IF(AF14=$R38,$BC38,IF(AF14=$R39,$BC39,IF(AF14=$R40,$BC40,0)))))))))</f>
        <v>0</v>
      </c>
      <c r="AG106" s="151">
        <f>IF(AG14=$R32,$BC32,IF(AG14=$R33,$BC33,IF(AG14=$R34,$BC34,IF(AG14=$R35,$BC35,IF(AG14=$R36,$BC36,IF(AG14=$R37,$BC37,IF(AG14=$R38,$BC38,IF(AG14=$R39,$BC39,IF(AG14=$R40,$BC40,0)))))))))</f>
        <v>0</v>
      </c>
      <c r="AH106" s="226">
        <f>SUM(C106:AG106)</f>
        <v>168</v>
      </c>
      <c r="AI106" s="226"/>
      <c r="AJ106" s="174" t="s">
        <v>62</v>
      </c>
      <c r="AK106" s="133" t="s">
        <v>12</v>
      </c>
      <c r="AL106" s="133"/>
    </row>
    <row r="107" spans="1:57" ht="15.95" hidden="1" customHeight="1" x14ac:dyDescent="0.25">
      <c r="A107" s="153" t="s">
        <v>48</v>
      </c>
      <c r="B107" s="149" t="s">
        <v>63</v>
      </c>
      <c r="C107" s="141">
        <f t="shared" ref="C107:AG107" si="101">IF(C46=1,IF(C102&lt;C103,C106,0))</f>
        <v>0</v>
      </c>
      <c r="D107" s="141" t="b">
        <f t="shared" si="101"/>
        <v>0</v>
      </c>
      <c r="E107" s="141" t="b">
        <f t="shared" si="101"/>
        <v>0</v>
      </c>
      <c r="F107" s="141" t="b">
        <f t="shared" si="101"/>
        <v>0</v>
      </c>
      <c r="G107" s="141" t="b">
        <f t="shared" si="101"/>
        <v>0</v>
      </c>
      <c r="H107" s="141" t="b">
        <f t="shared" si="101"/>
        <v>0</v>
      </c>
      <c r="I107" s="141">
        <f t="shared" si="101"/>
        <v>12</v>
      </c>
      <c r="J107" s="141">
        <f t="shared" si="101"/>
        <v>12</v>
      </c>
      <c r="K107" s="141" t="b">
        <f t="shared" si="101"/>
        <v>0</v>
      </c>
      <c r="L107" s="141" t="b">
        <f t="shared" si="101"/>
        <v>0</v>
      </c>
      <c r="M107" s="141" t="b">
        <f t="shared" si="101"/>
        <v>0</v>
      </c>
      <c r="N107" s="141" t="b">
        <f t="shared" si="101"/>
        <v>0</v>
      </c>
      <c r="O107" s="141" t="b">
        <f t="shared" si="101"/>
        <v>0</v>
      </c>
      <c r="P107" s="141">
        <f t="shared" si="101"/>
        <v>0</v>
      </c>
      <c r="Q107" s="141">
        <f t="shared" si="101"/>
        <v>0</v>
      </c>
      <c r="R107" s="141" t="b">
        <f t="shared" si="101"/>
        <v>0</v>
      </c>
      <c r="S107" s="141" t="b">
        <f t="shared" si="101"/>
        <v>0</v>
      </c>
      <c r="T107" s="141" t="b">
        <f t="shared" si="101"/>
        <v>0</v>
      </c>
      <c r="U107" s="141" t="b">
        <f t="shared" si="101"/>
        <v>0</v>
      </c>
      <c r="V107" s="141" t="b">
        <f t="shared" si="101"/>
        <v>0</v>
      </c>
      <c r="W107" s="141">
        <f t="shared" si="101"/>
        <v>12</v>
      </c>
      <c r="X107" s="141">
        <f t="shared" si="101"/>
        <v>12</v>
      </c>
      <c r="Y107" s="141" t="b">
        <f t="shared" si="101"/>
        <v>0</v>
      </c>
      <c r="Z107" s="141" t="b">
        <f t="shared" si="101"/>
        <v>0</v>
      </c>
      <c r="AA107" s="141" t="b">
        <f t="shared" si="101"/>
        <v>0</v>
      </c>
      <c r="AB107" s="141" t="b">
        <f t="shared" si="101"/>
        <v>0</v>
      </c>
      <c r="AC107" s="141" t="b">
        <f t="shared" si="101"/>
        <v>0</v>
      </c>
      <c r="AD107" s="141">
        <f t="shared" si="101"/>
        <v>0</v>
      </c>
      <c r="AE107" s="141" t="b">
        <f t="shared" si="101"/>
        <v>0</v>
      </c>
      <c r="AF107" s="141" t="b">
        <f t="shared" si="101"/>
        <v>0</v>
      </c>
      <c r="AG107" s="141" t="b">
        <f t="shared" si="101"/>
        <v>0</v>
      </c>
      <c r="AH107" s="154" t="s">
        <v>12</v>
      </c>
      <c r="AI107" s="133"/>
      <c r="AJ107" s="170"/>
      <c r="AK107" s="133"/>
      <c r="AL107" s="133"/>
      <c r="BE107" s="31"/>
    </row>
    <row r="108" spans="1:57" ht="15.95" hidden="1" customHeight="1" x14ac:dyDescent="0.25">
      <c r="A108" s="176"/>
      <c r="B108" s="149" t="s">
        <v>64</v>
      </c>
      <c r="C108" s="141">
        <f>IF(C46=1,IF(C113&gt;C114,24-C113,0),0)</f>
        <v>0</v>
      </c>
      <c r="D108" s="141">
        <f t="shared" ref="D108:AG108" si="102">IF(D46=1,IF(D102&gt;D103,24-D102,0),0)</f>
        <v>0</v>
      </c>
      <c r="E108" s="141">
        <f t="shared" si="102"/>
        <v>0</v>
      </c>
      <c r="F108" s="141">
        <f t="shared" si="102"/>
        <v>0</v>
      </c>
      <c r="G108" s="141">
        <f t="shared" si="102"/>
        <v>0</v>
      </c>
      <c r="H108" s="141">
        <f t="shared" si="102"/>
        <v>0</v>
      </c>
      <c r="I108" s="141">
        <f t="shared" si="102"/>
        <v>0</v>
      </c>
      <c r="J108" s="141">
        <f t="shared" si="102"/>
        <v>0</v>
      </c>
      <c r="K108" s="141">
        <f t="shared" si="102"/>
        <v>0</v>
      </c>
      <c r="L108" s="141">
        <f t="shared" si="102"/>
        <v>0</v>
      </c>
      <c r="M108" s="141">
        <f t="shared" si="102"/>
        <v>0</v>
      </c>
      <c r="N108" s="141">
        <f t="shared" si="102"/>
        <v>0</v>
      </c>
      <c r="O108" s="141">
        <f t="shared" si="102"/>
        <v>0</v>
      </c>
      <c r="P108" s="141">
        <f t="shared" si="102"/>
        <v>0</v>
      </c>
      <c r="Q108" s="141">
        <f t="shared" si="102"/>
        <v>0</v>
      </c>
      <c r="R108" s="141">
        <f t="shared" si="102"/>
        <v>0</v>
      </c>
      <c r="S108" s="141">
        <f t="shared" si="102"/>
        <v>0</v>
      </c>
      <c r="T108" s="141">
        <f t="shared" si="102"/>
        <v>0</v>
      </c>
      <c r="U108" s="141">
        <f t="shared" si="102"/>
        <v>0</v>
      </c>
      <c r="V108" s="141">
        <f t="shared" si="102"/>
        <v>0</v>
      </c>
      <c r="W108" s="141">
        <f t="shared" si="102"/>
        <v>0</v>
      </c>
      <c r="X108" s="141">
        <f t="shared" si="102"/>
        <v>0</v>
      </c>
      <c r="Y108" s="141">
        <f t="shared" si="102"/>
        <v>0</v>
      </c>
      <c r="Z108" s="141">
        <f t="shared" si="102"/>
        <v>0</v>
      </c>
      <c r="AA108" s="141">
        <f t="shared" si="102"/>
        <v>0</v>
      </c>
      <c r="AB108" s="141">
        <f t="shared" si="102"/>
        <v>0</v>
      </c>
      <c r="AC108" s="141">
        <f t="shared" si="102"/>
        <v>0</v>
      </c>
      <c r="AD108" s="141">
        <f t="shared" si="102"/>
        <v>0</v>
      </c>
      <c r="AE108" s="141">
        <f t="shared" si="102"/>
        <v>0</v>
      </c>
      <c r="AF108" s="141">
        <f t="shared" si="102"/>
        <v>0</v>
      </c>
      <c r="AG108" s="141">
        <f t="shared" si="102"/>
        <v>0</v>
      </c>
      <c r="AH108" s="154" t="s">
        <v>12</v>
      </c>
      <c r="AI108" s="133"/>
      <c r="AJ108" s="170"/>
      <c r="AK108" s="133"/>
      <c r="AL108" s="133"/>
    </row>
    <row r="109" spans="1:57" ht="15.95" hidden="1" customHeight="1" x14ac:dyDescent="0.25">
      <c r="A109" s="176"/>
      <c r="B109" s="149" t="s">
        <v>65</v>
      </c>
      <c r="C109" s="141">
        <f t="shared" ref="C109:AG109" si="103">IF(D46=1,IF(C102&gt;C103,C103,0),0)</f>
        <v>0</v>
      </c>
      <c r="D109" s="141">
        <f t="shared" si="103"/>
        <v>0</v>
      </c>
      <c r="E109" s="141">
        <f t="shared" si="103"/>
        <v>0</v>
      </c>
      <c r="F109" s="141">
        <f t="shared" si="103"/>
        <v>0</v>
      </c>
      <c r="G109" s="141">
        <f t="shared" si="103"/>
        <v>0</v>
      </c>
      <c r="H109" s="141">
        <f t="shared" si="103"/>
        <v>0</v>
      </c>
      <c r="I109" s="141">
        <f t="shared" si="103"/>
        <v>0</v>
      </c>
      <c r="J109" s="141">
        <f t="shared" si="103"/>
        <v>0</v>
      </c>
      <c r="K109" s="141">
        <f t="shared" si="103"/>
        <v>0</v>
      </c>
      <c r="L109" s="141">
        <f t="shared" si="103"/>
        <v>0</v>
      </c>
      <c r="M109" s="141">
        <f t="shared" si="103"/>
        <v>0</v>
      </c>
      <c r="N109" s="141">
        <f t="shared" si="103"/>
        <v>0</v>
      </c>
      <c r="O109" s="141">
        <f t="shared" si="103"/>
        <v>0</v>
      </c>
      <c r="P109" s="141">
        <f t="shared" si="103"/>
        <v>0</v>
      </c>
      <c r="Q109" s="141">
        <f t="shared" si="103"/>
        <v>0</v>
      </c>
      <c r="R109" s="141">
        <f t="shared" si="103"/>
        <v>0</v>
      </c>
      <c r="S109" s="141">
        <f t="shared" si="103"/>
        <v>0</v>
      </c>
      <c r="T109" s="141">
        <f t="shared" si="103"/>
        <v>0</v>
      </c>
      <c r="U109" s="141">
        <f t="shared" si="103"/>
        <v>0</v>
      </c>
      <c r="V109" s="141">
        <f t="shared" si="103"/>
        <v>0</v>
      </c>
      <c r="W109" s="141">
        <f t="shared" si="103"/>
        <v>0</v>
      </c>
      <c r="X109" s="141">
        <f>IF(Y46=1,IF(X102&gt;X103,X103,0),0)</f>
        <v>0</v>
      </c>
      <c r="Y109" s="141">
        <f t="shared" si="103"/>
        <v>0</v>
      </c>
      <c r="Z109" s="141">
        <f t="shared" si="103"/>
        <v>0</v>
      </c>
      <c r="AA109" s="141">
        <f t="shared" si="103"/>
        <v>0</v>
      </c>
      <c r="AB109" s="141">
        <f t="shared" si="103"/>
        <v>0</v>
      </c>
      <c r="AC109" s="141">
        <f t="shared" si="103"/>
        <v>0</v>
      </c>
      <c r="AD109" s="141">
        <f t="shared" si="103"/>
        <v>0</v>
      </c>
      <c r="AE109" s="141">
        <f t="shared" si="103"/>
        <v>0</v>
      </c>
      <c r="AF109" s="141">
        <f t="shared" si="103"/>
        <v>0</v>
      </c>
      <c r="AG109" s="141">
        <f t="shared" si="103"/>
        <v>0</v>
      </c>
      <c r="AH109" s="154" t="s">
        <v>12</v>
      </c>
      <c r="AI109" s="133"/>
      <c r="AJ109" s="170"/>
      <c r="AK109" s="133"/>
      <c r="AL109" s="133"/>
    </row>
    <row r="110" spans="1:57" ht="15.95" hidden="1" customHeight="1" x14ac:dyDescent="0.25">
      <c r="A110" s="176"/>
      <c r="B110" s="149" t="s">
        <v>67</v>
      </c>
      <c r="C110" s="171">
        <f t="shared" ref="C110:AG110" si="104">SUM(C107:C109)</f>
        <v>0</v>
      </c>
      <c r="D110" s="171">
        <f t="shared" si="104"/>
        <v>0</v>
      </c>
      <c r="E110" s="171">
        <f t="shared" si="104"/>
        <v>0</v>
      </c>
      <c r="F110" s="171">
        <f t="shared" si="104"/>
        <v>0</v>
      </c>
      <c r="G110" s="171">
        <f t="shared" si="104"/>
        <v>0</v>
      </c>
      <c r="H110" s="171">
        <f t="shared" si="104"/>
        <v>0</v>
      </c>
      <c r="I110" s="171">
        <f t="shared" si="104"/>
        <v>12</v>
      </c>
      <c r="J110" s="171">
        <f t="shared" si="104"/>
        <v>12</v>
      </c>
      <c r="K110" s="171">
        <f t="shared" si="104"/>
        <v>0</v>
      </c>
      <c r="L110" s="171">
        <f t="shared" si="104"/>
        <v>0</v>
      </c>
      <c r="M110" s="171">
        <f t="shared" si="104"/>
        <v>0</v>
      </c>
      <c r="N110" s="171">
        <f t="shared" si="104"/>
        <v>0</v>
      </c>
      <c r="O110" s="171">
        <f t="shared" si="104"/>
        <v>0</v>
      </c>
      <c r="P110" s="171">
        <f t="shared" si="104"/>
        <v>0</v>
      </c>
      <c r="Q110" s="171">
        <f t="shared" si="104"/>
        <v>0</v>
      </c>
      <c r="R110" s="171">
        <f t="shared" si="104"/>
        <v>0</v>
      </c>
      <c r="S110" s="171">
        <f t="shared" si="104"/>
        <v>0</v>
      </c>
      <c r="T110" s="171">
        <f t="shared" si="104"/>
        <v>0</v>
      </c>
      <c r="U110" s="171">
        <f t="shared" si="104"/>
        <v>0</v>
      </c>
      <c r="V110" s="171">
        <f t="shared" si="104"/>
        <v>0</v>
      </c>
      <c r="W110" s="171">
        <f t="shared" si="104"/>
        <v>12</v>
      </c>
      <c r="X110" s="171">
        <f t="shared" si="104"/>
        <v>12</v>
      </c>
      <c r="Y110" s="171">
        <f t="shared" si="104"/>
        <v>0</v>
      </c>
      <c r="Z110" s="171">
        <f t="shared" si="104"/>
        <v>0</v>
      </c>
      <c r="AA110" s="171">
        <f t="shared" si="104"/>
        <v>0</v>
      </c>
      <c r="AB110" s="171">
        <f t="shared" si="104"/>
        <v>0</v>
      </c>
      <c r="AC110" s="171">
        <f t="shared" si="104"/>
        <v>0</v>
      </c>
      <c r="AD110" s="171">
        <f t="shared" si="104"/>
        <v>0</v>
      </c>
      <c r="AE110" s="171">
        <f t="shared" si="104"/>
        <v>0</v>
      </c>
      <c r="AF110" s="171">
        <f t="shared" si="104"/>
        <v>0</v>
      </c>
      <c r="AG110" s="171">
        <f t="shared" si="104"/>
        <v>0</v>
      </c>
      <c r="AH110" s="154" t="s">
        <v>12</v>
      </c>
      <c r="AI110" s="133"/>
      <c r="AJ110" s="170"/>
      <c r="AK110" s="133"/>
      <c r="AL110" s="133"/>
    </row>
    <row r="111" spans="1:57" ht="15.95" hidden="1" customHeight="1" x14ac:dyDescent="0.25">
      <c r="A111" s="177"/>
      <c r="B111" s="160" t="s">
        <v>68</v>
      </c>
      <c r="C111" s="161">
        <f t="shared" ref="C111:AG111" si="105">IF(C14="V",IF(C14="",0,1),0)</f>
        <v>0</v>
      </c>
      <c r="D111" s="161">
        <f t="shared" si="105"/>
        <v>0</v>
      </c>
      <c r="E111" s="161">
        <f t="shared" si="105"/>
        <v>0</v>
      </c>
      <c r="F111" s="161">
        <f t="shared" si="105"/>
        <v>0</v>
      </c>
      <c r="G111" s="161">
        <f t="shared" si="105"/>
        <v>0</v>
      </c>
      <c r="H111" s="161">
        <f t="shared" si="105"/>
        <v>0</v>
      </c>
      <c r="I111" s="161">
        <f t="shared" si="105"/>
        <v>0</v>
      </c>
      <c r="J111" s="161">
        <f t="shared" si="105"/>
        <v>0</v>
      </c>
      <c r="K111" s="161">
        <f t="shared" si="105"/>
        <v>0</v>
      </c>
      <c r="L111" s="161">
        <f t="shared" si="105"/>
        <v>0</v>
      </c>
      <c r="M111" s="161">
        <f t="shared" si="105"/>
        <v>0</v>
      </c>
      <c r="N111" s="161">
        <f t="shared" si="105"/>
        <v>0</v>
      </c>
      <c r="O111" s="161">
        <f t="shared" si="105"/>
        <v>0</v>
      </c>
      <c r="P111" s="161">
        <f t="shared" si="105"/>
        <v>0</v>
      </c>
      <c r="Q111" s="161">
        <f t="shared" si="105"/>
        <v>0</v>
      </c>
      <c r="R111" s="161">
        <f t="shared" si="105"/>
        <v>0</v>
      </c>
      <c r="S111" s="161">
        <f t="shared" si="105"/>
        <v>0</v>
      </c>
      <c r="T111" s="161">
        <f t="shared" si="105"/>
        <v>0</v>
      </c>
      <c r="U111" s="161">
        <f t="shared" si="105"/>
        <v>0</v>
      </c>
      <c r="V111" s="161">
        <f t="shared" si="105"/>
        <v>0</v>
      </c>
      <c r="W111" s="161">
        <f t="shared" si="105"/>
        <v>0</v>
      </c>
      <c r="X111" s="161">
        <f t="shared" si="105"/>
        <v>0</v>
      </c>
      <c r="Y111" s="161">
        <f t="shared" si="105"/>
        <v>0</v>
      </c>
      <c r="Z111" s="161">
        <f t="shared" si="105"/>
        <v>0</v>
      </c>
      <c r="AA111" s="161">
        <f t="shared" si="105"/>
        <v>0</v>
      </c>
      <c r="AB111" s="161">
        <f t="shared" si="105"/>
        <v>0</v>
      </c>
      <c r="AC111" s="161">
        <f t="shared" si="105"/>
        <v>0</v>
      </c>
      <c r="AD111" s="161">
        <f t="shared" si="105"/>
        <v>0</v>
      </c>
      <c r="AE111" s="161">
        <f t="shared" si="105"/>
        <v>0</v>
      </c>
      <c r="AF111" s="161">
        <f t="shared" si="105"/>
        <v>0</v>
      </c>
      <c r="AG111" s="161">
        <f t="shared" si="105"/>
        <v>0</v>
      </c>
      <c r="AH111" s="154" t="s">
        <v>12</v>
      </c>
      <c r="AI111" s="133"/>
      <c r="AJ111" s="170"/>
      <c r="AK111" s="133"/>
      <c r="AL111" s="133"/>
    </row>
    <row r="112" spans="1:57" ht="15.95" hidden="1" customHeight="1" x14ac:dyDescent="0.25">
      <c r="A112" s="180"/>
      <c r="B112" s="181" t="s">
        <v>16</v>
      </c>
      <c r="C112" s="182">
        <f t="shared" ref="C112:AG112" si="106">IF(C14="PR",IF(C14="",0,1),0)</f>
        <v>0</v>
      </c>
      <c r="D112" s="182">
        <f t="shared" si="106"/>
        <v>0</v>
      </c>
      <c r="E112" s="182">
        <f t="shared" si="106"/>
        <v>0</v>
      </c>
      <c r="F112" s="182">
        <f t="shared" si="106"/>
        <v>0</v>
      </c>
      <c r="G112" s="182">
        <f t="shared" si="106"/>
        <v>0</v>
      </c>
      <c r="H112" s="182">
        <f t="shared" si="106"/>
        <v>0</v>
      </c>
      <c r="I112" s="182">
        <f t="shared" si="106"/>
        <v>0</v>
      </c>
      <c r="J112" s="182">
        <f t="shared" si="106"/>
        <v>0</v>
      </c>
      <c r="K112" s="182">
        <f t="shared" si="106"/>
        <v>0</v>
      </c>
      <c r="L112" s="182">
        <f t="shared" si="106"/>
        <v>0</v>
      </c>
      <c r="M112" s="182">
        <f t="shared" si="106"/>
        <v>0</v>
      </c>
      <c r="N112" s="182">
        <f t="shared" si="106"/>
        <v>0</v>
      </c>
      <c r="O112" s="182">
        <f t="shared" si="106"/>
        <v>0</v>
      </c>
      <c r="P112" s="182">
        <f t="shared" si="106"/>
        <v>0</v>
      </c>
      <c r="Q112" s="182">
        <f t="shared" si="106"/>
        <v>0</v>
      </c>
      <c r="R112" s="182">
        <f t="shared" si="106"/>
        <v>0</v>
      </c>
      <c r="S112" s="182">
        <f t="shared" si="106"/>
        <v>0</v>
      </c>
      <c r="T112" s="182">
        <f t="shared" si="106"/>
        <v>0</v>
      </c>
      <c r="U112" s="182">
        <f t="shared" si="106"/>
        <v>0</v>
      </c>
      <c r="V112" s="182">
        <f t="shared" si="106"/>
        <v>0</v>
      </c>
      <c r="W112" s="182">
        <f t="shared" si="106"/>
        <v>0</v>
      </c>
      <c r="X112" s="182">
        <f t="shared" si="106"/>
        <v>0</v>
      </c>
      <c r="Y112" s="182">
        <f t="shared" si="106"/>
        <v>0</v>
      </c>
      <c r="Z112" s="182">
        <f t="shared" si="106"/>
        <v>0</v>
      </c>
      <c r="AA112" s="182">
        <f t="shared" si="106"/>
        <v>0</v>
      </c>
      <c r="AB112" s="182">
        <f t="shared" si="106"/>
        <v>0</v>
      </c>
      <c r="AC112" s="182">
        <f t="shared" si="106"/>
        <v>0</v>
      </c>
      <c r="AD112" s="182">
        <f t="shared" si="106"/>
        <v>0</v>
      </c>
      <c r="AE112" s="182">
        <f t="shared" si="106"/>
        <v>0</v>
      </c>
      <c r="AF112" s="182">
        <f t="shared" si="106"/>
        <v>0</v>
      </c>
      <c r="AG112" s="182">
        <f t="shared" si="106"/>
        <v>0</v>
      </c>
      <c r="AH112" s="227">
        <f>SUM(C112:AG112)</f>
        <v>0</v>
      </c>
      <c r="AI112" s="227"/>
      <c r="AJ112" s="174" t="s">
        <v>69</v>
      </c>
      <c r="AK112" s="133"/>
      <c r="AL112" s="133"/>
    </row>
    <row r="113" spans="1:57" s="31" customFormat="1" ht="15.95" hidden="1" customHeight="1" x14ac:dyDescent="0.25">
      <c r="A113" s="164" t="s">
        <v>81</v>
      </c>
      <c r="B113" s="165" t="s">
        <v>29</v>
      </c>
      <c r="C113" s="141">
        <f t="shared" ref="C113:AG113" si="107">IF(C15=$R32,$S32*24,IF(C15=$R33,$S33*24,IF(C15=$R34,$S34*24,IF(C15=$R35,$S35*24,IF(C15=$R36,$S36*24,IF(C15=$R37,$S37*24,IF(C15=$R38,$S38*24,IF(C15=$R39,$S39*24,IF(C15=$R40,$S40*24,"")))))))))</f>
        <v>7</v>
      </c>
      <c r="D113" s="141" t="str">
        <f t="shared" si="107"/>
        <v/>
      </c>
      <c r="E113" s="141" t="str">
        <f t="shared" si="107"/>
        <v/>
      </c>
      <c r="F113" s="141">
        <f t="shared" si="107"/>
        <v>7</v>
      </c>
      <c r="G113" s="141">
        <f t="shared" si="107"/>
        <v>7</v>
      </c>
      <c r="H113" s="141" t="str">
        <f t="shared" si="107"/>
        <v/>
      </c>
      <c r="I113" s="141" t="str">
        <f t="shared" si="107"/>
        <v/>
      </c>
      <c r="J113" s="141" t="str">
        <f t="shared" si="107"/>
        <v/>
      </c>
      <c r="K113" s="141">
        <f t="shared" si="107"/>
        <v>7</v>
      </c>
      <c r="L113" s="141">
        <f t="shared" si="107"/>
        <v>7</v>
      </c>
      <c r="M113" s="141" t="str">
        <f t="shared" si="107"/>
        <v/>
      </c>
      <c r="N113" s="141" t="str">
        <f t="shared" si="107"/>
        <v/>
      </c>
      <c r="O113" s="141">
        <f t="shared" si="107"/>
        <v>7</v>
      </c>
      <c r="P113" s="141">
        <f t="shared" si="107"/>
        <v>7</v>
      </c>
      <c r="Q113" s="141">
        <f t="shared" si="107"/>
        <v>7</v>
      </c>
      <c r="R113" s="141" t="str">
        <f t="shared" si="107"/>
        <v/>
      </c>
      <c r="S113" s="141" t="str">
        <f t="shared" si="107"/>
        <v/>
      </c>
      <c r="T113" s="141">
        <f t="shared" si="107"/>
        <v>7</v>
      </c>
      <c r="U113" s="141">
        <f t="shared" si="107"/>
        <v>7</v>
      </c>
      <c r="V113" s="141" t="str">
        <f t="shared" si="107"/>
        <v/>
      </c>
      <c r="W113" s="141" t="str">
        <f t="shared" si="107"/>
        <v/>
      </c>
      <c r="X113" s="141" t="str">
        <f t="shared" si="107"/>
        <v/>
      </c>
      <c r="Y113" s="141">
        <f t="shared" si="107"/>
        <v>7</v>
      </c>
      <c r="Z113" s="141">
        <f t="shared" si="107"/>
        <v>7</v>
      </c>
      <c r="AA113" s="141" t="str">
        <f t="shared" si="107"/>
        <v/>
      </c>
      <c r="AB113" s="141" t="str">
        <f t="shared" si="107"/>
        <v/>
      </c>
      <c r="AC113" s="141">
        <f t="shared" si="107"/>
        <v>7</v>
      </c>
      <c r="AD113" s="141">
        <f t="shared" si="107"/>
        <v>7</v>
      </c>
      <c r="AE113" s="141" t="str">
        <f t="shared" si="107"/>
        <v/>
      </c>
      <c r="AF113" s="141" t="str">
        <f t="shared" si="107"/>
        <v/>
      </c>
      <c r="AG113" s="141" t="str">
        <f t="shared" si="107"/>
        <v/>
      </c>
      <c r="AH113" s="154" t="s">
        <v>12</v>
      </c>
      <c r="AI113" s="133"/>
      <c r="AJ113" s="170"/>
      <c r="AK113" s="133"/>
      <c r="AL113" s="133"/>
      <c r="BE113" s="1"/>
    </row>
    <row r="114" spans="1:57" ht="15.95" hidden="1" customHeight="1" x14ac:dyDescent="0.25">
      <c r="A114" s="166" t="s">
        <v>82</v>
      </c>
      <c r="B114" s="167" t="s">
        <v>30</v>
      </c>
      <c r="C114" s="141">
        <f t="shared" ref="C114:AG114" si="108">IF(C15=$R32,$V32*24,IF(C15=$R33,$V33*24,IF(C15=$R34,$V34*24,IF(C15=$R35,$V35*24,IF(C15=$R36,$V36*24,IF(C15=$R37,$V37*24,IF(C15=$R38,$V38*24,IF(C15=$R39,$V39*24,IF(C15=$R40,$V40*24,"")))))))))</f>
        <v>19</v>
      </c>
      <c r="D114" s="141" t="str">
        <f t="shared" si="108"/>
        <v/>
      </c>
      <c r="E114" s="141" t="str">
        <f t="shared" si="108"/>
        <v/>
      </c>
      <c r="F114" s="141">
        <f t="shared" si="108"/>
        <v>19</v>
      </c>
      <c r="G114" s="141">
        <f t="shared" si="108"/>
        <v>19</v>
      </c>
      <c r="H114" s="141" t="str">
        <f t="shared" si="108"/>
        <v/>
      </c>
      <c r="I114" s="141" t="str">
        <f t="shared" si="108"/>
        <v/>
      </c>
      <c r="J114" s="141" t="str">
        <f t="shared" si="108"/>
        <v/>
      </c>
      <c r="K114" s="141">
        <f t="shared" si="108"/>
        <v>19</v>
      </c>
      <c r="L114" s="141">
        <f t="shared" si="108"/>
        <v>19</v>
      </c>
      <c r="M114" s="141" t="str">
        <f t="shared" si="108"/>
        <v/>
      </c>
      <c r="N114" s="141" t="str">
        <f t="shared" si="108"/>
        <v/>
      </c>
      <c r="O114" s="141">
        <f t="shared" si="108"/>
        <v>19</v>
      </c>
      <c r="P114" s="141">
        <f t="shared" si="108"/>
        <v>19</v>
      </c>
      <c r="Q114" s="141">
        <f t="shared" si="108"/>
        <v>19</v>
      </c>
      <c r="R114" s="141" t="str">
        <f t="shared" si="108"/>
        <v/>
      </c>
      <c r="S114" s="141" t="str">
        <f t="shared" si="108"/>
        <v/>
      </c>
      <c r="T114" s="141">
        <f t="shared" si="108"/>
        <v>19</v>
      </c>
      <c r="U114" s="141">
        <f t="shared" si="108"/>
        <v>19</v>
      </c>
      <c r="V114" s="141" t="str">
        <f t="shared" si="108"/>
        <v/>
      </c>
      <c r="W114" s="141" t="str">
        <f t="shared" si="108"/>
        <v/>
      </c>
      <c r="X114" s="141" t="str">
        <f t="shared" si="108"/>
        <v/>
      </c>
      <c r="Y114" s="141">
        <f t="shared" si="108"/>
        <v>19</v>
      </c>
      <c r="Z114" s="141">
        <f t="shared" si="108"/>
        <v>19</v>
      </c>
      <c r="AA114" s="141" t="str">
        <f t="shared" si="108"/>
        <v/>
      </c>
      <c r="AB114" s="141" t="str">
        <f t="shared" si="108"/>
        <v/>
      </c>
      <c r="AC114" s="141">
        <f t="shared" si="108"/>
        <v>19</v>
      </c>
      <c r="AD114" s="141">
        <f t="shared" si="108"/>
        <v>19</v>
      </c>
      <c r="AE114" s="141" t="str">
        <f t="shared" si="108"/>
        <v/>
      </c>
      <c r="AF114" s="141" t="str">
        <f t="shared" si="108"/>
        <v/>
      </c>
      <c r="AG114" s="141" t="str">
        <f t="shared" si="108"/>
        <v/>
      </c>
      <c r="AH114" s="154" t="s">
        <v>12</v>
      </c>
      <c r="AI114" s="133"/>
      <c r="AJ114" s="170"/>
      <c r="AK114" s="133"/>
      <c r="AL114" s="133"/>
    </row>
    <row r="115" spans="1:57" ht="15.95" hidden="1" customHeight="1" x14ac:dyDescent="0.25">
      <c r="A115" s="153"/>
      <c r="B115" s="168" t="s">
        <v>34</v>
      </c>
      <c r="C115" s="169">
        <f t="shared" ref="C115:AD115" si="109">IF(C15=$R32,$BD32*24,IF(C15=$R33,$BD33*24,IF(C15=$R34,$BD34*24,IF(C15=$R35,$BD35*24,IF(C15=$R36,$BD36*24,IF(C15=$R37,$BD37*24,IF(C15=$R38,$BD38*24,IF(C15=$R39,$BD39*24,IF(C15=$R40,$BD40*24,"")))))))))</f>
        <v>0</v>
      </c>
      <c r="D115" s="169" t="str">
        <f t="shared" si="109"/>
        <v/>
      </c>
      <c r="E115" s="169" t="str">
        <f t="shared" si="109"/>
        <v/>
      </c>
      <c r="F115" s="169">
        <f t="shared" si="109"/>
        <v>0</v>
      </c>
      <c r="G115" s="169">
        <f t="shared" si="109"/>
        <v>0</v>
      </c>
      <c r="H115" s="169" t="str">
        <f t="shared" si="109"/>
        <v/>
      </c>
      <c r="I115" s="169" t="str">
        <f t="shared" si="109"/>
        <v/>
      </c>
      <c r="J115" s="169" t="str">
        <f t="shared" si="109"/>
        <v/>
      </c>
      <c r="K115" s="169">
        <f t="shared" si="109"/>
        <v>0</v>
      </c>
      <c r="L115" s="169">
        <f t="shared" si="109"/>
        <v>0</v>
      </c>
      <c r="M115" s="169" t="str">
        <f t="shared" si="109"/>
        <v/>
      </c>
      <c r="N115" s="169" t="str">
        <f t="shared" si="109"/>
        <v/>
      </c>
      <c r="O115" s="169">
        <f t="shared" si="109"/>
        <v>0</v>
      </c>
      <c r="P115" s="169">
        <f t="shared" si="109"/>
        <v>0</v>
      </c>
      <c r="Q115" s="169">
        <f t="shared" si="109"/>
        <v>0</v>
      </c>
      <c r="R115" s="169" t="str">
        <f t="shared" si="109"/>
        <v/>
      </c>
      <c r="S115" s="169" t="str">
        <f t="shared" si="109"/>
        <v/>
      </c>
      <c r="T115" s="169">
        <f t="shared" si="109"/>
        <v>0</v>
      </c>
      <c r="U115" s="169">
        <f t="shared" si="109"/>
        <v>0</v>
      </c>
      <c r="V115" s="169" t="str">
        <f t="shared" si="109"/>
        <v/>
      </c>
      <c r="W115" s="169" t="str">
        <f t="shared" si="109"/>
        <v/>
      </c>
      <c r="X115" s="169" t="str">
        <f t="shared" si="109"/>
        <v/>
      </c>
      <c r="Y115" s="169">
        <f t="shared" si="109"/>
        <v>0</v>
      </c>
      <c r="Z115" s="169">
        <f t="shared" si="109"/>
        <v>0</v>
      </c>
      <c r="AA115" s="169" t="str">
        <f t="shared" si="109"/>
        <v/>
      </c>
      <c r="AB115" s="169" t="str">
        <f t="shared" si="109"/>
        <v/>
      </c>
      <c r="AC115" s="169">
        <f t="shared" si="109"/>
        <v>0</v>
      </c>
      <c r="AD115" s="169">
        <f t="shared" si="109"/>
        <v>0</v>
      </c>
      <c r="AE115" s="169" t="str">
        <f>IF(AE15=$R32,$BD32*24,IF(AE15=$R33,$BD33*24,IF(AE15=$R34,$BD34*24,IF(AE15=$R35,$BD35*24,IF(AE15=$R36,$BD36*24,IF(AE15=$R37,$BD37*24,IF(AE15=$R38,$BD38*24,IF(AE15=$R39,$BD39*24,IF(AE15=$R40,$BD40*24,"")))))))))</f>
        <v/>
      </c>
      <c r="AF115" s="169" t="str">
        <f>IF(AF15=$R32,$BD32*24,IF(AF15=$R33,$BD33*24,IF(AF15=$R34,$BD34*24,IF(AF15=$R35,$BD35*24,IF(AF15=$R36,$BD36*24,IF(AF15=$R37,$BD37*24,IF(AF15=$R38,$BD38*24,IF(AF15=$R39,$BD39*24,IF(AF15=$R40,$BD40*24,"")))))))))</f>
        <v/>
      </c>
      <c r="AG115" s="169" t="str">
        <f>IF(AG15=$R32,$BD32*24,IF(AG15=$R33,$BD33*24,IF(AG15=$R34,$BD34*24,IF(AG15=$R35,$BD35*24,IF(AG15=$R36,$BD36*24,IF(AG15=$R37,$BD37*24,IF(AG15=$R38,$BD38*24,IF(AG15=$R39,$BD39*24,IF(AG15=$R40,$BD40*24,"")))))))))</f>
        <v/>
      </c>
      <c r="AH115" s="148">
        <f>SUM(C115:AG115)</f>
        <v>0</v>
      </c>
      <c r="AI115" s="133"/>
      <c r="AJ115" s="170"/>
      <c r="AK115" s="133"/>
      <c r="AL115" s="133"/>
    </row>
    <row r="116" spans="1:57" ht="15.95" hidden="1" customHeight="1" x14ac:dyDescent="0.25">
      <c r="A116" s="153"/>
      <c r="B116" s="167" t="s">
        <v>59</v>
      </c>
      <c r="C116" s="141">
        <f t="shared" ref="C116:AG116" si="110">IF(C15="V",$C36,IF(C15="PR",$C38,0))</f>
        <v>0</v>
      </c>
      <c r="D116" s="141">
        <f t="shared" si="110"/>
        <v>0</v>
      </c>
      <c r="E116" s="141">
        <f t="shared" si="110"/>
        <v>0</v>
      </c>
      <c r="F116" s="141">
        <f t="shared" si="110"/>
        <v>0</v>
      </c>
      <c r="G116" s="141">
        <f t="shared" si="110"/>
        <v>0</v>
      </c>
      <c r="H116" s="141">
        <f t="shared" si="110"/>
        <v>0</v>
      </c>
      <c r="I116" s="141">
        <f t="shared" si="110"/>
        <v>0</v>
      </c>
      <c r="J116" s="141">
        <f t="shared" si="110"/>
        <v>0</v>
      </c>
      <c r="K116" s="141">
        <f t="shared" si="110"/>
        <v>0</v>
      </c>
      <c r="L116" s="141">
        <f t="shared" si="110"/>
        <v>0</v>
      </c>
      <c r="M116" s="141">
        <f t="shared" si="110"/>
        <v>0</v>
      </c>
      <c r="N116" s="141">
        <f t="shared" si="110"/>
        <v>0</v>
      </c>
      <c r="O116" s="141">
        <f t="shared" si="110"/>
        <v>0</v>
      </c>
      <c r="P116" s="141">
        <f t="shared" si="110"/>
        <v>0</v>
      </c>
      <c r="Q116" s="141">
        <f t="shared" si="110"/>
        <v>0</v>
      </c>
      <c r="R116" s="141">
        <f t="shared" si="110"/>
        <v>0</v>
      </c>
      <c r="S116" s="141">
        <f t="shared" si="110"/>
        <v>0</v>
      </c>
      <c r="T116" s="141">
        <f t="shared" si="110"/>
        <v>0</v>
      </c>
      <c r="U116" s="141">
        <f t="shared" si="110"/>
        <v>0</v>
      </c>
      <c r="V116" s="141">
        <f t="shared" si="110"/>
        <v>0</v>
      </c>
      <c r="W116" s="141">
        <f t="shared" si="110"/>
        <v>0</v>
      </c>
      <c r="X116" s="141">
        <f t="shared" si="110"/>
        <v>0</v>
      </c>
      <c r="Y116" s="141">
        <f t="shared" si="110"/>
        <v>0</v>
      </c>
      <c r="Z116" s="141">
        <f t="shared" si="110"/>
        <v>0</v>
      </c>
      <c r="AA116" s="141">
        <f t="shared" si="110"/>
        <v>0</v>
      </c>
      <c r="AB116" s="141">
        <f t="shared" si="110"/>
        <v>0</v>
      </c>
      <c r="AC116" s="141">
        <f t="shared" si="110"/>
        <v>0</v>
      </c>
      <c r="AD116" s="141">
        <f t="shared" si="110"/>
        <v>0</v>
      </c>
      <c r="AE116" s="141">
        <f t="shared" si="110"/>
        <v>0</v>
      </c>
      <c r="AF116" s="141">
        <f t="shared" si="110"/>
        <v>0</v>
      </c>
      <c r="AG116" s="141">
        <f t="shared" si="110"/>
        <v>0</v>
      </c>
      <c r="AH116" s="226">
        <f>SUM(C116:AG116)</f>
        <v>0</v>
      </c>
      <c r="AI116" s="226"/>
      <c r="AJ116" s="230">
        <f>SUM(AH61+AH72+AH83+AH94+AH105+AH116)</f>
        <v>0</v>
      </c>
      <c r="AK116" s="230"/>
      <c r="AL116" s="133" t="s">
        <v>56</v>
      </c>
    </row>
    <row r="117" spans="1:57" ht="15.95" hidden="1" customHeight="1" x14ac:dyDescent="0.25">
      <c r="A117" s="150" t="s">
        <v>60</v>
      </c>
      <c r="B117" s="167" t="s">
        <v>61</v>
      </c>
      <c r="C117" s="151">
        <f t="shared" ref="C117:AD117" si="111">IF(C15=$R32,$BC32,IF(C15=$R33,$BC33,IF(C15=$R34,$BC34,IF(C15=$R35,$BC35,IF(C15=$R36,$BC36,IF(C15=$R37,$BC37,IF(C15=$R38,$BC38,IF(C15=$R39,$BC39,IF(C15=$R40,$BC40,0)))))))))</f>
        <v>11.999999999999998</v>
      </c>
      <c r="D117" s="151">
        <f t="shared" si="111"/>
        <v>0</v>
      </c>
      <c r="E117" s="151">
        <f t="shared" si="111"/>
        <v>0</v>
      </c>
      <c r="F117" s="151">
        <f t="shared" si="111"/>
        <v>11.999999999999998</v>
      </c>
      <c r="G117" s="151">
        <f t="shared" si="111"/>
        <v>11.999999999999998</v>
      </c>
      <c r="H117" s="151">
        <f t="shared" si="111"/>
        <v>0</v>
      </c>
      <c r="I117" s="151">
        <f t="shared" si="111"/>
        <v>0</v>
      </c>
      <c r="J117" s="151">
        <f t="shared" si="111"/>
        <v>0</v>
      </c>
      <c r="K117" s="151">
        <f t="shared" si="111"/>
        <v>11.999999999999998</v>
      </c>
      <c r="L117" s="151">
        <f t="shared" si="111"/>
        <v>11.999999999999998</v>
      </c>
      <c r="M117" s="151">
        <f t="shared" si="111"/>
        <v>0</v>
      </c>
      <c r="N117" s="151">
        <f t="shared" si="111"/>
        <v>0</v>
      </c>
      <c r="O117" s="151">
        <f t="shared" si="111"/>
        <v>11.999999999999998</v>
      </c>
      <c r="P117" s="151">
        <f t="shared" si="111"/>
        <v>11.999999999999998</v>
      </c>
      <c r="Q117" s="151">
        <f t="shared" si="111"/>
        <v>11.999999999999998</v>
      </c>
      <c r="R117" s="151">
        <f t="shared" si="111"/>
        <v>0</v>
      </c>
      <c r="S117" s="151">
        <f t="shared" si="111"/>
        <v>0</v>
      </c>
      <c r="T117" s="151">
        <f t="shared" si="111"/>
        <v>11.999999999999998</v>
      </c>
      <c r="U117" s="151">
        <f t="shared" si="111"/>
        <v>11.999999999999998</v>
      </c>
      <c r="V117" s="151">
        <f t="shared" si="111"/>
        <v>0</v>
      </c>
      <c r="W117" s="151">
        <f t="shared" si="111"/>
        <v>0</v>
      </c>
      <c r="X117" s="151">
        <f t="shared" si="111"/>
        <v>0</v>
      </c>
      <c r="Y117" s="151">
        <f t="shared" si="111"/>
        <v>11.999999999999998</v>
      </c>
      <c r="Z117" s="151">
        <f t="shared" si="111"/>
        <v>11.999999999999998</v>
      </c>
      <c r="AA117" s="151">
        <f t="shared" si="111"/>
        <v>0</v>
      </c>
      <c r="AB117" s="151">
        <f t="shared" si="111"/>
        <v>0</v>
      </c>
      <c r="AC117" s="151">
        <f t="shared" si="111"/>
        <v>11.999999999999998</v>
      </c>
      <c r="AD117" s="151">
        <f t="shared" si="111"/>
        <v>11.999999999999998</v>
      </c>
      <c r="AE117" s="151">
        <f>IF(AE15=$R32,$BC32,IF(AE15=$R33,$BC33,IF(AE15=$R34,$BC34,IF(AE15=$R35,$BC35,IF(AE15=$R36,$BC36,IF(AE15=$R37,$BC37,IF(AE15=$R38,$BC38,IF(AE15=$R39,$BC39,IF(AE15=$R40,$BC40,0)))))))))</f>
        <v>0</v>
      </c>
      <c r="AF117" s="151">
        <f>IF(AF15=$R32,$BC32,IF(AF15=$R33,$BC33,IF(AF15=$R34,$BC34,IF(AF15=$R35,$BC35,IF(AF15=$R36,$BC36,IF(AF15=$R37,$BC37,IF(AF15=$R38,$BC38,IF(AF15=$R39,$BC39,IF(AF15=$R40,$BC40,0)))))))))</f>
        <v>0</v>
      </c>
      <c r="AG117" s="151">
        <f>IF(AG15=$R32,$BC32,IF(AG15=$R33,$BC33,IF(AG15=$R34,$BC34,IF(AG15=$R35,$BC35,IF(AG15=$R36,$BC36,IF(AG15=$R37,$BC37,IF(AG15=$R38,$BC38,IF(AG15=$R39,$BC39,IF(AG15=$R40,$BC40,0)))))))))</f>
        <v>0</v>
      </c>
      <c r="AH117" s="226">
        <f>SUM(C117:AG117)</f>
        <v>167.99999999999997</v>
      </c>
      <c r="AI117" s="226"/>
      <c r="AJ117" s="174" t="s">
        <v>62</v>
      </c>
      <c r="AK117" s="133" t="s">
        <v>12</v>
      </c>
      <c r="AL117" s="133"/>
    </row>
    <row r="118" spans="1:57" ht="15.95" hidden="1" customHeight="1" x14ac:dyDescent="0.25">
      <c r="A118" s="153" t="s">
        <v>48</v>
      </c>
      <c r="B118" s="149" t="s">
        <v>63</v>
      </c>
      <c r="C118" s="141">
        <f t="shared" ref="C118:AG118" si="112">IF(C46=1,IF(C113&lt;C114,C117,0))</f>
        <v>11.999999999999998</v>
      </c>
      <c r="D118" s="141" t="b">
        <f t="shared" si="112"/>
        <v>0</v>
      </c>
      <c r="E118" s="141" t="b">
        <f t="shared" si="112"/>
        <v>0</v>
      </c>
      <c r="F118" s="141" t="b">
        <f t="shared" si="112"/>
        <v>0</v>
      </c>
      <c r="G118" s="141" t="b">
        <f t="shared" si="112"/>
        <v>0</v>
      </c>
      <c r="H118" s="141" t="b">
        <f t="shared" si="112"/>
        <v>0</v>
      </c>
      <c r="I118" s="141">
        <f t="shared" si="112"/>
        <v>0</v>
      </c>
      <c r="J118" s="141">
        <f t="shared" si="112"/>
        <v>0</v>
      </c>
      <c r="K118" s="141" t="b">
        <f t="shared" si="112"/>
        <v>0</v>
      </c>
      <c r="L118" s="141" t="b">
        <f t="shared" si="112"/>
        <v>0</v>
      </c>
      <c r="M118" s="141" t="b">
        <f t="shared" si="112"/>
        <v>0</v>
      </c>
      <c r="N118" s="141" t="b">
        <f t="shared" si="112"/>
        <v>0</v>
      </c>
      <c r="O118" s="141" t="b">
        <f t="shared" si="112"/>
        <v>0</v>
      </c>
      <c r="P118" s="141">
        <f t="shared" si="112"/>
        <v>11.999999999999998</v>
      </c>
      <c r="Q118" s="141">
        <f t="shared" si="112"/>
        <v>11.999999999999998</v>
      </c>
      <c r="R118" s="141" t="b">
        <f t="shared" si="112"/>
        <v>0</v>
      </c>
      <c r="S118" s="141" t="b">
        <f t="shared" si="112"/>
        <v>0</v>
      </c>
      <c r="T118" s="141" t="b">
        <f t="shared" si="112"/>
        <v>0</v>
      </c>
      <c r="U118" s="141" t="b">
        <f t="shared" si="112"/>
        <v>0</v>
      </c>
      <c r="V118" s="141" t="b">
        <f t="shared" si="112"/>
        <v>0</v>
      </c>
      <c r="W118" s="141">
        <f t="shared" si="112"/>
        <v>0</v>
      </c>
      <c r="X118" s="141">
        <f t="shared" si="112"/>
        <v>0</v>
      </c>
      <c r="Y118" s="141" t="b">
        <f t="shared" si="112"/>
        <v>0</v>
      </c>
      <c r="Z118" s="141" t="b">
        <f t="shared" si="112"/>
        <v>0</v>
      </c>
      <c r="AA118" s="141" t="b">
        <f t="shared" si="112"/>
        <v>0</v>
      </c>
      <c r="AB118" s="141" t="b">
        <f t="shared" si="112"/>
        <v>0</v>
      </c>
      <c r="AC118" s="141" t="b">
        <f t="shared" si="112"/>
        <v>0</v>
      </c>
      <c r="AD118" s="141">
        <f t="shared" si="112"/>
        <v>11.999999999999998</v>
      </c>
      <c r="AE118" s="141" t="b">
        <f t="shared" si="112"/>
        <v>0</v>
      </c>
      <c r="AF118" s="141" t="b">
        <f t="shared" si="112"/>
        <v>0</v>
      </c>
      <c r="AG118" s="141" t="b">
        <f t="shared" si="112"/>
        <v>0</v>
      </c>
      <c r="AH118" s="154" t="s">
        <v>12</v>
      </c>
      <c r="AI118" s="133"/>
      <c r="AJ118" s="170"/>
      <c r="AK118" s="133"/>
      <c r="AL118" s="133"/>
    </row>
    <row r="119" spans="1:57" ht="15.95" hidden="1" customHeight="1" x14ac:dyDescent="0.25">
      <c r="A119" s="176"/>
      <c r="B119" s="149" t="s">
        <v>64</v>
      </c>
      <c r="C119" s="141">
        <f t="shared" ref="C119:AG119" si="113">IF(C46=1,IF(C113&gt;C114,24-C113,0),0)</f>
        <v>0</v>
      </c>
      <c r="D119" s="141">
        <f t="shared" si="113"/>
        <v>0</v>
      </c>
      <c r="E119" s="141">
        <f t="shared" si="113"/>
        <v>0</v>
      </c>
      <c r="F119" s="141">
        <f t="shared" si="113"/>
        <v>0</v>
      </c>
      <c r="G119" s="141">
        <f t="shared" si="113"/>
        <v>0</v>
      </c>
      <c r="H119" s="141">
        <f t="shared" si="113"/>
        <v>0</v>
      </c>
      <c r="I119" s="141">
        <f t="shared" si="113"/>
        <v>0</v>
      </c>
      <c r="J119" s="141">
        <f t="shared" si="113"/>
        <v>0</v>
      </c>
      <c r="K119" s="141">
        <f t="shared" si="113"/>
        <v>0</v>
      </c>
      <c r="L119" s="141">
        <f t="shared" si="113"/>
        <v>0</v>
      </c>
      <c r="M119" s="141">
        <f t="shared" si="113"/>
        <v>0</v>
      </c>
      <c r="N119" s="141">
        <f t="shared" si="113"/>
        <v>0</v>
      </c>
      <c r="O119" s="141">
        <f t="shared" si="113"/>
        <v>0</v>
      </c>
      <c r="P119" s="141">
        <f t="shared" si="113"/>
        <v>0</v>
      </c>
      <c r="Q119" s="141">
        <f t="shared" si="113"/>
        <v>0</v>
      </c>
      <c r="R119" s="141">
        <f t="shared" si="113"/>
        <v>0</v>
      </c>
      <c r="S119" s="141">
        <f t="shared" si="113"/>
        <v>0</v>
      </c>
      <c r="T119" s="141">
        <f t="shared" si="113"/>
        <v>0</v>
      </c>
      <c r="U119" s="141">
        <f t="shared" si="113"/>
        <v>0</v>
      </c>
      <c r="V119" s="141">
        <f t="shared" si="113"/>
        <v>0</v>
      </c>
      <c r="W119" s="141">
        <f t="shared" si="113"/>
        <v>0</v>
      </c>
      <c r="X119" s="141">
        <f t="shared" si="113"/>
        <v>0</v>
      </c>
      <c r="Y119" s="141">
        <f t="shared" si="113"/>
        <v>0</v>
      </c>
      <c r="Z119" s="141">
        <f t="shared" si="113"/>
        <v>0</v>
      </c>
      <c r="AA119" s="141">
        <f t="shared" si="113"/>
        <v>0</v>
      </c>
      <c r="AB119" s="141">
        <f t="shared" si="113"/>
        <v>0</v>
      </c>
      <c r="AC119" s="141">
        <f t="shared" si="113"/>
        <v>0</v>
      </c>
      <c r="AD119" s="141">
        <f t="shared" si="113"/>
        <v>0</v>
      </c>
      <c r="AE119" s="141">
        <f t="shared" si="113"/>
        <v>0</v>
      </c>
      <c r="AF119" s="141">
        <f t="shared" si="113"/>
        <v>0</v>
      </c>
      <c r="AG119" s="141">
        <f t="shared" si="113"/>
        <v>0</v>
      </c>
      <c r="AH119" s="154" t="s">
        <v>12</v>
      </c>
      <c r="AI119" s="133"/>
      <c r="AJ119" s="170"/>
      <c r="AK119" s="133"/>
      <c r="AL119" s="133"/>
    </row>
    <row r="120" spans="1:57" ht="15.95" hidden="1" customHeight="1" x14ac:dyDescent="0.25">
      <c r="A120" s="176"/>
      <c r="B120" s="149" t="s">
        <v>65</v>
      </c>
      <c r="C120" s="141">
        <f t="shared" ref="C120:AG120" si="114">IF(D46=1,IF(C113&gt;C114,C114,0),0)</f>
        <v>0</v>
      </c>
      <c r="D120" s="141">
        <f t="shared" si="114"/>
        <v>0</v>
      </c>
      <c r="E120" s="141">
        <f t="shared" si="114"/>
        <v>0</v>
      </c>
      <c r="F120" s="141">
        <f t="shared" si="114"/>
        <v>0</v>
      </c>
      <c r="G120" s="141">
        <f t="shared" si="114"/>
        <v>0</v>
      </c>
      <c r="H120" s="141">
        <f t="shared" si="114"/>
        <v>0</v>
      </c>
      <c r="I120" s="141">
        <f t="shared" si="114"/>
        <v>0</v>
      </c>
      <c r="J120" s="141">
        <f t="shared" si="114"/>
        <v>0</v>
      </c>
      <c r="K120" s="141">
        <f t="shared" si="114"/>
        <v>0</v>
      </c>
      <c r="L120" s="141">
        <f t="shared" si="114"/>
        <v>0</v>
      </c>
      <c r="M120" s="141">
        <f t="shared" si="114"/>
        <v>0</v>
      </c>
      <c r="N120" s="141">
        <f t="shared" si="114"/>
        <v>0</v>
      </c>
      <c r="O120" s="141">
        <f t="shared" si="114"/>
        <v>0</v>
      </c>
      <c r="P120" s="141">
        <f t="shared" si="114"/>
        <v>0</v>
      </c>
      <c r="Q120" s="141">
        <f t="shared" si="114"/>
        <v>0</v>
      </c>
      <c r="R120" s="141">
        <f t="shared" si="114"/>
        <v>0</v>
      </c>
      <c r="S120" s="141">
        <f t="shared" si="114"/>
        <v>0</v>
      </c>
      <c r="T120" s="141">
        <f t="shared" si="114"/>
        <v>0</v>
      </c>
      <c r="U120" s="141">
        <f t="shared" si="114"/>
        <v>0</v>
      </c>
      <c r="V120" s="141">
        <f t="shared" si="114"/>
        <v>0</v>
      </c>
      <c r="W120" s="141">
        <f t="shared" si="114"/>
        <v>0</v>
      </c>
      <c r="X120" s="141">
        <f>IF(Y46=1,IF(X113&gt;X114,X114,0),0)</f>
        <v>0</v>
      </c>
      <c r="Y120" s="141">
        <f t="shared" si="114"/>
        <v>0</v>
      </c>
      <c r="Z120" s="141">
        <f t="shared" si="114"/>
        <v>0</v>
      </c>
      <c r="AA120" s="141">
        <f t="shared" si="114"/>
        <v>0</v>
      </c>
      <c r="AB120" s="141">
        <f t="shared" si="114"/>
        <v>0</v>
      </c>
      <c r="AC120" s="141">
        <f t="shared" si="114"/>
        <v>0</v>
      </c>
      <c r="AD120" s="141">
        <f t="shared" si="114"/>
        <v>0</v>
      </c>
      <c r="AE120" s="141">
        <f t="shared" si="114"/>
        <v>0</v>
      </c>
      <c r="AF120" s="141">
        <f t="shared" si="114"/>
        <v>0</v>
      </c>
      <c r="AG120" s="141">
        <f t="shared" si="114"/>
        <v>0</v>
      </c>
      <c r="AH120" s="154" t="s">
        <v>12</v>
      </c>
      <c r="AI120" s="133"/>
      <c r="AJ120" s="170"/>
      <c r="AK120" s="133"/>
      <c r="AL120" s="133"/>
    </row>
    <row r="121" spans="1:57" ht="15.95" hidden="1" customHeight="1" x14ac:dyDescent="0.25">
      <c r="A121" s="176"/>
      <c r="B121" s="149" t="s">
        <v>67</v>
      </c>
      <c r="C121" s="171">
        <f t="shared" ref="C121:AG121" si="115">SUM(C118:C120)</f>
        <v>11.999999999999998</v>
      </c>
      <c r="D121" s="171">
        <f t="shared" si="115"/>
        <v>0</v>
      </c>
      <c r="E121" s="171">
        <f t="shared" si="115"/>
        <v>0</v>
      </c>
      <c r="F121" s="171">
        <f t="shared" si="115"/>
        <v>0</v>
      </c>
      <c r="G121" s="171">
        <f t="shared" si="115"/>
        <v>0</v>
      </c>
      <c r="H121" s="171">
        <f t="shared" si="115"/>
        <v>0</v>
      </c>
      <c r="I121" s="171">
        <f t="shared" si="115"/>
        <v>0</v>
      </c>
      <c r="J121" s="171">
        <f t="shared" si="115"/>
        <v>0</v>
      </c>
      <c r="K121" s="171">
        <f t="shared" si="115"/>
        <v>0</v>
      </c>
      <c r="L121" s="171">
        <f t="shared" si="115"/>
        <v>0</v>
      </c>
      <c r="M121" s="171">
        <f t="shared" si="115"/>
        <v>0</v>
      </c>
      <c r="N121" s="171">
        <f t="shared" si="115"/>
        <v>0</v>
      </c>
      <c r="O121" s="171">
        <f t="shared" si="115"/>
        <v>0</v>
      </c>
      <c r="P121" s="171">
        <f t="shared" si="115"/>
        <v>11.999999999999998</v>
      </c>
      <c r="Q121" s="171">
        <f t="shared" si="115"/>
        <v>11.999999999999998</v>
      </c>
      <c r="R121" s="171">
        <f t="shared" si="115"/>
        <v>0</v>
      </c>
      <c r="S121" s="171">
        <f t="shared" si="115"/>
        <v>0</v>
      </c>
      <c r="T121" s="171">
        <f t="shared" si="115"/>
        <v>0</v>
      </c>
      <c r="U121" s="171">
        <f t="shared" si="115"/>
        <v>0</v>
      </c>
      <c r="V121" s="171">
        <f t="shared" si="115"/>
        <v>0</v>
      </c>
      <c r="W121" s="171">
        <f t="shared" si="115"/>
        <v>0</v>
      </c>
      <c r="X121" s="171">
        <f t="shared" si="115"/>
        <v>0</v>
      </c>
      <c r="Y121" s="171">
        <f t="shared" si="115"/>
        <v>0</v>
      </c>
      <c r="Z121" s="171">
        <f t="shared" si="115"/>
        <v>0</v>
      </c>
      <c r="AA121" s="171">
        <f t="shared" si="115"/>
        <v>0</v>
      </c>
      <c r="AB121" s="171">
        <f t="shared" si="115"/>
        <v>0</v>
      </c>
      <c r="AC121" s="171">
        <f t="shared" si="115"/>
        <v>0</v>
      </c>
      <c r="AD121" s="171">
        <f t="shared" si="115"/>
        <v>11.999999999999998</v>
      </c>
      <c r="AE121" s="171">
        <f t="shared" si="115"/>
        <v>0</v>
      </c>
      <c r="AF121" s="171">
        <f t="shared" si="115"/>
        <v>0</v>
      </c>
      <c r="AG121" s="171">
        <f t="shared" si="115"/>
        <v>0</v>
      </c>
      <c r="AH121" s="154" t="s">
        <v>12</v>
      </c>
      <c r="AI121" s="133"/>
      <c r="AJ121" s="170"/>
      <c r="AK121" s="133"/>
      <c r="AL121" s="133"/>
    </row>
    <row r="122" spans="1:57" ht="15.95" hidden="1" customHeight="1" x14ac:dyDescent="0.25">
      <c r="A122" s="177"/>
      <c r="B122" s="160" t="s">
        <v>68</v>
      </c>
      <c r="C122" s="182">
        <f t="shared" ref="C122:AG122" si="116">IF(C15="V",IF(C15="",0,1),0)</f>
        <v>0</v>
      </c>
      <c r="D122" s="182">
        <f t="shared" si="116"/>
        <v>0</v>
      </c>
      <c r="E122" s="182">
        <f t="shared" si="116"/>
        <v>0</v>
      </c>
      <c r="F122" s="182">
        <f t="shared" si="116"/>
        <v>0</v>
      </c>
      <c r="G122" s="182">
        <f t="shared" si="116"/>
        <v>0</v>
      </c>
      <c r="H122" s="182">
        <f t="shared" si="116"/>
        <v>0</v>
      </c>
      <c r="I122" s="182">
        <f t="shared" si="116"/>
        <v>0</v>
      </c>
      <c r="J122" s="182">
        <f t="shared" si="116"/>
        <v>0</v>
      </c>
      <c r="K122" s="182">
        <f t="shared" si="116"/>
        <v>0</v>
      </c>
      <c r="L122" s="182">
        <f t="shared" si="116"/>
        <v>0</v>
      </c>
      <c r="M122" s="182">
        <f t="shared" si="116"/>
        <v>0</v>
      </c>
      <c r="N122" s="182">
        <f t="shared" si="116"/>
        <v>0</v>
      </c>
      <c r="O122" s="182">
        <f t="shared" si="116"/>
        <v>0</v>
      </c>
      <c r="P122" s="182">
        <f t="shared" si="116"/>
        <v>0</v>
      </c>
      <c r="Q122" s="182">
        <f t="shared" si="116"/>
        <v>0</v>
      </c>
      <c r="R122" s="182">
        <f t="shared" si="116"/>
        <v>0</v>
      </c>
      <c r="S122" s="182">
        <f t="shared" si="116"/>
        <v>0</v>
      </c>
      <c r="T122" s="182">
        <f t="shared" si="116"/>
        <v>0</v>
      </c>
      <c r="U122" s="182">
        <f t="shared" si="116"/>
        <v>0</v>
      </c>
      <c r="V122" s="182">
        <f t="shared" si="116"/>
        <v>0</v>
      </c>
      <c r="W122" s="182">
        <f t="shared" si="116"/>
        <v>0</v>
      </c>
      <c r="X122" s="182">
        <f t="shared" si="116"/>
        <v>0</v>
      </c>
      <c r="Y122" s="182">
        <f t="shared" si="116"/>
        <v>0</v>
      </c>
      <c r="Z122" s="182">
        <f t="shared" si="116"/>
        <v>0</v>
      </c>
      <c r="AA122" s="182">
        <f t="shared" si="116"/>
        <v>0</v>
      </c>
      <c r="AB122" s="182">
        <f t="shared" si="116"/>
        <v>0</v>
      </c>
      <c r="AC122" s="182">
        <f t="shared" si="116"/>
        <v>0</v>
      </c>
      <c r="AD122" s="182">
        <f t="shared" si="116"/>
        <v>0</v>
      </c>
      <c r="AE122" s="182">
        <f t="shared" si="116"/>
        <v>0</v>
      </c>
      <c r="AF122" s="182">
        <f t="shared" si="116"/>
        <v>0</v>
      </c>
      <c r="AG122" s="182">
        <f t="shared" si="116"/>
        <v>0</v>
      </c>
      <c r="AH122" s="154" t="s">
        <v>12</v>
      </c>
      <c r="AI122" s="133"/>
      <c r="AJ122" s="170"/>
      <c r="AK122" s="133"/>
      <c r="AL122" s="133"/>
    </row>
    <row r="123" spans="1:57" ht="15.95" hidden="1" customHeight="1" x14ac:dyDescent="0.25">
      <c r="A123" s="180"/>
      <c r="B123" s="181" t="s">
        <v>16</v>
      </c>
      <c r="C123" s="182">
        <f t="shared" ref="C123:AG123" si="117">IF(C15="PR",IF(C15="",0,1),0)</f>
        <v>0</v>
      </c>
      <c r="D123" s="182">
        <f t="shared" si="117"/>
        <v>0</v>
      </c>
      <c r="E123" s="182">
        <f t="shared" si="117"/>
        <v>0</v>
      </c>
      <c r="F123" s="182">
        <f t="shared" si="117"/>
        <v>0</v>
      </c>
      <c r="G123" s="182">
        <f t="shared" si="117"/>
        <v>0</v>
      </c>
      <c r="H123" s="182">
        <f t="shared" si="117"/>
        <v>0</v>
      </c>
      <c r="I123" s="182">
        <f t="shared" si="117"/>
        <v>0</v>
      </c>
      <c r="J123" s="182">
        <f t="shared" si="117"/>
        <v>0</v>
      </c>
      <c r="K123" s="182">
        <f t="shared" si="117"/>
        <v>0</v>
      </c>
      <c r="L123" s="182">
        <f t="shared" si="117"/>
        <v>0</v>
      </c>
      <c r="M123" s="182">
        <f t="shared" si="117"/>
        <v>0</v>
      </c>
      <c r="N123" s="182">
        <f t="shared" si="117"/>
        <v>0</v>
      </c>
      <c r="O123" s="182">
        <f t="shared" si="117"/>
        <v>0</v>
      </c>
      <c r="P123" s="182">
        <f t="shared" si="117"/>
        <v>0</v>
      </c>
      <c r="Q123" s="182">
        <f t="shared" si="117"/>
        <v>0</v>
      </c>
      <c r="R123" s="182">
        <f t="shared" si="117"/>
        <v>0</v>
      </c>
      <c r="S123" s="182">
        <f t="shared" si="117"/>
        <v>0</v>
      </c>
      <c r="T123" s="182">
        <f t="shared" si="117"/>
        <v>0</v>
      </c>
      <c r="U123" s="182">
        <f t="shared" si="117"/>
        <v>0</v>
      </c>
      <c r="V123" s="182">
        <f t="shared" si="117"/>
        <v>0</v>
      </c>
      <c r="W123" s="182">
        <f t="shared" si="117"/>
        <v>0</v>
      </c>
      <c r="X123" s="182">
        <f t="shared" si="117"/>
        <v>0</v>
      </c>
      <c r="Y123" s="182">
        <f t="shared" si="117"/>
        <v>0</v>
      </c>
      <c r="Z123" s="182">
        <f t="shared" si="117"/>
        <v>0</v>
      </c>
      <c r="AA123" s="182">
        <f t="shared" si="117"/>
        <v>0</v>
      </c>
      <c r="AB123" s="182">
        <f t="shared" si="117"/>
        <v>0</v>
      </c>
      <c r="AC123" s="182">
        <f t="shared" si="117"/>
        <v>0</v>
      </c>
      <c r="AD123" s="182">
        <f t="shared" si="117"/>
        <v>0</v>
      </c>
      <c r="AE123" s="182">
        <f t="shared" si="117"/>
        <v>0</v>
      </c>
      <c r="AF123" s="182">
        <f t="shared" si="117"/>
        <v>0</v>
      </c>
      <c r="AG123" s="182">
        <f t="shared" si="117"/>
        <v>0</v>
      </c>
      <c r="AH123" s="227">
        <f>SUM(C123:AG123)</f>
        <v>0</v>
      </c>
      <c r="AI123" s="227"/>
      <c r="AJ123" s="174" t="s">
        <v>69</v>
      </c>
      <c r="AK123" s="133"/>
      <c r="AL123" s="133"/>
    </row>
    <row r="124" spans="1:57" ht="15.95" hidden="1" customHeight="1" x14ac:dyDescent="0.25">
      <c r="A124" s="164" t="s">
        <v>83</v>
      </c>
      <c r="B124" s="165" t="s">
        <v>29</v>
      </c>
      <c r="C124" s="141" t="str">
        <f t="shared" ref="C124:AG124" si="118">IF(C16=$R32,$S32*24,IF(C16=$R33,$S33*24,IF(C16=$R34,$S34*24,IF(C16=$R35,$S35*24,IF(C16=$R36,$S36*24,IF(C16=$R37,$S37*24,IF(C16=$R38,$S38*24,IF(C16=$R39,$S39*24,IF(C16=$R40,$S40*24,"")))))))))</f>
        <v/>
      </c>
      <c r="D124" s="141" t="str">
        <f t="shared" si="118"/>
        <v/>
      </c>
      <c r="E124" s="141" t="str">
        <f t="shared" si="118"/>
        <v/>
      </c>
      <c r="F124" s="141" t="str">
        <f t="shared" si="118"/>
        <v/>
      </c>
      <c r="G124" s="141" t="str">
        <f t="shared" si="118"/>
        <v/>
      </c>
      <c r="H124" s="141" t="str">
        <f t="shared" si="118"/>
        <v/>
      </c>
      <c r="I124" s="141" t="str">
        <f t="shared" si="118"/>
        <v/>
      </c>
      <c r="J124" s="141" t="str">
        <f t="shared" si="118"/>
        <v/>
      </c>
      <c r="K124" s="141" t="str">
        <f t="shared" si="118"/>
        <v/>
      </c>
      <c r="L124" s="141" t="str">
        <f t="shared" si="118"/>
        <v/>
      </c>
      <c r="M124" s="141" t="str">
        <f t="shared" si="118"/>
        <v/>
      </c>
      <c r="N124" s="141" t="str">
        <f t="shared" si="118"/>
        <v/>
      </c>
      <c r="O124" s="141" t="str">
        <f t="shared" si="118"/>
        <v/>
      </c>
      <c r="P124" s="141" t="str">
        <f t="shared" si="118"/>
        <v/>
      </c>
      <c r="Q124" s="141" t="str">
        <f t="shared" si="118"/>
        <v/>
      </c>
      <c r="R124" s="141" t="str">
        <f t="shared" si="118"/>
        <v/>
      </c>
      <c r="S124" s="141" t="str">
        <f t="shared" si="118"/>
        <v/>
      </c>
      <c r="T124" s="141" t="str">
        <f t="shared" si="118"/>
        <v/>
      </c>
      <c r="U124" s="141" t="str">
        <f t="shared" si="118"/>
        <v/>
      </c>
      <c r="V124" s="141" t="str">
        <f t="shared" si="118"/>
        <v/>
      </c>
      <c r="W124" s="141" t="str">
        <f t="shared" si="118"/>
        <v/>
      </c>
      <c r="X124" s="141" t="str">
        <f t="shared" si="118"/>
        <v/>
      </c>
      <c r="Y124" s="141" t="str">
        <f t="shared" si="118"/>
        <v/>
      </c>
      <c r="Z124" s="141" t="str">
        <f t="shared" si="118"/>
        <v/>
      </c>
      <c r="AA124" s="141" t="str">
        <f t="shared" si="118"/>
        <v/>
      </c>
      <c r="AB124" s="141" t="str">
        <f t="shared" si="118"/>
        <v/>
      </c>
      <c r="AC124" s="141" t="str">
        <f t="shared" si="118"/>
        <v/>
      </c>
      <c r="AD124" s="141" t="str">
        <f t="shared" si="118"/>
        <v/>
      </c>
      <c r="AE124" s="141" t="str">
        <f t="shared" si="118"/>
        <v/>
      </c>
      <c r="AF124" s="141" t="str">
        <f t="shared" si="118"/>
        <v/>
      </c>
      <c r="AG124" s="141" t="str">
        <f t="shared" si="118"/>
        <v/>
      </c>
      <c r="AH124" s="154" t="s">
        <v>12</v>
      </c>
      <c r="AI124" s="133"/>
      <c r="AJ124" s="170"/>
      <c r="AK124" s="133"/>
      <c r="AL124" s="133"/>
    </row>
    <row r="125" spans="1:57" ht="15.95" hidden="1" customHeight="1" x14ac:dyDescent="0.25">
      <c r="A125" s="166" t="s">
        <v>84</v>
      </c>
      <c r="B125" s="167" t="s">
        <v>30</v>
      </c>
      <c r="C125" s="141" t="str">
        <f t="shared" ref="C125:AG125" si="119">IF(C16=$R32,$V32*24,IF(C16=$R33,$V33*24,IF(C16=$R34,$V34*24,IF(C16=$R35,$V35*24,IF(C16=$R36,$V36*24,IF(C16=$R37,$V37*24,IF(C16=$R38,$V38*24,IF(C16=$R39,$V39*24,IF(C16=$R40,$V40*24,"")))))))))</f>
        <v/>
      </c>
      <c r="D125" s="141" t="str">
        <f t="shared" si="119"/>
        <v/>
      </c>
      <c r="E125" s="141" t="str">
        <f t="shared" si="119"/>
        <v/>
      </c>
      <c r="F125" s="141" t="str">
        <f t="shared" si="119"/>
        <v/>
      </c>
      <c r="G125" s="141" t="str">
        <f t="shared" si="119"/>
        <v/>
      </c>
      <c r="H125" s="141" t="str">
        <f t="shared" si="119"/>
        <v/>
      </c>
      <c r="I125" s="141" t="str">
        <f t="shared" si="119"/>
        <v/>
      </c>
      <c r="J125" s="141" t="str">
        <f t="shared" si="119"/>
        <v/>
      </c>
      <c r="K125" s="141" t="str">
        <f t="shared" si="119"/>
        <v/>
      </c>
      <c r="L125" s="141" t="str">
        <f t="shared" si="119"/>
        <v/>
      </c>
      <c r="M125" s="141" t="str">
        <f t="shared" si="119"/>
        <v/>
      </c>
      <c r="N125" s="141" t="str">
        <f t="shared" si="119"/>
        <v/>
      </c>
      <c r="O125" s="141" t="str">
        <f t="shared" si="119"/>
        <v/>
      </c>
      <c r="P125" s="141" t="str">
        <f t="shared" si="119"/>
        <v/>
      </c>
      <c r="Q125" s="141" t="str">
        <f t="shared" si="119"/>
        <v/>
      </c>
      <c r="R125" s="141" t="str">
        <f t="shared" si="119"/>
        <v/>
      </c>
      <c r="S125" s="141" t="str">
        <f t="shared" si="119"/>
        <v/>
      </c>
      <c r="T125" s="141" t="str">
        <f t="shared" si="119"/>
        <v/>
      </c>
      <c r="U125" s="141" t="str">
        <f t="shared" si="119"/>
        <v/>
      </c>
      <c r="V125" s="141" t="str">
        <f t="shared" si="119"/>
        <v/>
      </c>
      <c r="W125" s="141" t="str">
        <f t="shared" si="119"/>
        <v/>
      </c>
      <c r="X125" s="141" t="str">
        <f t="shared" si="119"/>
        <v/>
      </c>
      <c r="Y125" s="141" t="str">
        <f t="shared" si="119"/>
        <v/>
      </c>
      <c r="Z125" s="141" t="str">
        <f t="shared" si="119"/>
        <v/>
      </c>
      <c r="AA125" s="141" t="str">
        <f t="shared" si="119"/>
        <v/>
      </c>
      <c r="AB125" s="141" t="str">
        <f t="shared" si="119"/>
        <v/>
      </c>
      <c r="AC125" s="141" t="str">
        <f t="shared" si="119"/>
        <v/>
      </c>
      <c r="AD125" s="141" t="str">
        <f t="shared" si="119"/>
        <v/>
      </c>
      <c r="AE125" s="141" t="str">
        <f t="shared" si="119"/>
        <v/>
      </c>
      <c r="AF125" s="141" t="str">
        <f t="shared" si="119"/>
        <v/>
      </c>
      <c r="AG125" s="141" t="str">
        <f t="shared" si="119"/>
        <v/>
      </c>
      <c r="AH125" s="154" t="s">
        <v>12</v>
      </c>
      <c r="AI125" s="133"/>
      <c r="AJ125" s="170"/>
      <c r="AK125" s="133"/>
      <c r="AL125" s="133"/>
    </row>
    <row r="126" spans="1:57" ht="15.95" hidden="1" customHeight="1" x14ac:dyDescent="0.25">
      <c r="A126" s="153"/>
      <c r="B126" s="168" t="s">
        <v>34</v>
      </c>
      <c r="C126" s="169" t="str">
        <f t="shared" ref="C126:AD126" si="120">IF(C16=$R32,$BD32*24,IF(C16=$R33,$BD33*24,IF(C16=$R34,$BD34*24,IF(C16=$R35,$BD35*24,IF(C16=$R36,$BD36*24,IF(C16=$R37,$BD37*24,IF(C16=$R38,$BD38*24,IF(C16=$R39,$BD39*24,IF(C16=$R40,$BD40*24,"")))))))))</f>
        <v/>
      </c>
      <c r="D126" s="169" t="str">
        <f t="shared" si="120"/>
        <v/>
      </c>
      <c r="E126" s="169" t="str">
        <f t="shared" si="120"/>
        <v/>
      </c>
      <c r="F126" s="169" t="str">
        <f t="shared" si="120"/>
        <v/>
      </c>
      <c r="G126" s="169" t="str">
        <f t="shared" si="120"/>
        <v/>
      </c>
      <c r="H126" s="169" t="str">
        <f t="shared" si="120"/>
        <v/>
      </c>
      <c r="I126" s="169" t="str">
        <f t="shared" si="120"/>
        <v/>
      </c>
      <c r="J126" s="169" t="str">
        <f t="shared" si="120"/>
        <v/>
      </c>
      <c r="K126" s="169" t="str">
        <f t="shared" si="120"/>
        <v/>
      </c>
      <c r="L126" s="169" t="str">
        <f t="shared" si="120"/>
        <v/>
      </c>
      <c r="M126" s="169" t="str">
        <f t="shared" si="120"/>
        <v/>
      </c>
      <c r="N126" s="169" t="str">
        <f t="shared" si="120"/>
        <v/>
      </c>
      <c r="O126" s="169" t="str">
        <f t="shared" si="120"/>
        <v/>
      </c>
      <c r="P126" s="169" t="str">
        <f t="shared" si="120"/>
        <v/>
      </c>
      <c r="Q126" s="169" t="str">
        <f t="shared" si="120"/>
        <v/>
      </c>
      <c r="R126" s="169" t="str">
        <f t="shared" si="120"/>
        <v/>
      </c>
      <c r="S126" s="169" t="str">
        <f t="shared" si="120"/>
        <v/>
      </c>
      <c r="T126" s="169" t="str">
        <f t="shared" si="120"/>
        <v/>
      </c>
      <c r="U126" s="169" t="str">
        <f t="shared" si="120"/>
        <v/>
      </c>
      <c r="V126" s="169" t="str">
        <f t="shared" si="120"/>
        <v/>
      </c>
      <c r="W126" s="169" t="str">
        <f t="shared" si="120"/>
        <v/>
      </c>
      <c r="X126" s="169" t="str">
        <f t="shared" si="120"/>
        <v/>
      </c>
      <c r="Y126" s="169" t="str">
        <f t="shared" si="120"/>
        <v/>
      </c>
      <c r="Z126" s="169" t="str">
        <f t="shared" si="120"/>
        <v/>
      </c>
      <c r="AA126" s="169" t="str">
        <f t="shared" si="120"/>
        <v/>
      </c>
      <c r="AB126" s="169" t="str">
        <f t="shared" si="120"/>
        <v/>
      </c>
      <c r="AC126" s="169" t="str">
        <f t="shared" si="120"/>
        <v/>
      </c>
      <c r="AD126" s="169" t="str">
        <f t="shared" si="120"/>
        <v/>
      </c>
      <c r="AE126" s="169" t="str">
        <f>IF(AE16=$R32,$BD32*24,IF(AE16=$R33,$BD33*24,IF(AE16=$R34,$BD34*24,IF(AE16=$R35,$BD35*24,IF(AE16=$R36,$BD36*24,IF(AE16=$R37,$BD37*24,IF(AE16=$R38,$BD38*24,IF(AE16=$R39,$BD39*24,IF(AE16=$R40,$BD40*24,"")))))))))</f>
        <v/>
      </c>
      <c r="AF126" s="169" t="str">
        <f>IF(AF16=$R32,$BD32*24,IF(AF16=$R33,$BD33*24,IF(AF16=$R34,$BD34*24,IF(AF16=$R35,$BD35*24,IF(AF16=$R36,$BD36*24,IF(AF16=$R37,$BD37*24,IF(AF16=$R38,$BD38*24,IF(AF16=$R39,$BD39*24,IF(AF16=$R40,$BD40*24,"")))))))))</f>
        <v/>
      </c>
      <c r="AG126" s="169" t="str">
        <f>IF(AG16=$R32,$BD32*24,IF(AG16=$R33,$BD33*24,IF(AG16=$R34,$BD34*24,IF(AG16=$R35,$BD35*24,IF(AG16=$R36,$BD36*24,IF(AG16=$R37,$BD37*24,IF(AG16=$R38,$BD38*24,IF(AG16=$R39,$BD39*24,IF(AG16=$R40,$BD40*24,"")))))))))</f>
        <v/>
      </c>
      <c r="AH126" s="148">
        <f>SUM(C126:AG126)</f>
        <v>0</v>
      </c>
      <c r="AI126" s="133"/>
      <c r="AJ126" s="170"/>
      <c r="AK126" s="133"/>
      <c r="AL126" s="133"/>
    </row>
    <row r="127" spans="1:57" ht="15.95" hidden="1" customHeight="1" x14ac:dyDescent="0.25">
      <c r="A127" s="153"/>
      <c r="B127" s="167" t="s">
        <v>59</v>
      </c>
      <c r="C127" s="141">
        <f t="shared" ref="C127:AG127" si="121">IF(C16="V",$C36,IF(C16="PR",$C38,0))</f>
        <v>0</v>
      </c>
      <c r="D127" s="141">
        <f t="shared" si="121"/>
        <v>0</v>
      </c>
      <c r="E127" s="141">
        <f t="shared" si="121"/>
        <v>0</v>
      </c>
      <c r="F127" s="141">
        <f t="shared" si="121"/>
        <v>0</v>
      </c>
      <c r="G127" s="141">
        <f t="shared" si="121"/>
        <v>0</v>
      </c>
      <c r="H127" s="141">
        <f t="shared" si="121"/>
        <v>0</v>
      </c>
      <c r="I127" s="141">
        <f t="shared" si="121"/>
        <v>0</v>
      </c>
      <c r="J127" s="141">
        <f t="shared" si="121"/>
        <v>0</v>
      </c>
      <c r="K127" s="141">
        <f t="shared" si="121"/>
        <v>0</v>
      </c>
      <c r="L127" s="141">
        <f t="shared" si="121"/>
        <v>0</v>
      </c>
      <c r="M127" s="141">
        <f t="shared" si="121"/>
        <v>0</v>
      </c>
      <c r="N127" s="141">
        <f t="shared" si="121"/>
        <v>0</v>
      </c>
      <c r="O127" s="141">
        <f t="shared" si="121"/>
        <v>0</v>
      </c>
      <c r="P127" s="141">
        <f t="shared" si="121"/>
        <v>0</v>
      </c>
      <c r="Q127" s="141">
        <f t="shared" si="121"/>
        <v>0</v>
      </c>
      <c r="R127" s="141">
        <f t="shared" si="121"/>
        <v>0</v>
      </c>
      <c r="S127" s="141">
        <f t="shared" si="121"/>
        <v>0</v>
      </c>
      <c r="T127" s="141">
        <f t="shared" si="121"/>
        <v>0</v>
      </c>
      <c r="U127" s="141">
        <f t="shared" si="121"/>
        <v>0</v>
      </c>
      <c r="V127" s="141">
        <f t="shared" si="121"/>
        <v>0</v>
      </c>
      <c r="W127" s="141">
        <f t="shared" si="121"/>
        <v>0</v>
      </c>
      <c r="X127" s="141">
        <f t="shared" si="121"/>
        <v>0</v>
      </c>
      <c r="Y127" s="141">
        <f t="shared" si="121"/>
        <v>0</v>
      </c>
      <c r="Z127" s="141">
        <f t="shared" si="121"/>
        <v>0</v>
      </c>
      <c r="AA127" s="141">
        <f t="shared" si="121"/>
        <v>0</v>
      </c>
      <c r="AB127" s="141">
        <f t="shared" si="121"/>
        <v>0</v>
      </c>
      <c r="AC127" s="141">
        <f t="shared" si="121"/>
        <v>0</v>
      </c>
      <c r="AD127" s="141">
        <f t="shared" si="121"/>
        <v>0</v>
      </c>
      <c r="AE127" s="141">
        <f t="shared" si="121"/>
        <v>0</v>
      </c>
      <c r="AF127" s="141">
        <f t="shared" si="121"/>
        <v>0</v>
      </c>
      <c r="AG127" s="141">
        <f t="shared" si="121"/>
        <v>0</v>
      </c>
      <c r="AH127" s="226">
        <f>SUM(C127:AG127)</f>
        <v>0</v>
      </c>
      <c r="AI127" s="226"/>
      <c r="AJ127" s="230">
        <f>SUM(AH72+AH83+AH94+AH105+AH116+AH127)</f>
        <v>0</v>
      </c>
      <c r="AK127" s="230"/>
      <c r="AL127" s="133" t="s">
        <v>56</v>
      </c>
    </row>
    <row r="128" spans="1:57" ht="15.95" hidden="1" customHeight="1" x14ac:dyDescent="0.25">
      <c r="A128" s="150" t="s">
        <v>60</v>
      </c>
      <c r="B128" s="167" t="s">
        <v>61</v>
      </c>
      <c r="C128" s="151">
        <f t="shared" ref="C128:AD128" si="122">IF(C16=$R32,$BC32,IF(C16=$R33,$BC33,IF(C16=$R34,$BC34,IF(C16=$R35,$BC35,IF(C16=$R36,$BC36,IF(C16=$R37,$BC37,IF(C16=$R38,$BC38,IF(C16=$R39,$BC39,IF(C16=$R40,$BC40,0)))))))))</f>
        <v>0</v>
      </c>
      <c r="D128" s="151">
        <f t="shared" si="122"/>
        <v>0</v>
      </c>
      <c r="E128" s="151">
        <f t="shared" si="122"/>
        <v>0</v>
      </c>
      <c r="F128" s="151">
        <f t="shared" si="122"/>
        <v>0</v>
      </c>
      <c r="G128" s="151">
        <f t="shared" si="122"/>
        <v>0</v>
      </c>
      <c r="H128" s="151">
        <f t="shared" si="122"/>
        <v>0</v>
      </c>
      <c r="I128" s="151">
        <f t="shared" si="122"/>
        <v>0</v>
      </c>
      <c r="J128" s="151">
        <f t="shared" si="122"/>
        <v>0</v>
      </c>
      <c r="K128" s="151">
        <f t="shared" si="122"/>
        <v>0</v>
      </c>
      <c r="L128" s="151">
        <f t="shared" si="122"/>
        <v>0</v>
      </c>
      <c r="M128" s="151">
        <f t="shared" si="122"/>
        <v>0</v>
      </c>
      <c r="N128" s="151">
        <f t="shared" si="122"/>
        <v>0</v>
      </c>
      <c r="O128" s="151">
        <f t="shared" si="122"/>
        <v>0</v>
      </c>
      <c r="P128" s="151">
        <f t="shared" si="122"/>
        <v>0</v>
      </c>
      <c r="Q128" s="151">
        <f t="shared" si="122"/>
        <v>0</v>
      </c>
      <c r="R128" s="151">
        <f t="shared" si="122"/>
        <v>0</v>
      </c>
      <c r="S128" s="151">
        <f t="shared" si="122"/>
        <v>0</v>
      </c>
      <c r="T128" s="151">
        <f t="shared" si="122"/>
        <v>0</v>
      </c>
      <c r="U128" s="151">
        <f t="shared" si="122"/>
        <v>0</v>
      </c>
      <c r="V128" s="151">
        <f t="shared" si="122"/>
        <v>0</v>
      </c>
      <c r="W128" s="151">
        <f t="shared" si="122"/>
        <v>0</v>
      </c>
      <c r="X128" s="151">
        <f t="shared" si="122"/>
        <v>0</v>
      </c>
      <c r="Y128" s="151">
        <f t="shared" si="122"/>
        <v>0</v>
      </c>
      <c r="Z128" s="151">
        <f t="shared" si="122"/>
        <v>0</v>
      </c>
      <c r="AA128" s="151">
        <f t="shared" si="122"/>
        <v>0</v>
      </c>
      <c r="AB128" s="151">
        <f t="shared" si="122"/>
        <v>0</v>
      </c>
      <c r="AC128" s="151">
        <f t="shared" si="122"/>
        <v>0</v>
      </c>
      <c r="AD128" s="151">
        <f t="shared" si="122"/>
        <v>0</v>
      </c>
      <c r="AE128" s="151">
        <f>IF(AE16=$R32,$BC32,IF(AE16=$R33,$BC33,IF(AE16=$R34,$BC34,IF(AE16=$R35,$BC35,IF(AE16=$R36,$BC36,IF(AE16=$R37,$BC37,IF(AE16=$R38,$BC38,IF(AE16=$R39,$BC39,IF(AE16=$R40,$BC40,0)))))))))</f>
        <v>0</v>
      </c>
      <c r="AF128" s="151">
        <f>IF(AF16=$R32,$BC32,IF(AF16=$R33,$BC33,IF(AF16=$R34,$BC34,IF(AF16=$R35,$BC35,IF(AF16=$R36,$BC36,IF(AF16=$R37,$BC37,IF(AF16=$R38,$BC38,IF(AF16=$R39,$BC39,IF(AF16=$R40,$BC40,0)))))))))</f>
        <v>0</v>
      </c>
      <c r="AG128" s="151">
        <f>IF(AG16=$R32,$BC32,IF(AG16=$R33,$BC33,IF(AG16=$R34,$BC34,IF(AG16=$R35,$BC35,IF(AG16=$R36,$BC36,IF(AG16=$R37,$BC37,IF(AG16=$R38,$BC38,IF(AG16=$R39,$BC39,IF(AG16=$R40,$BC40,0)))))))))</f>
        <v>0</v>
      </c>
      <c r="AH128" s="226">
        <f>SUM(C128:AG128)</f>
        <v>0</v>
      </c>
      <c r="AI128" s="226"/>
      <c r="AJ128" s="174" t="s">
        <v>62</v>
      </c>
      <c r="AK128" s="133" t="s">
        <v>12</v>
      </c>
      <c r="AL128" s="133"/>
    </row>
    <row r="129" spans="1:38" ht="15.95" hidden="1" customHeight="1" x14ac:dyDescent="0.25">
      <c r="A129" s="153" t="s">
        <v>48</v>
      </c>
      <c r="B129" s="149" t="s">
        <v>63</v>
      </c>
      <c r="C129" s="141">
        <f t="shared" ref="C129:AG129" si="123">IF(C46=1,IF(C124&lt;C125,C128,0))</f>
        <v>0</v>
      </c>
      <c r="D129" s="141" t="b">
        <f t="shared" si="123"/>
        <v>0</v>
      </c>
      <c r="E129" s="141" t="b">
        <f t="shared" si="123"/>
        <v>0</v>
      </c>
      <c r="F129" s="141" t="b">
        <f t="shared" si="123"/>
        <v>0</v>
      </c>
      <c r="G129" s="141" t="b">
        <f t="shared" si="123"/>
        <v>0</v>
      </c>
      <c r="H129" s="141" t="b">
        <f t="shared" si="123"/>
        <v>0</v>
      </c>
      <c r="I129" s="141">
        <f t="shared" si="123"/>
        <v>0</v>
      </c>
      <c r="J129" s="141">
        <f t="shared" si="123"/>
        <v>0</v>
      </c>
      <c r="K129" s="141" t="b">
        <f t="shared" si="123"/>
        <v>0</v>
      </c>
      <c r="L129" s="141" t="b">
        <f t="shared" si="123"/>
        <v>0</v>
      </c>
      <c r="M129" s="141" t="b">
        <f t="shared" si="123"/>
        <v>0</v>
      </c>
      <c r="N129" s="141" t="b">
        <f t="shared" si="123"/>
        <v>0</v>
      </c>
      <c r="O129" s="141" t="b">
        <f t="shared" si="123"/>
        <v>0</v>
      </c>
      <c r="P129" s="141">
        <f t="shared" si="123"/>
        <v>0</v>
      </c>
      <c r="Q129" s="141">
        <f t="shared" si="123"/>
        <v>0</v>
      </c>
      <c r="R129" s="141" t="b">
        <f t="shared" si="123"/>
        <v>0</v>
      </c>
      <c r="S129" s="141" t="b">
        <f t="shared" si="123"/>
        <v>0</v>
      </c>
      <c r="T129" s="141" t="b">
        <f t="shared" si="123"/>
        <v>0</v>
      </c>
      <c r="U129" s="141" t="b">
        <f t="shared" si="123"/>
        <v>0</v>
      </c>
      <c r="V129" s="141" t="b">
        <f t="shared" si="123"/>
        <v>0</v>
      </c>
      <c r="W129" s="141">
        <f t="shared" si="123"/>
        <v>0</v>
      </c>
      <c r="X129" s="141">
        <f t="shared" si="123"/>
        <v>0</v>
      </c>
      <c r="Y129" s="141" t="b">
        <f t="shared" si="123"/>
        <v>0</v>
      </c>
      <c r="Z129" s="141" t="b">
        <f t="shared" si="123"/>
        <v>0</v>
      </c>
      <c r="AA129" s="141" t="b">
        <f t="shared" si="123"/>
        <v>0</v>
      </c>
      <c r="AB129" s="141" t="b">
        <f t="shared" si="123"/>
        <v>0</v>
      </c>
      <c r="AC129" s="141" t="b">
        <f t="shared" si="123"/>
        <v>0</v>
      </c>
      <c r="AD129" s="141">
        <f t="shared" si="123"/>
        <v>0</v>
      </c>
      <c r="AE129" s="141" t="b">
        <f t="shared" si="123"/>
        <v>0</v>
      </c>
      <c r="AF129" s="141" t="b">
        <f t="shared" si="123"/>
        <v>0</v>
      </c>
      <c r="AG129" s="141" t="b">
        <f t="shared" si="123"/>
        <v>0</v>
      </c>
      <c r="AH129" s="154" t="s">
        <v>12</v>
      </c>
      <c r="AI129" s="133"/>
      <c r="AJ129" s="170"/>
      <c r="AK129" s="133"/>
      <c r="AL129" s="133"/>
    </row>
    <row r="130" spans="1:38" ht="15.95" hidden="1" customHeight="1" x14ac:dyDescent="0.25">
      <c r="A130" s="176"/>
      <c r="B130" s="149" t="s">
        <v>64</v>
      </c>
      <c r="C130" s="141">
        <f t="shared" ref="C130:AG130" si="124">IF(C46=1,IF(C124&gt;C125,24-C124,0),0)</f>
        <v>0</v>
      </c>
      <c r="D130" s="141">
        <f t="shared" si="124"/>
        <v>0</v>
      </c>
      <c r="E130" s="141">
        <f t="shared" si="124"/>
        <v>0</v>
      </c>
      <c r="F130" s="141">
        <f t="shared" si="124"/>
        <v>0</v>
      </c>
      <c r="G130" s="141">
        <f t="shared" si="124"/>
        <v>0</v>
      </c>
      <c r="H130" s="141">
        <f t="shared" si="124"/>
        <v>0</v>
      </c>
      <c r="I130" s="141">
        <f t="shared" si="124"/>
        <v>0</v>
      </c>
      <c r="J130" s="141">
        <f t="shared" si="124"/>
        <v>0</v>
      </c>
      <c r="K130" s="141">
        <f t="shared" si="124"/>
        <v>0</v>
      </c>
      <c r="L130" s="141">
        <f t="shared" si="124"/>
        <v>0</v>
      </c>
      <c r="M130" s="141">
        <f t="shared" si="124"/>
        <v>0</v>
      </c>
      <c r="N130" s="141">
        <f t="shared" si="124"/>
        <v>0</v>
      </c>
      <c r="O130" s="141">
        <f t="shared" si="124"/>
        <v>0</v>
      </c>
      <c r="P130" s="141">
        <f t="shared" si="124"/>
        <v>0</v>
      </c>
      <c r="Q130" s="141">
        <f t="shared" si="124"/>
        <v>0</v>
      </c>
      <c r="R130" s="141">
        <f t="shared" si="124"/>
        <v>0</v>
      </c>
      <c r="S130" s="141">
        <f t="shared" si="124"/>
        <v>0</v>
      </c>
      <c r="T130" s="141">
        <f t="shared" si="124"/>
        <v>0</v>
      </c>
      <c r="U130" s="141">
        <f t="shared" si="124"/>
        <v>0</v>
      </c>
      <c r="V130" s="141">
        <f t="shared" si="124"/>
        <v>0</v>
      </c>
      <c r="W130" s="141">
        <f t="shared" si="124"/>
        <v>0</v>
      </c>
      <c r="X130" s="141">
        <f t="shared" si="124"/>
        <v>0</v>
      </c>
      <c r="Y130" s="141">
        <f t="shared" si="124"/>
        <v>0</v>
      </c>
      <c r="Z130" s="141">
        <f t="shared" si="124"/>
        <v>0</v>
      </c>
      <c r="AA130" s="141">
        <f t="shared" si="124"/>
        <v>0</v>
      </c>
      <c r="AB130" s="141">
        <f t="shared" si="124"/>
        <v>0</v>
      </c>
      <c r="AC130" s="141">
        <f t="shared" si="124"/>
        <v>0</v>
      </c>
      <c r="AD130" s="141">
        <f t="shared" si="124"/>
        <v>0</v>
      </c>
      <c r="AE130" s="141">
        <f t="shared" si="124"/>
        <v>0</v>
      </c>
      <c r="AF130" s="141">
        <f t="shared" si="124"/>
        <v>0</v>
      </c>
      <c r="AG130" s="141">
        <f t="shared" si="124"/>
        <v>0</v>
      </c>
      <c r="AH130" s="154" t="s">
        <v>12</v>
      </c>
      <c r="AI130" s="133"/>
      <c r="AJ130" s="170"/>
      <c r="AK130" s="133"/>
      <c r="AL130" s="133"/>
    </row>
    <row r="131" spans="1:38" ht="15.95" hidden="1" customHeight="1" x14ac:dyDescent="0.25">
      <c r="A131" s="176"/>
      <c r="B131" s="149" t="s">
        <v>65</v>
      </c>
      <c r="C131" s="141">
        <f t="shared" ref="C131:AG131" si="125">IF(D46=1,IF(C124&gt;C125,C125,0),0)</f>
        <v>0</v>
      </c>
      <c r="D131" s="141">
        <f t="shared" si="125"/>
        <v>0</v>
      </c>
      <c r="E131" s="141">
        <f t="shared" si="125"/>
        <v>0</v>
      </c>
      <c r="F131" s="141">
        <f t="shared" si="125"/>
        <v>0</v>
      </c>
      <c r="G131" s="141">
        <f t="shared" si="125"/>
        <v>0</v>
      </c>
      <c r="H131" s="141">
        <f t="shared" si="125"/>
        <v>0</v>
      </c>
      <c r="I131" s="141">
        <f t="shared" si="125"/>
        <v>0</v>
      </c>
      <c r="J131" s="141">
        <f t="shared" si="125"/>
        <v>0</v>
      </c>
      <c r="K131" s="141">
        <f t="shared" si="125"/>
        <v>0</v>
      </c>
      <c r="L131" s="141">
        <f t="shared" si="125"/>
        <v>0</v>
      </c>
      <c r="M131" s="141">
        <f t="shared" si="125"/>
        <v>0</v>
      </c>
      <c r="N131" s="141">
        <f t="shared" si="125"/>
        <v>0</v>
      </c>
      <c r="O131" s="141">
        <f t="shared" si="125"/>
        <v>0</v>
      </c>
      <c r="P131" s="141">
        <f t="shared" si="125"/>
        <v>0</v>
      </c>
      <c r="Q131" s="141">
        <f t="shared" si="125"/>
        <v>0</v>
      </c>
      <c r="R131" s="141">
        <f t="shared" si="125"/>
        <v>0</v>
      </c>
      <c r="S131" s="141">
        <f t="shared" si="125"/>
        <v>0</v>
      </c>
      <c r="T131" s="141">
        <f t="shared" si="125"/>
        <v>0</v>
      </c>
      <c r="U131" s="141">
        <f t="shared" si="125"/>
        <v>0</v>
      </c>
      <c r="V131" s="141">
        <f t="shared" si="125"/>
        <v>0</v>
      </c>
      <c r="W131" s="141">
        <f t="shared" si="125"/>
        <v>0</v>
      </c>
      <c r="X131" s="141">
        <f>IF(Y46=1,IF(X124&gt;X125,X125,0),0)</f>
        <v>0</v>
      </c>
      <c r="Y131" s="141">
        <f t="shared" si="125"/>
        <v>0</v>
      </c>
      <c r="Z131" s="141">
        <f t="shared" si="125"/>
        <v>0</v>
      </c>
      <c r="AA131" s="141">
        <f t="shared" si="125"/>
        <v>0</v>
      </c>
      <c r="AB131" s="141">
        <f t="shared" si="125"/>
        <v>0</v>
      </c>
      <c r="AC131" s="141">
        <f t="shared" si="125"/>
        <v>0</v>
      </c>
      <c r="AD131" s="141">
        <f t="shared" si="125"/>
        <v>0</v>
      </c>
      <c r="AE131" s="141">
        <f t="shared" si="125"/>
        <v>0</v>
      </c>
      <c r="AF131" s="141">
        <f t="shared" si="125"/>
        <v>0</v>
      </c>
      <c r="AG131" s="141">
        <f t="shared" si="125"/>
        <v>0</v>
      </c>
      <c r="AH131" s="154" t="s">
        <v>12</v>
      </c>
      <c r="AI131" s="133"/>
      <c r="AJ131" s="170"/>
      <c r="AK131" s="133"/>
      <c r="AL131" s="133"/>
    </row>
    <row r="132" spans="1:38" ht="15.95" hidden="1" customHeight="1" x14ac:dyDescent="0.25">
      <c r="A132" s="176"/>
      <c r="B132" s="149" t="s">
        <v>67</v>
      </c>
      <c r="C132" s="171">
        <f t="shared" ref="C132:AG132" si="126">SUM(C129:C131)</f>
        <v>0</v>
      </c>
      <c r="D132" s="171">
        <f t="shared" si="126"/>
        <v>0</v>
      </c>
      <c r="E132" s="171">
        <f t="shared" si="126"/>
        <v>0</v>
      </c>
      <c r="F132" s="171">
        <f t="shared" si="126"/>
        <v>0</v>
      </c>
      <c r="G132" s="171">
        <f t="shared" si="126"/>
        <v>0</v>
      </c>
      <c r="H132" s="171">
        <f t="shared" si="126"/>
        <v>0</v>
      </c>
      <c r="I132" s="171">
        <f t="shared" si="126"/>
        <v>0</v>
      </c>
      <c r="J132" s="171">
        <f t="shared" si="126"/>
        <v>0</v>
      </c>
      <c r="K132" s="171">
        <f t="shared" si="126"/>
        <v>0</v>
      </c>
      <c r="L132" s="171">
        <f t="shared" si="126"/>
        <v>0</v>
      </c>
      <c r="M132" s="171">
        <f t="shared" si="126"/>
        <v>0</v>
      </c>
      <c r="N132" s="171">
        <f t="shared" si="126"/>
        <v>0</v>
      </c>
      <c r="O132" s="171">
        <f t="shared" si="126"/>
        <v>0</v>
      </c>
      <c r="P132" s="171">
        <f t="shared" si="126"/>
        <v>0</v>
      </c>
      <c r="Q132" s="171">
        <f t="shared" si="126"/>
        <v>0</v>
      </c>
      <c r="R132" s="171">
        <f t="shared" si="126"/>
        <v>0</v>
      </c>
      <c r="S132" s="171">
        <f t="shared" si="126"/>
        <v>0</v>
      </c>
      <c r="T132" s="171">
        <f t="shared" si="126"/>
        <v>0</v>
      </c>
      <c r="U132" s="171">
        <f t="shared" si="126"/>
        <v>0</v>
      </c>
      <c r="V132" s="171">
        <f t="shared" si="126"/>
        <v>0</v>
      </c>
      <c r="W132" s="171">
        <f t="shared" si="126"/>
        <v>0</v>
      </c>
      <c r="X132" s="171">
        <f t="shared" si="126"/>
        <v>0</v>
      </c>
      <c r="Y132" s="171">
        <f t="shared" si="126"/>
        <v>0</v>
      </c>
      <c r="Z132" s="171">
        <f t="shared" si="126"/>
        <v>0</v>
      </c>
      <c r="AA132" s="171">
        <f t="shared" si="126"/>
        <v>0</v>
      </c>
      <c r="AB132" s="171">
        <f t="shared" si="126"/>
        <v>0</v>
      </c>
      <c r="AC132" s="171">
        <f t="shared" si="126"/>
        <v>0</v>
      </c>
      <c r="AD132" s="171">
        <f t="shared" si="126"/>
        <v>0</v>
      </c>
      <c r="AE132" s="171">
        <f t="shared" si="126"/>
        <v>0</v>
      </c>
      <c r="AF132" s="171">
        <f t="shared" si="126"/>
        <v>0</v>
      </c>
      <c r="AG132" s="171">
        <f t="shared" si="126"/>
        <v>0</v>
      </c>
      <c r="AH132" s="154" t="s">
        <v>12</v>
      </c>
      <c r="AI132" s="133"/>
      <c r="AJ132" s="170"/>
      <c r="AK132" s="133"/>
      <c r="AL132" s="133"/>
    </row>
    <row r="133" spans="1:38" ht="15.95" hidden="1" customHeight="1" x14ac:dyDescent="0.25">
      <c r="A133" s="177"/>
      <c r="B133" s="160" t="s">
        <v>68</v>
      </c>
      <c r="C133" s="161">
        <f t="shared" ref="C133:AG133" si="127">IF(C16="V",IF(C16="",0,1),0)</f>
        <v>0</v>
      </c>
      <c r="D133" s="161">
        <f t="shared" si="127"/>
        <v>0</v>
      </c>
      <c r="E133" s="161">
        <f t="shared" si="127"/>
        <v>0</v>
      </c>
      <c r="F133" s="161">
        <f t="shared" si="127"/>
        <v>0</v>
      </c>
      <c r="G133" s="161">
        <f t="shared" si="127"/>
        <v>0</v>
      </c>
      <c r="H133" s="161">
        <f t="shared" si="127"/>
        <v>0</v>
      </c>
      <c r="I133" s="161">
        <f t="shared" si="127"/>
        <v>0</v>
      </c>
      <c r="J133" s="161">
        <f t="shared" si="127"/>
        <v>0</v>
      </c>
      <c r="K133" s="161">
        <f t="shared" si="127"/>
        <v>0</v>
      </c>
      <c r="L133" s="161">
        <f t="shared" si="127"/>
        <v>0</v>
      </c>
      <c r="M133" s="161">
        <f t="shared" si="127"/>
        <v>0</v>
      </c>
      <c r="N133" s="161">
        <f t="shared" si="127"/>
        <v>0</v>
      </c>
      <c r="O133" s="161">
        <f t="shared" si="127"/>
        <v>0</v>
      </c>
      <c r="P133" s="161">
        <f t="shared" si="127"/>
        <v>0</v>
      </c>
      <c r="Q133" s="161">
        <f t="shared" si="127"/>
        <v>0</v>
      </c>
      <c r="R133" s="161">
        <f t="shared" si="127"/>
        <v>0</v>
      </c>
      <c r="S133" s="161">
        <f t="shared" si="127"/>
        <v>0</v>
      </c>
      <c r="T133" s="161">
        <f t="shared" si="127"/>
        <v>0</v>
      </c>
      <c r="U133" s="161">
        <f t="shared" si="127"/>
        <v>0</v>
      </c>
      <c r="V133" s="161">
        <f t="shared" si="127"/>
        <v>0</v>
      </c>
      <c r="W133" s="161">
        <f t="shared" si="127"/>
        <v>0</v>
      </c>
      <c r="X133" s="161">
        <f t="shared" si="127"/>
        <v>0</v>
      </c>
      <c r="Y133" s="161">
        <f t="shared" si="127"/>
        <v>0</v>
      </c>
      <c r="Z133" s="161">
        <f t="shared" si="127"/>
        <v>0</v>
      </c>
      <c r="AA133" s="161">
        <f t="shared" si="127"/>
        <v>0</v>
      </c>
      <c r="AB133" s="161">
        <f t="shared" si="127"/>
        <v>0</v>
      </c>
      <c r="AC133" s="161">
        <f t="shared" si="127"/>
        <v>0</v>
      </c>
      <c r="AD133" s="161">
        <f t="shared" si="127"/>
        <v>0</v>
      </c>
      <c r="AE133" s="161">
        <f t="shared" si="127"/>
        <v>0</v>
      </c>
      <c r="AF133" s="161">
        <f t="shared" si="127"/>
        <v>0</v>
      </c>
      <c r="AG133" s="161">
        <f t="shared" si="127"/>
        <v>0</v>
      </c>
      <c r="AH133" s="154" t="s">
        <v>12</v>
      </c>
      <c r="AI133" s="133"/>
      <c r="AJ133" s="170"/>
      <c r="AK133" s="133"/>
      <c r="AL133" s="133"/>
    </row>
    <row r="134" spans="1:38" ht="15.95" hidden="1" customHeight="1" x14ac:dyDescent="0.25">
      <c r="A134" s="180"/>
      <c r="B134" s="181" t="s">
        <v>16</v>
      </c>
      <c r="C134" s="182">
        <f t="shared" ref="C134:AG134" si="128">IF(C16="PR",IF(C16="",0,1),0)</f>
        <v>0</v>
      </c>
      <c r="D134" s="182">
        <f t="shared" si="128"/>
        <v>0</v>
      </c>
      <c r="E134" s="182">
        <f t="shared" si="128"/>
        <v>0</v>
      </c>
      <c r="F134" s="182">
        <f t="shared" si="128"/>
        <v>0</v>
      </c>
      <c r="G134" s="182">
        <f t="shared" si="128"/>
        <v>0</v>
      </c>
      <c r="H134" s="182">
        <f t="shared" si="128"/>
        <v>0</v>
      </c>
      <c r="I134" s="182">
        <f t="shared" si="128"/>
        <v>0</v>
      </c>
      <c r="J134" s="182">
        <f t="shared" si="128"/>
        <v>0</v>
      </c>
      <c r="K134" s="182">
        <f t="shared" si="128"/>
        <v>0</v>
      </c>
      <c r="L134" s="182">
        <f t="shared" si="128"/>
        <v>0</v>
      </c>
      <c r="M134" s="182">
        <f t="shared" si="128"/>
        <v>0</v>
      </c>
      <c r="N134" s="182">
        <f t="shared" si="128"/>
        <v>0</v>
      </c>
      <c r="O134" s="182">
        <f t="shared" si="128"/>
        <v>0</v>
      </c>
      <c r="P134" s="182">
        <f t="shared" si="128"/>
        <v>0</v>
      </c>
      <c r="Q134" s="182">
        <f t="shared" si="128"/>
        <v>0</v>
      </c>
      <c r="R134" s="182">
        <f t="shared" si="128"/>
        <v>0</v>
      </c>
      <c r="S134" s="182">
        <f t="shared" si="128"/>
        <v>0</v>
      </c>
      <c r="T134" s="182">
        <f t="shared" si="128"/>
        <v>0</v>
      </c>
      <c r="U134" s="182">
        <f t="shared" si="128"/>
        <v>0</v>
      </c>
      <c r="V134" s="182">
        <f t="shared" si="128"/>
        <v>0</v>
      </c>
      <c r="W134" s="182">
        <f t="shared" si="128"/>
        <v>0</v>
      </c>
      <c r="X134" s="182">
        <f t="shared" si="128"/>
        <v>0</v>
      </c>
      <c r="Y134" s="182">
        <f t="shared" si="128"/>
        <v>0</v>
      </c>
      <c r="Z134" s="182">
        <f t="shared" si="128"/>
        <v>0</v>
      </c>
      <c r="AA134" s="182">
        <f t="shared" si="128"/>
        <v>0</v>
      </c>
      <c r="AB134" s="182">
        <f t="shared" si="128"/>
        <v>0</v>
      </c>
      <c r="AC134" s="182">
        <f t="shared" si="128"/>
        <v>0</v>
      </c>
      <c r="AD134" s="182">
        <f t="shared" si="128"/>
        <v>0</v>
      </c>
      <c r="AE134" s="182">
        <f t="shared" si="128"/>
        <v>0</v>
      </c>
      <c r="AF134" s="182">
        <f t="shared" si="128"/>
        <v>0</v>
      </c>
      <c r="AG134" s="182">
        <f t="shared" si="128"/>
        <v>0</v>
      </c>
      <c r="AH134" s="227">
        <f>SUM(C134:AG134)</f>
        <v>0</v>
      </c>
      <c r="AI134" s="227"/>
      <c r="AJ134" s="174" t="s">
        <v>69</v>
      </c>
      <c r="AK134" s="133"/>
      <c r="AL134" s="133"/>
    </row>
    <row r="135" spans="1:38" ht="15.95" hidden="1" customHeight="1" x14ac:dyDescent="0.25">
      <c r="A135" s="164" t="s">
        <v>85</v>
      </c>
      <c r="B135" s="165" t="s">
        <v>29</v>
      </c>
      <c r="C135" s="141" t="str">
        <f t="shared" ref="C135:AG135" si="129">IF(C17=$R32,$S32*24,IF(C17=$R33,$S33*24,IF(C17=$R34,$S34*24,IF(C17=$R35,$S35*24,IF(C17=$R36,$S36*24,IF(C17=$R37,$S37*24,IF(C17=$R38,$S38*24,IF(C17=$R39,$S39*24,IF(C17=$R40,$S40*24,"")))))))))</f>
        <v/>
      </c>
      <c r="D135" s="141" t="str">
        <f t="shared" si="129"/>
        <v/>
      </c>
      <c r="E135" s="141" t="str">
        <f t="shared" si="129"/>
        <v/>
      </c>
      <c r="F135" s="141" t="str">
        <f t="shared" si="129"/>
        <v/>
      </c>
      <c r="G135" s="141" t="str">
        <f>IF(G17=$R32,$S32*24,IF(G17=$R33,$S33*24,IF(G17=$R34,$S34*24,IF(G17=$R35,$S35*24,IF(G17=$R36,$S36*24,IF(G17=$R37,$S37*24,IF(G17=$R38,$S38*24,IF(G17=$R39,$S39*24,IF(G17=$R40,$S40*24,"")))))))))</f>
        <v/>
      </c>
      <c r="H135" s="141" t="str">
        <f t="shared" si="129"/>
        <v/>
      </c>
      <c r="I135" s="141" t="str">
        <f t="shared" si="129"/>
        <v/>
      </c>
      <c r="J135" s="141" t="str">
        <f t="shared" si="129"/>
        <v/>
      </c>
      <c r="K135" s="141" t="str">
        <f t="shared" si="129"/>
        <v/>
      </c>
      <c r="L135" s="141" t="str">
        <f t="shared" si="129"/>
        <v/>
      </c>
      <c r="M135" s="141" t="str">
        <f t="shared" si="129"/>
        <v/>
      </c>
      <c r="N135" s="141" t="str">
        <f t="shared" si="129"/>
        <v/>
      </c>
      <c r="O135" s="141" t="str">
        <f t="shared" si="129"/>
        <v/>
      </c>
      <c r="P135" s="141" t="str">
        <f t="shared" si="129"/>
        <v/>
      </c>
      <c r="Q135" s="141" t="str">
        <f t="shared" si="129"/>
        <v/>
      </c>
      <c r="R135" s="141" t="str">
        <f t="shared" si="129"/>
        <v/>
      </c>
      <c r="S135" s="141" t="str">
        <f t="shared" si="129"/>
        <v/>
      </c>
      <c r="T135" s="141" t="str">
        <f t="shared" si="129"/>
        <v/>
      </c>
      <c r="U135" s="141" t="str">
        <f t="shared" si="129"/>
        <v/>
      </c>
      <c r="V135" s="141" t="str">
        <f t="shared" si="129"/>
        <v/>
      </c>
      <c r="W135" s="141" t="str">
        <f t="shared" si="129"/>
        <v/>
      </c>
      <c r="X135" s="141" t="str">
        <f t="shared" si="129"/>
        <v/>
      </c>
      <c r="Y135" s="141" t="str">
        <f t="shared" si="129"/>
        <v/>
      </c>
      <c r="Z135" s="141" t="str">
        <f t="shared" si="129"/>
        <v/>
      </c>
      <c r="AA135" s="141" t="str">
        <f t="shared" si="129"/>
        <v/>
      </c>
      <c r="AB135" s="141" t="str">
        <f t="shared" si="129"/>
        <v/>
      </c>
      <c r="AC135" s="141" t="str">
        <f t="shared" si="129"/>
        <v/>
      </c>
      <c r="AD135" s="141" t="str">
        <f t="shared" si="129"/>
        <v/>
      </c>
      <c r="AE135" s="141" t="str">
        <f t="shared" si="129"/>
        <v/>
      </c>
      <c r="AF135" s="141" t="str">
        <f t="shared" si="129"/>
        <v/>
      </c>
      <c r="AG135" s="141" t="str">
        <f t="shared" si="129"/>
        <v/>
      </c>
      <c r="AH135" s="154" t="s">
        <v>12</v>
      </c>
      <c r="AI135" s="133"/>
      <c r="AJ135" s="170"/>
      <c r="AK135" s="133"/>
      <c r="AL135" s="133"/>
    </row>
    <row r="136" spans="1:38" ht="15.95" hidden="1" customHeight="1" x14ac:dyDescent="0.25">
      <c r="A136" s="166" t="s">
        <v>86</v>
      </c>
      <c r="B136" s="167" t="s">
        <v>30</v>
      </c>
      <c r="C136" s="141" t="str">
        <f t="shared" ref="C136:AG136" si="130">IF(C17=$R32,$V32*24,IF(C17=$R33,$V33*24,IF(C17=$R34,$V34*24,IF(C17=$R35,$V35*24,IF(C17=$R36,$V36*24,IF(C17=$R37,$V37*24,IF(C17=$R38,$V38*24,IF(C17=$R39,$V39*24,IF(C17=$R40,$V40*24,"")))))))))</f>
        <v/>
      </c>
      <c r="D136" s="141" t="str">
        <f t="shared" si="130"/>
        <v/>
      </c>
      <c r="E136" s="141" t="str">
        <f t="shared" si="130"/>
        <v/>
      </c>
      <c r="F136" s="141" t="str">
        <f t="shared" si="130"/>
        <v/>
      </c>
      <c r="G136" s="141" t="str">
        <f>IF(G17=$R32,$V32*24,IF(G17=$R33,$V33*24,IF(G17=$R34,$V34*24,IF(G17=$R35,$V35*24,IF(G17=$R36,$V36*24,IF(G17=$R37,$V37*24,IF(G17=$R38,$V38*24,IF(G17=$R39,$V39*24,IF(G17=$R40,$V40*24,"")))))))))</f>
        <v/>
      </c>
      <c r="H136" s="141" t="str">
        <f t="shared" si="130"/>
        <v/>
      </c>
      <c r="I136" s="141" t="str">
        <f t="shared" si="130"/>
        <v/>
      </c>
      <c r="J136" s="141" t="str">
        <f t="shared" si="130"/>
        <v/>
      </c>
      <c r="K136" s="141" t="str">
        <f t="shared" si="130"/>
        <v/>
      </c>
      <c r="L136" s="141" t="str">
        <f t="shared" si="130"/>
        <v/>
      </c>
      <c r="M136" s="141" t="str">
        <f t="shared" si="130"/>
        <v/>
      </c>
      <c r="N136" s="141" t="str">
        <f t="shared" si="130"/>
        <v/>
      </c>
      <c r="O136" s="141" t="str">
        <f t="shared" si="130"/>
        <v/>
      </c>
      <c r="P136" s="141" t="str">
        <f t="shared" si="130"/>
        <v/>
      </c>
      <c r="Q136" s="141" t="str">
        <f t="shared" si="130"/>
        <v/>
      </c>
      <c r="R136" s="141" t="str">
        <f t="shared" si="130"/>
        <v/>
      </c>
      <c r="S136" s="141" t="str">
        <f t="shared" si="130"/>
        <v/>
      </c>
      <c r="T136" s="141" t="str">
        <f t="shared" si="130"/>
        <v/>
      </c>
      <c r="U136" s="141" t="str">
        <f t="shared" si="130"/>
        <v/>
      </c>
      <c r="V136" s="141" t="str">
        <f t="shared" si="130"/>
        <v/>
      </c>
      <c r="W136" s="141" t="str">
        <f t="shared" si="130"/>
        <v/>
      </c>
      <c r="X136" s="141" t="str">
        <f t="shared" si="130"/>
        <v/>
      </c>
      <c r="Y136" s="141" t="str">
        <f t="shared" si="130"/>
        <v/>
      </c>
      <c r="Z136" s="141" t="str">
        <f t="shared" si="130"/>
        <v/>
      </c>
      <c r="AA136" s="141" t="str">
        <f t="shared" si="130"/>
        <v/>
      </c>
      <c r="AB136" s="141" t="str">
        <f t="shared" si="130"/>
        <v/>
      </c>
      <c r="AC136" s="141" t="str">
        <f t="shared" si="130"/>
        <v/>
      </c>
      <c r="AD136" s="141" t="str">
        <f t="shared" si="130"/>
        <v/>
      </c>
      <c r="AE136" s="141" t="str">
        <f t="shared" si="130"/>
        <v/>
      </c>
      <c r="AF136" s="141" t="str">
        <f t="shared" si="130"/>
        <v/>
      </c>
      <c r="AG136" s="141" t="str">
        <f t="shared" si="130"/>
        <v/>
      </c>
      <c r="AH136" s="154" t="s">
        <v>12</v>
      </c>
      <c r="AI136" s="133"/>
      <c r="AJ136" s="170"/>
      <c r="AK136" s="133"/>
      <c r="AL136" s="133"/>
    </row>
    <row r="137" spans="1:38" ht="15.95" hidden="1" customHeight="1" x14ac:dyDescent="0.25">
      <c r="A137" s="153"/>
      <c r="B137" s="168" t="s">
        <v>34</v>
      </c>
      <c r="C137" s="169" t="str">
        <f t="shared" ref="C137:AD137" si="131">IF(C17=$R32,$BD32*24,IF(C17=$R33,$BD33*24,IF(C17=$R34,$BD34*24,IF(C17=$R35,$BD35*24,IF(C17=$R36,$BD36*24,IF(C17=$R37,$BD37*24,IF(C17=$R38,$BD38*24,IF(C17=$R39,$BD39*24,IF(C17=$R40,$BD40*24,"")))))))))</f>
        <v/>
      </c>
      <c r="D137" s="169" t="str">
        <f t="shared" si="131"/>
        <v/>
      </c>
      <c r="E137" s="169" t="str">
        <f t="shared" si="131"/>
        <v/>
      </c>
      <c r="F137" s="169" t="str">
        <f t="shared" si="131"/>
        <v/>
      </c>
      <c r="G137" s="169" t="str">
        <f>IF(G17=$R32,$BD32*24,IF(G17=$R33,$BD33*24,IF(G17=$R34,$BD34*24,IF(G17=$R35,$BD35*24,IF(G17=$R36,$BD36*24,IF(G17=$R37,$BD37*24,IF(G17=$R38,$BD38*24,IF(G17=$R39,$BD39*24,IF(G17=$R40,$BD40*24,"")))))))))</f>
        <v/>
      </c>
      <c r="H137" s="169" t="str">
        <f t="shared" si="131"/>
        <v/>
      </c>
      <c r="I137" s="169" t="str">
        <f t="shared" si="131"/>
        <v/>
      </c>
      <c r="J137" s="169" t="str">
        <f t="shared" si="131"/>
        <v/>
      </c>
      <c r="K137" s="169" t="str">
        <f t="shared" si="131"/>
        <v/>
      </c>
      <c r="L137" s="169" t="str">
        <f t="shared" si="131"/>
        <v/>
      </c>
      <c r="M137" s="169" t="str">
        <f t="shared" si="131"/>
        <v/>
      </c>
      <c r="N137" s="169" t="str">
        <f t="shared" si="131"/>
        <v/>
      </c>
      <c r="O137" s="169" t="str">
        <f t="shared" si="131"/>
        <v/>
      </c>
      <c r="P137" s="169" t="str">
        <f t="shared" si="131"/>
        <v/>
      </c>
      <c r="Q137" s="169" t="str">
        <f t="shared" si="131"/>
        <v/>
      </c>
      <c r="R137" s="169" t="str">
        <f t="shared" si="131"/>
        <v/>
      </c>
      <c r="S137" s="169" t="str">
        <f t="shared" si="131"/>
        <v/>
      </c>
      <c r="T137" s="169" t="str">
        <f t="shared" si="131"/>
        <v/>
      </c>
      <c r="U137" s="169" t="str">
        <f t="shared" si="131"/>
        <v/>
      </c>
      <c r="V137" s="169" t="str">
        <f t="shared" si="131"/>
        <v/>
      </c>
      <c r="W137" s="169" t="str">
        <f t="shared" si="131"/>
        <v/>
      </c>
      <c r="X137" s="169" t="str">
        <f t="shared" si="131"/>
        <v/>
      </c>
      <c r="Y137" s="169" t="str">
        <f t="shared" si="131"/>
        <v/>
      </c>
      <c r="Z137" s="169" t="str">
        <f t="shared" si="131"/>
        <v/>
      </c>
      <c r="AA137" s="169" t="str">
        <f t="shared" si="131"/>
        <v/>
      </c>
      <c r="AB137" s="169" t="str">
        <f t="shared" si="131"/>
        <v/>
      </c>
      <c r="AC137" s="169" t="str">
        <f t="shared" si="131"/>
        <v/>
      </c>
      <c r="AD137" s="169" t="str">
        <f t="shared" si="131"/>
        <v/>
      </c>
      <c r="AE137" s="169" t="str">
        <f>IF(AE17=$R32,$BD32*24,IF(AE17=$R33,$BD33*24,IF(AE17=$R34,$BD34*24,IF(AE17=$R35,$BD35*24,IF(AE17=$R36,$BD36*24,IF(AE17=$R37,$BD37*24,IF(AE17=$R38,$BD38*24,IF(AE17=$R39,$BD39*24,IF(AE17=$R40,$BD40*24,"")))))))))</f>
        <v/>
      </c>
      <c r="AF137" s="169" t="str">
        <f>IF(AF17=$R32,$BD32*24,IF(AF17=$R33,$BD33*24,IF(AF17=$R34,$BD34*24,IF(AF17=$R35,$BD35*24,IF(AF17=$R36,$BD36*24,IF(AF17=$R37,$BD37*24,IF(AF17=$R38,$BD38*24,IF(AF17=$R39,$BD39*24,IF(AF17=$R40,$BD40*24,"")))))))))</f>
        <v/>
      </c>
      <c r="AG137" s="169" t="str">
        <f>IF(AG17=$R32,$BD32*24,IF(AG17=$R33,$BD33*24,IF(AG17=$R34,$BD34*24,IF(AG17=$R35,$BD35*24,IF(AG17=$R36,$BD36*24,IF(AG17=$R37,$BD37*24,IF(AG17=$R38,$BD38*24,IF(AG17=$R39,$BD39*24,IF(AG17=$R40,$BD40*24,"")))))))))</f>
        <v/>
      </c>
      <c r="AH137" s="148">
        <f>SUM(C137:AG137)</f>
        <v>0</v>
      </c>
      <c r="AI137" s="133"/>
      <c r="AJ137" s="170"/>
      <c r="AK137" s="133"/>
      <c r="AL137" s="133"/>
    </row>
    <row r="138" spans="1:38" ht="15.95" hidden="1" customHeight="1" x14ac:dyDescent="0.25">
      <c r="A138" s="153"/>
      <c r="B138" s="167" t="s">
        <v>59</v>
      </c>
      <c r="C138" s="141">
        <f t="shared" ref="C138:AG138" si="132">IF(C17="V",$C36,IF(C17="PR",$C38,0))</f>
        <v>0</v>
      </c>
      <c r="D138" s="141">
        <f t="shared" si="132"/>
        <v>0</v>
      </c>
      <c r="E138" s="141">
        <f t="shared" si="132"/>
        <v>0</v>
      </c>
      <c r="F138" s="141">
        <f t="shared" si="132"/>
        <v>0</v>
      </c>
      <c r="G138" s="141">
        <f>IF(G17="V",$C36,IF(G17="PR",$C38,0))</f>
        <v>0</v>
      </c>
      <c r="H138" s="141">
        <f t="shared" si="132"/>
        <v>0</v>
      </c>
      <c r="I138" s="141">
        <f t="shared" si="132"/>
        <v>0</v>
      </c>
      <c r="J138" s="141">
        <f t="shared" si="132"/>
        <v>0</v>
      </c>
      <c r="K138" s="141">
        <f t="shared" si="132"/>
        <v>0</v>
      </c>
      <c r="L138" s="141">
        <f t="shared" si="132"/>
        <v>0</v>
      </c>
      <c r="M138" s="141">
        <f t="shared" si="132"/>
        <v>0</v>
      </c>
      <c r="N138" s="141">
        <f t="shared" si="132"/>
        <v>0</v>
      </c>
      <c r="O138" s="141">
        <f t="shared" si="132"/>
        <v>0</v>
      </c>
      <c r="P138" s="141">
        <f t="shared" si="132"/>
        <v>0</v>
      </c>
      <c r="Q138" s="141">
        <f t="shared" si="132"/>
        <v>0</v>
      </c>
      <c r="R138" s="141">
        <f t="shared" si="132"/>
        <v>0</v>
      </c>
      <c r="S138" s="141">
        <f t="shared" si="132"/>
        <v>0</v>
      </c>
      <c r="T138" s="141">
        <f t="shared" si="132"/>
        <v>0</v>
      </c>
      <c r="U138" s="141">
        <f t="shared" si="132"/>
        <v>0</v>
      </c>
      <c r="V138" s="141">
        <f t="shared" si="132"/>
        <v>0</v>
      </c>
      <c r="W138" s="141">
        <f t="shared" si="132"/>
        <v>0</v>
      </c>
      <c r="X138" s="141">
        <f t="shared" si="132"/>
        <v>0</v>
      </c>
      <c r="Y138" s="141">
        <f t="shared" si="132"/>
        <v>0</v>
      </c>
      <c r="Z138" s="141">
        <f t="shared" si="132"/>
        <v>0</v>
      </c>
      <c r="AA138" s="141">
        <f t="shared" si="132"/>
        <v>0</v>
      </c>
      <c r="AB138" s="141">
        <f t="shared" si="132"/>
        <v>0</v>
      </c>
      <c r="AC138" s="141">
        <f t="shared" si="132"/>
        <v>0</v>
      </c>
      <c r="AD138" s="141">
        <f t="shared" si="132"/>
        <v>0</v>
      </c>
      <c r="AE138" s="141">
        <f t="shared" si="132"/>
        <v>0</v>
      </c>
      <c r="AF138" s="141">
        <f t="shared" si="132"/>
        <v>0</v>
      </c>
      <c r="AG138" s="141">
        <f t="shared" si="132"/>
        <v>0</v>
      </c>
      <c r="AH138" s="226">
        <f>SUM(C138:AG138)</f>
        <v>0</v>
      </c>
      <c r="AI138" s="226"/>
      <c r="AJ138" s="230">
        <f>SUM(AH83+AH94+AH105+AH116+AH127+AH138)</f>
        <v>0</v>
      </c>
      <c r="AK138" s="230"/>
      <c r="AL138" s="133" t="s">
        <v>56</v>
      </c>
    </row>
    <row r="139" spans="1:38" ht="15.95" hidden="1" customHeight="1" x14ac:dyDescent="0.25">
      <c r="A139" s="150" t="s">
        <v>60</v>
      </c>
      <c r="B139" s="167" t="s">
        <v>61</v>
      </c>
      <c r="C139" s="151">
        <f t="shared" ref="C139:AD139" si="133">IF(C17=$R32,$BC32,IF(C17=$R33,$BC33,IF(C17=$R34,$BC34,IF(C17=$R35,$BC35,IF(C17=$R36,$BC36,IF(C17=$R37,$BC37,IF(C17=$R38,$BC38,IF(C17=$R39,$BC39,IF(C17=$R40,$BC40,0)))))))))</f>
        <v>0</v>
      </c>
      <c r="D139" s="151">
        <f t="shared" si="133"/>
        <v>0</v>
      </c>
      <c r="E139" s="151">
        <f t="shared" si="133"/>
        <v>0</v>
      </c>
      <c r="F139" s="151">
        <f t="shared" si="133"/>
        <v>0</v>
      </c>
      <c r="G139" s="151">
        <f>IF(G17=$R32,$BC32,IF(G17=$R33,$BC33,IF(G17=$R34,$BC34,IF(G17=$R35,$BC35,IF(G17=$R36,$BC36,IF(G17=$R37,$BC37,IF(G17=$R38,$BC38,IF(G17=$R39,$BC39,IF(G17=$R40,$BC40,0)))))))))</f>
        <v>0</v>
      </c>
      <c r="H139" s="151">
        <f t="shared" si="133"/>
        <v>0</v>
      </c>
      <c r="I139" s="151">
        <f t="shared" si="133"/>
        <v>0</v>
      </c>
      <c r="J139" s="151">
        <f t="shared" si="133"/>
        <v>0</v>
      </c>
      <c r="K139" s="151">
        <f t="shared" si="133"/>
        <v>0</v>
      </c>
      <c r="L139" s="151">
        <f t="shared" si="133"/>
        <v>0</v>
      </c>
      <c r="M139" s="151">
        <f t="shared" si="133"/>
        <v>0</v>
      </c>
      <c r="N139" s="151">
        <f t="shared" si="133"/>
        <v>0</v>
      </c>
      <c r="O139" s="151">
        <f t="shared" si="133"/>
        <v>0</v>
      </c>
      <c r="P139" s="151">
        <f t="shared" si="133"/>
        <v>0</v>
      </c>
      <c r="Q139" s="151">
        <f t="shared" si="133"/>
        <v>0</v>
      </c>
      <c r="R139" s="151">
        <f t="shared" si="133"/>
        <v>0</v>
      </c>
      <c r="S139" s="151">
        <f t="shared" si="133"/>
        <v>0</v>
      </c>
      <c r="T139" s="151">
        <f t="shared" si="133"/>
        <v>0</v>
      </c>
      <c r="U139" s="151">
        <f t="shared" si="133"/>
        <v>0</v>
      </c>
      <c r="V139" s="151">
        <f t="shared" si="133"/>
        <v>0</v>
      </c>
      <c r="W139" s="151">
        <f t="shared" si="133"/>
        <v>0</v>
      </c>
      <c r="X139" s="151">
        <f t="shared" si="133"/>
        <v>0</v>
      </c>
      <c r="Y139" s="151">
        <f t="shared" si="133"/>
        <v>0</v>
      </c>
      <c r="Z139" s="151">
        <f t="shared" si="133"/>
        <v>0</v>
      </c>
      <c r="AA139" s="151">
        <f t="shared" si="133"/>
        <v>0</v>
      </c>
      <c r="AB139" s="151">
        <f t="shared" si="133"/>
        <v>0</v>
      </c>
      <c r="AC139" s="151">
        <f t="shared" si="133"/>
        <v>0</v>
      </c>
      <c r="AD139" s="151">
        <f t="shared" si="133"/>
        <v>0</v>
      </c>
      <c r="AE139" s="151">
        <f>IF(AE17=$R32,$BC32,IF(AE17=$R33,$BC33,IF(AE17=$R34,$BC34,IF(AE17=$R35,$BC35,IF(AE17=$R36,$BC36,IF(AE17=$R37,$BC37,IF(AE17=$R38,$BC38,IF(AE17=$R39,$BC39,IF(AE17=$R40,$BC40,0)))))))))</f>
        <v>0</v>
      </c>
      <c r="AF139" s="151">
        <f>IF(AF17=$R32,$BC32,IF(AF17=$R33,$BC33,IF(AF17=$R34,$BC34,IF(AF17=$R35,$BC35,IF(AF17=$R36,$BC36,IF(AF17=$R37,$BC37,IF(AF17=$R38,$BC38,IF(AF17=$R39,$BC39,IF(AF17=$R40,$BC40,0)))))))))</f>
        <v>0</v>
      </c>
      <c r="AG139" s="151">
        <f>IF(AG17=$R32,$BC32,IF(AG17=$R33,$BC33,IF(AG17=$R34,$BC34,IF(AG17=$R35,$BC35,IF(AG17=$R36,$BC36,IF(AG17=$R37,$BC37,IF(AG17=$R38,$BC38,IF(AG17=$R39,$BC39,IF(AG17=$R40,$BC40,0)))))))))</f>
        <v>0</v>
      </c>
      <c r="AH139" s="226">
        <f>SUM(C139:AG139)</f>
        <v>0</v>
      </c>
      <c r="AI139" s="226"/>
      <c r="AJ139" s="174" t="s">
        <v>62</v>
      </c>
      <c r="AK139" s="133" t="s">
        <v>12</v>
      </c>
      <c r="AL139" s="133"/>
    </row>
    <row r="140" spans="1:38" ht="15.95" hidden="1" customHeight="1" x14ac:dyDescent="0.25">
      <c r="A140" s="153" t="s">
        <v>48</v>
      </c>
      <c r="B140" s="149" t="s">
        <v>63</v>
      </c>
      <c r="C140" s="141">
        <f t="shared" ref="C140:AG140" si="134">IF(C46=1,IF(C135&lt;C136,C139,0))</f>
        <v>0</v>
      </c>
      <c r="D140" s="141" t="b">
        <f t="shared" si="134"/>
        <v>0</v>
      </c>
      <c r="E140" s="141" t="b">
        <f t="shared" si="134"/>
        <v>0</v>
      </c>
      <c r="F140" s="141" t="b">
        <f t="shared" si="134"/>
        <v>0</v>
      </c>
      <c r="G140" s="141" t="b">
        <f t="shared" si="134"/>
        <v>0</v>
      </c>
      <c r="H140" s="141" t="b">
        <f t="shared" si="134"/>
        <v>0</v>
      </c>
      <c r="I140" s="141">
        <f t="shared" si="134"/>
        <v>0</v>
      </c>
      <c r="J140" s="141">
        <f t="shared" si="134"/>
        <v>0</v>
      </c>
      <c r="K140" s="141" t="b">
        <f t="shared" si="134"/>
        <v>0</v>
      </c>
      <c r="L140" s="141" t="b">
        <f t="shared" si="134"/>
        <v>0</v>
      </c>
      <c r="M140" s="141" t="b">
        <f t="shared" si="134"/>
        <v>0</v>
      </c>
      <c r="N140" s="141" t="b">
        <f t="shared" si="134"/>
        <v>0</v>
      </c>
      <c r="O140" s="141" t="b">
        <f t="shared" si="134"/>
        <v>0</v>
      </c>
      <c r="P140" s="141">
        <f t="shared" si="134"/>
        <v>0</v>
      </c>
      <c r="Q140" s="141">
        <f t="shared" si="134"/>
        <v>0</v>
      </c>
      <c r="R140" s="141" t="b">
        <f t="shared" si="134"/>
        <v>0</v>
      </c>
      <c r="S140" s="141" t="b">
        <f t="shared" si="134"/>
        <v>0</v>
      </c>
      <c r="T140" s="141" t="b">
        <f t="shared" si="134"/>
        <v>0</v>
      </c>
      <c r="U140" s="141" t="b">
        <f t="shared" si="134"/>
        <v>0</v>
      </c>
      <c r="V140" s="141" t="b">
        <f t="shared" si="134"/>
        <v>0</v>
      </c>
      <c r="W140" s="141">
        <f t="shared" si="134"/>
        <v>0</v>
      </c>
      <c r="X140" s="141">
        <f t="shared" si="134"/>
        <v>0</v>
      </c>
      <c r="Y140" s="141" t="b">
        <f t="shared" si="134"/>
        <v>0</v>
      </c>
      <c r="Z140" s="141" t="b">
        <f t="shared" si="134"/>
        <v>0</v>
      </c>
      <c r="AA140" s="141" t="b">
        <f t="shared" si="134"/>
        <v>0</v>
      </c>
      <c r="AB140" s="141" t="b">
        <f t="shared" si="134"/>
        <v>0</v>
      </c>
      <c r="AC140" s="141" t="b">
        <f t="shared" si="134"/>
        <v>0</v>
      </c>
      <c r="AD140" s="141">
        <f t="shared" si="134"/>
        <v>0</v>
      </c>
      <c r="AE140" s="141" t="b">
        <f t="shared" si="134"/>
        <v>0</v>
      </c>
      <c r="AF140" s="141" t="b">
        <f t="shared" si="134"/>
        <v>0</v>
      </c>
      <c r="AG140" s="141" t="b">
        <f t="shared" si="134"/>
        <v>0</v>
      </c>
      <c r="AH140" s="154" t="s">
        <v>12</v>
      </c>
      <c r="AI140" s="133"/>
      <c r="AJ140" s="170"/>
      <c r="AK140" s="133"/>
      <c r="AL140" s="133"/>
    </row>
    <row r="141" spans="1:38" ht="15.95" hidden="1" customHeight="1" x14ac:dyDescent="0.25">
      <c r="A141" s="176"/>
      <c r="B141" s="149" t="s">
        <v>64</v>
      </c>
      <c r="C141" s="141">
        <f t="shared" ref="C141:AG141" si="135">IF(C46=1,IF(C135&gt;C136,24-C135,0),0)</f>
        <v>0</v>
      </c>
      <c r="D141" s="141">
        <f t="shared" si="135"/>
        <v>0</v>
      </c>
      <c r="E141" s="141">
        <f t="shared" si="135"/>
        <v>0</v>
      </c>
      <c r="F141" s="141">
        <f t="shared" si="135"/>
        <v>0</v>
      </c>
      <c r="G141" s="141">
        <f t="shared" si="135"/>
        <v>0</v>
      </c>
      <c r="H141" s="141">
        <f t="shared" si="135"/>
        <v>0</v>
      </c>
      <c r="I141" s="141">
        <f t="shared" si="135"/>
        <v>0</v>
      </c>
      <c r="J141" s="141">
        <f t="shared" si="135"/>
        <v>0</v>
      </c>
      <c r="K141" s="141">
        <f t="shared" si="135"/>
        <v>0</v>
      </c>
      <c r="L141" s="141">
        <f t="shared" si="135"/>
        <v>0</v>
      </c>
      <c r="M141" s="141">
        <f t="shared" si="135"/>
        <v>0</v>
      </c>
      <c r="N141" s="141">
        <f t="shared" si="135"/>
        <v>0</v>
      </c>
      <c r="O141" s="141">
        <f t="shared" si="135"/>
        <v>0</v>
      </c>
      <c r="P141" s="141">
        <f t="shared" si="135"/>
        <v>0</v>
      </c>
      <c r="Q141" s="141">
        <f t="shared" si="135"/>
        <v>0</v>
      </c>
      <c r="R141" s="141">
        <f t="shared" si="135"/>
        <v>0</v>
      </c>
      <c r="S141" s="141">
        <f t="shared" si="135"/>
        <v>0</v>
      </c>
      <c r="T141" s="141">
        <f t="shared" si="135"/>
        <v>0</v>
      </c>
      <c r="U141" s="141">
        <f t="shared" si="135"/>
        <v>0</v>
      </c>
      <c r="V141" s="141">
        <f t="shared" si="135"/>
        <v>0</v>
      </c>
      <c r="W141" s="141">
        <f t="shared" si="135"/>
        <v>0</v>
      </c>
      <c r="X141" s="141">
        <f t="shared" si="135"/>
        <v>0</v>
      </c>
      <c r="Y141" s="141">
        <f t="shared" si="135"/>
        <v>0</v>
      </c>
      <c r="Z141" s="141">
        <f t="shared" si="135"/>
        <v>0</v>
      </c>
      <c r="AA141" s="141">
        <f t="shared" si="135"/>
        <v>0</v>
      </c>
      <c r="AB141" s="141">
        <f t="shared" si="135"/>
        <v>0</v>
      </c>
      <c r="AC141" s="141">
        <f t="shared" si="135"/>
        <v>0</v>
      </c>
      <c r="AD141" s="141">
        <f t="shared" si="135"/>
        <v>0</v>
      </c>
      <c r="AE141" s="141">
        <f t="shared" si="135"/>
        <v>0</v>
      </c>
      <c r="AF141" s="141">
        <f t="shared" si="135"/>
        <v>0</v>
      </c>
      <c r="AG141" s="141">
        <f t="shared" si="135"/>
        <v>0</v>
      </c>
      <c r="AH141" s="154" t="s">
        <v>12</v>
      </c>
      <c r="AI141" s="133"/>
      <c r="AJ141" s="170"/>
      <c r="AK141" s="133"/>
      <c r="AL141" s="133"/>
    </row>
    <row r="142" spans="1:38" ht="15.95" hidden="1" customHeight="1" x14ac:dyDescent="0.25">
      <c r="A142" s="176"/>
      <c r="B142" s="149" t="s">
        <v>65</v>
      </c>
      <c r="C142" s="141">
        <f t="shared" ref="C142:AG142" si="136">IF(D46=1,IF(C135&gt;C136,C136,0),0)</f>
        <v>0</v>
      </c>
      <c r="D142" s="141">
        <f t="shared" si="136"/>
        <v>0</v>
      </c>
      <c r="E142" s="141">
        <f t="shared" si="136"/>
        <v>0</v>
      </c>
      <c r="F142" s="141">
        <f t="shared" si="136"/>
        <v>0</v>
      </c>
      <c r="G142" s="141">
        <f t="shared" si="136"/>
        <v>0</v>
      </c>
      <c r="H142" s="141">
        <f t="shared" si="136"/>
        <v>0</v>
      </c>
      <c r="I142" s="141">
        <f t="shared" si="136"/>
        <v>0</v>
      </c>
      <c r="J142" s="141">
        <f t="shared" si="136"/>
        <v>0</v>
      </c>
      <c r="K142" s="141">
        <f t="shared" si="136"/>
        <v>0</v>
      </c>
      <c r="L142" s="141">
        <f t="shared" si="136"/>
        <v>0</v>
      </c>
      <c r="M142" s="141">
        <f t="shared" si="136"/>
        <v>0</v>
      </c>
      <c r="N142" s="141">
        <f t="shared" si="136"/>
        <v>0</v>
      </c>
      <c r="O142" s="141">
        <f t="shared" si="136"/>
        <v>0</v>
      </c>
      <c r="P142" s="141">
        <f t="shared" si="136"/>
        <v>0</v>
      </c>
      <c r="Q142" s="141">
        <f t="shared" si="136"/>
        <v>0</v>
      </c>
      <c r="R142" s="141">
        <f t="shared" si="136"/>
        <v>0</v>
      </c>
      <c r="S142" s="141">
        <f t="shared" si="136"/>
        <v>0</v>
      </c>
      <c r="T142" s="141">
        <f t="shared" si="136"/>
        <v>0</v>
      </c>
      <c r="U142" s="141">
        <f t="shared" si="136"/>
        <v>0</v>
      </c>
      <c r="V142" s="141">
        <f t="shared" si="136"/>
        <v>0</v>
      </c>
      <c r="W142" s="141">
        <f t="shared" si="136"/>
        <v>0</v>
      </c>
      <c r="X142" s="141">
        <f>IF(Y46=1,IF(X135&gt;X136,X136,0),0)</f>
        <v>0</v>
      </c>
      <c r="Y142" s="141">
        <f t="shared" si="136"/>
        <v>0</v>
      </c>
      <c r="Z142" s="141">
        <f t="shared" si="136"/>
        <v>0</v>
      </c>
      <c r="AA142" s="141">
        <f t="shared" si="136"/>
        <v>0</v>
      </c>
      <c r="AB142" s="141">
        <f t="shared" si="136"/>
        <v>0</v>
      </c>
      <c r="AC142" s="141">
        <f t="shared" si="136"/>
        <v>0</v>
      </c>
      <c r="AD142" s="141">
        <f t="shared" si="136"/>
        <v>0</v>
      </c>
      <c r="AE142" s="141">
        <f t="shared" si="136"/>
        <v>0</v>
      </c>
      <c r="AF142" s="141">
        <f t="shared" si="136"/>
        <v>0</v>
      </c>
      <c r="AG142" s="141">
        <f t="shared" si="136"/>
        <v>0</v>
      </c>
      <c r="AH142" s="154" t="s">
        <v>12</v>
      </c>
      <c r="AI142" s="133"/>
      <c r="AJ142" s="170"/>
      <c r="AK142" s="133"/>
      <c r="AL142" s="133"/>
    </row>
    <row r="143" spans="1:38" ht="15.95" hidden="1" customHeight="1" x14ac:dyDescent="0.25">
      <c r="A143" s="176"/>
      <c r="B143" s="149" t="s">
        <v>67</v>
      </c>
      <c r="C143" s="171">
        <f>SUM(C140:C142)</f>
        <v>0</v>
      </c>
      <c r="D143" s="171">
        <f t="shared" ref="D143:AG143" si="137">SUM(D140:D142)</f>
        <v>0</v>
      </c>
      <c r="E143" s="171">
        <f t="shared" si="137"/>
        <v>0</v>
      </c>
      <c r="F143" s="171">
        <f t="shared" si="137"/>
        <v>0</v>
      </c>
      <c r="G143" s="171">
        <f t="shared" si="137"/>
        <v>0</v>
      </c>
      <c r="H143" s="171">
        <f t="shared" si="137"/>
        <v>0</v>
      </c>
      <c r="I143" s="171">
        <f t="shared" si="137"/>
        <v>0</v>
      </c>
      <c r="J143" s="171">
        <f t="shared" si="137"/>
        <v>0</v>
      </c>
      <c r="K143" s="171">
        <f t="shared" si="137"/>
        <v>0</v>
      </c>
      <c r="L143" s="171">
        <f t="shared" si="137"/>
        <v>0</v>
      </c>
      <c r="M143" s="171">
        <f t="shared" si="137"/>
        <v>0</v>
      </c>
      <c r="N143" s="171">
        <f t="shared" si="137"/>
        <v>0</v>
      </c>
      <c r="O143" s="171">
        <f t="shared" si="137"/>
        <v>0</v>
      </c>
      <c r="P143" s="171">
        <f t="shared" si="137"/>
        <v>0</v>
      </c>
      <c r="Q143" s="171">
        <f t="shared" si="137"/>
        <v>0</v>
      </c>
      <c r="R143" s="171">
        <f t="shared" si="137"/>
        <v>0</v>
      </c>
      <c r="S143" s="171">
        <f t="shared" si="137"/>
        <v>0</v>
      </c>
      <c r="T143" s="171">
        <f t="shared" si="137"/>
        <v>0</v>
      </c>
      <c r="U143" s="171">
        <f t="shared" si="137"/>
        <v>0</v>
      </c>
      <c r="V143" s="171">
        <f t="shared" si="137"/>
        <v>0</v>
      </c>
      <c r="W143" s="171">
        <f t="shared" si="137"/>
        <v>0</v>
      </c>
      <c r="X143" s="171">
        <f t="shared" si="137"/>
        <v>0</v>
      </c>
      <c r="Y143" s="171">
        <f t="shared" si="137"/>
        <v>0</v>
      </c>
      <c r="Z143" s="171">
        <f t="shared" si="137"/>
        <v>0</v>
      </c>
      <c r="AA143" s="171">
        <f t="shared" si="137"/>
        <v>0</v>
      </c>
      <c r="AB143" s="171">
        <f t="shared" si="137"/>
        <v>0</v>
      </c>
      <c r="AC143" s="171">
        <f t="shared" si="137"/>
        <v>0</v>
      </c>
      <c r="AD143" s="171">
        <f t="shared" si="137"/>
        <v>0</v>
      </c>
      <c r="AE143" s="171">
        <f t="shared" si="137"/>
        <v>0</v>
      </c>
      <c r="AF143" s="171">
        <f t="shared" si="137"/>
        <v>0</v>
      </c>
      <c r="AG143" s="171">
        <f t="shared" si="137"/>
        <v>0</v>
      </c>
      <c r="AH143" s="154" t="s">
        <v>12</v>
      </c>
      <c r="AI143" s="133"/>
      <c r="AJ143" s="170"/>
      <c r="AK143" s="133"/>
      <c r="AL143" s="133"/>
    </row>
    <row r="144" spans="1:38" ht="15.95" hidden="1" customHeight="1" x14ac:dyDescent="0.25">
      <c r="A144" s="177"/>
      <c r="B144" s="160" t="s">
        <v>68</v>
      </c>
      <c r="C144" s="161">
        <f t="shared" ref="C144:AG144" si="138">IF(C17="V",IF(C17="",0,1),0)</f>
        <v>0</v>
      </c>
      <c r="D144" s="161">
        <f t="shared" si="138"/>
        <v>0</v>
      </c>
      <c r="E144" s="161">
        <f t="shared" si="138"/>
        <v>0</v>
      </c>
      <c r="F144" s="161">
        <f t="shared" si="138"/>
        <v>0</v>
      </c>
      <c r="G144" s="161">
        <f>IF(G17="V",IF(G17="",0,1),0)</f>
        <v>0</v>
      </c>
      <c r="H144" s="161">
        <f t="shared" si="138"/>
        <v>0</v>
      </c>
      <c r="I144" s="161">
        <f t="shared" si="138"/>
        <v>0</v>
      </c>
      <c r="J144" s="161">
        <f t="shared" si="138"/>
        <v>0</v>
      </c>
      <c r="K144" s="161">
        <f t="shared" si="138"/>
        <v>0</v>
      </c>
      <c r="L144" s="161">
        <f t="shared" si="138"/>
        <v>0</v>
      </c>
      <c r="M144" s="161">
        <f t="shared" si="138"/>
        <v>0</v>
      </c>
      <c r="N144" s="161">
        <f t="shared" si="138"/>
        <v>0</v>
      </c>
      <c r="O144" s="161">
        <f t="shared" si="138"/>
        <v>0</v>
      </c>
      <c r="P144" s="161">
        <f t="shared" si="138"/>
        <v>0</v>
      </c>
      <c r="Q144" s="161">
        <f t="shared" si="138"/>
        <v>0</v>
      </c>
      <c r="R144" s="161">
        <f t="shared" si="138"/>
        <v>0</v>
      </c>
      <c r="S144" s="161">
        <f t="shared" si="138"/>
        <v>0</v>
      </c>
      <c r="T144" s="161">
        <f t="shared" si="138"/>
        <v>0</v>
      </c>
      <c r="U144" s="161">
        <f t="shared" si="138"/>
        <v>0</v>
      </c>
      <c r="V144" s="161">
        <f t="shared" si="138"/>
        <v>0</v>
      </c>
      <c r="W144" s="161">
        <f t="shared" si="138"/>
        <v>0</v>
      </c>
      <c r="X144" s="161">
        <f t="shared" si="138"/>
        <v>0</v>
      </c>
      <c r="Y144" s="161">
        <f t="shared" si="138"/>
        <v>0</v>
      </c>
      <c r="Z144" s="161">
        <f t="shared" si="138"/>
        <v>0</v>
      </c>
      <c r="AA144" s="161">
        <f t="shared" si="138"/>
        <v>0</v>
      </c>
      <c r="AB144" s="161">
        <f t="shared" si="138"/>
        <v>0</v>
      </c>
      <c r="AC144" s="161">
        <f t="shared" si="138"/>
        <v>0</v>
      </c>
      <c r="AD144" s="161">
        <f t="shared" si="138"/>
        <v>0</v>
      </c>
      <c r="AE144" s="161">
        <f t="shared" si="138"/>
        <v>0</v>
      </c>
      <c r="AF144" s="161">
        <f t="shared" si="138"/>
        <v>0</v>
      </c>
      <c r="AG144" s="161">
        <f t="shared" si="138"/>
        <v>0</v>
      </c>
      <c r="AH144" s="154" t="s">
        <v>12</v>
      </c>
      <c r="AI144" s="133"/>
      <c r="AJ144" s="170"/>
      <c r="AK144" s="133"/>
      <c r="AL144" s="133"/>
    </row>
    <row r="145" spans="1:38" ht="15.95" hidden="1" customHeight="1" x14ac:dyDescent="0.25">
      <c r="A145" s="180"/>
      <c r="B145" s="181" t="s">
        <v>16</v>
      </c>
      <c r="C145" s="182">
        <f t="shared" ref="C145:AG145" si="139">IF(C17="PR",IF(C17="",0,1),0)</f>
        <v>0</v>
      </c>
      <c r="D145" s="182">
        <f t="shared" si="139"/>
        <v>0</v>
      </c>
      <c r="E145" s="182">
        <f t="shared" si="139"/>
        <v>0</v>
      </c>
      <c r="F145" s="182">
        <f t="shared" si="139"/>
        <v>0</v>
      </c>
      <c r="G145" s="182">
        <f>IF(G17="PR",IF(G17="",0,1),0)</f>
        <v>0</v>
      </c>
      <c r="H145" s="182">
        <f t="shared" si="139"/>
        <v>0</v>
      </c>
      <c r="I145" s="182">
        <f t="shared" si="139"/>
        <v>0</v>
      </c>
      <c r="J145" s="182">
        <f t="shared" si="139"/>
        <v>0</v>
      </c>
      <c r="K145" s="182">
        <f t="shared" si="139"/>
        <v>0</v>
      </c>
      <c r="L145" s="182">
        <f t="shared" si="139"/>
        <v>0</v>
      </c>
      <c r="M145" s="182">
        <f t="shared" si="139"/>
        <v>0</v>
      </c>
      <c r="N145" s="182">
        <f t="shared" si="139"/>
        <v>0</v>
      </c>
      <c r="O145" s="182">
        <f t="shared" si="139"/>
        <v>0</v>
      </c>
      <c r="P145" s="182">
        <f t="shared" si="139"/>
        <v>0</v>
      </c>
      <c r="Q145" s="182">
        <f t="shared" si="139"/>
        <v>0</v>
      </c>
      <c r="R145" s="182">
        <f t="shared" si="139"/>
        <v>0</v>
      </c>
      <c r="S145" s="182">
        <f t="shared" si="139"/>
        <v>0</v>
      </c>
      <c r="T145" s="182">
        <f t="shared" si="139"/>
        <v>0</v>
      </c>
      <c r="U145" s="182">
        <f t="shared" si="139"/>
        <v>0</v>
      </c>
      <c r="V145" s="182">
        <f t="shared" si="139"/>
        <v>0</v>
      </c>
      <c r="W145" s="182">
        <f t="shared" si="139"/>
        <v>0</v>
      </c>
      <c r="X145" s="182">
        <f t="shared" si="139"/>
        <v>0</v>
      </c>
      <c r="Y145" s="182">
        <f t="shared" si="139"/>
        <v>0</v>
      </c>
      <c r="Z145" s="182">
        <f t="shared" si="139"/>
        <v>0</v>
      </c>
      <c r="AA145" s="182">
        <f t="shared" si="139"/>
        <v>0</v>
      </c>
      <c r="AB145" s="182">
        <f t="shared" si="139"/>
        <v>0</v>
      </c>
      <c r="AC145" s="182">
        <f t="shared" si="139"/>
        <v>0</v>
      </c>
      <c r="AD145" s="182">
        <f t="shared" si="139"/>
        <v>0</v>
      </c>
      <c r="AE145" s="182">
        <f t="shared" si="139"/>
        <v>0</v>
      </c>
      <c r="AF145" s="182">
        <f t="shared" si="139"/>
        <v>0</v>
      </c>
      <c r="AG145" s="182">
        <f t="shared" si="139"/>
        <v>0</v>
      </c>
      <c r="AH145" s="227">
        <f>SUM(C145:AG145)</f>
        <v>0</v>
      </c>
      <c r="AI145" s="227"/>
      <c r="AJ145" s="174" t="s">
        <v>69</v>
      </c>
      <c r="AK145" s="133"/>
      <c r="AL145" s="133"/>
    </row>
    <row r="146" spans="1:38" ht="15.95" hidden="1" customHeight="1" x14ac:dyDescent="0.25">
      <c r="A146" s="164" t="s">
        <v>87</v>
      </c>
      <c r="B146" s="165" t="s">
        <v>29</v>
      </c>
      <c r="C146" s="141">
        <f t="shared" ref="C146:AG146" si="140">IF(C18=$R32,$S32*24,IF(C18=$R33,$S33*24,IF(C18=$R34,$S34*24,IF(C18=$R35,$S35*24,IF(C18=$R36,$S36*24,IF(C18=$R37,$S37*24,IF(C18=$R38,$S38*24,IF(C18=$R39,$S39*24,IF(C18=$R40,$S40*24,"")))))))))</f>
        <v>6</v>
      </c>
      <c r="D146" s="141" t="str">
        <f t="shared" si="140"/>
        <v/>
      </c>
      <c r="E146" s="141" t="str">
        <f t="shared" si="140"/>
        <v/>
      </c>
      <c r="F146" s="141">
        <f t="shared" si="140"/>
        <v>6</v>
      </c>
      <c r="G146" s="141">
        <f t="shared" si="140"/>
        <v>6</v>
      </c>
      <c r="H146" s="141" t="str">
        <f t="shared" si="140"/>
        <v/>
      </c>
      <c r="I146" s="141" t="str">
        <f t="shared" si="140"/>
        <v/>
      </c>
      <c r="J146" s="141" t="str">
        <f t="shared" si="140"/>
        <v/>
      </c>
      <c r="K146" s="141">
        <f t="shared" si="140"/>
        <v>6</v>
      </c>
      <c r="L146" s="141">
        <f t="shared" si="140"/>
        <v>6</v>
      </c>
      <c r="M146" s="141" t="str">
        <f t="shared" si="140"/>
        <v/>
      </c>
      <c r="N146" s="141" t="str">
        <f t="shared" si="140"/>
        <v/>
      </c>
      <c r="O146" s="141">
        <f t="shared" si="140"/>
        <v>6</v>
      </c>
      <c r="P146" s="141">
        <f t="shared" si="140"/>
        <v>6</v>
      </c>
      <c r="Q146" s="141">
        <f t="shared" si="140"/>
        <v>6</v>
      </c>
      <c r="R146" s="141" t="str">
        <f t="shared" si="140"/>
        <v/>
      </c>
      <c r="S146" s="141" t="str">
        <f t="shared" si="140"/>
        <v/>
      </c>
      <c r="T146" s="141">
        <f t="shared" si="140"/>
        <v>6</v>
      </c>
      <c r="U146" s="141">
        <f t="shared" si="140"/>
        <v>6</v>
      </c>
      <c r="V146" s="141" t="str">
        <f t="shared" si="140"/>
        <v/>
      </c>
      <c r="W146" s="141" t="str">
        <f t="shared" si="140"/>
        <v/>
      </c>
      <c r="X146" s="141" t="str">
        <f t="shared" si="140"/>
        <v/>
      </c>
      <c r="Y146" s="141">
        <f t="shared" si="140"/>
        <v>6</v>
      </c>
      <c r="Z146" s="141">
        <f t="shared" si="140"/>
        <v>6</v>
      </c>
      <c r="AA146" s="141" t="str">
        <f t="shared" si="140"/>
        <v/>
      </c>
      <c r="AB146" s="141" t="str">
        <f t="shared" si="140"/>
        <v/>
      </c>
      <c r="AC146" s="141">
        <f t="shared" si="140"/>
        <v>6</v>
      </c>
      <c r="AD146" s="141">
        <f t="shared" si="140"/>
        <v>6</v>
      </c>
      <c r="AE146" s="141" t="str">
        <f t="shared" si="140"/>
        <v/>
      </c>
      <c r="AF146" s="141" t="str">
        <f t="shared" si="140"/>
        <v/>
      </c>
      <c r="AG146" s="141" t="str">
        <f t="shared" si="140"/>
        <v/>
      </c>
      <c r="AH146" s="154" t="s">
        <v>12</v>
      </c>
      <c r="AI146" s="133"/>
      <c r="AJ146" s="170"/>
      <c r="AK146" s="133"/>
      <c r="AL146" s="133"/>
    </row>
    <row r="147" spans="1:38" ht="15.95" hidden="1" customHeight="1" x14ac:dyDescent="0.25">
      <c r="A147" s="166" t="s">
        <v>88</v>
      </c>
      <c r="B147" s="167" t="s">
        <v>30</v>
      </c>
      <c r="C147" s="141">
        <f t="shared" ref="C147:AG147" si="141">IF(C18=$R32,$V32*24,IF(C18=$R33,$V33*24,IF(C18=$R34,$V34*24,IF(C18=$R35,$V35*24,IF(C18=$R36,$V36*24,IF(C18=$R37,$V37*24,IF(C18=$R38,$V38*24,IF(C18=$R39,$V39*24,IF(C18=$R40,$V40*24,"")))))))))</f>
        <v>18</v>
      </c>
      <c r="D147" s="141" t="str">
        <f t="shared" si="141"/>
        <v/>
      </c>
      <c r="E147" s="141" t="str">
        <f t="shared" si="141"/>
        <v/>
      </c>
      <c r="F147" s="141">
        <f t="shared" si="141"/>
        <v>18</v>
      </c>
      <c r="G147" s="141">
        <f t="shared" si="141"/>
        <v>18</v>
      </c>
      <c r="H147" s="141" t="str">
        <f t="shared" si="141"/>
        <v/>
      </c>
      <c r="I147" s="141" t="str">
        <f t="shared" si="141"/>
        <v/>
      </c>
      <c r="J147" s="141" t="str">
        <f t="shared" si="141"/>
        <v/>
      </c>
      <c r="K147" s="141">
        <f t="shared" si="141"/>
        <v>18</v>
      </c>
      <c r="L147" s="141">
        <f t="shared" si="141"/>
        <v>18</v>
      </c>
      <c r="M147" s="141" t="str">
        <f t="shared" si="141"/>
        <v/>
      </c>
      <c r="N147" s="141" t="str">
        <f t="shared" si="141"/>
        <v/>
      </c>
      <c r="O147" s="141">
        <f t="shared" si="141"/>
        <v>18</v>
      </c>
      <c r="P147" s="141">
        <f t="shared" si="141"/>
        <v>18</v>
      </c>
      <c r="Q147" s="141">
        <f t="shared" si="141"/>
        <v>18</v>
      </c>
      <c r="R147" s="141" t="str">
        <f t="shared" si="141"/>
        <v/>
      </c>
      <c r="S147" s="141" t="str">
        <f t="shared" si="141"/>
        <v/>
      </c>
      <c r="T147" s="141">
        <f t="shared" si="141"/>
        <v>18</v>
      </c>
      <c r="U147" s="141">
        <f t="shared" si="141"/>
        <v>18</v>
      </c>
      <c r="V147" s="141" t="str">
        <f t="shared" si="141"/>
        <v/>
      </c>
      <c r="W147" s="141" t="str">
        <f t="shared" si="141"/>
        <v/>
      </c>
      <c r="X147" s="141" t="str">
        <f t="shared" si="141"/>
        <v/>
      </c>
      <c r="Y147" s="141">
        <f t="shared" si="141"/>
        <v>18</v>
      </c>
      <c r="Z147" s="141">
        <f t="shared" si="141"/>
        <v>18</v>
      </c>
      <c r="AA147" s="141" t="str">
        <f t="shared" si="141"/>
        <v/>
      </c>
      <c r="AB147" s="141" t="str">
        <f t="shared" si="141"/>
        <v/>
      </c>
      <c r="AC147" s="141">
        <f t="shared" si="141"/>
        <v>18</v>
      </c>
      <c r="AD147" s="141">
        <f t="shared" si="141"/>
        <v>18</v>
      </c>
      <c r="AE147" s="141" t="str">
        <f t="shared" si="141"/>
        <v/>
      </c>
      <c r="AF147" s="141" t="str">
        <f t="shared" si="141"/>
        <v/>
      </c>
      <c r="AG147" s="141" t="str">
        <f t="shared" si="141"/>
        <v/>
      </c>
      <c r="AH147" s="154" t="s">
        <v>12</v>
      </c>
      <c r="AI147" s="133"/>
      <c r="AJ147" s="170"/>
      <c r="AK147" s="133"/>
      <c r="AL147" s="133"/>
    </row>
    <row r="148" spans="1:38" ht="15.95" hidden="1" customHeight="1" x14ac:dyDescent="0.25">
      <c r="A148" s="153"/>
      <c r="B148" s="168" t="s">
        <v>34</v>
      </c>
      <c r="C148" s="169">
        <f t="shared" ref="C148:AD148" si="142">IF(C18=$R32,$BD32*24,IF(C18=$R33,$BD33*24,IF(C18=$R34,$BD34*24,IF(C18=$R35,$BD35*24,IF(C18=$R36,$BD36*24,IF(C18=$R37,$BD37*24,IF(C18=$R38,$BD38*24,IF(C18=$R39,$BD39*24,IF(C18=$R40,$BD40*24,"")))))))))</f>
        <v>0</v>
      </c>
      <c r="D148" s="169" t="str">
        <f t="shared" si="142"/>
        <v/>
      </c>
      <c r="E148" s="169" t="str">
        <f t="shared" si="142"/>
        <v/>
      </c>
      <c r="F148" s="169">
        <f t="shared" si="142"/>
        <v>0</v>
      </c>
      <c r="G148" s="169">
        <f t="shared" si="142"/>
        <v>0</v>
      </c>
      <c r="H148" s="169" t="str">
        <f t="shared" si="142"/>
        <v/>
      </c>
      <c r="I148" s="169" t="str">
        <f t="shared" si="142"/>
        <v/>
      </c>
      <c r="J148" s="169" t="str">
        <f t="shared" si="142"/>
        <v/>
      </c>
      <c r="K148" s="169">
        <f t="shared" si="142"/>
        <v>0</v>
      </c>
      <c r="L148" s="169">
        <f t="shared" si="142"/>
        <v>0</v>
      </c>
      <c r="M148" s="169" t="str">
        <f t="shared" si="142"/>
        <v/>
      </c>
      <c r="N148" s="169" t="str">
        <f t="shared" si="142"/>
        <v/>
      </c>
      <c r="O148" s="169">
        <f t="shared" si="142"/>
        <v>0</v>
      </c>
      <c r="P148" s="169">
        <f t="shared" si="142"/>
        <v>0</v>
      </c>
      <c r="Q148" s="169">
        <f t="shared" si="142"/>
        <v>0</v>
      </c>
      <c r="R148" s="169" t="str">
        <f t="shared" si="142"/>
        <v/>
      </c>
      <c r="S148" s="169" t="str">
        <f t="shared" si="142"/>
        <v/>
      </c>
      <c r="T148" s="169">
        <f t="shared" si="142"/>
        <v>0</v>
      </c>
      <c r="U148" s="169">
        <f t="shared" si="142"/>
        <v>0</v>
      </c>
      <c r="V148" s="169" t="str">
        <f t="shared" si="142"/>
        <v/>
      </c>
      <c r="W148" s="169" t="str">
        <f t="shared" si="142"/>
        <v/>
      </c>
      <c r="X148" s="169" t="str">
        <f t="shared" si="142"/>
        <v/>
      </c>
      <c r="Y148" s="169">
        <f t="shared" si="142"/>
        <v>0</v>
      </c>
      <c r="Z148" s="169">
        <f t="shared" si="142"/>
        <v>0</v>
      </c>
      <c r="AA148" s="169" t="str">
        <f t="shared" si="142"/>
        <v/>
      </c>
      <c r="AB148" s="169" t="str">
        <f t="shared" si="142"/>
        <v/>
      </c>
      <c r="AC148" s="169">
        <f t="shared" si="142"/>
        <v>0</v>
      </c>
      <c r="AD148" s="169">
        <f t="shared" si="142"/>
        <v>0</v>
      </c>
      <c r="AE148" s="169" t="str">
        <f>IF(AE18=$R32,$BD32*24,IF(AE18=$R33,$BD33*24,IF(AE18=$R34,$BD34*24,IF(AE18=$R35,$BD35*24,IF(AE18=$R36,$BD36*24,IF(AE18=$R37,$BD37*24,IF(AE18=$R38,$BD38*24,IF(AE18=$R39,$BD39*24,IF(AE18=$R40,$BD40*24,"")))))))))</f>
        <v/>
      </c>
      <c r="AF148" s="169" t="str">
        <f>IF(AF18=$R32,$BD32*24,IF(AF18=$R33,$BD33*24,IF(AF18=$R34,$BD34*24,IF(AF18=$R35,$BD35*24,IF(AF18=$R36,$BD36*24,IF(AF18=$R37,$BD37*24,IF(AF18=$R38,$BD38*24,IF(AF18=$R39,$BD39*24,IF(AF18=$R40,$BD40*24,"")))))))))</f>
        <v/>
      </c>
      <c r="AG148" s="169" t="str">
        <f>IF(AG18=$R32,$BD32*24,IF(AG18=$R33,$BD33*24,IF(AG18=$R34,$BD34*24,IF(AG18=$R35,$BD35*24,IF(AG18=$R36,$BD36*24,IF(AG18=$R37,$BD37*24,IF(AG18=$R38,$BD38*24,IF(AG18=$R39,$BD39*24,IF(AG18=$R40,$BD40*24,"")))))))))</f>
        <v/>
      </c>
      <c r="AH148" s="148">
        <f>SUM(C148:AG148)</f>
        <v>0</v>
      </c>
      <c r="AI148" s="133"/>
      <c r="AJ148" s="170"/>
      <c r="AK148" s="133"/>
      <c r="AL148" s="133"/>
    </row>
    <row r="149" spans="1:38" ht="15.95" hidden="1" customHeight="1" x14ac:dyDescent="0.25">
      <c r="A149" s="153"/>
      <c r="B149" s="167" t="s">
        <v>59</v>
      </c>
      <c r="C149" s="141">
        <f t="shared" ref="C149:AG149" si="143">IF(C18="V",$C36,IF(C18="PR",$C38,0))</f>
        <v>0</v>
      </c>
      <c r="D149" s="141">
        <f t="shared" si="143"/>
        <v>0</v>
      </c>
      <c r="E149" s="141">
        <f t="shared" si="143"/>
        <v>0</v>
      </c>
      <c r="F149" s="141">
        <f t="shared" si="143"/>
        <v>0</v>
      </c>
      <c r="G149" s="141">
        <f t="shared" si="143"/>
        <v>0</v>
      </c>
      <c r="H149" s="141">
        <f t="shared" si="143"/>
        <v>0</v>
      </c>
      <c r="I149" s="141">
        <f t="shared" si="143"/>
        <v>0</v>
      </c>
      <c r="J149" s="141">
        <f t="shared" si="143"/>
        <v>0</v>
      </c>
      <c r="K149" s="141">
        <f t="shared" si="143"/>
        <v>0</v>
      </c>
      <c r="L149" s="141">
        <f t="shared" si="143"/>
        <v>0</v>
      </c>
      <c r="M149" s="141">
        <f t="shared" si="143"/>
        <v>0</v>
      </c>
      <c r="N149" s="141">
        <f t="shared" si="143"/>
        <v>0</v>
      </c>
      <c r="O149" s="141">
        <f t="shared" si="143"/>
        <v>0</v>
      </c>
      <c r="P149" s="141">
        <f t="shared" si="143"/>
        <v>0</v>
      </c>
      <c r="Q149" s="141">
        <f t="shared" si="143"/>
        <v>0</v>
      </c>
      <c r="R149" s="141">
        <f t="shared" si="143"/>
        <v>0</v>
      </c>
      <c r="S149" s="141">
        <f t="shared" si="143"/>
        <v>0</v>
      </c>
      <c r="T149" s="141">
        <f t="shared" si="143"/>
        <v>0</v>
      </c>
      <c r="U149" s="141">
        <f t="shared" si="143"/>
        <v>0</v>
      </c>
      <c r="V149" s="141">
        <f t="shared" si="143"/>
        <v>0</v>
      </c>
      <c r="W149" s="141">
        <f t="shared" si="143"/>
        <v>0</v>
      </c>
      <c r="X149" s="141">
        <f t="shared" si="143"/>
        <v>0</v>
      </c>
      <c r="Y149" s="141">
        <f t="shared" si="143"/>
        <v>0</v>
      </c>
      <c r="Z149" s="141">
        <f t="shared" si="143"/>
        <v>0</v>
      </c>
      <c r="AA149" s="141">
        <f t="shared" si="143"/>
        <v>0</v>
      </c>
      <c r="AB149" s="141">
        <f t="shared" si="143"/>
        <v>0</v>
      </c>
      <c r="AC149" s="141">
        <f t="shared" si="143"/>
        <v>0</v>
      </c>
      <c r="AD149" s="141">
        <f t="shared" si="143"/>
        <v>0</v>
      </c>
      <c r="AE149" s="141">
        <f t="shared" si="143"/>
        <v>0</v>
      </c>
      <c r="AF149" s="141">
        <f t="shared" si="143"/>
        <v>0</v>
      </c>
      <c r="AG149" s="141">
        <f t="shared" si="143"/>
        <v>0</v>
      </c>
      <c r="AH149" s="226">
        <f>SUM(C149:AG149)</f>
        <v>0</v>
      </c>
      <c r="AI149" s="226"/>
      <c r="AJ149" s="230">
        <f>SUM(AH94+AH105+AH116+AH127+AH138+AH149)</f>
        <v>0</v>
      </c>
      <c r="AK149" s="230"/>
      <c r="AL149" s="133" t="s">
        <v>56</v>
      </c>
    </row>
    <row r="150" spans="1:38" ht="15.95" hidden="1" customHeight="1" x14ac:dyDescent="0.25">
      <c r="A150" s="150" t="s">
        <v>60</v>
      </c>
      <c r="B150" s="167" t="s">
        <v>61</v>
      </c>
      <c r="C150" s="151">
        <f t="shared" ref="C150:AD150" si="144">IF(C18=$R32,$BC32,IF(C18=$R33,$BC33,IF(C18=$R34,$BC34,IF(C18=$R35,$BC35,IF(C18=$R36,$BC36,IF(C18=$R37,$BC37,IF(C18=$R38,$BC38,IF(C18=$R39,$BC39,IF(C18=$R40,$BC40,0)))))))))</f>
        <v>12</v>
      </c>
      <c r="D150" s="151">
        <f t="shared" si="144"/>
        <v>0</v>
      </c>
      <c r="E150" s="151">
        <f t="shared" si="144"/>
        <v>0</v>
      </c>
      <c r="F150" s="151">
        <f t="shared" si="144"/>
        <v>12</v>
      </c>
      <c r="G150" s="151">
        <f t="shared" si="144"/>
        <v>12</v>
      </c>
      <c r="H150" s="151">
        <f t="shared" si="144"/>
        <v>0</v>
      </c>
      <c r="I150" s="151">
        <f t="shared" si="144"/>
        <v>0</v>
      </c>
      <c r="J150" s="151">
        <f t="shared" si="144"/>
        <v>0</v>
      </c>
      <c r="K150" s="151">
        <f t="shared" si="144"/>
        <v>12</v>
      </c>
      <c r="L150" s="151">
        <f t="shared" si="144"/>
        <v>12</v>
      </c>
      <c r="M150" s="151">
        <f t="shared" si="144"/>
        <v>0</v>
      </c>
      <c r="N150" s="151">
        <f t="shared" si="144"/>
        <v>0</v>
      </c>
      <c r="O150" s="151">
        <f t="shared" si="144"/>
        <v>12</v>
      </c>
      <c r="P150" s="151">
        <f t="shared" si="144"/>
        <v>12</v>
      </c>
      <c r="Q150" s="151">
        <f t="shared" si="144"/>
        <v>12</v>
      </c>
      <c r="R150" s="151">
        <f t="shared" si="144"/>
        <v>0</v>
      </c>
      <c r="S150" s="151">
        <f t="shared" si="144"/>
        <v>0</v>
      </c>
      <c r="T150" s="151">
        <f t="shared" si="144"/>
        <v>12</v>
      </c>
      <c r="U150" s="151">
        <f t="shared" si="144"/>
        <v>12</v>
      </c>
      <c r="V150" s="151">
        <f t="shared" si="144"/>
        <v>0</v>
      </c>
      <c r="W150" s="151">
        <f t="shared" si="144"/>
        <v>0</v>
      </c>
      <c r="X150" s="151">
        <f t="shared" si="144"/>
        <v>0</v>
      </c>
      <c r="Y150" s="151">
        <f t="shared" si="144"/>
        <v>12</v>
      </c>
      <c r="Z150" s="151">
        <f t="shared" si="144"/>
        <v>12</v>
      </c>
      <c r="AA150" s="151">
        <f t="shared" si="144"/>
        <v>0</v>
      </c>
      <c r="AB150" s="151">
        <f t="shared" si="144"/>
        <v>0</v>
      </c>
      <c r="AC150" s="151">
        <f t="shared" si="144"/>
        <v>12</v>
      </c>
      <c r="AD150" s="151">
        <f t="shared" si="144"/>
        <v>12</v>
      </c>
      <c r="AE150" s="151">
        <f>IF(AE18=$R32,$BC32,IF(AE18=$R33,$BC33,IF(AE18=$R34,$BC34,IF(AE18=$R35,$BC35,IF(AE18=$R36,$BC36,IF(AE18=$R37,$BC37,IF(AE18=$R38,$BC38,IF(AE18=$R39,$BC39,IF(AE18=$R40,$BC40,0)))))))))</f>
        <v>0</v>
      </c>
      <c r="AF150" s="151">
        <f>IF(AF18=$R32,$BC32,IF(AF18=$R33,$BC33,IF(AF18=$R34,$BC34,IF(AF18=$R35,$BC35,IF(AF18=$R36,$BC36,IF(AF18=$R37,$BC37,IF(AF18=$R38,$BC38,IF(AF18=$R39,$BC39,IF(AF18=$R40,$BC40,0)))))))))</f>
        <v>0</v>
      </c>
      <c r="AG150" s="151">
        <f>IF(AG18=$R32,$BC32,IF(AG18=$R33,$BC33,IF(AG18=$R34,$BC34,IF(AG18=$R35,$BC35,IF(AG18=$R36,$BC36,IF(AG18=$R37,$BC37,IF(AG18=$R38,$BC38,IF(AG18=$R39,$BC39,IF(AG18=$R40,$BC40,0)))))))))</f>
        <v>0</v>
      </c>
      <c r="AH150" s="226">
        <f>SUM(C150:AG150)</f>
        <v>168</v>
      </c>
      <c r="AI150" s="226"/>
      <c r="AJ150" s="174" t="s">
        <v>62</v>
      </c>
      <c r="AK150" s="133" t="s">
        <v>12</v>
      </c>
      <c r="AL150" s="133"/>
    </row>
    <row r="151" spans="1:38" ht="15.95" hidden="1" customHeight="1" x14ac:dyDescent="0.25">
      <c r="A151" s="153" t="s">
        <v>48</v>
      </c>
      <c r="B151" s="149" t="s">
        <v>63</v>
      </c>
      <c r="C151" s="141">
        <f>IF(C46=1,IF(C146&lt;C147,C150,0))</f>
        <v>12</v>
      </c>
      <c r="D151" s="141" t="b">
        <f t="shared" ref="D151:AG151" si="145">IF(D46=1,IF(D146&lt;D147,D150,0))</f>
        <v>0</v>
      </c>
      <c r="E151" s="141" t="b">
        <f t="shared" si="145"/>
        <v>0</v>
      </c>
      <c r="F151" s="141" t="b">
        <f t="shared" si="145"/>
        <v>0</v>
      </c>
      <c r="G151" s="141" t="b">
        <f t="shared" si="145"/>
        <v>0</v>
      </c>
      <c r="H151" s="141" t="b">
        <f t="shared" si="145"/>
        <v>0</v>
      </c>
      <c r="I151" s="141">
        <f t="shared" si="145"/>
        <v>0</v>
      </c>
      <c r="J151" s="141">
        <f t="shared" si="145"/>
        <v>0</v>
      </c>
      <c r="K151" s="141" t="b">
        <f t="shared" si="145"/>
        <v>0</v>
      </c>
      <c r="L151" s="141" t="b">
        <f t="shared" si="145"/>
        <v>0</v>
      </c>
      <c r="M151" s="141" t="b">
        <f t="shared" si="145"/>
        <v>0</v>
      </c>
      <c r="N151" s="141" t="b">
        <f t="shared" si="145"/>
        <v>0</v>
      </c>
      <c r="O151" s="141" t="b">
        <f t="shared" si="145"/>
        <v>0</v>
      </c>
      <c r="P151" s="141">
        <f t="shared" si="145"/>
        <v>12</v>
      </c>
      <c r="Q151" s="141">
        <f t="shared" si="145"/>
        <v>12</v>
      </c>
      <c r="R151" s="141" t="b">
        <f t="shared" si="145"/>
        <v>0</v>
      </c>
      <c r="S151" s="141" t="b">
        <f t="shared" si="145"/>
        <v>0</v>
      </c>
      <c r="T151" s="141" t="b">
        <f t="shared" si="145"/>
        <v>0</v>
      </c>
      <c r="U151" s="141" t="b">
        <f t="shared" si="145"/>
        <v>0</v>
      </c>
      <c r="V151" s="141" t="b">
        <f t="shared" si="145"/>
        <v>0</v>
      </c>
      <c r="W151" s="141">
        <f t="shared" si="145"/>
        <v>0</v>
      </c>
      <c r="X151" s="141">
        <f t="shared" si="145"/>
        <v>0</v>
      </c>
      <c r="Y151" s="141" t="b">
        <f t="shared" si="145"/>
        <v>0</v>
      </c>
      <c r="Z151" s="141" t="b">
        <f t="shared" si="145"/>
        <v>0</v>
      </c>
      <c r="AA151" s="141" t="b">
        <f t="shared" si="145"/>
        <v>0</v>
      </c>
      <c r="AB151" s="141" t="b">
        <f t="shared" si="145"/>
        <v>0</v>
      </c>
      <c r="AC151" s="141" t="b">
        <f t="shared" si="145"/>
        <v>0</v>
      </c>
      <c r="AD151" s="141">
        <f t="shared" si="145"/>
        <v>12</v>
      </c>
      <c r="AE151" s="141" t="b">
        <f t="shared" si="145"/>
        <v>0</v>
      </c>
      <c r="AF151" s="141" t="b">
        <f t="shared" si="145"/>
        <v>0</v>
      </c>
      <c r="AG151" s="141" t="b">
        <f t="shared" si="145"/>
        <v>0</v>
      </c>
      <c r="AH151" s="154" t="s">
        <v>12</v>
      </c>
      <c r="AI151" s="133"/>
      <c r="AJ151" s="170"/>
      <c r="AK151" s="133"/>
      <c r="AL151" s="133"/>
    </row>
    <row r="152" spans="1:38" ht="15.95" hidden="1" customHeight="1" x14ac:dyDescent="0.25">
      <c r="A152" s="176"/>
      <c r="B152" s="149" t="s">
        <v>64</v>
      </c>
      <c r="C152" s="141">
        <f t="shared" ref="C152:AG152" si="146">IF(C46=1,IF(C146&gt;C147,24-C146,0),0)</f>
        <v>0</v>
      </c>
      <c r="D152" s="141">
        <f t="shared" si="146"/>
        <v>0</v>
      </c>
      <c r="E152" s="141">
        <f t="shared" si="146"/>
        <v>0</v>
      </c>
      <c r="F152" s="141">
        <f t="shared" si="146"/>
        <v>0</v>
      </c>
      <c r="G152" s="141">
        <f t="shared" si="146"/>
        <v>0</v>
      </c>
      <c r="H152" s="141">
        <f t="shared" si="146"/>
        <v>0</v>
      </c>
      <c r="I152" s="141">
        <f t="shared" si="146"/>
        <v>0</v>
      </c>
      <c r="J152" s="141">
        <f t="shared" si="146"/>
        <v>0</v>
      </c>
      <c r="K152" s="141">
        <f t="shared" si="146"/>
        <v>0</v>
      </c>
      <c r="L152" s="141">
        <f t="shared" si="146"/>
        <v>0</v>
      </c>
      <c r="M152" s="141">
        <f t="shared" si="146"/>
        <v>0</v>
      </c>
      <c r="N152" s="141">
        <f t="shared" si="146"/>
        <v>0</v>
      </c>
      <c r="O152" s="141">
        <f t="shared" si="146"/>
        <v>0</v>
      </c>
      <c r="P152" s="141">
        <f t="shared" si="146"/>
        <v>0</v>
      </c>
      <c r="Q152" s="141">
        <f t="shared" si="146"/>
        <v>0</v>
      </c>
      <c r="R152" s="141">
        <f t="shared" si="146"/>
        <v>0</v>
      </c>
      <c r="S152" s="141">
        <f t="shared" si="146"/>
        <v>0</v>
      </c>
      <c r="T152" s="141">
        <f t="shared" si="146"/>
        <v>0</v>
      </c>
      <c r="U152" s="141">
        <f t="shared" si="146"/>
        <v>0</v>
      </c>
      <c r="V152" s="141">
        <f t="shared" si="146"/>
        <v>0</v>
      </c>
      <c r="W152" s="141">
        <f t="shared" si="146"/>
        <v>0</v>
      </c>
      <c r="X152" s="141">
        <f t="shared" si="146"/>
        <v>0</v>
      </c>
      <c r="Y152" s="141">
        <f t="shared" si="146"/>
        <v>0</v>
      </c>
      <c r="Z152" s="141">
        <f t="shared" si="146"/>
        <v>0</v>
      </c>
      <c r="AA152" s="141">
        <f t="shared" si="146"/>
        <v>0</v>
      </c>
      <c r="AB152" s="141">
        <f t="shared" si="146"/>
        <v>0</v>
      </c>
      <c r="AC152" s="141">
        <f t="shared" si="146"/>
        <v>0</v>
      </c>
      <c r="AD152" s="141">
        <f t="shared" si="146"/>
        <v>0</v>
      </c>
      <c r="AE152" s="141">
        <f t="shared" si="146"/>
        <v>0</v>
      </c>
      <c r="AF152" s="141">
        <f t="shared" si="146"/>
        <v>0</v>
      </c>
      <c r="AG152" s="141">
        <f t="shared" si="146"/>
        <v>0</v>
      </c>
      <c r="AH152" s="154" t="s">
        <v>12</v>
      </c>
      <c r="AI152" s="133"/>
      <c r="AJ152" s="170"/>
      <c r="AK152" s="133"/>
      <c r="AL152" s="133"/>
    </row>
    <row r="153" spans="1:38" ht="15.95" hidden="1" customHeight="1" x14ac:dyDescent="0.25">
      <c r="A153" s="176"/>
      <c r="B153" s="149" t="s">
        <v>65</v>
      </c>
      <c r="C153" s="141">
        <f t="shared" ref="C153:AG153" si="147">IF(D46=1,IF(C146&gt;C147,C147,0),0)</f>
        <v>0</v>
      </c>
      <c r="D153" s="141">
        <f t="shared" si="147"/>
        <v>0</v>
      </c>
      <c r="E153" s="141">
        <f t="shared" si="147"/>
        <v>0</v>
      </c>
      <c r="F153" s="141">
        <f t="shared" si="147"/>
        <v>0</v>
      </c>
      <c r="G153" s="141">
        <f t="shared" si="147"/>
        <v>0</v>
      </c>
      <c r="H153" s="141">
        <f t="shared" si="147"/>
        <v>0</v>
      </c>
      <c r="I153" s="141">
        <f t="shared" si="147"/>
        <v>0</v>
      </c>
      <c r="J153" s="141">
        <f t="shared" si="147"/>
        <v>0</v>
      </c>
      <c r="K153" s="141">
        <f t="shared" si="147"/>
        <v>0</v>
      </c>
      <c r="L153" s="141">
        <f t="shared" si="147"/>
        <v>0</v>
      </c>
      <c r="M153" s="141">
        <f t="shared" si="147"/>
        <v>0</v>
      </c>
      <c r="N153" s="141">
        <f t="shared" si="147"/>
        <v>0</v>
      </c>
      <c r="O153" s="141">
        <f t="shared" si="147"/>
        <v>0</v>
      </c>
      <c r="P153" s="141">
        <f t="shared" si="147"/>
        <v>0</v>
      </c>
      <c r="Q153" s="141">
        <f t="shared" si="147"/>
        <v>0</v>
      </c>
      <c r="R153" s="141">
        <f t="shared" si="147"/>
        <v>0</v>
      </c>
      <c r="S153" s="141">
        <f t="shared" si="147"/>
        <v>0</v>
      </c>
      <c r="T153" s="141">
        <f t="shared" si="147"/>
        <v>0</v>
      </c>
      <c r="U153" s="141">
        <f t="shared" si="147"/>
        <v>0</v>
      </c>
      <c r="V153" s="141">
        <f t="shared" si="147"/>
        <v>0</v>
      </c>
      <c r="W153" s="141">
        <f t="shared" si="147"/>
        <v>0</v>
      </c>
      <c r="X153" s="141">
        <f>IF(Y46=1,IF(X146&gt;X147,X147,0),0)</f>
        <v>0</v>
      </c>
      <c r="Y153" s="141">
        <f t="shared" si="147"/>
        <v>0</v>
      </c>
      <c r="Z153" s="141">
        <f t="shared" si="147"/>
        <v>0</v>
      </c>
      <c r="AA153" s="141">
        <f t="shared" si="147"/>
        <v>0</v>
      </c>
      <c r="AB153" s="141">
        <f t="shared" si="147"/>
        <v>0</v>
      </c>
      <c r="AC153" s="141">
        <f t="shared" si="147"/>
        <v>0</v>
      </c>
      <c r="AD153" s="141">
        <f t="shared" si="147"/>
        <v>0</v>
      </c>
      <c r="AE153" s="141">
        <f t="shared" si="147"/>
        <v>0</v>
      </c>
      <c r="AF153" s="141">
        <f t="shared" si="147"/>
        <v>0</v>
      </c>
      <c r="AG153" s="141">
        <f t="shared" si="147"/>
        <v>0</v>
      </c>
      <c r="AH153" s="154" t="s">
        <v>12</v>
      </c>
      <c r="AI153" s="133"/>
      <c r="AJ153" s="170"/>
      <c r="AK153" s="133"/>
      <c r="AL153" s="133"/>
    </row>
    <row r="154" spans="1:38" ht="15.95" hidden="1" customHeight="1" x14ac:dyDescent="0.25">
      <c r="A154" s="176"/>
      <c r="B154" s="149" t="s">
        <v>67</v>
      </c>
      <c r="C154" s="171">
        <f>SUM(C151:C153)</f>
        <v>12</v>
      </c>
      <c r="D154" s="171">
        <f t="shared" ref="D154:AG154" si="148">SUM(D151:D153)</f>
        <v>0</v>
      </c>
      <c r="E154" s="171">
        <f t="shared" si="148"/>
        <v>0</v>
      </c>
      <c r="F154" s="171">
        <f t="shared" si="148"/>
        <v>0</v>
      </c>
      <c r="G154" s="171">
        <f t="shared" si="148"/>
        <v>0</v>
      </c>
      <c r="H154" s="171">
        <f t="shared" si="148"/>
        <v>0</v>
      </c>
      <c r="I154" s="171">
        <f t="shared" si="148"/>
        <v>0</v>
      </c>
      <c r="J154" s="171">
        <f t="shared" si="148"/>
        <v>0</v>
      </c>
      <c r="K154" s="171">
        <f t="shared" si="148"/>
        <v>0</v>
      </c>
      <c r="L154" s="171">
        <f t="shared" si="148"/>
        <v>0</v>
      </c>
      <c r="M154" s="171">
        <f t="shared" si="148"/>
        <v>0</v>
      </c>
      <c r="N154" s="171">
        <f t="shared" si="148"/>
        <v>0</v>
      </c>
      <c r="O154" s="171">
        <f t="shared" si="148"/>
        <v>0</v>
      </c>
      <c r="P154" s="171">
        <f t="shared" si="148"/>
        <v>12</v>
      </c>
      <c r="Q154" s="171">
        <f t="shared" si="148"/>
        <v>12</v>
      </c>
      <c r="R154" s="171">
        <f t="shared" si="148"/>
        <v>0</v>
      </c>
      <c r="S154" s="171">
        <f t="shared" si="148"/>
        <v>0</v>
      </c>
      <c r="T154" s="171">
        <f t="shared" si="148"/>
        <v>0</v>
      </c>
      <c r="U154" s="171">
        <f t="shared" si="148"/>
        <v>0</v>
      </c>
      <c r="V154" s="171">
        <f t="shared" si="148"/>
        <v>0</v>
      </c>
      <c r="W154" s="171">
        <f t="shared" si="148"/>
        <v>0</v>
      </c>
      <c r="X154" s="171">
        <f t="shared" si="148"/>
        <v>0</v>
      </c>
      <c r="Y154" s="171">
        <f t="shared" si="148"/>
        <v>0</v>
      </c>
      <c r="Z154" s="171">
        <f t="shared" si="148"/>
        <v>0</v>
      </c>
      <c r="AA154" s="171">
        <f t="shared" si="148"/>
        <v>0</v>
      </c>
      <c r="AB154" s="171">
        <f t="shared" si="148"/>
        <v>0</v>
      </c>
      <c r="AC154" s="171">
        <f t="shared" si="148"/>
        <v>0</v>
      </c>
      <c r="AD154" s="171">
        <f t="shared" si="148"/>
        <v>12</v>
      </c>
      <c r="AE154" s="171">
        <f t="shared" si="148"/>
        <v>0</v>
      </c>
      <c r="AF154" s="171">
        <f t="shared" si="148"/>
        <v>0</v>
      </c>
      <c r="AG154" s="171">
        <f t="shared" si="148"/>
        <v>0</v>
      </c>
      <c r="AH154" s="154" t="s">
        <v>12</v>
      </c>
      <c r="AI154" s="133"/>
      <c r="AJ154" s="170"/>
      <c r="AK154" s="133"/>
      <c r="AL154" s="133"/>
    </row>
    <row r="155" spans="1:38" ht="15.95" hidden="1" customHeight="1" x14ac:dyDescent="0.25">
      <c r="A155" s="177"/>
      <c r="B155" s="160" t="s">
        <v>68</v>
      </c>
      <c r="C155" s="161">
        <f t="shared" ref="C155:AG155" si="149">IF(C18="V",IF(C18="",0,1),0)</f>
        <v>0</v>
      </c>
      <c r="D155" s="161">
        <f t="shared" si="149"/>
        <v>0</v>
      </c>
      <c r="E155" s="161">
        <f t="shared" si="149"/>
        <v>0</v>
      </c>
      <c r="F155" s="161">
        <f t="shared" si="149"/>
        <v>0</v>
      </c>
      <c r="G155" s="161">
        <f t="shared" si="149"/>
        <v>0</v>
      </c>
      <c r="H155" s="161">
        <f t="shared" si="149"/>
        <v>0</v>
      </c>
      <c r="I155" s="161">
        <f t="shared" si="149"/>
        <v>0</v>
      </c>
      <c r="J155" s="161">
        <f t="shared" si="149"/>
        <v>0</v>
      </c>
      <c r="K155" s="161">
        <f t="shared" si="149"/>
        <v>0</v>
      </c>
      <c r="L155" s="161">
        <f t="shared" si="149"/>
        <v>0</v>
      </c>
      <c r="M155" s="161">
        <f t="shared" si="149"/>
        <v>0</v>
      </c>
      <c r="N155" s="161">
        <f t="shared" si="149"/>
        <v>0</v>
      </c>
      <c r="O155" s="161">
        <f t="shared" si="149"/>
        <v>0</v>
      </c>
      <c r="P155" s="161">
        <f t="shared" si="149"/>
        <v>0</v>
      </c>
      <c r="Q155" s="161">
        <f t="shared" si="149"/>
        <v>0</v>
      </c>
      <c r="R155" s="161">
        <f t="shared" si="149"/>
        <v>0</v>
      </c>
      <c r="S155" s="161">
        <f t="shared" si="149"/>
        <v>0</v>
      </c>
      <c r="T155" s="161">
        <f t="shared" si="149"/>
        <v>0</v>
      </c>
      <c r="U155" s="161">
        <f t="shared" si="149"/>
        <v>0</v>
      </c>
      <c r="V155" s="161">
        <f t="shared" si="149"/>
        <v>0</v>
      </c>
      <c r="W155" s="161">
        <f t="shared" si="149"/>
        <v>0</v>
      </c>
      <c r="X155" s="161">
        <f t="shared" si="149"/>
        <v>0</v>
      </c>
      <c r="Y155" s="161">
        <f t="shared" si="149"/>
        <v>0</v>
      </c>
      <c r="Z155" s="161">
        <f t="shared" si="149"/>
        <v>0</v>
      </c>
      <c r="AA155" s="161">
        <f t="shared" si="149"/>
        <v>0</v>
      </c>
      <c r="AB155" s="161">
        <f t="shared" si="149"/>
        <v>0</v>
      </c>
      <c r="AC155" s="161">
        <f t="shared" si="149"/>
        <v>0</v>
      </c>
      <c r="AD155" s="161">
        <f t="shared" si="149"/>
        <v>0</v>
      </c>
      <c r="AE155" s="161">
        <f t="shared" si="149"/>
        <v>0</v>
      </c>
      <c r="AF155" s="161">
        <f t="shared" si="149"/>
        <v>0</v>
      </c>
      <c r="AG155" s="161">
        <f t="shared" si="149"/>
        <v>0</v>
      </c>
      <c r="AH155" s="154" t="s">
        <v>12</v>
      </c>
      <c r="AI155" s="133"/>
      <c r="AJ155" s="170"/>
      <c r="AK155" s="133"/>
      <c r="AL155" s="133"/>
    </row>
    <row r="156" spans="1:38" ht="15.95" hidden="1" customHeight="1" x14ac:dyDescent="0.25">
      <c r="A156" s="180"/>
      <c r="B156" s="181" t="s">
        <v>16</v>
      </c>
      <c r="C156" s="182">
        <f t="shared" ref="C156:AG156" si="150">IF(C18="PR",IF(C18="",0,1),0)</f>
        <v>0</v>
      </c>
      <c r="D156" s="182">
        <f t="shared" si="150"/>
        <v>0</v>
      </c>
      <c r="E156" s="182">
        <f t="shared" si="150"/>
        <v>0</v>
      </c>
      <c r="F156" s="182">
        <f t="shared" si="150"/>
        <v>0</v>
      </c>
      <c r="G156" s="182">
        <f t="shared" si="150"/>
        <v>0</v>
      </c>
      <c r="H156" s="182">
        <f t="shared" si="150"/>
        <v>0</v>
      </c>
      <c r="I156" s="182">
        <f t="shared" si="150"/>
        <v>0</v>
      </c>
      <c r="J156" s="182">
        <f t="shared" si="150"/>
        <v>0</v>
      </c>
      <c r="K156" s="182">
        <f t="shared" si="150"/>
        <v>0</v>
      </c>
      <c r="L156" s="182">
        <f t="shared" si="150"/>
        <v>0</v>
      </c>
      <c r="M156" s="182">
        <f t="shared" si="150"/>
        <v>0</v>
      </c>
      <c r="N156" s="182">
        <f t="shared" si="150"/>
        <v>0</v>
      </c>
      <c r="O156" s="182">
        <f t="shared" si="150"/>
        <v>0</v>
      </c>
      <c r="P156" s="182">
        <f t="shared" si="150"/>
        <v>0</v>
      </c>
      <c r="Q156" s="182">
        <f t="shared" si="150"/>
        <v>0</v>
      </c>
      <c r="R156" s="182">
        <f t="shared" si="150"/>
        <v>0</v>
      </c>
      <c r="S156" s="182">
        <f t="shared" si="150"/>
        <v>0</v>
      </c>
      <c r="T156" s="182">
        <f t="shared" si="150"/>
        <v>0</v>
      </c>
      <c r="U156" s="182">
        <f t="shared" si="150"/>
        <v>0</v>
      </c>
      <c r="V156" s="182">
        <f t="shared" si="150"/>
        <v>0</v>
      </c>
      <c r="W156" s="182">
        <f t="shared" si="150"/>
        <v>0</v>
      </c>
      <c r="X156" s="182">
        <f t="shared" si="150"/>
        <v>0</v>
      </c>
      <c r="Y156" s="182">
        <f t="shared" si="150"/>
        <v>0</v>
      </c>
      <c r="Z156" s="182">
        <f t="shared" si="150"/>
        <v>0</v>
      </c>
      <c r="AA156" s="182">
        <f t="shared" si="150"/>
        <v>0</v>
      </c>
      <c r="AB156" s="182">
        <f t="shared" si="150"/>
        <v>0</v>
      </c>
      <c r="AC156" s="182">
        <f t="shared" si="150"/>
        <v>0</v>
      </c>
      <c r="AD156" s="182">
        <f t="shared" si="150"/>
        <v>0</v>
      </c>
      <c r="AE156" s="182">
        <f t="shared" si="150"/>
        <v>0</v>
      </c>
      <c r="AF156" s="182">
        <f t="shared" si="150"/>
        <v>0</v>
      </c>
      <c r="AG156" s="182">
        <f t="shared" si="150"/>
        <v>0</v>
      </c>
      <c r="AH156" s="227">
        <f>SUM(C156:AG156)</f>
        <v>0</v>
      </c>
      <c r="AI156" s="227"/>
      <c r="AJ156" s="174" t="s">
        <v>69</v>
      </c>
      <c r="AK156" s="133"/>
      <c r="AL156" s="133"/>
    </row>
    <row r="157" spans="1:38" ht="15.95" hidden="1" customHeight="1" x14ac:dyDescent="0.25">
      <c r="A157" s="164" t="s">
        <v>126</v>
      </c>
      <c r="B157" s="165" t="s">
        <v>29</v>
      </c>
      <c r="C157" s="141" t="str">
        <f>IF(C19=$R32,$S32*24,IF(C19=$R33,$S33*24,IF(C19=$R34,$S34*24,IF(C19=$R35,$S35*24,IF(C19=$R36,$S36*24,IF(C19=$R37,$S37*24,IF(C19=$R38,$S38*24,IF(C19=$R39,$S39*24,IF(C19=$R40,$S40*24,"")))))))))</f>
        <v/>
      </c>
      <c r="D157" s="141" t="str">
        <f t="shared" ref="D157:AG157" si="151">IF(D19=$R32,$S32*24,IF(D19=$R33,$S33*24,IF(D19=$R34,$S34*24,IF(D19=$R35,$S35*24,IF(D19=$R36,$S36*24,IF(D19=$R37,$S37*24,IF(D19=$R38,$S38*24,IF(D19=$R39,$S39*24,IF(D19=$R40,$S40*24,"")))))))))</f>
        <v/>
      </c>
      <c r="E157" s="141" t="str">
        <f t="shared" si="151"/>
        <v/>
      </c>
      <c r="F157" s="141" t="str">
        <f t="shared" si="151"/>
        <v/>
      </c>
      <c r="G157" s="141" t="str">
        <f t="shared" si="151"/>
        <v/>
      </c>
      <c r="H157" s="141" t="str">
        <f t="shared" si="151"/>
        <v/>
      </c>
      <c r="I157" s="141" t="str">
        <f t="shared" si="151"/>
        <v/>
      </c>
      <c r="J157" s="141" t="str">
        <f t="shared" si="151"/>
        <v/>
      </c>
      <c r="K157" s="141" t="str">
        <f t="shared" si="151"/>
        <v/>
      </c>
      <c r="L157" s="141" t="str">
        <f t="shared" si="151"/>
        <v/>
      </c>
      <c r="M157" s="141" t="str">
        <f t="shared" si="151"/>
        <v/>
      </c>
      <c r="N157" s="141" t="str">
        <f t="shared" si="151"/>
        <v/>
      </c>
      <c r="O157" s="141" t="str">
        <f t="shared" si="151"/>
        <v/>
      </c>
      <c r="P157" s="141" t="str">
        <f t="shared" si="151"/>
        <v/>
      </c>
      <c r="Q157" s="141" t="str">
        <f t="shared" si="151"/>
        <v/>
      </c>
      <c r="R157" s="141" t="str">
        <f t="shared" si="151"/>
        <v/>
      </c>
      <c r="S157" s="141" t="str">
        <f t="shared" si="151"/>
        <v/>
      </c>
      <c r="T157" s="141" t="str">
        <f t="shared" si="151"/>
        <v/>
      </c>
      <c r="U157" s="141" t="str">
        <f t="shared" si="151"/>
        <v/>
      </c>
      <c r="V157" s="141" t="str">
        <f t="shared" si="151"/>
        <v/>
      </c>
      <c r="W157" s="141" t="str">
        <f t="shared" si="151"/>
        <v/>
      </c>
      <c r="X157" s="141" t="str">
        <f t="shared" si="151"/>
        <v/>
      </c>
      <c r="Y157" s="141" t="str">
        <f t="shared" si="151"/>
        <v/>
      </c>
      <c r="Z157" s="141" t="str">
        <f t="shared" si="151"/>
        <v/>
      </c>
      <c r="AA157" s="141" t="str">
        <f t="shared" si="151"/>
        <v/>
      </c>
      <c r="AB157" s="141" t="str">
        <f t="shared" si="151"/>
        <v/>
      </c>
      <c r="AC157" s="141" t="str">
        <f t="shared" si="151"/>
        <v/>
      </c>
      <c r="AD157" s="141" t="str">
        <f t="shared" si="151"/>
        <v/>
      </c>
      <c r="AE157" s="141" t="str">
        <f t="shared" si="151"/>
        <v/>
      </c>
      <c r="AF157" s="141" t="str">
        <f t="shared" si="151"/>
        <v/>
      </c>
      <c r="AG157" s="141" t="str">
        <f t="shared" si="151"/>
        <v/>
      </c>
      <c r="AH157" s="154" t="s">
        <v>12</v>
      </c>
      <c r="AI157" s="133"/>
      <c r="AJ157" s="170"/>
      <c r="AK157" s="133"/>
      <c r="AL157" s="133"/>
    </row>
    <row r="158" spans="1:38" ht="15.95" hidden="1" customHeight="1" x14ac:dyDescent="0.25">
      <c r="A158" s="166" t="s">
        <v>128</v>
      </c>
      <c r="B158" s="167" t="s">
        <v>30</v>
      </c>
      <c r="C158" s="141" t="str">
        <f>IF(C19=$R32,$V32*24,IF(C19=$R33,$V33*24,IF(C19=$R34,$V34*24,IF(C19=$R35,$V35*24,IF(C19=$R36,$V36*24,IF(C19=$R37,$V37*24,IF(C19=$R38,$V38*24,IF(C19=$R39,$V39*24,IF(C19=$R40,$V40*24,"")))))))))</f>
        <v/>
      </c>
      <c r="D158" s="141" t="str">
        <f t="shared" ref="D158:AG158" si="152">IF(D19=$R32,$V32*24,IF(D19=$R33,$V33*24,IF(D19=$R34,$V34*24,IF(D19=$R35,$V35*24,IF(D19=$R36,$V36*24,IF(D19=$R37,$V37*24,IF(D19=$R38,$V38*24,IF(D19=$R39,$V39*24,IF(D19=$R40,$V40*24,"")))))))))</f>
        <v/>
      </c>
      <c r="E158" s="141" t="str">
        <f t="shared" si="152"/>
        <v/>
      </c>
      <c r="F158" s="141" t="str">
        <f t="shared" si="152"/>
        <v/>
      </c>
      <c r="G158" s="141" t="str">
        <f t="shared" si="152"/>
        <v/>
      </c>
      <c r="H158" s="141" t="str">
        <f t="shared" si="152"/>
        <v/>
      </c>
      <c r="I158" s="141" t="str">
        <f t="shared" si="152"/>
        <v/>
      </c>
      <c r="J158" s="141" t="str">
        <f t="shared" si="152"/>
        <v/>
      </c>
      <c r="K158" s="141" t="str">
        <f t="shared" si="152"/>
        <v/>
      </c>
      <c r="L158" s="141" t="str">
        <f t="shared" si="152"/>
        <v/>
      </c>
      <c r="M158" s="141" t="str">
        <f t="shared" si="152"/>
        <v/>
      </c>
      <c r="N158" s="141" t="str">
        <f t="shared" si="152"/>
        <v/>
      </c>
      <c r="O158" s="141" t="str">
        <f t="shared" si="152"/>
        <v/>
      </c>
      <c r="P158" s="141" t="str">
        <f t="shared" si="152"/>
        <v/>
      </c>
      <c r="Q158" s="141" t="str">
        <f t="shared" si="152"/>
        <v/>
      </c>
      <c r="R158" s="141" t="str">
        <f t="shared" si="152"/>
        <v/>
      </c>
      <c r="S158" s="141" t="str">
        <f t="shared" si="152"/>
        <v/>
      </c>
      <c r="T158" s="141" t="str">
        <f t="shared" si="152"/>
        <v/>
      </c>
      <c r="U158" s="141" t="str">
        <f t="shared" si="152"/>
        <v/>
      </c>
      <c r="V158" s="141" t="str">
        <f t="shared" si="152"/>
        <v/>
      </c>
      <c r="W158" s="141" t="str">
        <f t="shared" si="152"/>
        <v/>
      </c>
      <c r="X158" s="141" t="str">
        <f t="shared" si="152"/>
        <v/>
      </c>
      <c r="Y158" s="141" t="str">
        <f t="shared" si="152"/>
        <v/>
      </c>
      <c r="Z158" s="141" t="str">
        <f t="shared" si="152"/>
        <v/>
      </c>
      <c r="AA158" s="141" t="str">
        <f t="shared" si="152"/>
        <v/>
      </c>
      <c r="AB158" s="141" t="str">
        <f t="shared" si="152"/>
        <v/>
      </c>
      <c r="AC158" s="141" t="str">
        <f t="shared" si="152"/>
        <v/>
      </c>
      <c r="AD158" s="141" t="str">
        <f t="shared" si="152"/>
        <v/>
      </c>
      <c r="AE158" s="141" t="str">
        <f t="shared" si="152"/>
        <v/>
      </c>
      <c r="AF158" s="141" t="str">
        <f t="shared" si="152"/>
        <v/>
      </c>
      <c r="AG158" s="141" t="str">
        <f t="shared" si="152"/>
        <v/>
      </c>
      <c r="AH158" s="154" t="s">
        <v>12</v>
      </c>
      <c r="AI158" s="133"/>
      <c r="AJ158" s="170"/>
      <c r="AK158" s="133"/>
      <c r="AL158" s="133"/>
    </row>
    <row r="159" spans="1:38" ht="15.95" hidden="1" customHeight="1" x14ac:dyDescent="0.25">
      <c r="A159" s="153"/>
      <c r="B159" s="183" t="s">
        <v>34</v>
      </c>
      <c r="C159" s="169" t="str">
        <f t="shared" ref="C159:AD159" si="153">IF(C19=$R32,$BD32*24,IF(C19=$R33,$BD33*24,IF(C19=$R34,$BD34*24,IF(C19=$R35,$BD35*24,IF(C19=$R36,$BD36*24,IF(C19=$R37,$BD37*24,IF(C19=$R38,$BD38*24,IF(C19=$R39,$BD39*24,IF(C19=$R40,$BD40*24,"")))))))))</f>
        <v/>
      </c>
      <c r="D159" s="169" t="str">
        <f t="shared" si="153"/>
        <v/>
      </c>
      <c r="E159" s="169" t="str">
        <f t="shared" si="153"/>
        <v/>
      </c>
      <c r="F159" s="169" t="str">
        <f t="shared" si="153"/>
        <v/>
      </c>
      <c r="G159" s="169" t="str">
        <f t="shared" si="153"/>
        <v/>
      </c>
      <c r="H159" s="169" t="str">
        <f t="shared" si="153"/>
        <v/>
      </c>
      <c r="I159" s="169" t="str">
        <f t="shared" si="153"/>
        <v/>
      </c>
      <c r="J159" s="169" t="str">
        <f t="shared" si="153"/>
        <v/>
      </c>
      <c r="K159" s="169" t="str">
        <f t="shared" si="153"/>
        <v/>
      </c>
      <c r="L159" s="169" t="str">
        <f t="shared" si="153"/>
        <v/>
      </c>
      <c r="M159" s="169" t="str">
        <f t="shared" si="153"/>
        <v/>
      </c>
      <c r="N159" s="169" t="str">
        <f t="shared" si="153"/>
        <v/>
      </c>
      <c r="O159" s="169" t="str">
        <f t="shared" si="153"/>
        <v/>
      </c>
      <c r="P159" s="169" t="str">
        <f t="shared" si="153"/>
        <v/>
      </c>
      <c r="Q159" s="169" t="str">
        <f t="shared" si="153"/>
        <v/>
      </c>
      <c r="R159" s="169" t="str">
        <f t="shared" si="153"/>
        <v/>
      </c>
      <c r="S159" s="169" t="str">
        <f t="shared" si="153"/>
        <v/>
      </c>
      <c r="T159" s="169" t="str">
        <f t="shared" si="153"/>
        <v/>
      </c>
      <c r="U159" s="169" t="str">
        <f t="shared" si="153"/>
        <v/>
      </c>
      <c r="V159" s="169" t="str">
        <f t="shared" si="153"/>
        <v/>
      </c>
      <c r="W159" s="169" t="str">
        <f t="shared" si="153"/>
        <v/>
      </c>
      <c r="X159" s="169" t="str">
        <f t="shared" si="153"/>
        <v/>
      </c>
      <c r="Y159" s="169" t="str">
        <f t="shared" si="153"/>
        <v/>
      </c>
      <c r="Z159" s="169" t="str">
        <f t="shared" si="153"/>
        <v/>
      </c>
      <c r="AA159" s="169" t="str">
        <f t="shared" si="153"/>
        <v/>
      </c>
      <c r="AB159" s="169" t="str">
        <f t="shared" si="153"/>
        <v/>
      </c>
      <c r="AC159" s="169" t="str">
        <f t="shared" si="153"/>
        <v/>
      </c>
      <c r="AD159" s="169" t="str">
        <f t="shared" si="153"/>
        <v/>
      </c>
      <c r="AE159" s="169" t="str">
        <f>IF(AE19=$R32,$BD32*24,IF(AE19=$R33,$BD33*24,IF(AE19=$R34,$BD34*24,IF(AE19=$R35,$BD35*24,IF(AE19=$R36,$BD36*24,IF(AE19=$R37,$BD37*24,IF(AE19=$R38,$BD38*24,IF(AE19=$R39,$BD39*24,IF(AE19=$R40,$BD40*24,"")))))))))</f>
        <v/>
      </c>
      <c r="AF159" s="169" t="str">
        <f>IF(AF19=$R32,$BD32*24,IF(AF19=$R33,$BD33*24,IF(AF19=$R34,$BD34*24,IF(AF19=$R35,$BD35*24,IF(AF19=$R36,$BD36*24,IF(AF19=$R37,$BD37*24,IF(AF19=$R38,$BD38*24,IF(AF19=$R39,$BD39*24,IF(AF19=$R40,$BD40*24,"")))))))))</f>
        <v/>
      </c>
      <c r="AG159" s="169" t="str">
        <f>IF(AG19=$R32,$BD32*24,IF(AG19=$R33,$BD33*24,IF(AG19=$R34,$BD34*24,IF(AG19=$R35,$BD35*24,IF(AG19=$R36,$BD36*24,IF(AG19=$R37,$BD37*24,IF(AG19=$R38,$BD38*24,IF(AG19=$R39,$BD39*24,IF(AG19=$R40,$BD40*24,"")))))))))</f>
        <v/>
      </c>
      <c r="AH159" s="148">
        <f>SUM(C159:AG159)</f>
        <v>0</v>
      </c>
      <c r="AI159" s="133"/>
      <c r="AJ159" s="170"/>
      <c r="AK159" s="133"/>
      <c r="AL159" s="133"/>
    </row>
    <row r="160" spans="1:38" ht="15.95" hidden="1" customHeight="1" x14ac:dyDescent="0.25">
      <c r="A160" s="153"/>
      <c r="B160" s="167" t="s">
        <v>59</v>
      </c>
      <c r="C160" s="141">
        <f t="shared" ref="C160:AG160" si="154">IF(C19="V",$C36,IF(C19="PR",$C38,0))</f>
        <v>0</v>
      </c>
      <c r="D160" s="141">
        <f t="shared" si="154"/>
        <v>0</v>
      </c>
      <c r="E160" s="141">
        <f t="shared" si="154"/>
        <v>0</v>
      </c>
      <c r="F160" s="141">
        <f t="shared" si="154"/>
        <v>0</v>
      </c>
      <c r="G160" s="141">
        <f t="shared" si="154"/>
        <v>0</v>
      </c>
      <c r="H160" s="141">
        <f t="shared" si="154"/>
        <v>0</v>
      </c>
      <c r="I160" s="141">
        <f t="shared" si="154"/>
        <v>0</v>
      </c>
      <c r="J160" s="141">
        <f t="shared" si="154"/>
        <v>0</v>
      </c>
      <c r="K160" s="141">
        <f t="shared" si="154"/>
        <v>0</v>
      </c>
      <c r="L160" s="141">
        <f t="shared" si="154"/>
        <v>0</v>
      </c>
      <c r="M160" s="141">
        <f t="shared" si="154"/>
        <v>0</v>
      </c>
      <c r="N160" s="141">
        <f t="shared" si="154"/>
        <v>0</v>
      </c>
      <c r="O160" s="141">
        <f t="shared" si="154"/>
        <v>0</v>
      </c>
      <c r="P160" s="141">
        <f t="shared" si="154"/>
        <v>0</v>
      </c>
      <c r="Q160" s="141">
        <f t="shared" si="154"/>
        <v>0</v>
      </c>
      <c r="R160" s="141">
        <f t="shared" si="154"/>
        <v>0</v>
      </c>
      <c r="S160" s="141">
        <f t="shared" si="154"/>
        <v>0</v>
      </c>
      <c r="T160" s="141">
        <f t="shared" si="154"/>
        <v>0</v>
      </c>
      <c r="U160" s="141">
        <f t="shared" si="154"/>
        <v>0</v>
      </c>
      <c r="V160" s="141">
        <f t="shared" si="154"/>
        <v>0</v>
      </c>
      <c r="W160" s="141">
        <f t="shared" si="154"/>
        <v>0</v>
      </c>
      <c r="X160" s="141">
        <f t="shared" si="154"/>
        <v>0</v>
      </c>
      <c r="Y160" s="141">
        <f t="shared" si="154"/>
        <v>0</v>
      </c>
      <c r="Z160" s="141">
        <f t="shared" si="154"/>
        <v>0</v>
      </c>
      <c r="AA160" s="141">
        <f t="shared" si="154"/>
        <v>0</v>
      </c>
      <c r="AB160" s="141">
        <f t="shared" si="154"/>
        <v>0</v>
      </c>
      <c r="AC160" s="141">
        <f t="shared" si="154"/>
        <v>0</v>
      </c>
      <c r="AD160" s="141">
        <f t="shared" si="154"/>
        <v>0</v>
      </c>
      <c r="AE160" s="141">
        <f t="shared" si="154"/>
        <v>0</v>
      </c>
      <c r="AF160" s="141">
        <f t="shared" si="154"/>
        <v>0</v>
      </c>
      <c r="AG160" s="141">
        <f t="shared" si="154"/>
        <v>0</v>
      </c>
      <c r="AH160" s="226">
        <f>SUM(C160:AG160)</f>
        <v>0</v>
      </c>
      <c r="AI160" s="226"/>
      <c r="AJ160" s="230">
        <f>SUM(AH105+AH116+AH127+AH138+AH149+AH160)</f>
        <v>0</v>
      </c>
      <c r="AK160" s="230"/>
      <c r="AL160" s="133" t="s">
        <v>56</v>
      </c>
    </row>
    <row r="161" spans="1:38" ht="15.95" hidden="1" customHeight="1" x14ac:dyDescent="0.25">
      <c r="A161" s="150" t="s">
        <v>60</v>
      </c>
      <c r="B161" s="167" t="s">
        <v>61</v>
      </c>
      <c r="C161" s="151">
        <f t="shared" ref="C161:AD161" si="155">IF(C19=$R32,$BC32,IF(C19=$R33,$BC33,IF(C19=$R34,$BC34,IF(C19=$R35,$BC35,IF(C19=$R36,$BC36,IF(C19=$R37,$BC37,IF(C19=$R38,$BC38,IF(C19=$R39,$BC39,IF(C19=$R40,$BC40,0)))))))))</f>
        <v>0</v>
      </c>
      <c r="D161" s="151">
        <f t="shared" si="155"/>
        <v>0</v>
      </c>
      <c r="E161" s="151">
        <f t="shared" si="155"/>
        <v>0</v>
      </c>
      <c r="F161" s="151">
        <f t="shared" si="155"/>
        <v>0</v>
      </c>
      <c r="G161" s="151">
        <f t="shared" si="155"/>
        <v>0</v>
      </c>
      <c r="H161" s="151">
        <f t="shared" si="155"/>
        <v>0</v>
      </c>
      <c r="I161" s="151">
        <f t="shared" si="155"/>
        <v>0</v>
      </c>
      <c r="J161" s="151">
        <f t="shared" si="155"/>
        <v>0</v>
      </c>
      <c r="K161" s="151">
        <f t="shared" si="155"/>
        <v>0</v>
      </c>
      <c r="L161" s="151">
        <f t="shared" si="155"/>
        <v>0</v>
      </c>
      <c r="M161" s="151">
        <f t="shared" si="155"/>
        <v>0</v>
      </c>
      <c r="N161" s="151">
        <f t="shared" si="155"/>
        <v>0</v>
      </c>
      <c r="O161" s="151">
        <f t="shared" si="155"/>
        <v>0</v>
      </c>
      <c r="P161" s="151">
        <f t="shared" si="155"/>
        <v>0</v>
      </c>
      <c r="Q161" s="151">
        <f t="shared" si="155"/>
        <v>0</v>
      </c>
      <c r="R161" s="151">
        <f t="shared" si="155"/>
        <v>0</v>
      </c>
      <c r="S161" s="151">
        <f t="shared" si="155"/>
        <v>0</v>
      </c>
      <c r="T161" s="151">
        <f t="shared" si="155"/>
        <v>0</v>
      </c>
      <c r="U161" s="151">
        <f t="shared" si="155"/>
        <v>0</v>
      </c>
      <c r="V161" s="151">
        <f t="shared" si="155"/>
        <v>0</v>
      </c>
      <c r="W161" s="151">
        <f t="shared" si="155"/>
        <v>0</v>
      </c>
      <c r="X161" s="151">
        <f t="shared" si="155"/>
        <v>0</v>
      </c>
      <c r="Y161" s="151">
        <f t="shared" si="155"/>
        <v>0</v>
      </c>
      <c r="Z161" s="151">
        <f t="shared" si="155"/>
        <v>0</v>
      </c>
      <c r="AA161" s="151">
        <f t="shared" si="155"/>
        <v>0</v>
      </c>
      <c r="AB161" s="151">
        <f t="shared" si="155"/>
        <v>0</v>
      </c>
      <c r="AC161" s="151">
        <f t="shared" si="155"/>
        <v>0</v>
      </c>
      <c r="AD161" s="151">
        <f t="shared" si="155"/>
        <v>0</v>
      </c>
      <c r="AE161" s="151">
        <f>IF(AE19=$R32,$BC32,IF(AE19=$R33,$BC33,IF(AE19=$R34,$BC34,IF(AE19=$R35,$BC35,IF(AE19=$R36,$BC36,IF(AE19=$R37,$BC37,IF(AE19=$R38,$BC38,IF(AE19=$R39,$BC39,IF(AE19=$R40,$BC40,0)))))))))</f>
        <v>0</v>
      </c>
      <c r="AF161" s="151">
        <f>IF(AF19=$R32,$BC32,IF(AF19=$R33,$BC33,IF(AF19=$R34,$BC34,IF(AF19=$R35,$BC35,IF(AF19=$R36,$BC36,IF(AF19=$R37,$BC37,IF(AF19=$R38,$BC38,IF(AF19=$R39,$BC39,IF(AF19=$R40,$BC40,0)))))))))</f>
        <v>0</v>
      </c>
      <c r="AG161" s="151">
        <f>IF(AG19=$R32,$BC32,IF(AG19=$R33,$BC33,IF(AG19=$R34,$BC34,IF(AG19=$R35,$BC35,IF(AG19=$R36,$BC36,IF(AG19=$R37,$BC37,IF(AG19=$R38,$BC38,IF(AG19=$R39,$BC39,IF(AG19=$R40,$BC40,0)))))))))</f>
        <v>0</v>
      </c>
      <c r="AH161" s="226">
        <f>SUM(C161:AG161)</f>
        <v>0</v>
      </c>
      <c r="AI161" s="226"/>
      <c r="AJ161" s="174" t="s">
        <v>62</v>
      </c>
      <c r="AK161" s="133" t="s">
        <v>12</v>
      </c>
      <c r="AL161" s="133"/>
    </row>
    <row r="162" spans="1:38" ht="15.95" hidden="1" customHeight="1" x14ac:dyDescent="0.25">
      <c r="A162" s="153" t="s">
        <v>48</v>
      </c>
      <c r="B162" s="149" t="s">
        <v>63</v>
      </c>
      <c r="C162" s="141">
        <f>IF(C46=1,IF(C157&lt;C158,C161,0))</f>
        <v>0</v>
      </c>
      <c r="D162" s="141" t="b">
        <f t="shared" ref="D162:AG162" si="156">IF(D46=1,IF(D157&lt;D158,D161,0))</f>
        <v>0</v>
      </c>
      <c r="E162" s="141" t="b">
        <f t="shared" si="156"/>
        <v>0</v>
      </c>
      <c r="F162" s="141" t="b">
        <f t="shared" si="156"/>
        <v>0</v>
      </c>
      <c r="G162" s="141" t="b">
        <f t="shared" si="156"/>
        <v>0</v>
      </c>
      <c r="H162" s="141" t="b">
        <f t="shared" si="156"/>
        <v>0</v>
      </c>
      <c r="I162" s="141">
        <f t="shared" si="156"/>
        <v>0</v>
      </c>
      <c r="J162" s="141">
        <f t="shared" si="156"/>
        <v>0</v>
      </c>
      <c r="K162" s="141" t="b">
        <f t="shared" si="156"/>
        <v>0</v>
      </c>
      <c r="L162" s="141" t="b">
        <f t="shared" si="156"/>
        <v>0</v>
      </c>
      <c r="M162" s="141" t="b">
        <f t="shared" si="156"/>
        <v>0</v>
      </c>
      <c r="N162" s="141" t="b">
        <f t="shared" si="156"/>
        <v>0</v>
      </c>
      <c r="O162" s="141" t="b">
        <f t="shared" si="156"/>
        <v>0</v>
      </c>
      <c r="P162" s="141">
        <f t="shared" si="156"/>
        <v>0</v>
      </c>
      <c r="Q162" s="141">
        <f t="shared" si="156"/>
        <v>0</v>
      </c>
      <c r="R162" s="141" t="b">
        <f t="shared" si="156"/>
        <v>0</v>
      </c>
      <c r="S162" s="141" t="b">
        <f t="shared" si="156"/>
        <v>0</v>
      </c>
      <c r="T162" s="141" t="b">
        <f t="shared" si="156"/>
        <v>0</v>
      </c>
      <c r="U162" s="141" t="b">
        <f t="shared" si="156"/>
        <v>0</v>
      </c>
      <c r="V162" s="141" t="b">
        <f t="shared" si="156"/>
        <v>0</v>
      </c>
      <c r="W162" s="141">
        <f t="shared" si="156"/>
        <v>0</v>
      </c>
      <c r="X162" s="141">
        <f t="shared" si="156"/>
        <v>0</v>
      </c>
      <c r="Y162" s="141" t="b">
        <f t="shared" si="156"/>
        <v>0</v>
      </c>
      <c r="Z162" s="141" t="b">
        <f t="shared" si="156"/>
        <v>0</v>
      </c>
      <c r="AA162" s="141" t="b">
        <f t="shared" si="156"/>
        <v>0</v>
      </c>
      <c r="AB162" s="141" t="b">
        <f t="shared" si="156"/>
        <v>0</v>
      </c>
      <c r="AC162" s="141" t="b">
        <f t="shared" si="156"/>
        <v>0</v>
      </c>
      <c r="AD162" s="141">
        <f t="shared" si="156"/>
        <v>0</v>
      </c>
      <c r="AE162" s="141" t="b">
        <f t="shared" si="156"/>
        <v>0</v>
      </c>
      <c r="AF162" s="141" t="b">
        <f t="shared" si="156"/>
        <v>0</v>
      </c>
      <c r="AG162" s="141" t="b">
        <f t="shared" si="156"/>
        <v>0</v>
      </c>
      <c r="AH162" s="154" t="s">
        <v>12</v>
      </c>
      <c r="AI162" s="133"/>
      <c r="AJ162" s="170"/>
      <c r="AK162" s="133"/>
      <c r="AL162" s="133"/>
    </row>
    <row r="163" spans="1:38" ht="15.95" hidden="1" customHeight="1" x14ac:dyDescent="0.25">
      <c r="A163" s="176"/>
      <c r="B163" s="149" t="s">
        <v>64</v>
      </c>
      <c r="C163" s="141">
        <f>IF(C46=1,IF(C157&gt;C158,24-C157,0),0)</f>
        <v>0</v>
      </c>
      <c r="D163" s="141">
        <f t="shared" ref="D163:AG163" si="157">IF(D46=1,IF(D157&gt;D158,24-D157,0),0)</f>
        <v>0</v>
      </c>
      <c r="E163" s="141">
        <f t="shared" si="157"/>
        <v>0</v>
      </c>
      <c r="F163" s="141">
        <f t="shared" si="157"/>
        <v>0</v>
      </c>
      <c r="G163" s="141">
        <f t="shared" si="157"/>
        <v>0</v>
      </c>
      <c r="H163" s="141">
        <f t="shared" si="157"/>
        <v>0</v>
      </c>
      <c r="I163" s="141">
        <f t="shared" si="157"/>
        <v>0</v>
      </c>
      <c r="J163" s="141">
        <f t="shared" si="157"/>
        <v>0</v>
      </c>
      <c r="K163" s="141">
        <f t="shared" si="157"/>
        <v>0</v>
      </c>
      <c r="L163" s="141">
        <f t="shared" si="157"/>
        <v>0</v>
      </c>
      <c r="M163" s="141">
        <f t="shared" si="157"/>
        <v>0</v>
      </c>
      <c r="N163" s="141">
        <f t="shared" si="157"/>
        <v>0</v>
      </c>
      <c r="O163" s="141">
        <f t="shared" si="157"/>
        <v>0</v>
      </c>
      <c r="P163" s="141">
        <f t="shared" si="157"/>
        <v>0</v>
      </c>
      <c r="Q163" s="141">
        <f t="shared" si="157"/>
        <v>0</v>
      </c>
      <c r="R163" s="141">
        <f t="shared" si="157"/>
        <v>0</v>
      </c>
      <c r="S163" s="141">
        <f t="shared" si="157"/>
        <v>0</v>
      </c>
      <c r="T163" s="141">
        <f t="shared" si="157"/>
        <v>0</v>
      </c>
      <c r="U163" s="141">
        <f t="shared" si="157"/>
        <v>0</v>
      </c>
      <c r="V163" s="141">
        <f t="shared" si="157"/>
        <v>0</v>
      </c>
      <c r="W163" s="141">
        <f t="shared" si="157"/>
        <v>0</v>
      </c>
      <c r="X163" s="141">
        <f t="shared" si="157"/>
        <v>0</v>
      </c>
      <c r="Y163" s="141">
        <f t="shared" si="157"/>
        <v>0</v>
      </c>
      <c r="Z163" s="141">
        <f t="shared" si="157"/>
        <v>0</v>
      </c>
      <c r="AA163" s="141">
        <f t="shared" si="157"/>
        <v>0</v>
      </c>
      <c r="AB163" s="141">
        <f t="shared" si="157"/>
        <v>0</v>
      </c>
      <c r="AC163" s="141">
        <f t="shared" si="157"/>
        <v>0</v>
      </c>
      <c r="AD163" s="141">
        <f t="shared" si="157"/>
        <v>0</v>
      </c>
      <c r="AE163" s="141">
        <f t="shared" si="157"/>
        <v>0</v>
      </c>
      <c r="AF163" s="141">
        <f t="shared" si="157"/>
        <v>0</v>
      </c>
      <c r="AG163" s="141">
        <f t="shared" si="157"/>
        <v>0</v>
      </c>
      <c r="AH163" s="154" t="s">
        <v>12</v>
      </c>
      <c r="AI163" s="133"/>
      <c r="AJ163" s="170"/>
      <c r="AK163" s="133"/>
      <c r="AL163" s="133"/>
    </row>
    <row r="164" spans="1:38" ht="15.95" hidden="1" customHeight="1" x14ac:dyDescent="0.25">
      <c r="A164" s="176"/>
      <c r="B164" s="149" t="s">
        <v>65</v>
      </c>
      <c r="C164" s="141">
        <f>IF(C46=1,IF(C157&gt;C158,C158,0),0)</f>
        <v>0</v>
      </c>
      <c r="D164" s="141">
        <f t="shared" ref="D164:AG164" si="158">IF(D46=1,IF(D157&gt;D158,D158,0),0)</f>
        <v>0</v>
      </c>
      <c r="E164" s="141">
        <f t="shared" si="158"/>
        <v>0</v>
      </c>
      <c r="F164" s="141">
        <f t="shared" si="158"/>
        <v>0</v>
      </c>
      <c r="G164" s="141">
        <f t="shared" si="158"/>
        <v>0</v>
      </c>
      <c r="H164" s="141">
        <f t="shared" si="158"/>
        <v>0</v>
      </c>
      <c r="I164" s="141">
        <f t="shared" si="158"/>
        <v>0</v>
      </c>
      <c r="J164" s="141">
        <f t="shared" si="158"/>
        <v>0</v>
      </c>
      <c r="K164" s="141">
        <f t="shared" si="158"/>
        <v>0</v>
      </c>
      <c r="L164" s="141">
        <f t="shared" si="158"/>
        <v>0</v>
      </c>
      <c r="M164" s="141">
        <f t="shared" si="158"/>
        <v>0</v>
      </c>
      <c r="N164" s="141">
        <f t="shared" si="158"/>
        <v>0</v>
      </c>
      <c r="O164" s="141">
        <f t="shared" si="158"/>
        <v>0</v>
      </c>
      <c r="P164" s="141">
        <f t="shared" si="158"/>
        <v>0</v>
      </c>
      <c r="Q164" s="141">
        <f t="shared" si="158"/>
        <v>0</v>
      </c>
      <c r="R164" s="141">
        <f t="shared" si="158"/>
        <v>0</v>
      </c>
      <c r="S164" s="141">
        <f t="shared" si="158"/>
        <v>0</v>
      </c>
      <c r="T164" s="141">
        <f t="shared" si="158"/>
        <v>0</v>
      </c>
      <c r="U164" s="141">
        <f t="shared" si="158"/>
        <v>0</v>
      </c>
      <c r="V164" s="141">
        <f t="shared" si="158"/>
        <v>0</v>
      </c>
      <c r="W164" s="141">
        <f t="shared" si="158"/>
        <v>0</v>
      </c>
      <c r="X164" s="141">
        <f t="shared" si="158"/>
        <v>0</v>
      </c>
      <c r="Y164" s="141">
        <f t="shared" si="158"/>
        <v>0</v>
      </c>
      <c r="Z164" s="141">
        <f t="shared" si="158"/>
        <v>0</v>
      </c>
      <c r="AA164" s="141">
        <f t="shared" si="158"/>
        <v>0</v>
      </c>
      <c r="AB164" s="141">
        <f t="shared" si="158"/>
        <v>0</v>
      </c>
      <c r="AC164" s="141">
        <f t="shared" si="158"/>
        <v>0</v>
      </c>
      <c r="AD164" s="141">
        <f t="shared" si="158"/>
        <v>0</v>
      </c>
      <c r="AE164" s="141">
        <f t="shared" si="158"/>
        <v>0</v>
      </c>
      <c r="AF164" s="141">
        <f t="shared" si="158"/>
        <v>0</v>
      </c>
      <c r="AG164" s="141">
        <f t="shared" si="158"/>
        <v>0</v>
      </c>
      <c r="AH164" s="154" t="s">
        <v>12</v>
      </c>
      <c r="AI164" s="133"/>
      <c r="AJ164" s="170"/>
      <c r="AK164" s="133"/>
      <c r="AL164" s="133"/>
    </row>
    <row r="165" spans="1:38" ht="15.95" hidden="1" customHeight="1" x14ac:dyDescent="0.25">
      <c r="A165" s="176"/>
      <c r="B165" s="149" t="s">
        <v>67</v>
      </c>
      <c r="C165" s="171">
        <f t="shared" ref="C165:AG165" si="159">SUM(C162:C164)</f>
        <v>0</v>
      </c>
      <c r="D165" s="171">
        <f t="shared" si="159"/>
        <v>0</v>
      </c>
      <c r="E165" s="171">
        <f t="shared" si="159"/>
        <v>0</v>
      </c>
      <c r="F165" s="171">
        <f t="shared" si="159"/>
        <v>0</v>
      </c>
      <c r="G165" s="171">
        <f t="shared" si="159"/>
        <v>0</v>
      </c>
      <c r="H165" s="171">
        <f t="shared" si="159"/>
        <v>0</v>
      </c>
      <c r="I165" s="171">
        <f t="shared" si="159"/>
        <v>0</v>
      </c>
      <c r="J165" s="171">
        <f t="shared" si="159"/>
        <v>0</v>
      </c>
      <c r="K165" s="171">
        <f t="shared" si="159"/>
        <v>0</v>
      </c>
      <c r="L165" s="171">
        <f t="shared" si="159"/>
        <v>0</v>
      </c>
      <c r="M165" s="171">
        <f t="shared" si="159"/>
        <v>0</v>
      </c>
      <c r="N165" s="171">
        <f t="shared" si="159"/>
        <v>0</v>
      </c>
      <c r="O165" s="171">
        <f t="shared" si="159"/>
        <v>0</v>
      </c>
      <c r="P165" s="171">
        <f t="shared" si="159"/>
        <v>0</v>
      </c>
      <c r="Q165" s="171">
        <f t="shared" si="159"/>
        <v>0</v>
      </c>
      <c r="R165" s="171">
        <f t="shared" si="159"/>
        <v>0</v>
      </c>
      <c r="S165" s="171">
        <f t="shared" si="159"/>
        <v>0</v>
      </c>
      <c r="T165" s="171">
        <f t="shared" si="159"/>
        <v>0</v>
      </c>
      <c r="U165" s="171">
        <f t="shared" si="159"/>
        <v>0</v>
      </c>
      <c r="V165" s="171">
        <f t="shared" si="159"/>
        <v>0</v>
      </c>
      <c r="W165" s="171">
        <f t="shared" si="159"/>
        <v>0</v>
      </c>
      <c r="X165" s="171">
        <f t="shared" si="159"/>
        <v>0</v>
      </c>
      <c r="Y165" s="171">
        <f t="shared" si="159"/>
        <v>0</v>
      </c>
      <c r="Z165" s="171">
        <f t="shared" si="159"/>
        <v>0</v>
      </c>
      <c r="AA165" s="171">
        <f t="shared" si="159"/>
        <v>0</v>
      </c>
      <c r="AB165" s="171">
        <f t="shared" si="159"/>
        <v>0</v>
      </c>
      <c r="AC165" s="171">
        <f t="shared" si="159"/>
        <v>0</v>
      </c>
      <c r="AD165" s="171">
        <f t="shared" si="159"/>
        <v>0</v>
      </c>
      <c r="AE165" s="171">
        <f t="shared" si="159"/>
        <v>0</v>
      </c>
      <c r="AF165" s="171">
        <f t="shared" si="159"/>
        <v>0</v>
      </c>
      <c r="AG165" s="171">
        <f t="shared" si="159"/>
        <v>0</v>
      </c>
      <c r="AH165" s="154" t="s">
        <v>12</v>
      </c>
      <c r="AI165" s="133"/>
      <c r="AJ165" s="170"/>
      <c r="AK165" s="133"/>
      <c r="AL165" s="133"/>
    </row>
    <row r="166" spans="1:38" ht="15.95" hidden="1" customHeight="1" x14ac:dyDescent="0.25">
      <c r="A166" s="177"/>
      <c r="B166" s="160" t="s">
        <v>68</v>
      </c>
      <c r="C166" s="161">
        <f>IF(C19="V",IF(C19="",0,1),0)</f>
        <v>0</v>
      </c>
      <c r="D166" s="161">
        <f t="shared" ref="D166:AG166" si="160">IF(D19="V",IF(D19="",0,1),0)</f>
        <v>0</v>
      </c>
      <c r="E166" s="161">
        <f t="shared" si="160"/>
        <v>0</v>
      </c>
      <c r="F166" s="161">
        <f t="shared" si="160"/>
        <v>0</v>
      </c>
      <c r="G166" s="161">
        <f t="shared" si="160"/>
        <v>0</v>
      </c>
      <c r="H166" s="161">
        <f t="shared" si="160"/>
        <v>0</v>
      </c>
      <c r="I166" s="161">
        <f t="shared" si="160"/>
        <v>0</v>
      </c>
      <c r="J166" s="161">
        <f t="shared" si="160"/>
        <v>0</v>
      </c>
      <c r="K166" s="161">
        <f t="shared" si="160"/>
        <v>0</v>
      </c>
      <c r="L166" s="161">
        <f t="shared" si="160"/>
        <v>0</v>
      </c>
      <c r="M166" s="161">
        <f t="shared" si="160"/>
        <v>0</v>
      </c>
      <c r="N166" s="161">
        <f t="shared" si="160"/>
        <v>0</v>
      </c>
      <c r="O166" s="161">
        <f t="shared" si="160"/>
        <v>0</v>
      </c>
      <c r="P166" s="161">
        <f t="shared" si="160"/>
        <v>0</v>
      </c>
      <c r="Q166" s="161">
        <f t="shared" si="160"/>
        <v>0</v>
      </c>
      <c r="R166" s="161">
        <f t="shared" si="160"/>
        <v>0</v>
      </c>
      <c r="S166" s="161">
        <f t="shared" si="160"/>
        <v>0</v>
      </c>
      <c r="T166" s="161">
        <f t="shared" si="160"/>
        <v>0</v>
      </c>
      <c r="U166" s="161">
        <f t="shared" si="160"/>
        <v>0</v>
      </c>
      <c r="V166" s="161">
        <f t="shared" si="160"/>
        <v>0</v>
      </c>
      <c r="W166" s="161">
        <f t="shared" si="160"/>
        <v>0</v>
      </c>
      <c r="X166" s="161">
        <f t="shared" si="160"/>
        <v>0</v>
      </c>
      <c r="Y166" s="161">
        <f t="shared" si="160"/>
        <v>0</v>
      </c>
      <c r="Z166" s="161">
        <f t="shared" si="160"/>
        <v>0</v>
      </c>
      <c r="AA166" s="161">
        <f t="shared" si="160"/>
        <v>0</v>
      </c>
      <c r="AB166" s="161">
        <f t="shared" si="160"/>
        <v>0</v>
      </c>
      <c r="AC166" s="161">
        <f t="shared" si="160"/>
        <v>0</v>
      </c>
      <c r="AD166" s="161">
        <f t="shared" si="160"/>
        <v>0</v>
      </c>
      <c r="AE166" s="161">
        <f t="shared" si="160"/>
        <v>0</v>
      </c>
      <c r="AF166" s="161">
        <f t="shared" si="160"/>
        <v>0</v>
      </c>
      <c r="AG166" s="161">
        <f t="shared" si="160"/>
        <v>0</v>
      </c>
      <c r="AH166" s="154" t="s">
        <v>12</v>
      </c>
      <c r="AI166" s="133"/>
      <c r="AJ166" s="170"/>
      <c r="AK166" s="133"/>
      <c r="AL166" s="133"/>
    </row>
    <row r="167" spans="1:38" ht="15.95" hidden="1" customHeight="1" x14ac:dyDescent="0.25">
      <c r="A167" s="180"/>
      <c r="B167" s="181" t="s">
        <v>16</v>
      </c>
      <c r="C167" s="182">
        <f>IF(C19="PR",IF(C19="",0,1),0)</f>
        <v>0</v>
      </c>
      <c r="D167" s="182">
        <f t="shared" ref="D167:AG167" si="161">IF(D19="PR",IF(D19="",0,1),0)</f>
        <v>0</v>
      </c>
      <c r="E167" s="182">
        <f t="shared" si="161"/>
        <v>0</v>
      </c>
      <c r="F167" s="182">
        <f t="shared" si="161"/>
        <v>0</v>
      </c>
      <c r="G167" s="182">
        <f t="shared" si="161"/>
        <v>0</v>
      </c>
      <c r="H167" s="182">
        <f t="shared" si="161"/>
        <v>0</v>
      </c>
      <c r="I167" s="182">
        <f t="shared" si="161"/>
        <v>0</v>
      </c>
      <c r="J167" s="182">
        <f t="shared" si="161"/>
        <v>0</v>
      </c>
      <c r="K167" s="182">
        <f t="shared" si="161"/>
        <v>0</v>
      </c>
      <c r="L167" s="182">
        <f t="shared" si="161"/>
        <v>0</v>
      </c>
      <c r="M167" s="182">
        <f t="shared" si="161"/>
        <v>0</v>
      </c>
      <c r="N167" s="182">
        <f t="shared" si="161"/>
        <v>0</v>
      </c>
      <c r="O167" s="182">
        <f t="shared" si="161"/>
        <v>0</v>
      </c>
      <c r="P167" s="182">
        <f t="shared" si="161"/>
        <v>0</v>
      </c>
      <c r="Q167" s="182">
        <f t="shared" si="161"/>
        <v>0</v>
      </c>
      <c r="R167" s="182">
        <f t="shared" si="161"/>
        <v>0</v>
      </c>
      <c r="S167" s="182">
        <f t="shared" si="161"/>
        <v>0</v>
      </c>
      <c r="T167" s="182">
        <f t="shared" si="161"/>
        <v>0</v>
      </c>
      <c r="U167" s="182">
        <f t="shared" si="161"/>
        <v>0</v>
      </c>
      <c r="V167" s="182">
        <f t="shared" si="161"/>
        <v>0</v>
      </c>
      <c r="W167" s="182">
        <f t="shared" si="161"/>
        <v>0</v>
      </c>
      <c r="X167" s="182">
        <f t="shared" si="161"/>
        <v>0</v>
      </c>
      <c r="Y167" s="182">
        <f t="shared" si="161"/>
        <v>0</v>
      </c>
      <c r="Z167" s="182">
        <f t="shared" si="161"/>
        <v>0</v>
      </c>
      <c r="AA167" s="182">
        <f t="shared" si="161"/>
        <v>0</v>
      </c>
      <c r="AB167" s="182">
        <f t="shared" si="161"/>
        <v>0</v>
      </c>
      <c r="AC167" s="182">
        <f t="shared" si="161"/>
        <v>0</v>
      </c>
      <c r="AD167" s="182">
        <f t="shared" si="161"/>
        <v>0</v>
      </c>
      <c r="AE167" s="182">
        <f t="shared" si="161"/>
        <v>0</v>
      </c>
      <c r="AF167" s="182">
        <f t="shared" si="161"/>
        <v>0</v>
      </c>
      <c r="AG167" s="182">
        <f t="shared" si="161"/>
        <v>0</v>
      </c>
      <c r="AH167" s="227">
        <f>SUM(C167:AG167)</f>
        <v>0</v>
      </c>
      <c r="AI167" s="227"/>
      <c r="AJ167" s="174" t="s">
        <v>69</v>
      </c>
      <c r="AK167" s="133"/>
      <c r="AL167" s="133"/>
    </row>
    <row r="168" spans="1:38" ht="15.95" hidden="1" customHeight="1" x14ac:dyDescent="0.25">
      <c r="A168" s="164" t="s">
        <v>127</v>
      </c>
      <c r="B168" s="165" t="s">
        <v>29</v>
      </c>
      <c r="C168" s="141" t="str">
        <f>IF(C20=$R32,$S32*24,IF(C20=$R33,$S33*24,IF(C20=$R34,$S34*24,IF(C20=$R35,$S35*24,IF(C20=$R36,$S36*24,IF(C20=$R37,$S37*24,IF(C20=$R38,$S38*24,IF(C20=$R39,$S39*24,IF(C20=$R40,$S40*24,"")))))))))</f>
        <v/>
      </c>
      <c r="D168" s="141" t="str">
        <f t="shared" ref="D168:AG168" si="162">IF(D20=$R32,$S32*24,IF(D20=$R33,$S33*24,IF(D20=$R34,$S34*24,IF(D20=$R35,$S35*24,IF(D20=$R36,$S36*24,IF(D20=$R37,$S37*24,IF(D20=$R38,$S38*24,IF(D20=$R39,$S39*24,IF(D20=$R40,$S40*24,"")))))))))</f>
        <v/>
      </c>
      <c r="E168" s="141" t="str">
        <f t="shared" si="162"/>
        <v/>
      </c>
      <c r="F168" s="141" t="str">
        <f t="shared" si="162"/>
        <v/>
      </c>
      <c r="G168" s="141" t="str">
        <f t="shared" si="162"/>
        <v/>
      </c>
      <c r="H168" s="141" t="str">
        <f t="shared" si="162"/>
        <v/>
      </c>
      <c r="I168" s="141" t="str">
        <f t="shared" si="162"/>
        <v/>
      </c>
      <c r="J168" s="141" t="str">
        <f t="shared" si="162"/>
        <v/>
      </c>
      <c r="K168" s="141" t="str">
        <f t="shared" si="162"/>
        <v/>
      </c>
      <c r="L168" s="141" t="str">
        <f t="shared" si="162"/>
        <v/>
      </c>
      <c r="M168" s="141" t="str">
        <f t="shared" si="162"/>
        <v/>
      </c>
      <c r="N168" s="141" t="str">
        <f t="shared" si="162"/>
        <v/>
      </c>
      <c r="O168" s="141" t="str">
        <f t="shared" si="162"/>
        <v/>
      </c>
      <c r="P168" s="141" t="str">
        <f t="shared" si="162"/>
        <v/>
      </c>
      <c r="Q168" s="141" t="str">
        <f t="shared" si="162"/>
        <v/>
      </c>
      <c r="R168" s="141" t="str">
        <f t="shared" si="162"/>
        <v/>
      </c>
      <c r="S168" s="141" t="str">
        <f t="shared" si="162"/>
        <v/>
      </c>
      <c r="T168" s="141" t="str">
        <f t="shared" si="162"/>
        <v/>
      </c>
      <c r="U168" s="141" t="str">
        <f t="shared" si="162"/>
        <v/>
      </c>
      <c r="V168" s="141" t="str">
        <f t="shared" si="162"/>
        <v/>
      </c>
      <c r="W168" s="141" t="str">
        <f t="shared" si="162"/>
        <v/>
      </c>
      <c r="X168" s="141" t="str">
        <f t="shared" si="162"/>
        <v/>
      </c>
      <c r="Y168" s="141" t="str">
        <f t="shared" si="162"/>
        <v/>
      </c>
      <c r="Z168" s="141" t="str">
        <f t="shared" si="162"/>
        <v/>
      </c>
      <c r="AA168" s="141" t="str">
        <f t="shared" si="162"/>
        <v/>
      </c>
      <c r="AB168" s="141" t="str">
        <f t="shared" si="162"/>
        <v/>
      </c>
      <c r="AC168" s="141" t="str">
        <f t="shared" si="162"/>
        <v/>
      </c>
      <c r="AD168" s="141" t="str">
        <f t="shared" si="162"/>
        <v/>
      </c>
      <c r="AE168" s="141" t="str">
        <f t="shared" si="162"/>
        <v/>
      </c>
      <c r="AF168" s="141" t="str">
        <f t="shared" si="162"/>
        <v/>
      </c>
      <c r="AG168" s="141" t="str">
        <f t="shared" si="162"/>
        <v/>
      </c>
      <c r="AH168" s="154" t="s">
        <v>12</v>
      </c>
      <c r="AI168" s="133"/>
      <c r="AJ168" s="170"/>
      <c r="AK168" s="133"/>
      <c r="AL168" s="133"/>
    </row>
    <row r="169" spans="1:38" ht="15.95" hidden="1" customHeight="1" x14ac:dyDescent="0.25">
      <c r="A169" s="166" t="s">
        <v>129</v>
      </c>
      <c r="B169" s="167" t="s">
        <v>30</v>
      </c>
      <c r="C169" s="141" t="str">
        <f>IF(C20=$R32,$V32*24,IF(C20=$R33,$V33*24,IF(C20=$R34,$V34*24,IF(C20=$R35,$V35*24,IF(C20=$R36,$V36*24,IF(C20=$R37,$V37*24,IF(C20=$R38,$V38*24,IF(C20=$R39,$V39*24,IF(C20=$R40,$V40*24,"")))))))))</f>
        <v/>
      </c>
      <c r="D169" s="141" t="str">
        <f t="shared" ref="D169:AG169" si="163">IF(D20=$R32,$V32*24,IF(D20=$R33,$V33*24,IF(D20=$R34,$V34*24,IF(D20=$R35,$V35*24,IF(D20=$R36,$V36*24,IF(D20=$R37,$V37*24,IF(D20=$R38,$V38*24,IF(D20=$R39,$V39*24,IF(D20=$R40,$V40*24,"")))))))))</f>
        <v/>
      </c>
      <c r="E169" s="141" t="str">
        <f t="shared" si="163"/>
        <v/>
      </c>
      <c r="F169" s="141" t="str">
        <f t="shared" si="163"/>
        <v/>
      </c>
      <c r="G169" s="141" t="str">
        <f t="shared" si="163"/>
        <v/>
      </c>
      <c r="H169" s="141" t="str">
        <f t="shared" si="163"/>
        <v/>
      </c>
      <c r="I169" s="141" t="str">
        <f t="shared" si="163"/>
        <v/>
      </c>
      <c r="J169" s="141" t="str">
        <f t="shared" si="163"/>
        <v/>
      </c>
      <c r="K169" s="141" t="str">
        <f t="shared" si="163"/>
        <v/>
      </c>
      <c r="L169" s="141" t="str">
        <f t="shared" si="163"/>
        <v/>
      </c>
      <c r="M169" s="141" t="str">
        <f t="shared" si="163"/>
        <v/>
      </c>
      <c r="N169" s="141" t="str">
        <f t="shared" si="163"/>
        <v/>
      </c>
      <c r="O169" s="141" t="str">
        <f t="shared" si="163"/>
        <v/>
      </c>
      <c r="P169" s="141" t="str">
        <f t="shared" si="163"/>
        <v/>
      </c>
      <c r="Q169" s="141" t="str">
        <f t="shared" si="163"/>
        <v/>
      </c>
      <c r="R169" s="141" t="str">
        <f t="shared" si="163"/>
        <v/>
      </c>
      <c r="S169" s="141" t="str">
        <f t="shared" si="163"/>
        <v/>
      </c>
      <c r="T169" s="141" t="str">
        <f t="shared" si="163"/>
        <v/>
      </c>
      <c r="U169" s="141" t="str">
        <f t="shared" si="163"/>
        <v/>
      </c>
      <c r="V169" s="141" t="str">
        <f t="shared" si="163"/>
        <v/>
      </c>
      <c r="W169" s="141" t="str">
        <f t="shared" si="163"/>
        <v/>
      </c>
      <c r="X169" s="141" t="str">
        <f t="shared" si="163"/>
        <v/>
      </c>
      <c r="Y169" s="141" t="str">
        <f t="shared" si="163"/>
        <v/>
      </c>
      <c r="Z169" s="141" t="str">
        <f t="shared" si="163"/>
        <v/>
      </c>
      <c r="AA169" s="141" t="str">
        <f t="shared" si="163"/>
        <v/>
      </c>
      <c r="AB169" s="141" t="str">
        <f t="shared" si="163"/>
        <v/>
      </c>
      <c r="AC169" s="141" t="str">
        <f t="shared" si="163"/>
        <v/>
      </c>
      <c r="AD169" s="141" t="str">
        <f t="shared" si="163"/>
        <v/>
      </c>
      <c r="AE169" s="141" t="str">
        <f t="shared" si="163"/>
        <v/>
      </c>
      <c r="AF169" s="141" t="str">
        <f t="shared" si="163"/>
        <v/>
      </c>
      <c r="AG169" s="141" t="str">
        <f t="shared" si="163"/>
        <v/>
      </c>
      <c r="AH169" s="154" t="s">
        <v>12</v>
      </c>
      <c r="AI169" s="133"/>
      <c r="AJ169" s="170"/>
      <c r="AK169" s="133"/>
      <c r="AL169" s="133"/>
    </row>
    <row r="170" spans="1:38" ht="15.95" hidden="1" customHeight="1" x14ac:dyDescent="0.25">
      <c r="A170" s="153"/>
      <c r="B170" s="183" t="s">
        <v>34</v>
      </c>
      <c r="C170" s="169" t="str">
        <f t="shared" ref="C170:AD170" si="164">IF(C20=$R32,$BD32*24,IF(C20=$R33,$BD33*24,IF(C20=$R34,$BD34*24,IF(C20=$R35,$BD35*24,IF(C20=$R36,$BD36*24,IF(C20=$R37,$BD37*24,IF(C20=$R38,$BD38*24,IF(C20=$R39,$BD39*24,IF(C20=$R40,$BD40*24,"")))))))))</f>
        <v/>
      </c>
      <c r="D170" s="169" t="str">
        <f t="shared" si="164"/>
        <v/>
      </c>
      <c r="E170" s="169" t="str">
        <f t="shared" si="164"/>
        <v/>
      </c>
      <c r="F170" s="169" t="str">
        <f t="shared" si="164"/>
        <v/>
      </c>
      <c r="G170" s="169" t="str">
        <f t="shared" si="164"/>
        <v/>
      </c>
      <c r="H170" s="169" t="str">
        <f t="shared" si="164"/>
        <v/>
      </c>
      <c r="I170" s="169" t="str">
        <f t="shared" si="164"/>
        <v/>
      </c>
      <c r="J170" s="169" t="str">
        <f t="shared" si="164"/>
        <v/>
      </c>
      <c r="K170" s="169" t="str">
        <f t="shared" si="164"/>
        <v/>
      </c>
      <c r="L170" s="169" t="str">
        <f t="shared" si="164"/>
        <v/>
      </c>
      <c r="M170" s="169" t="str">
        <f t="shared" si="164"/>
        <v/>
      </c>
      <c r="N170" s="169" t="str">
        <f t="shared" si="164"/>
        <v/>
      </c>
      <c r="O170" s="169" t="str">
        <f t="shared" si="164"/>
        <v/>
      </c>
      <c r="P170" s="169" t="str">
        <f t="shared" si="164"/>
        <v/>
      </c>
      <c r="Q170" s="169" t="str">
        <f t="shared" si="164"/>
        <v/>
      </c>
      <c r="R170" s="169" t="str">
        <f t="shared" si="164"/>
        <v/>
      </c>
      <c r="S170" s="169" t="str">
        <f t="shared" si="164"/>
        <v/>
      </c>
      <c r="T170" s="169" t="str">
        <f t="shared" si="164"/>
        <v/>
      </c>
      <c r="U170" s="169" t="str">
        <f t="shared" si="164"/>
        <v/>
      </c>
      <c r="V170" s="169" t="str">
        <f t="shared" si="164"/>
        <v/>
      </c>
      <c r="W170" s="169" t="str">
        <f t="shared" si="164"/>
        <v/>
      </c>
      <c r="X170" s="169" t="str">
        <f t="shared" si="164"/>
        <v/>
      </c>
      <c r="Y170" s="169" t="str">
        <f t="shared" si="164"/>
        <v/>
      </c>
      <c r="Z170" s="169" t="str">
        <f t="shared" si="164"/>
        <v/>
      </c>
      <c r="AA170" s="169" t="str">
        <f t="shared" si="164"/>
        <v/>
      </c>
      <c r="AB170" s="169" t="str">
        <f t="shared" si="164"/>
        <v/>
      </c>
      <c r="AC170" s="169" t="str">
        <f t="shared" si="164"/>
        <v/>
      </c>
      <c r="AD170" s="169" t="str">
        <f t="shared" si="164"/>
        <v/>
      </c>
      <c r="AE170" s="169" t="str">
        <f>IF(AE20=$R32,$BD32*24,IF(AE20=$R33,$BD33*24,IF(AE20=$R34,$BD34*24,IF(AE20=$R35,$BD35*24,IF(AE20=$R36,$BD36*24,IF(AE20=$R37,$BD37*24,IF(AE20=$R38,$BD38*24,IF(AE20=$R39,$BD39*24,IF(AE20=$R40,$BD40*24,"")))))))))</f>
        <v/>
      </c>
      <c r="AF170" s="169" t="str">
        <f>IF(AF20=$R32,$BD32*24,IF(AF20=$R33,$BD33*24,IF(AF20=$R34,$BD34*24,IF(AF20=$R35,$BD35*24,IF(AF20=$R36,$BD36*24,IF(AF20=$R37,$BD37*24,IF(AF20=$R38,$BD38*24,IF(AF20=$R39,$BD39*24,IF(AF20=$R40,$BD40*24,"")))))))))</f>
        <v/>
      </c>
      <c r="AG170" s="169" t="str">
        <f>IF(AG20=$R32,$BD32*24,IF(AG20=$R33,$BD33*24,IF(AG20=$R34,$BD34*24,IF(AG20=$R35,$BD35*24,IF(AG20=$R36,$BD36*24,IF(AG20=$R37,$BD37*24,IF(AG20=$R38,$BD38*24,IF(AG20=$R39,$BD39*24,IF(AG20=$R40,$BD40*24,"")))))))))</f>
        <v/>
      </c>
      <c r="AH170" s="148">
        <f>SUM(C170:AG170)</f>
        <v>0</v>
      </c>
      <c r="AI170" s="133"/>
      <c r="AJ170" s="170"/>
      <c r="AK170" s="133"/>
      <c r="AL170" s="133"/>
    </row>
    <row r="171" spans="1:38" ht="15.95" hidden="1" customHeight="1" x14ac:dyDescent="0.25">
      <c r="A171" s="153"/>
      <c r="B171" s="167" t="s">
        <v>59</v>
      </c>
      <c r="C171" s="141">
        <f t="shared" ref="C171:AG171" si="165">IF(C20="V",$C36,IF(C20="PR",$C38,0))</f>
        <v>0</v>
      </c>
      <c r="D171" s="141">
        <f t="shared" si="165"/>
        <v>0</v>
      </c>
      <c r="E171" s="141">
        <f t="shared" si="165"/>
        <v>0</v>
      </c>
      <c r="F171" s="141">
        <f t="shared" si="165"/>
        <v>0</v>
      </c>
      <c r="G171" s="141">
        <f t="shared" si="165"/>
        <v>0</v>
      </c>
      <c r="H171" s="141">
        <f t="shared" si="165"/>
        <v>0</v>
      </c>
      <c r="I171" s="141">
        <f t="shared" si="165"/>
        <v>0</v>
      </c>
      <c r="J171" s="141">
        <f t="shared" si="165"/>
        <v>0</v>
      </c>
      <c r="K171" s="141">
        <f t="shared" si="165"/>
        <v>0</v>
      </c>
      <c r="L171" s="141">
        <f t="shared" si="165"/>
        <v>0</v>
      </c>
      <c r="M171" s="141">
        <f t="shared" si="165"/>
        <v>0</v>
      </c>
      <c r="N171" s="141">
        <f t="shared" si="165"/>
        <v>0</v>
      </c>
      <c r="O171" s="141">
        <f t="shared" si="165"/>
        <v>0</v>
      </c>
      <c r="P171" s="141">
        <f t="shared" si="165"/>
        <v>0</v>
      </c>
      <c r="Q171" s="141">
        <f t="shared" si="165"/>
        <v>0</v>
      </c>
      <c r="R171" s="141">
        <f t="shared" si="165"/>
        <v>0</v>
      </c>
      <c r="S171" s="141">
        <f t="shared" si="165"/>
        <v>0</v>
      </c>
      <c r="T171" s="141">
        <f t="shared" si="165"/>
        <v>0</v>
      </c>
      <c r="U171" s="141">
        <f t="shared" si="165"/>
        <v>0</v>
      </c>
      <c r="V171" s="141">
        <f t="shared" si="165"/>
        <v>0</v>
      </c>
      <c r="W171" s="141">
        <f t="shared" si="165"/>
        <v>0</v>
      </c>
      <c r="X171" s="141">
        <f t="shared" si="165"/>
        <v>0</v>
      </c>
      <c r="Y171" s="141">
        <f t="shared" si="165"/>
        <v>0</v>
      </c>
      <c r="Z171" s="141">
        <f t="shared" si="165"/>
        <v>0</v>
      </c>
      <c r="AA171" s="141">
        <f t="shared" si="165"/>
        <v>0</v>
      </c>
      <c r="AB171" s="141">
        <f t="shared" si="165"/>
        <v>0</v>
      </c>
      <c r="AC171" s="141">
        <f t="shared" si="165"/>
        <v>0</v>
      </c>
      <c r="AD171" s="141">
        <f t="shared" si="165"/>
        <v>0</v>
      </c>
      <c r="AE171" s="141">
        <f t="shared" si="165"/>
        <v>0</v>
      </c>
      <c r="AF171" s="141">
        <f t="shared" si="165"/>
        <v>0</v>
      </c>
      <c r="AG171" s="141">
        <f t="shared" si="165"/>
        <v>0</v>
      </c>
      <c r="AH171" s="226">
        <f>SUM(C171:AG171)</f>
        <v>0</v>
      </c>
      <c r="AI171" s="226"/>
      <c r="AJ171" s="230">
        <f>SUM(AH116+AH127+AH138+AH149+AH160+AH171)</f>
        <v>0</v>
      </c>
      <c r="AK171" s="230"/>
      <c r="AL171" s="133" t="s">
        <v>56</v>
      </c>
    </row>
    <row r="172" spans="1:38" ht="15.95" hidden="1" customHeight="1" x14ac:dyDescent="0.25">
      <c r="A172" s="150" t="s">
        <v>60</v>
      </c>
      <c r="B172" s="167" t="s">
        <v>61</v>
      </c>
      <c r="C172" s="151">
        <f t="shared" ref="C172:AD172" si="166">IF(C20=$R32,$BC32,IF(C20=$R33,$BC33,IF(C20=$R34,$BC34,IF(C20=$R35,$BC35,IF(C20=$R36,$BC36,IF(C20=$R37,$BC37,IF(C20=$R38,$BC38,IF(C20=$R39,$BC39,IF(C20=$R40,$BC40,0)))))))))</f>
        <v>0</v>
      </c>
      <c r="D172" s="151">
        <f t="shared" si="166"/>
        <v>0</v>
      </c>
      <c r="E172" s="151">
        <f t="shared" si="166"/>
        <v>0</v>
      </c>
      <c r="F172" s="151">
        <f t="shared" si="166"/>
        <v>0</v>
      </c>
      <c r="G172" s="151">
        <f t="shared" si="166"/>
        <v>0</v>
      </c>
      <c r="H172" s="151">
        <f t="shared" si="166"/>
        <v>0</v>
      </c>
      <c r="I172" s="151">
        <f t="shared" si="166"/>
        <v>0</v>
      </c>
      <c r="J172" s="151">
        <f t="shared" si="166"/>
        <v>0</v>
      </c>
      <c r="K172" s="151">
        <f t="shared" si="166"/>
        <v>0</v>
      </c>
      <c r="L172" s="151">
        <f t="shared" si="166"/>
        <v>0</v>
      </c>
      <c r="M172" s="151">
        <f t="shared" si="166"/>
        <v>0</v>
      </c>
      <c r="N172" s="151">
        <f t="shared" si="166"/>
        <v>0</v>
      </c>
      <c r="O172" s="151">
        <f t="shared" si="166"/>
        <v>0</v>
      </c>
      <c r="P172" s="151">
        <f t="shared" si="166"/>
        <v>0</v>
      </c>
      <c r="Q172" s="151">
        <f t="shared" si="166"/>
        <v>0</v>
      </c>
      <c r="R172" s="151">
        <f t="shared" si="166"/>
        <v>0</v>
      </c>
      <c r="S172" s="151">
        <f t="shared" si="166"/>
        <v>0</v>
      </c>
      <c r="T172" s="151">
        <f t="shared" si="166"/>
        <v>0</v>
      </c>
      <c r="U172" s="151">
        <f t="shared" si="166"/>
        <v>0</v>
      </c>
      <c r="V172" s="151">
        <f t="shared" si="166"/>
        <v>0</v>
      </c>
      <c r="W172" s="151">
        <f t="shared" si="166"/>
        <v>0</v>
      </c>
      <c r="X172" s="151">
        <f t="shared" si="166"/>
        <v>0</v>
      </c>
      <c r="Y172" s="151">
        <f t="shared" si="166"/>
        <v>0</v>
      </c>
      <c r="Z172" s="151">
        <f t="shared" si="166"/>
        <v>0</v>
      </c>
      <c r="AA172" s="151">
        <f t="shared" si="166"/>
        <v>0</v>
      </c>
      <c r="AB172" s="151">
        <f t="shared" si="166"/>
        <v>0</v>
      </c>
      <c r="AC172" s="151">
        <f t="shared" si="166"/>
        <v>0</v>
      </c>
      <c r="AD172" s="151">
        <f t="shared" si="166"/>
        <v>0</v>
      </c>
      <c r="AE172" s="151">
        <f>IF(AE20=$R32,$BC32,IF(AE20=$R33,$BC33,IF(AE20=$R34,$BC34,IF(AE20=$R35,$BC35,IF(AE20=$R36,$BC36,IF(AE20=$R37,$BC37,IF(AE20=$R38,$BC38,IF(AE20=$R39,$BC39,IF(AE20=$R40,$BC40,0)))))))))</f>
        <v>0</v>
      </c>
      <c r="AF172" s="151">
        <f>IF(AF20=$R32,$BC32,IF(AF20=$R33,$BC33,IF(AF20=$R34,$BC34,IF(AF20=$R35,$BC35,IF(AF20=$R36,$BC36,IF(AF20=$R37,$BC37,IF(AF20=$R38,$BC38,IF(AF20=$R39,$BC39,IF(AF20=$R40,$BC40,0)))))))))</f>
        <v>0</v>
      </c>
      <c r="AG172" s="151">
        <f>IF(AG20=$R32,$BC32,IF(AG20=$R33,$BC33,IF(AG20=$R34,$BC34,IF(AG20=$R35,$BC35,IF(AG20=$R36,$BC36,IF(AG20=$R37,$BC37,IF(AG20=$R38,$BC38,IF(AG20=$R39,$BC39,IF(AG20=$R40,$BC40,0)))))))))</f>
        <v>0</v>
      </c>
      <c r="AH172" s="226">
        <f>SUM(C172:AG172)</f>
        <v>0</v>
      </c>
      <c r="AI172" s="226"/>
      <c r="AJ172" s="174" t="s">
        <v>62</v>
      </c>
      <c r="AK172" s="133" t="s">
        <v>12</v>
      </c>
      <c r="AL172" s="133"/>
    </row>
    <row r="173" spans="1:38" ht="15.95" hidden="1" customHeight="1" x14ac:dyDescent="0.25">
      <c r="A173" s="153" t="s">
        <v>48</v>
      </c>
      <c r="B173" s="149" t="s">
        <v>63</v>
      </c>
      <c r="C173" s="141">
        <f>IF(C46=1,IF(C168&lt;C169,C172,0))</f>
        <v>0</v>
      </c>
      <c r="D173" s="141" t="b">
        <f t="shared" ref="D173:AG173" si="167">IF(D46=1,IF(D168&lt;D169,D172,0))</f>
        <v>0</v>
      </c>
      <c r="E173" s="141" t="b">
        <f t="shared" si="167"/>
        <v>0</v>
      </c>
      <c r="F173" s="141" t="b">
        <f t="shared" si="167"/>
        <v>0</v>
      </c>
      <c r="G173" s="141" t="b">
        <f t="shared" si="167"/>
        <v>0</v>
      </c>
      <c r="H173" s="141" t="b">
        <f t="shared" si="167"/>
        <v>0</v>
      </c>
      <c r="I173" s="141">
        <f t="shared" si="167"/>
        <v>0</v>
      </c>
      <c r="J173" s="141">
        <f t="shared" si="167"/>
        <v>0</v>
      </c>
      <c r="K173" s="141" t="b">
        <f t="shared" si="167"/>
        <v>0</v>
      </c>
      <c r="L173" s="141" t="b">
        <f t="shared" si="167"/>
        <v>0</v>
      </c>
      <c r="M173" s="141" t="b">
        <f t="shared" si="167"/>
        <v>0</v>
      </c>
      <c r="N173" s="141" t="b">
        <f t="shared" si="167"/>
        <v>0</v>
      </c>
      <c r="O173" s="141" t="b">
        <f t="shared" si="167"/>
        <v>0</v>
      </c>
      <c r="P173" s="141">
        <f t="shared" si="167"/>
        <v>0</v>
      </c>
      <c r="Q173" s="141">
        <f t="shared" si="167"/>
        <v>0</v>
      </c>
      <c r="R173" s="141" t="b">
        <f t="shared" si="167"/>
        <v>0</v>
      </c>
      <c r="S173" s="141" t="b">
        <f t="shared" si="167"/>
        <v>0</v>
      </c>
      <c r="T173" s="141" t="b">
        <f t="shared" si="167"/>
        <v>0</v>
      </c>
      <c r="U173" s="141" t="b">
        <f t="shared" si="167"/>
        <v>0</v>
      </c>
      <c r="V173" s="141" t="b">
        <f t="shared" si="167"/>
        <v>0</v>
      </c>
      <c r="W173" s="141">
        <f t="shared" si="167"/>
        <v>0</v>
      </c>
      <c r="X173" s="141">
        <f t="shared" si="167"/>
        <v>0</v>
      </c>
      <c r="Y173" s="141" t="b">
        <f t="shared" si="167"/>
        <v>0</v>
      </c>
      <c r="Z173" s="141" t="b">
        <f t="shared" si="167"/>
        <v>0</v>
      </c>
      <c r="AA173" s="141" t="b">
        <f t="shared" si="167"/>
        <v>0</v>
      </c>
      <c r="AB173" s="141" t="b">
        <f t="shared" si="167"/>
        <v>0</v>
      </c>
      <c r="AC173" s="141" t="b">
        <f t="shared" si="167"/>
        <v>0</v>
      </c>
      <c r="AD173" s="141">
        <f t="shared" si="167"/>
        <v>0</v>
      </c>
      <c r="AE173" s="141" t="b">
        <f t="shared" si="167"/>
        <v>0</v>
      </c>
      <c r="AF173" s="141" t="b">
        <f t="shared" si="167"/>
        <v>0</v>
      </c>
      <c r="AG173" s="141" t="b">
        <f t="shared" si="167"/>
        <v>0</v>
      </c>
      <c r="AH173" s="154" t="s">
        <v>12</v>
      </c>
      <c r="AI173" s="133"/>
      <c r="AJ173" s="170"/>
      <c r="AK173" s="133"/>
      <c r="AL173" s="133"/>
    </row>
    <row r="174" spans="1:38" ht="15.95" hidden="1" customHeight="1" x14ac:dyDescent="0.25">
      <c r="A174" s="176"/>
      <c r="B174" s="149" t="s">
        <v>64</v>
      </c>
      <c r="C174" s="141">
        <f>IF(C46=1,IF(C168&gt;C169,24-C168,0),0)</f>
        <v>0</v>
      </c>
      <c r="D174" s="141">
        <f t="shared" ref="D174:AG174" si="168">IF(D46=1,IF(D168&gt;D169,24-D168,0),0)</f>
        <v>0</v>
      </c>
      <c r="E174" s="141">
        <f t="shared" si="168"/>
        <v>0</v>
      </c>
      <c r="F174" s="141">
        <f t="shared" si="168"/>
        <v>0</v>
      </c>
      <c r="G174" s="141">
        <f t="shared" si="168"/>
        <v>0</v>
      </c>
      <c r="H174" s="141">
        <f t="shared" si="168"/>
        <v>0</v>
      </c>
      <c r="I174" s="141">
        <f t="shared" si="168"/>
        <v>0</v>
      </c>
      <c r="J174" s="141">
        <f t="shared" si="168"/>
        <v>0</v>
      </c>
      <c r="K174" s="141">
        <f t="shared" si="168"/>
        <v>0</v>
      </c>
      <c r="L174" s="141">
        <f t="shared" si="168"/>
        <v>0</v>
      </c>
      <c r="M174" s="141">
        <f t="shared" si="168"/>
        <v>0</v>
      </c>
      <c r="N174" s="141">
        <f t="shared" si="168"/>
        <v>0</v>
      </c>
      <c r="O174" s="141">
        <f t="shared" si="168"/>
        <v>0</v>
      </c>
      <c r="P174" s="141">
        <f t="shared" si="168"/>
        <v>0</v>
      </c>
      <c r="Q174" s="141">
        <f t="shared" si="168"/>
        <v>0</v>
      </c>
      <c r="R174" s="141">
        <f t="shared" si="168"/>
        <v>0</v>
      </c>
      <c r="S174" s="141">
        <f t="shared" si="168"/>
        <v>0</v>
      </c>
      <c r="T174" s="141">
        <f t="shared" si="168"/>
        <v>0</v>
      </c>
      <c r="U174" s="141">
        <f t="shared" si="168"/>
        <v>0</v>
      </c>
      <c r="V174" s="141">
        <f t="shared" si="168"/>
        <v>0</v>
      </c>
      <c r="W174" s="141">
        <f t="shared" si="168"/>
        <v>0</v>
      </c>
      <c r="X174" s="141">
        <f t="shared" si="168"/>
        <v>0</v>
      </c>
      <c r="Y174" s="141">
        <f t="shared" si="168"/>
        <v>0</v>
      </c>
      <c r="Z174" s="141">
        <f t="shared" si="168"/>
        <v>0</v>
      </c>
      <c r="AA174" s="141">
        <f t="shared" si="168"/>
        <v>0</v>
      </c>
      <c r="AB174" s="141">
        <f t="shared" si="168"/>
        <v>0</v>
      </c>
      <c r="AC174" s="141">
        <f t="shared" si="168"/>
        <v>0</v>
      </c>
      <c r="AD174" s="141">
        <f t="shared" si="168"/>
        <v>0</v>
      </c>
      <c r="AE174" s="141">
        <f t="shared" si="168"/>
        <v>0</v>
      </c>
      <c r="AF174" s="141">
        <f t="shared" si="168"/>
        <v>0</v>
      </c>
      <c r="AG174" s="141">
        <f t="shared" si="168"/>
        <v>0</v>
      </c>
      <c r="AH174" s="154" t="s">
        <v>12</v>
      </c>
      <c r="AI174" s="133"/>
      <c r="AJ174" s="170"/>
      <c r="AK174" s="133"/>
      <c r="AL174" s="133"/>
    </row>
    <row r="175" spans="1:38" ht="15.95" hidden="1" customHeight="1" x14ac:dyDescent="0.25">
      <c r="A175" s="176"/>
      <c r="B175" s="149" t="s">
        <v>65</v>
      </c>
      <c r="C175" s="141">
        <f>IF(C46=1,IF(C168&gt;C169,C169,0),0)</f>
        <v>0</v>
      </c>
      <c r="D175" s="141">
        <f t="shared" ref="D175:AG175" si="169">IF(D46=1,IF(D168&gt;D169,D169,0),0)</f>
        <v>0</v>
      </c>
      <c r="E175" s="141">
        <f t="shared" si="169"/>
        <v>0</v>
      </c>
      <c r="F175" s="141">
        <f t="shared" si="169"/>
        <v>0</v>
      </c>
      <c r="G175" s="141">
        <f t="shared" si="169"/>
        <v>0</v>
      </c>
      <c r="H175" s="141">
        <f t="shared" si="169"/>
        <v>0</v>
      </c>
      <c r="I175" s="141">
        <f t="shared" si="169"/>
        <v>0</v>
      </c>
      <c r="J175" s="141">
        <f t="shared" si="169"/>
        <v>0</v>
      </c>
      <c r="K175" s="141">
        <f t="shared" si="169"/>
        <v>0</v>
      </c>
      <c r="L175" s="141">
        <f t="shared" si="169"/>
        <v>0</v>
      </c>
      <c r="M175" s="141">
        <f t="shared" si="169"/>
        <v>0</v>
      </c>
      <c r="N175" s="141">
        <f t="shared" si="169"/>
        <v>0</v>
      </c>
      <c r="O175" s="141">
        <f t="shared" si="169"/>
        <v>0</v>
      </c>
      <c r="P175" s="141">
        <f t="shared" si="169"/>
        <v>0</v>
      </c>
      <c r="Q175" s="141">
        <f t="shared" si="169"/>
        <v>0</v>
      </c>
      <c r="R175" s="141">
        <f t="shared" si="169"/>
        <v>0</v>
      </c>
      <c r="S175" s="141">
        <f t="shared" si="169"/>
        <v>0</v>
      </c>
      <c r="T175" s="141">
        <f t="shared" si="169"/>
        <v>0</v>
      </c>
      <c r="U175" s="141">
        <f t="shared" si="169"/>
        <v>0</v>
      </c>
      <c r="V175" s="141">
        <f t="shared" si="169"/>
        <v>0</v>
      </c>
      <c r="W175" s="141">
        <f t="shared" si="169"/>
        <v>0</v>
      </c>
      <c r="X175" s="141">
        <f t="shared" si="169"/>
        <v>0</v>
      </c>
      <c r="Y175" s="141">
        <f t="shared" si="169"/>
        <v>0</v>
      </c>
      <c r="Z175" s="141">
        <f t="shared" si="169"/>
        <v>0</v>
      </c>
      <c r="AA175" s="141">
        <f t="shared" si="169"/>
        <v>0</v>
      </c>
      <c r="AB175" s="141">
        <f t="shared" si="169"/>
        <v>0</v>
      </c>
      <c r="AC175" s="141">
        <f t="shared" si="169"/>
        <v>0</v>
      </c>
      <c r="AD175" s="141">
        <f t="shared" si="169"/>
        <v>0</v>
      </c>
      <c r="AE175" s="141">
        <f t="shared" si="169"/>
        <v>0</v>
      </c>
      <c r="AF175" s="141">
        <f t="shared" si="169"/>
        <v>0</v>
      </c>
      <c r="AG175" s="141">
        <f t="shared" si="169"/>
        <v>0</v>
      </c>
      <c r="AH175" s="154" t="s">
        <v>12</v>
      </c>
      <c r="AI175" s="133"/>
      <c r="AJ175" s="170"/>
      <c r="AK175" s="133"/>
      <c r="AL175" s="133"/>
    </row>
    <row r="176" spans="1:38" ht="15.95" hidden="1" customHeight="1" x14ac:dyDescent="0.25">
      <c r="A176" s="176"/>
      <c r="B176" s="149" t="s">
        <v>67</v>
      </c>
      <c r="C176" s="171">
        <f>SUM(C173:C175)</f>
        <v>0</v>
      </c>
      <c r="D176" s="171">
        <f t="shared" ref="D176:AG176" si="170">SUM(D173:D175)</f>
        <v>0</v>
      </c>
      <c r="E176" s="171">
        <f t="shared" si="170"/>
        <v>0</v>
      </c>
      <c r="F176" s="171">
        <f t="shared" si="170"/>
        <v>0</v>
      </c>
      <c r="G176" s="171">
        <f t="shared" si="170"/>
        <v>0</v>
      </c>
      <c r="H176" s="171">
        <f t="shared" si="170"/>
        <v>0</v>
      </c>
      <c r="I176" s="171">
        <f t="shared" si="170"/>
        <v>0</v>
      </c>
      <c r="J176" s="171">
        <f t="shared" si="170"/>
        <v>0</v>
      </c>
      <c r="K176" s="171">
        <f t="shared" si="170"/>
        <v>0</v>
      </c>
      <c r="L176" s="171">
        <f t="shared" si="170"/>
        <v>0</v>
      </c>
      <c r="M176" s="171">
        <f t="shared" si="170"/>
        <v>0</v>
      </c>
      <c r="N176" s="171">
        <f t="shared" si="170"/>
        <v>0</v>
      </c>
      <c r="O176" s="171">
        <f t="shared" si="170"/>
        <v>0</v>
      </c>
      <c r="P176" s="171">
        <f t="shared" si="170"/>
        <v>0</v>
      </c>
      <c r="Q176" s="171">
        <f t="shared" si="170"/>
        <v>0</v>
      </c>
      <c r="R176" s="171">
        <f t="shared" si="170"/>
        <v>0</v>
      </c>
      <c r="S176" s="171">
        <f t="shared" si="170"/>
        <v>0</v>
      </c>
      <c r="T176" s="171">
        <f t="shared" si="170"/>
        <v>0</v>
      </c>
      <c r="U176" s="171">
        <f t="shared" si="170"/>
        <v>0</v>
      </c>
      <c r="V176" s="171">
        <f t="shared" si="170"/>
        <v>0</v>
      </c>
      <c r="W176" s="171">
        <f t="shared" si="170"/>
        <v>0</v>
      </c>
      <c r="X176" s="171">
        <f t="shared" si="170"/>
        <v>0</v>
      </c>
      <c r="Y176" s="171">
        <f t="shared" si="170"/>
        <v>0</v>
      </c>
      <c r="Z176" s="171">
        <f t="shared" si="170"/>
        <v>0</v>
      </c>
      <c r="AA176" s="171">
        <f t="shared" si="170"/>
        <v>0</v>
      </c>
      <c r="AB176" s="171">
        <f t="shared" si="170"/>
        <v>0</v>
      </c>
      <c r="AC176" s="171">
        <f t="shared" si="170"/>
        <v>0</v>
      </c>
      <c r="AD176" s="171">
        <f t="shared" si="170"/>
        <v>0</v>
      </c>
      <c r="AE176" s="171">
        <f t="shared" si="170"/>
        <v>0</v>
      </c>
      <c r="AF176" s="171">
        <f t="shared" si="170"/>
        <v>0</v>
      </c>
      <c r="AG176" s="171">
        <f t="shared" si="170"/>
        <v>0</v>
      </c>
      <c r="AH176" s="154" t="s">
        <v>12</v>
      </c>
      <c r="AI176" s="133"/>
      <c r="AJ176" s="170"/>
      <c r="AK176" s="133"/>
      <c r="AL176" s="133"/>
    </row>
    <row r="177" spans="1:38" ht="15.95" hidden="1" customHeight="1" x14ac:dyDescent="0.25">
      <c r="A177" s="177"/>
      <c r="B177" s="160" t="s">
        <v>68</v>
      </c>
      <c r="C177" s="161">
        <f>IF(C20="V",IF(C20="",0,1),0)</f>
        <v>0</v>
      </c>
      <c r="D177" s="161">
        <f t="shared" ref="D177:AG177" si="171">IF(D20="V",IF(D20="",0,1),0)</f>
        <v>0</v>
      </c>
      <c r="E177" s="161">
        <f t="shared" si="171"/>
        <v>0</v>
      </c>
      <c r="F177" s="161">
        <f t="shared" si="171"/>
        <v>0</v>
      </c>
      <c r="G177" s="161">
        <f t="shared" si="171"/>
        <v>0</v>
      </c>
      <c r="H177" s="161">
        <f t="shared" si="171"/>
        <v>0</v>
      </c>
      <c r="I177" s="161">
        <f t="shared" si="171"/>
        <v>0</v>
      </c>
      <c r="J177" s="161">
        <f t="shared" si="171"/>
        <v>0</v>
      </c>
      <c r="K177" s="161">
        <f t="shared" si="171"/>
        <v>0</v>
      </c>
      <c r="L177" s="161">
        <f t="shared" si="171"/>
        <v>0</v>
      </c>
      <c r="M177" s="161">
        <f t="shared" si="171"/>
        <v>0</v>
      </c>
      <c r="N177" s="161">
        <f t="shared" si="171"/>
        <v>0</v>
      </c>
      <c r="O177" s="161">
        <f t="shared" si="171"/>
        <v>0</v>
      </c>
      <c r="P177" s="161">
        <f t="shared" si="171"/>
        <v>0</v>
      </c>
      <c r="Q177" s="161">
        <f t="shared" si="171"/>
        <v>0</v>
      </c>
      <c r="R177" s="161">
        <f t="shared" si="171"/>
        <v>0</v>
      </c>
      <c r="S177" s="161">
        <f t="shared" si="171"/>
        <v>0</v>
      </c>
      <c r="T177" s="161">
        <f t="shared" si="171"/>
        <v>0</v>
      </c>
      <c r="U177" s="161">
        <f t="shared" si="171"/>
        <v>0</v>
      </c>
      <c r="V177" s="161">
        <f t="shared" si="171"/>
        <v>0</v>
      </c>
      <c r="W177" s="161">
        <f t="shared" si="171"/>
        <v>0</v>
      </c>
      <c r="X177" s="161">
        <f t="shared" si="171"/>
        <v>0</v>
      </c>
      <c r="Y177" s="161">
        <f t="shared" si="171"/>
        <v>0</v>
      </c>
      <c r="Z177" s="161">
        <f t="shared" si="171"/>
        <v>0</v>
      </c>
      <c r="AA177" s="161">
        <f t="shared" si="171"/>
        <v>0</v>
      </c>
      <c r="AB177" s="161">
        <f t="shared" si="171"/>
        <v>0</v>
      </c>
      <c r="AC177" s="161">
        <f t="shared" si="171"/>
        <v>0</v>
      </c>
      <c r="AD177" s="161">
        <f t="shared" si="171"/>
        <v>0</v>
      </c>
      <c r="AE177" s="161">
        <f t="shared" si="171"/>
        <v>0</v>
      </c>
      <c r="AF177" s="161">
        <f t="shared" si="171"/>
        <v>0</v>
      </c>
      <c r="AG177" s="161">
        <f t="shared" si="171"/>
        <v>0</v>
      </c>
      <c r="AH177" s="154" t="s">
        <v>12</v>
      </c>
      <c r="AI177" s="133"/>
      <c r="AJ177" s="170"/>
      <c r="AK177" s="133"/>
      <c r="AL177" s="133"/>
    </row>
    <row r="178" spans="1:38" ht="15.95" hidden="1" customHeight="1" x14ac:dyDescent="0.25">
      <c r="A178" s="180"/>
      <c r="B178" s="181" t="s">
        <v>16</v>
      </c>
      <c r="C178" s="182">
        <f>IF(C20="PR",IF(C20="",0,1),0)</f>
        <v>0</v>
      </c>
      <c r="D178" s="182">
        <f t="shared" ref="D178:AG178" si="172">IF(D20="PR",IF(D20="",0,1),0)</f>
        <v>0</v>
      </c>
      <c r="E178" s="182">
        <f t="shared" si="172"/>
        <v>0</v>
      </c>
      <c r="F178" s="182">
        <f t="shared" si="172"/>
        <v>0</v>
      </c>
      <c r="G178" s="182">
        <f t="shared" si="172"/>
        <v>0</v>
      </c>
      <c r="H178" s="182">
        <f t="shared" si="172"/>
        <v>0</v>
      </c>
      <c r="I178" s="182">
        <f t="shared" si="172"/>
        <v>0</v>
      </c>
      <c r="J178" s="182">
        <f t="shared" si="172"/>
        <v>0</v>
      </c>
      <c r="K178" s="182">
        <f t="shared" si="172"/>
        <v>0</v>
      </c>
      <c r="L178" s="182">
        <f t="shared" si="172"/>
        <v>0</v>
      </c>
      <c r="M178" s="182">
        <f t="shared" si="172"/>
        <v>0</v>
      </c>
      <c r="N178" s="182">
        <f t="shared" si="172"/>
        <v>0</v>
      </c>
      <c r="O178" s="182">
        <f t="shared" si="172"/>
        <v>0</v>
      </c>
      <c r="P178" s="182">
        <f t="shared" si="172"/>
        <v>0</v>
      </c>
      <c r="Q178" s="182">
        <f t="shared" si="172"/>
        <v>0</v>
      </c>
      <c r="R178" s="182">
        <f t="shared" si="172"/>
        <v>0</v>
      </c>
      <c r="S178" s="182">
        <f t="shared" si="172"/>
        <v>0</v>
      </c>
      <c r="T178" s="182">
        <f t="shared" si="172"/>
        <v>0</v>
      </c>
      <c r="U178" s="182">
        <f t="shared" si="172"/>
        <v>0</v>
      </c>
      <c r="V178" s="182">
        <f t="shared" si="172"/>
        <v>0</v>
      </c>
      <c r="W178" s="182">
        <f t="shared" si="172"/>
        <v>0</v>
      </c>
      <c r="X178" s="182">
        <f t="shared" si="172"/>
        <v>0</v>
      </c>
      <c r="Y178" s="182">
        <f t="shared" si="172"/>
        <v>0</v>
      </c>
      <c r="Z178" s="182">
        <f t="shared" si="172"/>
        <v>0</v>
      </c>
      <c r="AA178" s="182">
        <f t="shared" si="172"/>
        <v>0</v>
      </c>
      <c r="AB178" s="182">
        <f t="shared" si="172"/>
        <v>0</v>
      </c>
      <c r="AC178" s="182">
        <f t="shared" si="172"/>
        <v>0</v>
      </c>
      <c r="AD178" s="182">
        <f t="shared" si="172"/>
        <v>0</v>
      </c>
      <c r="AE178" s="182">
        <f t="shared" si="172"/>
        <v>0</v>
      </c>
      <c r="AF178" s="182">
        <f t="shared" si="172"/>
        <v>0</v>
      </c>
      <c r="AG178" s="182">
        <f t="shared" si="172"/>
        <v>0</v>
      </c>
      <c r="AH178" s="227">
        <f>SUM(C178:AG178)</f>
        <v>0</v>
      </c>
      <c r="AI178" s="227"/>
      <c r="AJ178" s="174" t="s">
        <v>69</v>
      </c>
      <c r="AK178" s="133"/>
      <c r="AL178" s="133"/>
    </row>
    <row r="179" spans="1:38" ht="15.95" hidden="1" customHeight="1" x14ac:dyDescent="0.25">
      <c r="A179" s="116"/>
      <c r="B179" s="184"/>
      <c r="C179" s="185"/>
      <c r="D179" s="185"/>
      <c r="E179" s="185"/>
      <c r="F179" s="185"/>
      <c r="G179" s="186"/>
      <c r="H179" s="185"/>
      <c r="I179" s="185"/>
      <c r="J179" s="185"/>
      <c r="K179" s="185"/>
      <c r="L179" s="185"/>
      <c r="M179" s="185"/>
      <c r="N179" s="186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185"/>
      <c r="AF179" s="185"/>
      <c r="AG179" s="185"/>
      <c r="AH179" s="133"/>
      <c r="AI179" s="133"/>
      <c r="AJ179" s="133"/>
      <c r="AK179" s="133"/>
      <c r="AL179" s="133"/>
    </row>
    <row r="180" spans="1:38" ht="15.95" hidden="1" customHeight="1" x14ac:dyDescent="0.25">
      <c r="A180" s="116"/>
      <c r="B180" s="184"/>
      <c r="C180" s="185"/>
      <c r="D180" s="185"/>
      <c r="E180" s="185"/>
      <c r="F180" s="185"/>
      <c r="G180" s="186"/>
      <c r="H180" s="185"/>
      <c r="I180" s="185"/>
      <c r="J180" s="185"/>
      <c r="K180" s="185"/>
      <c r="L180" s="185"/>
      <c r="M180" s="185"/>
      <c r="N180" s="186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185"/>
      <c r="AF180" s="185"/>
      <c r="AG180" s="185"/>
      <c r="AH180" s="116"/>
      <c r="AI180" s="116"/>
      <c r="AJ180" s="116"/>
      <c r="AK180" s="116"/>
      <c r="AL180" s="116"/>
    </row>
    <row r="181" spans="1:38" ht="15.95" hidden="1" customHeight="1" x14ac:dyDescent="0.25">
      <c r="A181" s="116"/>
      <c r="B181" s="184"/>
      <c r="C181" s="185"/>
      <c r="D181" s="185"/>
      <c r="E181" s="185"/>
      <c r="F181" s="185"/>
      <c r="G181" s="186"/>
      <c r="H181" s="185"/>
      <c r="I181" s="185"/>
      <c r="J181" s="185"/>
      <c r="K181" s="185"/>
      <c r="L181" s="185"/>
      <c r="M181" s="185"/>
      <c r="N181" s="186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/>
      <c r="AH181" s="116"/>
      <c r="AI181" s="116"/>
      <c r="AJ181" s="116"/>
      <c r="AK181" s="116"/>
      <c r="AL181" s="116"/>
    </row>
    <row r="182" spans="1:38" ht="15.95" hidden="1" customHeight="1" x14ac:dyDescent="0.25">
      <c r="A182" s="116"/>
      <c r="B182" s="126"/>
      <c r="C182" s="116"/>
      <c r="D182" s="116"/>
      <c r="E182" s="116"/>
      <c r="F182" s="116"/>
      <c r="G182" s="114"/>
      <c r="H182" s="116"/>
      <c r="I182" s="116"/>
      <c r="J182" s="116"/>
      <c r="K182" s="116"/>
      <c r="L182" s="116"/>
      <c r="M182" s="116"/>
      <c r="N182" s="114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  <c r="AH182" s="116"/>
      <c r="AI182" s="116"/>
      <c r="AJ182" s="116"/>
      <c r="AK182" s="116"/>
      <c r="AL182" s="116"/>
    </row>
    <row r="183" spans="1:38" ht="15.95" hidden="1" customHeight="1" x14ac:dyDescent="0.25">
      <c r="A183" s="116"/>
      <c r="B183" s="126"/>
      <c r="C183" s="116"/>
      <c r="D183" s="116"/>
      <c r="E183" s="116"/>
      <c r="F183" s="116"/>
      <c r="G183" s="114"/>
      <c r="H183" s="116"/>
      <c r="I183" s="116"/>
      <c r="J183" s="116"/>
      <c r="K183" s="116"/>
      <c r="L183" s="116"/>
      <c r="M183" s="116"/>
      <c r="N183" s="114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  <c r="AI183" s="116"/>
      <c r="AJ183" s="116"/>
      <c r="AK183" s="116"/>
      <c r="AL183" s="116"/>
    </row>
    <row r="184" spans="1:38" ht="15.95" hidden="1" customHeight="1" x14ac:dyDescent="0.25">
      <c r="A184" s="116"/>
      <c r="B184" s="126"/>
      <c r="C184" s="116"/>
      <c r="D184" s="116"/>
      <c r="E184" s="116"/>
      <c r="F184" s="116"/>
      <c r="G184" s="114"/>
      <c r="H184" s="116"/>
      <c r="I184" s="116"/>
      <c r="J184" s="116"/>
      <c r="K184" s="116"/>
      <c r="L184" s="116"/>
      <c r="M184" s="116"/>
      <c r="N184" s="114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  <c r="AI184" s="116"/>
      <c r="AJ184" s="116"/>
      <c r="AK184" s="116"/>
      <c r="AL184" s="116"/>
    </row>
    <row r="185" spans="1:38" ht="15.95" hidden="1" customHeight="1" x14ac:dyDescent="0.25">
      <c r="A185" s="116"/>
      <c r="B185" s="116"/>
      <c r="C185" s="116"/>
      <c r="D185" s="116"/>
      <c r="E185" s="116"/>
      <c r="F185" s="116"/>
      <c r="G185" s="114"/>
      <c r="H185" s="116"/>
      <c r="I185" s="116"/>
      <c r="J185" s="116"/>
      <c r="K185" s="116"/>
      <c r="L185" s="116"/>
      <c r="M185" s="116"/>
      <c r="N185" s="114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  <c r="AI185" s="116"/>
      <c r="AJ185" s="116"/>
      <c r="AK185" s="116"/>
      <c r="AL185" s="116"/>
    </row>
    <row r="186" spans="1:38" ht="15.95" hidden="1" customHeight="1" x14ac:dyDescent="0.25">
      <c r="A186" s="116"/>
      <c r="B186" s="116"/>
      <c r="C186" s="228" t="s">
        <v>89</v>
      </c>
      <c r="D186" s="228"/>
      <c r="E186" s="228"/>
      <c r="F186" s="228"/>
      <c r="G186" s="228"/>
      <c r="H186" s="228"/>
      <c r="I186" s="228"/>
      <c r="J186" s="228"/>
      <c r="K186" s="228"/>
      <c r="L186" s="228"/>
      <c r="M186" s="116"/>
      <c r="N186" s="114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  <c r="AH186" s="116"/>
      <c r="AI186" s="116"/>
      <c r="AJ186" s="116"/>
      <c r="AK186" s="116"/>
      <c r="AL186" s="116"/>
    </row>
    <row r="187" spans="1:38" ht="15.95" hidden="1" customHeight="1" x14ac:dyDescent="0.25">
      <c r="A187" s="180"/>
      <c r="B187" s="181" t="s">
        <v>90</v>
      </c>
      <c r="C187" s="187">
        <f t="shared" ref="C187:AG187" si="173">IF(C49&gt;=4,IF(C49="",0,8),IF(C49&gt;=0.1,IF(C49="",0,C49),""))</f>
        <v>8</v>
      </c>
      <c r="D187" s="187">
        <f t="shared" si="173"/>
        <v>0</v>
      </c>
      <c r="E187" s="187">
        <f t="shared" si="173"/>
        <v>0</v>
      </c>
      <c r="F187" s="187">
        <f t="shared" si="173"/>
        <v>0</v>
      </c>
      <c r="G187" s="187">
        <f t="shared" si="173"/>
        <v>8</v>
      </c>
      <c r="H187" s="187">
        <f t="shared" si="173"/>
        <v>8</v>
      </c>
      <c r="I187" s="187">
        <f t="shared" si="173"/>
        <v>8</v>
      </c>
      <c r="J187" s="187">
        <f t="shared" si="173"/>
        <v>8</v>
      </c>
      <c r="K187" s="187">
        <f t="shared" si="173"/>
        <v>0</v>
      </c>
      <c r="L187" s="187">
        <f t="shared" si="173"/>
        <v>0</v>
      </c>
      <c r="M187" s="187">
        <f t="shared" si="173"/>
        <v>8</v>
      </c>
      <c r="N187" s="187">
        <f t="shared" si="173"/>
        <v>8</v>
      </c>
      <c r="O187" s="187">
        <f t="shared" si="173"/>
        <v>0</v>
      </c>
      <c r="P187" s="187">
        <f t="shared" si="173"/>
        <v>0</v>
      </c>
      <c r="Q187" s="187">
        <f t="shared" si="173"/>
        <v>0</v>
      </c>
      <c r="R187" s="187">
        <f t="shared" si="173"/>
        <v>8</v>
      </c>
      <c r="S187" s="187">
        <f t="shared" si="173"/>
        <v>8</v>
      </c>
      <c r="T187" s="187">
        <f t="shared" si="173"/>
        <v>0</v>
      </c>
      <c r="U187" s="187">
        <f t="shared" si="173"/>
        <v>0</v>
      </c>
      <c r="V187" s="187">
        <f t="shared" si="173"/>
        <v>8</v>
      </c>
      <c r="W187" s="187">
        <f t="shared" si="173"/>
        <v>8</v>
      </c>
      <c r="X187" s="187">
        <f t="shared" si="173"/>
        <v>8</v>
      </c>
      <c r="Y187" s="187">
        <f t="shared" si="173"/>
        <v>0</v>
      </c>
      <c r="Z187" s="187">
        <f t="shared" si="173"/>
        <v>0</v>
      </c>
      <c r="AA187" s="187">
        <f t="shared" si="173"/>
        <v>8</v>
      </c>
      <c r="AB187" s="187">
        <f t="shared" si="173"/>
        <v>8</v>
      </c>
      <c r="AC187" s="187">
        <f t="shared" si="173"/>
        <v>0</v>
      </c>
      <c r="AD187" s="187">
        <f t="shared" si="173"/>
        <v>0</v>
      </c>
      <c r="AE187" s="187">
        <f t="shared" si="173"/>
        <v>0</v>
      </c>
      <c r="AF187" s="187">
        <f t="shared" si="173"/>
        <v>0</v>
      </c>
      <c r="AG187" s="187">
        <f t="shared" si="173"/>
        <v>0</v>
      </c>
      <c r="AH187" s="188">
        <f t="shared" ref="AH187" si="174">SUM(C187:AG187)</f>
        <v>112</v>
      </c>
      <c r="AI187" s="116" t="s">
        <v>91</v>
      </c>
      <c r="AJ187" s="116"/>
      <c r="AK187" s="116"/>
      <c r="AL187" s="116"/>
    </row>
    <row r="188" spans="1:38" ht="15.95" hidden="1" customHeight="1" x14ac:dyDescent="0.25">
      <c r="A188" s="116"/>
      <c r="B188" s="181" t="s">
        <v>92</v>
      </c>
      <c r="C188" s="189">
        <v>1</v>
      </c>
      <c r="D188" s="189">
        <v>2</v>
      </c>
      <c r="E188" s="189">
        <v>3</v>
      </c>
      <c r="F188" s="189">
        <v>4</v>
      </c>
      <c r="G188" s="189">
        <v>5</v>
      </c>
      <c r="H188" s="189">
        <v>6</v>
      </c>
      <c r="I188" s="189">
        <v>7</v>
      </c>
      <c r="J188" s="189">
        <v>8</v>
      </c>
      <c r="K188" s="189">
        <v>9</v>
      </c>
      <c r="L188" s="189">
        <v>10</v>
      </c>
      <c r="M188" s="189">
        <v>11</v>
      </c>
      <c r="N188" s="189">
        <v>12</v>
      </c>
      <c r="O188" s="189">
        <v>13</v>
      </c>
      <c r="P188" s="189">
        <v>14</v>
      </c>
      <c r="Q188" s="189">
        <v>15</v>
      </c>
      <c r="R188" s="189">
        <v>16</v>
      </c>
      <c r="S188" s="189">
        <v>17</v>
      </c>
      <c r="T188" s="189">
        <v>18</v>
      </c>
      <c r="U188" s="189">
        <v>19</v>
      </c>
      <c r="V188" s="189">
        <v>20</v>
      </c>
      <c r="W188" s="189">
        <v>21</v>
      </c>
      <c r="X188" s="189">
        <v>22</v>
      </c>
      <c r="Y188" s="189">
        <v>23</v>
      </c>
      <c r="Z188" s="189">
        <v>24</v>
      </c>
      <c r="AA188" s="189">
        <v>25</v>
      </c>
      <c r="AB188" s="189">
        <v>26</v>
      </c>
      <c r="AC188" s="189">
        <v>27</v>
      </c>
      <c r="AD188" s="189">
        <v>28</v>
      </c>
      <c r="AE188" s="189">
        <v>29</v>
      </c>
      <c r="AF188" s="189">
        <v>30</v>
      </c>
      <c r="AG188" s="189">
        <v>31</v>
      </c>
      <c r="AH188" s="116"/>
      <c r="AI188" s="116"/>
      <c r="AJ188" s="116"/>
      <c r="AK188" s="116"/>
      <c r="AL188" s="116"/>
    </row>
    <row r="189" spans="1:38" ht="15.95" hidden="1" customHeight="1" x14ac:dyDescent="0.25">
      <c r="A189" s="116"/>
      <c r="B189" s="116"/>
      <c r="C189" s="116"/>
      <c r="D189" s="116"/>
      <c r="E189" s="116"/>
      <c r="F189" s="116"/>
      <c r="G189" s="114"/>
      <c r="H189" s="116"/>
      <c r="I189" s="116"/>
      <c r="J189" s="116"/>
      <c r="K189" s="116"/>
      <c r="L189" s="116"/>
      <c r="M189" s="116"/>
      <c r="N189" s="114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  <c r="AH189" s="116"/>
      <c r="AI189" s="116"/>
      <c r="AJ189" s="116"/>
      <c r="AK189" s="116"/>
      <c r="AL189" s="116"/>
    </row>
    <row r="190" spans="1:38" ht="15.95" hidden="1" customHeight="1" x14ac:dyDescent="0.25">
      <c r="A190" s="116"/>
      <c r="B190" s="116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  <c r="AB190" s="221"/>
      <c r="AC190" s="221"/>
      <c r="AD190" s="221"/>
      <c r="AE190" s="221"/>
      <c r="AF190" s="221"/>
      <c r="AG190" s="221"/>
      <c r="AH190" s="116"/>
      <c r="AI190" s="116"/>
      <c r="AJ190" s="116"/>
      <c r="AK190" s="116"/>
      <c r="AL190" s="116"/>
    </row>
    <row r="191" spans="1:38" ht="15.95" hidden="1" customHeight="1" x14ac:dyDescent="0.25">
      <c r="A191" s="116"/>
      <c r="B191" s="181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  <c r="AA191" s="190"/>
      <c r="AB191" s="190"/>
      <c r="AC191" s="190"/>
      <c r="AD191" s="190"/>
      <c r="AE191" s="190"/>
      <c r="AF191" s="190"/>
      <c r="AG191" s="190"/>
      <c r="AH191" s="116"/>
      <c r="AI191" s="116"/>
      <c r="AJ191" s="116"/>
      <c r="AK191" s="116"/>
      <c r="AL191" s="116"/>
    </row>
    <row r="192" spans="1:38" ht="15.95" hidden="1" customHeight="1" x14ac:dyDescent="0.25">
      <c r="A192" s="116"/>
      <c r="B192" s="191"/>
      <c r="C192" s="192"/>
      <c r="D192" s="192"/>
      <c r="E192" s="192"/>
      <c r="F192" s="192"/>
      <c r="G192" s="193"/>
      <c r="H192" s="192"/>
      <c r="I192" s="192"/>
      <c r="J192" s="192"/>
      <c r="K192" s="192"/>
      <c r="L192" s="192"/>
      <c r="M192" s="192"/>
      <c r="N192" s="193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  <c r="AA192" s="192"/>
      <c r="AB192" s="192"/>
      <c r="AC192" s="192"/>
      <c r="AD192" s="192"/>
      <c r="AE192" s="192"/>
      <c r="AF192" s="192"/>
      <c r="AG192" s="192"/>
      <c r="AH192" s="116"/>
      <c r="AI192" s="116"/>
      <c r="AJ192" s="116"/>
      <c r="AK192" s="116"/>
      <c r="AL192" s="116"/>
    </row>
    <row r="193" spans="1:38" ht="15.95" hidden="1" customHeight="1" x14ac:dyDescent="0.25">
      <c r="A193" s="116"/>
      <c r="B193" s="116"/>
      <c r="C193" s="116"/>
      <c r="D193" s="116"/>
      <c r="E193" s="116"/>
      <c r="F193" s="116"/>
      <c r="G193" s="114"/>
      <c r="H193" s="116"/>
      <c r="I193" s="116"/>
      <c r="J193" s="116"/>
      <c r="K193" s="116"/>
      <c r="L193" s="116"/>
      <c r="M193" s="116"/>
      <c r="N193" s="114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  <c r="AH193" s="116"/>
      <c r="AI193" s="116"/>
      <c r="AJ193" s="116"/>
      <c r="AK193" s="116"/>
      <c r="AL193" s="116"/>
    </row>
    <row r="194" spans="1:38" ht="15.95" hidden="1" customHeight="1" x14ac:dyDescent="0.25">
      <c r="A194" s="116"/>
      <c r="B194" s="116"/>
      <c r="C194" s="116"/>
      <c r="D194" s="116"/>
      <c r="E194" s="116"/>
      <c r="F194" s="116"/>
      <c r="G194" s="114"/>
      <c r="H194" s="116"/>
      <c r="I194" s="116"/>
      <c r="J194" s="116"/>
      <c r="K194" s="116"/>
      <c r="L194" s="116"/>
      <c r="M194" s="116"/>
      <c r="N194" s="114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  <c r="AK194" s="116"/>
      <c r="AL194" s="116"/>
    </row>
    <row r="195" spans="1:38" ht="15.95" hidden="1" customHeight="1" x14ac:dyDescent="0.25">
      <c r="A195" s="116"/>
      <c r="B195" s="116"/>
      <c r="C195" s="116"/>
      <c r="D195" s="116"/>
      <c r="E195" s="116"/>
      <c r="F195" s="116"/>
      <c r="G195" s="114"/>
      <c r="H195" s="116"/>
      <c r="I195" s="116"/>
      <c r="J195" s="116"/>
      <c r="K195" s="116"/>
      <c r="L195" s="116"/>
      <c r="M195" s="116"/>
      <c r="N195" s="114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  <c r="AJ195" s="116"/>
      <c r="AK195" s="116"/>
      <c r="AL195" s="116"/>
    </row>
    <row r="196" spans="1:38" ht="15.95" hidden="1" customHeight="1" x14ac:dyDescent="0.25">
      <c r="A196" s="116"/>
      <c r="B196" s="116"/>
      <c r="C196" s="116"/>
      <c r="D196" s="116"/>
      <c r="E196" s="116"/>
      <c r="F196" s="116"/>
      <c r="G196" s="114"/>
      <c r="H196" s="116"/>
      <c r="I196" s="116"/>
      <c r="J196" s="116"/>
      <c r="K196" s="116"/>
      <c r="L196" s="116"/>
      <c r="M196" s="116"/>
      <c r="N196" s="114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  <c r="AJ196" s="116"/>
      <c r="AK196" s="116"/>
      <c r="AL196" s="116"/>
    </row>
    <row r="197" spans="1:38" ht="15.95" hidden="1" customHeight="1" x14ac:dyDescent="0.25">
      <c r="A197" s="116"/>
      <c r="B197" s="116"/>
      <c r="C197" s="116"/>
      <c r="D197" s="116"/>
      <c r="E197" s="116"/>
      <c r="F197" s="116"/>
      <c r="G197" s="114"/>
      <c r="H197" s="116"/>
      <c r="I197" s="116"/>
      <c r="J197" s="116"/>
      <c r="K197" s="116"/>
      <c r="L197" s="116"/>
      <c r="M197" s="116"/>
      <c r="N197" s="114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  <c r="AI197" s="116"/>
      <c r="AJ197" s="116"/>
      <c r="AK197" s="116"/>
      <c r="AL197" s="116"/>
    </row>
    <row r="198" spans="1:38" ht="15.95" hidden="1" customHeight="1" x14ac:dyDescent="0.25">
      <c r="A198" s="116"/>
      <c r="B198" s="116"/>
      <c r="C198" s="116"/>
      <c r="D198" s="116"/>
      <c r="E198" s="116"/>
      <c r="F198" s="116"/>
      <c r="G198" s="114"/>
      <c r="H198" s="116"/>
      <c r="I198" s="116"/>
      <c r="J198" s="116"/>
      <c r="K198" s="116"/>
      <c r="L198" s="116"/>
      <c r="M198" s="116"/>
      <c r="N198" s="114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  <c r="AL198" s="116"/>
    </row>
    <row r="199" spans="1:38" ht="15.95" hidden="1" customHeight="1" x14ac:dyDescent="0.25">
      <c r="A199" s="116"/>
      <c r="B199" s="116"/>
      <c r="C199" s="116"/>
      <c r="D199" s="116"/>
      <c r="E199" s="116"/>
      <c r="F199" s="116"/>
      <c r="G199" s="114"/>
      <c r="H199" s="116"/>
      <c r="I199" s="116"/>
      <c r="J199" s="116"/>
      <c r="K199" s="116"/>
      <c r="L199" s="116"/>
      <c r="M199" s="116"/>
      <c r="N199" s="114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  <c r="AJ199" s="116"/>
      <c r="AK199" s="116"/>
      <c r="AL199" s="116"/>
    </row>
    <row r="200" spans="1:38" ht="15.95" hidden="1" customHeight="1" x14ac:dyDescent="0.25">
      <c r="A200" s="116"/>
      <c r="B200" s="116"/>
      <c r="C200" s="116"/>
      <c r="D200" s="116"/>
      <c r="E200" s="116"/>
      <c r="F200" s="116"/>
      <c r="G200" s="114"/>
      <c r="H200" s="116"/>
      <c r="I200" s="116"/>
      <c r="J200" s="116"/>
      <c r="K200" s="116"/>
      <c r="L200" s="116"/>
      <c r="M200" s="116"/>
      <c r="N200" s="114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  <c r="AI200" s="116"/>
      <c r="AJ200" s="116"/>
      <c r="AK200" s="116"/>
      <c r="AL200" s="116"/>
    </row>
    <row r="201" spans="1:38" ht="20.25" customHeight="1" x14ac:dyDescent="0.25">
      <c r="A201" s="116"/>
      <c r="B201" s="116"/>
      <c r="C201" s="116"/>
      <c r="D201" s="116"/>
      <c r="E201" s="116"/>
      <c r="F201" s="116"/>
      <c r="G201" s="114"/>
      <c r="H201" s="116"/>
      <c r="I201" s="116"/>
      <c r="J201" s="116"/>
      <c r="K201" s="116"/>
      <c r="L201" s="116"/>
      <c r="M201" s="116"/>
      <c r="N201" s="114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  <c r="AK201" s="116"/>
      <c r="AL201" s="116"/>
    </row>
  </sheetData>
  <sheetProtection algorithmName="SHA-512" hashValue="xSw8nHvf0WHKLUWWBVhvRMSifqtrYddrVtx/J7okWlB+GtQGq++DoreZZrtjMqN1o5SeoVwwxT+W1r+yNNXhRA==" saltValue="N2pPbJwWW7P/etG0lZ6gig==" spinCount="100000" sheet="1" objects="1" scenarios="1" formatCells="0"/>
  <mergeCells count="148">
    <mergeCell ref="AH171:AI171"/>
    <mergeCell ref="AJ171:AK171"/>
    <mergeCell ref="AH172:AI172"/>
    <mergeCell ref="AH178:AI178"/>
    <mergeCell ref="C186:L186"/>
    <mergeCell ref="C190:AG190"/>
    <mergeCell ref="AH150:AI150"/>
    <mergeCell ref="AH156:AI156"/>
    <mergeCell ref="AH160:AI160"/>
    <mergeCell ref="AJ160:AK160"/>
    <mergeCell ref="AH161:AI161"/>
    <mergeCell ref="AH167:AI167"/>
    <mergeCell ref="AH138:AI138"/>
    <mergeCell ref="AJ138:AK138"/>
    <mergeCell ref="AH139:AI139"/>
    <mergeCell ref="AH145:AI145"/>
    <mergeCell ref="AH149:AI149"/>
    <mergeCell ref="AJ149:AK149"/>
    <mergeCell ref="AH117:AI117"/>
    <mergeCell ref="AH123:AI123"/>
    <mergeCell ref="AH127:AI127"/>
    <mergeCell ref="AJ127:AK127"/>
    <mergeCell ref="AH128:AI128"/>
    <mergeCell ref="AH134:AI134"/>
    <mergeCell ref="AH105:AI105"/>
    <mergeCell ref="AJ105:AK105"/>
    <mergeCell ref="AH106:AI106"/>
    <mergeCell ref="AH112:AI112"/>
    <mergeCell ref="AH116:AI116"/>
    <mergeCell ref="AJ116:AK116"/>
    <mergeCell ref="AH83:AI83"/>
    <mergeCell ref="AH84:AI84"/>
    <mergeCell ref="AH90:AI90"/>
    <mergeCell ref="AH94:AI94"/>
    <mergeCell ref="AH95:AI95"/>
    <mergeCell ref="AH101:AI101"/>
    <mergeCell ref="AH61:AI61"/>
    <mergeCell ref="AH62:AI62"/>
    <mergeCell ref="AH68:AI68"/>
    <mergeCell ref="AH72:AI72"/>
    <mergeCell ref="AH73:AI73"/>
    <mergeCell ref="AH79:AI79"/>
    <mergeCell ref="AI48:AJ48"/>
    <mergeCell ref="AI49:AJ49"/>
    <mergeCell ref="AN49:AO49"/>
    <mergeCell ref="AH50:AI50"/>
    <mergeCell ref="AH51:AI51"/>
    <mergeCell ref="AH57:AI57"/>
    <mergeCell ref="C43:D43"/>
    <mergeCell ref="E43:AI43"/>
    <mergeCell ref="AI45:AJ45"/>
    <mergeCell ref="AI46:AJ46"/>
    <mergeCell ref="AI47:AJ47"/>
    <mergeCell ref="AN47:AO47"/>
    <mergeCell ref="S39:T39"/>
    <mergeCell ref="V39:W39"/>
    <mergeCell ref="S40:T40"/>
    <mergeCell ref="V40:W40"/>
    <mergeCell ref="C42:V42"/>
    <mergeCell ref="W42:AH42"/>
    <mergeCell ref="A37:B37"/>
    <mergeCell ref="C37:N37"/>
    <mergeCell ref="S37:T37"/>
    <mergeCell ref="V37:W37"/>
    <mergeCell ref="A38:B38"/>
    <mergeCell ref="C38:N38"/>
    <mergeCell ref="S38:T38"/>
    <mergeCell ref="V38:W38"/>
    <mergeCell ref="A35:B35"/>
    <mergeCell ref="C35:N35"/>
    <mergeCell ref="S35:T35"/>
    <mergeCell ref="V35:W35"/>
    <mergeCell ref="A36:B36"/>
    <mergeCell ref="C36:N36"/>
    <mergeCell ref="S36:T36"/>
    <mergeCell ref="V36:W36"/>
    <mergeCell ref="A33:B33"/>
    <mergeCell ref="C33:N33"/>
    <mergeCell ref="S33:T33"/>
    <mergeCell ref="V33:W33"/>
    <mergeCell ref="A34:B34"/>
    <mergeCell ref="C34:N34"/>
    <mergeCell ref="S34:T34"/>
    <mergeCell ref="V34:W34"/>
    <mergeCell ref="AR31:AZ31"/>
    <mergeCell ref="D26:E26"/>
    <mergeCell ref="G26:H26"/>
    <mergeCell ref="K26:L26"/>
    <mergeCell ref="N26:O26"/>
    <mergeCell ref="R26:S26"/>
    <mergeCell ref="U26:V26"/>
    <mergeCell ref="W26:X26"/>
    <mergeCell ref="BB31:BC31"/>
    <mergeCell ref="A32:B32"/>
    <mergeCell ref="C32:N32"/>
    <mergeCell ref="S32:T32"/>
    <mergeCell ref="V32:W32"/>
    <mergeCell ref="AD32:AG32"/>
    <mergeCell ref="AI32:AJ32"/>
    <mergeCell ref="Z26:AA26"/>
    <mergeCell ref="AH26:AI26"/>
    <mergeCell ref="AJ26:AL26"/>
    <mergeCell ref="AE27:AF27"/>
    <mergeCell ref="C29:AJ29"/>
    <mergeCell ref="A31:N31"/>
    <mergeCell ref="R31:W31"/>
    <mergeCell ref="AD31:AI31"/>
    <mergeCell ref="AH24:AI24"/>
    <mergeCell ref="AJ24:AL24"/>
    <mergeCell ref="D25:E25"/>
    <mergeCell ref="G25:H25"/>
    <mergeCell ref="K25:L25"/>
    <mergeCell ref="N25:O25"/>
    <mergeCell ref="R25:S25"/>
    <mergeCell ref="U25:V25"/>
    <mergeCell ref="W25:X25"/>
    <mergeCell ref="Z25:AA25"/>
    <mergeCell ref="AH25:AI25"/>
    <mergeCell ref="AJ25:AL25"/>
    <mergeCell ref="C23:H23"/>
    <mergeCell ref="J23:O23"/>
    <mergeCell ref="Q23:AA23"/>
    <mergeCell ref="D24:E24"/>
    <mergeCell ref="G24:H24"/>
    <mergeCell ref="K24:L24"/>
    <mergeCell ref="N24:O24"/>
    <mergeCell ref="R24:S24"/>
    <mergeCell ref="U24:V24"/>
    <mergeCell ref="W24:X24"/>
    <mergeCell ref="Z24:AA24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B3:J3"/>
    <mergeCell ref="B4:O4"/>
    <mergeCell ref="Q4:X4"/>
    <mergeCell ref="Z4:AB4"/>
    <mergeCell ref="AC4:AH4"/>
    <mergeCell ref="A8:B8"/>
    <mergeCell ref="A15:B15"/>
    <mergeCell ref="A16:B16"/>
    <mergeCell ref="A17:B17"/>
  </mergeCells>
  <conditionalFormatting sqref="C7:AG20">
    <cfRule type="expression" dxfId="10" priority="1" stopIfTrue="1">
      <formula>C$46=1</formula>
    </cfRule>
  </conditionalFormatting>
  <hyperlinks>
    <hyperlink ref="C42" r:id="rId1" xr:uid="{00000000-0004-0000-0100-000000000000}"/>
  </hyperlinks>
  <printOptions horizontalCentered="1"/>
  <pageMargins left="7.874015748031496E-2" right="7.874015748031496E-2" top="0.31496062992125984" bottom="0" header="0.51181102362204722" footer="0.51181102362204722"/>
  <pageSetup paperSize="9" scale="97" orientation="landscape" useFirstPageNumber="1" r:id="rId2"/>
  <headerFooter alignWithMargins="0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I201"/>
  <sheetViews>
    <sheetView showGridLines="0" showRowColHeaders="0" topLeftCell="A4" zoomScale="120" zoomScaleNormal="120" zoomScaleSheetLayoutView="75" workbookViewId="0">
      <selection activeCell="CS18" sqref="CS18"/>
    </sheetView>
  </sheetViews>
  <sheetFormatPr baseColWidth="10" defaultColWidth="11.140625" defaultRowHeight="20.25" customHeight="1" x14ac:dyDescent="0.25"/>
  <cols>
    <col min="1" max="2" width="9.7109375" style="1" customWidth="1"/>
    <col min="3" max="6" width="3.28515625" style="1" customWidth="1"/>
    <col min="7" max="7" width="3.28515625" style="2" customWidth="1"/>
    <col min="8" max="13" width="3.28515625" style="1" customWidth="1"/>
    <col min="14" max="14" width="3.28515625" style="2" customWidth="1"/>
    <col min="15" max="33" width="3.28515625" style="1" customWidth="1"/>
    <col min="34" max="34" width="7.7109375" style="1" customWidth="1"/>
    <col min="35" max="38" width="4.7109375" style="1" customWidth="1"/>
    <col min="39" max="59" width="6.7109375" style="1" hidden="1" customWidth="1"/>
    <col min="60" max="83" width="4.7109375" style="1" hidden="1" customWidth="1"/>
    <col min="84" max="95" width="0" style="1" hidden="1" customWidth="1"/>
    <col min="96" max="16384" width="11.140625" style="1"/>
  </cols>
  <sheetData>
    <row r="1" spans="1:84" s="2" customFormat="1" ht="19.5" customHeight="1" x14ac:dyDescent="0.35">
      <c r="B1" s="3"/>
      <c r="M1" s="4"/>
      <c r="U1" s="5"/>
      <c r="V1" s="6"/>
      <c r="Z1" s="7"/>
      <c r="AA1" s="7"/>
      <c r="AB1" s="7"/>
      <c r="AC1" s="7"/>
      <c r="AD1" s="7"/>
      <c r="AE1" s="7"/>
      <c r="AF1" s="7"/>
      <c r="AG1" s="1"/>
      <c r="AH1" s="1"/>
      <c r="AI1" s="1"/>
      <c r="AJ1" s="1"/>
    </row>
    <row r="2" spans="1:84" s="2" customFormat="1" ht="19.5" customHeight="1" x14ac:dyDescent="0.35">
      <c r="B2" s="3"/>
      <c r="M2" s="4"/>
      <c r="U2" s="5"/>
      <c r="V2" s="6"/>
      <c r="Z2" s="7"/>
      <c r="AA2" s="7"/>
      <c r="AB2" s="7"/>
      <c r="AC2" s="7"/>
      <c r="AD2" s="7"/>
      <c r="AE2" s="7"/>
      <c r="AF2" s="7"/>
      <c r="AG2" s="1"/>
      <c r="AH2" s="1"/>
      <c r="AI2" s="1"/>
      <c r="AJ2" s="1"/>
    </row>
    <row r="3" spans="1:84" s="2" customFormat="1" ht="19.5" customHeight="1" x14ac:dyDescent="0.35">
      <c r="B3" s="271" t="str">
        <f>C32</f>
        <v>EMPRESA</v>
      </c>
      <c r="C3" s="271"/>
      <c r="D3" s="271"/>
      <c r="E3" s="271"/>
      <c r="F3" s="271"/>
      <c r="G3" s="271"/>
      <c r="H3" s="271"/>
      <c r="I3" s="271"/>
      <c r="J3" s="271"/>
      <c r="M3" s="4"/>
      <c r="U3" s="5"/>
      <c r="V3" s="6"/>
      <c r="Z3" s="7"/>
      <c r="AA3" s="7"/>
      <c r="AB3" s="7"/>
      <c r="AC3" s="7"/>
      <c r="AD3" s="7"/>
      <c r="AE3" s="7"/>
      <c r="AF3" s="7"/>
      <c r="AG3" s="1"/>
      <c r="AH3" s="1"/>
      <c r="AI3" s="1"/>
      <c r="AJ3" s="1"/>
    </row>
    <row r="4" spans="1:84" s="9" customFormat="1" ht="17.25" customHeight="1" x14ac:dyDescent="0.25">
      <c r="A4" s="8"/>
      <c r="B4" s="272" t="str">
        <f t="shared" ref="B4" si="0">C33</f>
        <v>CENTRO</v>
      </c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1"/>
      <c r="Q4" s="232">
        <f>DATE($C$34,$C$35,1)</f>
        <v>46082</v>
      </c>
      <c r="R4" s="232"/>
      <c r="S4" s="232"/>
      <c r="T4" s="232"/>
      <c r="U4" s="232"/>
      <c r="V4" s="232"/>
      <c r="W4" s="232"/>
      <c r="X4" s="232"/>
      <c r="Y4" s="1"/>
      <c r="Z4" s="259">
        <f>SUM(AH51+AH62+AH73+AH84+AH95+AH106+AH117+AH128+AH139+AH150+AH161+AH172)</f>
        <v>1735.9999999999991</v>
      </c>
      <c r="AA4" s="259"/>
      <c r="AB4" s="259"/>
      <c r="AC4" s="267" t="s">
        <v>0</v>
      </c>
      <c r="AD4" s="267"/>
      <c r="AE4" s="267"/>
      <c r="AF4" s="267"/>
      <c r="AG4" s="267"/>
      <c r="AH4" s="267"/>
      <c r="AI4" s="1"/>
      <c r="AJ4" s="1"/>
    </row>
    <row r="5" spans="1:84" s="2" customFormat="1" ht="17.25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/>
      <c r="AD5" s="12"/>
      <c r="AE5" s="12" t="str">
        <f>IF(CA59=28,IF(CA59="",0,1),IF(CA59=1,IF(CA59="",0,1),""))</f>
        <v/>
      </c>
      <c r="AF5" s="12" t="str">
        <f>IF(CA59=29,IF(CA59="",0,1),IF(CA59=1,IF(CA59="",0,1),""))</f>
        <v/>
      </c>
      <c r="AG5" s="12" t="str">
        <f>IF(CA59=30,IF(CA59="",0,1),IF(CA59=1,IF(CA59="",0,1),""))</f>
        <v/>
      </c>
      <c r="AH5" s="12">
        <f>IF(CA59=31,IF(CA59="",0,1),IF(CA59=1,IF(CA59="",0,1),""))</f>
        <v>1</v>
      </c>
      <c r="AI5" s="1"/>
      <c r="AJ5" s="1"/>
    </row>
    <row r="6" spans="1:84" s="13" customFormat="1" ht="17.25" customHeight="1" x14ac:dyDescent="0.25">
      <c r="B6" s="14" t="s">
        <v>1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"/>
      <c r="AJ6" s="1"/>
    </row>
    <row r="7" spans="1:84" s="11" customFormat="1" ht="19.5" customHeight="1" x14ac:dyDescent="0.25">
      <c r="A7" s="16"/>
      <c r="B7" s="17" t="s">
        <v>2</v>
      </c>
      <c r="C7" s="18" t="str">
        <f>IF(AV47="LUNES","lu",IF(AV47="MARTES","ma",IF(AV47="MIERCOLES","mi",IF(AV47="JUEVES","ju",IF(AV47="VIERNES","vi",IF(AV47="SABADO","S",IF(AV47="DOMINGO","D","")))))))</f>
        <v>D</v>
      </c>
      <c r="D7" s="18" t="str">
        <f t="shared" ref="D7:AD7" si="1">IF(C7="lu","ma",IF(C7="ma","mi",IF(C7="mi","ju",IF(C7="ju","vi",IF(C7="vi","S",IF(C7="S","D",IF(C7="D","lu","")))))))</f>
        <v>lu</v>
      </c>
      <c r="E7" s="18" t="str">
        <f t="shared" si="1"/>
        <v>ma</v>
      </c>
      <c r="F7" s="18" t="str">
        <f t="shared" si="1"/>
        <v>mi</v>
      </c>
      <c r="G7" s="18" t="str">
        <f t="shared" si="1"/>
        <v>ju</v>
      </c>
      <c r="H7" s="18" t="str">
        <f t="shared" si="1"/>
        <v>vi</v>
      </c>
      <c r="I7" s="18" t="str">
        <f t="shared" si="1"/>
        <v>S</v>
      </c>
      <c r="J7" s="18" t="str">
        <f t="shared" si="1"/>
        <v>D</v>
      </c>
      <c r="K7" s="18" t="str">
        <f t="shared" si="1"/>
        <v>lu</v>
      </c>
      <c r="L7" s="18" t="str">
        <f t="shared" si="1"/>
        <v>ma</v>
      </c>
      <c r="M7" s="18" t="str">
        <f t="shared" si="1"/>
        <v>mi</v>
      </c>
      <c r="N7" s="18" t="str">
        <f t="shared" si="1"/>
        <v>ju</v>
      </c>
      <c r="O7" s="18" t="str">
        <f t="shared" si="1"/>
        <v>vi</v>
      </c>
      <c r="P7" s="18" t="str">
        <f t="shared" si="1"/>
        <v>S</v>
      </c>
      <c r="Q7" s="18" t="str">
        <f t="shared" si="1"/>
        <v>D</v>
      </c>
      <c r="R7" s="18" t="str">
        <f t="shared" si="1"/>
        <v>lu</v>
      </c>
      <c r="S7" s="18" t="str">
        <f t="shared" si="1"/>
        <v>ma</v>
      </c>
      <c r="T7" s="18" t="str">
        <f t="shared" si="1"/>
        <v>mi</v>
      </c>
      <c r="U7" s="18" t="str">
        <f t="shared" si="1"/>
        <v>ju</v>
      </c>
      <c r="V7" s="18" t="str">
        <f t="shared" si="1"/>
        <v>vi</v>
      </c>
      <c r="W7" s="18" t="str">
        <f t="shared" si="1"/>
        <v>S</v>
      </c>
      <c r="X7" s="18" t="str">
        <f t="shared" si="1"/>
        <v>D</v>
      </c>
      <c r="Y7" s="18" t="str">
        <f t="shared" si="1"/>
        <v>lu</v>
      </c>
      <c r="Z7" s="18" t="str">
        <f t="shared" si="1"/>
        <v>ma</v>
      </c>
      <c r="AA7" s="18" t="str">
        <f t="shared" si="1"/>
        <v>mi</v>
      </c>
      <c r="AB7" s="18" t="str">
        <f t="shared" si="1"/>
        <v>ju</v>
      </c>
      <c r="AC7" s="18" t="str">
        <f t="shared" si="1"/>
        <v>vi</v>
      </c>
      <c r="AD7" s="18" t="str">
        <f t="shared" si="1"/>
        <v>S</v>
      </c>
      <c r="AE7" s="18" t="str">
        <f>IF(AE8="","",IF(AD7="lu","ma",IF(AD7="ma","mi",IF(AD7="mi","ju",IF(AD7="ju","vi",IF(AD7="vi","S",IF(AD7="S","D",IF(AD7="D","lu",""))))))))</f>
        <v>D</v>
      </c>
      <c r="AF7" s="18" t="str">
        <f>IF(AF8="","",IF(AE7="lu","ma",IF(AE7="ma","mi",IF(AE7="mi","ju",IF(AE7="ju","vi",IF(AE7="vi","S",IF(AE7="S","D",IF(AE7="D","lu",""))))))))</f>
        <v>lu</v>
      </c>
      <c r="AG7" s="18" t="str">
        <f>IF(AG8="","",IF(AF7="lu","ma",IF(AF7="ma","mi",IF(AF7="mi","ju",IF(AF7="ju","vi",IF(AF7="vi","S",IF(AF7="S","D",IF(AF7="D","lu",""))))))))</f>
        <v>ma</v>
      </c>
      <c r="AH7" s="16"/>
    </row>
    <row r="8" spans="1:84" s="22" customFormat="1" ht="19.5" customHeight="1" x14ac:dyDescent="0.2">
      <c r="A8" s="270" t="s">
        <v>3</v>
      </c>
      <c r="B8" s="270"/>
      <c r="C8" s="18">
        <v>1</v>
      </c>
      <c r="D8" s="18">
        <v>2</v>
      </c>
      <c r="E8" s="18">
        <v>3</v>
      </c>
      <c r="F8" s="18">
        <v>4</v>
      </c>
      <c r="G8" s="18">
        <v>5</v>
      </c>
      <c r="H8" s="18">
        <v>6</v>
      </c>
      <c r="I8" s="18">
        <v>7</v>
      </c>
      <c r="J8" s="18">
        <v>8</v>
      </c>
      <c r="K8" s="18">
        <v>9</v>
      </c>
      <c r="L8" s="18">
        <v>10</v>
      </c>
      <c r="M8" s="18">
        <v>11</v>
      </c>
      <c r="N8" s="18">
        <v>12</v>
      </c>
      <c r="O8" s="18">
        <v>13</v>
      </c>
      <c r="P8" s="18">
        <v>14</v>
      </c>
      <c r="Q8" s="18">
        <v>15</v>
      </c>
      <c r="R8" s="18">
        <v>16</v>
      </c>
      <c r="S8" s="18">
        <v>17</v>
      </c>
      <c r="T8" s="18">
        <v>18</v>
      </c>
      <c r="U8" s="18">
        <v>19</v>
      </c>
      <c r="V8" s="18">
        <v>20</v>
      </c>
      <c r="W8" s="18">
        <v>21</v>
      </c>
      <c r="X8" s="18">
        <v>22</v>
      </c>
      <c r="Y8" s="18">
        <v>23</v>
      </c>
      <c r="Z8" s="18">
        <v>24</v>
      </c>
      <c r="AA8" s="18">
        <v>25</v>
      </c>
      <c r="AB8" s="18">
        <v>26</v>
      </c>
      <c r="AC8" s="18">
        <v>27</v>
      </c>
      <c r="AD8" s="18">
        <v>28</v>
      </c>
      <c r="AE8" s="18">
        <f>IF(CA59=28,"",IF(CA59=29,29,IF(CA59=30,29,IF(CA59=31,29,""))))</f>
        <v>29</v>
      </c>
      <c r="AF8" s="18">
        <f>IF(CA59=28,"",IF(CA59=29,"",IF(CA59=30,30,IF(CA59=31,30,""))))</f>
        <v>30</v>
      </c>
      <c r="AG8" s="18">
        <f>IF(CA59=28,"",IF(CA59=29,"",IF(CA59=30,"",IF(CA59=31,31,""))))</f>
        <v>31</v>
      </c>
      <c r="AH8" s="19" t="s">
        <v>60</v>
      </c>
      <c r="AI8" s="20" t="s">
        <v>4</v>
      </c>
      <c r="AJ8" s="20" t="s">
        <v>5</v>
      </c>
      <c r="AK8" s="21" t="s">
        <v>6</v>
      </c>
      <c r="AL8" s="21" t="s">
        <v>7</v>
      </c>
    </row>
    <row r="9" spans="1:84" s="2" customFormat="1" ht="20.100000000000001" customHeight="1" x14ac:dyDescent="0.25">
      <c r="A9" s="268" t="s">
        <v>155</v>
      </c>
      <c r="B9" s="268"/>
      <c r="C9" s="23"/>
      <c r="D9" s="23" t="s">
        <v>153</v>
      </c>
      <c r="E9" s="23" t="s">
        <v>153</v>
      </c>
      <c r="F9" s="23" t="s">
        <v>152</v>
      </c>
      <c r="G9" s="23"/>
      <c r="H9" s="23"/>
      <c r="I9" s="23"/>
      <c r="J9" s="23"/>
      <c r="K9" s="23" t="s">
        <v>154</v>
      </c>
      <c r="L9" s="23" t="s">
        <v>154</v>
      </c>
      <c r="M9" s="23" t="s">
        <v>153</v>
      </c>
      <c r="N9" s="23" t="s">
        <v>153</v>
      </c>
      <c r="O9" s="23"/>
      <c r="P9" s="23"/>
      <c r="Q9" s="23"/>
      <c r="R9" s="23" t="s">
        <v>153</v>
      </c>
      <c r="S9" s="23" t="s">
        <v>153</v>
      </c>
      <c r="T9" s="24"/>
      <c r="U9" s="23" t="s">
        <v>154</v>
      </c>
      <c r="V9" s="23" t="s">
        <v>153</v>
      </c>
      <c r="W9" s="23" t="s">
        <v>153</v>
      </c>
      <c r="X9" s="23" t="s">
        <v>153</v>
      </c>
      <c r="Y9" s="23" t="s">
        <v>152</v>
      </c>
      <c r="Z9" s="23"/>
      <c r="AA9" s="23" t="s">
        <v>153</v>
      </c>
      <c r="AB9" s="23" t="s">
        <v>153</v>
      </c>
      <c r="AC9" s="23"/>
      <c r="AD9" s="23"/>
      <c r="AE9" s="23"/>
      <c r="AF9" s="23" t="s">
        <v>153</v>
      </c>
      <c r="AG9" s="23" t="s">
        <v>153</v>
      </c>
      <c r="AH9" s="83">
        <f>SUM(AH50:AH51)</f>
        <v>203.99999999999991</v>
      </c>
      <c r="AI9" s="84">
        <f>AH9-C37</f>
        <v>41.999999999999915</v>
      </c>
      <c r="AJ9" s="84">
        <f>SUM(C55:AG55)</f>
        <v>24</v>
      </c>
      <c r="AK9" s="84">
        <f>AK32</f>
        <v>144</v>
      </c>
      <c r="AL9" s="18">
        <f>SUM(C56:AG56)</f>
        <v>0</v>
      </c>
      <c r="CB9" s="25">
        <f>ROUNDDOWN(AH9,0)</f>
        <v>204</v>
      </c>
      <c r="CC9" s="26">
        <f>AH9-INT(AH9)</f>
        <v>0</v>
      </c>
      <c r="CD9" s="27">
        <f>CC9/24</f>
        <v>0</v>
      </c>
      <c r="CE9"/>
      <c r="CF9"/>
    </row>
    <row r="10" spans="1:84" s="2" customFormat="1" ht="20.100000000000001" customHeight="1" x14ac:dyDescent="0.25">
      <c r="A10" s="268" t="s">
        <v>156</v>
      </c>
      <c r="B10" s="268"/>
      <c r="C10" s="23" t="s">
        <v>153</v>
      </c>
      <c r="D10" s="23"/>
      <c r="E10" s="23"/>
      <c r="F10" s="23" t="s">
        <v>153</v>
      </c>
      <c r="G10" s="23" t="s">
        <v>153</v>
      </c>
      <c r="H10" s="23"/>
      <c r="I10" s="23"/>
      <c r="J10" s="23"/>
      <c r="K10" s="23" t="s">
        <v>153</v>
      </c>
      <c r="L10" s="23" t="s">
        <v>153</v>
      </c>
      <c r="M10" s="23"/>
      <c r="N10" s="23"/>
      <c r="O10" s="23" t="s">
        <v>153</v>
      </c>
      <c r="P10" s="23" t="s">
        <v>153</v>
      </c>
      <c r="Q10" s="23" t="s">
        <v>153</v>
      </c>
      <c r="R10" s="23"/>
      <c r="S10" s="23"/>
      <c r="T10" s="23" t="s">
        <v>153</v>
      </c>
      <c r="U10" s="23" t="s">
        <v>153</v>
      </c>
      <c r="V10" s="23"/>
      <c r="W10" s="23"/>
      <c r="X10" s="23"/>
      <c r="Y10" s="23" t="s">
        <v>153</v>
      </c>
      <c r="Z10" s="23" t="s">
        <v>153</v>
      </c>
      <c r="AA10" s="23"/>
      <c r="AB10" s="23"/>
      <c r="AC10" s="23" t="s">
        <v>153</v>
      </c>
      <c r="AD10" s="23" t="s">
        <v>153</v>
      </c>
      <c r="AE10" s="23" t="s">
        <v>153</v>
      </c>
      <c r="AF10" s="23"/>
      <c r="AG10" s="23"/>
      <c r="AH10" s="83">
        <f>SUM(AH61:AH62)</f>
        <v>180</v>
      </c>
      <c r="AI10" s="84">
        <f>AH10-C37</f>
        <v>18</v>
      </c>
      <c r="AJ10" s="84">
        <f>SUM(C66:AG66)</f>
        <v>53</v>
      </c>
      <c r="AK10" s="84">
        <f t="shared" ref="AK10:AK20" si="2">AK33</f>
        <v>120</v>
      </c>
      <c r="AL10" s="18">
        <f>SUM(C67:AG67)</f>
        <v>0</v>
      </c>
      <c r="CF10"/>
    </row>
    <row r="11" spans="1:84" s="2" customFormat="1" ht="20.100000000000001" customHeight="1" x14ac:dyDescent="0.25">
      <c r="A11" s="268" t="s">
        <v>157</v>
      </c>
      <c r="B11" s="268"/>
      <c r="C11" s="23" t="s">
        <v>91</v>
      </c>
      <c r="D11" s="23" t="s">
        <v>91</v>
      </c>
      <c r="E11" s="23" t="s">
        <v>91</v>
      </c>
      <c r="F11" s="23" t="s">
        <v>91</v>
      </c>
      <c r="G11" s="23" t="s">
        <v>91</v>
      </c>
      <c r="H11" s="23" t="s">
        <v>91</v>
      </c>
      <c r="I11" s="23" t="s">
        <v>91</v>
      </c>
      <c r="J11" s="23" t="s">
        <v>91</v>
      </c>
      <c r="K11" s="23" t="s">
        <v>91</v>
      </c>
      <c r="L11" s="23" t="s">
        <v>91</v>
      </c>
      <c r="M11" s="23" t="s">
        <v>91</v>
      </c>
      <c r="N11" s="23" t="s">
        <v>91</v>
      </c>
      <c r="O11" s="23" t="s">
        <v>91</v>
      </c>
      <c r="P11" s="23" t="s">
        <v>91</v>
      </c>
      <c r="Q11" s="23" t="s">
        <v>91</v>
      </c>
      <c r="R11" s="23" t="s">
        <v>91</v>
      </c>
      <c r="S11" s="23" t="s">
        <v>91</v>
      </c>
      <c r="T11" s="23" t="s">
        <v>91</v>
      </c>
      <c r="U11" s="23" t="s">
        <v>91</v>
      </c>
      <c r="V11" s="23" t="s">
        <v>91</v>
      </c>
      <c r="W11" s="23" t="s">
        <v>91</v>
      </c>
      <c r="X11" s="23" t="s">
        <v>91</v>
      </c>
      <c r="Y11" s="23" t="s">
        <v>91</v>
      </c>
      <c r="Z11" s="23" t="s">
        <v>91</v>
      </c>
      <c r="AA11" s="23" t="s">
        <v>91</v>
      </c>
      <c r="AB11" s="23" t="s">
        <v>91</v>
      </c>
      <c r="AC11" s="23" t="s">
        <v>91</v>
      </c>
      <c r="AD11" s="23" t="s">
        <v>91</v>
      </c>
      <c r="AE11" s="23" t="s">
        <v>91</v>
      </c>
      <c r="AF11" s="23" t="s">
        <v>91</v>
      </c>
      <c r="AG11" s="23" t="s">
        <v>91</v>
      </c>
      <c r="AH11" s="83">
        <f>SUM(AH72:AH73)</f>
        <v>0</v>
      </c>
      <c r="AI11" s="84">
        <f>AH11-C37</f>
        <v>-162</v>
      </c>
      <c r="AJ11" s="84">
        <f>SUM(C77:AG77)</f>
        <v>0</v>
      </c>
      <c r="AK11" s="84">
        <f t="shared" si="2"/>
        <v>0</v>
      </c>
      <c r="AL11" s="18">
        <f>SUM(C78:AG78)</f>
        <v>0</v>
      </c>
      <c r="CF11"/>
    </row>
    <row r="12" spans="1:84" s="2" customFormat="1" ht="20.100000000000001" customHeight="1" x14ac:dyDescent="0.25">
      <c r="A12" s="268" t="s">
        <v>169</v>
      </c>
      <c r="B12" s="268"/>
      <c r="C12" s="23"/>
      <c r="D12" s="23" t="s">
        <v>151</v>
      </c>
      <c r="E12" s="23" t="s">
        <v>151</v>
      </c>
      <c r="F12" s="23"/>
      <c r="G12" s="23"/>
      <c r="H12" s="23" t="s">
        <v>151</v>
      </c>
      <c r="I12" s="23" t="s">
        <v>151</v>
      </c>
      <c r="J12" s="23" t="s">
        <v>151</v>
      </c>
      <c r="K12" s="23"/>
      <c r="L12" s="23"/>
      <c r="M12" s="23" t="s">
        <v>151</v>
      </c>
      <c r="N12" s="23" t="s">
        <v>151</v>
      </c>
      <c r="O12" s="23"/>
      <c r="P12" s="23"/>
      <c r="Q12" s="23"/>
      <c r="R12" s="23" t="s">
        <v>151</v>
      </c>
      <c r="S12" s="23" t="s">
        <v>151</v>
      </c>
      <c r="T12" s="23"/>
      <c r="U12" s="23"/>
      <c r="V12" s="23"/>
      <c r="W12" s="23"/>
      <c r="X12" s="23"/>
      <c r="Y12" s="23"/>
      <c r="Z12" s="23"/>
      <c r="AA12" s="23" t="s">
        <v>151</v>
      </c>
      <c r="AB12" s="23" t="s">
        <v>151</v>
      </c>
      <c r="AC12" s="23" t="s">
        <v>151</v>
      </c>
      <c r="AD12" s="23" t="s">
        <v>151</v>
      </c>
      <c r="AE12" s="23" t="s">
        <v>151</v>
      </c>
      <c r="AF12" s="23" t="s">
        <v>151</v>
      </c>
      <c r="AG12" s="23" t="s">
        <v>151</v>
      </c>
      <c r="AH12" s="83">
        <f>SUM(AH83:AH84)</f>
        <v>191.99999999999997</v>
      </c>
      <c r="AI12" s="84">
        <f>AH12-C37</f>
        <v>29.999999999999972</v>
      </c>
      <c r="AJ12" s="84">
        <f>SUM(C88:AG88)</f>
        <v>47.999999999999993</v>
      </c>
      <c r="AK12" s="84">
        <f t="shared" si="2"/>
        <v>0</v>
      </c>
      <c r="AL12" s="18">
        <f>SUM(C89:AG89)</f>
        <v>0</v>
      </c>
      <c r="CF12"/>
    </row>
    <row r="13" spans="1:84" s="2" customFormat="1" ht="20.100000000000001" customHeight="1" x14ac:dyDescent="0.25">
      <c r="A13" s="268" t="s">
        <v>12</v>
      </c>
      <c r="B13" s="268"/>
      <c r="C13" s="23" t="s">
        <v>154</v>
      </c>
      <c r="D13" s="23"/>
      <c r="E13" s="23"/>
      <c r="F13" s="23" t="s">
        <v>154</v>
      </c>
      <c r="G13" s="23" t="s">
        <v>154</v>
      </c>
      <c r="H13" s="23" t="s">
        <v>154</v>
      </c>
      <c r="I13" s="23" t="s">
        <v>154</v>
      </c>
      <c r="J13" s="23" t="s">
        <v>154</v>
      </c>
      <c r="K13" s="23"/>
      <c r="L13" s="23"/>
      <c r="M13" s="23" t="s">
        <v>154</v>
      </c>
      <c r="N13" s="23" t="s">
        <v>154</v>
      </c>
      <c r="O13" s="23" t="s">
        <v>154</v>
      </c>
      <c r="P13" s="23" t="s">
        <v>154</v>
      </c>
      <c r="Q13" s="23" t="s">
        <v>154</v>
      </c>
      <c r="R13" s="23" t="s">
        <v>154</v>
      </c>
      <c r="S13" s="23" t="s">
        <v>154</v>
      </c>
      <c r="T13" s="23" t="s">
        <v>154</v>
      </c>
      <c r="U13" s="23"/>
      <c r="V13" s="23"/>
      <c r="W13" s="23"/>
      <c r="X13" s="23"/>
      <c r="Y13" s="23" t="s">
        <v>154</v>
      </c>
      <c r="Z13" s="23" t="s">
        <v>154</v>
      </c>
      <c r="AA13" s="23"/>
      <c r="AB13" s="23" t="s">
        <v>154</v>
      </c>
      <c r="AC13" s="23" t="s">
        <v>154</v>
      </c>
      <c r="AD13" s="23" t="s">
        <v>154</v>
      </c>
      <c r="AE13" s="23" t="s">
        <v>154</v>
      </c>
      <c r="AF13" s="23" t="s">
        <v>154</v>
      </c>
      <c r="AG13" s="23" t="s">
        <v>154</v>
      </c>
      <c r="AH13" s="83">
        <f>SUM(AH94:AH95)</f>
        <v>175.99999999999937</v>
      </c>
      <c r="AI13" s="84">
        <f>AH13-C37</f>
        <v>13.999999999999375</v>
      </c>
      <c r="AJ13" s="84">
        <f>SUM(C99:AG99)</f>
        <v>50</v>
      </c>
      <c r="AK13" s="84">
        <f t="shared" si="2"/>
        <v>176</v>
      </c>
      <c r="AL13" s="18">
        <f>SUM(C100:AG100)</f>
        <v>0</v>
      </c>
      <c r="CB13" s="28"/>
      <c r="CF13"/>
    </row>
    <row r="14" spans="1:84" s="2" customFormat="1" ht="19.5" customHeight="1" x14ac:dyDescent="0.25">
      <c r="A14" s="268" t="s">
        <v>160</v>
      </c>
      <c r="B14" s="268"/>
      <c r="C14" s="23"/>
      <c r="D14" s="23" t="s">
        <v>150</v>
      </c>
      <c r="E14" s="23" t="s">
        <v>150</v>
      </c>
      <c r="F14" s="23"/>
      <c r="G14" s="23"/>
      <c r="H14" s="23" t="s">
        <v>150</v>
      </c>
      <c r="I14" s="23" t="s">
        <v>150</v>
      </c>
      <c r="J14" s="23" t="s">
        <v>150</v>
      </c>
      <c r="K14" s="23"/>
      <c r="L14" s="23"/>
      <c r="M14" s="23" t="s">
        <v>150</v>
      </c>
      <c r="N14" s="23" t="s">
        <v>150</v>
      </c>
      <c r="O14" s="23"/>
      <c r="P14" s="23"/>
      <c r="Q14" s="23"/>
      <c r="R14" s="23" t="s">
        <v>150</v>
      </c>
      <c r="S14" s="23" t="s">
        <v>150</v>
      </c>
      <c r="T14" s="23"/>
      <c r="U14" s="23"/>
      <c r="V14" s="23" t="s">
        <v>150</v>
      </c>
      <c r="W14" s="23" t="s">
        <v>150</v>
      </c>
      <c r="X14" s="23" t="s">
        <v>150</v>
      </c>
      <c r="Y14" s="23" t="s">
        <v>151</v>
      </c>
      <c r="Z14" s="23"/>
      <c r="AA14" s="23" t="s">
        <v>150</v>
      </c>
      <c r="AB14" s="23" t="s">
        <v>150</v>
      </c>
      <c r="AC14" s="23"/>
      <c r="AD14" s="23"/>
      <c r="AE14" s="23"/>
      <c r="AF14" s="23" t="s">
        <v>150</v>
      </c>
      <c r="AG14" s="23" t="s">
        <v>150</v>
      </c>
      <c r="AH14" s="83">
        <f>SUM(AH105:AH106)</f>
        <v>204</v>
      </c>
      <c r="AI14" s="84">
        <f>AH14-C37</f>
        <v>42</v>
      </c>
      <c r="AJ14" s="84">
        <f>SUM(C110:AG110)</f>
        <v>48</v>
      </c>
      <c r="AK14" s="84">
        <f t="shared" si="2"/>
        <v>0</v>
      </c>
      <c r="AL14" s="18">
        <f>SUM(C111:AG111)</f>
        <v>0</v>
      </c>
      <c r="CF14"/>
    </row>
    <row r="15" spans="1:84" s="2" customFormat="1" ht="19.5" customHeight="1" x14ac:dyDescent="0.25">
      <c r="A15" s="268" t="s">
        <v>161</v>
      </c>
      <c r="B15" s="268"/>
      <c r="C15" s="23" t="s">
        <v>151</v>
      </c>
      <c r="D15" s="23" t="s">
        <v>152</v>
      </c>
      <c r="E15" s="23" t="s">
        <v>152</v>
      </c>
      <c r="F15" s="23"/>
      <c r="G15" s="23"/>
      <c r="H15" s="23" t="s">
        <v>153</v>
      </c>
      <c r="I15" s="23" t="s">
        <v>153</v>
      </c>
      <c r="J15" s="23" t="s">
        <v>153</v>
      </c>
      <c r="K15" s="23" t="s">
        <v>152</v>
      </c>
      <c r="L15" s="23" t="s">
        <v>152</v>
      </c>
      <c r="M15" s="23" t="s">
        <v>152</v>
      </c>
      <c r="N15" s="23" t="s">
        <v>152</v>
      </c>
      <c r="O15" s="23" t="s">
        <v>181</v>
      </c>
      <c r="P15" s="23" t="s">
        <v>181</v>
      </c>
      <c r="Q15" s="23" t="s">
        <v>181</v>
      </c>
      <c r="R15" s="23"/>
      <c r="S15" s="23"/>
      <c r="T15" s="23" t="s">
        <v>151</v>
      </c>
      <c r="U15" s="23" t="s">
        <v>151</v>
      </c>
      <c r="V15" s="23" t="s">
        <v>151</v>
      </c>
      <c r="W15" s="23" t="s">
        <v>151</v>
      </c>
      <c r="X15" s="23" t="s">
        <v>151</v>
      </c>
      <c r="Y15" s="23"/>
      <c r="Z15" s="23" t="s">
        <v>151</v>
      </c>
      <c r="AA15" s="23" t="s">
        <v>152</v>
      </c>
      <c r="AB15" s="23"/>
      <c r="AC15" s="23" t="s">
        <v>181</v>
      </c>
      <c r="AD15" s="23" t="s">
        <v>181</v>
      </c>
      <c r="AE15" s="23" t="s">
        <v>181</v>
      </c>
      <c r="AF15" s="23" t="s">
        <v>152</v>
      </c>
      <c r="AG15" s="23" t="s">
        <v>152</v>
      </c>
      <c r="AH15" s="83">
        <f>SUM(AH116:AH117)</f>
        <v>228</v>
      </c>
      <c r="AI15" s="84">
        <f>AH15-C37</f>
        <v>66</v>
      </c>
      <c r="AJ15" s="84">
        <f>SUM(C121:AG121)</f>
        <v>60</v>
      </c>
      <c r="AK15" s="84">
        <f t="shared" si="2"/>
        <v>96</v>
      </c>
      <c r="AL15" s="18">
        <f>SUM(C122:AG122)</f>
        <v>0</v>
      </c>
      <c r="CF15"/>
    </row>
    <row r="16" spans="1:84" s="2" customFormat="1" ht="19.5" customHeight="1" x14ac:dyDescent="0.25">
      <c r="A16" s="268" t="s">
        <v>162</v>
      </c>
      <c r="B16" s="268"/>
      <c r="C16" s="23" t="s">
        <v>152</v>
      </c>
      <c r="D16" s="23"/>
      <c r="E16" s="23"/>
      <c r="F16" s="23" t="s">
        <v>151</v>
      </c>
      <c r="G16" s="23" t="s">
        <v>151</v>
      </c>
      <c r="H16" s="23"/>
      <c r="I16" s="23"/>
      <c r="J16" s="23"/>
      <c r="K16" s="23" t="s">
        <v>151</v>
      </c>
      <c r="L16" s="23" t="s">
        <v>151</v>
      </c>
      <c r="M16" s="23"/>
      <c r="N16" s="23"/>
      <c r="O16" s="23" t="s">
        <v>151</v>
      </c>
      <c r="P16" s="23" t="s">
        <v>151</v>
      </c>
      <c r="Q16" s="23" t="s">
        <v>151</v>
      </c>
      <c r="R16" s="23"/>
      <c r="S16" s="23" t="s">
        <v>152</v>
      </c>
      <c r="T16" s="23" t="s">
        <v>152</v>
      </c>
      <c r="U16" s="23" t="s">
        <v>152</v>
      </c>
      <c r="V16" s="23" t="s">
        <v>152</v>
      </c>
      <c r="W16" s="23" t="s">
        <v>152</v>
      </c>
      <c r="X16" s="23" t="s">
        <v>152</v>
      </c>
      <c r="Y16" s="23"/>
      <c r="Z16" s="23"/>
      <c r="AA16" s="23" t="s">
        <v>154</v>
      </c>
      <c r="AB16" s="23" t="s">
        <v>152</v>
      </c>
      <c r="AC16" s="23"/>
      <c r="AD16" s="23"/>
      <c r="AE16" s="23"/>
      <c r="AF16" s="23"/>
      <c r="AG16" s="23"/>
      <c r="AH16" s="83">
        <f>SUM(AH127:AH128)</f>
        <v>187.99999999999997</v>
      </c>
      <c r="AI16" s="84">
        <f>AH16-C37</f>
        <v>25.999999999999972</v>
      </c>
      <c r="AJ16" s="84">
        <f>SUM(C132:AG132)</f>
        <v>54</v>
      </c>
      <c r="AK16" s="84">
        <f t="shared" si="2"/>
        <v>72</v>
      </c>
      <c r="AL16" s="18">
        <f>SUM(C133:AG133)</f>
        <v>0</v>
      </c>
      <c r="CF16"/>
    </row>
    <row r="17" spans="1:87" s="2" customFormat="1" ht="19.5" customHeight="1" x14ac:dyDescent="0.25">
      <c r="A17" s="268" t="s">
        <v>163</v>
      </c>
      <c r="B17" s="268"/>
      <c r="C17" s="23"/>
      <c r="D17" s="23" t="s">
        <v>154</v>
      </c>
      <c r="E17" s="23" t="s">
        <v>154</v>
      </c>
      <c r="F17" s="23"/>
      <c r="G17" s="23" t="s">
        <v>152</v>
      </c>
      <c r="H17" s="23" t="s">
        <v>152</v>
      </c>
      <c r="I17" s="23" t="s">
        <v>152</v>
      </c>
      <c r="J17" s="23" t="s">
        <v>152</v>
      </c>
      <c r="K17" s="23"/>
      <c r="L17" s="23"/>
      <c r="M17" s="23"/>
      <c r="N17" s="23"/>
      <c r="O17" s="23" t="s">
        <v>152</v>
      </c>
      <c r="P17" s="23" t="s">
        <v>152</v>
      </c>
      <c r="Q17" s="23" t="s">
        <v>152</v>
      </c>
      <c r="R17" s="23" t="s">
        <v>152</v>
      </c>
      <c r="S17" s="23"/>
      <c r="T17" s="23"/>
      <c r="U17" s="23"/>
      <c r="V17" s="23" t="s">
        <v>154</v>
      </c>
      <c r="W17" s="23" t="s">
        <v>154</v>
      </c>
      <c r="X17" s="23" t="s">
        <v>154</v>
      </c>
      <c r="Y17" s="23"/>
      <c r="Z17" s="23" t="s">
        <v>152</v>
      </c>
      <c r="AA17" s="23"/>
      <c r="AB17" s="23"/>
      <c r="AC17" s="23" t="s">
        <v>152</v>
      </c>
      <c r="AD17" s="23" t="s">
        <v>152</v>
      </c>
      <c r="AE17" s="23" t="s">
        <v>152</v>
      </c>
      <c r="AF17" s="23"/>
      <c r="AG17" s="23"/>
      <c r="AH17" s="83">
        <f>SUM(AH138:AH139)</f>
        <v>183.99999999999986</v>
      </c>
      <c r="AI17" s="84">
        <f>AH17-C37</f>
        <v>21.999999999999858</v>
      </c>
      <c r="AJ17" s="84">
        <f>SUM(C143:AG143)</f>
        <v>88</v>
      </c>
      <c r="AK17" s="84">
        <f t="shared" si="2"/>
        <v>136</v>
      </c>
      <c r="AL17" s="18">
        <f>SUM(C144:AG144)</f>
        <v>0</v>
      </c>
      <c r="CF17"/>
    </row>
    <row r="18" spans="1:87" s="2" customFormat="1" ht="19.5" customHeight="1" x14ac:dyDescent="0.25">
      <c r="A18" s="268" t="s">
        <v>178</v>
      </c>
      <c r="B18" s="268"/>
      <c r="C18" s="23" t="s">
        <v>150</v>
      </c>
      <c r="D18" s="23"/>
      <c r="E18" s="23"/>
      <c r="F18" s="23" t="s">
        <v>150</v>
      </c>
      <c r="G18" s="23" t="s">
        <v>150</v>
      </c>
      <c r="H18" s="23"/>
      <c r="I18" s="23"/>
      <c r="J18" s="23"/>
      <c r="K18" s="23" t="s">
        <v>150</v>
      </c>
      <c r="L18" s="23" t="s">
        <v>150</v>
      </c>
      <c r="M18" s="23"/>
      <c r="N18" s="23"/>
      <c r="O18" s="23" t="s">
        <v>150</v>
      </c>
      <c r="P18" s="23" t="s">
        <v>150</v>
      </c>
      <c r="Q18" s="23" t="s">
        <v>150</v>
      </c>
      <c r="R18" s="23"/>
      <c r="S18" s="23"/>
      <c r="T18" s="23" t="s">
        <v>150</v>
      </c>
      <c r="U18" s="23" t="s">
        <v>150</v>
      </c>
      <c r="V18" s="23"/>
      <c r="W18" s="23"/>
      <c r="X18" s="23"/>
      <c r="Y18" s="23" t="s">
        <v>150</v>
      </c>
      <c r="Z18" s="23" t="s">
        <v>150</v>
      </c>
      <c r="AA18" s="23"/>
      <c r="AB18" s="23"/>
      <c r="AC18" s="23" t="s">
        <v>150</v>
      </c>
      <c r="AD18" s="23" t="s">
        <v>150</v>
      </c>
      <c r="AE18" s="23" t="s">
        <v>150</v>
      </c>
      <c r="AF18" s="23"/>
      <c r="AG18" s="23"/>
      <c r="AH18" s="83">
        <f>SUM(AH149:AH150)</f>
        <v>180</v>
      </c>
      <c r="AI18" s="84">
        <f>AH18-C37</f>
        <v>18</v>
      </c>
      <c r="AJ18" s="84">
        <f>SUM(C154:AG154)</f>
        <v>60</v>
      </c>
      <c r="AK18" s="84">
        <f t="shared" si="2"/>
        <v>0</v>
      </c>
      <c r="AL18" s="18">
        <f>SUM(C155:AG155)</f>
        <v>0</v>
      </c>
      <c r="CF18"/>
    </row>
    <row r="19" spans="1:87" s="2" customFormat="1" ht="19.5" customHeight="1" x14ac:dyDescent="0.25">
      <c r="A19" s="268"/>
      <c r="B19" s="268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83">
        <f>SUM(AH160:AH161)</f>
        <v>0</v>
      </c>
      <c r="AI19" s="84">
        <f>AH19-C37</f>
        <v>-162</v>
      </c>
      <c r="AJ19" s="84">
        <f>SUM(C165:AG165)</f>
        <v>0</v>
      </c>
      <c r="AK19" s="84">
        <f t="shared" si="2"/>
        <v>0</v>
      </c>
      <c r="AL19" s="18">
        <f>SUM(C166:AG166)</f>
        <v>0</v>
      </c>
      <c r="CF19"/>
    </row>
    <row r="20" spans="1:87" s="2" customFormat="1" ht="19.5" customHeight="1" x14ac:dyDescent="0.25">
      <c r="A20" s="268"/>
      <c r="B20" s="268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83">
        <f>SUM(AH171:AH172)</f>
        <v>0</v>
      </c>
      <c r="AI20" s="84">
        <f>AH20-C37</f>
        <v>-162</v>
      </c>
      <c r="AJ20" s="84">
        <f>SUM(C176:AG176)</f>
        <v>0</v>
      </c>
      <c r="AK20" s="84">
        <f t="shared" si="2"/>
        <v>0</v>
      </c>
      <c r="AL20" s="18">
        <f>SUM(C177:AG177)</f>
        <v>0</v>
      </c>
      <c r="CF20"/>
    </row>
    <row r="21" spans="1:87" s="2" customFormat="1" ht="19.5" customHeight="1" x14ac:dyDescent="0.25">
      <c r="A21" s="10"/>
      <c r="B21" s="29" t="s">
        <v>8</v>
      </c>
      <c r="C21" s="113">
        <f>SUM(C51+C62+C73+C84+C95+C106+C117+C128+C139+C150+C161+C172)</f>
        <v>55.999999999999972</v>
      </c>
      <c r="D21" s="113">
        <f t="shared" ref="D21:AG21" si="3">SUM(D51+D62+D73+D84+D95+D106+D117+D128+D139+D150+D161+D172)</f>
        <v>55.999999999999972</v>
      </c>
      <c r="E21" s="113">
        <f t="shared" si="3"/>
        <v>55.999999999999972</v>
      </c>
      <c r="F21" s="113">
        <f t="shared" si="3"/>
        <v>55.999999999999972</v>
      </c>
      <c r="G21" s="113">
        <f t="shared" si="3"/>
        <v>55.999999999999972</v>
      </c>
      <c r="H21" s="113">
        <f t="shared" si="3"/>
        <v>55.999999999999972</v>
      </c>
      <c r="I21" s="113">
        <f t="shared" si="3"/>
        <v>55.999999999999972</v>
      </c>
      <c r="J21" s="113">
        <f t="shared" si="3"/>
        <v>55.999999999999972</v>
      </c>
      <c r="K21" s="113">
        <f t="shared" si="3"/>
        <v>55.999999999999972</v>
      </c>
      <c r="L21" s="113">
        <f t="shared" si="3"/>
        <v>55.999999999999972</v>
      </c>
      <c r="M21" s="113">
        <f t="shared" si="3"/>
        <v>55.999999999999972</v>
      </c>
      <c r="N21" s="113">
        <f t="shared" si="3"/>
        <v>55.999999999999972</v>
      </c>
      <c r="O21" s="113">
        <f t="shared" si="3"/>
        <v>55.999999999999972</v>
      </c>
      <c r="P21" s="113">
        <f t="shared" si="3"/>
        <v>55.999999999999972</v>
      </c>
      <c r="Q21" s="113">
        <f t="shared" si="3"/>
        <v>55.999999999999972</v>
      </c>
      <c r="R21" s="113">
        <f t="shared" si="3"/>
        <v>55.999999999999972</v>
      </c>
      <c r="S21" s="113">
        <f t="shared" si="3"/>
        <v>55.999999999999972</v>
      </c>
      <c r="T21" s="113">
        <f t="shared" si="3"/>
        <v>55.999999999999972</v>
      </c>
      <c r="U21" s="113">
        <f t="shared" si="3"/>
        <v>55.999999999999972</v>
      </c>
      <c r="V21" s="113">
        <f t="shared" si="3"/>
        <v>55.999999999999972</v>
      </c>
      <c r="W21" s="113">
        <f t="shared" si="3"/>
        <v>55.999999999999972</v>
      </c>
      <c r="X21" s="113">
        <f t="shared" si="3"/>
        <v>55.999999999999972</v>
      </c>
      <c r="Y21" s="113">
        <f t="shared" si="3"/>
        <v>55.999999999999972</v>
      </c>
      <c r="Z21" s="113">
        <f t="shared" si="3"/>
        <v>55.999999999999972</v>
      </c>
      <c r="AA21" s="113">
        <f t="shared" si="3"/>
        <v>55.999999999999972</v>
      </c>
      <c r="AB21" s="113">
        <f t="shared" si="3"/>
        <v>55.999999999999972</v>
      </c>
      <c r="AC21" s="113">
        <f t="shared" si="3"/>
        <v>55.999999999999972</v>
      </c>
      <c r="AD21" s="113">
        <f t="shared" si="3"/>
        <v>55.999999999999972</v>
      </c>
      <c r="AE21" s="113">
        <f t="shared" si="3"/>
        <v>55.999999999999972</v>
      </c>
      <c r="AF21" s="113">
        <f t="shared" si="3"/>
        <v>55.999999999999972</v>
      </c>
      <c r="AG21" s="113">
        <f t="shared" si="3"/>
        <v>55.999999999999972</v>
      </c>
      <c r="AH21" s="30"/>
      <c r="AI21" s="30"/>
      <c r="AJ21" s="30"/>
      <c r="AK21" s="30"/>
      <c r="AL21" s="30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</row>
    <row r="22" spans="1:87" s="2" customFormat="1" ht="19.5" customHeight="1" x14ac:dyDescent="0.25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</row>
    <row r="23" spans="1:87" s="2" customFormat="1" ht="19.5" customHeight="1" x14ac:dyDescent="0.25">
      <c r="A23" s="80"/>
      <c r="B23" s="80"/>
      <c r="C23" s="273" t="s">
        <v>9</v>
      </c>
      <c r="D23" s="273"/>
      <c r="E23" s="273"/>
      <c r="F23" s="273"/>
      <c r="G23" s="273"/>
      <c r="H23" s="273"/>
      <c r="I23" s="82"/>
      <c r="J23" s="274" t="s">
        <v>9</v>
      </c>
      <c r="K23" s="274"/>
      <c r="L23" s="274"/>
      <c r="M23" s="274"/>
      <c r="N23" s="274"/>
      <c r="O23" s="274"/>
      <c r="P23" s="32"/>
      <c r="Q23" s="274" t="s">
        <v>136</v>
      </c>
      <c r="R23" s="274"/>
      <c r="S23" s="274"/>
      <c r="T23" s="274"/>
      <c r="U23" s="274"/>
      <c r="V23" s="274"/>
      <c r="W23" s="274"/>
      <c r="X23" s="274"/>
      <c r="Y23" s="274"/>
      <c r="Z23" s="274"/>
      <c r="AA23" s="274"/>
      <c r="AB23" s="82"/>
      <c r="AC23" s="82"/>
      <c r="AD23" s="82"/>
      <c r="AE23" s="82"/>
      <c r="AF23" s="80"/>
      <c r="AG23" s="80"/>
      <c r="AH23" s="80"/>
      <c r="AI23" s="80"/>
      <c r="AJ23" s="80"/>
      <c r="AK23" s="80"/>
      <c r="AL23" s="80"/>
      <c r="AM23"/>
      <c r="AN23"/>
      <c r="AO23"/>
      <c r="AP23"/>
      <c r="AQ23" s="1" t="s">
        <v>10</v>
      </c>
      <c r="AR23" s="1"/>
      <c r="AS23" s="1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</row>
    <row r="24" spans="1:87" ht="14.45" customHeight="1" x14ac:dyDescent="0.25">
      <c r="A24" s="82"/>
      <c r="B24" s="82"/>
      <c r="C24" s="108" t="str">
        <f t="shared" ref="C24:D26" si="4">R32</f>
        <v>D1</v>
      </c>
      <c r="D24" s="275">
        <f t="shared" si="4"/>
        <v>0.25</v>
      </c>
      <c r="E24" s="275"/>
      <c r="F24" s="33" t="s">
        <v>11</v>
      </c>
      <c r="G24" s="276">
        <f t="shared" ref="G24:G26" si="5">V32</f>
        <v>0.75</v>
      </c>
      <c r="H24" s="276"/>
      <c r="I24" s="105"/>
      <c r="J24" s="107" t="str">
        <f t="shared" ref="J24:K26" si="6">R35</f>
        <v>N2</v>
      </c>
      <c r="K24" s="277">
        <f t="shared" si="6"/>
        <v>0.79166666666666663</v>
      </c>
      <c r="L24" s="278"/>
      <c r="M24" s="110" t="s">
        <v>11</v>
      </c>
      <c r="N24" s="277">
        <f>V35</f>
        <v>0.29166666666666669</v>
      </c>
      <c r="O24" s="279"/>
      <c r="P24" s="32"/>
      <c r="Q24" s="107" t="str">
        <f>R38</f>
        <v>G</v>
      </c>
      <c r="R24" s="280"/>
      <c r="S24" s="280"/>
      <c r="T24" s="109" t="s">
        <v>11</v>
      </c>
      <c r="U24" s="280"/>
      <c r="V24" s="280"/>
      <c r="W24" s="281"/>
      <c r="X24" s="280"/>
      <c r="Y24" s="109" t="s">
        <v>11</v>
      </c>
      <c r="Z24" s="282"/>
      <c r="AA24" s="283"/>
      <c r="AB24" s="106"/>
      <c r="AC24" s="80"/>
      <c r="AD24" s="104"/>
      <c r="AE24" s="104"/>
      <c r="AF24" s="104"/>
      <c r="AG24" s="107" t="s">
        <v>12</v>
      </c>
      <c r="AH24" s="256" t="s">
        <v>1</v>
      </c>
      <c r="AI24" s="257"/>
      <c r="AJ24" s="245"/>
      <c r="AK24" s="245"/>
      <c r="AL24" s="245"/>
      <c r="AM24"/>
      <c r="AN24"/>
      <c r="AO24"/>
      <c r="AP24"/>
      <c r="AQ24" s="1" t="s">
        <v>13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</row>
    <row r="25" spans="1:87" s="2" customFormat="1" ht="14.45" customHeight="1" x14ac:dyDescent="0.25">
      <c r="A25" s="82"/>
      <c r="B25" s="82"/>
      <c r="C25" s="108" t="str">
        <f t="shared" si="4"/>
        <v>N1</v>
      </c>
      <c r="D25" s="275">
        <f t="shared" si="4"/>
        <v>0.75</v>
      </c>
      <c r="E25" s="275"/>
      <c r="F25" s="33" t="s">
        <v>11</v>
      </c>
      <c r="G25" s="276">
        <f t="shared" si="5"/>
        <v>0.25</v>
      </c>
      <c r="H25" s="276"/>
      <c r="I25" s="105"/>
      <c r="J25" s="107" t="str">
        <f t="shared" si="6"/>
        <v>N3</v>
      </c>
      <c r="K25" s="280">
        <f t="shared" si="6"/>
        <v>0.91666666666666663</v>
      </c>
      <c r="L25" s="278"/>
      <c r="M25" s="110" t="s">
        <v>11</v>
      </c>
      <c r="N25" s="280">
        <f>V36</f>
        <v>0.25</v>
      </c>
      <c r="O25" s="279"/>
      <c r="P25" s="32"/>
      <c r="Q25" s="107" t="str">
        <f>R39</f>
        <v>H</v>
      </c>
      <c r="R25" s="280"/>
      <c r="S25" s="280"/>
      <c r="T25" s="109" t="s">
        <v>11</v>
      </c>
      <c r="U25" s="280"/>
      <c r="V25" s="280"/>
      <c r="W25" s="281"/>
      <c r="X25" s="280"/>
      <c r="Y25" s="109" t="s">
        <v>11</v>
      </c>
      <c r="Z25" s="284"/>
      <c r="AA25" s="283"/>
      <c r="AB25" s="106"/>
      <c r="AC25" s="80"/>
      <c r="AD25" s="104"/>
      <c r="AE25" s="104"/>
      <c r="AF25" s="104"/>
      <c r="AG25" s="107" t="s">
        <v>14</v>
      </c>
      <c r="AH25" s="256" t="s">
        <v>59</v>
      </c>
      <c r="AI25" s="257"/>
      <c r="AJ25" s="245"/>
      <c r="AK25" s="245"/>
      <c r="AL25" s="245"/>
      <c r="AM25"/>
      <c r="AN25"/>
      <c r="AO25"/>
      <c r="AP25"/>
      <c r="AQ25" s="1" t="s">
        <v>15</v>
      </c>
      <c r="AR25" s="1"/>
      <c r="AS25" s="1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</row>
    <row r="26" spans="1:87" s="2" customFormat="1" ht="14.45" customHeight="1" x14ac:dyDescent="0.25">
      <c r="A26" s="82"/>
      <c r="B26" s="82"/>
      <c r="C26" s="108" t="str">
        <f t="shared" si="4"/>
        <v>D2</v>
      </c>
      <c r="D26" s="275">
        <f t="shared" si="4"/>
        <v>0.29166666666666669</v>
      </c>
      <c r="E26" s="275"/>
      <c r="F26" s="33" t="s">
        <v>11</v>
      </c>
      <c r="G26" s="276">
        <f t="shared" si="5"/>
        <v>0.79166666666666663</v>
      </c>
      <c r="H26" s="276"/>
      <c r="I26" s="105"/>
      <c r="J26" s="107" t="str">
        <f t="shared" si="6"/>
        <v>F</v>
      </c>
      <c r="K26" s="280">
        <f t="shared" si="6"/>
        <v>0.20833333333333334</v>
      </c>
      <c r="L26" s="278"/>
      <c r="M26" s="110" t="s">
        <v>11</v>
      </c>
      <c r="N26" s="280">
        <f>V37</f>
        <v>0.25</v>
      </c>
      <c r="O26" s="279"/>
      <c r="P26" s="32"/>
      <c r="Q26" s="107" t="str">
        <f>R40</f>
        <v>I</v>
      </c>
      <c r="R26" s="280"/>
      <c r="S26" s="280"/>
      <c r="T26" s="109" t="s">
        <v>11</v>
      </c>
      <c r="U26" s="280"/>
      <c r="V26" s="280"/>
      <c r="W26" s="281"/>
      <c r="X26" s="280"/>
      <c r="Y26" s="109" t="s">
        <v>11</v>
      </c>
      <c r="Z26" s="284"/>
      <c r="AA26" s="283"/>
      <c r="AB26" s="106"/>
      <c r="AC26" s="80"/>
      <c r="AD26" s="104"/>
      <c r="AE26" s="104"/>
      <c r="AF26" s="104"/>
      <c r="AG26" s="107" t="s">
        <v>16</v>
      </c>
      <c r="AH26" s="256" t="s">
        <v>42</v>
      </c>
      <c r="AI26" s="257"/>
      <c r="AJ26" s="245"/>
      <c r="AK26" s="245"/>
      <c r="AL26" s="245"/>
      <c r="AM26"/>
      <c r="AN26"/>
      <c r="AO26"/>
      <c r="AP26"/>
      <c r="AQ26" s="1" t="s">
        <v>17</v>
      </c>
      <c r="AR26" s="1"/>
      <c r="AS26" s="1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</row>
    <row r="27" spans="1:87" s="2" customFormat="1" ht="14.45" customHeight="1" x14ac:dyDescent="0.25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82"/>
      <c r="Z27" s="82"/>
      <c r="AA27" s="82"/>
      <c r="AB27" s="82"/>
      <c r="AC27" s="82"/>
      <c r="AD27" s="82"/>
      <c r="AE27" s="262"/>
      <c r="AF27" s="262"/>
      <c r="AG27" s="82"/>
      <c r="AH27" s="82"/>
      <c r="AI27" s="82"/>
      <c r="AJ27" s="32"/>
      <c r="AK27" s="32"/>
      <c r="AL27" s="32"/>
    </row>
    <row r="28" spans="1:87" s="2" customFormat="1" ht="14.45" customHeight="1" x14ac:dyDescent="0.25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32"/>
      <c r="AK28" s="32"/>
      <c r="AL28" s="32"/>
    </row>
    <row r="29" spans="1:87" s="2" customFormat="1" ht="14.45" customHeight="1" x14ac:dyDescent="0.25">
      <c r="A29" s="82"/>
      <c r="B29" s="81" t="s">
        <v>18</v>
      </c>
      <c r="C29" s="251" t="str">
        <f>E43</f>
        <v xml:space="preserve">*Aquí notas que se vean en el cuadrante... </v>
      </c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  <c r="AA29" s="251"/>
      <c r="AB29" s="251"/>
      <c r="AC29" s="251"/>
      <c r="AD29" s="251"/>
      <c r="AE29" s="251"/>
      <c r="AF29" s="251"/>
      <c r="AG29" s="251"/>
      <c r="AH29" s="251"/>
      <c r="AI29" s="251"/>
      <c r="AJ29" s="251"/>
      <c r="AK29" s="32"/>
      <c r="AL29" s="32"/>
    </row>
    <row r="30" spans="1:87" s="2" customFormat="1" ht="19.5" customHeight="1" x14ac:dyDescent="0.35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32"/>
      <c r="AK30" s="32"/>
      <c r="AL30" s="32"/>
      <c r="AN30" s="5" t="s">
        <v>19</v>
      </c>
      <c r="AO30" s="5"/>
      <c r="AP30" s="5" t="s">
        <v>20</v>
      </c>
      <c r="AQ30" s="5" t="s">
        <v>21</v>
      </c>
      <c r="AR30" s="5"/>
      <c r="AS30" s="5"/>
      <c r="AT30" s="5"/>
      <c r="AU30" s="5"/>
      <c r="AV30" s="5"/>
      <c r="AW30" s="5"/>
      <c r="AX30" s="5" t="s">
        <v>22</v>
      </c>
      <c r="AY30" s="5"/>
      <c r="AZ30" s="5" t="s">
        <v>23</v>
      </c>
      <c r="BA30" s="5"/>
      <c r="BB30" s="5"/>
      <c r="BC30" s="5"/>
      <c r="BD30" s="5" t="s">
        <v>24</v>
      </c>
    </row>
    <row r="31" spans="1:87" s="2" customFormat="1" ht="19.5" customHeight="1" x14ac:dyDescent="0.25">
      <c r="A31" s="252" t="s">
        <v>25</v>
      </c>
      <c r="B31" s="252"/>
      <c r="C31" s="252"/>
      <c r="D31" s="252"/>
      <c r="E31" s="252"/>
      <c r="F31" s="252"/>
      <c r="G31" s="252"/>
      <c r="H31" s="252"/>
      <c r="I31" s="252"/>
      <c r="J31" s="252"/>
      <c r="K31" s="252"/>
      <c r="L31" s="252"/>
      <c r="M31" s="252"/>
      <c r="N31" s="252"/>
      <c r="O31" s="114"/>
      <c r="P31" s="114"/>
      <c r="Q31" s="114"/>
      <c r="R31" s="252" t="s">
        <v>9</v>
      </c>
      <c r="S31" s="252"/>
      <c r="T31" s="252"/>
      <c r="U31" s="252"/>
      <c r="V31" s="252"/>
      <c r="W31" s="252"/>
      <c r="X31" s="115"/>
      <c r="Y31" s="115"/>
      <c r="Z31" s="115"/>
      <c r="AA31" s="115"/>
      <c r="AB31" s="115"/>
      <c r="AC31" s="116"/>
      <c r="AD31" s="253" t="s">
        <v>26</v>
      </c>
      <c r="AE31" s="253"/>
      <c r="AF31" s="253"/>
      <c r="AG31" s="253"/>
      <c r="AH31" s="253"/>
      <c r="AI31" s="253"/>
      <c r="AJ31" s="114"/>
      <c r="AK31" s="212" t="s">
        <v>6</v>
      </c>
      <c r="AL31" s="114"/>
      <c r="AN31" s="97" t="s">
        <v>27</v>
      </c>
      <c r="AO31" s="97" t="s">
        <v>28</v>
      </c>
      <c r="AP31" s="97" t="s">
        <v>29</v>
      </c>
      <c r="AQ31" s="97" t="s">
        <v>30</v>
      </c>
      <c r="AR31" s="261" t="s">
        <v>31</v>
      </c>
      <c r="AS31" s="261"/>
      <c r="AT31" s="261"/>
      <c r="AU31" s="261"/>
      <c r="AV31" s="261"/>
      <c r="AW31" s="261"/>
      <c r="AX31" s="261"/>
      <c r="AY31" s="261"/>
      <c r="AZ31" s="261"/>
      <c r="BA31" s="97" t="s">
        <v>32</v>
      </c>
      <c r="BB31" s="260" t="s">
        <v>33</v>
      </c>
      <c r="BC31" s="260"/>
      <c r="BD31" s="103" t="s">
        <v>34</v>
      </c>
      <c r="BE31" s="56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</row>
    <row r="32" spans="1:87" s="2" customFormat="1" ht="19.5" customHeight="1" x14ac:dyDescent="0.25">
      <c r="A32" s="238" t="s">
        <v>35</v>
      </c>
      <c r="B32" s="238"/>
      <c r="C32" s="242" t="str">
        <f>CONTROL!B34</f>
        <v>EMPRESA</v>
      </c>
      <c r="D32" s="242"/>
      <c r="E32" s="242"/>
      <c r="F32" s="242"/>
      <c r="G32" s="242"/>
      <c r="H32" s="242"/>
      <c r="I32" s="242"/>
      <c r="J32" s="242"/>
      <c r="K32" s="242"/>
      <c r="L32" s="242"/>
      <c r="M32" s="242"/>
      <c r="N32" s="242"/>
      <c r="O32" s="114"/>
      <c r="P32" s="114"/>
      <c r="Q32" s="117"/>
      <c r="R32" s="85" t="s">
        <v>150</v>
      </c>
      <c r="S32" s="240">
        <v>0.25</v>
      </c>
      <c r="T32" s="240"/>
      <c r="U32" s="118" t="s">
        <v>11</v>
      </c>
      <c r="V32" s="241">
        <v>0.75</v>
      </c>
      <c r="W32" s="241"/>
      <c r="X32" s="115"/>
      <c r="Y32" s="115"/>
      <c r="Z32" s="115"/>
      <c r="AA32" s="115"/>
      <c r="AB32" s="115"/>
      <c r="AC32" s="116"/>
      <c r="AD32" s="250" t="s">
        <v>36</v>
      </c>
      <c r="AE32" s="250"/>
      <c r="AF32" s="250"/>
      <c r="AG32" s="250"/>
      <c r="AH32" s="86">
        <v>0.5</v>
      </c>
      <c r="AI32" s="254">
        <f>AH32/24</f>
        <v>2.0833333333333332E-2</v>
      </c>
      <c r="AJ32" s="255"/>
      <c r="AK32" s="217">
        <f>AH49</f>
        <v>144</v>
      </c>
      <c r="AL32" s="214" t="s">
        <v>90</v>
      </c>
      <c r="AM32" s="9"/>
      <c r="AN32" s="34">
        <f t="shared" ref="AN32:AN40" si="7">IF(AS32/24=0,0,AS32/24)</f>
        <v>0</v>
      </c>
      <c r="AO32" s="35">
        <f t="shared" ref="AO32:AO40" si="8">IF(BA32=0,"",BA32)</f>
        <v>0.5</v>
      </c>
      <c r="AP32" s="36">
        <f t="shared" ref="AP32:AP39" si="9">S32*24</f>
        <v>6</v>
      </c>
      <c r="AQ32" s="36">
        <f t="shared" ref="AQ32:AQ40" si="10">V32*24</f>
        <v>18</v>
      </c>
      <c r="AR32" s="36">
        <f t="shared" ref="AR32:AR40" si="11">AS32</f>
        <v>0</v>
      </c>
      <c r="AS32" s="37">
        <f t="shared" ref="AS32:AS40" si="12">IF(AV32&gt;=4,AT32,AT32)</f>
        <v>0</v>
      </c>
      <c r="AT32" s="38">
        <f t="shared" ref="AT32:AT40" si="13">IF(AV32&gt;8,8,AU32)</f>
        <v>0</v>
      </c>
      <c r="AU32" s="39">
        <f t="shared" ref="AU32:AU40" si="14">IF(AV32&lt;0,0,AV32)</f>
        <v>0</v>
      </c>
      <c r="AV32" s="40">
        <f t="shared" ref="AV32:AV40" si="15">IF(AP32=AQ32,0,IF(AP32&gt;AQ32,AW32,IF(AP32&gt;=6,AX32,AQ32-AP32)))</f>
        <v>-12</v>
      </c>
      <c r="AW32" s="36">
        <f t="shared" ref="AW32:AW40" si="16">IF(AP32&lt;6,(AQ32-22+24)+(6-AP32),IF(AP32&gt;=22,AY32,IF(AV2&lt;=6,(AQ32-22)+24,8)))</f>
        <v>20</v>
      </c>
      <c r="AX32" s="41">
        <f t="shared" ref="AX32:AX40" si="17">IF(AQ32&gt;22,AZ32,IF(AP32&lt;AQ32,AP32-AQ32,IF(AP32&gt;6,0,(6-AP32))))</f>
        <v>-12</v>
      </c>
      <c r="AY32" s="36">
        <f t="shared" ref="AY32:AY40" si="18">IF(AQ32&lt;=6,(AQ32-AP32)+24,IF(AQ32&gt;22,8,(6-AP32)+24))</f>
        <v>24</v>
      </c>
      <c r="AZ32" s="42">
        <f t="shared" ref="AZ32:AZ40" si="19">IF(AP32&lt;=6,(6-AP32)+(AQ32-22),IF(AP32&gt;22,(AQ32-AP32),(AQ32-22)))</f>
        <v>-4</v>
      </c>
      <c r="BA32" s="36">
        <f t="shared" ref="BA32:BA40" si="20">IF(V32-S32&gt;=0,V32-S32,V32-S32+24)</f>
        <v>0.5</v>
      </c>
      <c r="BB32" s="36">
        <f t="shared" ref="BB32:BB40" si="21">IF(AO32&lt;1,AO32*24,(AO32-24)*24)</f>
        <v>12</v>
      </c>
      <c r="BC32" s="36">
        <f t="shared" ref="BC32:BC40" si="22">IF(BB32&gt;=0,BB32,BB32+24)</f>
        <v>12</v>
      </c>
      <c r="BD32" s="43">
        <f t="shared" ref="BD32:BD40" si="23">IF(AX32&lt;=0,AN32,IF(AX32&gt;=0.1,AX32/24))</f>
        <v>0</v>
      </c>
      <c r="BE32" s="44" t="str">
        <f t="shared" ref="BE32:BE34" si="24">IF(BD38&gt;=4,IF(BD38="",0,8),IF(BD38&gt;=0.1,IF(BD38="",0,BD38),""))</f>
        <v/>
      </c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</row>
    <row r="33" spans="1:80" s="2" customFormat="1" ht="19.5" customHeight="1" x14ac:dyDescent="0.25">
      <c r="A33" s="238" t="s">
        <v>37</v>
      </c>
      <c r="B33" s="238"/>
      <c r="C33" s="242" t="str">
        <f>CONTROL!B35</f>
        <v>CENTRO</v>
      </c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114"/>
      <c r="P33" s="114"/>
      <c r="Q33" s="117"/>
      <c r="R33" s="85" t="s">
        <v>152</v>
      </c>
      <c r="S33" s="240">
        <v>0.75</v>
      </c>
      <c r="T33" s="240"/>
      <c r="U33" s="118" t="s">
        <v>11</v>
      </c>
      <c r="V33" s="241">
        <v>0.25</v>
      </c>
      <c r="W33" s="241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4"/>
      <c r="AK33" s="217">
        <f>AH60</f>
        <v>120</v>
      </c>
      <c r="AL33" s="214" t="s">
        <v>138</v>
      </c>
      <c r="AM33" s="9"/>
      <c r="AN33" s="35">
        <f t="shared" si="7"/>
        <v>0.33333333333333331</v>
      </c>
      <c r="AO33" s="35">
        <f t="shared" si="8"/>
        <v>23.5</v>
      </c>
      <c r="AP33" s="36">
        <f t="shared" si="9"/>
        <v>18</v>
      </c>
      <c r="AQ33" s="36">
        <f t="shared" si="10"/>
        <v>6</v>
      </c>
      <c r="AR33" s="36">
        <f t="shared" si="11"/>
        <v>8</v>
      </c>
      <c r="AS33" s="37">
        <f t="shared" si="12"/>
        <v>8</v>
      </c>
      <c r="AT33" s="38">
        <f t="shared" si="13"/>
        <v>8</v>
      </c>
      <c r="AU33" s="39">
        <f t="shared" si="14"/>
        <v>8</v>
      </c>
      <c r="AV33" s="36">
        <f t="shared" si="15"/>
        <v>8</v>
      </c>
      <c r="AW33" s="36">
        <f t="shared" si="16"/>
        <v>8</v>
      </c>
      <c r="AX33" s="41">
        <f t="shared" si="17"/>
        <v>0</v>
      </c>
      <c r="AY33" s="36">
        <f t="shared" si="18"/>
        <v>12</v>
      </c>
      <c r="AZ33" s="36">
        <f t="shared" si="19"/>
        <v>-16</v>
      </c>
      <c r="BA33" s="36">
        <f t="shared" si="20"/>
        <v>23.5</v>
      </c>
      <c r="BB33" s="36">
        <f t="shared" si="21"/>
        <v>-12</v>
      </c>
      <c r="BC33" s="36">
        <f t="shared" si="22"/>
        <v>12</v>
      </c>
      <c r="BD33" s="43">
        <f t="shared" si="23"/>
        <v>0.33333333333333331</v>
      </c>
      <c r="BE33" s="44" t="str">
        <f t="shared" si="24"/>
        <v/>
      </c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</row>
    <row r="34" spans="1:80" s="2" customFormat="1" ht="19.5" customHeight="1" x14ac:dyDescent="0.35">
      <c r="A34" s="238" t="s">
        <v>38</v>
      </c>
      <c r="B34" s="238"/>
      <c r="C34" s="242">
        <v>2026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114"/>
      <c r="P34" s="114"/>
      <c r="Q34" s="117"/>
      <c r="R34" s="85" t="s">
        <v>151</v>
      </c>
      <c r="S34" s="240">
        <v>0.29166666666666669</v>
      </c>
      <c r="T34" s="240"/>
      <c r="U34" s="118" t="s">
        <v>11</v>
      </c>
      <c r="V34" s="241">
        <v>0.79166666666666663</v>
      </c>
      <c r="W34" s="241"/>
      <c r="X34" s="115"/>
      <c r="Y34" s="119"/>
      <c r="Z34" s="119"/>
      <c r="AA34" s="119"/>
      <c r="AB34" s="119"/>
      <c r="AC34" s="119"/>
      <c r="AD34" s="119"/>
      <c r="AE34" s="115"/>
      <c r="AF34" s="115"/>
      <c r="AG34" s="115"/>
      <c r="AH34" s="115"/>
      <c r="AI34" s="115"/>
      <c r="AJ34" s="115"/>
      <c r="AK34" s="217">
        <f>AH71</f>
        <v>0</v>
      </c>
      <c r="AL34" s="214" t="s">
        <v>139</v>
      </c>
      <c r="AM34" s="9"/>
      <c r="AN34" s="35">
        <f t="shared" si="7"/>
        <v>0</v>
      </c>
      <c r="AO34" s="35">
        <f t="shared" si="8"/>
        <v>0.49999999999999994</v>
      </c>
      <c r="AP34" s="36">
        <f t="shared" si="9"/>
        <v>7</v>
      </c>
      <c r="AQ34" s="36">
        <f t="shared" si="10"/>
        <v>19</v>
      </c>
      <c r="AR34" s="36">
        <f t="shared" si="11"/>
        <v>0</v>
      </c>
      <c r="AS34" s="37">
        <f t="shared" si="12"/>
        <v>0</v>
      </c>
      <c r="AT34" s="38">
        <f t="shared" si="13"/>
        <v>0</v>
      </c>
      <c r="AU34" s="39">
        <f t="shared" si="14"/>
        <v>0</v>
      </c>
      <c r="AV34" s="36">
        <f t="shared" si="15"/>
        <v>-12</v>
      </c>
      <c r="AW34" s="36">
        <f t="shared" si="16"/>
        <v>21</v>
      </c>
      <c r="AX34" s="41">
        <f t="shared" si="17"/>
        <v>-12</v>
      </c>
      <c r="AY34" s="36">
        <f t="shared" si="18"/>
        <v>23</v>
      </c>
      <c r="AZ34" s="36">
        <f t="shared" si="19"/>
        <v>-3</v>
      </c>
      <c r="BA34" s="36">
        <f t="shared" si="20"/>
        <v>0.49999999999999994</v>
      </c>
      <c r="BB34" s="36">
        <f t="shared" si="21"/>
        <v>11.999999999999998</v>
      </c>
      <c r="BC34" s="36">
        <f t="shared" si="22"/>
        <v>11.999999999999998</v>
      </c>
      <c r="BD34" s="43">
        <f t="shared" si="23"/>
        <v>0</v>
      </c>
      <c r="BE34" s="44" t="str">
        <f t="shared" si="24"/>
        <v/>
      </c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</row>
    <row r="35" spans="1:80" s="2" customFormat="1" ht="19.5" customHeight="1" x14ac:dyDescent="0.25">
      <c r="A35" s="238" t="s">
        <v>39</v>
      </c>
      <c r="B35" s="238"/>
      <c r="C35" s="242">
        <v>3</v>
      </c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114"/>
      <c r="P35" s="114"/>
      <c r="Q35" s="117"/>
      <c r="R35" s="85" t="s">
        <v>153</v>
      </c>
      <c r="S35" s="240">
        <v>0.79166666666666663</v>
      </c>
      <c r="T35" s="240"/>
      <c r="U35" s="118" t="s">
        <v>11</v>
      </c>
      <c r="V35" s="241">
        <v>0.29166666666666669</v>
      </c>
      <c r="W35" s="241"/>
      <c r="X35" s="115"/>
      <c r="Y35" s="120"/>
      <c r="Z35" s="121"/>
      <c r="AA35" s="121"/>
      <c r="AB35" s="120"/>
      <c r="AC35" s="121"/>
      <c r="AD35" s="121"/>
      <c r="AE35" s="115"/>
      <c r="AF35" s="115"/>
      <c r="AG35" s="115"/>
      <c r="AH35" s="115"/>
      <c r="AI35" s="115"/>
      <c r="AJ35" s="115"/>
      <c r="AK35" s="217">
        <f>AH82</f>
        <v>0</v>
      </c>
      <c r="AL35" s="214" t="s">
        <v>140</v>
      </c>
      <c r="AM35" s="9"/>
      <c r="AN35" s="35">
        <f t="shared" si="7"/>
        <v>0.33333333333333331</v>
      </c>
      <c r="AO35" s="35">
        <f t="shared" si="8"/>
        <v>23.5</v>
      </c>
      <c r="AP35" s="36">
        <f t="shared" si="9"/>
        <v>19</v>
      </c>
      <c r="AQ35" s="36">
        <f t="shared" si="10"/>
        <v>7</v>
      </c>
      <c r="AR35" s="36">
        <f t="shared" si="11"/>
        <v>8</v>
      </c>
      <c r="AS35" s="37">
        <f t="shared" si="12"/>
        <v>8</v>
      </c>
      <c r="AT35" s="38">
        <f t="shared" si="13"/>
        <v>8</v>
      </c>
      <c r="AU35" s="39">
        <f t="shared" si="14"/>
        <v>9</v>
      </c>
      <c r="AV35" s="36">
        <f t="shared" si="15"/>
        <v>9</v>
      </c>
      <c r="AW35" s="36">
        <f t="shared" si="16"/>
        <v>9</v>
      </c>
      <c r="AX35" s="41">
        <f t="shared" si="17"/>
        <v>0</v>
      </c>
      <c r="AY35" s="36">
        <f t="shared" si="18"/>
        <v>11</v>
      </c>
      <c r="AZ35" s="36">
        <f t="shared" si="19"/>
        <v>-15</v>
      </c>
      <c r="BA35" s="36">
        <f t="shared" si="20"/>
        <v>23.5</v>
      </c>
      <c r="BB35" s="36">
        <f t="shared" si="21"/>
        <v>-12</v>
      </c>
      <c r="BC35" s="36">
        <f t="shared" si="22"/>
        <v>12</v>
      </c>
      <c r="BD35" s="43">
        <f t="shared" si="23"/>
        <v>0.33333333333333331</v>
      </c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</row>
    <row r="36" spans="1:80" s="2" customFormat="1" ht="19.5" customHeight="1" x14ac:dyDescent="0.25">
      <c r="A36" s="238" t="s">
        <v>40</v>
      </c>
      <c r="B36" s="238"/>
      <c r="C36" s="239">
        <v>5.22</v>
      </c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114"/>
      <c r="P36" s="114"/>
      <c r="Q36" s="117"/>
      <c r="R36" s="85" t="s">
        <v>154</v>
      </c>
      <c r="S36" s="240">
        <v>0.91666666666666663</v>
      </c>
      <c r="T36" s="240"/>
      <c r="U36" s="118" t="s">
        <v>11</v>
      </c>
      <c r="V36" s="241">
        <v>0.25</v>
      </c>
      <c r="W36" s="241"/>
      <c r="X36" s="115"/>
      <c r="Y36" s="120"/>
      <c r="Z36" s="121"/>
      <c r="AA36" s="121"/>
      <c r="AB36" s="120"/>
      <c r="AC36" s="121"/>
      <c r="AD36" s="121"/>
      <c r="AE36" s="115"/>
      <c r="AF36" s="115"/>
      <c r="AG36" s="115"/>
      <c r="AH36" s="115"/>
      <c r="AI36" s="115"/>
      <c r="AJ36" s="115"/>
      <c r="AK36" s="217">
        <f>AH93</f>
        <v>176</v>
      </c>
      <c r="AL36" s="214" t="s">
        <v>141</v>
      </c>
      <c r="AM36" s="9"/>
      <c r="AN36" s="35">
        <f t="shared" si="7"/>
        <v>0.33333333333333331</v>
      </c>
      <c r="AO36" s="35">
        <f t="shared" si="8"/>
        <v>23.333333333333332</v>
      </c>
      <c r="AP36" s="36">
        <f t="shared" si="9"/>
        <v>22</v>
      </c>
      <c r="AQ36" s="36">
        <f t="shared" si="10"/>
        <v>6</v>
      </c>
      <c r="AR36" s="36">
        <f t="shared" si="11"/>
        <v>8</v>
      </c>
      <c r="AS36" s="37">
        <f t="shared" si="12"/>
        <v>8</v>
      </c>
      <c r="AT36" s="38">
        <f t="shared" si="13"/>
        <v>8</v>
      </c>
      <c r="AU36" s="39">
        <f t="shared" si="14"/>
        <v>8</v>
      </c>
      <c r="AV36" s="36">
        <f t="shared" si="15"/>
        <v>8</v>
      </c>
      <c r="AW36" s="36">
        <f t="shared" si="16"/>
        <v>8</v>
      </c>
      <c r="AX36" s="41">
        <f t="shared" si="17"/>
        <v>0</v>
      </c>
      <c r="AY36" s="36">
        <f t="shared" si="18"/>
        <v>8</v>
      </c>
      <c r="AZ36" s="36">
        <f t="shared" si="19"/>
        <v>-16</v>
      </c>
      <c r="BA36" s="36">
        <f t="shared" si="20"/>
        <v>23.333333333333332</v>
      </c>
      <c r="BB36" s="36">
        <f t="shared" si="21"/>
        <v>-16.000000000000028</v>
      </c>
      <c r="BC36" s="36">
        <f t="shared" si="22"/>
        <v>7.9999999999999716</v>
      </c>
      <c r="BD36" s="43">
        <f t="shared" si="23"/>
        <v>0.33333333333333331</v>
      </c>
      <c r="BE36" s="1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</row>
    <row r="37" spans="1:80" s="2" customFormat="1" ht="19.5" customHeight="1" x14ac:dyDescent="0.25">
      <c r="A37" s="238" t="s">
        <v>41</v>
      </c>
      <c r="B37" s="238"/>
      <c r="C37" s="239">
        <v>162</v>
      </c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116"/>
      <c r="P37" s="116"/>
      <c r="Q37" s="117"/>
      <c r="R37" s="85" t="str">
        <f>CONTROL!F40</f>
        <v>F</v>
      </c>
      <c r="S37" s="240">
        <f>CONTROL!G40</f>
        <v>0.20833333333333334</v>
      </c>
      <c r="T37" s="240"/>
      <c r="U37" s="118" t="s">
        <v>11</v>
      </c>
      <c r="V37" s="241">
        <f>CONTROL!H40</f>
        <v>0.25</v>
      </c>
      <c r="W37" s="241"/>
      <c r="X37" s="115"/>
      <c r="Y37" s="120"/>
      <c r="Z37" s="121"/>
      <c r="AA37" s="121"/>
      <c r="AB37" s="120"/>
      <c r="AC37" s="121"/>
      <c r="AD37" s="121"/>
      <c r="AE37" s="115"/>
      <c r="AF37" s="115"/>
      <c r="AG37" s="115"/>
      <c r="AH37" s="115"/>
      <c r="AI37" s="115"/>
      <c r="AJ37" s="116"/>
      <c r="AK37" s="217">
        <f>AH104</f>
        <v>0</v>
      </c>
      <c r="AL37" s="214" t="s">
        <v>142</v>
      </c>
      <c r="AM37" s="9"/>
      <c r="AN37" s="35">
        <f t="shared" si="7"/>
        <v>4.1666666666666664E-2</v>
      </c>
      <c r="AO37" s="35">
        <f t="shared" si="8"/>
        <v>4.1666666666666657E-2</v>
      </c>
      <c r="AP37" s="36">
        <f t="shared" si="9"/>
        <v>5</v>
      </c>
      <c r="AQ37" s="36">
        <f t="shared" si="10"/>
        <v>6</v>
      </c>
      <c r="AR37" s="36">
        <f t="shared" si="11"/>
        <v>1</v>
      </c>
      <c r="AS37" s="37">
        <f t="shared" si="12"/>
        <v>1</v>
      </c>
      <c r="AT37" s="38">
        <f t="shared" si="13"/>
        <v>1</v>
      </c>
      <c r="AU37" s="39">
        <f t="shared" si="14"/>
        <v>1</v>
      </c>
      <c r="AV37" s="36">
        <f t="shared" si="15"/>
        <v>1</v>
      </c>
      <c r="AW37" s="36">
        <f t="shared" si="16"/>
        <v>9</v>
      </c>
      <c r="AX37" s="41">
        <f t="shared" si="17"/>
        <v>-1</v>
      </c>
      <c r="AY37" s="36">
        <f t="shared" si="18"/>
        <v>25</v>
      </c>
      <c r="AZ37" s="36">
        <f t="shared" si="19"/>
        <v>-15</v>
      </c>
      <c r="BA37" s="36">
        <f t="shared" si="20"/>
        <v>4.1666666666666657E-2</v>
      </c>
      <c r="BB37" s="36">
        <f t="shared" si="21"/>
        <v>0.99999999999999978</v>
      </c>
      <c r="BC37" s="36">
        <f t="shared" si="22"/>
        <v>0.99999999999999978</v>
      </c>
      <c r="BD37" s="43">
        <f t="shared" si="23"/>
        <v>4.1666666666666664E-2</v>
      </c>
      <c r="BE37" s="1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</row>
    <row r="38" spans="1:80" s="2" customFormat="1" ht="20.100000000000001" customHeight="1" x14ac:dyDescent="0.25">
      <c r="A38" s="238" t="s">
        <v>42</v>
      </c>
      <c r="B38" s="238"/>
      <c r="C38" s="239">
        <v>0</v>
      </c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122"/>
      <c r="P38" s="122"/>
      <c r="Q38" s="115"/>
      <c r="R38" s="197" t="str">
        <f>CONTROL!F41</f>
        <v>G</v>
      </c>
      <c r="S38" s="222">
        <f>CONTROL!G41</f>
        <v>0.29166666666666669</v>
      </c>
      <c r="T38" s="222"/>
      <c r="U38" s="118" t="s">
        <v>11</v>
      </c>
      <c r="V38" s="223">
        <f>CONTROL!H41</f>
        <v>0.33333333333333331</v>
      </c>
      <c r="W38" s="223"/>
      <c r="X38" s="115"/>
      <c r="Y38" s="120"/>
      <c r="Z38" s="121"/>
      <c r="AA38" s="121"/>
      <c r="AB38" s="120"/>
      <c r="AC38" s="121"/>
      <c r="AD38" s="121"/>
      <c r="AE38" s="116"/>
      <c r="AF38" s="116"/>
      <c r="AG38" s="116"/>
      <c r="AH38" s="116"/>
      <c r="AI38" s="116"/>
      <c r="AJ38" s="114"/>
      <c r="AK38" s="217">
        <f>AH115</f>
        <v>96</v>
      </c>
      <c r="AL38" s="214" t="s">
        <v>143</v>
      </c>
      <c r="AN38" s="35">
        <f t="shared" si="7"/>
        <v>0</v>
      </c>
      <c r="AO38" s="35">
        <f t="shared" si="8"/>
        <v>4.166666666666663E-2</v>
      </c>
      <c r="AP38" s="36">
        <f t="shared" si="9"/>
        <v>7</v>
      </c>
      <c r="AQ38" s="36">
        <f t="shared" si="10"/>
        <v>8</v>
      </c>
      <c r="AR38" s="36">
        <f t="shared" si="11"/>
        <v>0</v>
      </c>
      <c r="AS38" s="37">
        <f t="shared" si="12"/>
        <v>0</v>
      </c>
      <c r="AT38" s="38">
        <f t="shared" si="13"/>
        <v>0</v>
      </c>
      <c r="AU38" s="39">
        <f t="shared" si="14"/>
        <v>0</v>
      </c>
      <c r="AV38" s="36">
        <f t="shared" si="15"/>
        <v>-1</v>
      </c>
      <c r="AW38" s="36">
        <f t="shared" si="16"/>
        <v>10</v>
      </c>
      <c r="AX38" s="41">
        <f t="shared" si="17"/>
        <v>-1</v>
      </c>
      <c r="AY38" s="36">
        <f t="shared" si="18"/>
        <v>23</v>
      </c>
      <c r="AZ38" s="36">
        <f t="shared" si="19"/>
        <v>-14</v>
      </c>
      <c r="BA38" s="36">
        <f t="shared" si="20"/>
        <v>4.166666666666663E-2</v>
      </c>
      <c r="BB38" s="36">
        <f t="shared" si="21"/>
        <v>0.99999999999999911</v>
      </c>
      <c r="BC38" s="36">
        <f t="shared" si="22"/>
        <v>0.99999999999999911</v>
      </c>
      <c r="BD38" s="43">
        <f t="shared" si="23"/>
        <v>0</v>
      </c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</row>
    <row r="39" spans="1:80" s="2" customFormat="1" ht="20.100000000000001" customHeight="1" x14ac:dyDescent="0.25">
      <c r="A39" s="123"/>
      <c r="B39" s="116"/>
      <c r="C39" s="124"/>
      <c r="D39" s="116"/>
      <c r="E39" s="116"/>
      <c r="F39" s="116"/>
      <c r="G39" s="116"/>
      <c r="H39" s="116"/>
      <c r="I39" s="116"/>
      <c r="J39" s="116"/>
      <c r="K39" s="116"/>
      <c r="L39" s="122"/>
      <c r="M39" s="122"/>
      <c r="N39" s="125"/>
      <c r="O39" s="122"/>
      <c r="P39" s="122"/>
      <c r="Q39" s="115"/>
      <c r="R39" s="197" t="str">
        <f>CONTROL!F42</f>
        <v>H</v>
      </c>
      <c r="S39" s="222">
        <f>CONTROL!G42</f>
        <v>0.33333333333333331</v>
      </c>
      <c r="T39" s="222"/>
      <c r="U39" s="118" t="s">
        <v>11</v>
      </c>
      <c r="V39" s="223">
        <f>CONTROL!H42</f>
        <v>0.375</v>
      </c>
      <c r="W39" s="223"/>
      <c r="X39" s="115"/>
      <c r="Y39" s="120"/>
      <c r="Z39" s="121"/>
      <c r="AA39" s="121"/>
      <c r="AB39" s="120"/>
      <c r="AC39" s="121"/>
      <c r="AD39" s="121"/>
      <c r="AE39" s="116"/>
      <c r="AF39" s="116"/>
      <c r="AG39" s="116"/>
      <c r="AH39" s="116"/>
      <c r="AI39" s="116"/>
      <c r="AJ39" s="114"/>
      <c r="AK39" s="217">
        <f>AH126</f>
        <v>72</v>
      </c>
      <c r="AL39" s="214" t="s">
        <v>144</v>
      </c>
      <c r="AN39" s="35">
        <f t="shared" si="7"/>
        <v>0</v>
      </c>
      <c r="AO39" s="35">
        <f t="shared" si="8"/>
        <v>4.1666666666666685E-2</v>
      </c>
      <c r="AP39" s="36">
        <f t="shared" si="9"/>
        <v>8</v>
      </c>
      <c r="AQ39" s="36">
        <f t="shared" si="10"/>
        <v>9</v>
      </c>
      <c r="AR39" s="36">
        <f t="shared" si="11"/>
        <v>0</v>
      </c>
      <c r="AS39" s="37">
        <f t="shared" si="12"/>
        <v>0</v>
      </c>
      <c r="AT39" s="38">
        <f t="shared" si="13"/>
        <v>0</v>
      </c>
      <c r="AU39" s="39">
        <f t="shared" si="14"/>
        <v>0</v>
      </c>
      <c r="AV39" s="36">
        <f t="shared" si="15"/>
        <v>-1</v>
      </c>
      <c r="AW39" s="36">
        <f t="shared" si="16"/>
        <v>11</v>
      </c>
      <c r="AX39" s="41">
        <f t="shared" si="17"/>
        <v>-1</v>
      </c>
      <c r="AY39" s="36">
        <f t="shared" si="18"/>
        <v>22</v>
      </c>
      <c r="AZ39" s="36">
        <f t="shared" si="19"/>
        <v>-13</v>
      </c>
      <c r="BA39" s="36">
        <f t="shared" si="20"/>
        <v>4.1666666666666685E-2</v>
      </c>
      <c r="BB39" s="36">
        <f t="shared" si="21"/>
        <v>1.0000000000000004</v>
      </c>
      <c r="BC39" s="36">
        <f t="shared" si="22"/>
        <v>1.0000000000000004</v>
      </c>
      <c r="BD39" s="43">
        <f t="shared" si="23"/>
        <v>0</v>
      </c>
      <c r="BE39" s="31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</row>
    <row r="40" spans="1:80" s="2" customFormat="1" ht="20.100000000000001" customHeight="1" x14ac:dyDescent="0.25">
      <c r="A40" s="123"/>
      <c r="B40" s="116"/>
      <c r="C40" s="124"/>
      <c r="D40" s="116"/>
      <c r="E40" s="116"/>
      <c r="F40" s="116"/>
      <c r="G40" s="116"/>
      <c r="H40" s="116"/>
      <c r="I40" s="116"/>
      <c r="J40" s="116"/>
      <c r="K40" s="116"/>
      <c r="L40" s="122"/>
      <c r="M40" s="122"/>
      <c r="N40" s="125"/>
      <c r="O40" s="122"/>
      <c r="P40" s="122"/>
      <c r="Q40" s="115"/>
      <c r="R40" s="197" t="str">
        <f>CONTROL!F43</f>
        <v>I</v>
      </c>
      <c r="S40" s="222">
        <f>CONTROL!G43</f>
        <v>0.41666666666666669</v>
      </c>
      <c r="T40" s="222"/>
      <c r="U40" s="118" t="s">
        <v>11</v>
      </c>
      <c r="V40" s="223">
        <f>CONTROL!H43</f>
        <v>0.45833333333333331</v>
      </c>
      <c r="W40" s="223"/>
      <c r="X40" s="115"/>
      <c r="Y40" s="120"/>
      <c r="Z40" s="121"/>
      <c r="AA40" s="121"/>
      <c r="AB40" s="120"/>
      <c r="AC40" s="121"/>
      <c r="AD40" s="121"/>
      <c r="AE40" s="116"/>
      <c r="AF40" s="116"/>
      <c r="AG40" s="116"/>
      <c r="AH40" s="116"/>
      <c r="AI40" s="116"/>
      <c r="AJ40" s="114"/>
      <c r="AK40" s="217">
        <f>AH137</f>
        <v>136</v>
      </c>
      <c r="AL40" s="214" t="s">
        <v>145</v>
      </c>
      <c r="AN40" s="35">
        <f t="shared" si="7"/>
        <v>0</v>
      </c>
      <c r="AO40" s="35">
        <f t="shared" si="8"/>
        <v>4.166666666666663E-2</v>
      </c>
      <c r="AP40" s="36">
        <f>S40*24+24</f>
        <v>34</v>
      </c>
      <c r="AQ40" s="36">
        <f t="shared" si="10"/>
        <v>11</v>
      </c>
      <c r="AR40" s="36">
        <f t="shared" si="11"/>
        <v>0</v>
      </c>
      <c r="AS40" s="37">
        <f t="shared" si="12"/>
        <v>0</v>
      </c>
      <c r="AT40" s="38">
        <f t="shared" si="13"/>
        <v>0</v>
      </c>
      <c r="AU40" s="39">
        <f t="shared" si="14"/>
        <v>0</v>
      </c>
      <c r="AV40" s="36">
        <f t="shared" si="15"/>
        <v>-4</v>
      </c>
      <c r="AW40" s="36">
        <f t="shared" si="16"/>
        <v>-4</v>
      </c>
      <c r="AX40" s="41">
        <f t="shared" si="17"/>
        <v>0</v>
      </c>
      <c r="AY40" s="36">
        <f t="shared" si="18"/>
        <v>-4</v>
      </c>
      <c r="AZ40" s="36">
        <f t="shared" si="19"/>
        <v>-23</v>
      </c>
      <c r="BA40" s="36">
        <f t="shared" si="20"/>
        <v>4.166666666666663E-2</v>
      </c>
      <c r="BB40" s="36">
        <f t="shared" si="21"/>
        <v>0.99999999999999911</v>
      </c>
      <c r="BC40" s="36">
        <f t="shared" si="22"/>
        <v>0.99999999999999911</v>
      </c>
      <c r="BD40" s="43">
        <f t="shared" si="23"/>
        <v>0</v>
      </c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</row>
    <row r="41" spans="1:80" s="2" customFormat="1" ht="20.100000000000001" customHeight="1" x14ac:dyDescent="0.25">
      <c r="A41" s="123"/>
      <c r="B41" s="116"/>
      <c r="C41" s="124"/>
      <c r="D41" s="116"/>
      <c r="E41" s="116"/>
      <c r="F41" s="116"/>
      <c r="G41" s="116"/>
      <c r="H41" s="116"/>
      <c r="I41" s="116"/>
      <c r="J41" s="116"/>
      <c r="K41" s="116"/>
      <c r="L41" s="122"/>
      <c r="M41" s="122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6"/>
      <c r="AB41" s="116"/>
      <c r="AC41" s="116"/>
      <c r="AD41" s="116"/>
      <c r="AE41" s="116"/>
      <c r="AF41" s="116"/>
      <c r="AG41" s="116"/>
      <c r="AH41" s="116"/>
      <c r="AI41" s="116"/>
      <c r="AJ41" s="114"/>
      <c r="AK41" s="217">
        <f>AH148</f>
        <v>0</v>
      </c>
      <c r="AL41" s="214" t="s">
        <v>146</v>
      </c>
      <c r="AN41" s="10"/>
      <c r="AO41" s="10"/>
      <c r="AP41" s="46">
        <f>S41*24</f>
        <v>0</v>
      </c>
      <c r="AQ41" s="10"/>
      <c r="AR41" s="47">
        <v>1</v>
      </c>
      <c r="AS41" s="47">
        <v>2</v>
      </c>
      <c r="AT41" s="47">
        <v>3</v>
      </c>
      <c r="AU41" s="47">
        <v>4</v>
      </c>
      <c r="AV41" s="47">
        <v>5</v>
      </c>
      <c r="AW41" s="47">
        <v>6</v>
      </c>
      <c r="AX41" s="47">
        <v>7</v>
      </c>
      <c r="AY41" s="47">
        <v>8</v>
      </c>
      <c r="AZ41" s="47">
        <v>9</v>
      </c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</row>
    <row r="42" spans="1:80" ht="20.100000000000001" customHeight="1" x14ac:dyDescent="0.25">
      <c r="A42" s="116"/>
      <c r="B42" s="126"/>
      <c r="C42" s="224" t="s">
        <v>43</v>
      </c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5" t="str">
        <f>CONTROL!B38</f>
        <v>OSCAR ORGEIRA © 20.03.00 EXCEL</v>
      </c>
      <c r="X42" s="225"/>
      <c r="Y42" s="225"/>
      <c r="Z42" s="225"/>
      <c r="AA42" s="225"/>
      <c r="AB42" s="225"/>
      <c r="AC42" s="225"/>
      <c r="AD42" s="225"/>
      <c r="AE42" s="225"/>
      <c r="AF42" s="225"/>
      <c r="AG42" s="225"/>
      <c r="AH42" s="225"/>
      <c r="AI42" s="127"/>
      <c r="AJ42" s="116"/>
      <c r="AK42" s="218">
        <f>AH159</f>
        <v>0</v>
      </c>
      <c r="AL42" s="215" t="s">
        <v>147</v>
      </c>
      <c r="BE42" s="10"/>
    </row>
    <row r="43" spans="1:80" ht="20.100000000000001" customHeight="1" x14ac:dyDescent="0.25">
      <c r="A43" s="116"/>
      <c r="B43" s="116"/>
      <c r="C43" s="234" t="s">
        <v>44</v>
      </c>
      <c r="D43" s="234"/>
      <c r="E43" s="235" t="s">
        <v>45</v>
      </c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  <c r="AA43" s="235"/>
      <c r="AB43" s="235"/>
      <c r="AC43" s="235"/>
      <c r="AD43" s="235"/>
      <c r="AE43" s="235"/>
      <c r="AF43" s="235"/>
      <c r="AG43" s="235"/>
      <c r="AH43" s="235"/>
      <c r="AI43" s="235"/>
      <c r="AJ43" s="116"/>
      <c r="AK43" s="218">
        <f>AH170</f>
        <v>0</v>
      </c>
      <c r="AL43" s="215" t="s">
        <v>148</v>
      </c>
      <c r="BE43" s="10"/>
    </row>
    <row r="44" spans="1:80" s="2" customFormat="1" ht="15.95" hidden="1" customHeight="1" x14ac:dyDescent="0.25">
      <c r="A44" s="123"/>
      <c r="B44" s="114"/>
      <c r="C44" s="128"/>
      <c r="D44" s="114"/>
      <c r="E44" s="114"/>
      <c r="F44" s="114"/>
      <c r="G44" s="114"/>
      <c r="H44" s="114"/>
      <c r="I44" s="114"/>
      <c r="J44" s="114"/>
      <c r="K44" s="114"/>
      <c r="L44" s="125"/>
      <c r="M44" s="125"/>
      <c r="N44" s="125"/>
      <c r="O44" s="125"/>
      <c r="P44" s="125"/>
      <c r="Q44" s="125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N44" s="10"/>
      <c r="AO44" s="10"/>
      <c r="AP44" s="10"/>
      <c r="AQ44" s="10"/>
      <c r="AR44" s="47"/>
      <c r="AS44" s="47"/>
      <c r="AT44" s="47"/>
      <c r="AU44" s="47"/>
      <c r="AV44" s="47"/>
      <c r="AW44" s="47"/>
      <c r="AX44" s="47"/>
      <c r="AY44" s="47"/>
      <c r="AZ44" s="47"/>
      <c r="BA44" s="10"/>
      <c r="BB44" s="10"/>
      <c r="BC44" s="10"/>
      <c r="BD44" s="10"/>
      <c r="BE44" s="48" t="str">
        <f>INDEX({"do";"lu";"ma";"mi";"ju";"vi";"sa"},1+MOD($AR$47+4-2,7))</f>
        <v>ju</v>
      </c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</row>
    <row r="45" spans="1:80" ht="15.95" hidden="1" customHeight="1" x14ac:dyDescent="0.25">
      <c r="A45" s="129"/>
      <c r="B45" s="130" t="s">
        <v>46</v>
      </c>
      <c r="C45" s="131">
        <f t="shared" ref="C45:AH45" si="25">IF(C7="S",IF(C7="",0,1),IF(C7="D",IF(C7="",0,1),""))</f>
        <v>1</v>
      </c>
      <c r="D45" s="131" t="str">
        <f t="shared" si="25"/>
        <v/>
      </c>
      <c r="E45" s="131" t="str">
        <f t="shared" si="25"/>
        <v/>
      </c>
      <c r="F45" s="131" t="str">
        <f t="shared" si="25"/>
        <v/>
      </c>
      <c r="G45" s="131" t="str">
        <f t="shared" si="25"/>
        <v/>
      </c>
      <c r="H45" s="131" t="str">
        <f t="shared" si="25"/>
        <v/>
      </c>
      <c r="I45" s="131">
        <f t="shared" si="25"/>
        <v>1</v>
      </c>
      <c r="J45" s="131">
        <f t="shared" si="25"/>
        <v>1</v>
      </c>
      <c r="K45" s="131" t="str">
        <f t="shared" si="25"/>
        <v/>
      </c>
      <c r="L45" s="131" t="str">
        <f t="shared" si="25"/>
        <v/>
      </c>
      <c r="M45" s="131" t="str">
        <f t="shared" si="25"/>
        <v/>
      </c>
      <c r="N45" s="131" t="str">
        <f t="shared" si="25"/>
        <v/>
      </c>
      <c r="O45" s="131" t="str">
        <f t="shared" si="25"/>
        <v/>
      </c>
      <c r="P45" s="131">
        <f t="shared" si="25"/>
        <v>1</v>
      </c>
      <c r="Q45" s="131">
        <f t="shared" si="25"/>
        <v>1</v>
      </c>
      <c r="R45" s="131" t="str">
        <f t="shared" si="25"/>
        <v/>
      </c>
      <c r="S45" s="131" t="str">
        <f t="shared" si="25"/>
        <v/>
      </c>
      <c r="T45" s="131" t="str">
        <f t="shared" si="25"/>
        <v/>
      </c>
      <c r="U45" s="131" t="str">
        <f t="shared" si="25"/>
        <v/>
      </c>
      <c r="V45" s="131" t="str">
        <f t="shared" si="25"/>
        <v/>
      </c>
      <c r="W45" s="131">
        <f t="shared" si="25"/>
        <v>1</v>
      </c>
      <c r="X45" s="131">
        <f t="shared" si="25"/>
        <v>1</v>
      </c>
      <c r="Y45" s="131" t="str">
        <f t="shared" si="25"/>
        <v/>
      </c>
      <c r="Z45" s="131" t="str">
        <f t="shared" si="25"/>
        <v/>
      </c>
      <c r="AA45" s="131" t="str">
        <f t="shared" si="25"/>
        <v/>
      </c>
      <c r="AB45" s="131" t="str">
        <f t="shared" si="25"/>
        <v/>
      </c>
      <c r="AC45" s="131" t="str">
        <f t="shared" si="25"/>
        <v/>
      </c>
      <c r="AD45" s="131">
        <f t="shared" si="25"/>
        <v>1</v>
      </c>
      <c r="AE45" s="131">
        <f t="shared" si="25"/>
        <v>1</v>
      </c>
      <c r="AF45" s="131" t="str">
        <f t="shared" si="25"/>
        <v/>
      </c>
      <c r="AG45" s="131" t="str">
        <f t="shared" si="25"/>
        <v/>
      </c>
      <c r="AH45" s="132" t="str">
        <f t="shared" si="25"/>
        <v/>
      </c>
      <c r="AI45" s="236" t="s">
        <v>8</v>
      </c>
      <c r="AJ45" s="236"/>
      <c r="AK45" s="133"/>
      <c r="AL45" s="133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49" t="str">
        <f>IF(MONTH($Q$4)&lt;&gt;MONTH($Q$4-(WEEKDAY($Q$4,1)-($AR$47-1))-IF((WEEKDAY($Q$4,1)-($AR$47-1))&lt;=0,7,0)+(ROW(BE45)-ROW($AN$51))*7+(COLUMN(BE45)-COLUMN($AN$51)+1)),"",$Q$4-(WEEKDAY($Q$4,1)-($AR$47-1))-IF((WEEKDAY($Q$4,1)-($AR$47-1))&lt;=0,7,0)+(ROW(BE45)-ROW($AN$51))*7+(COLUMN(BE45)-COLUMN($AN$51)+1))</f>
        <v/>
      </c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</row>
    <row r="46" spans="1:80" s="2" customFormat="1" ht="15.95" hidden="1" customHeight="1" x14ac:dyDescent="0.25">
      <c r="A46" s="134" t="s">
        <v>47</v>
      </c>
      <c r="B46" s="134" t="s">
        <v>48</v>
      </c>
      <c r="C46" s="135">
        <f t="shared" ref="C46:AG46" si="26">IF(C6="X",IF(C6="",0,1),IF(C45=1,IF(C45="",0,1),""))</f>
        <v>1</v>
      </c>
      <c r="D46" s="135" t="str">
        <f t="shared" si="26"/>
        <v/>
      </c>
      <c r="E46" s="135" t="str">
        <f t="shared" si="26"/>
        <v/>
      </c>
      <c r="F46" s="135" t="str">
        <f t="shared" si="26"/>
        <v/>
      </c>
      <c r="G46" s="135" t="str">
        <f t="shared" si="26"/>
        <v/>
      </c>
      <c r="H46" s="135" t="str">
        <f t="shared" si="26"/>
        <v/>
      </c>
      <c r="I46" s="135">
        <f t="shared" si="26"/>
        <v>1</v>
      </c>
      <c r="J46" s="135">
        <f t="shared" si="26"/>
        <v>1</v>
      </c>
      <c r="K46" s="135" t="str">
        <f t="shared" si="26"/>
        <v/>
      </c>
      <c r="L46" s="135" t="str">
        <f t="shared" si="26"/>
        <v/>
      </c>
      <c r="M46" s="135" t="str">
        <f t="shared" si="26"/>
        <v/>
      </c>
      <c r="N46" s="135" t="str">
        <f t="shared" si="26"/>
        <v/>
      </c>
      <c r="O46" s="135" t="str">
        <f t="shared" si="26"/>
        <v/>
      </c>
      <c r="P46" s="135">
        <f t="shared" si="26"/>
        <v>1</v>
      </c>
      <c r="Q46" s="135">
        <f t="shared" si="26"/>
        <v>1</v>
      </c>
      <c r="R46" s="135" t="str">
        <f t="shared" si="26"/>
        <v/>
      </c>
      <c r="S46" s="135" t="str">
        <f t="shared" si="26"/>
        <v/>
      </c>
      <c r="T46" s="135" t="str">
        <f t="shared" si="26"/>
        <v/>
      </c>
      <c r="U46" s="135" t="str">
        <f t="shared" si="26"/>
        <v/>
      </c>
      <c r="V46" s="135" t="str">
        <f t="shared" si="26"/>
        <v/>
      </c>
      <c r="W46" s="135">
        <f t="shared" si="26"/>
        <v>1</v>
      </c>
      <c r="X46" s="135">
        <f t="shared" si="26"/>
        <v>1</v>
      </c>
      <c r="Y46" s="135" t="str">
        <f t="shared" si="26"/>
        <v/>
      </c>
      <c r="Z46" s="135" t="str">
        <f t="shared" si="26"/>
        <v/>
      </c>
      <c r="AA46" s="135" t="str">
        <f t="shared" si="26"/>
        <v/>
      </c>
      <c r="AB46" s="135" t="str">
        <f t="shared" si="26"/>
        <v/>
      </c>
      <c r="AC46" s="135" t="str">
        <f t="shared" si="26"/>
        <v/>
      </c>
      <c r="AD46" s="135">
        <f t="shared" si="26"/>
        <v>1</v>
      </c>
      <c r="AE46" s="132">
        <f t="shared" si="26"/>
        <v>1</v>
      </c>
      <c r="AF46" s="132" t="str">
        <f t="shared" si="26"/>
        <v/>
      </c>
      <c r="AG46" s="132" t="str">
        <f t="shared" si="26"/>
        <v/>
      </c>
      <c r="AH46" s="136" t="b">
        <f>IF(AH6="X",IF(AH6="",0,1))</f>
        <v>0</v>
      </c>
      <c r="AI46" s="231">
        <f>(AH32-AH33)*AL46</f>
        <v>4.5</v>
      </c>
      <c r="AJ46" s="231"/>
      <c r="AK46" s="137" t="s">
        <v>49</v>
      </c>
      <c r="AL46" s="138">
        <f>SUM(C46:AG46)</f>
        <v>9</v>
      </c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</row>
    <row r="47" spans="1:80" s="2" customFormat="1" ht="15.95" hidden="1" customHeight="1" x14ac:dyDescent="0.3">
      <c r="A47" s="139" t="s">
        <v>50</v>
      </c>
      <c r="B47" s="140" t="s">
        <v>29</v>
      </c>
      <c r="C47" s="141" t="str">
        <f t="shared" ref="C47:AG47" si="27">IF(C9=$R32,$S32*24,IF(C9=$R33,$S33*24,IF(C9=$R34,$S34*24,IF(C9=$R35,$S35*24,IF(C9=$R36,$S36*24,IF(C9=$R37,$S37*24,IF(C9=$R38,$S38*24,IF(C9=$R39,$S39*24,IF(C9=$R40,$S40*24,"")))))))))</f>
        <v/>
      </c>
      <c r="D47" s="141">
        <f t="shared" si="27"/>
        <v>19</v>
      </c>
      <c r="E47" s="141">
        <f t="shared" si="27"/>
        <v>19</v>
      </c>
      <c r="F47" s="141">
        <f t="shared" si="27"/>
        <v>18</v>
      </c>
      <c r="G47" s="141" t="str">
        <f t="shared" si="27"/>
        <v/>
      </c>
      <c r="H47" s="141" t="str">
        <f t="shared" si="27"/>
        <v/>
      </c>
      <c r="I47" s="141" t="str">
        <f t="shared" si="27"/>
        <v/>
      </c>
      <c r="J47" s="141" t="str">
        <f t="shared" si="27"/>
        <v/>
      </c>
      <c r="K47" s="141">
        <f t="shared" si="27"/>
        <v>22</v>
      </c>
      <c r="L47" s="141">
        <f t="shared" si="27"/>
        <v>22</v>
      </c>
      <c r="M47" s="141">
        <f t="shared" si="27"/>
        <v>19</v>
      </c>
      <c r="N47" s="141">
        <f t="shared" si="27"/>
        <v>19</v>
      </c>
      <c r="O47" s="141" t="str">
        <f t="shared" si="27"/>
        <v/>
      </c>
      <c r="P47" s="141" t="str">
        <f t="shared" si="27"/>
        <v/>
      </c>
      <c r="Q47" s="141" t="str">
        <f t="shared" si="27"/>
        <v/>
      </c>
      <c r="R47" s="141">
        <f t="shared" si="27"/>
        <v>19</v>
      </c>
      <c r="S47" s="141">
        <f t="shared" si="27"/>
        <v>19</v>
      </c>
      <c r="T47" s="141" t="str">
        <f t="shared" si="27"/>
        <v/>
      </c>
      <c r="U47" s="141">
        <f t="shared" si="27"/>
        <v>22</v>
      </c>
      <c r="V47" s="141">
        <f t="shared" si="27"/>
        <v>19</v>
      </c>
      <c r="W47" s="141">
        <f t="shared" si="27"/>
        <v>19</v>
      </c>
      <c r="X47" s="141">
        <f t="shared" si="27"/>
        <v>19</v>
      </c>
      <c r="Y47" s="141">
        <f t="shared" si="27"/>
        <v>18</v>
      </c>
      <c r="Z47" s="141" t="str">
        <f t="shared" si="27"/>
        <v/>
      </c>
      <c r="AA47" s="141">
        <f t="shared" si="27"/>
        <v>19</v>
      </c>
      <c r="AB47" s="141">
        <f t="shared" si="27"/>
        <v>19</v>
      </c>
      <c r="AC47" s="141" t="str">
        <f t="shared" si="27"/>
        <v/>
      </c>
      <c r="AD47" s="141" t="str">
        <f t="shared" si="27"/>
        <v/>
      </c>
      <c r="AE47" s="141" t="str">
        <f t="shared" si="27"/>
        <v/>
      </c>
      <c r="AF47" s="141">
        <f t="shared" si="27"/>
        <v>19</v>
      </c>
      <c r="AG47" s="141">
        <f t="shared" si="27"/>
        <v>19</v>
      </c>
      <c r="AH47" s="142" t="s">
        <v>12</v>
      </c>
      <c r="AI47" s="231">
        <f>(CA59-AH46)*AH33</f>
        <v>0</v>
      </c>
      <c r="AJ47" s="231"/>
      <c r="AK47" s="137" t="s">
        <v>51</v>
      </c>
      <c r="AL47" s="137"/>
      <c r="AN47" s="237" t="s">
        <v>52</v>
      </c>
      <c r="AO47" s="237"/>
      <c r="AP47" s="10"/>
      <c r="AQ47" s="50" t="s">
        <v>53</v>
      </c>
      <c r="AR47" s="46">
        <v>2</v>
      </c>
      <c r="AS47" s="51">
        <v>1</v>
      </c>
      <c r="AT47" s="52" t="str">
        <f>IF(AN53="lu","LUNES",IF(AN53="ma","MARTES",IF(AN53="mi","MIERCOLES",IF(AN53="ju","JUEVES",IF(AN53="vi","VIERNES",IF(AN53="sa","SABADO",IF(AN53="do","DOMINGO",IF(AO53="lu","LUNES",IF(AO53="ma","MARTES",IF(AO53="mi","MIERCOLES",IF(AO53="ju","JUEVES",IF(AO53="vi","VIERNES",IF(AO53="sa","SABADO",IF(AO53="do","DOMINGO",IF(AP53="lu","LUNES",IF(AP53="ma","MARTES",IF(AP53="mi","MIERCOLES",IF(AP53="ju","JUEVES",IF(AP53="vi","VIERNES",IF(AP53="sa","SABADO",IF(AP53="do","DOMINGO",IF(AQ53="lu","LUNES",IF(AQ53="ma","MARTES",IF(AQ53="mi","MIERCOLES",IF(AQ53="ju","JUEVES",IF(AQ53="vi","VIERNES",IF(AQ53="sa","SABADO",IF(AQ53="do","DOMINGO",IF(AR53="lu","LUNES",IF(AR53="ma","MARTES",IF(AR53="mi","MIERCOLES",IF(AR53="ju","JUEVES",IF(AR53="vi","VIERNES",IF(AR53="sa","SABADO",IF(AR53="do","DOMINGO","")))))))))))))))))))))))))))))))))))</f>
        <v/>
      </c>
      <c r="AU47" s="50" t="s">
        <v>54</v>
      </c>
      <c r="AV47" s="53" t="str">
        <f>IF(AT47="LUNES","LUNES",IF(AT47="MARTES","MARTES",IF(AT47="MIERCOLES","MIERCOLES",IF(AT47="JUEVES","JUEVES",IF(AT47="VIERNES","VIERNES",IF(AT47="SABADO","SABADO",IF(AT47="DOMINGO","DOMINGO",IF(AT48="LUNES","LUNES",IF(AT48="MARTES","MARTES",IF(AT48="MIERCOLES","MIERCOLES",IF(AT48="JUEVES","JUEVES",IF(AT48="VIERNES","VIERNES",IF(AT48="SABADO","SABADO",IF(AT48="DOMINGO","DOMINGO",""))))))))))))))</f>
        <v>DOMINGO</v>
      </c>
      <c r="AW47" s="51">
        <v>28</v>
      </c>
      <c r="AX47" s="46">
        <f>$AR$48+27</f>
        <v>46109</v>
      </c>
      <c r="AY47" s="51">
        <v>30</v>
      </c>
      <c r="AZ47" s="46">
        <f>$AR$48+29</f>
        <v>46111</v>
      </c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</row>
    <row r="48" spans="1:80" s="2" customFormat="1" ht="15.95" hidden="1" customHeight="1" x14ac:dyDescent="0.35">
      <c r="A48" s="143" t="s">
        <v>55</v>
      </c>
      <c r="B48" s="144" t="s">
        <v>30</v>
      </c>
      <c r="C48" s="141" t="str">
        <f t="shared" ref="C48:AG48" si="28">IF(C9=$R32,$V32*24,IF(C9=$R33,$V33*24,IF(C9=$R34,$V34*24,IF(C9=$R35,$V35*24,IF(C9=$R36,$V36*24,IF(C9=$R37,$V37*24,IF(C9=$R38,$V38*24,IF(C9=$R39,$V39*24,IF(C9=$R40,$V40*24,"")))))))))</f>
        <v/>
      </c>
      <c r="D48" s="141">
        <f t="shared" si="28"/>
        <v>7</v>
      </c>
      <c r="E48" s="141">
        <f t="shared" si="28"/>
        <v>7</v>
      </c>
      <c r="F48" s="141">
        <f t="shared" si="28"/>
        <v>6</v>
      </c>
      <c r="G48" s="141" t="str">
        <f t="shared" si="28"/>
        <v/>
      </c>
      <c r="H48" s="141" t="str">
        <f t="shared" si="28"/>
        <v/>
      </c>
      <c r="I48" s="141" t="str">
        <f t="shared" si="28"/>
        <v/>
      </c>
      <c r="J48" s="141" t="str">
        <f t="shared" si="28"/>
        <v/>
      </c>
      <c r="K48" s="141">
        <f t="shared" si="28"/>
        <v>6</v>
      </c>
      <c r="L48" s="141">
        <f t="shared" si="28"/>
        <v>6</v>
      </c>
      <c r="M48" s="141">
        <f t="shared" si="28"/>
        <v>7</v>
      </c>
      <c r="N48" s="141">
        <f t="shared" si="28"/>
        <v>7</v>
      </c>
      <c r="O48" s="141" t="str">
        <f t="shared" si="28"/>
        <v/>
      </c>
      <c r="P48" s="141" t="str">
        <f t="shared" si="28"/>
        <v/>
      </c>
      <c r="Q48" s="141" t="str">
        <f t="shared" si="28"/>
        <v/>
      </c>
      <c r="R48" s="141">
        <f t="shared" si="28"/>
        <v>7</v>
      </c>
      <c r="S48" s="141">
        <f t="shared" si="28"/>
        <v>7</v>
      </c>
      <c r="T48" s="141" t="str">
        <f t="shared" si="28"/>
        <v/>
      </c>
      <c r="U48" s="141">
        <f t="shared" si="28"/>
        <v>6</v>
      </c>
      <c r="V48" s="141">
        <f t="shared" si="28"/>
        <v>7</v>
      </c>
      <c r="W48" s="141">
        <f t="shared" si="28"/>
        <v>7</v>
      </c>
      <c r="X48" s="141">
        <f t="shared" si="28"/>
        <v>7</v>
      </c>
      <c r="Y48" s="141">
        <f t="shared" si="28"/>
        <v>6</v>
      </c>
      <c r="Z48" s="141" t="str">
        <f t="shared" si="28"/>
        <v/>
      </c>
      <c r="AA48" s="141">
        <f t="shared" si="28"/>
        <v>7</v>
      </c>
      <c r="AB48" s="141">
        <f t="shared" si="28"/>
        <v>7</v>
      </c>
      <c r="AC48" s="141" t="str">
        <f t="shared" si="28"/>
        <v/>
      </c>
      <c r="AD48" s="141" t="str">
        <f t="shared" si="28"/>
        <v/>
      </c>
      <c r="AE48" s="141" t="str">
        <f t="shared" si="28"/>
        <v/>
      </c>
      <c r="AF48" s="141">
        <f t="shared" si="28"/>
        <v>7</v>
      </c>
      <c r="AG48" s="141">
        <f t="shared" si="28"/>
        <v>7</v>
      </c>
      <c r="AH48" s="142" t="s">
        <v>12</v>
      </c>
      <c r="AI48" s="230">
        <f>SUM(AI46:AI47)</f>
        <v>4.5</v>
      </c>
      <c r="AJ48" s="230"/>
      <c r="AK48" s="137" t="s">
        <v>56</v>
      </c>
      <c r="AL48" s="137"/>
      <c r="AN48" s="10"/>
      <c r="AO48" s="10"/>
      <c r="AP48" s="10"/>
      <c r="AQ48" s="50" t="s">
        <v>57</v>
      </c>
      <c r="AR48" s="54">
        <f>DATE($C$34,$C$35,1)</f>
        <v>46082</v>
      </c>
      <c r="AS48" s="51">
        <v>2</v>
      </c>
      <c r="AT48" s="52" t="str">
        <f>IF(AS53="lu","LUNES",IF(AS53="ma","MARTES",IF(AS53="mi","MIERCOLES",IF(AS53="ju","JUEVES",IF(AS53="vi","VIERNES",IF(AS53="sa","SABADO",IF(AS53="do","DOMINGO",IF(AT53="lu","LUNES",IF(AT53="ma","MARTES",IF(AT53="mi","MIERCOLES",IF(AT53="ju","JUEVES",IF(AT53="vi","VIERNES",IF(AT53="sa","SABADO",IF(AT53="do","DOMINGO",""))))))))))))))</f>
        <v>DOMINGO</v>
      </c>
      <c r="AU48" s="10"/>
      <c r="AV48" s="51"/>
      <c r="AW48" s="51">
        <v>29</v>
      </c>
      <c r="AX48" s="46">
        <f>$AR$48+28</f>
        <v>46110</v>
      </c>
      <c r="AY48" s="51">
        <v>31</v>
      </c>
      <c r="AZ48" s="46">
        <f>$AR$48+30</f>
        <v>46112</v>
      </c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</row>
    <row r="49" spans="1:80" s="2" customFormat="1" ht="15.95" hidden="1" customHeight="1" x14ac:dyDescent="0.25">
      <c r="A49" s="145"/>
      <c r="B49" s="146" t="s">
        <v>34</v>
      </c>
      <c r="C49" s="147" t="str">
        <f t="shared" ref="C49:AD49" si="29">IF(C9=$R32,$BD32*24,IF(C9=$R33,$BD33*24,IF(C9=$R34,$BD34*24,IF(C9=$R35,$BD35*24,IF(C9=$R36,$BD36*24,IF(C9=$R37,$BD37*24,IF(C9=$R38,$BD38*24,IF(C9=$R39,$BD39*24,IF(C9=$R40,$BD40*24,"")))))))))</f>
        <v/>
      </c>
      <c r="D49" s="147">
        <f t="shared" si="29"/>
        <v>8</v>
      </c>
      <c r="E49" s="147">
        <f t="shared" si="29"/>
        <v>8</v>
      </c>
      <c r="F49" s="147">
        <f t="shared" si="29"/>
        <v>8</v>
      </c>
      <c r="G49" s="147" t="str">
        <f t="shared" si="29"/>
        <v/>
      </c>
      <c r="H49" s="147" t="str">
        <f t="shared" si="29"/>
        <v/>
      </c>
      <c r="I49" s="147" t="str">
        <f t="shared" si="29"/>
        <v/>
      </c>
      <c r="J49" s="147" t="str">
        <f t="shared" si="29"/>
        <v/>
      </c>
      <c r="K49" s="147">
        <f t="shared" si="29"/>
        <v>8</v>
      </c>
      <c r="L49" s="147">
        <f t="shared" si="29"/>
        <v>8</v>
      </c>
      <c r="M49" s="147">
        <f t="shared" si="29"/>
        <v>8</v>
      </c>
      <c r="N49" s="147">
        <f t="shared" si="29"/>
        <v>8</v>
      </c>
      <c r="O49" s="147" t="str">
        <f t="shared" si="29"/>
        <v/>
      </c>
      <c r="P49" s="147" t="str">
        <f t="shared" si="29"/>
        <v/>
      </c>
      <c r="Q49" s="147" t="str">
        <f t="shared" si="29"/>
        <v/>
      </c>
      <c r="R49" s="147">
        <f t="shared" si="29"/>
        <v>8</v>
      </c>
      <c r="S49" s="147">
        <f t="shared" si="29"/>
        <v>8</v>
      </c>
      <c r="T49" s="147" t="str">
        <f t="shared" si="29"/>
        <v/>
      </c>
      <c r="U49" s="147">
        <f t="shared" si="29"/>
        <v>8</v>
      </c>
      <c r="V49" s="147">
        <f t="shared" si="29"/>
        <v>8</v>
      </c>
      <c r="W49" s="147">
        <f t="shared" si="29"/>
        <v>8</v>
      </c>
      <c r="X49" s="147">
        <f t="shared" si="29"/>
        <v>8</v>
      </c>
      <c r="Y49" s="147">
        <f t="shared" si="29"/>
        <v>8</v>
      </c>
      <c r="Z49" s="147" t="str">
        <f t="shared" si="29"/>
        <v/>
      </c>
      <c r="AA49" s="147">
        <f t="shared" si="29"/>
        <v>8</v>
      </c>
      <c r="AB49" s="147">
        <f t="shared" si="29"/>
        <v>8</v>
      </c>
      <c r="AC49" s="147" t="str">
        <f t="shared" si="29"/>
        <v/>
      </c>
      <c r="AD49" s="147" t="str">
        <f t="shared" si="29"/>
        <v/>
      </c>
      <c r="AE49" s="147" t="str">
        <f>IF(AE9=$R32,$BD32*24,IF(AE9=$R33,$BD33*24,IF(AE9=$R34,$BD34*24,IF(AE9=$R35,$BD35*24,IF(AE9=$R36,$BD36*24,IF(AE9=$R37,$BD37*24,IF(AE9=$R38,$BD38*24,IF(AE9=$R39,$BD39*24,IF(AE9=$R40,$BD40*24,"")))))))))</f>
        <v/>
      </c>
      <c r="AF49" s="147">
        <f>IF(AF9=$R32,$BD32*24,IF(AF9=$R33,$BD33*24,IF(AF9=$R34,$BD34*24,IF(AF9=$R35,$BD35*24,IF(AF9=$R36,$BD36*24,IF(AF9=$R37,$BD37*24,IF(AF9=$R38,$BD38*24,IF(AF9=$R39,$BD39*24,IF(AF9=$R40,$BD40*24,"")))))))))</f>
        <v>8</v>
      </c>
      <c r="AG49" s="147">
        <f>IF(AG9=$R32,$BD32*24,IF(AG9=$R33,$BD33*24,IF(AG9=$R34,$BD34*24,IF(AG9=$R35,$BD35*24,IF(AG9=$R36,$BD36*24,IF(AG9=$R37,$BD37*24,IF(AG9=$R38,$BD38*24,IF(AG9=$R39,$BD39*24,IF(AG9=$R40,$BD40*24,"")))))))))</f>
        <v>8</v>
      </c>
      <c r="AH49" s="148">
        <f>SUM(C49:AG49)</f>
        <v>144</v>
      </c>
      <c r="AI49" s="231">
        <f>C37*AF36</f>
        <v>0</v>
      </c>
      <c r="AJ49" s="231"/>
      <c r="AK49" s="137" t="s">
        <v>58</v>
      </c>
      <c r="AL49" s="137"/>
      <c r="AN49" s="232">
        <f>Q4</f>
        <v>46082</v>
      </c>
      <c r="AO49" s="232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</row>
    <row r="50" spans="1:80" s="2" customFormat="1" ht="15.95" hidden="1" customHeight="1" x14ac:dyDescent="0.25">
      <c r="A50" s="145"/>
      <c r="B50" s="149" t="s">
        <v>59</v>
      </c>
      <c r="C50" s="141">
        <f t="shared" ref="C50:AG50" si="30">IF(C9="V",$C36,IF(C9="PR",$C38,0))</f>
        <v>0</v>
      </c>
      <c r="D50" s="141">
        <f t="shared" si="30"/>
        <v>0</v>
      </c>
      <c r="E50" s="141">
        <f t="shared" si="30"/>
        <v>0</v>
      </c>
      <c r="F50" s="141">
        <f t="shared" si="30"/>
        <v>0</v>
      </c>
      <c r="G50" s="141">
        <f t="shared" si="30"/>
        <v>0</v>
      </c>
      <c r="H50" s="141">
        <f t="shared" si="30"/>
        <v>0</v>
      </c>
      <c r="I50" s="141">
        <f t="shared" si="30"/>
        <v>0</v>
      </c>
      <c r="J50" s="141">
        <f t="shared" si="30"/>
        <v>0</v>
      </c>
      <c r="K50" s="141">
        <f t="shared" si="30"/>
        <v>0</v>
      </c>
      <c r="L50" s="141">
        <f t="shared" si="30"/>
        <v>0</v>
      </c>
      <c r="M50" s="141">
        <f t="shared" si="30"/>
        <v>0</v>
      </c>
      <c r="N50" s="141">
        <f t="shared" si="30"/>
        <v>0</v>
      </c>
      <c r="O50" s="141">
        <f t="shared" si="30"/>
        <v>0</v>
      </c>
      <c r="P50" s="141">
        <f t="shared" si="30"/>
        <v>0</v>
      </c>
      <c r="Q50" s="141">
        <f t="shared" si="30"/>
        <v>0</v>
      </c>
      <c r="R50" s="141">
        <f t="shared" si="30"/>
        <v>0</v>
      </c>
      <c r="S50" s="141">
        <f t="shared" si="30"/>
        <v>0</v>
      </c>
      <c r="T50" s="141">
        <f t="shared" si="30"/>
        <v>0</v>
      </c>
      <c r="U50" s="141">
        <f t="shared" si="30"/>
        <v>0</v>
      </c>
      <c r="V50" s="141">
        <f t="shared" si="30"/>
        <v>0</v>
      </c>
      <c r="W50" s="141">
        <f t="shared" si="30"/>
        <v>0</v>
      </c>
      <c r="X50" s="141">
        <f t="shared" si="30"/>
        <v>0</v>
      </c>
      <c r="Y50" s="141">
        <f t="shared" si="30"/>
        <v>0</v>
      </c>
      <c r="Z50" s="141">
        <f t="shared" si="30"/>
        <v>0</v>
      </c>
      <c r="AA50" s="141">
        <f t="shared" si="30"/>
        <v>0</v>
      </c>
      <c r="AB50" s="141">
        <f t="shared" si="30"/>
        <v>0</v>
      </c>
      <c r="AC50" s="141">
        <f t="shared" si="30"/>
        <v>0</v>
      </c>
      <c r="AD50" s="141">
        <f t="shared" si="30"/>
        <v>0</v>
      </c>
      <c r="AE50" s="141">
        <f t="shared" si="30"/>
        <v>0</v>
      </c>
      <c r="AF50" s="141">
        <f t="shared" si="30"/>
        <v>0</v>
      </c>
      <c r="AG50" s="141">
        <f t="shared" si="30"/>
        <v>0</v>
      </c>
      <c r="AH50" s="226">
        <f>SUM(C50:AG50)</f>
        <v>0</v>
      </c>
      <c r="AI50" s="226"/>
      <c r="AJ50" s="137" t="s">
        <v>12</v>
      </c>
      <c r="AK50" s="137"/>
      <c r="AL50" s="137"/>
      <c r="AN50" s="48" t="str">
        <f>INDEX({"do";"lu";"ma";"mi";"ju";"vi";"sa"},1+MOD($AR$47+1-2,7))</f>
        <v>lu</v>
      </c>
      <c r="AO50" s="48" t="str">
        <f>INDEX({"do";"lu";"ma";"mi";"ju";"vi";"sa"},1+MOD($AR$47+2-2,7))</f>
        <v>ma</v>
      </c>
      <c r="AP50" s="48" t="str">
        <f>INDEX({"do";"lu";"ma";"mi";"ju";"vi";"sa"},1+MOD($AR$47+3-2,7))</f>
        <v>mi</v>
      </c>
      <c r="AQ50" s="48" t="str">
        <f>INDEX({"do";"lu";"ma";"mi";"ju";"vi";"sa"},1+MOD($AR$47+4-2,7))</f>
        <v>ju</v>
      </c>
      <c r="AR50" s="48" t="str">
        <f>INDEX({"do";"lu";"ma";"mi";"ju";"vi";"sa"},1+MOD($AR$47+5-2,7))</f>
        <v>vi</v>
      </c>
      <c r="AS50" s="48" t="str">
        <f>INDEX({"do";"lu";"ma";"mi";"ju";"vi";"sa"},1+MOD($AR$47+6-2,7))</f>
        <v>sa</v>
      </c>
      <c r="AT50" s="48" t="str">
        <f>INDEX({"do";"lu";"ma";"mi";"ju";"vi";"sa"},1+MOD($AR$47+7-2,7))</f>
        <v>do</v>
      </c>
      <c r="AU50" s="48" t="str">
        <f>INDEX({"do";"lu";"ma";"mi";"ju";"vi";"sa"},1+MOD($AR$47+1-2,7))</f>
        <v>lu</v>
      </c>
      <c r="AV50" s="48" t="str">
        <f>INDEX({"do";"lu";"ma";"mi";"ju";"vi";"sa"},1+MOD($AR$47+2-2,7))</f>
        <v>ma</v>
      </c>
      <c r="AW50" s="48" t="str">
        <f>INDEX({"do";"lu";"ma";"mi";"ju";"vi";"sa"},1+MOD($AR$47+3-2,7))</f>
        <v>mi</v>
      </c>
      <c r="AX50" s="48" t="str">
        <f>INDEX({"do";"lu";"ma";"mi";"ju";"vi";"sa"},1+MOD($AR$47+4-2,7))</f>
        <v>ju</v>
      </c>
      <c r="AY50" s="48" t="str">
        <f>INDEX({"do";"lu";"ma";"mi";"ju";"vi";"sa"},1+MOD($AR$47+5-2,7))</f>
        <v>vi</v>
      </c>
      <c r="AZ50" s="48" t="str">
        <f>INDEX({"do";"lu";"ma";"mi";"ju";"vi";"sa"},1+MOD($AR$47+6-2,7))</f>
        <v>sa</v>
      </c>
      <c r="BA50" s="48" t="str">
        <f>INDEX({"do";"lu";"ma";"mi";"ju";"vi";"sa"},1+MOD($AR$47+7-2,7))</f>
        <v>do</v>
      </c>
      <c r="BB50" s="48" t="str">
        <f>INDEX({"do";"lu";"ma";"mi";"ju";"vi";"sa"},1+MOD($AR$47+1-2,7))</f>
        <v>lu</v>
      </c>
      <c r="BC50" s="48" t="str">
        <f>INDEX({"do";"lu";"ma";"mi";"ju";"vi";"sa"},1+MOD($AR$47+2-2,7))</f>
        <v>ma</v>
      </c>
      <c r="BD50" s="48" t="str">
        <f>INDEX({"do";"lu";"ma";"mi";"ju";"vi";"sa"},1+MOD($AR$47+3-2,7))</f>
        <v>mi</v>
      </c>
      <c r="BE50" s="10"/>
      <c r="BF50" s="48" t="str">
        <f>INDEX({"do";"lu";"ma";"mi";"ju";"vi";"sa"},1+MOD($AR$47+5-2,7))</f>
        <v>vi</v>
      </c>
      <c r="BG50" s="48" t="str">
        <f>INDEX({"do";"lu";"ma";"mi";"ju";"vi";"sa"},1+MOD($AR$47+6-2,7))</f>
        <v>sa</v>
      </c>
      <c r="BH50" s="48" t="str">
        <f>INDEX({"do";"lu";"ma";"mi";"ju";"vi";"sa"},1+MOD($AR$47+7-2,7))</f>
        <v>do</v>
      </c>
      <c r="BI50" s="48" t="str">
        <f>INDEX({"do";"lu";"ma";"mi";"ju";"vi";"sa"},1+MOD($AR$47+1-2,7))</f>
        <v>lu</v>
      </c>
      <c r="BJ50" s="48" t="str">
        <f>INDEX({"do";"lu";"ma";"mi";"ju";"vi";"sa"},1+MOD($AR$47+2-2,7))</f>
        <v>ma</v>
      </c>
      <c r="BK50" s="48" t="str">
        <f>INDEX({"do";"lu";"ma";"mi";"ju";"vi";"sa"},1+MOD($AR$47+3-2,7))</f>
        <v>mi</v>
      </c>
      <c r="BL50" s="48" t="str">
        <f>INDEX({"do";"lu";"ma";"mi";"ju";"vi";"sa"},1+MOD($AR$47+4-2,7))</f>
        <v>ju</v>
      </c>
      <c r="BM50" s="48" t="str">
        <f>INDEX({"do";"lu";"ma";"mi";"ju";"vi";"sa"},1+MOD($AR$47+5-2,7))</f>
        <v>vi</v>
      </c>
      <c r="BN50" s="48" t="str">
        <f>INDEX({"do";"lu";"ma";"mi";"ju";"vi";"sa"},1+MOD($AR$47+6-2,7))</f>
        <v>sa</v>
      </c>
      <c r="BO50" s="48" t="str">
        <f>INDEX({"do";"lu";"ma";"mi";"ju";"vi";"sa"},1+MOD($AR$47+7-2,7))</f>
        <v>do</v>
      </c>
      <c r="BP50" s="48" t="str">
        <f>INDEX({"do";"lu";"ma";"mi";"ju";"vi";"sa"},1+MOD($AR$47+1-2,7))</f>
        <v>lu</v>
      </c>
      <c r="BQ50" s="48" t="str">
        <f>INDEX({"do";"lu";"ma";"mi";"ju";"vi";"sa"},1+MOD($AR$47+2-2,7))</f>
        <v>ma</v>
      </c>
      <c r="BR50" s="48" t="str">
        <f>INDEX({"do";"lu";"ma";"mi";"ju";"vi";"sa"},1+MOD($AR$47+3-2,7))</f>
        <v>mi</v>
      </c>
      <c r="BS50" s="48" t="str">
        <f>INDEX({"do";"lu";"ma";"mi";"ju";"vi";"sa"},1+MOD($AR$47+4-2,7))</f>
        <v>ju</v>
      </c>
      <c r="BT50" s="48" t="str">
        <f>INDEX({"do";"lu";"ma";"mi";"ju";"vi";"sa"},1+MOD($AR$47+5-2,7))</f>
        <v>vi</v>
      </c>
      <c r="BU50" s="48" t="str">
        <f>INDEX({"do";"lu";"ma";"mi";"ju";"vi";"sa"},1+MOD($AR$47+6-2,7))</f>
        <v>sa</v>
      </c>
      <c r="BV50" s="48" t="str">
        <f>INDEX({"do";"lu";"ma";"mi";"ju";"vi";"sa"},1+MOD($AR$47+7-2,7))</f>
        <v>do</v>
      </c>
      <c r="BW50" s="48" t="str">
        <f>INDEX({"do";"lu";"ma";"mi";"ju";"vi";"sa"},1+MOD($AR$47+1-2,7))</f>
        <v>lu</v>
      </c>
      <c r="BX50" s="48" t="str">
        <f>INDEX({"do";"lu";"ma";"mi";"ju";"vi";"sa"},1+MOD($AR$47+2-2,7))</f>
        <v>ma</v>
      </c>
      <c r="BY50" s="10"/>
      <c r="BZ50" s="10"/>
      <c r="CA50" s="10"/>
      <c r="CB50" s="10"/>
    </row>
    <row r="51" spans="1:80" s="2" customFormat="1" ht="15.95" hidden="1" customHeight="1" x14ac:dyDescent="0.25">
      <c r="A51" s="150" t="s">
        <v>60</v>
      </c>
      <c r="B51" s="144" t="s">
        <v>61</v>
      </c>
      <c r="C51" s="151">
        <f t="shared" ref="C51:AD51" si="31">IF(C9=$R32,$BC32,IF(C9=$R33,$BC33,IF(C9=$R34,$BC34,IF(C9=$R35,$BC35,IF(C9=$R36,$BC36,IF(C9=$R37,$BC37,IF(C9=$R38,$BC38,IF(C9=$R39,$BC39,IF(C9=$R40,$BC40,0)))))))))</f>
        <v>0</v>
      </c>
      <c r="D51" s="151">
        <f t="shared" si="31"/>
        <v>12</v>
      </c>
      <c r="E51" s="151">
        <f t="shared" si="31"/>
        <v>12</v>
      </c>
      <c r="F51" s="151">
        <f t="shared" si="31"/>
        <v>12</v>
      </c>
      <c r="G51" s="151">
        <f t="shared" si="31"/>
        <v>0</v>
      </c>
      <c r="H51" s="151">
        <f t="shared" si="31"/>
        <v>0</v>
      </c>
      <c r="I51" s="151">
        <f t="shared" si="31"/>
        <v>0</v>
      </c>
      <c r="J51" s="151">
        <f t="shared" si="31"/>
        <v>0</v>
      </c>
      <c r="K51" s="151">
        <f t="shared" si="31"/>
        <v>7.9999999999999716</v>
      </c>
      <c r="L51" s="151">
        <f t="shared" si="31"/>
        <v>7.9999999999999716</v>
      </c>
      <c r="M51" s="151">
        <f t="shared" si="31"/>
        <v>12</v>
      </c>
      <c r="N51" s="151">
        <f t="shared" si="31"/>
        <v>12</v>
      </c>
      <c r="O51" s="151">
        <f t="shared" si="31"/>
        <v>0</v>
      </c>
      <c r="P51" s="151">
        <f t="shared" si="31"/>
        <v>0</v>
      </c>
      <c r="Q51" s="151">
        <f t="shared" si="31"/>
        <v>0</v>
      </c>
      <c r="R51" s="151">
        <f t="shared" si="31"/>
        <v>12</v>
      </c>
      <c r="S51" s="151">
        <f t="shared" si="31"/>
        <v>12</v>
      </c>
      <c r="T51" s="151">
        <f t="shared" si="31"/>
        <v>0</v>
      </c>
      <c r="U51" s="151">
        <f t="shared" si="31"/>
        <v>7.9999999999999716</v>
      </c>
      <c r="V51" s="151">
        <f t="shared" si="31"/>
        <v>12</v>
      </c>
      <c r="W51" s="151">
        <f t="shared" si="31"/>
        <v>12</v>
      </c>
      <c r="X51" s="151">
        <f t="shared" si="31"/>
        <v>12</v>
      </c>
      <c r="Y51" s="151">
        <f t="shared" si="31"/>
        <v>12</v>
      </c>
      <c r="Z51" s="151">
        <f t="shared" si="31"/>
        <v>0</v>
      </c>
      <c r="AA51" s="151">
        <f t="shared" si="31"/>
        <v>12</v>
      </c>
      <c r="AB51" s="151">
        <f t="shared" si="31"/>
        <v>12</v>
      </c>
      <c r="AC51" s="151">
        <f t="shared" si="31"/>
        <v>0</v>
      </c>
      <c r="AD51" s="151">
        <f t="shared" si="31"/>
        <v>0</v>
      </c>
      <c r="AE51" s="151">
        <f>IF(AE9=$R32,$BC32,IF(AE9=$R33,$BC33,IF(AE9=$R34,$BC34,IF(AE9=$R35,$BC35,IF(AE9=$R36,$BC36,IF(AE9=$R37,$BC37,IF(AE9=$R38,$BC38,IF(AE9=$R39,$BC39,IF(AE9=$R40,$BC40,0)))))))))</f>
        <v>0</v>
      </c>
      <c r="AF51" s="151">
        <f>IF(AF9=$R32,$BC32,IF(AF9=$R33,$BC33,IF(AF9=$R34,$BC34,IF(AF9=$R35,$BC35,IF(AF9=$R36,$BC36,IF(AF9=$R37,$BC37,IF(AF9=$R38,$BC38,IF(AF9=$R39,$BC39,IF(AF9=$R40,$BC40,0)))))))))</f>
        <v>12</v>
      </c>
      <c r="AG51" s="151">
        <f>IF(AG9=$R32,$BC32,IF(AG9=$R33,$BC33,IF(AG9=$R34,$BC34,IF(AG9=$R35,$BC35,IF(AG9=$R36,$BC36,IF(AG9=$R37,$BC37,IF(AG9=$R38,$BC38,IF(AG9=$R39,$BC39,IF(AG9=$R40,$BC40,0)))))))))</f>
        <v>12</v>
      </c>
      <c r="AH51" s="226">
        <f>SUM(C51:AG51)</f>
        <v>203.99999999999991</v>
      </c>
      <c r="AI51" s="226"/>
      <c r="AJ51" s="152" t="s">
        <v>62</v>
      </c>
      <c r="AK51" s="137" t="s">
        <v>12</v>
      </c>
      <c r="AL51" s="137"/>
      <c r="AN51" s="49" t="str">
        <f t="shared" ref="AN51:BD51" si="32">IF(MONTH($Q$4)&lt;&gt;MONTH($Q$4-(WEEKDAY($Q$4,1)-($AR$47-1))-IF((WEEKDAY($Q$4,1)-($AR$47-1))&lt;=0,7,0)+(ROW(AN51)-ROW($AN$51))*7+(COLUMN(AN51)-COLUMN($AN$51)+1)),"",$Q$4-(WEEKDAY($Q$4,1)-($AR$47-1))-IF((WEEKDAY($Q$4,1)-($AR$47-1))&lt;=0,7,0)+(ROW(AN51)-ROW($AN$51))*7+(COLUMN(AN51)-COLUMN($AN$51)+1))</f>
        <v/>
      </c>
      <c r="AO51" s="49" t="str">
        <f t="shared" si="32"/>
        <v/>
      </c>
      <c r="AP51" s="49" t="str">
        <f t="shared" si="32"/>
        <v/>
      </c>
      <c r="AQ51" s="49" t="str">
        <f t="shared" si="32"/>
        <v/>
      </c>
      <c r="AR51" s="49" t="str">
        <f t="shared" si="32"/>
        <v/>
      </c>
      <c r="AS51" s="49" t="str">
        <f t="shared" si="32"/>
        <v/>
      </c>
      <c r="AT51" s="49">
        <f t="shared" si="32"/>
        <v>46082</v>
      </c>
      <c r="AU51" s="49">
        <f t="shared" si="32"/>
        <v>46083</v>
      </c>
      <c r="AV51" s="49">
        <f t="shared" si="32"/>
        <v>46084</v>
      </c>
      <c r="AW51" s="49">
        <f t="shared" si="32"/>
        <v>46085</v>
      </c>
      <c r="AX51" s="49">
        <f t="shared" si="32"/>
        <v>46086</v>
      </c>
      <c r="AY51" s="49">
        <f t="shared" si="32"/>
        <v>46087</v>
      </c>
      <c r="AZ51" s="49">
        <f t="shared" si="32"/>
        <v>46088</v>
      </c>
      <c r="BA51" s="49">
        <f t="shared" si="32"/>
        <v>46089</v>
      </c>
      <c r="BB51" s="49">
        <f t="shared" si="32"/>
        <v>46090</v>
      </c>
      <c r="BC51" s="49">
        <f t="shared" si="32"/>
        <v>46091</v>
      </c>
      <c r="BD51" s="49">
        <f t="shared" si="32"/>
        <v>46092</v>
      </c>
      <c r="BE51" s="31"/>
      <c r="BF51" s="49">
        <f t="shared" ref="BF51:BX51" si="33">IF(MONTH($Q$4)&lt;&gt;MONTH($Q$4-(WEEKDAY($Q$4,1)-($AR$47-1))-IF((WEEKDAY($Q$4,1)-($AR$47-1))&lt;=0,7,0)+(ROW(BF51)-ROW($AN$51))*7+(COLUMN(BF51)-COLUMN($AN$51)+1)),"",$Q$4-(WEEKDAY($Q$4,1)-($AR$47-1))-IF((WEEKDAY($Q$4,1)-($AR$47-1))&lt;=0,7,0)+(ROW(BF51)-ROW($AN$51))*7+(COLUMN(BF51)-COLUMN($AN$51)+1))</f>
        <v>46094</v>
      </c>
      <c r="BG51" s="49">
        <f t="shared" si="33"/>
        <v>46095</v>
      </c>
      <c r="BH51" s="49">
        <f t="shared" si="33"/>
        <v>46096</v>
      </c>
      <c r="BI51" s="49">
        <f t="shared" si="33"/>
        <v>46097</v>
      </c>
      <c r="BJ51" s="49">
        <f t="shared" si="33"/>
        <v>46098</v>
      </c>
      <c r="BK51" s="49">
        <f t="shared" si="33"/>
        <v>46099</v>
      </c>
      <c r="BL51" s="49">
        <f t="shared" si="33"/>
        <v>46100</v>
      </c>
      <c r="BM51" s="49">
        <f t="shared" si="33"/>
        <v>46101</v>
      </c>
      <c r="BN51" s="49">
        <f t="shared" si="33"/>
        <v>46102</v>
      </c>
      <c r="BO51" s="49">
        <f t="shared" si="33"/>
        <v>46103</v>
      </c>
      <c r="BP51" s="49">
        <f t="shared" si="33"/>
        <v>46104</v>
      </c>
      <c r="BQ51" s="49">
        <f t="shared" si="33"/>
        <v>46105</v>
      </c>
      <c r="BR51" s="49">
        <f t="shared" si="33"/>
        <v>46106</v>
      </c>
      <c r="BS51" s="49">
        <f t="shared" si="33"/>
        <v>46107</v>
      </c>
      <c r="BT51" s="49">
        <f t="shared" si="33"/>
        <v>46108</v>
      </c>
      <c r="BU51" s="49">
        <f t="shared" si="33"/>
        <v>46109</v>
      </c>
      <c r="BV51" s="49">
        <f t="shared" si="33"/>
        <v>46110</v>
      </c>
      <c r="BW51" s="49">
        <f t="shared" si="33"/>
        <v>46111</v>
      </c>
      <c r="BX51" s="49">
        <f t="shared" si="33"/>
        <v>46112</v>
      </c>
      <c r="BY51" s="10"/>
      <c r="BZ51" s="10"/>
      <c r="CA51" s="10"/>
      <c r="CB51" s="10"/>
    </row>
    <row r="52" spans="1:80" s="2" customFormat="1" ht="15.95" hidden="1" customHeight="1" x14ac:dyDescent="0.25">
      <c r="A52" s="153" t="s">
        <v>48</v>
      </c>
      <c r="B52" s="149" t="s">
        <v>63</v>
      </c>
      <c r="C52" s="141">
        <f t="shared" ref="C52:AG52" si="34">IF(C46=1,IF(C47&lt;C48,C51,0))</f>
        <v>0</v>
      </c>
      <c r="D52" s="141" t="b">
        <f t="shared" si="34"/>
        <v>0</v>
      </c>
      <c r="E52" s="141" t="b">
        <f t="shared" si="34"/>
        <v>0</v>
      </c>
      <c r="F52" s="141" t="b">
        <f t="shared" si="34"/>
        <v>0</v>
      </c>
      <c r="G52" s="141" t="b">
        <f t="shared" si="34"/>
        <v>0</v>
      </c>
      <c r="H52" s="141" t="b">
        <f t="shared" si="34"/>
        <v>0</v>
      </c>
      <c r="I52" s="141">
        <f t="shared" si="34"/>
        <v>0</v>
      </c>
      <c r="J52" s="141">
        <f t="shared" si="34"/>
        <v>0</v>
      </c>
      <c r="K52" s="141" t="b">
        <f t="shared" si="34"/>
        <v>0</v>
      </c>
      <c r="L52" s="141" t="b">
        <f t="shared" si="34"/>
        <v>0</v>
      </c>
      <c r="M52" s="141" t="b">
        <f t="shared" si="34"/>
        <v>0</v>
      </c>
      <c r="N52" s="141" t="b">
        <f t="shared" si="34"/>
        <v>0</v>
      </c>
      <c r="O52" s="141" t="b">
        <f t="shared" si="34"/>
        <v>0</v>
      </c>
      <c r="P52" s="141">
        <f t="shared" si="34"/>
        <v>0</v>
      </c>
      <c r="Q52" s="141">
        <f t="shared" si="34"/>
        <v>0</v>
      </c>
      <c r="R52" s="141" t="b">
        <f t="shared" si="34"/>
        <v>0</v>
      </c>
      <c r="S52" s="141" t="b">
        <f t="shared" si="34"/>
        <v>0</v>
      </c>
      <c r="T52" s="141" t="b">
        <f t="shared" si="34"/>
        <v>0</v>
      </c>
      <c r="U52" s="141" t="b">
        <f t="shared" si="34"/>
        <v>0</v>
      </c>
      <c r="V52" s="141" t="b">
        <f t="shared" si="34"/>
        <v>0</v>
      </c>
      <c r="W52" s="141">
        <f t="shared" si="34"/>
        <v>0</v>
      </c>
      <c r="X52" s="141">
        <f t="shared" si="34"/>
        <v>0</v>
      </c>
      <c r="Y52" s="141" t="b">
        <f t="shared" si="34"/>
        <v>0</v>
      </c>
      <c r="Z52" s="141" t="b">
        <f t="shared" si="34"/>
        <v>0</v>
      </c>
      <c r="AA52" s="141" t="b">
        <f t="shared" si="34"/>
        <v>0</v>
      </c>
      <c r="AB52" s="141" t="b">
        <f t="shared" si="34"/>
        <v>0</v>
      </c>
      <c r="AC52" s="141" t="b">
        <f t="shared" si="34"/>
        <v>0</v>
      </c>
      <c r="AD52" s="141">
        <f t="shared" si="34"/>
        <v>0</v>
      </c>
      <c r="AE52" s="141">
        <f t="shared" si="34"/>
        <v>0</v>
      </c>
      <c r="AF52" s="141" t="b">
        <f t="shared" si="34"/>
        <v>0</v>
      </c>
      <c r="AG52" s="141" t="b">
        <f t="shared" si="34"/>
        <v>0</v>
      </c>
      <c r="AH52" s="154" t="s">
        <v>12</v>
      </c>
      <c r="AI52" s="133"/>
      <c r="AJ52" s="155"/>
      <c r="AK52" s="156"/>
      <c r="AL52" s="137"/>
      <c r="AN52" s="55" t="str">
        <f t="shared" ref="AN52:AT52" si="35">IF(AN51=$AR$48,IF(AN51="",0,1),"")</f>
        <v/>
      </c>
      <c r="AO52" s="55" t="str">
        <f t="shared" si="35"/>
        <v/>
      </c>
      <c r="AP52" s="55" t="str">
        <f t="shared" si="35"/>
        <v/>
      </c>
      <c r="AQ52" s="55" t="str">
        <f t="shared" si="35"/>
        <v/>
      </c>
      <c r="AR52" s="55" t="str">
        <f t="shared" si="35"/>
        <v/>
      </c>
      <c r="AS52" s="55" t="str">
        <f t="shared" si="35"/>
        <v/>
      </c>
      <c r="AT52" s="55">
        <f t="shared" si="35"/>
        <v>1</v>
      </c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56"/>
      <c r="BF52" s="10"/>
      <c r="BG52" s="10"/>
      <c r="BH52" s="10"/>
      <c r="BI52" s="10"/>
      <c r="BJ52" s="10"/>
      <c r="BK52" s="10"/>
      <c r="BL52" s="10"/>
      <c r="BM52" s="10"/>
      <c r="BN52" s="10"/>
      <c r="BO52" s="96">
        <f t="shared" ref="BO52:BX52" si="36">BO51</f>
        <v>46103</v>
      </c>
      <c r="BP52" s="96">
        <f t="shared" si="36"/>
        <v>46104</v>
      </c>
      <c r="BQ52" s="96">
        <f t="shared" si="36"/>
        <v>46105</v>
      </c>
      <c r="BR52" s="96">
        <f t="shared" si="36"/>
        <v>46106</v>
      </c>
      <c r="BS52" s="96">
        <f t="shared" si="36"/>
        <v>46107</v>
      </c>
      <c r="BT52" s="96">
        <f t="shared" si="36"/>
        <v>46108</v>
      </c>
      <c r="BU52" s="96">
        <f t="shared" si="36"/>
        <v>46109</v>
      </c>
      <c r="BV52" s="96">
        <f t="shared" si="36"/>
        <v>46110</v>
      </c>
      <c r="BW52" s="96">
        <f t="shared" si="36"/>
        <v>46111</v>
      </c>
      <c r="BX52" s="96">
        <f t="shared" si="36"/>
        <v>46112</v>
      </c>
      <c r="BY52" s="10"/>
      <c r="BZ52" s="10"/>
      <c r="CA52" s="10"/>
      <c r="CB52" s="10"/>
    </row>
    <row r="53" spans="1:80" s="2" customFormat="1" ht="15.95" hidden="1" customHeight="1" x14ac:dyDescent="0.25">
      <c r="A53" s="153"/>
      <c r="B53" s="149" t="s">
        <v>64</v>
      </c>
      <c r="C53" s="141">
        <f t="shared" ref="C53:AG53" si="37">IF(C46=1,IF(C47&gt;C48,24-C47,0),0)</f>
        <v>0</v>
      </c>
      <c r="D53" s="141">
        <f t="shared" si="37"/>
        <v>0</v>
      </c>
      <c r="E53" s="141">
        <f t="shared" si="37"/>
        <v>0</v>
      </c>
      <c r="F53" s="141">
        <f t="shared" si="37"/>
        <v>0</v>
      </c>
      <c r="G53" s="141">
        <f t="shared" si="37"/>
        <v>0</v>
      </c>
      <c r="H53" s="141">
        <f t="shared" si="37"/>
        <v>0</v>
      </c>
      <c r="I53" s="141">
        <f t="shared" si="37"/>
        <v>0</v>
      </c>
      <c r="J53" s="141">
        <f t="shared" si="37"/>
        <v>0</v>
      </c>
      <c r="K53" s="141">
        <f t="shared" si="37"/>
        <v>0</v>
      </c>
      <c r="L53" s="141">
        <f t="shared" si="37"/>
        <v>0</v>
      </c>
      <c r="M53" s="141">
        <f t="shared" si="37"/>
        <v>0</v>
      </c>
      <c r="N53" s="141">
        <f t="shared" si="37"/>
        <v>0</v>
      </c>
      <c r="O53" s="141">
        <f t="shared" si="37"/>
        <v>0</v>
      </c>
      <c r="P53" s="141">
        <f t="shared" si="37"/>
        <v>0</v>
      </c>
      <c r="Q53" s="141">
        <f t="shared" si="37"/>
        <v>0</v>
      </c>
      <c r="R53" s="141">
        <f t="shared" si="37"/>
        <v>0</v>
      </c>
      <c r="S53" s="141">
        <f t="shared" si="37"/>
        <v>0</v>
      </c>
      <c r="T53" s="141">
        <f t="shared" si="37"/>
        <v>0</v>
      </c>
      <c r="U53" s="141">
        <f t="shared" si="37"/>
        <v>0</v>
      </c>
      <c r="V53" s="141">
        <f t="shared" si="37"/>
        <v>0</v>
      </c>
      <c r="W53" s="141">
        <f t="shared" si="37"/>
        <v>5</v>
      </c>
      <c r="X53" s="141">
        <f t="shared" si="37"/>
        <v>5</v>
      </c>
      <c r="Y53" s="141">
        <f t="shared" si="37"/>
        <v>0</v>
      </c>
      <c r="Z53" s="141">
        <f t="shared" si="37"/>
        <v>0</v>
      </c>
      <c r="AA53" s="141">
        <f t="shared" si="37"/>
        <v>0</v>
      </c>
      <c r="AB53" s="141">
        <f t="shared" si="37"/>
        <v>0</v>
      </c>
      <c r="AC53" s="141">
        <f t="shared" si="37"/>
        <v>0</v>
      </c>
      <c r="AD53" s="141">
        <f t="shared" si="37"/>
        <v>0</v>
      </c>
      <c r="AE53" s="141">
        <f t="shared" si="37"/>
        <v>0</v>
      </c>
      <c r="AF53" s="141">
        <f t="shared" si="37"/>
        <v>0</v>
      </c>
      <c r="AG53" s="141">
        <f t="shared" si="37"/>
        <v>0</v>
      </c>
      <c r="AH53" s="154" t="s">
        <v>12</v>
      </c>
      <c r="AI53" s="133"/>
      <c r="AJ53" s="155"/>
      <c r="AK53" s="137"/>
      <c r="AL53" s="137"/>
      <c r="AN53" s="57" t="str">
        <f t="shared" ref="AN53:AT53" si="38">IF(AN52=1,IF(AN52="",0,AN50),"")</f>
        <v/>
      </c>
      <c r="AO53" s="57" t="str">
        <f t="shared" si="38"/>
        <v/>
      </c>
      <c r="AP53" s="57" t="str">
        <f t="shared" si="38"/>
        <v/>
      </c>
      <c r="AQ53" s="57" t="str">
        <f t="shared" si="38"/>
        <v/>
      </c>
      <c r="AR53" s="57" t="str">
        <f t="shared" si="38"/>
        <v/>
      </c>
      <c r="AS53" s="57" t="str">
        <f t="shared" si="38"/>
        <v/>
      </c>
      <c r="AT53" s="57" t="str">
        <f t="shared" si="38"/>
        <v>do</v>
      </c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56"/>
      <c r="BF53" s="10"/>
      <c r="BG53" s="10"/>
      <c r="BH53" s="10"/>
      <c r="BI53" s="10"/>
      <c r="BJ53" s="10"/>
      <c r="BK53" s="10"/>
      <c r="BL53" s="10"/>
      <c r="BM53" s="10"/>
      <c r="BN53" s="10"/>
      <c r="BO53" s="58" t="str">
        <f t="shared" ref="BO53:BX53" si="39">IF(BO52=$AR$48+30,IF(BO52="",0,1),IF(BO52=$AR$48+29,IF(BO52="",0,1),IF(BO52=$AR$48+28,IF(BO52="",0,1),IF(BO52=$AR$48+27,IF(BO52="",0,1),""))))</f>
        <v/>
      </c>
      <c r="BP53" s="58" t="str">
        <f t="shared" si="39"/>
        <v/>
      </c>
      <c r="BQ53" s="58" t="str">
        <f t="shared" si="39"/>
        <v/>
      </c>
      <c r="BR53" s="58" t="str">
        <f t="shared" si="39"/>
        <v/>
      </c>
      <c r="BS53" s="58" t="str">
        <f t="shared" si="39"/>
        <v/>
      </c>
      <c r="BT53" s="58" t="str">
        <f t="shared" si="39"/>
        <v/>
      </c>
      <c r="BU53" s="58">
        <f t="shared" si="39"/>
        <v>1</v>
      </c>
      <c r="BV53" s="58">
        <f t="shared" si="39"/>
        <v>1</v>
      </c>
      <c r="BW53" s="58">
        <f t="shared" si="39"/>
        <v>1</v>
      </c>
      <c r="BX53" s="58">
        <f t="shared" si="39"/>
        <v>1</v>
      </c>
      <c r="BY53" s="10"/>
      <c r="BZ53" s="10"/>
      <c r="CA53" s="10"/>
      <c r="CB53" s="10"/>
    </row>
    <row r="54" spans="1:80" s="2" customFormat="1" ht="15.95" hidden="1" customHeight="1" x14ac:dyDescent="0.25">
      <c r="A54" s="157"/>
      <c r="B54" s="149" t="s">
        <v>65</v>
      </c>
      <c r="C54" s="141">
        <f t="shared" ref="C54:AG54" si="40">IF(D46=1,IF(C47&gt;C48,C48,0),0)</f>
        <v>0</v>
      </c>
      <c r="D54" s="141">
        <f t="shared" si="40"/>
        <v>0</v>
      </c>
      <c r="E54" s="141">
        <f t="shared" si="40"/>
        <v>0</v>
      </c>
      <c r="F54" s="141">
        <f t="shared" si="40"/>
        <v>0</v>
      </c>
      <c r="G54" s="141">
        <f t="shared" si="40"/>
        <v>0</v>
      </c>
      <c r="H54" s="141">
        <f t="shared" si="40"/>
        <v>0</v>
      </c>
      <c r="I54" s="141">
        <f t="shared" si="40"/>
        <v>0</v>
      </c>
      <c r="J54" s="141">
        <f t="shared" si="40"/>
        <v>0</v>
      </c>
      <c r="K54" s="141">
        <f t="shared" si="40"/>
        <v>0</v>
      </c>
      <c r="L54" s="141">
        <f t="shared" si="40"/>
        <v>0</v>
      </c>
      <c r="M54" s="141">
        <f t="shared" si="40"/>
        <v>0</v>
      </c>
      <c r="N54" s="141">
        <f t="shared" si="40"/>
        <v>0</v>
      </c>
      <c r="O54" s="141">
        <f t="shared" si="40"/>
        <v>0</v>
      </c>
      <c r="P54" s="141">
        <f t="shared" si="40"/>
        <v>0</v>
      </c>
      <c r="Q54" s="141">
        <f t="shared" si="40"/>
        <v>0</v>
      </c>
      <c r="R54" s="141">
        <f t="shared" si="40"/>
        <v>0</v>
      </c>
      <c r="S54" s="141">
        <f t="shared" si="40"/>
        <v>0</v>
      </c>
      <c r="T54" s="141">
        <f t="shared" si="40"/>
        <v>0</v>
      </c>
      <c r="U54" s="141">
        <f t="shared" si="40"/>
        <v>0</v>
      </c>
      <c r="V54" s="141">
        <f t="shared" si="40"/>
        <v>7</v>
      </c>
      <c r="W54" s="141">
        <f t="shared" si="40"/>
        <v>7</v>
      </c>
      <c r="X54" s="141">
        <f>IF(Y46=1,IF(X47&gt;X48,X48,0),0)</f>
        <v>0</v>
      </c>
      <c r="Y54" s="141">
        <f t="shared" si="40"/>
        <v>0</v>
      </c>
      <c r="Z54" s="141">
        <f t="shared" si="40"/>
        <v>0</v>
      </c>
      <c r="AA54" s="141">
        <f t="shared" si="40"/>
        <v>0</v>
      </c>
      <c r="AB54" s="141">
        <f t="shared" si="40"/>
        <v>0</v>
      </c>
      <c r="AC54" s="141">
        <f t="shared" si="40"/>
        <v>0</v>
      </c>
      <c r="AD54" s="141">
        <f t="shared" si="40"/>
        <v>0</v>
      </c>
      <c r="AE54" s="141">
        <f t="shared" si="40"/>
        <v>0</v>
      </c>
      <c r="AF54" s="141">
        <f t="shared" si="40"/>
        <v>0</v>
      </c>
      <c r="AG54" s="141">
        <f t="shared" si="40"/>
        <v>0</v>
      </c>
      <c r="AH54" s="154" t="s">
        <v>12</v>
      </c>
      <c r="AI54" s="133"/>
      <c r="AJ54" s="155"/>
      <c r="AK54" s="137"/>
      <c r="AL54" s="137"/>
      <c r="AN54" s="10"/>
      <c r="AO54" s="10"/>
      <c r="AP54" s="10"/>
      <c r="AQ54" s="10"/>
      <c r="AR54" s="47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56"/>
      <c r="BF54" s="10"/>
      <c r="BG54" s="10"/>
      <c r="BH54" s="10"/>
      <c r="BI54" s="10"/>
      <c r="BJ54" s="10"/>
      <c r="BK54" s="10"/>
      <c r="BL54" s="10"/>
      <c r="BM54" s="10"/>
      <c r="BN54" s="10"/>
      <c r="BO54" s="52" t="str">
        <f t="shared" ref="BO54:BX54" si="41">IF(BO53=1,IF(BO53="",0,BO52),"")</f>
        <v/>
      </c>
      <c r="BP54" s="52" t="str">
        <f t="shared" si="41"/>
        <v/>
      </c>
      <c r="BQ54" s="52" t="str">
        <f t="shared" si="41"/>
        <v/>
      </c>
      <c r="BR54" s="52" t="str">
        <f t="shared" si="41"/>
        <v/>
      </c>
      <c r="BS54" s="52" t="str">
        <f t="shared" si="41"/>
        <v/>
      </c>
      <c r="BT54" s="52" t="str">
        <f t="shared" si="41"/>
        <v/>
      </c>
      <c r="BU54" s="52">
        <f t="shared" si="41"/>
        <v>46109</v>
      </c>
      <c r="BV54" s="52">
        <f t="shared" si="41"/>
        <v>46110</v>
      </c>
      <c r="BW54" s="52">
        <f t="shared" si="41"/>
        <v>46111</v>
      </c>
      <c r="BX54" s="52">
        <f t="shared" si="41"/>
        <v>46112</v>
      </c>
      <c r="BY54" s="56"/>
      <c r="BZ54" s="97" t="s">
        <v>66</v>
      </c>
      <c r="CA54" s="56"/>
      <c r="CB54" s="10"/>
    </row>
    <row r="55" spans="1:80" s="2" customFormat="1" ht="15.95" hidden="1" customHeight="1" x14ac:dyDescent="0.25">
      <c r="A55" s="157"/>
      <c r="B55" s="149" t="s">
        <v>67</v>
      </c>
      <c r="C55" s="158">
        <f t="shared" ref="C55:AG55" si="42">SUM(C52:C54)</f>
        <v>0</v>
      </c>
      <c r="D55" s="158">
        <f t="shared" si="42"/>
        <v>0</v>
      </c>
      <c r="E55" s="158">
        <f t="shared" si="42"/>
        <v>0</v>
      </c>
      <c r="F55" s="158">
        <f t="shared" si="42"/>
        <v>0</v>
      </c>
      <c r="G55" s="158">
        <f t="shared" si="42"/>
        <v>0</v>
      </c>
      <c r="H55" s="158">
        <f t="shared" si="42"/>
        <v>0</v>
      </c>
      <c r="I55" s="158">
        <f t="shared" si="42"/>
        <v>0</v>
      </c>
      <c r="J55" s="158">
        <f t="shared" si="42"/>
        <v>0</v>
      </c>
      <c r="K55" s="158">
        <f t="shared" si="42"/>
        <v>0</v>
      </c>
      <c r="L55" s="158">
        <f t="shared" si="42"/>
        <v>0</v>
      </c>
      <c r="M55" s="158">
        <f t="shared" si="42"/>
        <v>0</v>
      </c>
      <c r="N55" s="158">
        <f t="shared" si="42"/>
        <v>0</v>
      </c>
      <c r="O55" s="158">
        <f t="shared" si="42"/>
        <v>0</v>
      </c>
      <c r="P55" s="158">
        <f t="shared" si="42"/>
        <v>0</v>
      </c>
      <c r="Q55" s="158">
        <f t="shared" si="42"/>
        <v>0</v>
      </c>
      <c r="R55" s="158">
        <f t="shared" si="42"/>
        <v>0</v>
      </c>
      <c r="S55" s="158">
        <f t="shared" si="42"/>
        <v>0</v>
      </c>
      <c r="T55" s="158">
        <f t="shared" si="42"/>
        <v>0</v>
      </c>
      <c r="U55" s="158">
        <f t="shared" si="42"/>
        <v>0</v>
      </c>
      <c r="V55" s="158">
        <f t="shared" si="42"/>
        <v>7</v>
      </c>
      <c r="W55" s="158">
        <f t="shared" si="42"/>
        <v>12</v>
      </c>
      <c r="X55" s="158">
        <f t="shared" si="42"/>
        <v>5</v>
      </c>
      <c r="Y55" s="158">
        <f t="shared" si="42"/>
        <v>0</v>
      </c>
      <c r="Z55" s="158">
        <f t="shared" si="42"/>
        <v>0</v>
      </c>
      <c r="AA55" s="158">
        <f t="shared" si="42"/>
        <v>0</v>
      </c>
      <c r="AB55" s="158">
        <f t="shared" si="42"/>
        <v>0</v>
      </c>
      <c r="AC55" s="158">
        <f t="shared" si="42"/>
        <v>0</v>
      </c>
      <c r="AD55" s="158">
        <f t="shared" si="42"/>
        <v>0</v>
      </c>
      <c r="AE55" s="158">
        <f t="shared" si="42"/>
        <v>0</v>
      </c>
      <c r="AF55" s="158">
        <f t="shared" si="42"/>
        <v>0</v>
      </c>
      <c r="AG55" s="158">
        <f t="shared" si="42"/>
        <v>0</v>
      </c>
      <c r="AH55" s="154" t="s">
        <v>12</v>
      </c>
      <c r="AI55" s="133"/>
      <c r="AJ55" s="155"/>
      <c r="AK55" s="137"/>
      <c r="AL55" s="137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59"/>
      <c r="BF55" s="10"/>
      <c r="BG55" s="10"/>
      <c r="BH55" s="10"/>
      <c r="BI55" s="10"/>
      <c r="BJ55" s="10"/>
      <c r="BK55" s="10"/>
      <c r="BL55" s="10"/>
      <c r="BM55" s="10"/>
      <c r="BN55" s="10"/>
      <c r="BO55" s="52" t="str">
        <f t="shared" ref="BO55:BX55" si="43">IF(BO54=$AZ48,IF(BO54="",0,$AZ48),"")</f>
        <v/>
      </c>
      <c r="BP55" s="52" t="str">
        <f t="shared" si="43"/>
        <v/>
      </c>
      <c r="BQ55" s="52" t="str">
        <f t="shared" si="43"/>
        <v/>
      </c>
      <c r="BR55" s="52" t="str">
        <f t="shared" si="43"/>
        <v/>
      </c>
      <c r="BS55" s="52" t="str">
        <f t="shared" si="43"/>
        <v/>
      </c>
      <c r="BT55" s="52" t="str">
        <f t="shared" si="43"/>
        <v/>
      </c>
      <c r="BU55" s="52" t="str">
        <f t="shared" si="43"/>
        <v/>
      </c>
      <c r="BV55" s="52" t="str">
        <f t="shared" si="43"/>
        <v/>
      </c>
      <c r="BW55" s="52" t="str">
        <f t="shared" si="43"/>
        <v/>
      </c>
      <c r="BX55" s="52">
        <f t="shared" si="43"/>
        <v>46112</v>
      </c>
      <c r="BY55" s="52">
        <f t="shared" ref="BY55:BY58" si="44">SUM(BO55:BX55)</f>
        <v>46112</v>
      </c>
      <c r="BZ55" s="98">
        <f t="shared" ref="BZ55:BZ58" si="45">IF(BY55=$AZ$48,IF(BY55="",0,31),IF(BY55=$AZ$47,IF(BY55="",0,30),IF(BY55=$AX$48,IF(BY55="",0,29),IF(BY55=$AX$47,IF(BY55="",0,28)))))</f>
        <v>31</v>
      </c>
      <c r="CA55" s="99">
        <v>31</v>
      </c>
      <c r="CB55" s="10"/>
    </row>
    <row r="56" spans="1:80" s="2" customFormat="1" ht="15.95" hidden="1" customHeight="1" x14ac:dyDescent="0.25">
      <c r="A56" s="159"/>
      <c r="B56" s="160" t="s">
        <v>68</v>
      </c>
      <c r="C56" s="161">
        <f t="shared" ref="C56:AG56" si="46">IF(C9="V",IF(C9="",0,1),0)</f>
        <v>0</v>
      </c>
      <c r="D56" s="161">
        <f t="shared" si="46"/>
        <v>0</v>
      </c>
      <c r="E56" s="161">
        <f t="shared" si="46"/>
        <v>0</v>
      </c>
      <c r="F56" s="161">
        <f t="shared" si="46"/>
        <v>0</v>
      </c>
      <c r="G56" s="161">
        <f t="shared" si="46"/>
        <v>0</v>
      </c>
      <c r="H56" s="161">
        <f t="shared" si="46"/>
        <v>0</v>
      </c>
      <c r="I56" s="161">
        <f t="shared" si="46"/>
        <v>0</v>
      </c>
      <c r="J56" s="161">
        <f t="shared" si="46"/>
        <v>0</v>
      </c>
      <c r="K56" s="161">
        <f t="shared" si="46"/>
        <v>0</v>
      </c>
      <c r="L56" s="161">
        <f t="shared" si="46"/>
        <v>0</v>
      </c>
      <c r="M56" s="161">
        <f t="shared" si="46"/>
        <v>0</v>
      </c>
      <c r="N56" s="161">
        <f t="shared" si="46"/>
        <v>0</v>
      </c>
      <c r="O56" s="161">
        <f t="shared" si="46"/>
        <v>0</v>
      </c>
      <c r="P56" s="161">
        <f t="shared" si="46"/>
        <v>0</v>
      </c>
      <c r="Q56" s="161">
        <f t="shared" si="46"/>
        <v>0</v>
      </c>
      <c r="R56" s="161">
        <f t="shared" si="46"/>
        <v>0</v>
      </c>
      <c r="S56" s="161">
        <f t="shared" si="46"/>
        <v>0</v>
      </c>
      <c r="T56" s="161">
        <f t="shared" si="46"/>
        <v>0</v>
      </c>
      <c r="U56" s="161">
        <f t="shared" si="46"/>
        <v>0</v>
      </c>
      <c r="V56" s="161">
        <f t="shared" si="46"/>
        <v>0</v>
      </c>
      <c r="W56" s="161">
        <f t="shared" si="46"/>
        <v>0</v>
      </c>
      <c r="X56" s="161">
        <f t="shared" si="46"/>
        <v>0</v>
      </c>
      <c r="Y56" s="161">
        <f t="shared" si="46"/>
        <v>0</v>
      </c>
      <c r="Z56" s="161">
        <f t="shared" si="46"/>
        <v>0</v>
      </c>
      <c r="AA56" s="161">
        <f t="shared" si="46"/>
        <v>0</v>
      </c>
      <c r="AB56" s="161">
        <f t="shared" si="46"/>
        <v>0</v>
      </c>
      <c r="AC56" s="161">
        <f t="shared" si="46"/>
        <v>0</v>
      </c>
      <c r="AD56" s="161">
        <f t="shared" si="46"/>
        <v>0</v>
      </c>
      <c r="AE56" s="161">
        <f t="shared" si="46"/>
        <v>0</v>
      </c>
      <c r="AF56" s="161">
        <f t="shared" si="46"/>
        <v>0</v>
      </c>
      <c r="AG56" s="161">
        <f t="shared" si="46"/>
        <v>0</v>
      </c>
      <c r="AH56" s="154" t="s">
        <v>12</v>
      </c>
      <c r="AI56" s="133"/>
      <c r="AJ56" s="155"/>
      <c r="AK56" s="137"/>
      <c r="AL56" s="137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59"/>
      <c r="BF56" s="10"/>
      <c r="BG56" s="10"/>
      <c r="BH56" s="10"/>
      <c r="BI56" s="10"/>
      <c r="BJ56" s="10"/>
      <c r="BK56" s="10"/>
      <c r="BL56" s="10"/>
      <c r="BM56" s="10"/>
      <c r="BN56" s="10"/>
      <c r="BO56" s="52" t="str">
        <f t="shared" ref="BO56:BX56" si="47">IF(BO54=$AZ47,IF(BO54="",0,$AZ47),"")</f>
        <v/>
      </c>
      <c r="BP56" s="52" t="str">
        <f t="shared" si="47"/>
        <v/>
      </c>
      <c r="BQ56" s="52" t="str">
        <f t="shared" si="47"/>
        <v/>
      </c>
      <c r="BR56" s="52" t="str">
        <f t="shared" si="47"/>
        <v/>
      </c>
      <c r="BS56" s="52" t="str">
        <f t="shared" si="47"/>
        <v/>
      </c>
      <c r="BT56" s="52" t="str">
        <f t="shared" si="47"/>
        <v/>
      </c>
      <c r="BU56" s="52" t="str">
        <f t="shared" si="47"/>
        <v/>
      </c>
      <c r="BV56" s="52" t="str">
        <f t="shared" si="47"/>
        <v/>
      </c>
      <c r="BW56" s="52">
        <f t="shared" si="47"/>
        <v>46111</v>
      </c>
      <c r="BX56" s="52" t="str">
        <f t="shared" si="47"/>
        <v/>
      </c>
      <c r="BY56" s="52">
        <f t="shared" si="44"/>
        <v>46111</v>
      </c>
      <c r="BZ56" s="98">
        <f t="shared" si="45"/>
        <v>30</v>
      </c>
      <c r="CA56" s="99">
        <v>30</v>
      </c>
      <c r="CB56" s="10"/>
    </row>
    <row r="57" spans="1:80" ht="15.95" hidden="1" customHeight="1" x14ac:dyDescent="0.25">
      <c r="A57" s="129"/>
      <c r="B57" s="162" t="s">
        <v>16</v>
      </c>
      <c r="C57" s="163">
        <f t="shared" ref="C57:AG57" si="48">IF(C9="PR",IF(C9="",0,1),0)</f>
        <v>0</v>
      </c>
      <c r="D57" s="163">
        <f t="shared" si="48"/>
        <v>0</v>
      </c>
      <c r="E57" s="163">
        <f t="shared" si="48"/>
        <v>0</v>
      </c>
      <c r="F57" s="163">
        <f t="shared" si="48"/>
        <v>0</v>
      </c>
      <c r="G57" s="163">
        <f t="shared" si="48"/>
        <v>0</v>
      </c>
      <c r="H57" s="163">
        <f t="shared" si="48"/>
        <v>0</v>
      </c>
      <c r="I57" s="163">
        <f t="shared" si="48"/>
        <v>0</v>
      </c>
      <c r="J57" s="163">
        <f t="shared" si="48"/>
        <v>0</v>
      </c>
      <c r="K57" s="163">
        <f t="shared" si="48"/>
        <v>0</v>
      </c>
      <c r="L57" s="163">
        <f t="shared" si="48"/>
        <v>0</v>
      </c>
      <c r="M57" s="163">
        <f t="shared" si="48"/>
        <v>0</v>
      </c>
      <c r="N57" s="163">
        <f t="shared" si="48"/>
        <v>0</v>
      </c>
      <c r="O57" s="163">
        <f t="shared" si="48"/>
        <v>0</v>
      </c>
      <c r="P57" s="163">
        <f t="shared" si="48"/>
        <v>0</v>
      </c>
      <c r="Q57" s="163">
        <f t="shared" si="48"/>
        <v>0</v>
      </c>
      <c r="R57" s="163">
        <f t="shared" si="48"/>
        <v>0</v>
      </c>
      <c r="S57" s="163">
        <f t="shared" si="48"/>
        <v>0</v>
      </c>
      <c r="T57" s="163">
        <f t="shared" si="48"/>
        <v>0</v>
      </c>
      <c r="U57" s="163">
        <f t="shared" si="48"/>
        <v>0</v>
      </c>
      <c r="V57" s="163">
        <f t="shared" si="48"/>
        <v>0</v>
      </c>
      <c r="W57" s="163">
        <f t="shared" si="48"/>
        <v>0</v>
      </c>
      <c r="X57" s="163">
        <f t="shared" si="48"/>
        <v>0</v>
      </c>
      <c r="Y57" s="163">
        <f t="shared" si="48"/>
        <v>0</v>
      </c>
      <c r="Z57" s="163">
        <f t="shared" si="48"/>
        <v>0</v>
      </c>
      <c r="AA57" s="163">
        <f t="shared" si="48"/>
        <v>0</v>
      </c>
      <c r="AB57" s="163">
        <f t="shared" si="48"/>
        <v>0</v>
      </c>
      <c r="AC57" s="163">
        <f t="shared" si="48"/>
        <v>0</v>
      </c>
      <c r="AD57" s="163">
        <f t="shared" si="48"/>
        <v>0</v>
      </c>
      <c r="AE57" s="163">
        <f t="shared" si="48"/>
        <v>0</v>
      </c>
      <c r="AF57" s="163">
        <f t="shared" si="48"/>
        <v>0</v>
      </c>
      <c r="AG57" s="163">
        <f t="shared" si="48"/>
        <v>0</v>
      </c>
      <c r="AH57" s="233">
        <f>SUM(C57:AG57)</f>
        <v>0</v>
      </c>
      <c r="AI57" s="233"/>
      <c r="AJ57" s="137" t="s">
        <v>69</v>
      </c>
      <c r="AK57" s="133"/>
      <c r="AL57" s="133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59"/>
      <c r="BF57" s="31"/>
      <c r="BG57" s="31"/>
      <c r="BH57" s="31"/>
      <c r="BI57" s="31"/>
      <c r="BJ57" s="31"/>
      <c r="BK57" s="31"/>
      <c r="BL57" s="31"/>
      <c r="BM57" s="31"/>
      <c r="BN57" s="31"/>
      <c r="BO57" s="52" t="str">
        <f t="shared" ref="BO57:BX57" si="49">IF(BO54=$AX48,IF(BO54="",0,$AX48),"")</f>
        <v/>
      </c>
      <c r="BP57" s="52" t="str">
        <f t="shared" si="49"/>
        <v/>
      </c>
      <c r="BQ57" s="52" t="str">
        <f t="shared" si="49"/>
        <v/>
      </c>
      <c r="BR57" s="52" t="str">
        <f t="shared" si="49"/>
        <v/>
      </c>
      <c r="BS57" s="52" t="str">
        <f t="shared" si="49"/>
        <v/>
      </c>
      <c r="BT57" s="52" t="str">
        <f t="shared" si="49"/>
        <v/>
      </c>
      <c r="BU57" s="52" t="str">
        <f t="shared" si="49"/>
        <v/>
      </c>
      <c r="BV57" s="52">
        <f t="shared" si="49"/>
        <v>46110</v>
      </c>
      <c r="BW57" s="52" t="str">
        <f t="shared" si="49"/>
        <v/>
      </c>
      <c r="BX57" s="52" t="str">
        <f t="shared" si="49"/>
        <v/>
      </c>
      <c r="BY57" s="52">
        <f t="shared" si="44"/>
        <v>46110</v>
      </c>
      <c r="BZ57" s="98">
        <f t="shared" si="45"/>
        <v>29</v>
      </c>
      <c r="CA57" s="99">
        <v>29</v>
      </c>
      <c r="CB57" s="31"/>
    </row>
    <row r="58" spans="1:80" s="59" customFormat="1" ht="15.95" hidden="1" customHeight="1" x14ac:dyDescent="0.25">
      <c r="A58" s="164" t="s">
        <v>70</v>
      </c>
      <c r="B58" s="165" t="s">
        <v>29</v>
      </c>
      <c r="C58" s="141">
        <f t="shared" ref="C58:AG58" si="50">IF(C10=$R32,$S32*24,IF(C10=$R33,$S33*24,IF(C10=$R34,$S34*24,IF(C10=$R35,$S35*24,IF(C10=$R36,$S36*24,IF(C10=$R37,$S37*24,IF(C10=$R38,$S38*24,IF(C10=$R39,$S39*24,IF(C10=$R40,$S40*24,"")))))))))</f>
        <v>19</v>
      </c>
      <c r="D58" s="141" t="str">
        <f t="shared" si="50"/>
        <v/>
      </c>
      <c r="E58" s="141" t="str">
        <f t="shared" si="50"/>
        <v/>
      </c>
      <c r="F58" s="141">
        <f t="shared" si="50"/>
        <v>19</v>
      </c>
      <c r="G58" s="141">
        <f t="shared" si="50"/>
        <v>19</v>
      </c>
      <c r="H58" s="141" t="str">
        <f t="shared" si="50"/>
        <v/>
      </c>
      <c r="I58" s="141" t="str">
        <f t="shared" si="50"/>
        <v/>
      </c>
      <c r="J58" s="141" t="str">
        <f t="shared" si="50"/>
        <v/>
      </c>
      <c r="K58" s="141">
        <f t="shared" si="50"/>
        <v>19</v>
      </c>
      <c r="L58" s="141">
        <f t="shared" si="50"/>
        <v>19</v>
      </c>
      <c r="M58" s="141" t="str">
        <f t="shared" si="50"/>
        <v/>
      </c>
      <c r="N58" s="141" t="str">
        <f t="shared" si="50"/>
        <v/>
      </c>
      <c r="O58" s="141">
        <f t="shared" si="50"/>
        <v>19</v>
      </c>
      <c r="P58" s="141">
        <f t="shared" si="50"/>
        <v>19</v>
      </c>
      <c r="Q58" s="141">
        <f t="shared" si="50"/>
        <v>19</v>
      </c>
      <c r="R58" s="141" t="str">
        <f t="shared" si="50"/>
        <v/>
      </c>
      <c r="S58" s="141" t="str">
        <f t="shared" si="50"/>
        <v/>
      </c>
      <c r="T58" s="141">
        <f t="shared" si="50"/>
        <v>19</v>
      </c>
      <c r="U58" s="141">
        <f t="shared" si="50"/>
        <v>19</v>
      </c>
      <c r="V58" s="141" t="str">
        <f t="shared" si="50"/>
        <v/>
      </c>
      <c r="W58" s="141" t="str">
        <f t="shared" si="50"/>
        <v/>
      </c>
      <c r="X58" s="141" t="str">
        <f t="shared" si="50"/>
        <v/>
      </c>
      <c r="Y58" s="141">
        <f t="shared" si="50"/>
        <v>19</v>
      </c>
      <c r="Z58" s="141">
        <f t="shared" si="50"/>
        <v>19</v>
      </c>
      <c r="AA58" s="141" t="str">
        <f t="shared" si="50"/>
        <v/>
      </c>
      <c r="AB58" s="141" t="str">
        <f t="shared" si="50"/>
        <v/>
      </c>
      <c r="AC58" s="141">
        <f t="shared" si="50"/>
        <v>19</v>
      </c>
      <c r="AD58" s="141">
        <f t="shared" si="50"/>
        <v>19</v>
      </c>
      <c r="AE58" s="141">
        <f t="shared" si="50"/>
        <v>19</v>
      </c>
      <c r="AF58" s="141" t="str">
        <f t="shared" si="50"/>
        <v/>
      </c>
      <c r="AG58" s="141" t="str">
        <f t="shared" si="50"/>
        <v/>
      </c>
      <c r="AH58" s="154" t="s">
        <v>12</v>
      </c>
      <c r="AI58" s="133"/>
      <c r="AJ58" s="137"/>
      <c r="AK58" s="137"/>
      <c r="AL58" s="137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1"/>
      <c r="BF58" s="56"/>
      <c r="BG58" s="56"/>
      <c r="BH58" s="56"/>
      <c r="BI58" s="56"/>
      <c r="BJ58" s="56"/>
      <c r="BK58" s="56"/>
      <c r="BL58" s="56"/>
      <c r="BM58" s="56"/>
      <c r="BN58" s="56"/>
      <c r="BO58" s="52" t="str">
        <f t="shared" ref="BO58:BX58" si="51">IF(BO54=$AX47,IF(BO54="",0,$AX47),"")</f>
        <v/>
      </c>
      <c r="BP58" s="52" t="str">
        <f t="shared" si="51"/>
        <v/>
      </c>
      <c r="BQ58" s="52" t="str">
        <f t="shared" si="51"/>
        <v/>
      </c>
      <c r="BR58" s="52" t="str">
        <f t="shared" si="51"/>
        <v/>
      </c>
      <c r="BS58" s="52" t="str">
        <f t="shared" si="51"/>
        <v/>
      </c>
      <c r="BT58" s="52" t="str">
        <f t="shared" si="51"/>
        <v/>
      </c>
      <c r="BU58" s="52">
        <f t="shared" si="51"/>
        <v>46109</v>
      </c>
      <c r="BV58" s="52" t="str">
        <f t="shared" si="51"/>
        <v/>
      </c>
      <c r="BW58" s="52" t="str">
        <f t="shared" si="51"/>
        <v/>
      </c>
      <c r="BX58" s="52" t="str">
        <f t="shared" si="51"/>
        <v/>
      </c>
      <c r="BY58" s="52">
        <f t="shared" si="44"/>
        <v>46109</v>
      </c>
      <c r="BZ58" s="52">
        <f t="shared" si="45"/>
        <v>28</v>
      </c>
      <c r="CA58" s="99">
        <v>28</v>
      </c>
      <c r="CB58" s="56"/>
    </row>
    <row r="59" spans="1:80" s="59" customFormat="1" ht="15.95" hidden="1" customHeight="1" x14ac:dyDescent="0.25">
      <c r="A59" s="166" t="s">
        <v>71</v>
      </c>
      <c r="B59" s="167" t="s">
        <v>30</v>
      </c>
      <c r="C59" s="141">
        <f t="shared" ref="C59:AG59" si="52">IF(C10=$R32,$V32*24,IF(C10=$R33,$V33*24,IF(C10=$R34,$V34*24,IF(C10=$R35,$V35*24,IF(C10=$R36,$V36*24,IF(C10=$R37,$V37*24,IF(C10=$R38,$V38*24,IF(C10=$R39,$V39*24,IF(C10=$R40,$V40*24,"")))))))))</f>
        <v>7</v>
      </c>
      <c r="D59" s="141" t="str">
        <f t="shared" si="52"/>
        <v/>
      </c>
      <c r="E59" s="141" t="str">
        <f t="shared" si="52"/>
        <v/>
      </c>
      <c r="F59" s="141">
        <f t="shared" si="52"/>
        <v>7</v>
      </c>
      <c r="G59" s="141">
        <f t="shared" si="52"/>
        <v>7</v>
      </c>
      <c r="H59" s="141" t="str">
        <f t="shared" si="52"/>
        <v/>
      </c>
      <c r="I59" s="141" t="str">
        <f t="shared" si="52"/>
        <v/>
      </c>
      <c r="J59" s="141" t="str">
        <f t="shared" si="52"/>
        <v/>
      </c>
      <c r="K59" s="141">
        <f t="shared" si="52"/>
        <v>7</v>
      </c>
      <c r="L59" s="141">
        <f t="shared" si="52"/>
        <v>7</v>
      </c>
      <c r="M59" s="141" t="str">
        <f t="shared" si="52"/>
        <v/>
      </c>
      <c r="N59" s="141" t="str">
        <f t="shared" si="52"/>
        <v/>
      </c>
      <c r="O59" s="141">
        <f t="shared" si="52"/>
        <v>7</v>
      </c>
      <c r="P59" s="141">
        <f t="shared" si="52"/>
        <v>7</v>
      </c>
      <c r="Q59" s="141">
        <f t="shared" si="52"/>
        <v>7</v>
      </c>
      <c r="R59" s="141" t="str">
        <f t="shared" si="52"/>
        <v/>
      </c>
      <c r="S59" s="141" t="str">
        <f t="shared" si="52"/>
        <v/>
      </c>
      <c r="T59" s="141">
        <f t="shared" si="52"/>
        <v>7</v>
      </c>
      <c r="U59" s="141">
        <f t="shared" si="52"/>
        <v>7</v>
      </c>
      <c r="V59" s="141" t="str">
        <f t="shared" si="52"/>
        <v/>
      </c>
      <c r="W59" s="141" t="str">
        <f t="shared" si="52"/>
        <v/>
      </c>
      <c r="X59" s="141" t="str">
        <f t="shared" si="52"/>
        <v/>
      </c>
      <c r="Y59" s="141">
        <f t="shared" si="52"/>
        <v>7</v>
      </c>
      <c r="Z59" s="141">
        <f t="shared" si="52"/>
        <v>7</v>
      </c>
      <c r="AA59" s="141" t="str">
        <f t="shared" si="52"/>
        <v/>
      </c>
      <c r="AB59" s="141" t="str">
        <f t="shared" si="52"/>
        <v/>
      </c>
      <c r="AC59" s="141">
        <f t="shared" si="52"/>
        <v>7</v>
      </c>
      <c r="AD59" s="141">
        <f t="shared" si="52"/>
        <v>7</v>
      </c>
      <c r="AE59" s="141">
        <f t="shared" si="52"/>
        <v>7</v>
      </c>
      <c r="AF59" s="141" t="str">
        <f t="shared" si="52"/>
        <v/>
      </c>
      <c r="AG59" s="141" t="str">
        <f t="shared" si="52"/>
        <v/>
      </c>
      <c r="AH59" s="154" t="s">
        <v>12</v>
      </c>
      <c r="AI59" s="133"/>
      <c r="AJ59" s="137"/>
      <c r="AK59" s="137"/>
      <c r="AL59" s="137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1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100" t="s">
        <v>56</v>
      </c>
      <c r="BZ59" s="52">
        <f>SUM(BZ55:BZ58)</f>
        <v>118</v>
      </c>
      <c r="CA59" s="53">
        <f>IF(BZ59=118,31,IF(BZ59=90,31,IF(BZ59=61,31,IF(BZ59=31,31,IF(BZ59=87,30,IF(BZ59=59,30,IF(BZ59=30,30,IF(BZ59=57,29,IF(BZ59=29,29,IF(BZ59=28,28,""))))))))))</f>
        <v>31</v>
      </c>
      <c r="CB59" s="10"/>
    </row>
    <row r="60" spans="1:80" s="59" customFormat="1" ht="15.95" hidden="1" customHeight="1" x14ac:dyDescent="0.25">
      <c r="A60" s="153"/>
      <c r="B60" s="168" t="s">
        <v>34</v>
      </c>
      <c r="C60" s="169">
        <f t="shared" ref="C60:AD60" si="53">IF(C10=$R32,$BD32*24,IF(C10=$R33,$BD33*24,IF(C10=$R34,$BD34*24,IF(C10=$R35,$BD35*24,IF(C10=$R36,$BD36*24,IF(C10=$R37,$BD37*24,IF(C10=$R38,$BD38*24,IF(C10=$R39,$BD39*24,IF(C10=$R40,$BD40*24,"")))))))))</f>
        <v>8</v>
      </c>
      <c r="D60" s="169" t="str">
        <f t="shared" si="53"/>
        <v/>
      </c>
      <c r="E60" s="169" t="str">
        <f t="shared" si="53"/>
        <v/>
      </c>
      <c r="F60" s="169">
        <f t="shared" si="53"/>
        <v>8</v>
      </c>
      <c r="G60" s="169">
        <f t="shared" si="53"/>
        <v>8</v>
      </c>
      <c r="H60" s="169" t="str">
        <f t="shared" si="53"/>
        <v/>
      </c>
      <c r="I60" s="169" t="str">
        <f t="shared" si="53"/>
        <v/>
      </c>
      <c r="J60" s="169" t="str">
        <f t="shared" si="53"/>
        <v/>
      </c>
      <c r="K60" s="169">
        <f t="shared" si="53"/>
        <v>8</v>
      </c>
      <c r="L60" s="169">
        <f t="shared" si="53"/>
        <v>8</v>
      </c>
      <c r="M60" s="169" t="str">
        <f t="shared" si="53"/>
        <v/>
      </c>
      <c r="N60" s="169" t="str">
        <f t="shared" si="53"/>
        <v/>
      </c>
      <c r="O60" s="169">
        <f t="shared" si="53"/>
        <v>8</v>
      </c>
      <c r="P60" s="169">
        <f t="shared" si="53"/>
        <v>8</v>
      </c>
      <c r="Q60" s="169">
        <f t="shared" si="53"/>
        <v>8</v>
      </c>
      <c r="R60" s="169" t="str">
        <f t="shared" si="53"/>
        <v/>
      </c>
      <c r="S60" s="169" t="str">
        <f t="shared" si="53"/>
        <v/>
      </c>
      <c r="T60" s="169">
        <f t="shared" si="53"/>
        <v>8</v>
      </c>
      <c r="U60" s="169">
        <f t="shared" si="53"/>
        <v>8</v>
      </c>
      <c r="V60" s="169" t="str">
        <f t="shared" si="53"/>
        <v/>
      </c>
      <c r="W60" s="169" t="str">
        <f t="shared" si="53"/>
        <v/>
      </c>
      <c r="X60" s="169" t="str">
        <f t="shared" si="53"/>
        <v/>
      </c>
      <c r="Y60" s="169">
        <f t="shared" si="53"/>
        <v>8</v>
      </c>
      <c r="Z60" s="169">
        <f t="shared" si="53"/>
        <v>8</v>
      </c>
      <c r="AA60" s="169" t="str">
        <f t="shared" si="53"/>
        <v/>
      </c>
      <c r="AB60" s="169" t="str">
        <f t="shared" si="53"/>
        <v/>
      </c>
      <c r="AC60" s="169">
        <f t="shared" si="53"/>
        <v>8</v>
      </c>
      <c r="AD60" s="169">
        <f t="shared" si="53"/>
        <v>8</v>
      </c>
      <c r="AE60" s="169">
        <f>IF(AE10=$R32,$BD32*24,IF(AE10=$R33,$BD33*24,IF(AE10=$R34,$BD34*24,IF(AE10=$R35,$BD35*24,IF(AE10=$R36,$BD36*24,IF(AE10=$R37,$BD37*24,IF(AE10=$R38,$BD38*24,IF(AE10=$R39,$BD39*24,IF(AE10=$R40,$BD40*24,"")))))))))</f>
        <v>8</v>
      </c>
      <c r="AF60" s="169" t="str">
        <f>IF(AF10=$R32,$BD32*24,IF(AF10=$R33,$BD33*24,IF(AF10=$R34,$BD34*24,IF(AF10=$R35,$BD35*24,IF(AF10=$R36,$BD36*24,IF(AF10=$R37,$BD37*24,IF(AF10=$R38,$BD38*24,IF(AF10=$R39,$BD39*24,IF(AF10=$R40,$BD40*24,"")))))))))</f>
        <v/>
      </c>
      <c r="AG60" s="169" t="str">
        <f>IF(AG10=$R32,$BD32*24,IF(AG10=$R33,$BD33*24,IF(AG10=$R34,$BD34*24,IF(AG10=$R35,$BD35*24,IF(AG10=$R36,$BD36*24,IF(AG10=$R37,$BD37*24,IF(AG10=$R38,$BD38*24,IF(AG10=$R39,$BD39*24,IF(AG10=$R40,$BD40*24,"")))))))))</f>
        <v/>
      </c>
      <c r="AH60" s="148">
        <f>SUM(C60:AG60)</f>
        <v>120</v>
      </c>
      <c r="AI60" s="133"/>
      <c r="AJ60" s="137"/>
      <c r="AK60" s="137"/>
      <c r="AL60" s="137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1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101">
        <f>CA59</f>
        <v>31</v>
      </c>
      <c r="CB60" s="56"/>
    </row>
    <row r="61" spans="1:80" s="59" customFormat="1" ht="15.95" hidden="1" customHeight="1" x14ac:dyDescent="0.25">
      <c r="A61" s="153"/>
      <c r="B61" s="167" t="s">
        <v>59</v>
      </c>
      <c r="C61" s="141">
        <f t="shared" ref="C61:AG61" si="54">IF(C10="V",$C36,IF(C10="PR",$C38,0))</f>
        <v>0</v>
      </c>
      <c r="D61" s="141">
        <f t="shared" si="54"/>
        <v>0</v>
      </c>
      <c r="E61" s="141">
        <f t="shared" si="54"/>
        <v>0</v>
      </c>
      <c r="F61" s="141">
        <f t="shared" si="54"/>
        <v>0</v>
      </c>
      <c r="G61" s="141">
        <f t="shared" si="54"/>
        <v>0</v>
      </c>
      <c r="H61" s="141">
        <f t="shared" si="54"/>
        <v>0</v>
      </c>
      <c r="I61" s="141">
        <f t="shared" si="54"/>
        <v>0</v>
      </c>
      <c r="J61" s="141">
        <f t="shared" si="54"/>
        <v>0</v>
      </c>
      <c r="K61" s="141">
        <f t="shared" si="54"/>
        <v>0</v>
      </c>
      <c r="L61" s="141">
        <f t="shared" si="54"/>
        <v>0</v>
      </c>
      <c r="M61" s="141">
        <f t="shared" si="54"/>
        <v>0</v>
      </c>
      <c r="N61" s="141">
        <f t="shared" si="54"/>
        <v>0</v>
      </c>
      <c r="O61" s="141">
        <f t="shared" si="54"/>
        <v>0</v>
      </c>
      <c r="P61" s="141">
        <f t="shared" si="54"/>
        <v>0</v>
      </c>
      <c r="Q61" s="141">
        <f t="shared" si="54"/>
        <v>0</v>
      </c>
      <c r="R61" s="141">
        <f t="shared" si="54"/>
        <v>0</v>
      </c>
      <c r="S61" s="141">
        <f t="shared" si="54"/>
        <v>0</v>
      </c>
      <c r="T61" s="141">
        <f t="shared" si="54"/>
        <v>0</v>
      </c>
      <c r="U61" s="141">
        <f t="shared" si="54"/>
        <v>0</v>
      </c>
      <c r="V61" s="141">
        <f t="shared" si="54"/>
        <v>0</v>
      </c>
      <c r="W61" s="141">
        <f t="shared" si="54"/>
        <v>0</v>
      </c>
      <c r="X61" s="141">
        <f t="shared" si="54"/>
        <v>0</v>
      </c>
      <c r="Y61" s="141">
        <f t="shared" si="54"/>
        <v>0</v>
      </c>
      <c r="Z61" s="141">
        <f t="shared" si="54"/>
        <v>0</v>
      </c>
      <c r="AA61" s="141">
        <f t="shared" si="54"/>
        <v>0</v>
      </c>
      <c r="AB61" s="141">
        <f t="shared" si="54"/>
        <v>0</v>
      </c>
      <c r="AC61" s="141">
        <f t="shared" si="54"/>
        <v>0</v>
      </c>
      <c r="AD61" s="141">
        <f t="shared" si="54"/>
        <v>0</v>
      </c>
      <c r="AE61" s="141">
        <f t="shared" si="54"/>
        <v>0</v>
      </c>
      <c r="AF61" s="141">
        <f t="shared" si="54"/>
        <v>0</v>
      </c>
      <c r="AG61" s="141">
        <f t="shared" si="54"/>
        <v>0</v>
      </c>
      <c r="AH61" s="226">
        <f>SUM(C61:AG61)</f>
        <v>0</v>
      </c>
      <c r="AI61" s="226"/>
      <c r="AJ61" s="137" t="s">
        <v>12</v>
      </c>
      <c r="AK61" s="137"/>
      <c r="AL61" s="137"/>
      <c r="BE61" s="1"/>
      <c r="BU61" s="60" t="str">
        <f>BS50</f>
        <v>ju</v>
      </c>
      <c r="BV61" s="60" t="str">
        <f>BT50</f>
        <v>vi</v>
      </c>
      <c r="BW61" s="60" t="str">
        <f>BU50</f>
        <v>sa</v>
      </c>
      <c r="BX61" s="60" t="str">
        <f>BV50</f>
        <v>do</v>
      </c>
      <c r="BY61" s="60" t="str">
        <f>BW50</f>
        <v>lu</v>
      </c>
    </row>
    <row r="62" spans="1:80" s="59" customFormat="1" ht="15.95" hidden="1" customHeight="1" x14ac:dyDescent="0.25">
      <c r="A62" s="150" t="s">
        <v>60</v>
      </c>
      <c r="B62" s="167" t="s">
        <v>61</v>
      </c>
      <c r="C62" s="151">
        <f t="shared" ref="C62:AD62" si="55">IF(C10=$R32,$BC32,IF(C10=$R33,$BC33,IF(C10=$R34,$BC34,IF(C10=$R35,$BC35,IF(C10=$R36,$BC36,IF(C10=$R37,$BC37,IF(C10=$R38,$BC38,IF(C10=$R39,$BC39,IF(C10=$R40,$BC40,0)))))))))</f>
        <v>12</v>
      </c>
      <c r="D62" s="151">
        <f t="shared" si="55"/>
        <v>0</v>
      </c>
      <c r="E62" s="151">
        <f t="shared" si="55"/>
        <v>0</v>
      </c>
      <c r="F62" s="151">
        <f t="shared" si="55"/>
        <v>12</v>
      </c>
      <c r="G62" s="151">
        <f t="shared" si="55"/>
        <v>12</v>
      </c>
      <c r="H62" s="151">
        <f t="shared" si="55"/>
        <v>0</v>
      </c>
      <c r="I62" s="151">
        <f t="shared" si="55"/>
        <v>0</v>
      </c>
      <c r="J62" s="151">
        <f t="shared" si="55"/>
        <v>0</v>
      </c>
      <c r="K62" s="151">
        <f t="shared" si="55"/>
        <v>12</v>
      </c>
      <c r="L62" s="151">
        <f t="shared" si="55"/>
        <v>12</v>
      </c>
      <c r="M62" s="151">
        <f t="shared" si="55"/>
        <v>0</v>
      </c>
      <c r="N62" s="151">
        <f t="shared" si="55"/>
        <v>0</v>
      </c>
      <c r="O62" s="151">
        <f t="shared" si="55"/>
        <v>12</v>
      </c>
      <c r="P62" s="151">
        <f t="shared" si="55"/>
        <v>12</v>
      </c>
      <c r="Q62" s="151">
        <f t="shared" si="55"/>
        <v>12</v>
      </c>
      <c r="R62" s="151">
        <f t="shared" si="55"/>
        <v>0</v>
      </c>
      <c r="S62" s="151">
        <f t="shared" si="55"/>
        <v>0</v>
      </c>
      <c r="T62" s="151">
        <f t="shared" si="55"/>
        <v>12</v>
      </c>
      <c r="U62" s="151">
        <f t="shared" si="55"/>
        <v>12</v>
      </c>
      <c r="V62" s="151">
        <f t="shared" si="55"/>
        <v>0</v>
      </c>
      <c r="W62" s="151">
        <f t="shared" si="55"/>
        <v>0</v>
      </c>
      <c r="X62" s="151">
        <f t="shared" si="55"/>
        <v>0</v>
      </c>
      <c r="Y62" s="151">
        <f t="shared" si="55"/>
        <v>12</v>
      </c>
      <c r="Z62" s="151">
        <f t="shared" si="55"/>
        <v>12</v>
      </c>
      <c r="AA62" s="151">
        <f t="shared" si="55"/>
        <v>0</v>
      </c>
      <c r="AB62" s="151">
        <f t="shared" si="55"/>
        <v>0</v>
      </c>
      <c r="AC62" s="151">
        <f t="shared" si="55"/>
        <v>12</v>
      </c>
      <c r="AD62" s="151">
        <f t="shared" si="55"/>
        <v>12</v>
      </c>
      <c r="AE62" s="151">
        <f>IF(AE10=$R32,$BC32,IF(AE10=$R33,$BC33,IF(AE10=$R34,$BC34,IF(AE10=$R35,$BC35,IF(AE10=$R36,$BC36,IF(AE10=$R37,$BC37,IF(AE10=$R38,$BC38,IF(AE10=$R39,$BC39,IF(AE10=$R40,$BC40,0)))))))))</f>
        <v>12</v>
      </c>
      <c r="AF62" s="151">
        <f>IF(AF10=$R32,$BC32,IF(AF10=$R33,$BC33,IF(AF10=$R34,$BC34,IF(AF10=$R35,$BC35,IF(AF10=$R36,$BC36,IF(AF10=$R37,$BC37,IF(AF10=$R38,$BC38,IF(AF10=$R39,$BC39,IF(AF10=$R40,$BC40,0)))))))))</f>
        <v>0</v>
      </c>
      <c r="AG62" s="151">
        <f>IF(AG10=$R32,$BC32,IF(AG10=$R33,$BC33,IF(AG10=$R34,$BC34,IF(AG10=$R35,$BC35,IF(AG10=$R36,$BC36,IF(AG10=$R37,$BC37,IF(AG10=$R38,$BC38,IF(AG10=$R39,$BC39,IF(AG10=$R40,$BC40,0)))))))))</f>
        <v>0</v>
      </c>
      <c r="AH62" s="226">
        <f>SUM(C62:AG62)</f>
        <v>180</v>
      </c>
      <c r="AI62" s="226"/>
      <c r="AJ62" s="137" t="s">
        <v>62</v>
      </c>
      <c r="AK62" s="137" t="s">
        <v>12</v>
      </c>
      <c r="AL62" s="137"/>
      <c r="BE62" s="1"/>
      <c r="BU62" s="61">
        <v>28</v>
      </c>
      <c r="BV62" s="61">
        <v>29</v>
      </c>
      <c r="BW62" s="61">
        <v>30</v>
      </c>
      <c r="BX62" s="61">
        <v>31</v>
      </c>
      <c r="BY62" s="61">
        <v>1</v>
      </c>
    </row>
    <row r="63" spans="1:80" s="59" customFormat="1" ht="15.95" hidden="1" customHeight="1" x14ac:dyDescent="0.25">
      <c r="A63" s="153" t="s">
        <v>48</v>
      </c>
      <c r="B63" s="149" t="s">
        <v>63</v>
      </c>
      <c r="C63" s="141">
        <f t="shared" ref="C63:AG63" si="56">IF(C46=1,IF(C58&lt;C59,C62,0))</f>
        <v>0</v>
      </c>
      <c r="D63" s="141" t="b">
        <f t="shared" si="56"/>
        <v>0</v>
      </c>
      <c r="E63" s="141" t="b">
        <f t="shared" si="56"/>
        <v>0</v>
      </c>
      <c r="F63" s="141" t="b">
        <f t="shared" si="56"/>
        <v>0</v>
      </c>
      <c r="G63" s="141" t="b">
        <f t="shared" si="56"/>
        <v>0</v>
      </c>
      <c r="H63" s="141" t="b">
        <f t="shared" si="56"/>
        <v>0</v>
      </c>
      <c r="I63" s="141">
        <f t="shared" si="56"/>
        <v>0</v>
      </c>
      <c r="J63" s="141">
        <f t="shared" si="56"/>
        <v>0</v>
      </c>
      <c r="K63" s="141" t="b">
        <f t="shared" si="56"/>
        <v>0</v>
      </c>
      <c r="L63" s="141" t="b">
        <f t="shared" si="56"/>
        <v>0</v>
      </c>
      <c r="M63" s="141" t="b">
        <f t="shared" si="56"/>
        <v>0</v>
      </c>
      <c r="N63" s="141" t="b">
        <f t="shared" si="56"/>
        <v>0</v>
      </c>
      <c r="O63" s="141" t="b">
        <f t="shared" si="56"/>
        <v>0</v>
      </c>
      <c r="P63" s="141">
        <f t="shared" si="56"/>
        <v>0</v>
      </c>
      <c r="Q63" s="141">
        <f t="shared" si="56"/>
        <v>0</v>
      </c>
      <c r="R63" s="141" t="b">
        <f t="shared" si="56"/>
        <v>0</v>
      </c>
      <c r="S63" s="141" t="b">
        <f t="shared" si="56"/>
        <v>0</v>
      </c>
      <c r="T63" s="141" t="b">
        <f t="shared" si="56"/>
        <v>0</v>
      </c>
      <c r="U63" s="141" t="b">
        <f t="shared" si="56"/>
        <v>0</v>
      </c>
      <c r="V63" s="141" t="b">
        <f t="shared" si="56"/>
        <v>0</v>
      </c>
      <c r="W63" s="141">
        <f t="shared" si="56"/>
        <v>0</v>
      </c>
      <c r="X63" s="141">
        <f t="shared" si="56"/>
        <v>0</v>
      </c>
      <c r="Y63" s="141" t="b">
        <f t="shared" si="56"/>
        <v>0</v>
      </c>
      <c r="Z63" s="141" t="b">
        <f t="shared" si="56"/>
        <v>0</v>
      </c>
      <c r="AA63" s="141" t="b">
        <f t="shared" si="56"/>
        <v>0</v>
      </c>
      <c r="AB63" s="141" t="b">
        <f t="shared" si="56"/>
        <v>0</v>
      </c>
      <c r="AC63" s="141" t="b">
        <f t="shared" si="56"/>
        <v>0</v>
      </c>
      <c r="AD63" s="141">
        <f t="shared" si="56"/>
        <v>0</v>
      </c>
      <c r="AE63" s="141">
        <f t="shared" si="56"/>
        <v>0</v>
      </c>
      <c r="AF63" s="141" t="b">
        <f t="shared" si="56"/>
        <v>0</v>
      </c>
      <c r="AG63" s="141" t="b">
        <f t="shared" si="56"/>
        <v>0</v>
      </c>
      <c r="AH63" s="142" t="s">
        <v>12</v>
      </c>
      <c r="AI63" s="133"/>
      <c r="AJ63" s="137"/>
      <c r="AK63" s="137"/>
      <c r="AL63" s="137"/>
      <c r="BE63" s="1"/>
      <c r="BV63" s="102" t="str">
        <f>IF(CA59=28,IF(CA59="",0,1),IF(CA59=1,IF(CA59="",0,1),""))</f>
        <v/>
      </c>
      <c r="BW63" s="102" t="str">
        <f>IF(CA59=29,IF(CA59="",0,1),IF(CA59=1,IF(CA59="",0,1),""))</f>
        <v/>
      </c>
      <c r="BX63" s="102" t="str">
        <f>IF(CA59=30,IF(CA59="",0,1),IF(CA59=1,IF(CA59="",0,1),""))</f>
        <v/>
      </c>
      <c r="BY63" s="102">
        <f>IF(CA59=31,IF(CA59="",0,1),IF(CA59=1,IF(CA59="",0,1),""))</f>
        <v>1</v>
      </c>
    </row>
    <row r="64" spans="1:80" ht="15.95" hidden="1" customHeight="1" x14ac:dyDescent="0.25">
      <c r="A64" s="153"/>
      <c r="B64" s="149" t="s">
        <v>64</v>
      </c>
      <c r="C64" s="141">
        <f t="shared" ref="C64:AG64" si="57">IF(C46=1,IF(C58&gt;C59,24-C58,0),0)</f>
        <v>5</v>
      </c>
      <c r="D64" s="141">
        <f t="shared" si="57"/>
        <v>0</v>
      </c>
      <c r="E64" s="141">
        <f t="shared" si="57"/>
        <v>0</v>
      </c>
      <c r="F64" s="141">
        <f t="shared" si="57"/>
        <v>0</v>
      </c>
      <c r="G64" s="141">
        <f t="shared" si="57"/>
        <v>0</v>
      </c>
      <c r="H64" s="141">
        <f t="shared" si="57"/>
        <v>0</v>
      </c>
      <c r="I64" s="141">
        <f t="shared" si="57"/>
        <v>0</v>
      </c>
      <c r="J64" s="141">
        <f t="shared" si="57"/>
        <v>0</v>
      </c>
      <c r="K64" s="141">
        <f t="shared" si="57"/>
        <v>0</v>
      </c>
      <c r="L64" s="141">
        <f t="shared" si="57"/>
        <v>0</v>
      </c>
      <c r="M64" s="141">
        <f t="shared" si="57"/>
        <v>0</v>
      </c>
      <c r="N64" s="141">
        <f t="shared" si="57"/>
        <v>0</v>
      </c>
      <c r="O64" s="141">
        <f t="shared" si="57"/>
        <v>0</v>
      </c>
      <c r="P64" s="141">
        <f t="shared" si="57"/>
        <v>5</v>
      </c>
      <c r="Q64" s="141">
        <f t="shared" si="57"/>
        <v>5</v>
      </c>
      <c r="R64" s="141">
        <f t="shared" si="57"/>
        <v>0</v>
      </c>
      <c r="S64" s="141">
        <f t="shared" si="57"/>
        <v>0</v>
      </c>
      <c r="T64" s="141">
        <f t="shared" si="57"/>
        <v>0</v>
      </c>
      <c r="U64" s="141">
        <f t="shared" si="57"/>
        <v>0</v>
      </c>
      <c r="V64" s="141">
        <f t="shared" si="57"/>
        <v>0</v>
      </c>
      <c r="W64" s="141">
        <f t="shared" si="57"/>
        <v>0</v>
      </c>
      <c r="X64" s="141">
        <f t="shared" si="57"/>
        <v>0</v>
      </c>
      <c r="Y64" s="141">
        <f t="shared" si="57"/>
        <v>0</v>
      </c>
      <c r="Z64" s="141">
        <f t="shared" si="57"/>
        <v>0</v>
      </c>
      <c r="AA64" s="141">
        <f t="shared" si="57"/>
        <v>0</v>
      </c>
      <c r="AB64" s="141">
        <f t="shared" si="57"/>
        <v>0</v>
      </c>
      <c r="AC64" s="141">
        <f t="shared" si="57"/>
        <v>0</v>
      </c>
      <c r="AD64" s="141">
        <f t="shared" si="57"/>
        <v>5</v>
      </c>
      <c r="AE64" s="141">
        <f t="shared" si="57"/>
        <v>5</v>
      </c>
      <c r="AF64" s="141">
        <f t="shared" si="57"/>
        <v>0</v>
      </c>
      <c r="AG64" s="141">
        <f t="shared" si="57"/>
        <v>0</v>
      </c>
      <c r="AH64" s="142" t="s">
        <v>12</v>
      </c>
      <c r="AI64" s="133"/>
      <c r="AJ64" s="170"/>
      <c r="AK64" s="133"/>
      <c r="AL64" s="133"/>
      <c r="BU64" s="45" t="s">
        <v>72</v>
      </c>
      <c r="BV64" s="102" t="b">
        <f>IF(BV61="sa",IF(BV61="",0,"1"),IF(BV61="do",IF(BV61="",0,"1")))</f>
        <v>0</v>
      </c>
      <c r="BW64" s="102" t="str">
        <f>IF(BW61="sa",IF(BW61="",0,"1"),IF(BW61="do",IF(BW61="",0,"1")))</f>
        <v>1</v>
      </c>
      <c r="BX64" s="102" t="str">
        <f>IF(BX61="sa",IF(BX61="",0,"1"),IF(BX61="do",IF(BX61="",0,"1")))</f>
        <v>1</v>
      </c>
      <c r="BY64" s="102" t="b">
        <f>IF(BY61="sa",IF(BY61="",0,"1"),IF(BY61="do",IF(BY61="",0,"1")))</f>
        <v>0</v>
      </c>
    </row>
    <row r="65" spans="1:77" ht="15.95" hidden="1" customHeight="1" x14ac:dyDescent="0.25">
      <c r="A65" s="153"/>
      <c r="B65" s="149" t="s">
        <v>65</v>
      </c>
      <c r="C65" s="141">
        <f t="shared" ref="C65:AG65" si="58">IF(D46=1,IF(C58&gt;C59,C59,0),0)</f>
        <v>0</v>
      </c>
      <c r="D65" s="141">
        <f t="shared" si="58"/>
        <v>0</v>
      </c>
      <c r="E65" s="141">
        <f t="shared" si="58"/>
        <v>0</v>
      </c>
      <c r="F65" s="141">
        <f t="shared" si="58"/>
        <v>0</v>
      </c>
      <c r="G65" s="141">
        <f t="shared" si="58"/>
        <v>0</v>
      </c>
      <c r="H65" s="141">
        <f t="shared" si="58"/>
        <v>0</v>
      </c>
      <c r="I65" s="141">
        <f t="shared" si="58"/>
        <v>0</v>
      </c>
      <c r="J65" s="141">
        <f t="shared" si="58"/>
        <v>0</v>
      </c>
      <c r="K65" s="141">
        <f t="shared" si="58"/>
        <v>0</v>
      </c>
      <c r="L65" s="141">
        <f t="shared" si="58"/>
        <v>0</v>
      </c>
      <c r="M65" s="141">
        <f t="shared" si="58"/>
        <v>0</v>
      </c>
      <c r="N65" s="141">
        <f t="shared" si="58"/>
        <v>0</v>
      </c>
      <c r="O65" s="141">
        <f t="shared" si="58"/>
        <v>7</v>
      </c>
      <c r="P65" s="141">
        <f t="shared" si="58"/>
        <v>7</v>
      </c>
      <c r="Q65" s="141">
        <f t="shared" si="58"/>
        <v>0</v>
      </c>
      <c r="R65" s="141">
        <f t="shared" si="58"/>
        <v>0</v>
      </c>
      <c r="S65" s="141">
        <f t="shared" si="58"/>
        <v>0</v>
      </c>
      <c r="T65" s="141">
        <f t="shared" si="58"/>
        <v>0</v>
      </c>
      <c r="U65" s="141">
        <f t="shared" si="58"/>
        <v>0</v>
      </c>
      <c r="V65" s="141">
        <f t="shared" si="58"/>
        <v>0</v>
      </c>
      <c r="W65" s="141">
        <f t="shared" si="58"/>
        <v>0</v>
      </c>
      <c r="X65" s="141">
        <f>IF(Y46=1,IF(X58&gt;X59,X59,0),0)</f>
        <v>0</v>
      </c>
      <c r="Y65" s="141">
        <f t="shared" si="58"/>
        <v>0</v>
      </c>
      <c r="Z65" s="141">
        <f t="shared" si="58"/>
        <v>0</v>
      </c>
      <c r="AA65" s="141">
        <f t="shared" si="58"/>
        <v>0</v>
      </c>
      <c r="AB65" s="141">
        <f t="shared" si="58"/>
        <v>0</v>
      </c>
      <c r="AC65" s="141">
        <f t="shared" si="58"/>
        <v>7</v>
      </c>
      <c r="AD65" s="141">
        <f t="shared" si="58"/>
        <v>7</v>
      </c>
      <c r="AE65" s="141">
        <f t="shared" si="58"/>
        <v>0</v>
      </c>
      <c r="AF65" s="141">
        <f t="shared" si="58"/>
        <v>0</v>
      </c>
      <c r="AG65" s="141">
        <f t="shared" si="58"/>
        <v>0</v>
      </c>
      <c r="AH65" s="142" t="s">
        <v>12</v>
      </c>
      <c r="AI65" s="133"/>
      <c r="AJ65" s="170"/>
      <c r="AK65" s="133"/>
      <c r="AL65" s="133"/>
    </row>
    <row r="66" spans="1:77" ht="15.95" hidden="1" customHeight="1" x14ac:dyDescent="0.25">
      <c r="A66" s="153"/>
      <c r="B66" s="149" t="s">
        <v>67</v>
      </c>
      <c r="C66" s="171">
        <f t="shared" ref="C66:AG66" si="59">SUM(C63:C65)</f>
        <v>5</v>
      </c>
      <c r="D66" s="171">
        <f t="shared" si="59"/>
        <v>0</v>
      </c>
      <c r="E66" s="171">
        <f t="shared" si="59"/>
        <v>0</v>
      </c>
      <c r="F66" s="171">
        <f t="shared" si="59"/>
        <v>0</v>
      </c>
      <c r="G66" s="171">
        <f t="shared" si="59"/>
        <v>0</v>
      </c>
      <c r="H66" s="171">
        <f t="shared" si="59"/>
        <v>0</v>
      </c>
      <c r="I66" s="171">
        <f t="shared" si="59"/>
        <v>0</v>
      </c>
      <c r="J66" s="171">
        <f t="shared" si="59"/>
        <v>0</v>
      </c>
      <c r="K66" s="171">
        <f t="shared" si="59"/>
        <v>0</v>
      </c>
      <c r="L66" s="171">
        <f t="shared" si="59"/>
        <v>0</v>
      </c>
      <c r="M66" s="171">
        <f t="shared" si="59"/>
        <v>0</v>
      </c>
      <c r="N66" s="171">
        <f t="shared" si="59"/>
        <v>0</v>
      </c>
      <c r="O66" s="171">
        <f t="shared" si="59"/>
        <v>7</v>
      </c>
      <c r="P66" s="171">
        <f t="shared" si="59"/>
        <v>12</v>
      </c>
      <c r="Q66" s="171">
        <f t="shared" si="59"/>
        <v>5</v>
      </c>
      <c r="R66" s="171">
        <f t="shared" si="59"/>
        <v>0</v>
      </c>
      <c r="S66" s="171">
        <f t="shared" si="59"/>
        <v>0</v>
      </c>
      <c r="T66" s="171">
        <f t="shared" si="59"/>
        <v>0</v>
      </c>
      <c r="U66" s="171">
        <f t="shared" si="59"/>
        <v>0</v>
      </c>
      <c r="V66" s="171">
        <f t="shared" si="59"/>
        <v>0</v>
      </c>
      <c r="W66" s="171">
        <f t="shared" si="59"/>
        <v>0</v>
      </c>
      <c r="X66" s="171">
        <f t="shared" si="59"/>
        <v>0</v>
      </c>
      <c r="Y66" s="171">
        <f t="shared" si="59"/>
        <v>0</v>
      </c>
      <c r="Z66" s="171">
        <f t="shared" si="59"/>
        <v>0</v>
      </c>
      <c r="AA66" s="171">
        <f t="shared" si="59"/>
        <v>0</v>
      </c>
      <c r="AB66" s="171">
        <f t="shared" si="59"/>
        <v>0</v>
      </c>
      <c r="AC66" s="171">
        <f t="shared" si="59"/>
        <v>7</v>
      </c>
      <c r="AD66" s="171">
        <f t="shared" si="59"/>
        <v>12</v>
      </c>
      <c r="AE66" s="171">
        <f t="shared" si="59"/>
        <v>5</v>
      </c>
      <c r="AF66" s="171">
        <f t="shared" si="59"/>
        <v>0</v>
      </c>
      <c r="AG66" s="171">
        <f t="shared" si="59"/>
        <v>0</v>
      </c>
      <c r="AH66" s="142" t="s">
        <v>12</v>
      </c>
      <c r="AI66" s="133"/>
      <c r="AJ66" s="170"/>
      <c r="AK66" s="133"/>
      <c r="AL66" s="133"/>
      <c r="BU66" s="62"/>
      <c r="BV66" s="63" t="str">
        <f t="shared" ref="BV66:BY67" si="60">IF(BV65=2,IF(BV65="",0,"X"),IF(BV65=2,IF(BV65="",0,2),""))</f>
        <v/>
      </c>
      <c r="BW66" s="63" t="str">
        <f t="shared" si="60"/>
        <v/>
      </c>
      <c r="BX66" s="63" t="str">
        <f t="shared" si="60"/>
        <v/>
      </c>
      <c r="BY66" s="63" t="str">
        <f t="shared" si="60"/>
        <v/>
      </c>
    </row>
    <row r="67" spans="1:77" ht="15.95" hidden="1" customHeight="1" x14ac:dyDescent="0.25">
      <c r="A67" s="172"/>
      <c r="B67" s="160" t="s">
        <v>68</v>
      </c>
      <c r="C67" s="161">
        <f t="shared" ref="C67:AG67" si="61">IF(C10="V",IF(C10="",0,1),0)</f>
        <v>0</v>
      </c>
      <c r="D67" s="161">
        <f t="shared" si="61"/>
        <v>0</v>
      </c>
      <c r="E67" s="161">
        <f t="shared" si="61"/>
        <v>0</v>
      </c>
      <c r="F67" s="161">
        <f t="shared" si="61"/>
        <v>0</v>
      </c>
      <c r="G67" s="161">
        <f t="shared" si="61"/>
        <v>0</v>
      </c>
      <c r="H67" s="161">
        <f t="shared" si="61"/>
        <v>0</v>
      </c>
      <c r="I67" s="161">
        <f t="shared" si="61"/>
        <v>0</v>
      </c>
      <c r="J67" s="161">
        <f t="shared" si="61"/>
        <v>0</v>
      </c>
      <c r="K67" s="161">
        <f t="shared" si="61"/>
        <v>0</v>
      </c>
      <c r="L67" s="161">
        <f t="shared" si="61"/>
        <v>0</v>
      </c>
      <c r="M67" s="161">
        <f t="shared" si="61"/>
        <v>0</v>
      </c>
      <c r="N67" s="161">
        <f t="shared" si="61"/>
        <v>0</v>
      </c>
      <c r="O67" s="161">
        <f t="shared" si="61"/>
        <v>0</v>
      </c>
      <c r="P67" s="161">
        <f t="shared" si="61"/>
        <v>0</v>
      </c>
      <c r="Q67" s="161">
        <f t="shared" si="61"/>
        <v>0</v>
      </c>
      <c r="R67" s="161">
        <f t="shared" si="61"/>
        <v>0</v>
      </c>
      <c r="S67" s="161">
        <f t="shared" si="61"/>
        <v>0</v>
      </c>
      <c r="T67" s="161">
        <f t="shared" si="61"/>
        <v>0</v>
      </c>
      <c r="U67" s="161">
        <f t="shared" si="61"/>
        <v>0</v>
      </c>
      <c r="V67" s="161">
        <f t="shared" si="61"/>
        <v>0</v>
      </c>
      <c r="W67" s="161">
        <f t="shared" si="61"/>
        <v>0</v>
      </c>
      <c r="X67" s="161">
        <f t="shared" si="61"/>
        <v>0</v>
      </c>
      <c r="Y67" s="161">
        <f t="shared" si="61"/>
        <v>0</v>
      </c>
      <c r="Z67" s="161">
        <f t="shared" si="61"/>
        <v>0</v>
      </c>
      <c r="AA67" s="161">
        <f t="shared" si="61"/>
        <v>0</v>
      </c>
      <c r="AB67" s="161">
        <f t="shared" si="61"/>
        <v>0</v>
      </c>
      <c r="AC67" s="161">
        <f t="shared" si="61"/>
        <v>0</v>
      </c>
      <c r="AD67" s="161">
        <f t="shared" si="61"/>
        <v>0</v>
      </c>
      <c r="AE67" s="161">
        <f t="shared" si="61"/>
        <v>0</v>
      </c>
      <c r="AF67" s="161">
        <f t="shared" si="61"/>
        <v>0</v>
      </c>
      <c r="AG67" s="161">
        <f t="shared" si="61"/>
        <v>0</v>
      </c>
      <c r="AH67" s="142" t="s">
        <v>12</v>
      </c>
      <c r="AI67" s="133"/>
      <c r="AJ67" s="170"/>
      <c r="AK67" s="133"/>
      <c r="AL67" s="133"/>
      <c r="BU67" s="64"/>
      <c r="BV67" s="63" t="str">
        <f t="shared" si="60"/>
        <v/>
      </c>
      <c r="BW67" s="63" t="str">
        <f t="shared" si="60"/>
        <v/>
      </c>
      <c r="BX67" s="63" t="str">
        <f t="shared" si="60"/>
        <v/>
      </c>
      <c r="BY67" s="63" t="str">
        <f t="shared" si="60"/>
        <v/>
      </c>
    </row>
    <row r="68" spans="1:77" ht="15.95" hidden="1" customHeight="1" x14ac:dyDescent="0.25">
      <c r="A68" s="173"/>
      <c r="B68" s="130" t="s">
        <v>16</v>
      </c>
      <c r="C68" s="163">
        <f t="shared" ref="C68:AG68" si="62">IF(C10="PR",IF(C10="",0,1),0)</f>
        <v>0</v>
      </c>
      <c r="D68" s="163">
        <f t="shared" si="62"/>
        <v>0</v>
      </c>
      <c r="E68" s="163">
        <f t="shared" si="62"/>
        <v>0</v>
      </c>
      <c r="F68" s="163">
        <f t="shared" si="62"/>
        <v>0</v>
      </c>
      <c r="G68" s="163">
        <f t="shared" si="62"/>
        <v>0</v>
      </c>
      <c r="H68" s="163">
        <f t="shared" si="62"/>
        <v>0</v>
      </c>
      <c r="I68" s="163">
        <f t="shared" si="62"/>
        <v>0</v>
      </c>
      <c r="J68" s="163">
        <f t="shared" si="62"/>
        <v>0</v>
      </c>
      <c r="K68" s="163">
        <f t="shared" si="62"/>
        <v>0</v>
      </c>
      <c r="L68" s="163">
        <f t="shared" si="62"/>
        <v>0</v>
      </c>
      <c r="M68" s="163">
        <f t="shared" si="62"/>
        <v>0</v>
      </c>
      <c r="N68" s="163">
        <f t="shared" si="62"/>
        <v>0</v>
      </c>
      <c r="O68" s="163">
        <f t="shared" si="62"/>
        <v>0</v>
      </c>
      <c r="P68" s="163">
        <f t="shared" si="62"/>
        <v>0</v>
      </c>
      <c r="Q68" s="163">
        <f t="shared" si="62"/>
        <v>0</v>
      </c>
      <c r="R68" s="163">
        <f t="shared" si="62"/>
        <v>0</v>
      </c>
      <c r="S68" s="163">
        <f t="shared" si="62"/>
        <v>0</v>
      </c>
      <c r="T68" s="163">
        <f t="shared" si="62"/>
        <v>0</v>
      </c>
      <c r="U68" s="163">
        <f t="shared" si="62"/>
        <v>0</v>
      </c>
      <c r="V68" s="163">
        <f t="shared" si="62"/>
        <v>0</v>
      </c>
      <c r="W68" s="163">
        <f t="shared" si="62"/>
        <v>0</v>
      </c>
      <c r="X68" s="163">
        <f t="shared" si="62"/>
        <v>0</v>
      </c>
      <c r="Y68" s="163">
        <f t="shared" si="62"/>
        <v>0</v>
      </c>
      <c r="Z68" s="163">
        <f t="shared" si="62"/>
        <v>0</v>
      </c>
      <c r="AA68" s="163">
        <f t="shared" si="62"/>
        <v>0</v>
      </c>
      <c r="AB68" s="163">
        <f t="shared" si="62"/>
        <v>0</v>
      </c>
      <c r="AC68" s="163">
        <f t="shared" si="62"/>
        <v>0</v>
      </c>
      <c r="AD68" s="163">
        <f t="shared" si="62"/>
        <v>0</v>
      </c>
      <c r="AE68" s="163">
        <f t="shared" si="62"/>
        <v>0</v>
      </c>
      <c r="AF68" s="163">
        <f t="shared" si="62"/>
        <v>0</v>
      </c>
      <c r="AG68" s="163">
        <f t="shared" si="62"/>
        <v>0</v>
      </c>
      <c r="AH68" s="229">
        <f>SUM(C68:AG68)</f>
        <v>0</v>
      </c>
      <c r="AI68" s="229"/>
      <c r="AJ68" s="174" t="s">
        <v>69</v>
      </c>
      <c r="AK68" s="133"/>
      <c r="AL68" s="133"/>
    </row>
    <row r="69" spans="1:77" ht="15.95" hidden="1" customHeight="1" x14ac:dyDescent="0.25">
      <c r="A69" s="164" t="s">
        <v>73</v>
      </c>
      <c r="B69" s="165" t="s">
        <v>29</v>
      </c>
      <c r="C69" s="141" t="str">
        <f t="shared" ref="C69:AG69" si="63">IF(C11=$R32,$S32*24,IF(C11=$R33,$S33*24,IF(C11=$R34,$S34*24,IF(C11=$R35,$S35*24,IF(C11=$R36,$S36*24,IF(C11=$R37,$S37*24,IF(C11=$R38,$S38*24,IF(C11=$R39,$S39*24,IF(C11=$R40,$S40*24,"")))))))))</f>
        <v/>
      </c>
      <c r="D69" s="141" t="str">
        <f t="shared" si="63"/>
        <v/>
      </c>
      <c r="E69" s="141" t="str">
        <f t="shared" si="63"/>
        <v/>
      </c>
      <c r="F69" s="141" t="str">
        <f t="shared" si="63"/>
        <v/>
      </c>
      <c r="G69" s="141" t="str">
        <f t="shared" si="63"/>
        <v/>
      </c>
      <c r="H69" s="141" t="str">
        <f t="shared" si="63"/>
        <v/>
      </c>
      <c r="I69" s="141" t="str">
        <f t="shared" si="63"/>
        <v/>
      </c>
      <c r="J69" s="141" t="str">
        <f t="shared" si="63"/>
        <v/>
      </c>
      <c r="K69" s="141" t="str">
        <f t="shared" si="63"/>
        <v/>
      </c>
      <c r="L69" s="141" t="str">
        <f t="shared" si="63"/>
        <v/>
      </c>
      <c r="M69" s="141" t="str">
        <f t="shared" si="63"/>
        <v/>
      </c>
      <c r="N69" s="141" t="str">
        <f t="shared" si="63"/>
        <v/>
      </c>
      <c r="O69" s="141" t="str">
        <f t="shared" si="63"/>
        <v/>
      </c>
      <c r="P69" s="141" t="str">
        <f t="shared" si="63"/>
        <v/>
      </c>
      <c r="Q69" s="141" t="str">
        <f t="shared" si="63"/>
        <v/>
      </c>
      <c r="R69" s="141" t="str">
        <f t="shared" si="63"/>
        <v/>
      </c>
      <c r="S69" s="141" t="str">
        <f t="shared" si="63"/>
        <v/>
      </c>
      <c r="T69" s="141" t="str">
        <f t="shared" si="63"/>
        <v/>
      </c>
      <c r="U69" s="141" t="str">
        <f t="shared" si="63"/>
        <v/>
      </c>
      <c r="V69" s="141" t="str">
        <f t="shared" si="63"/>
        <v/>
      </c>
      <c r="W69" s="141" t="str">
        <f t="shared" si="63"/>
        <v/>
      </c>
      <c r="X69" s="141" t="str">
        <f t="shared" si="63"/>
        <v/>
      </c>
      <c r="Y69" s="141" t="str">
        <f t="shared" si="63"/>
        <v/>
      </c>
      <c r="Z69" s="141" t="str">
        <f t="shared" si="63"/>
        <v/>
      </c>
      <c r="AA69" s="141" t="str">
        <f t="shared" si="63"/>
        <v/>
      </c>
      <c r="AB69" s="141" t="str">
        <f t="shared" si="63"/>
        <v/>
      </c>
      <c r="AC69" s="141" t="str">
        <f t="shared" si="63"/>
        <v/>
      </c>
      <c r="AD69" s="141" t="str">
        <f t="shared" si="63"/>
        <v/>
      </c>
      <c r="AE69" s="141" t="str">
        <f t="shared" si="63"/>
        <v/>
      </c>
      <c r="AF69" s="141" t="str">
        <f t="shared" si="63"/>
        <v/>
      </c>
      <c r="AG69" s="141" t="str">
        <f t="shared" si="63"/>
        <v/>
      </c>
      <c r="AH69" s="154" t="s">
        <v>12</v>
      </c>
      <c r="AI69" s="133"/>
      <c r="AJ69" s="170"/>
      <c r="AK69" s="133"/>
      <c r="AL69" s="133"/>
    </row>
    <row r="70" spans="1:77" ht="15.95" hidden="1" customHeight="1" x14ac:dyDescent="0.25">
      <c r="A70" s="166" t="s">
        <v>74</v>
      </c>
      <c r="B70" s="167" t="s">
        <v>30</v>
      </c>
      <c r="C70" s="141" t="str">
        <f t="shared" ref="C70:AG70" si="64">IF(C11=$R32,$V32*24,IF(C11=$R33,$V33*24,IF(C11=$R34,$V34*24,IF(C11=$R35,$V35*24,IF(C11=$R36,$V36*24,IF(C11=$R37,$V37*24,IF(C11=$R38,$V38*24,IF(C11=$R39,$V39*24,IF(C11=$R40,$V40*24,"")))))))))</f>
        <v/>
      </c>
      <c r="D70" s="141" t="str">
        <f t="shared" si="64"/>
        <v/>
      </c>
      <c r="E70" s="141" t="str">
        <f t="shared" si="64"/>
        <v/>
      </c>
      <c r="F70" s="141" t="str">
        <f t="shared" si="64"/>
        <v/>
      </c>
      <c r="G70" s="141" t="str">
        <f t="shared" si="64"/>
        <v/>
      </c>
      <c r="H70" s="141" t="str">
        <f t="shared" si="64"/>
        <v/>
      </c>
      <c r="I70" s="141" t="str">
        <f t="shared" si="64"/>
        <v/>
      </c>
      <c r="J70" s="141" t="str">
        <f t="shared" si="64"/>
        <v/>
      </c>
      <c r="K70" s="141" t="str">
        <f t="shared" si="64"/>
        <v/>
      </c>
      <c r="L70" s="141" t="str">
        <f t="shared" si="64"/>
        <v/>
      </c>
      <c r="M70" s="141" t="str">
        <f t="shared" si="64"/>
        <v/>
      </c>
      <c r="N70" s="141" t="str">
        <f t="shared" si="64"/>
        <v/>
      </c>
      <c r="O70" s="141" t="str">
        <f t="shared" si="64"/>
        <v/>
      </c>
      <c r="P70" s="141" t="str">
        <f t="shared" si="64"/>
        <v/>
      </c>
      <c r="Q70" s="141" t="str">
        <f t="shared" si="64"/>
        <v/>
      </c>
      <c r="R70" s="141" t="str">
        <f t="shared" si="64"/>
        <v/>
      </c>
      <c r="S70" s="141" t="str">
        <f t="shared" si="64"/>
        <v/>
      </c>
      <c r="T70" s="141" t="str">
        <f t="shared" si="64"/>
        <v/>
      </c>
      <c r="U70" s="141" t="str">
        <f t="shared" si="64"/>
        <v/>
      </c>
      <c r="V70" s="141" t="str">
        <f t="shared" si="64"/>
        <v/>
      </c>
      <c r="W70" s="141" t="str">
        <f t="shared" si="64"/>
        <v/>
      </c>
      <c r="X70" s="141" t="str">
        <f t="shared" si="64"/>
        <v/>
      </c>
      <c r="Y70" s="141" t="str">
        <f t="shared" si="64"/>
        <v/>
      </c>
      <c r="Z70" s="141" t="str">
        <f t="shared" si="64"/>
        <v/>
      </c>
      <c r="AA70" s="141" t="str">
        <f t="shared" si="64"/>
        <v/>
      </c>
      <c r="AB70" s="141" t="str">
        <f t="shared" si="64"/>
        <v/>
      </c>
      <c r="AC70" s="141" t="str">
        <f t="shared" si="64"/>
        <v/>
      </c>
      <c r="AD70" s="141" t="str">
        <f t="shared" si="64"/>
        <v/>
      </c>
      <c r="AE70" s="141" t="str">
        <f t="shared" si="64"/>
        <v/>
      </c>
      <c r="AF70" s="141" t="str">
        <f t="shared" si="64"/>
        <v/>
      </c>
      <c r="AG70" s="141" t="str">
        <f t="shared" si="64"/>
        <v/>
      </c>
      <c r="AH70" s="154" t="s">
        <v>12</v>
      </c>
      <c r="AI70" s="133"/>
      <c r="AJ70" s="170"/>
      <c r="AK70" s="133"/>
      <c r="AL70" s="133"/>
    </row>
    <row r="71" spans="1:77" ht="15.95" hidden="1" customHeight="1" x14ac:dyDescent="0.25">
      <c r="A71" s="153"/>
      <c r="B71" s="168" t="s">
        <v>34</v>
      </c>
      <c r="C71" s="169" t="str">
        <f t="shared" ref="C71:AD71" si="65">IF(C11=$R32,$BD32*24,IF(C11=$R33,$BD33*24,IF(C11=$R34,$BD34*24,IF(C11=$R35,$BD35*24,IF(C11=$R36,$BD36*24,IF(C11=$R37,$BD37*24,IF(C11=$R38,$BD38*24,IF(C11=$R39,$BD39*24,IF(C11=$R40,$BD40*24,"")))))))))</f>
        <v/>
      </c>
      <c r="D71" s="169" t="str">
        <f t="shared" si="65"/>
        <v/>
      </c>
      <c r="E71" s="169" t="str">
        <f t="shared" si="65"/>
        <v/>
      </c>
      <c r="F71" s="169" t="str">
        <f t="shared" si="65"/>
        <v/>
      </c>
      <c r="G71" s="169" t="str">
        <f t="shared" si="65"/>
        <v/>
      </c>
      <c r="H71" s="169" t="str">
        <f t="shared" si="65"/>
        <v/>
      </c>
      <c r="I71" s="169" t="str">
        <f t="shared" si="65"/>
        <v/>
      </c>
      <c r="J71" s="169" t="str">
        <f t="shared" si="65"/>
        <v/>
      </c>
      <c r="K71" s="169" t="str">
        <f t="shared" si="65"/>
        <v/>
      </c>
      <c r="L71" s="169" t="str">
        <f t="shared" si="65"/>
        <v/>
      </c>
      <c r="M71" s="169" t="str">
        <f t="shared" si="65"/>
        <v/>
      </c>
      <c r="N71" s="169" t="str">
        <f t="shared" si="65"/>
        <v/>
      </c>
      <c r="O71" s="169" t="str">
        <f t="shared" si="65"/>
        <v/>
      </c>
      <c r="P71" s="169" t="str">
        <f t="shared" si="65"/>
        <v/>
      </c>
      <c r="Q71" s="169" t="str">
        <f t="shared" si="65"/>
        <v/>
      </c>
      <c r="R71" s="169" t="str">
        <f t="shared" si="65"/>
        <v/>
      </c>
      <c r="S71" s="169" t="str">
        <f t="shared" si="65"/>
        <v/>
      </c>
      <c r="T71" s="169" t="str">
        <f t="shared" si="65"/>
        <v/>
      </c>
      <c r="U71" s="169" t="str">
        <f t="shared" si="65"/>
        <v/>
      </c>
      <c r="V71" s="169" t="str">
        <f t="shared" si="65"/>
        <v/>
      </c>
      <c r="W71" s="169" t="str">
        <f t="shared" si="65"/>
        <v/>
      </c>
      <c r="X71" s="169" t="str">
        <f t="shared" si="65"/>
        <v/>
      </c>
      <c r="Y71" s="169" t="str">
        <f t="shared" si="65"/>
        <v/>
      </c>
      <c r="Z71" s="169" t="str">
        <f t="shared" si="65"/>
        <v/>
      </c>
      <c r="AA71" s="169" t="str">
        <f t="shared" si="65"/>
        <v/>
      </c>
      <c r="AB71" s="169" t="str">
        <f t="shared" si="65"/>
        <v/>
      </c>
      <c r="AC71" s="169" t="str">
        <f t="shared" si="65"/>
        <v/>
      </c>
      <c r="AD71" s="169" t="str">
        <f t="shared" si="65"/>
        <v/>
      </c>
      <c r="AE71" s="169" t="str">
        <f>IF(AE11=$R32,$BD32*24,IF(AE11=$R33,$BD33*24,IF(AE11=$R34,$BD34*24,IF(AE11=$R35,$BD35*24,IF(AE11=$R36,$BD36*24,IF(AE11=$R37,$BD37*24,IF(AE11=$R38,$BD38*24,IF(AE11=$R39,$BD39*24,IF(AE11=$R40,$BD40*24,"")))))))))</f>
        <v/>
      </c>
      <c r="AF71" s="169" t="str">
        <f>IF(AF11=$R32,$BD32*24,IF(AF11=$R33,$BD33*24,IF(AF11=$R34,$BD34*24,IF(AF11=$R35,$BD35*24,IF(AF11=$R36,$BD36*24,IF(AF11=$R37,$BD37*24,IF(AF11=$R38,$BD38*24,IF(AF11=$R39,$BD39*24,IF(AF11=$R40,$BD40*24,"")))))))))</f>
        <v/>
      </c>
      <c r="AG71" s="169" t="str">
        <f>IF(AG11=$R32,$BD32*24,IF(AG11=$R33,$BD33*24,IF(AG11=$R34,$BD34*24,IF(AG11=$R35,$BD35*24,IF(AG11=$R36,$BD36*24,IF(AG11=$R37,$BD37*24,IF(AG11=$R38,$BD38*24,IF(AG11=$R39,$BD39*24,IF(AG11=$R40,$BD40*24,"")))))))))</f>
        <v/>
      </c>
      <c r="AH71" s="148">
        <f>SUM(C71:AG71)</f>
        <v>0</v>
      </c>
      <c r="AI71" s="133"/>
      <c r="AJ71" s="170"/>
      <c r="AK71" s="133"/>
      <c r="AL71" s="133"/>
    </row>
    <row r="72" spans="1:77" ht="15.95" hidden="1" customHeight="1" x14ac:dyDescent="0.25">
      <c r="A72" s="153"/>
      <c r="B72" s="167" t="s">
        <v>59</v>
      </c>
      <c r="C72" s="141">
        <f t="shared" ref="C72:AG72" si="66">IF(C11="V",$C36,IF(C11="PR",$C38,0))</f>
        <v>0</v>
      </c>
      <c r="D72" s="141">
        <f t="shared" si="66"/>
        <v>0</v>
      </c>
      <c r="E72" s="141">
        <f t="shared" si="66"/>
        <v>0</v>
      </c>
      <c r="F72" s="141">
        <f t="shared" si="66"/>
        <v>0</v>
      </c>
      <c r="G72" s="141">
        <f t="shared" si="66"/>
        <v>0</v>
      </c>
      <c r="H72" s="141">
        <f t="shared" si="66"/>
        <v>0</v>
      </c>
      <c r="I72" s="141">
        <f t="shared" si="66"/>
        <v>0</v>
      </c>
      <c r="J72" s="141">
        <f t="shared" si="66"/>
        <v>0</v>
      </c>
      <c r="K72" s="141">
        <f t="shared" si="66"/>
        <v>0</v>
      </c>
      <c r="L72" s="141">
        <f t="shared" si="66"/>
        <v>0</v>
      </c>
      <c r="M72" s="141">
        <f t="shared" si="66"/>
        <v>0</v>
      </c>
      <c r="N72" s="141">
        <f t="shared" si="66"/>
        <v>0</v>
      </c>
      <c r="O72" s="141">
        <f t="shared" si="66"/>
        <v>0</v>
      </c>
      <c r="P72" s="141">
        <f t="shared" si="66"/>
        <v>0</v>
      </c>
      <c r="Q72" s="141">
        <f t="shared" si="66"/>
        <v>0</v>
      </c>
      <c r="R72" s="141">
        <f t="shared" si="66"/>
        <v>0</v>
      </c>
      <c r="S72" s="141">
        <f t="shared" si="66"/>
        <v>0</v>
      </c>
      <c r="T72" s="141">
        <f t="shared" si="66"/>
        <v>0</v>
      </c>
      <c r="U72" s="141">
        <f t="shared" si="66"/>
        <v>0</v>
      </c>
      <c r="V72" s="141">
        <f t="shared" si="66"/>
        <v>0</v>
      </c>
      <c r="W72" s="141">
        <f t="shared" si="66"/>
        <v>0</v>
      </c>
      <c r="X72" s="141">
        <f t="shared" si="66"/>
        <v>0</v>
      </c>
      <c r="Y72" s="141">
        <f t="shared" si="66"/>
        <v>0</v>
      </c>
      <c r="Z72" s="141">
        <f t="shared" si="66"/>
        <v>0</v>
      </c>
      <c r="AA72" s="141">
        <f t="shared" si="66"/>
        <v>0</v>
      </c>
      <c r="AB72" s="141">
        <f t="shared" si="66"/>
        <v>0</v>
      </c>
      <c r="AC72" s="141">
        <f t="shared" si="66"/>
        <v>0</v>
      </c>
      <c r="AD72" s="141">
        <f t="shared" si="66"/>
        <v>0</v>
      </c>
      <c r="AE72" s="141">
        <f t="shared" si="66"/>
        <v>0</v>
      </c>
      <c r="AF72" s="141">
        <f t="shared" si="66"/>
        <v>0</v>
      </c>
      <c r="AG72" s="141">
        <f t="shared" si="66"/>
        <v>0</v>
      </c>
      <c r="AH72" s="226">
        <f>SUM(C72:AG72)</f>
        <v>0</v>
      </c>
      <c r="AI72" s="226"/>
      <c r="AJ72" s="170" t="s">
        <v>12</v>
      </c>
      <c r="AK72" s="133"/>
      <c r="AL72" s="133"/>
    </row>
    <row r="73" spans="1:77" ht="15.95" hidden="1" customHeight="1" x14ac:dyDescent="0.25">
      <c r="A73" s="150" t="s">
        <v>60</v>
      </c>
      <c r="B73" s="167" t="s">
        <v>61</v>
      </c>
      <c r="C73" s="151">
        <f t="shared" ref="C73:AD73" si="67">IF(C11=$R32,$BC32,IF(C11=$R33,$BC33,IF(C11=$R34,$BC34,IF(C11=$R35,$BC35,IF(C11=$R36,$BC36,IF(C11=$R37,$BC37,IF(C11=$R38,$BC38,IF(C11=$R39,$BC39,IF(C11=$R40,$BC40,0)))))))))</f>
        <v>0</v>
      </c>
      <c r="D73" s="151">
        <f t="shared" si="67"/>
        <v>0</v>
      </c>
      <c r="E73" s="151">
        <f t="shared" si="67"/>
        <v>0</v>
      </c>
      <c r="F73" s="151">
        <f t="shared" si="67"/>
        <v>0</v>
      </c>
      <c r="G73" s="151">
        <f t="shared" si="67"/>
        <v>0</v>
      </c>
      <c r="H73" s="151">
        <f t="shared" si="67"/>
        <v>0</v>
      </c>
      <c r="I73" s="151">
        <f t="shared" si="67"/>
        <v>0</v>
      </c>
      <c r="J73" s="151">
        <f t="shared" si="67"/>
        <v>0</v>
      </c>
      <c r="K73" s="151">
        <f t="shared" si="67"/>
        <v>0</v>
      </c>
      <c r="L73" s="151">
        <f t="shared" si="67"/>
        <v>0</v>
      </c>
      <c r="M73" s="151">
        <f t="shared" si="67"/>
        <v>0</v>
      </c>
      <c r="N73" s="151">
        <f t="shared" si="67"/>
        <v>0</v>
      </c>
      <c r="O73" s="151">
        <f t="shared" si="67"/>
        <v>0</v>
      </c>
      <c r="P73" s="151">
        <f t="shared" si="67"/>
        <v>0</v>
      </c>
      <c r="Q73" s="151">
        <f t="shared" si="67"/>
        <v>0</v>
      </c>
      <c r="R73" s="151">
        <f t="shared" si="67"/>
        <v>0</v>
      </c>
      <c r="S73" s="151">
        <f t="shared" si="67"/>
        <v>0</v>
      </c>
      <c r="T73" s="151">
        <f t="shared" si="67"/>
        <v>0</v>
      </c>
      <c r="U73" s="151">
        <f t="shared" si="67"/>
        <v>0</v>
      </c>
      <c r="V73" s="151">
        <f t="shared" si="67"/>
        <v>0</v>
      </c>
      <c r="W73" s="151">
        <f t="shared" si="67"/>
        <v>0</v>
      </c>
      <c r="X73" s="151">
        <f t="shared" si="67"/>
        <v>0</v>
      </c>
      <c r="Y73" s="151">
        <f t="shared" si="67"/>
        <v>0</v>
      </c>
      <c r="Z73" s="151">
        <f t="shared" si="67"/>
        <v>0</v>
      </c>
      <c r="AA73" s="151">
        <f t="shared" si="67"/>
        <v>0</v>
      </c>
      <c r="AB73" s="151">
        <f t="shared" si="67"/>
        <v>0</v>
      </c>
      <c r="AC73" s="151">
        <f t="shared" si="67"/>
        <v>0</v>
      </c>
      <c r="AD73" s="151">
        <f t="shared" si="67"/>
        <v>0</v>
      </c>
      <c r="AE73" s="151">
        <f>IF(AE11=$R32,$BC32,IF(AE11=$R33,$BC33,IF(AE11=$R34,$BC34,IF(AE11=$R35,$BC35,IF(AE11=$R36,$BC36,IF(AE11=$R37,$BC37,IF(AE11=$R38,$BC38,IF(AE11=$R39,$BC39,IF(AE11=$R40,$BC40,0)))))))))</f>
        <v>0</v>
      </c>
      <c r="AF73" s="151">
        <f>IF(AF11=$R32,$BC32,IF(AF11=$R33,$BC33,IF(AF11=$R34,$BC34,IF(AF11=$R35,$BC35,IF(AF11=$R36,$BC36,IF(AF11=$R37,$BC37,IF(AF11=$R38,$BC38,IF(AF11=$R39,$BC39,IF(AF11=$R40,$BC40,0)))))))))</f>
        <v>0</v>
      </c>
      <c r="AG73" s="151">
        <f>IF(AG11=$R32,$BC32,IF(AG11=$R33,$BC33,IF(AG11=$R34,$BC34,IF(AG11=$R35,$BC35,IF(AG11=$R36,$BC36,IF(AG11=$R37,$BC37,IF(AG11=$R38,$BC38,IF(AG11=$R39,$BC39,IF(AG11=$R40,$BC40,0)))))))))</f>
        <v>0</v>
      </c>
      <c r="AH73" s="226">
        <f>SUM(C73:AG73)</f>
        <v>0</v>
      </c>
      <c r="AI73" s="226"/>
      <c r="AJ73" s="175" t="s">
        <v>62</v>
      </c>
      <c r="AK73" s="133" t="s">
        <v>12</v>
      </c>
      <c r="AL73" s="133"/>
    </row>
    <row r="74" spans="1:77" ht="15.95" hidden="1" customHeight="1" x14ac:dyDescent="0.25">
      <c r="A74" s="153" t="s">
        <v>48</v>
      </c>
      <c r="B74" s="149" t="s">
        <v>63</v>
      </c>
      <c r="C74" s="141">
        <f t="shared" ref="C74:AG74" si="68">IF(C46=1,IF(C69&lt;C70,C73,0))</f>
        <v>0</v>
      </c>
      <c r="D74" s="141" t="b">
        <f t="shared" si="68"/>
        <v>0</v>
      </c>
      <c r="E74" s="141" t="b">
        <f t="shared" si="68"/>
        <v>0</v>
      </c>
      <c r="F74" s="141" t="b">
        <f t="shared" si="68"/>
        <v>0</v>
      </c>
      <c r="G74" s="141" t="b">
        <f t="shared" si="68"/>
        <v>0</v>
      </c>
      <c r="H74" s="141" t="b">
        <f t="shared" si="68"/>
        <v>0</v>
      </c>
      <c r="I74" s="141">
        <f t="shared" si="68"/>
        <v>0</v>
      </c>
      <c r="J74" s="141">
        <f t="shared" si="68"/>
        <v>0</v>
      </c>
      <c r="K74" s="141" t="b">
        <f t="shared" si="68"/>
        <v>0</v>
      </c>
      <c r="L74" s="141" t="b">
        <f t="shared" si="68"/>
        <v>0</v>
      </c>
      <c r="M74" s="141" t="b">
        <f t="shared" si="68"/>
        <v>0</v>
      </c>
      <c r="N74" s="141" t="b">
        <f t="shared" si="68"/>
        <v>0</v>
      </c>
      <c r="O74" s="141" t="b">
        <f t="shared" si="68"/>
        <v>0</v>
      </c>
      <c r="P74" s="141">
        <f t="shared" si="68"/>
        <v>0</v>
      </c>
      <c r="Q74" s="141">
        <f t="shared" si="68"/>
        <v>0</v>
      </c>
      <c r="R74" s="141" t="b">
        <f t="shared" si="68"/>
        <v>0</v>
      </c>
      <c r="S74" s="141" t="b">
        <f t="shared" si="68"/>
        <v>0</v>
      </c>
      <c r="T74" s="141" t="b">
        <f t="shared" si="68"/>
        <v>0</v>
      </c>
      <c r="U74" s="141" t="b">
        <f t="shared" si="68"/>
        <v>0</v>
      </c>
      <c r="V74" s="141" t="b">
        <f t="shared" si="68"/>
        <v>0</v>
      </c>
      <c r="W74" s="141">
        <f t="shared" si="68"/>
        <v>0</v>
      </c>
      <c r="X74" s="141">
        <f t="shared" si="68"/>
        <v>0</v>
      </c>
      <c r="Y74" s="141" t="b">
        <f t="shared" si="68"/>
        <v>0</v>
      </c>
      <c r="Z74" s="141" t="b">
        <f t="shared" si="68"/>
        <v>0</v>
      </c>
      <c r="AA74" s="141" t="b">
        <f t="shared" si="68"/>
        <v>0</v>
      </c>
      <c r="AB74" s="141" t="b">
        <f t="shared" si="68"/>
        <v>0</v>
      </c>
      <c r="AC74" s="141" t="b">
        <f t="shared" si="68"/>
        <v>0</v>
      </c>
      <c r="AD74" s="141">
        <f t="shared" si="68"/>
        <v>0</v>
      </c>
      <c r="AE74" s="141">
        <f t="shared" si="68"/>
        <v>0</v>
      </c>
      <c r="AF74" s="141" t="b">
        <f t="shared" si="68"/>
        <v>0</v>
      </c>
      <c r="AG74" s="141" t="b">
        <f t="shared" si="68"/>
        <v>0</v>
      </c>
      <c r="AH74" s="154" t="s">
        <v>12</v>
      </c>
      <c r="AI74" s="133"/>
      <c r="AJ74" s="170"/>
      <c r="AK74" s="133"/>
      <c r="AL74" s="133"/>
    </row>
    <row r="75" spans="1:77" ht="15.95" hidden="1" customHeight="1" x14ac:dyDescent="0.25">
      <c r="A75" s="176"/>
      <c r="B75" s="149" t="s">
        <v>64</v>
      </c>
      <c r="C75" s="141">
        <f t="shared" ref="C75:AG75" si="69">IF(C46=1,IF(C69&gt;C70,24-C69,0),0)</f>
        <v>0</v>
      </c>
      <c r="D75" s="141">
        <f t="shared" si="69"/>
        <v>0</v>
      </c>
      <c r="E75" s="141">
        <f t="shared" si="69"/>
        <v>0</v>
      </c>
      <c r="F75" s="141">
        <f t="shared" si="69"/>
        <v>0</v>
      </c>
      <c r="G75" s="141">
        <f t="shared" si="69"/>
        <v>0</v>
      </c>
      <c r="H75" s="141">
        <f t="shared" si="69"/>
        <v>0</v>
      </c>
      <c r="I75" s="141">
        <f t="shared" si="69"/>
        <v>0</v>
      </c>
      <c r="J75" s="141">
        <f t="shared" si="69"/>
        <v>0</v>
      </c>
      <c r="K75" s="141">
        <f t="shared" si="69"/>
        <v>0</v>
      </c>
      <c r="L75" s="141">
        <f t="shared" si="69"/>
        <v>0</v>
      </c>
      <c r="M75" s="141">
        <f t="shared" si="69"/>
        <v>0</v>
      </c>
      <c r="N75" s="141">
        <f t="shared" si="69"/>
        <v>0</v>
      </c>
      <c r="O75" s="141">
        <f t="shared" si="69"/>
        <v>0</v>
      </c>
      <c r="P75" s="141">
        <f t="shared" si="69"/>
        <v>0</v>
      </c>
      <c r="Q75" s="141">
        <f t="shared" si="69"/>
        <v>0</v>
      </c>
      <c r="R75" s="141">
        <f t="shared" si="69"/>
        <v>0</v>
      </c>
      <c r="S75" s="141">
        <f t="shared" si="69"/>
        <v>0</v>
      </c>
      <c r="T75" s="141">
        <f t="shared" si="69"/>
        <v>0</v>
      </c>
      <c r="U75" s="141">
        <f t="shared" si="69"/>
        <v>0</v>
      </c>
      <c r="V75" s="141">
        <f t="shared" si="69"/>
        <v>0</v>
      </c>
      <c r="W75" s="141">
        <f t="shared" si="69"/>
        <v>0</v>
      </c>
      <c r="X75" s="141">
        <f t="shared" si="69"/>
        <v>0</v>
      </c>
      <c r="Y75" s="141">
        <f t="shared" si="69"/>
        <v>0</v>
      </c>
      <c r="Z75" s="141">
        <f t="shared" si="69"/>
        <v>0</v>
      </c>
      <c r="AA75" s="141">
        <f t="shared" si="69"/>
        <v>0</v>
      </c>
      <c r="AB75" s="141">
        <f t="shared" si="69"/>
        <v>0</v>
      </c>
      <c r="AC75" s="141">
        <f t="shared" si="69"/>
        <v>0</v>
      </c>
      <c r="AD75" s="141">
        <f t="shared" si="69"/>
        <v>0</v>
      </c>
      <c r="AE75" s="141">
        <f t="shared" si="69"/>
        <v>0</v>
      </c>
      <c r="AF75" s="141">
        <f t="shared" si="69"/>
        <v>0</v>
      </c>
      <c r="AG75" s="141">
        <f t="shared" si="69"/>
        <v>0</v>
      </c>
      <c r="AH75" s="154" t="s">
        <v>12</v>
      </c>
      <c r="AI75" s="133"/>
      <c r="AJ75" s="170"/>
      <c r="AK75" s="133"/>
      <c r="AL75" s="133"/>
    </row>
    <row r="76" spans="1:77" ht="15.95" hidden="1" customHeight="1" x14ac:dyDescent="0.25">
      <c r="A76" s="176"/>
      <c r="B76" s="149" t="s">
        <v>65</v>
      </c>
      <c r="C76" s="141">
        <f t="shared" ref="C76:AG76" si="70">IF(D46=1,IF(C69&gt;C70,C70,0),0)</f>
        <v>0</v>
      </c>
      <c r="D76" s="141">
        <f t="shared" si="70"/>
        <v>0</v>
      </c>
      <c r="E76" s="141">
        <f t="shared" si="70"/>
        <v>0</v>
      </c>
      <c r="F76" s="141">
        <f t="shared" si="70"/>
        <v>0</v>
      </c>
      <c r="G76" s="141">
        <f t="shared" si="70"/>
        <v>0</v>
      </c>
      <c r="H76" s="141">
        <f t="shared" si="70"/>
        <v>0</v>
      </c>
      <c r="I76" s="141">
        <f t="shared" si="70"/>
        <v>0</v>
      </c>
      <c r="J76" s="141">
        <f t="shared" si="70"/>
        <v>0</v>
      </c>
      <c r="K76" s="141">
        <f t="shared" si="70"/>
        <v>0</v>
      </c>
      <c r="L76" s="141">
        <f t="shared" si="70"/>
        <v>0</v>
      </c>
      <c r="M76" s="141">
        <f t="shared" si="70"/>
        <v>0</v>
      </c>
      <c r="N76" s="141">
        <f t="shared" si="70"/>
        <v>0</v>
      </c>
      <c r="O76" s="141">
        <f t="shared" si="70"/>
        <v>0</v>
      </c>
      <c r="P76" s="141">
        <f t="shared" si="70"/>
        <v>0</v>
      </c>
      <c r="Q76" s="141">
        <f t="shared" si="70"/>
        <v>0</v>
      </c>
      <c r="R76" s="141">
        <f t="shared" si="70"/>
        <v>0</v>
      </c>
      <c r="S76" s="141">
        <f t="shared" si="70"/>
        <v>0</v>
      </c>
      <c r="T76" s="141">
        <f t="shared" si="70"/>
        <v>0</v>
      </c>
      <c r="U76" s="141">
        <f t="shared" si="70"/>
        <v>0</v>
      </c>
      <c r="V76" s="141">
        <f t="shared" si="70"/>
        <v>0</v>
      </c>
      <c r="W76" s="141">
        <f t="shared" si="70"/>
        <v>0</v>
      </c>
      <c r="X76" s="141">
        <f>IF(Y46=1,IF(X69&gt;X70,X70,0),0)</f>
        <v>0</v>
      </c>
      <c r="Y76" s="141">
        <f t="shared" si="70"/>
        <v>0</v>
      </c>
      <c r="Z76" s="141">
        <f t="shared" si="70"/>
        <v>0</v>
      </c>
      <c r="AA76" s="141">
        <f t="shared" si="70"/>
        <v>0</v>
      </c>
      <c r="AB76" s="141">
        <f t="shared" si="70"/>
        <v>0</v>
      </c>
      <c r="AC76" s="141">
        <f t="shared" si="70"/>
        <v>0</v>
      </c>
      <c r="AD76" s="141">
        <f t="shared" si="70"/>
        <v>0</v>
      </c>
      <c r="AE76" s="141">
        <f t="shared" si="70"/>
        <v>0</v>
      </c>
      <c r="AF76" s="141">
        <f t="shared" si="70"/>
        <v>0</v>
      </c>
      <c r="AG76" s="141">
        <f t="shared" si="70"/>
        <v>0</v>
      </c>
      <c r="AH76" s="154" t="s">
        <v>12</v>
      </c>
      <c r="AI76" s="133"/>
      <c r="AJ76" s="170"/>
      <c r="AK76" s="133"/>
      <c r="AL76" s="133"/>
    </row>
    <row r="77" spans="1:77" ht="15.95" hidden="1" customHeight="1" x14ac:dyDescent="0.25">
      <c r="A77" s="176"/>
      <c r="B77" s="149" t="s">
        <v>67</v>
      </c>
      <c r="C77" s="171">
        <f t="shared" ref="C77:AG77" si="71">SUM(C74:C76)</f>
        <v>0</v>
      </c>
      <c r="D77" s="171">
        <f t="shared" si="71"/>
        <v>0</v>
      </c>
      <c r="E77" s="171">
        <f t="shared" si="71"/>
        <v>0</v>
      </c>
      <c r="F77" s="171">
        <f t="shared" si="71"/>
        <v>0</v>
      </c>
      <c r="G77" s="171">
        <f t="shared" si="71"/>
        <v>0</v>
      </c>
      <c r="H77" s="171">
        <f t="shared" si="71"/>
        <v>0</v>
      </c>
      <c r="I77" s="171">
        <f t="shared" si="71"/>
        <v>0</v>
      </c>
      <c r="J77" s="171">
        <f t="shared" si="71"/>
        <v>0</v>
      </c>
      <c r="K77" s="171">
        <f t="shared" si="71"/>
        <v>0</v>
      </c>
      <c r="L77" s="171">
        <f t="shared" si="71"/>
        <v>0</v>
      </c>
      <c r="M77" s="171">
        <f t="shared" si="71"/>
        <v>0</v>
      </c>
      <c r="N77" s="171">
        <f t="shared" si="71"/>
        <v>0</v>
      </c>
      <c r="O77" s="171">
        <f t="shared" si="71"/>
        <v>0</v>
      </c>
      <c r="P77" s="171">
        <f t="shared" si="71"/>
        <v>0</v>
      </c>
      <c r="Q77" s="171">
        <f t="shared" si="71"/>
        <v>0</v>
      </c>
      <c r="R77" s="171">
        <f t="shared" si="71"/>
        <v>0</v>
      </c>
      <c r="S77" s="171">
        <f t="shared" si="71"/>
        <v>0</v>
      </c>
      <c r="T77" s="171">
        <f t="shared" si="71"/>
        <v>0</v>
      </c>
      <c r="U77" s="171">
        <f t="shared" si="71"/>
        <v>0</v>
      </c>
      <c r="V77" s="171">
        <f t="shared" si="71"/>
        <v>0</v>
      </c>
      <c r="W77" s="171">
        <f t="shared" si="71"/>
        <v>0</v>
      </c>
      <c r="X77" s="171">
        <f t="shared" si="71"/>
        <v>0</v>
      </c>
      <c r="Y77" s="171">
        <f t="shared" si="71"/>
        <v>0</v>
      </c>
      <c r="Z77" s="171">
        <f t="shared" si="71"/>
        <v>0</v>
      </c>
      <c r="AA77" s="171">
        <f t="shared" si="71"/>
        <v>0</v>
      </c>
      <c r="AB77" s="171">
        <f t="shared" si="71"/>
        <v>0</v>
      </c>
      <c r="AC77" s="171">
        <f t="shared" si="71"/>
        <v>0</v>
      </c>
      <c r="AD77" s="171">
        <f t="shared" si="71"/>
        <v>0</v>
      </c>
      <c r="AE77" s="171">
        <f t="shared" si="71"/>
        <v>0</v>
      </c>
      <c r="AF77" s="171">
        <f t="shared" si="71"/>
        <v>0</v>
      </c>
      <c r="AG77" s="171">
        <f t="shared" si="71"/>
        <v>0</v>
      </c>
      <c r="AH77" s="154" t="s">
        <v>12</v>
      </c>
      <c r="AI77" s="133"/>
      <c r="AJ77" s="170"/>
      <c r="AK77" s="133"/>
      <c r="AL77" s="133"/>
    </row>
    <row r="78" spans="1:77" ht="15.95" hidden="1" customHeight="1" x14ac:dyDescent="0.25">
      <c r="A78" s="177"/>
      <c r="B78" s="160" t="s">
        <v>68</v>
      </c>
      <c r="C78" s="161">
        <f t="shared" ref="C78:AG78" si="72">IF(C11="V",IF(C11="",0,1),0)</f>
        <v>0</v>
      </c>
      <c r="D78" s="161">
        <f t="shared" si="72"/>
        <v>0</v>
      </c>
      <c r="E78" s="161">
        <f t="shared" si="72"/>
        <v>0</v>
      </c>
      <c r="F78" s="161">
        <f t="shared" si="72"/>
        <v>0</v>
      </c>
      <c r="G78" s="161">
        <f t="shared" si="72"/>
        <v>0</v>
      </c>
      <c r="H78" s="161">
        <f t="shared" si="72"/>
        <v>0</v>
      </c>
      <c r="I78" s="161">
        <f t="shared" si="72"/>
        <v>0</v>
      </c>
      <c r="J78" s="161">
        <f t="shared" si="72"/>
        <v>0</v>
      </c>
      <c r="K78" s="161">
        <f t="shared" si="72"/>
        <v>0</v>
      </c>
      <c r="L78" s="161">
        <f t="shared" si="72"/>
        <v>0</v>
      </c>
      <c r="M78" s="161">
        <f t="shared" si="72"/>
        <v>0</v>
      </c>
      <c r="N78" s="161">
        <f t="shared" si="72"/>
        <v>0</v>
      </c>
      <c r="O78" s="161">
        <f t="shared" si="72"/>
        <v>0</v>
      </c>
      <c r="P78" s="161">
        <f t="shared" si="72"/>
        <v>0</v>
      </c>
      <c r="Q78" s="161">
        <f t="shared" si="72"/>
        <v>0</v>
      </c>
      <c r="R78" s="161">
        <f t="shared" si="72"/>
        <v>0</v>
      </c>
      <c r="S78" s="161">
        <f t="shared" si="72"/>
        <v>0</v>
      </c>
      <c r="T78" s="161">
        <f t="shared" si="72"/>
        <v>0</v>
      </c>
      <c r="U78" s="161">
        <f t="shared" si="72"/>
        <v>0</v>
      </c>
      <c r="V78" s="161">
        <f t="shared" si="72"/>
        <v>0</v>
      </c>
      <c r="W78" s="161">
        <f t="shared" si="72"/>
        <v>0</v>
      </c>
      <c r="X78" s="161">
        <f t="shared" si="72"/>
        <v>0</v>
      </c>
      <c r="Y78" s="161">
        <f t="shared" si="72"/>
        <v>0</v>
      </c>
      <c r="Z78" s="161">
        <f t="shared" si="72"/>
        <v>0</v>
      </c>
      <c r="AA78" s="161">
        <f t="shared" si="72"/>
        <v>0</v>
      </c>
      <c r="AB78" s="161">
        <f t="shared" si="72"/>
        <v>0</v>
      </c>
      <c r="AC78" s="161">
        <f t="shared" si="72"/>
        <v>0</v>
      </c>
      <c r="AD78" s="161">
        <f t="shared" si="72"/>
        <v>0</v>
      </c>
      <c r="AE78" s="161">
        <f t="shared" si="72"/>
        <v>0</v>
      </c>
      <c r="AF78" s="161">
        <f t="shared" si="72"/>
        <v>0</v>
      </c>
      <c r="AG78" s="161">
        <f t="shared" si="72"/>
        <v>0</v>
      </c>
      <c r="AH78" s="154" t="s">
        <v>12</v>
      </c>
      <c r="AI78" s="133"/>
      <c r="AJ78" s="170"/>
      <c r="AK78" s="133"/>
      <c r="AL78" s="133"/>
    </row>
    <row r="79" spans="1:77" ht="15.95" hidden="1" customHeight="1" x14ac:dyDescent="0.25">
      <c r="A79" s="173"/>
      <c r="B79" s="130" t="s">
        <v>16</v>
      </c>
      <c r="C79" s="163">
        <f t="shared" ref="C79:AG79" si="73">IF(C11="PR",IF(C11="",0,1),0)</f>
        <v>0</v>
      </c>
      <c r="D79" s="163">
        <f t="shared" si="73"/>
        <v>0</v>
      </c>
      <c r="E79" s="163">
        <f t="shared" si="73"/>
        <v>0</v>
      </c>
      <c r="F79" s="163">
        <f t="shared" si="73"/>
        <v>0</v>
      </c>
      <c r="G79" s="163">
        <f t="shared" si="73"/>
        <v>0</v>
      </c>
      <c r="H79" s="163">
        <f t="shared" si="73"/>
        <v>0</v>
      </c>
      <c r="I79" s="163">
        <f t="shared" si="73"/>
        <v>0</v>
      </c>
      <c r="J79" s="163">
        <f t="shared" si="73"/>
        <v>0</v>
      </c>
      <c r="K79" s="163">
        <f t="shared" si="73"/>
        <v>0</v>
      </c>
      <c r="L79" s="163">
        <f t="shared" si="73"/>
        <v>0</v>
      </c>
      <c r="M79" s="163">
        <f t="shared" si="73"/>
        <v>0</v>
      </c>
      <c r="N79" s="163">
        <f t="shared" si="73"/>
        <v>0</v>
      </c>
      <c r="O79" s="163">
        <f t="shared" si="73"/>
        <v>0</v>
      </c>
      <c r="P79" s="163">
        <f t="shared" si="73"/>
        <v>0</v>
      </c>
      <c r="Q79" s="163">
        <f t="shared" si="73"/>
        <v>0</v>
      </c>
      <c r="R79" s="163">
        <f t="shared" si="73"/>
        <v>0</v>
      </c>
      <c r="S79" s="163">
        <f t="shared" si="73"/>
        <v>0</v>
      </c>
      <c r="T79" s="163">
        <f t="shared" si="73"/>
        <v>0</v>
      </c>
      <c r="U79" s="163">
        <f t="shared" si="73"/>
        <v>0</v>
      </c>
      <c r="V79" s="163">
        <f t="shared" si="73"/>
        <v>0</v>
      </c>
      <c r="W79" s="163">
        <f t="shared" si="73"/>
        <v>0</v>
      </c>
      <c r="X79" s="163">
        <f t="shared" si="73"/>
        <v>0</v>
      </c>
      <c r="Y79" s="163">
        <f t="shared" si="73"/>
        <v>0</v>
      </c>
      <c r="Z79" s="163">
        <f t="shared" si="73"/>
        <v>0</v>
      </c>
      <c r="AA79" s="163">
        <f t="shared" si="73"/>
        <v>0</v>
      </c>
      <c r="AB79" s="163">
        <f t="shared" si="73"/>
        <v>0</v>
      </c>
      <c r="AC79" s="163">
        <f t="shared" si="73"/>
        <v>0</v>
      </c>
      <c r="AD79" s="163">
        <f t="shared" si="73"/>
        <v>0</v>
      </c>
      <c r="AE79" s="163">
        <f t="shared" si="73"/>
        <v>0</v>
      </c>
      <c r="AF79" s="163">
        <f t="shared" si="73"/>
        <v>0</v>
      </c>
      <c r="AG79" s="163">
        <f t="shared" si="73"/>
        <v>0</v>
      </c>
      <c r="AH79" s="229">
        <f>SUM(C79:AG79)</f>
        <v>0</v>
      </c>
      <c r="AI79" s="229"/>
      <c r="AJ79" s="174" t="s">
        <v>69</v>
      </c>
      <c r="AK79" s="133"/>
      <c r="AL79" s="133"/>
    </row>
    <row r="80" spans="1:77" ht="15.95" hidden="1" customHeight="1" x14ac:dyDescent="0.25">
      <c r="A80" s="164" t="s">
        <v>75</v>
      </c>
      <c r="B80" s="165" t="s">
        <v>29</v>
      </c>
      <c r="C80" s="141" t="str">
        <f t="shared" ref="C80:AG80" si="74">IF(C12=$R32,$S32*24,IF(C12=$R33,$S33*24,IF(C12=$R34,$S34*24,IF(C12=$R35,$S35*24,IF(C12=$R36,$S36*24,IF(C12=$R37,$S37*24,IF(C12=$R38,$S38*24,IF(C12=$R39,$S39*24,IF(C12=$R40,$S40*24,"")))))))))</f>
        <v/>
      </c>
      <c r="D80" s="141">
        <f t="shared" si="74"/>
        <v>7</v>
      </c>
      <c r="E80" s="141">
        <f t="shared" si="74"/>
        <v>7</v>
      </c>
      <c r="F80" s="141" t="str">
        <f t="shared" si="74"/>
        <v/>
      </c>
      <c r="G80" s="141" t="str">
        <f t="shared" si="74"/>
        <v/>
      </c>
      <c r="H80" s="141">
        <f t="shared" si="74"/>
        <v>7</v>
      </c>
      <c r="I80" s="141">
        <f t="shared" si="74"/>
        <v>7</v>
      </c>
      <c r="J80" s="141">
        <f t="shared" si="74"/>
        <v>7</v>
      </c>
      <c r="K80" s="141" t="str">
        <f t="shared" si="74"/>
        <v/>
      </c>
      <c r="L80" s="141" t="str">
        <f t="shared" si="74"/>
        <v/>
      </c>
      <c r="M80" s="141">
        <f t="shared" si="74"/>
        <v>7</v>
      </c>
      <c r="N80" s="141">
        <f t="shared" si="74"/>
        <v>7</v>
      </c>
      <c r="O80" s="141" t="str">
        <f t="shared" si="74"/>
        <v/>
      </c>
      <c r="P80" s="141" t="str">
        <f t="shared" si="74"/>
        <v/>
      </c>
      <c r="Q80" s="141" t="str">
        <f t="shared" si="74"/>
        <v/>
      </c>
      <c r="R80" s="141">
        <f t="shared" si="74"/>
        <v>7</v>
      </c>
      <c r="S80" s="141">
        <f t="shared" si="74"/>
        <v>7</v>
      </c>
      <c r="T80" s="141" t="str">
        <f t="shared" si="74"/>
        <v/>
      </c>
      <c r="U80" s="141" t="str">
        <f t="shared" si="74"/>
        <v/>
      </c>
      <c r="V80" s="141" t="str">
        <f t="shared" si="74"/>
        <v/>
      </c>
      <c r="W80" s="141" t="str">
        <f t="shared" si="74"/>
        <v/>
      </c>
      <c r="X80" s="141" t="str">
        <f t="shared" si="74"/>
        <v/>
      </c>
      <c r="Y80" s="141" t="str">
        <f t="shared" si="74"/>
        <v/>
      </c>
      <c r="Z80" s="141" t="str">
        <f t="shared" si="74"/>
        <v/>
      </c>
      <c r="AA80" s="141">
        <f t="shared" si="74"/>
        <v>7</v>
      </c>
      <c r="AB80" s="141">
        <f t="shared" si="74"/>
        <v>7</v>
      </c>
      <c r="AC80" s="141">
        <f t="shared" si="74"/>
        <v>7</v>
      </c>
      <c r="AD80" s="141">
        <f t="shared" si="74"/>
        <v>7</v>
      </c>
      <c r="AE80" s="141">
        <f t="shared" si="74"/>
        <v>7</v>
      </c>
      <c r="AF80" s="141">
        <f t="shared" si="74"/>
        <v>7</v>
      </c>
      <c r="AG80" s="141">
        <f t="shared" si="74"/>
        <v>7</v>
      </c>
      <c r="AH80" s="154" t="s">
        <v>12</v>
      </c>
      <c r="AI80" s="133"/>
      <c r="AJ80" s="170"/>
      <c r="AK80" s="133"/>
      <c r="AL80" s="133"/>
    </row>
    <row r="81" spans="1:38" ht="15.95" hidden="1" customHeight="1" x14ac:dyDescent="0.25">
      <c r="A81" s="166" t="s">
        <v>76</v>
      </c>
      <c r="B81" s="167" t="s">
        <v>30</v>
      </c>
      <c r="C81" s="141" t="str">
        <f t="shared" ref="C81:AG81" si="75">IF(C12=$R32,$V32*24,IF(C12=$R33,$V33*24,IF(C12=$R34,$V34*24,IF(C12=$R35,$V35*24,IF(C12=$R36,$V36*24,IF(C12=$R37,$V37*24,IF(C12=$R38,$V38*24,IF(C12=$R39,$V39*24,IF(C12=$R40,$V40*24,"")))))))))</f>
        <v/>
      </c>
      <c r="D81" s="141">
        <f t="shared" si="75"/>
        <v>19</v>
      </c>
      <c r="E81" s="141">
        <f t="shared" si="75"/>
        <v>19</v>
      </c>
      <c r="F81" s="141" t="str">
        <f t="shared" si="75"/>
        <v/>
      </c>
      <c r="G81" s="141" t="str">
        <f t="shared" si="75"/>
        <v/>
      </c>
      <c r="H81" s="141">
        <f t="shared" si="75"/>
        <v>19</v>
      </c>
      <c r="I81" s="141">
        <f t="shared" si="75"/>
        <v>19</v>
      </c>
      <c r="J81" s="141">
        <f t="shared" si="75"/>
        <v>19</v>
      </c>
      <c r="K81" s="141" t="str">
        <f t="shared" si="75"/>
        <v/>
      </c>
      <c r="L81" s="141" t="str">
        <f t="shared" si="75"/>
        <v/>
      </c>
      <c r="M81" s="141">
        <f t="shared" si="75"/>
        <v>19</v>
      </c>
      <c r="N81" s="141">
        <f t="shared" si="75"/>
        <v>19</v>
      </c>
      <c r="O81" s="141" t="str">
        <f t="shared" si="75"/>
        <v/>
      </c>
      <c r="P81" s="141" t="str">
        <f t="shared" si="75"/>
        <v/>
      </c>
      <c r="Q81" s="141" t="str">
        <f t="shared" si="75"/>
        <v/>
      </c>
      <c r="R81" s="141">
        <f t="shared" si="75"/>
        <v>19</v>
      </c>
      <c r="S81" s="141">
        <f t="shared" si="75"/>
        <v>19</v>
      </c>
      <c r="T81" s="141" t="str">
        <f t="shared" si="75"/>
        <v/>
      </c>
      <c r="U81" s="141" t="str">
        <f t="shared" si="75"/>
        <v/>
      </c>
      <c r="V81" s="141" t="str">
        <f t="shared" si="75"/>
        <v/>
      </c>
      <c r="W81" s="141" t="str">
        <f t="shared" si="75"/>
        <v/>
      </c>
      <c r="X81" s="141" t="str">
        <f t="shared" si="75"/>
        <v/>
      </c>
      <c r="Y81" s="141" t="str">
        <f t="shared" si="75"/>
        <v/>
      </c>
      <c r="Z81" s="141" t="str">
        <f t="shared" si="75"/>
        <v/>
      </c>
      <c r="AA81" s="141">
        <f t="shared" si="75"/>
        <v>19</v>
      </c>
      <c r="AB81" s="141">
        <f t="shared" si="75"/>
        <v>19</v>
      </c>
      <c r="AC81" s="141">
        <f t="shared" si="75"/>
        <v>19</v>
      </c>
      <c r="AD81" s="141">
        <f t="shared" si="75"/>
        <v>19</v>
      </c>
      <c r="AE81" s="141">
        <f t="shared" si="75"/>
        <v>19</v>
      </c>
      <c r="AF81" s="141">
        <f t="shared" si="75"/>
        <v>19</v>
      </c>
      <c r="AG81" s="141">
        <f t="shared" si="75"/>
        <v>19</v>
      </c>
      <c r="AH81" s="154" t="s">
        <v>12</v>
      </c>
      <c r="AI81" s="133"/>
      <c r="AJ81" s="170"/>
      <c r="AK81" s="133"/>
      <c r="AL81" s="133"/>
    </row>
    <row r="82" spans="1:38" ht="15.95" hidden="1" customHeight="1" x14ac:dyDescent="0.25">
      <c r="A82" s="153"/>
      <c r="B82" s="168" t="s">
        <v>34</v>
      </c>
      <c r="C82" s="169" t="str">
        <f t="shared" ref="C82:AD82" si="76">IF(C12=$R32,$BD32*24,IF(C12=$R33,$BD33*24,IF(C12=$R34,$BD34*24,IF(C12=$R35,$BD35*24,IF(C12=$R36,$BD36*24,IF(C12=$R37,$BD37*24,IF(C12=$R38,$BD38*24,IF(C12=$R39,$BD39*24,IF(C12=$R40,$BD40*24,"")))))))))</f>
        <v/>
      </c>
      <c r="D82" s="169">
        <f t="shared" si="76"/>
        <v>0</v>
      </c>
      <c r="E82" s="169">
        <f t="shared" si="76"/>
        <v>0</v>
      </c>
      <c r="F82" s="169" t="str">
        <f t="shared" si="76"/>
        <v/>
      </c>
      <c r="G82" s="169" t="str">
        <f t="shared" si="76"/>
        <v/>
      </c>
      <c r="H82" s="169">
        <f t="shared" si="76"/>
        <v>0</v>
      </c>
      <c r="I82" s="169">
        <f t="shared" si="76"/>
        <v>0</v>
      </c>
      <c r="J82" s="169">
        <f t="shared" si="76"/>
        <v>0</v>
      </c>
      <c r="K82" s="169" t="str">
        <f t="shared" si="76"/>
        <v/>
      </c>
      <c r="L82" s="169" t="str">
        <f t="shared" si="76"/>
        <v/>
      </c>
      <c r="M82" s="169">
        <f t="shared" si="76"/>
        <v>0</v>
      </c>
      <c r="N82" s="169">
        <f t="shared" si="76"/>
        <v>0</v>
      </c>
      <c r="O82" s="169" t="str">
        <f t="shared" si="76"/>
        <v/>
      </c>
      <c r="P82" s="169" t="str">
        <f t="shared" si="76"/>
        <v/>
      </c>
      <c r="Q82" s="169" t="str">
        <f t="shared" si="76"/>
        <v/>
      </c>
      <c r="R82" s="169">
        <f t="shared" si="76"/>
        <v>0</v>
      </c>
      <c r="S82" s="169">
        <f t="shared" si="76"/>
        <v>0</v>
      </c>
      <c r="T82" s="169" t="str">
        <f t="shared" si="76"/>
        <v/>
      </c>
      <c r="U82" s="169" t="str">
        <f t="shared" si="76"/>
        <v/>
      </c>
      <c r="V82" s="169" t="str">
        <f t="shared" si="76"/>
        <v/>
      </c>
      <c r="W82" s="169" t="str">
        <f t="shared" si="76"/>
        <v/>
      </c>
      <c r="X82" s="169" t="str">
        <f t="shared" si="76"/>
        <v/>
      </c>
      <c r="Y82" s="169" t="str">
        <f t="shared" si="76"/>
        <v/>
      </c>
      <c r="Z82" s="169" t="str">
        <f t="shared" si="76"/>
        <v/>
      </c>
      <c r="AA82" s="169">
        <f t="shared" si="76"/>
        <v>0</v>
      </c>
      <c r="AB82" s="169">
        <f t="shared" si="76"/>
        <v>0</v>
      </c>
      <c r="AC82" s="169">
        <f t="shared" si="76"/>
        <v>0</v>
      </c>
      <c r="AD82" s="169">
        <f t="shared" si="76"/>
        <v>0</v>
      </c>
      <c r="AE82" s="169">
        <f>IF(AE12=$R32,$BD32*24,IF(AE12=$R33,$BD33*24,IF(AE12=$R34,$BD34*24,IF(AE12=$R35,$BD35*24,IF(AE12=$R36,$BD36*24,IF(AE12=$R37,$BD37*24,IF(AE12=$R38,$BD38*24,IF(AE12=$R39,$BD39*24,IF(AE12=$R40,$BD40*24,"")))))))))</f>
        <v>0</v>
      </c>
      <c r="AF82" s="169">
        <f>IF(AF12=$R32,$BD32*24,IF(AF12=$R33,$BD33*24,IF(AF12=$R34,$BD34*24,IF(AF12=$R35,$BD35*24,IF(AF12=$R36,$BD36*24,IF(AF12=$R37,$BD37*24,IF(AF12=$R38,$BD38*24,IF(AF12=$R39,$BD39*24,IF(AF12=$R40,$BD40*24,"")))))))))</f>
        <v>0</v>
      </c>
      <c r="AG82" s="169">
        <f>IF(AG12=$R32,$BD32*24,IF(AG12=$R33,$BD33*24,IF(AG12=$R34,$BD34*24,IF(AG12=$R35,$BD35*24,IF(AG12=$R36,$BD36*24,IF(AG12=$R37,$BD37*24,IF(AG12=$R38,$BD38*24,IF(AG12=$R39,$BD39*24,IF(AG12=$R40,$BD40*24,"")))))))))</f>
        <v>0</v>
      </c>
      <c r="AH82" s="148">
        <f>SUM(C82:AG82)</f>
        <v>0</v>
      </c>
      <c r="AI82" s="133"/>
      <c r="AJ82" s="170"/>
      <c r="AK82" s="133"/>
      <c r="AL82" s="133"/>
    </row>
    <row r="83" spans="1:38" ht="15.95" hidden="1" customHeight="1" x14ac:dyDescent="0.25">
      <c r="A83" s="153"/>
      <c r="B83" s="167" t="s">
        <v>59</v>
      </c>
      <c r="C83" s="141">
        <f t="shared" ref="C83:AG83" si="77">IF(C12="V",$C36,IF(C12="PR",$C38,0))</f>
        <v>0</v>
      </c>
      <c r="D83" s="141">
        <f t="shared" si="77"/>
        <v>0</v>
      </c>
      <c r="E83" s="141">
        <f t="shared" si="77"/>
        <v>0</v>
      </c>
      <c r="F83" s="141">
        <f t="shared" si="77"/>
        <v>0</v>
      </c>
      <c r="G83" s="141">
        <f t="shared" si="77"/>
        <v>0</v>
      </c>
      <c r="H83" s="141">
        <f t="shared" si="77"/>
        <v>0</v>
      </c>
      <c r="I83" s="141">
        <f t="shared" si="77"/>
        <v>0</v>
      </c>
      <c r="J83" s="141">
        <f t="shared" si="77"/>
        <v>0</v>
      </c>
      <c r="K83" s="141">
        <f t="shared" si="77"/>
        <v>0</v>
      </c>
      <c r="L83" s="141">
        <f t="shared" si="77"/>
        <v>0</v>
      </c>
      <c r="M83" s="141">
        <f t="shared" si="77"/>
        <v>0</v>
      </c>
      <c r="N83" s="141">
        <f t="shared" si="77"/>
        <v>0</v>
      </c>
      <c r="O83" s="141">
        <f t="shared" si="77"/>
        <v>0</v>
      </c>
      <c r="P83" s="141">
        <f t="shared" si="77"/>
        <v>0</v>
      </c>
      <c r="Q83" s="141">
        <f t="shared" si="77"/>
        <v>0</v>
      </c>
      <c r="R83" s="141">
        <f t="shared" si="77"/>
        <v>0</v>
      </c>
      <c r="S83" s="141">
        <f t="shared" si="77"/>
        <v>0</v>
      </c>
      <c r="T83" s="141">
        <f t="shared" si="77"/>
        <v>0</v>
      </c>
      <c r="U83" s="141">
        <f t="shared" si="77"/>
        <v>0</v>
      </c>
      <c r="V83" s="141">
        <f t="shared" si="77"/>
        <v>0</v>
      </c>
      <c r="W83" s="141">
        <f t="shared" si="77"/>
        <v>0</v>
      </c>
      <c r="X83" s="141">
        <f t="shared" si="77"/>
        <v>0</v>
      </c>
      <c r="Y83" s="141">
        <f t="shared" si="77"/>
        <v>0</v>
      </c>
      <c r="Z83" s="141">
        <f t="shared" si="77"/>
        <v>0</v>
      </c>
      <c r="AA83" s="141">
        <f t="shared" si="77"/>
        <v>0</v>
      </c>
      <c r="AB83" s="141">
        <f t="shared" si="77"/>
        <v>0</v>
      </c>
      <c r="AC83" s="141">
        <f t="shared" si="77"/>
        <v>0</v>
      </c>
      <c r="AD83" s="141">
        <f t="shared" si="77"/>
        <v>0</v>
      </c>
      <c r="AE83" s="141">
        <f t="shared" si="77"/>
        <v>0</v>
      </c>
      <c r="AF83" s="141">
        <f t="shared" si="77"/>
        <v>0</v>
      </c>
      <c r="AG83" s="141">
        <f t="shared" si="77"/>
        <v>0</v>
      </c>
      <c r="AH83" s="226">
        <f>SUM(C83:AG83)</f>
        <v>0</v>
      </c>
      <c r="AI83" s="226"/>
      <c r="AJ83" s="170" t="s">
        <v>12</v>
      </c>
      <c r="AK83" s="133"/>
      <c r="AL83" s="133"/>
    </row>
    <row r="84" spans="1:38" ht="15.95" hidden="1" customHeight="1" x14ac:dyDescent="0.25">
      <c r="A84" s="150" t="s">
        <v>60</v>
      </c>
      <c r="B84" s="167" t="s">
        <v>61</v>
      </c>
      <c r="C84" s="151">
        <f t="shared" ref="C84:AD84" si="78">IF(C12=$R32,$BC32,IF(C12=$R33,$BC33,IF(C12=$R34,$BC34,IF(C12=$R35,$BC35,IF(C12=$R36,$BC36,IF(C12=$R37,$BC37,IF(C12=$R38,$BC38,IF(C12=$R39,$BC39,IF(C12=$R40,$BC40,0)))))))))</f>
        <v>0</v>
      </c>
      <c r="D84" s="151">
        <f t="shared" si="78"/>
        <v>11.999999999999998</v>
      </c>
      <c r="E84" s="151">
        <f t="shared" si="78"/>
        <v>11.999999999999998</v>
      </c>
      <c r="F84" s="151">
        <f t="shared" si="78"/>
        <v>0</v>
      </c>
      <c r="G84" s="151">
        <f t="shared" si="78"/>
        <v>0</v>
      </c>
      <c r="H84" s="151">
        <f t="shared" si="78"/>
        <v>11.999999999999998</v>
      </c>
      <c r="I84" s="151">
        <f t="shared" si="78"/>
        <v>11.999999999999998</v>
      </c>
      <c r="J84" s="151">
        <f t="shared" si="78"/>
        <v>11.999999999999998</v>
      </c>
      <c r="K84" s="151">
        <f t="shared" si="78"/>
        <v>0</v>
      </c>
      <c r="L84" s="151">
        <f t="shared" si="78"/>
        <v>0</v>
      </c>
      <c r="M84" s="151">
        <f t="shared" si="78"/>
        <v>11.999999999999998</v>
      </c>
      <c r="N84" s="151">
        <f t="shared" si="78"/>
        <v>11.999999999999998</v>
      </c>
      <c r="O84" s="151">
        <f t="shared" si="78"/>
        <v>0</v>
      </c>
      <c r="P84" s="151">
        <f t="shared" si="78"/>
        <v>0</v>
      </c>
      <c r="Q84" s="151">
        <f t="shared" si="78"/>
        <v>0</v>
      </c>
      <c r="R84" s="151">
        <f t="shared" si="78"/>
        <v>11.999999999999998</v>
      </c>
      <c r="S84" s="151">
        <f t="shared" si="78"/>
        <v>11.999999999999998</v>
      </c>
      <c r="T84" s="151">
        <f t="shared" si="78"/>
        <v>0</v>
      </c>
      <c r="U84" s="151">
        <f t="shared" si="78"/>
        <v>0</v>
      </c>
      <c r="V84" s="151">
        <f t="shared" si="78"/>
        <v>0</v>
      </c>
      <c r="W84" s="151">
        <f t="shared" si="78"/>
        <v>0</v>
      </c>
      <c r="X84" s="151">
        <f t="shared" si="78"/>
        <v>0</v>
      </c>
      <c r="Y84" s="151">
        <f t="shared" si="78"/>
        <v>0</v>
      </c>
      <c r="Z84" s="151">
        <f t="shared" si="78"/>
        <v>0</v>
      </c>
      <c r="AA84" s="151">
        <f t="shared" si="78"/>
        <v>11.999999999999998</v>
      </c>
      <c r="AB84" s="151">
        <f t="shared" si="78"/>
        <v>11.999999999999998</v>
      </c>
      <c r="AC84" s="151">
        <f t="shared" si="78"/>
        <v>11.999999999999998</v>
      </c>
      <c r="AD84" s="151">
        <f t="shared" si="78"/>
        <v>11.999999999999998</v>
      </c>
      <c r="AE84" s="151">
        <f>IF(AE12=$R32,$BC32,IF(AE12=$R33,$BC33,IF(AE12=$R34,$BC34,IF(AE12=$R35,$BC35,IF(AE12=$R36,$BC36,IF(AE12=$R37,$BC37,IF(AE12=$R38,$BC38,IF(AE12=$R39,$BC39,IF(AE12=$R40,$BC40,0)))))))))</f>
        <v>11.999999999999998</v>
      </c>
      <c r="AF84" s="151">
        <f>IF(AF12=$R32,$BC32,IF(AF12=$R33,$BC33,IF(AF12=$R34,$BC34,IF(AF12=$R35,$BC35,IF(AF12=$R36,$BC36,IF(AF12=$R37,$BC37,IF(AF12=$R38,$BC38,IF(AF12=$R39,$BC39,IF(AF12=$R40,$BC40,0)))))))))</f>
        <v>11.999999999999998</v>
      </c>
      <c r="AG84" s="151">
        <f>IF(AG12=$R32,$BC32,IF(AG12=$R33,$BC33,IF(AG12=$R34,$BC34,IF(AG12=$R35,$BC35,IF(AG12=$R36,$BC36,IF(AG12=$R37,$BC37,IF(AG12=$R38,$BC38,IF(AG12=$R39,$BC39,IF(AG12=$R40,$BC40,0)))))))))</f>
        <v>11.999999999999998</v>
      </c>
      <c r="AH84" s="226">
        <f>SUM(C84:AG84)</f>
        <v>191.99999999999997</v>
      </c>
      <c r="AI84" s="226"/>
      <c r="AJ84" s="175" t="s">
        <v>62</v>
      </c>
      <c r="AK84" s="133" t="s">
        <v>12</v>
      </c>
      <c r="AL84" s="133"/>
    </row>
    <row r="85" spans="1:38" ht="15.95" hidden="1" customHeight="1" x14ac:dyDescent="0.25">
      <c r="A85" s="153" t="s">
        <v>48</v>
      </c>
      <c r="B85" s="149" t="s">
        <v>63</v>
      </c>
      <c r="C85" s="141">
        <f t="shared" ref="C85:AG85" si="79">IF(C46=1,IF(C80&lt;C81,C84,0))</f>
        <v>0</v>
      </c>
      <c r="D85" s="141" t="b">
        <f t="shared" si="79"/>
        <v>0</v>
      </c>
      <c r="E85" s="141" t="b">
        <f t="shared" si="79"/>
        <v>0</v>
      </c>
      <c r="F85" s="141" t="b">
        <f t="shared" si="79"/>
        <v>0</v>
      </c>
      <c r="G85" s="141" t="b">
        <f t="shared" si="79"/>
        <v>0</v>
      </c>
      <c r="H85" s="141" t="b">
        <f t="shared" si="79"/>
        <v>0</v>
      </c>
      <c r="I85" s="141">
        <f t="shared" si="79"/>
        <v>11.999999999999998</v>
      </c>
      <c r="J85" s="141">
        <f t="shared" si="79"/>
        <v>11.999999999999998</v>
      </c>
      <c r="K85" s="141" t="b">
        <f t="shared" si="79"/>
        <v>0</v>
      </c>
      <c r="L85" s="141" t="b">
        <f t="shared" si="79"/>
        <v>0</v>
      </c>
      <c r="M85" s="141" t="b">
        <f t="shared" si="79"/>
        <v>0</v>
      </c>
      <c r="N85" s="141" t="b">
        <f t="shared" si="79"/>
        <v>0</v>
      </c>
      <c r="O85" s="141" t="b">
        <f t="shared" si="79"/>
        <v>0</v>
      </c>
      <c r="P85" s="141">
        <f t="shared" si="79"/>
        <v>0</v>
      </c>
      <c r="Q85" s="141">
        <f t="shared" si="79"/>
        <v>0</v>
      </c>
      <c r="R85" s="141" t="b">
        <f t="shared" si="79"/>
        <v>0</v>
      </c>
      <c r="S85" s="141" t="b">
        <f t="shared" si="79"/>
        <v>0</v>
      </c>
      <c r="T85" s="141" t="b">
        <f t="shared" si="79"/>
        <v>0</v>
      </c>
      <c r="U85" s="141" t="b">
        <f t="shared" si="79"/>
        <v>0</v>
      </c>
      <c r="V85" s="141" t="b">
        <f t="shared" si="79"/>
        <v>0</v>
      </c>
      <c r="W85" s="141">
        <f t="shared" si="79"/>
        <v>0</v>
      </c>
      <c r="X85" s="141">
        <f t="shared" si="79"/>
        <v>0</v>
      </c>
      <c r="Y85" s="141" t="b">
        <f t="shared" si="79"/>
        <v>0</v>
      </c>
      <c r="Z85" s="141" t="b">
        <f t="shared" si="79"/>
        <v>0</v>
      </c>
      <c r="AA85" s="141" t="b">
        <f t="shared" si="79"/>
        <v>0</v>
      </c>
      <c r="AB85" s="141" t="b">
        <f t="shared" si="79"/>
        <v>0</v>
      </c>
      <c r="AC85" s="141" t="b">
        <f t="shared" si="79"/>
        <v>0</v>
      </c>
      <c r="AD85" s="141">
        <f t="shared" si="79"/>
        <v>11.999999999999998</v>
      </c>
      <c r="AE85" s="141">
        <f t="shared" si="79"/>
        <v>11.999999999999998</v>
      </c>
      <c r="AF85" s="141" t="b">
        <f t="shared" si="79"/>
        <v>0</v>
      </c>
      <c r="AG85" s="141" t="b">
        <f t="shared" si="79"/>
        <v>0</v>
      </c>
      <c r="AH85" s="154" t="s">
        <v>12</v>
      </c>
      <c r="AI85" s="133"/>
      <c r="AJ85" s="170"/>
      <c r="AK85" s="133"/>
      <c r="AL85" s="133"/>
    </row>
    <row r="86" spans="1:38" ht="15.95" hidden="1" customHeight="1" x14ac:dyDescent="0.25">
      <c r="A86" s="176"/>
      <c r="B86" s="149" t="s">
        <v>64</v>
      </c>
      <c r="C86" s="141">
        <f t="shared" ref="C86:AG86" si="80">IF(C46=1,IF(C80&gt;C81,24-C80,0),0)</f>
        <v>0</v>
      </c>
      <c r="D86" s="141">
        <f t="shared" si="80"/>
        <v>0</v>
      </c>
      <c r="E86" s="141">
        <f t="shared" si="80"/>
        <v>0</v>
      </c>
      <c r="F86" s="141">
        <f t="shared" si="80"/>
        <v>0</v>
      </c>
      <c r="G86" s="141">
        <f t="shared" si="80"/>
        <v>0</v>
      </c>
      <c r="H86" s="141">
        <f t="shared" si="80"/>
        <v>0</v>
      </c>
      <c r="I86" s="141">
        <f t="shared" si="80"/>
        <v>0</v>
      </c>
      <c r="J86" s="141">
        <f t="shared" si="80"/>
        <v>0</v>
      </c>
      <c r="K86" s="141">
        <f t="shared" si="80"/>
        <v>0</v>
      </c>
      <c r="L86" s="141">
        <f t="shared" si="80"/>
        <v>0</v>
      </c>
      <c r="M86" s="141">
        <f t="shared" si="80"/>
        <v>0</v>
      </c>
      <c r="N86" s="141">
        <f t="shared" si="80"/>
        <v>0</v>
      </c>
      <c r="O86" s="141">
        <f t="shared" si="80"/>
        <v>0</v>
      </c>
      <c r="P86" s="141">
        <f t="shared" si="80"/>
        <v>0</v>
      </c>
      <c r="Q86" s="141">
        <f t="shared" si="80"/>
        <v>0</v>
      </c>
      <c r="R86" s="141">
        <f t="shared" si="80"/>
        <v>0</v>
      </c>
      <c r="S86" s="141">
        <f t="shared" si="80"/>
        <v>0</v>
      </c>
      <c r="T86" s="141">
        <f t="shared" si="80"/>
        <v>0</v>
      </c>
      <c r="U86" s="141">
        <f t="shared" si="80"/>
        <v>0</v>
      </c>
      <c r="V86" s="141">
        <f t="shared" si="80"/>
        <v>0</v>
      </c>
      <c r="W86" s="141">
        <f t="shared" si="80"/>
        <v>0</v>
      </c>
      <c r="X86" s="141">
        <f t="shared" si="80"/>
        <v>0</v>
      </c>
      <c r="Y86" s="141">
        <f t="shared" si="80"/>
        <v>0</v>
      </c>
      <c r="Z86" s="141">
        <f t="shared" si="80"/>
        <v>0</v>
      </c>
      <c r="AA86" s="141">
        <f t="shared" si="80"/>
        <v>0</v>
      </c>
      <c r="AB86" s="141">
        <f t="shared" si="80"/>
        <v>0</v>
      </c>
      <c r="AC86" s="141">
        <f t="shared" si="80"/>
        <v>0</v>
      </c>
      <c r="AD86" s="141">
        <f t="shared" si="80"/>
        <v>0</v>
      </c>
      <c r="AE86" s="141">
        <f t="shared" si="80"/>
        <v>0</v>
      </c>
      <c r="AF86" s="141">
        <f t="shared" si="80"/>
        <v>0</v>
      </c>
      <c r="AG86" s="141">
        <f t="shared" si="80"/>
        <v>0</v>
      </c>
      <c r="AH86" s="154" t="s">
        <v>12</v>
      </c>
      <c r="AI86" s="133"/>
      <c r="AJ86" s="170"/>
      <c r="AK86" s="133"/>
      <c r="AL86" s="133"/>
    </row>
    <row r="87" spans="1:38" ht="15.95" hidden="1" customHeight="1" x14ac:dyDescent="0.25">
      <c r="A87" s="176"/>
      <c r="B87" s="149" t="s">
        <v>65</v>
      </c>
      <c r="C87" s="141">
        <f t="shared" ref="C87:AG87" si="81">IF(D46=1,IF(C80&gt;C81,C81,0),0)</f>
        <v>0</v>
      </c>
      <c r="D87" s="141">
        <f t="shared" si="81"/>
        <v>0</v>
      </c>
      <c r="E87" s="141">
        <f t="shared" si="81"/>
        <v>0</v>
      </c>
      <c r="F87" s="141">
        <f t="shared" si="81"/>
        <v>0</v>
      </c>
      <c r="G87" s="141">
        <f t="shared" si="81"/>
        <v>0</v>
      </c>
      <c r="H87" s="141">
        <f t="shared" si="81"/>
        <v>0</v>
      </c>
      <c r="I87" s="141">
        <f t="shared" si="81"/>
        <v>0</v>
      </c>
      <c r="J87" s="141">
        <f t="shared" si="81"/>
        <v>0</v>
      </c>
      <c r="K87" s="141">
        <f t="shared" si="81"/>
        <v>0</v>
      </c>
      <c r="L87" s="141">
        <f t="shared" si="81"/>
        <v>0</v>
      </c>
      <c r="M87" s="141">
        <f t="shared" si="81"/>
        <v>0</v>
      </c>
      <c r="N87" s="141">
        <f t="shared" si="81"/>
        <v>0</v>
      </c>
      <c r="O87" s="141">
        <f t="shared" si="81"/>
        <v>0</v>
      </c>
      <c r="P87" s="141">
        <f t="shared" si="81"/>
        <v>0</v>
      </c>
      <c r="Q87" s="141">
        <f t="shared" si="81"/>
        <v>0</v>
      </c>
      <c r="R87" s="141">
        <f t="shared" si="81"/>
        <v>0</v>
      </c>
      <c r="S87" s="141">
        <f t="shared" si="81"/>
        <v>0</v>
      </c>
      <c r="T87" s="141">
        <f t="shared" si="81"/>
        <v>0</v>
      </c>
      <c r="U87" s="141">
        <f t="shared" si="81"/>
        <v>0</v>
      </c>
      <c r="V87" s="141">
        <f t="shared" si="81"/>
        <v>0</v>
      </c>
      <c r="W87" s="141">
        <f t="shared" si="81"/>
        <v>0</v>
      </c>
      <c r="X87" s="141">
        <f>IF(Y46=1,IF(X80&gt;X81,X81,0),0)</f>
        <v>0</v>
      </c>
      <c r="Y87" s="141">
        <f t="shared" si="81"/>
        <v>0</v>
      </c>
      <c r="Z87" s="141">
        <f t="shared" si="81"/>
        <v>0</v>
      </c>
      <c r="AA87" s="141">
        <f t="shared" si="81"/>
        <v>0</v>
      </c>
      <c r="AB87" s="141">
        <f t="shared" si="81"/>
        <v>0</v>
      </c>
      <c r="AC87" s="141">
        <f t="shared" si="81"/>
        <v>0</v>
      </c>
      <c r="AD87" s="141">
        <f t="shared" si="81"/>
        <v>0</v>
      </c>
      <c r="AE87" s="141">
        <f t="shared" si="81"/>
        <v>0</v>
      </c>
      <c r="AF87" s="141">
        <f t="shared" si="81"/>
        <v>0</v>
      </c>
      <c r="AG87" s="141">
        <f t="shared" si="81"/>
        <v>0</v>
      </c>
      <c r="AH87" s="154" t="s">
        <v>12</v>
      </c>
      <c r="AI87" s="133"/>
      <c r="AJ87" s="170"/>
      <c r="AK87" s="133"/>
      <c r="AL87" s="133"/>
    </row>
    <row r="88" spans="1:38" ht="15.95" hidden="1" customHeight="1" x14ac:dyDescent="0.25">
      <c r="A88" s="176"/>
      <c r="B88" s="149" t="s">
        <v>67</v>
      </c>
      <c r="C88" s="171">
        <f t="shared" ref="C88:AG88" si="82">SUM(C85:C87)</f>
        <v>0</v>
      </c>
      <c r="D88" s="171">
        <f t="shared" si="82"/>
        <v>0</v>
      </c>
      <c r="E88" s="171">
        <f t="shared" si="82"/>
        <v>0</v>
      </c>
      <c r="F88" s="171">
        <f t="shared" si="82"/>
        <v>0</v>
      </c>
      <c r="G88" s="171">
        <f t="shared" si="82"/>
        <v>0</v>
      </c>
      <c r="H88" s="171">
        <f t="shared" si="82"/>
        <v>0</v>
      </c>
      <c r="I88" s="171">
        <f t="shared" si="82"/>
        <v>11.999999999999998</v>
      </c>
      <c r="J88" s="171">
        <f t="shared" si="82"/>
        <v>11.999999999999998</v>
      </c>
      <c r="K88" s="171">
        <f t="shared" si="82"/>
        <v>0</v>
      </c>
      <c r="L88" s="171">
        <f t="shared" si="82"/>
        <v>0</v>
      </c>
      <c r="M88" s="171">
        <f t="shared" si="82"/>
        <v>0</v>
      </c>
      <c r="N88" s="171">
        <f t="shared" si="82"/>
        <v>0</v>
      </c>
      <c r="O88" s="171">
        <f t="shared" si="82"/>
        <v>0</v>
      </c>
      <c r="P88" s="171">
        <f t="shared" si="82"/>
        <v>0</v>
      </c>
      <c r="Q88" s="171">
        <f t="shared" si="82"/>
        <v>0</v>
      </c>
      <c r="R88" s="171">
        <f t="shared" si="82"/>
        <v>0</v>
      </c>
      <c r="S88" s="171">
        <f t="shared" si="82"/>
        <v>0</v>
      </c>
      <c r="T88" s="171">
        <f t="shared" si="82"/>
        <v>0</v>
      </c>
      <c r="U88" s="171">
        <f t="shared" si="82"/>
        <v>0</v>
      </c>
      <c r="V88" s="171">
        <f t="shared" si="82"/>
        <v>0</v>
      </c>
      <c r="W88" s="171">
        <f t="shared" si="82"/>
        <v>0</v>
      </c>
      <c r="X88" s="171">
        <f t="shared" si="82"/>
        <v>0</v>
      </c>
      <c r="Y88" s="171">
        <f t="shared" si="82"/>
        <v>0</v>
      </c>
      <c r="Z88" s="171">
        <f t="shared" si="82"/>
        <v>0</v>
      </c>
      <c r="AA88" s="171">
        <f t="shared" si="82"/>
        <v>0</v>
      </c>
      <c r="AB88" s="171">
        <f t="shared" si="82"/>
        <v>0</v>
      </c>
      <c r="AC88" s="171">
        <f t="shared" si="82"/>
        <v>0</v>
      </c>
      <c r="AD88" s="171">
        <f t="shared" si="82"/>
        <v>11.999999999999998</v>
      </c>
      <c r="AE88" s="171">
        <f t="shared" si="82"/>
        <v>11.999999999999998</v>
      </c>
      <c r="AF88" s="171">
        <f t="shared" si="82"/>
        <v>0</v>
      </c>
      <c r="AG88" s="171">
        <f t="shared" si="82"/>
        <v>0</v>
      </c>
      <c r="AH88" s="154" t="s">
        <v>12</v>
      </c>
      <c r="AI88" s="133"/>
      <c r="AJ88" s="170"/>
      <c r="AK88" s="133"/>
      <c r="AL88" s="133"/>
    </row>
    <row r="89" spans="1:38" ht="15.95" hidden="1" customHeight="1" x14ac:dyDescent="0.25">
      <c r="A89" s="177"/>
      <c r="B89" s="160" t="s">
        <v>68</v>
      </c>
      <c r="C89" s="161">
        <f t="shared" ref="C89:AG89" si="83">IF(C12="V",IF(C12="",0,1),0)</f>
        <v>0</v>
      </c>
      <c r="D89" s="161">
        <f t="shared" si="83"/>
        <v>0</v>
      </c>
      <c r="E89" s="161">
        <f t="shared" si="83"/>
        <v>0</v>
      </c>
      <c r="F89" s="161">
        <f t="shared" si="83"/>
        <v>0</v>
      </c>
      <c r="G89" s="161">
        <f t="shared" si="83"/>
        <v>0</v>
      </c>
      <c r="H89" s="161">
        <f t="shared" si="83"/>
        <v>0</v>
      </c>
      <c r="I89" s="161">
        <f t="shared" si="83"/>
        <v>0</v>
      </c>
      <c r="J89" s="161">
        <f t="shared" si="83"/>
        <v>0</v>
      </c>
      <c r="K89" s="161">
        <f t="shared" si="83"/>
        <v>0</v>
      </c>
      <c r="L89" s="161">
        <f t="shared" si="83"/>
        <v>0</v>
      </c>
      <c r="M89" s="161">
        <f t="shared" si="83"/>
        <v>0</v>
      </c>
      <c r="N89" s="161">
        <f t="shared" si="83"/>
        <v>0</v>
      </c>
      <c r="O89" s="161">
        <f t="shared" si="83"/>
        <v>0</v>
      </c>
      <c r="P89" s="161">
        <f t="shared" si="83"/>
        <v>0</v>
      </c>
      <c r="Q89" s="161">
        <f t="shared" si="83"/>
        <v>0</v>
      </c>
      <c r="R89" s="161">
        <f t="shared" si="83"/>
        <v>0</v>
      </c>
      <c r="S89" s="161">
        <f t="shared" si="83"/>
        <v>0</v>
      </c>
      <c r="T89" s="161">
        <f t="shared" si="83"/>
        <v>0</v>
      </c>
      <c r="U89" s="161">
        <f t="shared" si="83"/>
        <v>0</v>
      </c>
      <c r="V89" s="161">
        <f t="shared" si="83"/>
        <v>0</v>
      </c>
      <c r="W89" s="161">
        <f t="shared" si="83"/>
        <v>0</v>
      </c>
      <c r="X89" s="161">
        <f t="shared" si="83"/>
        <v>0</v>
      </c>
      <c r="Y89" s="161">
        <f t="shared" si="83"/>
        <v>0</v>
      </c>
      <c r="Z89" s="161">
        <f t="shared" si="83"/>
        <v>0</v>
      </c>
      <c r="AA89" s="161">
        <f t="shared" si="83"/>
        <v>0</v>
      </c>
      <c r="AB89" s="161">
        <f t="shared" si="83"/>
        <v>0</v>
      </c>
      <c r="AC89" s="161">
        <f t="shared" si="83"/>
        <v>0</v>
      </c>
      <c r="AD89" s="161">
        <f t="shared" si="83"/>
        <v>0</v>
      </c>
      <c r="AE89" s="161">
        <f t="shared" si="83"/>
        <v>0</v>
      </c>
      <c r="AF89" s="161">
        <f t="shared" si="83"/>
        <v>0</v>
      </c>
      <c r="AG89" s="161">
        <f t="shared" si="83"/>
        <v>0</v>
      </c>
      <c r="AH89" s="154"/>
      <c r="AI89" s="133"/>
      <c r="AJ89" s="170"/>
      <c r="AK89" s="133"/>
      <c r="AL89" s="133"/>
    </row>
    <row r="90" spans="1:38" ht="15.95" hidden="1" customHeight="1" x14ac:dyDescent="0.25">
      <c r="A90" s="173"/>
      <c r="B90" s="130" t="s">
        <v>16</v>
      </c>
      <c r="C90" s="163">
        <f t="shared" ref="C90:AG90" si="84">IF(C12="PR",IF(C12="",0,1),0)</f>
        <v>0</v>
      </c>
      <c r="D90" s="163">
        <f t="shared" si="84"/>
        <v>0</v>
      </c>
      <c r="E90" s="163">
        <f t="shared" si="84"/>
        <v>0</v>
      </c>
      <c r="F90" s="163">
        <f t="shared" si="84"/>
        <v>0</v>
      </c>
      <c r="G90" s="163">
        <f t="shared" si="84"/>
        <v>0</v>
      </c>
      <c r="H90" s="163">
        <f t="shared" si="84"/>
        <v>0</v>
      </c>
      <c r="I90" s="163">
        <f t="shared" si="84"/>
        <v>0</v>
      </c>
      <c r="J90" s="163">
        <f t="shared" si="84"/>
        <v>0</v>
      </c>
      <c r="K90" s="163">
        <f t="shared" si="84"/>
        <v>0</v>
      </c>
      <c r="L90" s="163">
        <f t="shared" si="84"/>
        <v>0</v>
      </c>
      <c r="M90" s="163">
        <f t="shared" si="84"/>
        <v>0</v>
      </c>
      <c r="N90" s="163">
        <f t="shared" si="84"/>
        <v>0</v>
      </c>
      <c r="O90" s="163">
        <f t="shared" si="84"/>
        <v>0</v>
      </c>
      <c r="P90" s="163">
        <f t="shared" si="84"/>
        <v>0</v>
      </c>
      <c r="Q90" s="163">
        <f t="shared" si="84"/>
        <v>0</v>
      </c>
      <c r="R90" s="163">
        <f t="shared" si="84"/>
        <v>0</v>
      </c>
      <c r="S90" s="163">
        <f t="shared" si="84"/>
        <v>0</v>
      </c>
      <c r="T90" s="163">
        <f t="shared" si="84"/>
        <v>0</v>
      </c>
      <c r="U90" s="163">
        <f t="shared" si="84"/>
        <v>0</v>
      </c>
      <c r="V90" s="163">
        <f t="shared" si="84"/>
        <v>0</v>
      </c>
      <c r="W90" s="163">
        <f t="shared" si="84"/>
        <v>0</v>
      </c>
      <c r="X90" s="163">
        <f t="shared" si="84"/>
        <v>0</v>
      </c>
      <c r="Y90" s="163">
        <f t="shared" si="84"/>
        <v>0</v>
      </c>
      <c r="Z90" s="163">
        <f t="shared" si="84"/>
        <v>0</v>
      </c>
      <c r="AA90" s="163">
        <f t="shared" si="84"/>
        <v>0</v>
      </c>
      <c r="AB90" s="163">
        <f t="shared" si="84"/>
        <v>0</v>
      </c>
      <c r="AC90" s="163">
        <f t="shared" si="84"/>
        <v>0</v>
      </c>
      <c r="AD90" s="163">
        <f t="shared" si="84"/>
        <v>0</v>
      </c>
      <c r="AE90" s="163">
        <f t="shared" si="84"/>
        <v>0</v>
      </c>
      <c r="AF90" s="163">
        <f t="shared" si="84"/>
        <v>0</v>
      </c>
      <c r="AG90" s="163">
        <f t="shared" si="84"/>
        <v>0</v>
      </c>
      <c r="AH90" s="229">
        <f>SUM(C90:AG90)</f>
        <v>0</v>
      </c>
      <c r="AI90" s="229"/>
      <c r="AJ90" s="174" t="s">
        <v>69</v>
      </c>
      <c r="AK90" s="133"/>
      <c r="AL90" s="133"/>
    </row>
    <row r="91" spans="1:38" ht="15.95" hidden="1" customHeight="1" x14ac:dyDescent="0.25">
      <c r="A91" s="164" t="s">
        <v>77</v>
      </c>
      <c r="B91" s="165" t="s">
        <v>29</v>
      </c>
      <c r="C91" s="141">
        <f t="shared" ref="C91:AG91" si="85">IF(C13=$R32,$S32*24,IF(C13=$R33,$S33*24,IF(C13=$R34,$S34*24,IF(C13=$R35,$S35*24,IF(C13=$R36,$S36*24,IF(C13=$R37,$S37*24,IF(C13=$R38,$S38*24,IF(C13=$R39,$S39*24,IF(C13=$R40,$S40*24,"")))))))))</f>
        <v>22</v>
      </c>
      <c r="D91" s="141" t="str">
        <f t="shared" si="85"/>
        <v/>
      </c>
      <c r="E91" s="141" t="str">
        <f t="shared" si="85"/>
        <v/>
      </c>
      <c r="F91" s="141">
        <f t="shared" si="85"/>
        <v>22</v>
      </c>
      <c r="G91" s="141">
        <f t="shared" si="85"/>
        <v>22</v>
      </c>
      <c r="H91" s="141">
        <f t="shared" si="85"/>
        <v>22</v>
      </c>
      <c r="I91" s="141">
        <f t="shared" si="85"/>
        <v>22</v>
      </c>
      <c r="J91" s="141">
        <f t="shared" si="85"/>
        <v>22</v>
      </c>
      <c r="K91" s="141" t="str">
        <f t="shared" si="85"/>
        <v/>
      </c>
      <c r="L91" s="141" t="str">
        <f t="shared" si="85"/>
        <v/>
      </c>
      <c r="M91" s="141">
        <f t="shared" si="85"/>
        <v>22</v>
      </c>
      <c r="N91" s="141">
        <f t="shared" si="85"/>
        <v>22</v>
      </c>
      <c r="O91" s="141">
        <f t="shared" si="85"/>
        <v>22</v>
      </c>
      <c r="P91" s="141">
        <f t="shared" si="85"/>
        <v>22</v>
      </c>
      <c r="Q91" s="141">
        <f t="shared" si="85"/>
        <v>22</v>
      </c>
      <c r="R91" s="141">
        <f t="shared" si="85"/>
        <v>22</v>
      </c>
      <c r="S91" s="141">
        <f t="shared" si="85"/>
        <v>22</v>
      </c>
      <c r="T91" s="141">
        <f t="shared" si="85"/>
        <v>22</v>
      </c>
      <c r="U91" s="141" t="str">
        <f t="shared" si="85"/>
        <v/>
      </c>
      <c r="V91" s="141" t="str">
        <f t="shared" si="85"/>
        <v/>
      </c>
      <c r="W91" s="141" t="str">
        <f t="shared" si="85"/>
        <v/>
      </c>
      <c r="X91" s="141" t="str">
        <f t="shared" si="85"/>
        <v/>
      </c>
      <c r="Y91" s="141">
        <f t="shared" si="85"/>
        <v>22</v>
      </c>
      <c r="Z91" s="141">
        <f t="shared" si="85"/>
        <v>22</v>
      </c>
      <c r="AA91" s="141" t="str">
        <f t="shared" si="85"/>
        <v/>
      </c>
      <c r="AB91" s="141">
        <f t="shared" si="85"/>
        <v>22</v>
      </c>
      <c r="AC91" s="141">
        <f t="shared" si="85"/>
        <v>22</v>
      </c>
      <c r="AD91" s="141">
        <f t="shared" si="85"/>
        <v>22</v>
      </c>
      <c r="AE91" s="141">
        <f t="shared" si="85"/>
        <v>22</v>
      </c>
      <c r="AF91" s="141">
        <f t="shared" si="85"/>
        <v>22</v>
      </c>
      <c r="AG91" s="141">
        <f t="shared" si="85"/>
        <v>22</v>
      </c>
      <c r="AH91" s="154" t="s">
        <v>12</v>
      </c>
      <c r="AI91" s="133"/>
      <c r="AJ91" s="170"/>
      <c r="AK91" s="133"/>
      <c r="AL91" s="133"/>
    </row>
    <row r="92" spans="1:38" ht="15.95" hidden="1" customHeight="1" x14ac:dyDescent="0.25">
      <c r="A92" s="166" t="s">
        <v>78</v>
      </c>
      <c r="B92" s="167" t="s">
        <v>30</v>
      </c>
      <c r="C92" s="141">
        <f t="shared" ref="C92:AG92" si="86">IF(C13=$R32,$V32*24,IF(C13=$R33,$V33*24,IF(C13=$R34,$V34*24,IF(C13=$R35,$V35*24,IF(C13=$R36,$V36*24,IF(C13=$R37,$V37*24,IF(C13=$R38,$V38*24,IF(C13=$R39,$V39*24,IF(C13=$R40,$V40*24,"")))))))))</f>
        <v>6</v>
      </c>
      <c r="D92" s="141" t="str">
        <f t="shared" si="86"/>
        <v/>
      </c>
      <c r="E92" s="141" t="str">
        <f t="shared" si="86"/>
        <v/>
      </c>
      <c r="F92" s="141">
        <f t="shared" si="86"/>
        <v>6</v>
      </c>
      <c r="G92" s="141">
        <f t="shared" si="86"/>
        <v>6</v>
      </c>
      <c r="H92" s="141">
        <f t="shared" si="86"/>
        <v>6</v>
      </c>
      <c r="I92" s="141">
        <f t="shared" si="86"/>
        <v>6</v>
      </c>
      <c r="J92" s="141">
        <f t="shared" si="86"/>
        <v>6</v>
      </c>
      <c r="K92" s="141" t="str">
        <f t="shared" si="86"/>
        <v/>
      </c>
      <c r="L92" s="141" t="str">
        <f t="shared" si="86"/>
        <v/>
      </c>
      <c r="M92" s="141">
        <f t="shared" si="86"/>
        <v>6</v>
      </c>
      <c r="N92" s="141">
        <f t="shared" si="86"/>
        <v>6</v>
      </c>
      <c r="O92" s="141">
        <f t="shared" si="86"/>
        <v>6</v>
      </c>
      <c r="P92" s="141">
        <f t="shared" si="86"/>
        <v>6</v>
      </c>
      <c r="Q92" s="141">
        <f t="shared" si="86"/>
        <v>6</v>
      </c>
      <c r="R92" s="141">
        <f t="shared" si="86"/>
        <v>6</v>
      </c>
      <c r="S92" s="141">
        <f t="shared" si="86"/>
        <v>6</v>
      </c>
      <c r="T92" s="141">
        <f t="shared" si="86"/>
        <v>6</v>
      </c>
      <c r="U92" s="141" t="str">
        <f t="shared" si="86"/>
        <v/>
      </c>
      <c r="V92" s="141" t="str">
        <f t="shared" si="86"/>
        <v/>
      </c>
      <c r="W92" s="141" t="str">
        <f t="shared" si="86"/>
        <v/>
      </c>
      <c r="X92" s="141" t="str">
        <f t="shared" si="86"/>
        <v/>
      </c>
      <c r="Y92" s="141">
        <f t="shared" si="86"/>
        <v>6</v>
      </c>
      <c r="Z92" s="141">
        <f t="shared" si="86"/>
        <v>6</v>
      </c>
      <c r="AA92" s="141" t="str">
        <f t="shared" si="86"/>
        <v/>
      </c>
      <c r="AB92" s="141">
        <f t="shared" si="86"/>
        <v>6</v>
      </c>
      <c r="AC92" s="141">
        <f t="shared" si="86"/>
        <v>6</v>
      </c>
      <c r="AD92" s="141">
        <f t="shared" si="86"/>
        <v>6</v>
      </c>
      <c r="AE92" s="141">
        <f t="shared" si="86"/>
        <v>6</v>
      </c>
      <c r="AF92" s="141">
        <f t="shared" si="86"/>
        <v>6</v>
      </c>
      <c r="AG92" s="141">
        <f t="shared" si="86"/>
        <v>6</v>
      </c>
      <c r="AH92" s="154" t="s">
        <v>12</v>
      </c>
      <c r="AI92" s="133"/>
      <c r="AJ92" s="170"/>
      <c r="AK92" s="133"/>
      <c r="AL92" s="133"/>
    </row>
    <row r="93" spans="1:38" ht="15.95" hidden="1" customHeight="1" x14ac:dyDescent="0.25">
      <c r="A93" s="153"/>
      <c r="B93" s="168" t="s">
        <v>34</v>
      </c>
      <c r="C93" s="169">
        <f t="shared" ref="C93:AD93" si="87">IF(C13=$R32,$BD32*24,IF(C13=$R33,$BD33*24,IF(C13=$R34,$BD34*24,IF(C13=$R35,$BD35*24,IF(C13=$R36,$BD36*24,IF(C13=$R37,$BD37*24,IF(C13=$R38,$BD38*24,IF(C13=$R39,$BD39*24,IF(C13=$R40,$BD40*24,"")))))))))</f>
        <v>8</v>
      </c>
      <c r="D93" s="169" t="str">
        <f t="shared" si="87"/>
        <v/>
      </c>
      <c r="E93" s="169" t="str">
        <f t="shared" si="87"/>
        <v/>
      </c>
      <c r="F93" s="169">
        <f t="shared" si="87"/>
        <v>8</v>
      </c>
      <c r="G93" s="169">
        <f t="shared" si="87"/>
        <v>8</v>
      </c>
      <c r="H93" s="169">
        <f t="shared" si="87"/>
        <v>8</v>
      </c>
      <c r="I93" s="169">
        <f t="shared" si="87"/>
        <v>8</v>
      </c>
      <c r="J93" s="169">
        <f t="shared" si="87"/>
        <v>8</v>
      </c>
      <c r="K93" s="169" t="str">
        <f t="shared" si="87"/>
        <v/>
      </c>
      <c r="L93" s="169" t="str">
        <f t="shared" si="87"/>
        <v/>
      </c>
      <c r="M93" s="169">
        <f t="shared" si="87"/>
        <v>8</v>
      </c>
      <c r="N93" s="169">
        <f t="shared" si="87"/>
        <v>8</v>
      </c>
      <c r="O93" s="169">
        <f t="shared" si="87"/>
        <v>8</v>
      </c>
      <c r="P93" s="169">
        <f t="shared" si="87"/>
        <v>8</v>
      </c>
      <c r="Q93" s="169">
        <f t="shared" si="87"/>
        <v>8</v>
      </c>
      <c r="R93" s="169">
        <f t="shared" si="87"/>
        <v>8</v>
      </c>
      <c r="S93" s="169">
        <f t="shared" si="87"/>
        <v>8</v>
      </c>
      <c r="T93" s="169">
        <f t="shared" si="87"/>
        <v>8</v>
      </c>
      <c r="U93" s="169" t="str">
        <f t="shared" si="87"/>
        <v/>
      </c>
      <c r="V93" s="169" t="str">
        <f t="shared" si="87"/>
        <v/>
      </c>
      <c r="W93" s="169" t="str">
        <f t="shared" si="87"/>
        <v/>
      </c>
      <c r="X93" s="169" t="str">
        <f t="shared" si="87"/>
        <v/>
      </c>
      <c r="Y93" s="169">
        <f t="shared" si="87"/>
        <v>8</v>
      </c>
      <c r="Z93" s="169">
        <f t="shared" si="87"/>
        <v>8</v>
      </c>
      <c r="AA93" s="169" t="str">
        <f t="shared" si="87"/>
        <v/>
      </c>
      <c r="AB93" s="169">
        <f t="shared" si="87"/>
        <v>8</v>
      </c>
      <c r="AC93" s="169">
        <f t="shared" si="87"/>
        <v>8</v>
      </c>
      <c r="AD93" s="169">
        <f t="shared" si="87"/>
        <v>8</v>
      </c>
      <c r="AE93" s="169">
        <f>IF(AE13=$R32,$BD32*24,IF(AE13=$R33,$BD33*24,IF(AE13=$R34,$BD34*24,IF(AE13=$R35,$BD35*24,IF(AE13=$R36,$BD36*24,IF(AE13=$R37,$BD37*24,IF(AE13=$R38,$BD38*24,IF(AE13=$R39,$BD39*24,IF(AE13=$R40,$BD40*24,"")))))))))</f>
        <v>8</v>
      </c>
      <c r="AF93" s="169">
        <f>IF(AF13=$R32,$BD32*24,IF(AF13=$R33,$BD33*24,IF(AF13=$R34,$BD34*24,IF(AF13=$R35,$BD35*24,IF(AF13=$R36,$BD36*24,IF(AF13=$R37,$BD37*24,IF(AF13=$R38,$BD38*24,IF(AF13=$R39,$BD39*24,IF(AF13=$R40,$BD40*24,"")))))))))</f>
        <v>8</v>
      </c>
      <c r="AG93" s="169">
        <f>IF(AG13=$R32,$BD32*24,IF(AG13=$R33,$BD33*24,IF(AG13=$R34,$BD34*24,IF(AG13=$R35,$BD35*24,IF(AG13=$R36,$BD36*24,IF(AG13=$R37,$BD37*24,IF(AG13=$R38,$BD38*24,IF(AG13=$R39,$BD39*24,IF(AG13=$R40,$BD40*24,"")))))))))</f>
        <v>8</v>
      </c>
      <c r="AH93" s="148">
        <f>SUM(C93:AG93)</f>
        <v>176</v>
      </c>
      <c r="AI93" s="133"/>
      <c r="AJ93" s="170"/>
      <c r="AK93" s="133"/>
      <c r="AL93" s="133"/>
    </row>
    <row r="94" spans="1:38" ht="15.95" hidden="1" customHeight="1" x14ac:dyDescent="0.25">
      <c r="A94" s="153"/>
      <c r="B94" s="167" t="s">
        <v>59</v>
      </c>
      <c r="C94" s="141">
        <f t="shared" ref="C94:AG94" si="88">IF(C13="V",$C36,IF(C13="PR",$C38,0))</f>
        <v>0</v>
      </c>
      <c r="D94" s="141">
        <f t="shared" si="88"/>
        <v>0</v>
      </c>
      <c r="E94" s="141">
        <f t="shared" si="88"/>
        <v>0</v>
      </c>
      <c r="F94" s="141">
        <f t="shared" si="88"/>
        <v>0</v>
      </c>
      <c r="G94" s="141">
        <f t="shared" si="88"/>
        <v>0</v>
      </c>
      <c r="H94" s="141">
        <f t="shared" si="88"/>
        <v>0</v>
      </c>
      <c r="I94" s="141">
        <f t="shared" si="88"/>
        <v>0</v>
      </c>
      <c r="J94" s="141">
        <f t="shared" si="88"/>
        <v>0</v>
      </c>
      <c r="K94" s="141">
        <f t="shared" si="88"/>
        <v>0</v>
      </c>
      <c r="L94" s="141">
        <f t="shared" si="88"/>
        <v>0</v>
      </c>
      <c r="M94" s="141">
        <f t="shared" si="88"/>
        <v>0</v>
      </c>
      <c r="N94" s="141">
        <f t="shared" si="88"/>
        <v>0</v>
      </c>
      <c r="O94" s="141">
        <f t="shared" si="88"/>
        <v>0</v>
      </c>
      <c r="P94" s="141">
        <f t="shared" si="88"/>
        <v>0</v>
      </c>
      <c r="Q94" s="141">
        <f t="shared" si="88"/>
        <v>0</v>
      </c>
      <c r="R94" s="141">
        <f t="shared" si="88"/>
        <v>0</v>
      </c>
      <c r="S94" s="141">
        <f t="shared" si="88"/>
        <v>0</v>
      </c>
      <c r="T94" s="141">
        <f t="shared" si="88"/>
        <v>0</v>
      </c>
      <c r="U94" s="141">
        <f t="shared" si="88"/>
        <v>0</v>
      </c>
      <c r="V94" s="141">
        <f t="shared" si="88"/>
        <v>0</v>
      </c>
      <c r="W94" s="141">
        <f t="shared" si="88"/>
        <v>0</v>
      </c>
      <c r="X94" s="141">
        <f t="shared" si="88"/>
        <v>0</v>
      </c>
      <c r="Y94" s="141">
        <f t="shared" si="88"/>
        <v>0</v>
      </c>
      <c r="Z94" s="141">
        <f t="shared" si="88"/>
        <v>0</v>
      </c>
      <c r="AA94" s="141">
        <f t="shared" si="88"/>
        <v>0</v>
      </c>
      <c r="AB94" s="141">
        <f t="shared" si="88"/>
        <v>0</v>
      </c>
      <c r="AC94" s="141">
        <f t="shared" si="88"/>
        <v>0</v>
      </c>
      <c r="AD94" s="141">
        <f t="shared" si="88"/>
        <v>0</v>
      </c>
      <c r="AE94" s="141">
        <f t="shared" si="88"/>
        <v>0</v>
      </c>
      <c r="AF94" s="141">
        <f t="shared" si="88"/>
        <v>0</v>
      </c>
      <c r="AG94" s="141">
        <f t="shared" si="88"/>
        <v>0</v>
      </c>
      <c r="AH94" s="231">
        <f>SUM(C94:AG94)</f>
        <v>0</v>
      </c>
      <c r="AI94" s="231"/>
      <c r="AJ94" s="170" t="s">
        <v>12</v>
      </c>
      <c r="AK94" s="133"/>
      <c r="AL94" s="133"/>
    </row>
    <row r="95" spans="1:38" ht="15.95" hidden="1" customHeight="1" x14ac:dyDescent="0.25">
      <c r="A95" s="150" t="s">
        <v>60</v>
      </c>
      <c r="B95" s="167" t="s">
        <v>61</v>
      </c>
      <c r="C95" s="151">
        <f t="shared" ref="C95:AD95" si="89">IF(C13=$R32,$BC32,IF(C13=$R33,$BC33,IF(C13=$R34,$BC34,IF(C13=$R35,$BC35,IF(C13=$R36,$BC36,IF(C13=$R37,$BC37,IF(C13=$R38,$BC38,IF(C13=$R39,$BC39,IF(C13=$R40,$BC40,0)))))))))</f>
        <v>7.9999999999999716</v>
      </c>
      <c r="D95" s="151">
        <f t="shared" si="89"/>
        <v>0</v>
      </c>
      <c r="E95" s="151">
        <f t="shared" si="89"/>
        <v>0</v>
      </c>
      <c r="F95" s="151">
        <f t="shared" si="89"/>
        <v>7.9999999999999716</v>
      </c>
      <c r="G95" s="151">
        <f t="shared" si="89"/>
        <v>7.9999999999999716</v>
      </c>
      <c r="H95" s="151">
        <f t="shared" si="89"/>
        <v>7.9999999999999716</v>
      </c>
      <c r="I95" s="151">
        <f t="shared" si="89"/>
        <v>7.9999999999999716</v>
      </c>
      <c r="J95" s="151">
        <f t="shared" si="89"/>
        <v>7.9999999999999716</v>
      </c>
      <c r="K95" s="151">
        <f t="shared" si="89"/>
        <v>0</v>
      </c>
      <c r="L95" s="151">
        <f t="shared" si="89"/>
        <v>0</v>
      </c>
      <c r="M95" s="151">
        <f t="shared" si="89"/>
        <v>7.9999999999999716</v>
      </c>
      <c r="N95" s="151">
        <f t="shared" si="89"/>
        <v>7.9999999999999716</v>
      </c>
      <c r="O95" s="151">
        <f t="shared" si="89"/>
        <v>7.9999999999999716</v>
      </c>
      <c r="P95" s="151">
        <f t="shared" si="89"/>
        <v>7.9999999999999716</v>
      </c>
      <c r="Q95" s="151">
        <f t="shared" si="89"/>
        <v>7.9999999999999716</v>
      </c>
      <c r="R95" s="151">
        <f t="shared" si="89"/>
        <v>7.9999999999999716</v>
      </c>
      <c r="S95" s="151">
        <f t="shared" si="89"/>
        <v>7.9999999999999716</v>
      </c>
      <c r="T95" s="151">
        <f t="shared" si="89"/>
        <v>7.9999999999999716</v>
      </c>
      <c r="U95" s="151">
        <f t="shared" si="89"/>
        <v>0</v>
      </c>
      <c r="V95" s="151">
        <f t="shared" si="89"/>
        <v>0</v>
      </c>
      <c r="W95" s="151">
        <f t="shared" si="89"/>
        <v>0</v>
      </c>
      <c r="X95" s="151">
        <f t="shared" si="89"/>
        <v>0</v>
      </c>
      <c r="Y95" s="151">
        <f t="shared" si="89"/>
        <v>7.9999999999999716</v>
      </c>
      <c r="Z95" s="151">
        <f t="shared" si="89"/>
        <v>7.9999999999999716</v>
      </c>
      <c r="AA95" s="151">
        <f t="shared" si="89"/>
        <v>0</v>
      </c>
      <c r="AB95" s="151">
        <f t="shared" si="89"/>
        <v>7.9999999999999716</v>
      </c>
      <c r="AC95" s="151">
        <f t="shared" si="89"/>
        <v>7.9999999999999716</v>
      </c>
      <c r="AD95" s="151">
        <f t="shared" si="89"/>
        <v>7.9999999999999716</v>
      </c>
      <c r="AE95" s="151">
        <f>IF(AE13=$R32,$BC32,IF(AE13=$R33,$BC33,IF(AE13=$R34,$BC34,IF(AE13=$R35,$BC35,IF(AE13=$R36,$BC36,IF(AE13=$R37,$BC37,IF(AE13=$R38,$BC38,IF(AE13=$R39,$BC39,IF(AE13=$R40,$BC40,0)))))))))</f>
        <v>7.9999999999999716</v>
      </c>
      <c r="AF95" s="151">
        <f>IF(AF13=$R32,$BC32,IF(AF13=$R33,$BC33,IF(AF13=$R34,$BC34,IF(AF13=$R35,$BC35,IF(AF13=$R36,$BC36,IF(AF13=$R37,$BC37,IF(AF13=$R38,$BC38,IF(AF13=$R39,$BC39,IF(AF13=$R40,$BC40,0)))))))))</f>
        <v>7.9999999999999716</v>
      </c>
      <c r="AG95" s="151">
        <f>IF(AG13=$R32,$BC32,IF(AG13=$R33,$BC33,IF(AG13=$R34,$BC34,IF(AG13=$R35,$BC35,IF(AG13=$R36,$BC36,IF(AG13=$R37,$BC37,IF(AG13=$R38,$BC38,IF(AG13=$R39,$BC39,IF(AG13=$R40,$BC40,0)))))))))</f>
        <v>7.9999999999999716</v>
      </c>
      <c r="AH95" s="226">
        <f>SUM(C95:AG95)</f>
        <v>175.99999999999937</v>
      </c>
      <c r="AI95" s="226"/>
      <c r="AJ95" s="175" t="s">
        <v>62</v>
      </c>
      <c r="AK95" s="133" t="s">
        <v>12</v>
      </c>
      <c r="AL95" s="133"/>
    </row>
    <row r="96" spans="1:38" ht="15.95" hidden="1" customHeight="1" x14ac:dyDescent="0.25">
      <c r="A96" s="153" t="s">
        <v>48</v>
      </c>
      <c r="B96" s="149" t="s">
        <v>63</v>
      </c>
      <c r="C96" s="141">
        <f t="shared" ref="C96:AG96" si="90">IF(C46=1,IF(C91&lt;C92,C95,0))</f>
        <v>0</v>
      </c>
      <c r="D96" s="141" t="b">
        <f t="shared" si="90"/>
        <v>0</v>
      </c>
      <c r="E96" s="141" t="b">
        <f t="shared" si="90"/>
        <v>0</v>
      </c>
      <c r="F96" s="141" t="b">
        <f t="shared" si="90"/>
        <v>0</v>
      </c>
      <c r="G96" s="141" t="b">
        <f t="shared" si="90"/>
        <v>0</v>
      </c>
      <c r="H96" s="141" t="b">
        <f t="shared" si="90"/>
        <v>0</v>
      </c>
      <c r="I96" s="141">
        <f t="shared" si="90"/>
        <v>0</v>
      </c>
      <c r="J96" s="141">
        <f t="shared" si="90"/>
        <v>0</v>
      </c>
      <c r="K96" s="141" t="b">
        <f t="shared" si="90"/>
        <v>0</v>
      </c>
      <c r="L96" s="141" t="b">
        <f t="shared" si="90"/>
        <v>0</v>
      </c>
      <c r="M96" s="141" t="b">
        <f t="shared" si="90"/>
        <v>0</v>
      </c>
      <c r="N96" s="141" t="b">
        <f t="shared" si="90"/>
        <v>0</v>
      </c>
      <c r="O96" s="141" t="b">
        <f t="shared" si="90"/>
        <v>0</v>
      </c>
      <c r="P96" s="141">
        <f t="shared" si="90"/>
        <v>0</v>
      </c>
      <c r="Q96" s="141">
        <f t="shared" si="90"/>
        <v>0</v>
      </c>
      <c r="R96" s="141" t="b">
        <f t="shared" si="90"/>
        <v>0</v>
      </c>
      <c r="S96" s="141" t="b">
        <f t="shared" si="90"/>
        <v>0</v>
      </c>
      <c r="T96" s="141" t="b">
        <f t="shared" si="90"/>
        <v>0</v>
      </c>
      <c r="U96" s="141" t="b">
        <f t="shared" si="90"/>
        <v>0</v>
      </c>
      <c r="V96" s="141" t="b">
        <f t="shared" si="90"/>
        <v>0</v>
      </c>
      <c r="W96" s="141">
        <f t="shared" si="90"/>
        <v>0</v>
      </c>
      <c r="X96" s="141">
        <f t="shared" si="90"/>
        <v>0</v>
      </c>
      <c r="Y96" s="141" t="b">
        <f t="shared" si="90"/>
        <v>0</v>
      </c>
      <c r="Z96" s="141" t="b">
        <f t="shared" si="90"/>
        <v>0</v>
      </c>
      <c r="AA96" s="141" t="b">
        <f t="shared" si="90"/>
        <v>0</v>
      </c>
      <c r="AB96" s="141" t="b">
        <f t="shared" si="90"/>
        <v>0</v>
      </c>
      <c r="AC96" s="141" t="b">
        <f t="shared" si="90"/>
        <v>0</v>
      </c>
      <c r="AD96" s="141">
        <f t="shared" si="90"/>
        <v>0</v>
      </c>
      <c r="AE96" s="141">
        <f t="shared" si="90"/>
        <v>0</v>
      </c>
      <c r="AF96" s="141" t="b">
        <f t="shared" si="90"/>
        <v>0</v>
      </c>
      <c r="AG96" s="141" t="b">
        <f t="shared" si="90"/>
        <v>0</v>
      </c>
      <c r="AH96" s="154" t="s">
        <v>12</v>
      </c>
      <c r="AI96" s="133"/>
      <c r="AJ96" s="170"/>
      <c r="AK96" s="133"/>
      <c r="AL96" s="133"/>
    </row>
    <row r="97" spans="1:57" ht="15.95" hidden="1" customHeight="1" x14ac:dyDescent="0.25">
      <c r="A97" s="176"/>
      <c r="B97" s="149" t="s">
        <v>64</v>
      </c>
      <c r="C97" s="141">
        <f t="shared" ref="C97:AG97" si="91">IF(C46=1,IF(C91&gt;C92,24-C91,0),0)</f>
        <v>2</v>
      </c>
      <c r="D97" s="141">
        <f t="shared" si="91"/>
        <v>0</v>
      </c>
      <c r="E97" s="141">
        <f t="shared" si="91"/>
        <v>0</v>
      </c>
      <c r="F97" s="141">
        <f t="shared" si="91"/>
        <v>0</v>
      </c>
      <c r="G97" s="141">
        <f t="shared" si="91"/>
        <v>0</v>
      </c>
      <c r="H97" s="141">
        <f t="shared" si="91"/>
        <v>0</v>
      </c>
      <c r="I97" s="141">
        <f t="shared" si="91"/>
        <v>2</v>
      </c>
      <c r="J97" s="141">
        <f t="shared" si="91"/>
        <v>2</v>
      </c>
      <c r="K97" s="141">
        <f t="shared" si="91"/>
        <v>0</v>
      </c>
      <c r="L97" s="141">
        <f t="shared" si="91"/>
        <v>0</v>
      </c>
      <c r="M97" s="141">
        <f t="shared" si="91"/>
        <v>0</v>
      </c>
      <c r="N97" s="141">
        <f t="shared" si="91"/>
        <v>0</v>
      </c>
      <c r="O97" s="141">
        <f t="shared" si="91"/>
        <v>0</v>
      </c>
      <c r="P97" s="141">
        <f t="shared" si="91"/>
        <v>2</v>
      </c>
      <c r="Q97" s="141">
        <f t="shared" si="91"/>
        <v>2</v>
      </c>
      <c r="R97" s="141">
        <f t="shared" si="91"/>
        <v>0</v>
      </c>
      <c r="S97" s="141">
        <f t="shared" si="91"/>
        <v>0</v>
      </c>
      <c r="T97" s="141">
        <f t="shared" si="91"/>
        <v>0</v>
      </c>
      <c r="U97" s="141">
        <f t="shared" si="91"/>
        <v>0</v>
      </c>
      <c r="V97" s="141">
        <f t="shared" si="91"/>
        <v>0</v>
      </c>
      <c r="W97" s="141">
        <f t="shared" si="91"/>
        <v>0</v>
      </c>
      <c r="X97" s="141">
        <f t="shared" si="91"/>
        <v>0</v>
      </c>
      <c r="Y97" s="141">
        <f t="shared" si="91"/>
        <v>0</v>
      </c>
      <c r="Z97" s="141">
        <f t="shared" si="91"/>
        <v>0</v>
      </c>
      <c r="AA97" s="141">
        <f t="shared" si="91"/>
        <v>0</v>
      </c>
      <c r="AB97" s="141">
        <f t="shared" si="91"/>
        <v>0</v>
      </c>
      <c r="AC97" s="141">
        <f t="shared" si="91"/>
        <v>0</v>
      </c>
      <c r="AD97" s="141">
        <f t="shared" si="91"/>
        <v>2</v>
      </c>
      <c r="AE97" s="141">
        <f t="shared" si="91"/>
        <v>2</v>
      </c>
      <c r="AF97" s="141">
        <f t="shared" si="91"/>
        <v>0</v>
      </c>
      <c r="AG97" s="141">
        <f t="shared" si="91"/>
        <v>0</v>
      </c>
      <c r="AH97" s="154" t="s">
        <v>12</v>
      </c>
      <c r="AI97" s="133"/>
      <c r="AJ97" s="170"/>
      <c r="AK97" s="133"/>
      <c r="AL97" s="133"/>
    </row>
    <row r="98" spans="1:57" ht="15.95" hidden="1" customHeight="1" x14ac:dyDescent="0.25">
      <c r="A98" s="176"/>
      <c r="B98" s="149" t="s">
        <v>65</v>
      </c>
      <c r="C98" s="141">
        <f t="shared" ref="C98:AG98" si="92">IF(D46=1,IF(C91&gt;C92,C92,0),0)</f>
        <v>0</v>
      </c>
      <c r="D98" s="141">
        <f t="shared" si="92"/>
        <v>0</v>
      </c>
      <c r="E98" s="141">
        <f t="shared" si="92"/>
        <v>0</v>
      </c>
      <c r="F98" s="141">
        <f t="shared" si="92"/>
        <v>0</v>
      </c>
      <c r="G98" s="141">
        <f t="shared" si="92"/>
        <v>0</v>
      </c>
      <c r="H98" s="141">
        <f t="shared" si="92"/>
        <v>6</v>
      </c>
      <c r="I98" s="141">
        <f t="shared" si="92"/>
        <v>6</v>
      </c>
      <c r="J98" s="141">
        <f t="shared" si="92"/>
        <v>0</v>
      </c>
      <c r="K98" s="141">
        <f t="shared" si="92"/>
        <v>0</v>
      </c>
      <c r="L98" s="141">
        <f t="shared" si="92"/>
        <v>0</v>
      </c>
      <c r="M98" s="141">
        <f t="shared" si="92"/>
        <v>0</v>
      </c>
      <c r="N98" s="141">
        <f t="shared" si="92"/>
        <v>0</v>
      </c>
      <c r="O98" s="141">
        <f t="shared" si="92"/>
        <v>6</v>
      </c>
      <c r="P98" s="141">
        <f t="shared" si="92"/>
        <v>6</v>
      </c>
      <c r="Q98" s="141">
        <f t="shared" si="92"/>
        <v>0</v>
      </c>
      <c r="R98" s="141">
        <f t="shared" si="92"/>
        <v>0</v>
      </c>
      <c r="S98" s="141">
        <f t="shared" si="92"/>
        <v>0</v>
      </c>
      <c r="T98" s="141">
        <f t="shared" si="92"/>
        <v>0</v>
      </c>
      <c r="U98" s="141">
        <f t="shared" si="92"/>
        <v>0</v>
      </c>
      <c r="V98" s="141">
        <f t="shared" si="92"/>
        <v>0</v>
      </c>
      <c r="W98" s="141">
        <f t="shared" si="92"/>
        <v>0</v>
      </c>
      <c r="X98" s="141">
        <f>IF(Y46=1,IF(X91&gt;X92,X92,0),0)</f>
        <v>0</v>
      </c>
      <c r="Y98" s="141">
        <f t="shared" si="92"/>
        <v>0</v>
      </c>
      <c r="Z98" s="141">
        <f t="shared" si="92"/>
        <v>0</v>
      </c>
      <c r="AA98" s="141">
        <f t="shared" si="92"/>
        <v>0</v>
      </c>
      <c r="AB98" s="141">
        <f t="shared" si="92"/>
        <v>0</v>
      </c>
      <c r="AC98" s="141">
        <f t="shared" si="92"/>
        <v>6</v>
      </c>
      <c r="AD98" s="141">
        <f t="shared" si="92"/>
        <v>6</v>
      </c>
      <c r="AE98" s="141">
        <f t="shared" si="92"/>
        <v>0</v>
      </c>
      <c r="AF98" s="141">
        <f t="shared" si="92"/>
        <v>0</v>
      </c>
      <c r="AG98" s="141">
        <f t="shared" si="92"/>
        <v>0</v>
      </c>
      <c r="AH98" s="154" t="s">
        <v>12</v>
      </c>
      <c r="AI98" s="133"/>
      <c r="AJ98" s="170"/>
      <c r="AK98" s="133"/>
      <c r="AL98" s="133"/>
    </row>
    <row r="99" spans="1:57" ht="15.95" hidden="1" customHeight="1" x14ac:dyDescent="0.25">
      <c r="A99" s="176"/>
      <c r="B99" s="149" t="s">
        <v>67</v>
      </c>
      <c r="C99" s="178">
        <f t="shared" ref="C99:AG99" si="93">SUM(C96:C98)</f>
        <v>2</v>
      </c>
      <c r="D99" s="178">
        <f t="shared" si="93"/>
        <v>0</v>
      </c>
      <c r="E99" s="178">
        <f t="shared" si="93"/>
        <v>0</v>
      </c>
      <c r="F99" s="178">
        <f t="shared" si="93"/>
        <v>0</v>
      </c>
      <c r="G99" s="178">
        <f t="shared" si="93"/>
        <v>0</v>
      </c>
      <c r="H99" s="178">
        <f t="shared" si="93"/>
        <v>6</v>
      </c>
      <c r="I99" s="178">
        <f t="shared" si="93"/>
        <v>8</v>
      </c>
      <c r="J99" s="178">
        <f t="shared" si="93"/>
        <v>2</v>
      </c>
      <c r="K99" s="178">
        <f t="shared" si="93"/>
        <v>0</v>
      </c>
      <c r="L99" s="178">
        <f t="shared" si="93"/>
        <v>0</v>
      </c>
      <c r="M99" s="178">
        <f t="shared" si="93"/>
        <v>0</v>
      </c>
      <c r="N99" s="178">
        <f t="shared" si="93"/>
        <v>0</v>
      </c>
      <c r="O99" s="178">
        <f t="shared" si="93"/>
        <v>6</v>
      </c>
      <c r="P99" s="178">
        <f t="shared" si="93"/>
        <v>8</v>
      </c>
      <c r="Q99" s="178">
        <f t="shared" si="93"/>
        <v>2</v>
      </c>
      <c r="R99" s="178">
        <f t="shared" si="93"/>
        <v>0</v>
      </c>
      <c r="S99" s="178">
        <f t="shared" si="93"/>
        <v>0</v>
      </c>
      <c r="T99" s="178">
        <f t="shared" si="93"/>
        <v>0</v>
      </c>
      <c r="U99" s="178">
        <f t="shared" si="93"/>
        <v>0</v>
      </c>
      <c r="V99" s="178">
        <f t="shared" si="93"/>
        <v>0</v>
      </c>
      <c r="W99" s="178">
        <f t="shared" si="93"/>
        <v>0</v>
      </c>
      <c r="X99" s="178">
        <f t="shared" si="93"/>
        <v>0</v>
      </c>
      <c r="Y99" s="178">
        <f t="shared" si="93"/>
        <v>0</v>
      </c>
      <c r="Z99" s="178">
        <f t="shared" si="93"/>
        <v>0</v>
      </c>
      <c r="AA99" s="178">
        <f t="shared" si="93"/>
        <v>0</v>
      </c>
      <c r="AB99" s="178">
        <f t="shared" si="93"/>
        <v>0</v>
      </c>
      <c r="AC99" s="178">
        <f t="shared" si="93"/>
        <v>6</v>
      </c>
      <c r="AD99" s="178">
        <f t="shared" si="93"/>
        <v>8</v>
      </c>
      <c r="AE99" s="178">
        <f t="shared" si="93"/>
        <v>2</v>
      </c>
      <c r="AF99" s="178">
        <f t="shared" si="93"/>
        <v>0</v>
      </c>
      <c r="AG99" s="178">
        <f t="shared" si="93"/>
        <v>0</v>
      </c>
      <c r="AH99" s="154" t="s">
        <v>12</v>
      </c>
      <c r="AI99" s="133"/>
      <c r="AJ99" s="170"/>
      <c r="AK99" s="133"/>
      <c r="AL99" s="133"/>
    </row>
    <row r="100" spans="1:57" ht="15.95" hidden="1" customHeight="1" x14ac:dyDescent="0.25">
      <c r="A100" s="177"/>
      <c r="B100" s="160" t="s">
        <v>68</v>
      </c>
      <c r="C100" s="161">
        <f t="shared" ref="C100:AG100" si="94">IF(C13="V",IF(C13="",0,1),0)</f>
        <v>0</v>
      </c>
      <c r="D100" s="161">
        <f t="shared" si="94"/>
        <v>0</v>
      </c>
      <c r="E100" s="161">
        <f t="shared" si="94"/>
        <v>0</v>
      </c>
      <c r="F100" s="161">
        <f t="shared" si="94"/>
        <v>0</v>
      </c>
      <c r="G100" s="161">
        <f t="shared" si="94"/>
        <v>0</v>
      </c>
      <c r="H100" s="161">
        <f t="shared" si="94"/>
        <v>0</v>
      </c>
      <c r="I100" s="161">
        <f t="shared" si="94"/>
        <v>0</v>
      </c>
      <c r="J100" s="161">
        <f t="shared" si="94"/>
        <v>0</v>
      </c>
      <c r="K100" s="161">
        <f t="shared" si="94"/>
        <v>0</v>
      </c>
      <c r="L100" s="161">
        <f t="shared" si="94"/>
        <v>0</v>
      </c>
      <c r="M100" s="161">
        <f t="shared" si="94"/>
        <v>0</v>
      </c>
      <c r="N100" s="161">
        <f t="shared" si="94"/>
        <v>0</v>
      </c>
      <c r="O100" s="161">
        <f t="shared" si="94"/>
        <v>0</v>
      </c>
      <c r="P100" s="161">
        <f t="shared" si="94"/>
        <v>0</v>
      </c>
      <c r="Q100" s="161">
        <f t="shared" si="94"/>
        <v>0</v>
      </c>
      <c r="R100" s="161">
        <f t="shared" si="94"/>
        <v>0</v>
      </c>
      <c r="S100" s="161">
        <f t="shared" si="94"/>
        <v>0</v>
      </c>
      <c r="T100" s="161">
        <f t="shared" si="94"/>
        <v>0</v>
      </c>
      <c r="U100" s="161">
        <f t="shared" si="94"/>
        <v>0</v>
      </c>
      <c r="V100" s="161">
        <f t="shared" si="94"/>
        <v>0</v>
      </c>
      <c r="W100" s="161">
        <f t="shared" si="94"/>
        <v>0</v>
      </c>
      <c r="X100" s="161">
        <f t="shared" si="94"/>
        <v>0</v>
      </c>
      <c r="Y100" s="161">
        <f t="shared" si="94"/>
        <v>0</v>
      </c>
      <c r="Z100" s="161">
        <f t="shared" si="94"/>
        <v>0</v>
      </c>
      <c r="AA100" s="161">
        <f t="shared" si="94"/>
        <v>0</v>
      </c>
      <c r="AB100" s="161">
        <f t="shared" si="94"/>
        <v>0</v>
      </c>
      <c r="AC100" s="161">
        <f t="shared" si="94"/>
        <v>0</v>
      </c>
      <c r="AD100" s="161">
        <f t="shared" si="94"/>
        <v>0</v>
      </c>
      <c r="AE100" s="161">
        <f t="shared" si="94"/>
        <v>0</v>
      </c>
      <c r="AF100" s="161">
        <f t="shared" si="94"/>
        <v>0</v>
      </c>
      <c r="AG100" s="161">
        <f t="shared" si="94"/>
        <v>0</v>
      </c>
      <c r="AH100" s="154" t="s">
        <v>12</v>
      </c>
      <c r="AI100" s="133"/>
      <c r="AJ100" s="170"/>
      <c r="AK100" s="133"/>
      <c r="AL100" s="133"/>
    </row>
    <row r="101" spans="1:57" ht="15.95" hidden="1" customHeight="1" x14ac:dyDescent="0.25">
      <c r="A101" s="173"/>
      <c r="B101" s="130" t="s">
        <v>16</v>
      </c>
      <c r="C101" s="179">
        <f t="shared" ref="C101:AG101" si="95">IF(C13="PR",IF(C13="",0,1),0)</f>
        <v>0</v>
      </c>
      <c r="D101" s="179">
        <f t="shared" si="95"/>
        <v>0</v>
      </c>
      <c r="E101" s="179">
        <f t="shared" si="95"/>
        <v>0</v>
      </c>
      <c r="F101" s="179">
        <f t="shared" si="95"/>
        <v>0</v>
      </c>
      <c r="G101" s="179">
        <f t="shared" si="95"/>
        <v>0</v>
      </c>
      <c r="H101" s="179">
        <f t="shared" si="95"/>
        <v>0</v>
      </c>
      <c r="I101" s="179">
        <f t="shared" si="95"/>
        <v>0</v>
      </c>
      <c r="J101" s="179">
        <f t="shared" si="95"/>
        <v>0</v>
      </c>
      <c r="K101" s="179">
        <f t="shared" si="95"/>
        <v>0</v>
      </c>
      <c r="L101" s="179">
        <f t="shared" si="95"/>
        <v>0</v>
      </c>
      <c r="M101" s="179">
        <f t="shared" si="95"/>
        <v>0</v>
      </c>
      <c r="N101" s="179">
        <f t="shared" si="95"/>
        <v>0</v>
      </c>
      <c r="O101" s="179">
        <f t="shared" si="95"/>
        <v>0</v>
      </c>
      <c r="P101" s="179">
        <f t="shared" si="95"/>
        <v>0</v>
      </c>
      <c r="Q101" s="179">
        <f t="shared" si="95"/>
        <v>0</v>
      </c>
      <c r="R101" s="179">
        <f t="shared" si="95"/>
        <v>0</v>
      </c>
      <c r="S101" s="179">
        <f t="shared" si="95"/>
        <v>0</v>
      </c>
      <c r="T101" s="179">
        <f t="shared" si="95"/>
        <v>0</v>
      </c>
      <c r="U101" s="179">
        <f t="shared" si="95"/>
        <v>0</v>
      </c>
      <c r="V101" s="179">
        <f t="shared" si="95"/>
        <v>0</v>
      </c>
      <c r="W101" s="179">
        <f t="shared" si="95"/>
        <v>0</v>
      </c>
      <c r="X101" s="179">
        <f t="shared" si="95"/>
        <v>0</v>
      </c>
      <c r="Y101" s="179">
        <f t="shared" si="95"/>
        <v>0</v>
      </c>
      <c r="Z101" s="179">
        <f t="shared" si="95"/>
        <v>0</v>
      </c>
      <c r="AA101" s="179">
        <f t="shared" si="95"/>
        <v>0</v>
      </c>
      <c r="AB101" s="179">
        <f t="shared" si="95"/>
        <v>0</v>
      </c>
      <c r="AC101" s="179">
        <f t="shared" si="95"/>
        <v>0</v>
      </c>
      <c r="AD101" s="179">
        <f t="shared" si="95"/>
        <v>0</v>
      </c>
      <c r="AE101" s="179">
        <f t="shared" si="95"/>
        <v>0</v>
      </c>
      <c r="AF101" s="179">
        <f t="shared" si="95"/>
        <v>0</v>
      </c>
      <c r="AG101" s="179">
        <f t="shared" si="95"/>
        <v>0</v>
      </c>
      <c r="AH101" s="229">
        <f>SUM(C101:AG101)</f>
        <v>0</v>
      </c>
      <c r="AI101" s="229"/>
      <c r="AJ101" s="174" t="s">
        <v>69</v>
      </c>
      <c r="AK101" s="133"/>
      <c r="AL101" s="133"/>
    </row>
    <row r="102" spans="1:57" ht="15.95" hidden="1" customHeight="1" x14ac:dyDescent="0.25">
      <c r="A102" s="164" t="s">
        <v>79</v>
      </c>
      <c r="B102" s="165" t="s">
        <v>29</v>
      </c>
      <c r="C102" s="141" t="str">
        <f t="shared" ref="C102:AG102" si="96">IF(C14=$R32,$S32*24,IF(C14=$R33,$S33*24,IF(C14=$R34,$S34*24,IF(C14=$R35,$S35*24,IF(C14=$R36,$S36*24,IF(C14=$R37,$S37*24,IF(C14=$R38,$S38*24,IF(C14=$R39,$S39*24,IF(C14=$R40,$S40*24,"")))))))))</f>
        <v/>
      </c>
      <c r="D102" s="141">
        <f t="shared" si="96"/>
        <v>6</v>
      </c>
      <c r="E102" s="141">
        <f t="shared" si="96"/>
        <v>6</v>
      </c>
      <c r="F102" s="141" t="str">
        <f t="shared" si="96"/>
        <v/>
      </c>
      <c r="G102" s="141" t="str">
        <f t="shared" si="96"/>
        <v/>
      </c>
      <c r="H102" s="141">
        <f t="shared" si="96"/>
        <v>6</v>
      </c>
      <c r="I102" s="141">
        <f t="shared" si="96"/>
        <v>6</v>
      </c>
      <c r="J102" s="141">
        <f t="shared" si="96"/>
        <v>6</v>
      </c>
      <c r="K102" s="141" t="str">
        <f t="shared" si="96"/>
        <v/>
      </c>
      <c r="L102" s="141" t="str">
        <f t="shared" si="96"/>
        <v/>
      </c>
      <c r="M102" s="141">
        <f t="shared" si="96"/>
        <v>6</v>
      </c>
      <c r="N102" s="141">
        <f t="shared" si="96"/>
        <v>6</v>
      </c>
      <c r="O102" s="141" t="str">
        <f t="shared" si="96"/>
        <v/>
      </c>
      <c r="P102" s="141" t="str">
        <f t="shared" si="96"/>
        <v/>
      </c>
      <c r="Q102" s="141" t="str">
        <f t="shared" si="96"/>
        <v/>
      </c>
      <c r="R102" s="141">
        <f t="shared" si="96"/>
        <v>6</v>
      </c>
      <c r="S102" s="141">
        <f t="shared" si="96"/>
        <v>6</v>
      </c>
      <c r="T102" s="141" t="str">
        <f t="shared" si="96"/>
        <v/>
      </c>
      <c r="U102" s="141" t="str">
        <f t="shared" si="96"/>
        <v/>
      </c>
      <c r="V102" s="141">
        <f t="shared" si="96"/>
        <v>6</v>
      </c>
      <c r="W102" s="141">
        <f t="shared" si="96"/>
        <v>6</v>
      </c>
      <c r="X102" s="141">
        <f t="shared" si="96"/>
        <v>6</v>
      </c>
      <c r="Y102" s="141">
        <f t="shared" si="96"/>
        <v>7</v>
      </c>
      <c r="Z102" s="141" t="str">
        <f t="shared" si="96"/>
        <v/>
      </c>
      <c r="AA102" s="141">
        <f t="shared" si="96"/>
        <v>6</v>
      </c>
      <c r="AB102" s="141">
        <f t="shared" si="96"/>
        <v>6</v>
      </c>
      <c r="AC102" s="141" t="str">
        <f t="shared" si="96"/>
        <v/>
      </c>
      <c r="AD102" s="141" t="str">
        <f t="shared" si="96"/>
        <v/>
      </c>
      <c r="AE102" s="141" t="str">
        <f t="shared" si="96"/>
        <v/>
      </c>
      <c r="AF102" s="141">
        <f t="shared" si="96"/>
        <v>6</v>
      </c>
      <c r="AG102" s="141">
        <f t="shared" si="96"/>
        <v>6</v>
      </c>
      <c r="AH102" s="154" t="s">
        <v>12</v>
      </c>
      <c r="AI102" s="133"/>
      <c r="AJ102" s="170"/>
      <c r="AK102" s="133"/>
      <c r="AL102" s="133"/>
    </row>
    <row r="103" spans="1:57" ht="15.95" hidden="1" customHeight="1" x14ac:dyDescent="0.25">
      <c r="A103" s="166" t="s">
        <v>80</v>
      </c>
      <c r="B103" s="167" t="s">
        <v>30</v>
      </c>
      <c r="C103" s="141" t="str">
        <f t="shared" ref="C103:AG103" si="97">IF(C14=$R32,$V32*24,IF(C14=$R33,$V33*24,IF(C14=$R34,$V34*24,IF(C14=$R35,$V35*24,IF(C14=$R36,$V36*24,IF(C14=$R37,$V37*24,IF(C14=$R38,$V38*24,IF(C14=$R39,$V39*24,IF(C14=$R40,$V40*24,"")))))))))</f>
        <v/>
      </c>
      <c r="D103" s="141">
        <f t="shared" si="97"/>
        <v>18</v>
      </c>
      <c r="E103" s="141">
        <f t="shared" si="97"/>
        <v>18</v>
      </c>
      <c r="F103" s="141" t="str">
        <f t="shared" si="97"/>
        <v/>
      </c>
      <c r="G103" s="141" t="str">
        <f t="shared" si="97"/>
        <v/>
      </c>
      <c r="H103" s="141">
        <f t="shared" si="97"/>
        <v>18</v>
      </c>
      <c r="I103" s="141">
        <f t="shared" si="97"/>
        <v>18</v>
      </c>
      <c r="J103" s="141">
        <f t="shared" si="97"/>
        <v>18</v>
      </c>
      <c r="K103" s="141" t="str">
        <f t="shared" si="97"/>
        <v/>
      </c>
      <c r="L103" s="141" t="str">
        <f t="shared" si="97"/>
        <v/>
      </c>
      <c r="M103" s="141">
        <f t="shared" si="97"/>
        <v>18</v>
      </c>
      <c r="N103" s="141">
        <f t="shared" si="97"/>
        <v>18</v>
      </c>
      <c r="O103" s="141" t="str">
        <f t="shared" si="97"/>
        <v/>
      </c>
      <c r="P103" s="141" t="str">
        <f t="shared" si="97"/>
        <v/>
      </c>
      <c r="Q103" s="141" t="str">
        <f t="shared" si="97"/>
        <v/>
      </c>
      <c r="R103" s="141">
        <f t="shared" si="97"/>
        <v>18</v>
      </c>
      <c r="S103" s="141">
        <f t="shared" si="97"/>
        <v>18</v>
      </c>
      <c r="T103" s="141" t="str">
        <f t="shared" si="97"/>
        <v/>
      </c>
      <c r="U103" s="141" t="str">
        <f t="shared" si="97"/>
        <v/>
      </c>
      <c r="V103" s="141">
        <f t="shared" si="97"/>
        <v>18</v>
      </c>
      <c r="W103" s="141">
        <f t="shared" si="97"/>
        <v>18</v>
      </c>
      <c r="X103" s="141">
        <f t="shared" si="97"/>
        <v>18</v>
      </c>
      <c r="Y103" s="141">
        <f t="shared" si="97"/>
        <v>19</v>
      </c>
      <c r="Z103" s="141" t="str">
        <f t="shared" si="97"/>
        <v/>
      </c>
      <c r="AA103" s="141">
        <f t="shared" si="97"/>
        <v>18</v>
      </c>
      <c r="AB103" s="141">
        <f t="shared" si="97"/>
        <v>18</v>
      </c>
      <c r="AC103" s="141" t="str">
        <f t="shared" si="97"/>
        <v/>
      </c>
      <c r="AD103" s="141" t="str">
        <f t="shared" si="97"/>
        <v/>
      </c>
      <c r="AE103" s="141" t="str">
        <f t="shared" si="97"/>
        <v/>
      </c>
      <c r="AF103" s="141">
        <f t="shared" si="97"/>
        <v>18</v>
      </c>
      <c r="AG103" s="141">
        <f t="shared" si="97"/>
        <v>18</v>
      </c>
      <c r="AH103" s="154" t="s">
        <v>12</v>
      </c>
      <c r="AI103" s="133"/>
      <c r="AJ103" s="170"/>
      <c r="AK103" s="133"/>
      <c r="AL103" s="133"/>
    </row>
    <row r="104" spans="1:57" ht="15.95" hidden="1" customHeight="1" x14ac:dyDescent="0.25">
      <c r="A104" s="153"/>
      <c r="B104" s="168" t="s">
        <v>34</v>
      </c>
      <c r="C104" s="169" t="str">
        <f t="shared" ref="C104:AD104" si="98">IF(C14=$R32,$BD32*24,IF(C14=$R33,$BD33*24,IF(C14=$R34,$BD34*24,IF(C14=$R35,$BD35*24,IF(C14=$R36,$BD36*24,IF(C14=$R37,$BD37*24,IF(C14=$R38,$BD38*24,IF(C14=$R39,$BD39*24,IF(C14=$R40,$BD40*24,"")))))))))</f>
        <v/>
      </c>
      <c r="D104" s="169">
        <f t="shared" si="98"/>
        <v>0</v>
      </c>
      <c r="E104" s="169">
        <f t="shared" si="98"/>
        <v>0</v>
      </c>
      <c r="F104" s="169" t="str">
        <f t="shared" si="98"/>
        <v/>
      </c>
      <c r="G104" s="169" t="str">
        <f t="shared" si="98"/>
        <v/>
      </c>
      <c r="H104" s="169">
        <f t="shared" si="98"/>
        <v>0</v>
      </c>
      <c r="I104" s="169">
        <f t="shared" si="98"/>
        <v>0</v>
      </c>
      <c r="J104" s="169">
        <f t="shared" si="98"/>
        <v>0</v>
      </c>
      <c r="K104" s="169" t="str">
        <f t="shared" si="98"/>
        <v/>
      </c>
      <c r="L104" s="169" t="str">
        <f t="shared" si="98"/>
        <v/>
      </c>
      <c r="M104" s="169">
        <f t="shared" si="98"/>
        <v>0</v>
      </c>
      <c r="N104" s="169">
        <f t="shared" si="98"/>
        <v>0</v>
      </c>
      <c r="O104" s="169" t="str">
        <f t="shared" si="98"/>
        <v/>
      </c>
      <c r="P104" s="169" t="str">
        <f t="shared" si="98"/>
        <v/>
      </c>
      <c r="Q104" s="169" t="str">
        <f t="shared" si="98"/>
        <v/>
      </c>
      <c r="R104" s="169">
        <f t="shared" si="98"/>
        <v>0</v>
      </c>
      <c r="S104" s="169">
        <f t="shared" si="98"/>
        <v>0</v>
      </c>
      <c r="T104" s="169" t="str">
        <f t="shared" si="98"/>
        <v/>
      </c>
      <c r="U104" s="169" t="str">
        <f t="shared" si="98"/>
        <v/>
      </c>
      <c r="V104" s="169">
        <f t="shared" si="98"/>
        <v>0</v>
      </c>
      <c r="W104" s="169">
        <f t="shared" si="98"/>
        <v>0</v>
      </c>
      <c r="X104" s="169">
        <f t="shared" si="98"/>
        <v>0</v>
      </c>
      <c r="Y104" s="169">
        <f t="shared" si="98"/>
        <v>0</v>
      </c>
      <c r="Z104" s="169" t="str">
        <f t="shared" si="98"/>
        <v/>
      </c>
      <c r="AA104" s="169">
        <f t="shared" si="98"/>
        <v>0</v>
      </c>
      <c r="AB104" s="169">
        <f t="shared" si="98"/>
        <v>0</v>
      </c>
      <c r="AC104" s="169" t="str">
        <f t="shared" si="98"/>
        <v/>
      </c>
      <c r="AD104" s="169" t="str">
        <f t="shared" si="98"/>
        <v/>
      </c>
      <c r="AE104" s="169" t="str">
        <f>IF(AE14=$R32,$BD32*24,IF(AE14=$R33,$BD33*24,IF(AE14=$R34,$BD34*24,IF(AE14=$R35,$BD35*24,IF(AE14=$R36,$BD36*24,IF(AE14=$R37,$BD37*24,IF(AE14=$R38,$BD38*24,IF(AE14=$R39,$BD39*24,IF(AE14=$R40,$BD40*24,"")))))))))</f>
        <v/>
      </c>
      <c r="AF104" s="169">
        <f>IF(AF14=$R32,$BD32*24,IF(AF14=$R33,$BD33*24,IF(AF14=$R34,$BD34*24,IF(AF14=$R35,$BD35*24,IF(AF14=$R36,$BD36*24,IF(AF14=$R37,$BD37*24,IF(AF14=$R38,$BD38*24,IF(AF14=$R39,$BD39*24,IF(AF14=$R40,$BD40*24,"")))))))))</f>
        <v>0</v>
      </c>
      <c r="AG104" s="169">
        <f>IF(AG14=$R32,$BD32*24,IF(AG14=$R33,$BD33*24,IF(AG14=$R34,$BD34*24,IF(AG14=$R35,$BD35*24,IF(AG14=$R36,$BD36*24,IF(AG14=$R37,$BD37*24,IF(AG14=$R38,$BD38*24,IF(AG14=$R39,$BD39*24,IF(AG14=$R40,$BD40*24,"")))))))))</f>
        <v>0</v>
      </c>
      <c r="AH104" s="148">
        <f>SUM(C104:AG104)</f>
        <v>0</v>
      </c>
      <c r="AI104" s="133"/>
      <c r="AJ104" s="170"/>
      <c r="AK104" s="133"/>
      <c r="AL104" s="133"/>
    </row>
    <row r="105" spans="1:57" ht="15.95" hidden="1" customHeight="1" x14ac:dyDescent="0.25">
      <c r="A105" s="153"/>
      <c r="B105" s="167" t="s">
        <v>59</v>
      </c>
      <c r="C105" s="141">
        <f t="shared" ref="C105:AG105" si="99">IF(C14="V",$C36,IF(C14="PR",$C38,0))</f>
        <v>0</v>
      </c>
      <c r="D105" s="141">
        <f t="shared" si="99"/>
        <v>0</v>
      </c>
      <c r="E105" s="141">
        <f t="shared" si="99"/>
        <v>0</v>
      </c>
      <c r="F105" s="141">
        <f t="shared" si="99"/>
        <v>0</v>
      </c>
      <c r="G105" s="141">
        <f t="shared" si="99"/>
        <v>0</v>
      </c>
      <c r="H105" s="141">
        <f t="shared" si="99"/>
        <v>0</v>
      </c>
      <c r="I105" s="141">
        <f t="shared" si="99"/>
        <v>0</v>
      </c>
      <c r="J105" s="141">
        <f t="shared" si="99"/>
        <v>0</v>
      </c>
      <c r="K105" s="141">
        <f t="shared" si="99"/>
        <v>0</v>
      </c>
      <c r="L105" s="141">
        <f t="shared" si="99"/>
        <v>0</v>
      </c>
      <c r="M105" s="141">
        <f t="shared" si="99"/>
        <v>0</v>
      </c>
      <c r="N105" s="141">
        <f t="shared" si="99"/>
        <v>0</v>
      </c>
      <c r="O105" s="141">
        <f t="shared" si="99"/>
        <v>0</v>
      </c>
      <c r="P105" s="141">
        <f t="shared" si="99"/>
        <v>0</v>
      </c>
      <c r="Q105" s="141">
        <f t="shared" si="99"/>
        <v>0</v>
      </c>
      <c r="R105" s="141">
        <f t="shared" si="99"/>
        <v>0</v>
      </c>
      <c r="S105" s="141">
        <f t="shared" si="99"/>
        <v>0</v>
      </c>
      <c r="T105" s="141">
        <f t="shared" si="99"/>
        <v>0</v>
      </c>
      <c r="U105" s="141">
        <f t="shared" si="99"/>
        <v>0</v>
      </c>
      <c r="V105" s="141">
        <f t="shared" si="99"/>
        <v>0</v>
      </c>
      <c r="W105" s="141">
        <f t="shared" si="99"/>
        <v>0</v>
      </c>
      <c r="X105" s="141">
        <f t="shared" si="99"/>
        <v>0</v>
      </c>
      <c r="Y105" s="141">
        <f t="shared" si="99"/>
        <v>0</v>
      </c>
      <c r="Z105" s="141">
        <f t="shared" si="99"/>
        <v>0</v>
      </c>
      <c r="AA105" s="141">
        <f t="shared" si="99"/>
        <v>0</v>
      </c>
      <c r="AB105" s="141">
        <f t="shared" si="99"/>
        <v>0</v>
      </c>
      <c r="AC105" s="141">
        <f t="shared" si="99"/>
        <v>0</v>
      </c>
      <c r="AD105" s="141">
        <f t="shared" si="99"/>
        <v>0</v>
      </c>
      <c r="AE105" s="141">
        <f t="shared" si="99"/>
        <v>0</v>
      </c>
      <c r="AF105" s="141">
        <f t="shared" si="99"/>
        <v>0</v>
      </c>
      <c r="AG105" s="141">
        <f t="shared" si="99"/>
        <v>0</v>
      </c>
      <c r="AH105" s="226">
        <f>SUM(C105:AG105)</f>
        <v>0</v>
      </c>
      <c r="AI105" s="226"/>
      <c r="AJ105" s="230">
        <f>SUM(AH50+AH61+AH72+AH83+AH94+AH105)</f>
        <v>0</v>
      </c>
      <c r="AK105" s="230"/>
      <c r="AL105" s="133" t="s">
        <v>56</v>
      </c>
      <c r="AM105" s="1" t="s">
        <v>12</v>
      </c>
    </row>
    <row r="106" spans="1:57" ht="15.95" hidden="1" customHeight="1" x14ac:dyDescent="0.25">
      <c r="A106" s="150" t="s">
        <v>60</v>
      </c>
      <c r="B106" s="167" t="s">
        <v>61</v>
      </c>
      <c r="C106" s="151">
        <f t="shared" ref="C106:AD106" si="100">IF(C14=$R32,$BC32,IF(C14=$R33,$BC33,IF(C14=$R34,$BC34,IF(C14=$R35,$BC35,IF(C14=$R36,$BC36,IF(C14=$R37,$BC37,IF(C14=$R38,$BC38,IF(C14=$R39,$BC39,IF(C14=$R40,$BC40,0)))))))))</f>
        <v>0</v>
      </c>
      <c r="D106" s="151">
        <f t="shared" si="100"/>
        <v>12</v>
      </c>
      <c r="E106" s="151">
        <f t="shared" si="100"/>
        <v>12</v>
      </c>
      <c r="F106" s="151">
        <f t="shared" si="100"/>
        <v>0</v>
      </c>
      <c r="G106" s="151">
        <f t="shared" si="100"/>
        <v>0</v>
      </c>
      <c r="H106" s="151">
        <f t="shared" si="100"/>
        <v>12</v>
      </c>
      <c r="I106" s="151">
        <f t="shared" si="100"/>
        <v>12</v>
      </c>
      <c r="J106" s="151">
        <f t="shared" si="100"/>
        <v>12</v>
      </c>
      <c r="K106" s="151">
        <f t="shared" si="100"/>
        <v>0</v>
      </c>
      <c r="L106" s="151">
        <f t="shared" si="100"/>
        <v>0</v>
      </c>
      <c r="M106" s="151">
        <f t="shared" si="100"/>
        <v>12</v>
      </c>
      <c r="N106" s="151">
        <f t="shared" si="100"/>
        <v>12</v>
      </c>
      <c r="O106" s="151">
        <f t="shared" si="100"/>
        <v>0</v>
      </c>
      <c r="P106" s="151">
        <f t="shared" si="100"/>
        <v>0</v>
      </c>
      <c r="Q106" s="151">
        <f t="shared" si="100"/>
        <v>0</v>
      </c>
      <c r="R106" s="151">
        <f t="shared" si="100"/>
        <v>12</v>
      </c>
      <c r="S106" s="151">
        <f t="shared" si="100"/>
        <v>12</v>
      </c>
      <c r="T106" s="151">
        <f t="shared" si="100"/>
        <v>0</v>
      </c>
      <c r="U106" s="151">
        <f t="shared" si="100"/>
        <v>0</v>
      </c>
      <c r="V106" s="151">
        <f t="shared" si="100"/>
        <v>12</v>
      </c>
      <c r="W106" s="151">
        <f t="shared" si="100"/>
        <v>12</v>
      </c>
      <c r="X106" s="151">
        <f t="shared" si="100"/>
        <v>12</v>
      </c>
      <c r="Y106" s="151">
        <f t="shared" si="100"/>
        <v>11.999999999999998</v>
      </c>
      <c r="Z106" s="151">
        <f t="shared" si="100"/>
        <v>0</v>
      </c>
      <c r="AA106" s="151">
        <f t="shared" si="100"/>
        <v>12</v>
      </c>
      <c r="AB106" s="151">
        <f t="shared" si="100"/>
        <v>12</v>
      </c>
      <c r="AC106" s="151">
        <f t="shared" si="100"/>
        <v>0</v>
      </c>
      <c r="AD106" s="151">
        <f t="shared" si="100"/>
        <v>0</v>
      </c>
      <c r="AE106" s="151">
        <f>IF(AE14=$R32,$BC32,IF(AE14=$R33,$BC33,IF(AE14=$R34,$BC34,IF(AE14=$R35,$BC35,IF(AE14=$R36,$BC36,IF(AE14=$R37,$BC37,IF(AE14=$R38,$BC38,IF(AE14=$R39,$BC39,IF(AE14=$R40,$BC40,0)))))))))</f>
        <v>0</v>
      </c>
      <c r="AF106" s="151">
        <f>IF(AF14=$R32,$BC32,IF(AF14=$R33,$BC33,IF(AF14=$R34,$BC34,IF(AF14=$R35,$BC35,IF(AF14=$R36,$BC36,IF(AF14=$R37,$BC37,IF(AF14=$R38,$BC38,IF(AF14=$R39,$BC39,IF(AF14=$R40,$BC40,0)))))))))</f>
        <v>12</v>
      </c>
      <c r="AG106" s="151">
        <f>IF(AG14=$R32,$BC32,IF(AG14=$R33,$BC33,IF(AG14=$R34,$BC34,IF(AG14=$R35,$BC35,IF(AG14=$R36,$BC36,IF(AG14=$R37,$BC37,IF(AG14=$R38,$BC38,IF(AG14=$R39,$BC39,IF(AG14=$R40,$BC40,0)))))))))</f>
        <v>12</v>
      </c>
      <c r="AH106" s="226">
        <f>SUM(C106:AG106)</f>
        <v>204</v>
      </c>
      <c r="AI106" s="226"/>
      <c r="AJ106" s="174" t="s">
        <v>62</v>
      </c>
      <c r="AK106" s="133" t="s">
        <v>12</v>
      </c>
      <c r="AL106" s="133"/>
    </row>
    <row r="107" spans="1:57" ht="15.95" hidden="1" customHeight="1" x14ac:dyDescent="0.25">
      <c r="A107" s="153" t="s">
        <v>48</v>
      </c>
      <c r="B107" s="149" t="s">
        <v>63</v>
      </c>
      <c r="C107" s="141">
        <f t="shared" ref="C107:AG107" si="101">IF(C46=1,IF(C102&lt;C103,C106,0))</f>
        <v>0</v>
      </c>
      <c r="D107" s="141" t="b">
        <f t="shared" si="101"/>
        <v>0</v>
      </c>
      <c r="E107" s="141" t="b">
        <f t="shared" si="101"/>
        <v>0</v>
      </c>
      <c r="F107" s="141" t="b">
        <f t="shared" si="101"/>
        <v>0</v>
      </c>
      <c r="G107" s="141" t="b">
        <f t="shared" si="101"/>
        <v>0</v>
      </c>
      <c r="H107" s="141" t="b">
        <f t="shared" si="101"/>
        <v>0</v>
      </c>
      <c r="I107" s="141">
        <f t="shared" si="101"/>
        <v>12</v>
      </c>
      <c r="J107" s="141">
        <f t="shared" si="101"/>
        <v>12</v>
      </c>
      <c r="K107" s="141" t="b">
        <f t="shared" si="101"/>
        <v>0</v>
      </c>
      <c r="L107" s="141" t="b">
        <f t="shared" si="101"/>
        <v>0</v>
      </c>
      <c r="M107" s="141" t="b">
        <f t="shared" si="101"/>
        <v>0</v>
      </c>
      <c r="N107" s="141" t="b">
        <f t="shared" si="101"/>
        <v>0</v>
      </c>
      <c r="O107" s="141" t="b">
        <f t="shared" si="101"/>
        <v>0</v>
      </c>
      <c r="P107" s="141">
        <f t="shared" si="101"/>
        <v>0</v>
      </c>
      <c r="Q107" s="141">
        <f t="shared" si="101"/>
        <v>0</v>
      </c>
      <c r="R107" s="141" t="b">
        <f t="shared" si="101"/>
        <v>0</v>
      </c>
      <c r="S107" s="141" t="b">
        <f t="shared" si="101"/>
        <v>0</v>
      </c>
      <c r="T107" s="141" t="b">
        <f t="shared" si="101"/>
        <v>0</v>
      </c>
      <c r="U107" s="141" t="b">
        <f t="shared" si="101"/>
        <v>0</v>
      </c>
      <c r="V107" s="141" t="b">
        <f t="shared" si="101"/>
        <v>0</v>
      </c>
      <c r="W107" s="141">
        <f t="shared" si="101"/>
        <v>12</v>
      </c>
      <c r="X107" s="141">
        <f t="shared" si="101"/>
        <v>12</v>
      </c>
      <c r="Y107" s="141" t="b">
        <f t="shared" si="101"/>
        <v>0</v>
      </c>
      <c r="Z107" s="141" t="b">
        <f t="shared" si="101"/>
        <v>0</v>
      </c>
      <c r="AA107" s="141" t="b">
        <f t="shared" si="101"/>
        <v>0</v>
      </c>
      <c r="AB107" s="141" t="b">
        <f t="shared" si="101"/>
        <v>0</v>
      </c>
      <c r="AC107" s="141" t="b">
        <f t="shared" si="101"/>
        <v>0</v>
      </c>
      <c r="AD107" s="141">
        <f t="shared" si="101"/>
        <v>0</v>
      </c>
      <c r="AE107" s="141">
        <f t="shared" si="101"/>
        <v>0</v>
      </c>
      <c r="AF107" s="141" t="b">
        <f t="shared" si="101"/>
        <v>0</v>
      </c>
      <c r="AG107" s="141" t="b">
        <f t="shared" si="101"/>
        <v>0</v>
      </c>
      <c r="AH107" s="154" t="s">
        <v>12</v>
      </c>
      <c r="AI107" s="133"/>
      <c r="AJ107" s="170"/>
      <c r="AK107" s="133"/>
      <c r="AL107" s="133"/>
      <c r="BE107" s="31"/>
    </row>
    <row r="108" spans="1:57" ht="15.95" hidden="1" customHeight="1" x14ac:dyDescent="0.25">
      <c r="A108" s="176"/>
      <c r="B108" s="149" t="s">
        <v>64</v>
      </c>
      <c r="C108" s="141">
        <f>IF(C46=1,IF(C113&gt;C114,24-C113,0),0)</f>
        <v>0</v>
      </c>
      <c r="D108" s="141">
        <f t="shared" ref="D108:AG108" si="102">IF(D46=1,IF(D102&gt;D103,24-D102,0),0)</f>
        <v>0</v>
      </c>
      <c r="E108" s="141">
        <f t="shared" si="102"/>
        <v>0</v>
      </c>
      <c r="F108" s="141">
        <f t="shared" si="102"/>
        <v>0</v>
      </c>
      <c r="G108" s="141">
        <f t="shared" si="102"/>
        <v>0</v>
      </c>
      <c r="H108" s="141">
        <f t="shared" si="102"/>
        <v>0</v>
      </c>
      <c r="I108" s="141">
        <f t="shared" si="102"/>
        <v>0</v>
      </c>
      <c r="J108" s="141">
        <f t="shared" si="102"/>
        <v>0</v>
      </c>
      <c r="K108" s="141">
        <f t="shared" si="102"/>
        <v>0</v>
      </c>
      <c r="L108" s="141">
        <f t="shared" si="102"/>
        <v>0</v>
      </c>
      <c r="M108" s="141">
        <f t="shared" si="102"/>
        <v>0</v>
      </c>
      <c r="N108" s="141">
        <f t="shared" si="102"/>
        <v>0</v>
      </c>
      <c r="O108" s="141">
        <f t="shared" si="102"/>
        <v>0</v>
      </c>
      <c r="P108" s="141">
        <f t="shared" si="102"/>
        <v>0</v>
      </c>
      <c r="Q108" s="141">
        <f t="shared" si="102"/>
        <v>0</v>
      </c>
      <c r="R108" s="141">
        <f t="shared" si="102"/>
        <v>0</v>
      </c>
      <c r="S108" s="141">
        <f t="shared" si="102"/>
        <v>0</v>
      </c>
      <c r="T108" s="141">
        <f t="shared" si="102"/>
        <v>0</v>
      </c>
      <c r="U108" s="141">
        <f t="shared" si="102"/>
        <v>0</v>
      </c>
      <c r="V108" s="141">
        <f t="shared" si="102"/>
        <v>0</v>
      </c>
      <c r="W108" s="141">
        <f t="shared" si="102"/>
        <v>0</v>
      </c>
      <c r="X108" s="141">
        <f t="shared" si="102"/>
        <v>0</v>
      </c>
      <c r="Y108" s="141">
        <f t="shared" si="102"/>
        <v>0</v>
      </c>
      <c r="Z108" s="141">
        <f t="shared" si="102"/>
        <v>0</v>
      </c>
      <c r="AA108" s="141">
        <f t="shared" si="102"/>
        <v>0</v>
      </c>
      <c r="AB108" s="141">
        <f t="shared" si="102"/>
        <v>0</v>
      </c>
      <c r="AC108" s="141">
        <f t="shared" si="102"/>
        <v>0</v>
      </c>
      <c r="AD108" s="141">
        <f t="shared" si="102"/>
        <v>0</v>
      </c>
      <c r="AE108" s="141">
        <f t="shared" si="102"/>
        <v>0</v>
      </c>
      <c r="AF108" s="141">
        <f t="shared" si="102"/>
        <v>0</v>
      </c>
      <c r="AG108" s="141">
        <f t="shared" si="102"/>
        <v>0</v>
      </c>
      <c r="AH108" s="154" t="s">
        <v>12</v>
      </c>
      <c r="AI108" s="133"/>
      <c r="AJ108" s="170"/>
      <c r="AK108" s="133"/>
      <c r="AL108" s="133"/>
    </row>
    <row r="109" spans="1:57" ht="15.95" hidden="1" customHeight="1" x14ac:dyDescent="0.25">
      <c r="A109" s="176"/>
      <c r="B109" s="149" t="s">
        <v>65</v>
      </c>
      <c r="C109" s="141">
        <f t="shared" ref="C109:AG109" si="103">IF(D46=1,IF(C102&gt;C103,C103,0),0)</f>
        <v>0</v>
      </c>
      <c r="D109" s="141">
        <f t="shared" si="103"/>
        <v>0</v>
      </c>
      <c r="E109" s="141">
        <f t="shared" si="103"/>
        <v>0</v>
      </c>
      <c r="F109" s="141">
        <f t="shared" si="103"/>
        <v>0</v>
      </c>
      <c r="G109" s="141">
        <f t="shared" si="103"/>
        <v>0</v>
      </c>
      <c r="H109" s="141">
        <f t="shared" si="103"/>
        <v>0</v>
      </c>
      <c r="I109" s="141">
        <f t="shared" si="103"/>
        <v>0</v>
      </c>
      <c r="J109" s="141">
        <f t="shared" si="103"/>
        <v>0</v>
      </c>
      <c r="K109" s="141">
        <f t="shared" si="103"/>
        <v>0</v>
      </c>
      <c r="L109" s="141">
        <f t="shared" si="103"/>
        <v>0</v>
      </c>
      <c r="M109" s="141">
        <f t="shared" si="103"/>
        <v>0</v>
      </c>
      <c r="N109" s="141">
        <f t="shared" si="103"/>
        <v>0</v>
      </c>
      <c r="O109" s="141">
        <f t="shared" si="103"/>
        <v>0</v>
      </c>
      <c r="P109" s="141">
        <f t="shared" si="103"/>
        <v>0</v>
      </c>
      <c r="Q109" s="141">
        <f t="shared" si="103"/>
        <v>0</v>
      </c>
      <c r="R109" s="141">
        <f t="shared" si="103"/>
        <v>0</v>
      </c>
      <c r="S109" s="141">
        <f t="shared" si="103"/>
        <v>0</v>
      </c>
      <c r="T109" s="141">
        <f t="shared" si="103"/>
        <v>0</v>
      </c>
      <c r="U109" s="141">
        <f t="shared" si="103"/>
        <v>0</v>
      </c>
      <c r="V109" s="141">
        <f t="shared" si="103"/>
        <v>0</v>
      </c>
      <c r="W109" s="141">
        <f t="shared" si="103"/>
        <v>0</v>
      </c>
      <c r="X109" s="141">
        <f>IF(Y46=1,IF(X102&gt;X103,X103,0),0)</f>
        <v>0</v>
      </c>
      <c r="Y109" s="141">
        <f t="shared" si="103"/>
        <v>0</v>
      </c>
      <c r="Z109" s="141">
        <f t="shared" si="103"/>
        <v>0</v>
      </c>
      <c r="AA109" s="141">
        <f t="shared" si="103"/>
        <v>0</v>
      </c>
      <c r="AB109" s="141">
        <f t="shared" si="103"/>
        <v>0</v>
      </c>
      <c r="AC109" s="141">
        <f t="shared" si="103"/>
        <v>0</v>
      </c>
      <c r="AD109" s="141">
        <f t="shared" si="103"/>
        <v>0</v>
      </c>
      <c r="AE109" s="141">
        <f t="shared" si="103"/>
        <v>0</v>
      </c>
      <c r="AF109" s="141">
        <f t="shared" si="103"/>
        <v>0</v>
      </c>
      <c r="AG109" s="141">
        <f t="shared" si="103"/>
        <v>0</v>
      </c>
      <c r="AH109" s="154" t="s">
        <v>12</v>
      </c>
      <c r="AI109" s="133"/>
      <c r="AJ109" s="170"/>
      <c r="AK109" s="133"/>
      <c r="AL109" s="133"/>
    </row>
    <row r="110" spans="1:57" ht="15.95" hidden="1" customHeight="1" x14ac:dyDescent="0.25">
      <c r="A110" s="176"/>
      <c r="B110" s="149" t="s">
        <v>67</v>
      </c>
      <c r="C110" s="171">
        <f t="shared" ref="C110:AG110" si="104">SUM(C107:C109)</f>
        <v>0</v>
      </c>
      <c r="D110" s="171">
        <f t="shared" si="104"/>
        <v>0</v>
      </c>
      <c r="E110" s="171">
        <f t="shared" si="104"/>
        <v>0</v>
      </c>
      <c r="F110" s="171">
        <f t="shared" si="104"/>
        <v>0</v>
      </c>
      <c r="G110" s="171">
        <f t="shared" si="104"/>
        <v>0</v>
      </c>
      <c r="H110" s="171">
        <f t="shared" si="104"/>
        <v>0</v>
      </c>
      <c r="I110" s="171">
        <f t="shared" si="104"/>
        <v>12</v>
      </c>
      <c r="J110" s="171">
        <f t="shared" si="104"/>
        <v>12</v>
      </c>
      <c r="K110" s="171">
        <f t="shared" si="104"/>
        <v>0</v>
      </c>
      <c r="L110" s="171">
        <f t="shared" si="104"/>
        <v>0</v>
      </c>
      <c r="M110" s="171">
        <f t="shared" si="104"/>
        <v>0</v>
      </c>
      <c r="N110" s="171">
        <f t="shared" si="104"/>
        <v>0</v>
      </c>
      <c r="O110" s="171">
        <f t="shared" si="104"/>
        <v>0</v>
      </c>
      <c r="P110" s="171">
        <f t="shared" si="104"/>
        <v>0</v>
      </c>
      <c r="Q110" s="171">
        <f t="shared" si="104"/>
        <v>0</v>
      </c>
      <c r="R110" s="171">
        <f t="shared" si="104"/>
        <v>0</v>
      </c>
      <c r="S110" s="171">
        <f t="shared" si="104"/>
        <v>0</v>
      </c>
      <c r="T110" s="171">
        <f t="shared" si="104"/>
        <v>0</v>
      </c>
      <c r="U110" s="171">
        <f t="shared" si="104"/>
        <v>0</v>
      </c>
      <c r="V110" s="171">
        <f t="shared" si="104"/>
        <v>0</v>
      </c>
      <c r="W110" s="171">
        <f t="shared" si="104"/>
        <v>12</v>
      </c>
      <c r="X110" s="171">
        <f t="shared" si="104"/>
        <v>12</v>
      </c>
      <c r="Y110" s="171">
        <f t="shared" si="104"/>
        <v>0</v>
      </c>
      <c r="Z110" s="171">
        <f t="shared" si="104"/>
        <v>0</v>
      </c>
      <c r="AA110" s="171">
        <f t="shared" si="104"/>
        <v>0</v>
      </c>
      <c r="AB110" s="171">
        <f t="shared" si="104"/>
        <v>0</v>
      </c>
      <c r="AC110" s="171">
        <f t="shared" si="104"/>
        <v>0</v>
      </c>
      <c r="AD110" s="171">
        <f t="shared" si="104"/>
        <v>0</v>
      </c>
      <c r="AE110" s="171">
        <f t="shared" si="104"/>
        <v>0</v>
      </c>
      <c r="AF110" s="171">
        <f t="shared" si="104"/>
        <v>0</v>
      </c>
      <c r="AG110" s="171">
        <f t="shared" si="104"/>
        <v>0</v>
      </c>
      <c r="AH110" s="154" t="s">
        <v>12</v>
      </c>
      <c r="AI110" s="133"/>
      <c r="AJ110" s="170"/>
      <c r="AK110" s="133"/>
      <c r="AL110" s="133"/>
    </row>
    <row r="111" spans="1:57" ht="15.95" hidden="1" customHeight="1" x14ac:dyDescent="0.25">
      <c r="A111" s="177"/>
      <c r="B111" s="160" t="s">
        <v>68</v>
      </c>
      <c r="C111" s="161">
        <f t="shared" ref="C111:AG111" si="105">IF(C14="V",IF(C14="",0,1),0)</f>
        <v>0</v>
      </c>
      <c r="D111" s="161">
        <f t="shared" si="105"/>
        <v>0</v>
      </c>
      <c r="E111" s="161">
        <f t="shared" si="105"/>
        <v>0</v>
      </c>
      <c r="F111" s="161">
        <f t="shared" si="105"/>
        <v>0</v>
      </c>
      <c r="G111" s="161">
        <f t="shared" si="105"/>
        <v>0</v>
      </c>
      <c r="H111" s="161">
        <f t="shared" si="105"/>
        <v>0</v>
      </c>
      <c r="I111" s="161">
        <f t="shared" si="105"/>
        <v>0</v>
      </c>
      <c r="J111" s="161">
        <f t="shared" si="105"/>
        <v>0</v>
      </c>
      <c r="K111" s="161">
        <f t="shared" si="105"/>
        <v>0</v>
      </c>
      <c r="L111" s="161">
        <f t="shared" si="105"/>
        <v>0</v>
      </c>
      <c r="M111" s="161">
        <f t="shared" si="105"/>
        <v>0</v>
      </c>
      <c r="N111" s="161">
        <f t="shared" si="105"/>
        <v>0</v>
      </c>
      <c r="O111" s="161">
        <f t="shared" si="105"/>
        <v>0</v>
      </c>
      <c r="P111" s="161">
        <f t="shared" si="105"/>
        <v>0</v>
      </c>
      <c r="Q111" s="161">
        <f t="shared" si="105"/>
        <v>0</v>
      </c>
      <c r="R111" s="161">
        <f t="shared" si="105"/>
        <v>0</v>
      </c>
      <c r="S111" s="161">
        <f t="shared" si="105"/>
        <v>0</v>
      </c>
      <c r="T111" s="161">
        <f t="shared" si="105"/>
        <v>0</v>
      </c>
      <c r="U111" s="161">
        <f t="shared" si="105"/>
        <v>0</v>
      </c>
      <c r="V111" s="161">
        <f t="shared" si="105"/>
        <v>0</v>
      </c>
      <c r="W111" s="161">
        <f t="shared" si="105"/>
        <v>0</v>
      </c>
      <c r="X111" s="161">
        <f t="shared" si="105"/>
        <v>0</v>
      </c>
      <c r="Y111" s="161">
        <f t="shared" si="105"/>
        <v>0</v>
      </c>
      <c r="Z111" s="161">
        <f t="shared" si="105"/>
        <v>0</v>
      </c>
      <c r="AA111" s="161">
        <f t="shared" si="105"/>
        <v>0</v>
      </c>
      <c r="AB111" s="161">
        <f t="shared" si="105"/>
        <v>0</v>
      </c>
      <c r="AC111" s="161">
        <f t="shared" si="105"/>
        <v>0</v>
      </c>
      <c r="AD111" s="161">
        <f t="shared" si="105"/>
        <v>0</v>
      </c>
      <c r="AE111" s="161">
        <f t="shared" si="105"/>
        <v>0</v>
      </c>
      <c r="AF111" s="161">
        <f t="shared" si="105"/>
        <v>0</v>
      </c>
      <c r="AG111" s="161">
        <f t="shared" si="105"/>
        <v>0</v>
      </c>
      <c r="AH111" s="154" t="s">
        <v>12</v>
      </c>
      <c r="AI111" s="133"/>
      <c r="AJ111" s="170"/>
      <c r="AK111" s="133"/>
      <c r="AL111" s="133"/>
    </row>
    <row r="112" spans="1:57" ht="15.95" hidden="1" customHeight="1" x14ac:dyDescent="0.25">
      <c r="A112" s="180"/>
      <c r="B112" s="181" t="s">
        <v>16</v>
      </c>
      <c r="C112" s="182">
        <f t="shared" ref="C112:AG112" si="106">IF(C14="PR",IF(C14="",0,1),0)</f>
        <v>0</v>
      </c>
      <c r="D112" s="182">
        <f t="shared" si="106"/>
        <v>0</v>
      </c>
      <c r="E112" s="182">
        <f t="shared" si="106"/>
        <v>0</v>
      </c>
      <c r="F112" s="182">
        <f t="shared" si="106"/>
        <v>0</v>
      </c>
      <c r="G112" s="182">
        <f t="shared" si="106"/>
        <v>0</v>
      </c>
      <c r="H112" s="182">
        <f t="shared" si="106"/>
        <v>0</v>
      </c>
      <c r="I112" s="182">
        <f t="shared" si="106"/>
        <v>0</v>
      </c>
      <c r="J112" s="182">
        <f t="shared" si="106"/>
        <v>0</v>
      </c>
      <c r="K112" s="182">
        <f t="shared" si="106"/>
        <v>0</v>
      </c>
      <c r="L112" s="182">
        <f t="shared" si="106"/>
        <v>0</v>
      </c>
      <c r="M112" s="182">
        <f t="shared" si="106"/>
        <v>0</v>
      </c>
      <c r="N112" s="182">
        <f t="shared" si="106"/>
        <v>0</v>
      </c>
      <c r="O112" s="182">
        <f t="shared" si="106"/>
        <v>0</v>
      </c>
      <c r="P112" s="182">
        <f t="shared" si="106"/>
        <v>0</v>
      </c>
      <c r="Q112" s="182">
        <f t="shared" si="106"/>
        <v>0</v>
      </c>
      <c r="R112" s="182">
        <f t="shared" si="106"/>
        <v>0</v>
      </c>
      <c r="S112" s="182">
        <f t="shared" si="106"/>
        <v>0</v>
      </c>
      <c r="T112" s="182">
        <f t="shared" si="106"/>
        <v>0</v>
      </c>
      <c r="U112" s="182">
        <f t="shared" si="106"/>
        <v>0</v>
      </c>
      <c r="V112" s="182">
        <f t="shared" si="106"/>
        <v>0</v>
      </c>
      <c r="W112" s="182">
        <f t="shared" si="106"/>
        <v>0</v>
      </c>
      <c r="X112" s="182">
        <f t="shared" si="106"/>
        <v>0</v>
      </c>
      <c r="Y112" s="182">
        <f t="shared" si="106"/>
        <v>0</v>
      </c>
      <c r="Z112" s="182">
        <f t="shared" si="106"/>
        <v>0</v>
      </c>
      <c r="AA112" s="182">
        <f t="shared" si="106"/>
        <v>0</v>
      </c>
      <c r="AB112" s="182">
        <f t="shared" si="106"/>
        <v>0</v>
      </c>
      <c r="AC112" s="182">
        <f t="shared" si="106"/>
        <v>0</v>
      </c>
      <c r="AD112" s="182">
        <f t="shared" si="106"/>
        <v>0</v>
      </c>
      <c r="AE112" s="182">
        <f t="shared" si="106"/>
        <v>0</v>
      </c>
      <c r="AF112" s="182">
        <f t="shared" si="106"/>
        <v>0</v>
      </c>
      <c r="AG112" s="182">
        <f t="shared" si="106"/>
        <v>0</v>
      </c>
      <c r="AH112" s="227">
        <f>SUM(C112:AG112)</f>
        <v>0</v>
      </c>
      <c r="AI112" s="227"/>
      <c r="AJ112" s="174" t="s">
        <v>69</v>
      </c>
      <c r="AK112" s="133"/>
      <c r="AL112" s="133"/>
    </row>
    <row r="113" spans="1:57" s="31" customFormat="1" ht="15.95" hidden="1" customHeight="1" x14ac:dyDescent="0.25">
      <c r="A113" s="164" t="s">
        <v>81</v>
      </c>
      <c r="B113" s="165" t="s">
        <v>29</v>
      </c>
      <c r="C113" s="141">
        <f t="shared" ref="C113:AG113" si="107">IF(C15=$R32,$S32*24,IF(C15=$R33,$S33*24,IF(C15=$R34,$S34*24,IF(C15=$R35,$S35*24,IF(C15=$R36,$S36*24,IF(C15=$R37,$S37*24,IF(C15=$R38,$S38*24,IF(C15=$R39,$S39*24,IF(C15=$R40,$S40*24,"")))))))))</f>
        <v>7</v>
      </c>
      <c r="D113" s="141">
        <f t="shared" si="107"/>
        <v>18</v>
      </c>
      <c r="E113" s="141">
        <f t="shared" si="107"/>
        <v>18</v>
      </c>
      <c r="F113" s="141" t="str">
        <f t="shared" si="107"/>
        <v/>
      </c>
      <c r="G113" s="141" t="str">
        <f t="shared" si="107"/>
        <v/>
      </c>
      <c r="H113" s="141">
        <f t="shared" si="107"/>
        <v>19</v>
      </c>
      <c r="I113" s="141">
        <f t="shared" si="107"/>
        <v>19</v>
      </c>
      <c r="J113" s="141">
        <f t="shared" si="107"/>
        <v>19</v>
      </c>
      <c r="K113" s="141">
        <f t="shared" si="107"/>
        <v>18</v>
      </c>
      <c r="L113" s="141">
        <f t="shared" si="107"/>
        <v>18</v>
      </c>
      <c r="M113" s="141">
        <f t="shared" si="107"/>
        <v>18</v>
      </c>
      <c r="N113" s="141">
        <f t="shared" si="107"/>
        <v>18</v>
      </c>
      <c r="O113" s="141" t="str">
        <f t="shared" si="107"/>
        <v/>
      </c>
      <c r="P113" s="141" t="str">
        <f t="shared" si="107"/>
        <v/>
      </c>
      <c r="Q113" s="141" t="str">
        <f t="shared" si="107"/>
        <v/>
      </c>
      <c r="R113" s="141" t="str">
        <f t="shared" si="107"/>
        <v/>
      </c>
      <c r="S113" s="141" t="str">
        <f t="shared" si="107"/>
        <v/>
      </c>
      <c r="T113" s="141">
        <f t="shared" si="107"/>
        <v>7</v>
      </c>
      <c r="U113" s="141">
        <f t="shared" si="107"/>
        <v>7</v>
      </c>
      <c r="V113" s="141">
        <f t="shared" si="107"/>
        <v>7</v>
      </c>
      <c r="W113" s="141">
        <f t="shared" si="107"/>
        <v>7</v>
      </c>
      <c r="X113" s="141">
        <f t="shared" si="107"/>
        <v>7</v>
      </c>
      <c r="Y113" s="141" t="str">
        <f t="shared" si="107"/>
        <v/>
      </c>
      <c r="Z113" s="141">
        <f t="shared" si="107"/>
        <v>7</v>
      </c>
      <c r="AA113" s="141">
        <f t="shared" si="107"/>
        <v>18</v>
      </c>
      <c r="AB113" s="141" t="str">
        <f t="shared" si="107"/>
        <v/>
      </c>
      <c r="AC113" s="141" t="str">
        <f t="shared" si="107"/>
        <v/>
      </c>
      <c r="AD113" s="141" t="str">
        <f t="shared" si="107"/>
        <v/>
      </c>
      <c r="AE113" s="141" t="str">
        <f t="shared" si="107"/>
        <v/>
      </c>
      <c r="AF113" s="141">
        <f t="shared" si="107"/>
        <v>18</v>
      </c>
      <c r="AG113" s="141">
        <f t="shared" si="107"/>
        <v>18</v>
      </c>
      <c r="AH113" s="154" t="s">
        <v>12</v>
      </c>
      <c r="AI113" s="133"/>
      <c r="AJ113" s="170"/>
      <c r="AK113" s="133"/>
      <c r="AL113" s="133"/>
      <c r="BE113" s="1"/>
    </row>
    <row r="114" spans="1:57" ht="15.95" hidden="1" customHeight="1" x14ac:dyDescent="0.25">
      <c r="A114" s="166" t="s">
        <v>82</v>
      </c>
      <c r="B114" s="167" t="s">
        <v>30</v>
      </c>
      <c r="C114" s="141">
        <f t="shared" ref="C114:AG114" si="108">IF(C15=$R32,$V32*24,IF(C15=$R33,$V33*24,IF(C15=$R34,$V34*24,IF(C15=$R35,$V35*24,IF(C15=$R36,$V36*24,IF(C15=$R37,$V37*24,IF(C15=$R38,$V38*24,IF(C15=$R39,$V39*24,IF(C15=$R40,$V40*24,"")))))))))</f>
        <v>19</v>
      </c>
      <c r="D114" s="141">
        <f t="shared" si="108"/>
        <v>6</v>
      </c>
      <c r="E114" s="141">
        <f t="shared" si="108"/>
        <v>6</v>
      </c>
      <c r="F114" s="141" t="str">
        <f t="shared" si="108"/>
        <v/>
      </c>
      <c r="G114" s="141" t="str">
        <f t="shared" si="108"/>
        <v/>
      </c>
      <c r="H114" s="141">
        <f t="shared" si="108"/>
        <v>7</v>
      </c>
      <c r="I114" s="141">
        <f t="shared" si="108"/>
        <v>7</v>
      </c>
      <c r="J114" s="141">
        <f t="shared" si="108"/>
        <v>7</v>
      </c>
      <c r="K114" s="141">
        <f t="shared" si="108"/>
        <v>6</v>
      </c>
      <c r="L114" s="141">
        <f t="shared" si="108"/>
        <v>6</v>
      </c>
      <c r="M114" s="141">
        <f t="shared" si="108"/>
        <v>6</v>
      </c>
      <c r="N114" s="141">
        <f t="shared" si="108"/>
        <v>6</v>
      </c>
      <c r="O114" s="141" t="str">
        <f t="shared" si="108"/>
        <v/>
      </c>
      <c r="P114" s="141" t="str">
        <f t="shared" si="108"/>
        <v/>
      </c>
      <c r="Q114" s="141" t="str">
        <f t="shared" si="108"/>
        <v/>
      </c>
      <c r="R114" s="141" t="str">
        <f t="shared" si="108"/>
        <v/>
      </c>
      <c r="S114" s="141" t="str">
        <f t="shared" si="108"/>
        <v/>
      </c>
      <c r="T114" s="141">
        <f t="shared" si="108"/>
        <v>19</v>
      </c>
      <c r="U114" s="141">
        <f t="shared" si="108"/>
        <v>19</v>
      </c>
      <c r="V114" s="141">
        <f t="shared" si="108"/>
        <v>19</v>
      </c>
      <c r="W114" s="141">
        <f t="shared" si="108"/>
        <v>19</v>
      </c>
      <c r="X114" s="141">
        <f t="shared" si="108"/>
        <v>19</v>
      </c>
      <c r="Y114" s="141" t="str">
        <f t="shared" si="108"/>
        <v/>
      </c>
      <c r="Z114" s="141">
        <f t="shared" si="108"/>
        <v>19</v>
      </c>
      <c r="AA114" s="141">
        <f t="shared" si="108"/>
        <v>6</v>
      </c>
      <c r="AB114" s="141" t="str">
        <f t="shared" si="108"/>
        <v/>
      </c>
      <c r="AC114" s="141" t="str">
        <f t="shared" si="108"/>
        <v/>
      </c>
      <c r="AD114" s="141" t="str">
        <f t="shared" si="108"/>
        <v/>
      </c>
      <c r="AE114" s="141" t="str">
        <f t="shared" si="108"/>
        <v/>
      </c>
      <c r="AF114" s="141">
        <f t="shared" si="108"/>
        <v>6</v>
      </c>
      <c r="AG114" s="141">
        <f t="shared" si="108"/>
        <v>6</v>
      </c>
      <c r="AH114" s="154" t="s">
        <v>12</v>
      </c>
      <c r="AI114" s="133"/>
      <c r="AJ114" s="170"/>
      <c r="AK114" s="133"/>
      <c r="AL114" s="133"/>
    </row>
    <row r="115" spans="1:57" ht="15.95" hidden="1" customHeight="1" x14ac:dyDescent="0.25">
      <c r="A115" s="153"/>
      <c r="B115" s="168" t="s">
        <v>34</v>
      </c>
      <c r="C115" s="169">
        <f t="shared" ref="C115:AD115" si="109">IF(C15=$R32,$BD32*24,IF(C15=$R33,$BD33*24,IF(C15=$R34,$BD34*24,IF(C15=$R35,$BD35*24,IF(C15=$R36,$BD36*24,IF(C15=$R37,$BD37*24,IF(C15=$R38,$BD38*24,IF(C15=$R39,$BD39*24,IF(C15=$R40,$BD40*24,"")))))))))</f>
        <v>0</v>
      </c>
      <c r="D115" s="169">
        <f t="shared" si="109"/>
        <v>8</v>
      </c>
      <c r="E115" s="169">
        <f t="shared" si="109"/>
        <v>8</v>
      </c>
      <c r="F115" s="169" t="str">
        <f t="shared" si="109"/>
        <v/>
      </c>
      <c r="G115" s="169" t="str">
        <f t="shared" si="109"/>
        <v/>
      </c>
      <c r="H115" s="169">
        <f t="shared" si="109"/>
        <v>8</v>
      </c>
      <c r="I115" s="169">
        <f t="shared" si="109"/>
        <v>8</v>
      </c>
      <c r="J115" s="169">
        <f t="shared" si="109"/>
        <v>8</v>
      </c>
      <c r="K115" s="169">
        <f t="shared" si="109"/>
        <v>8</v>
      </c>
      <c r="L115" s="169">
        <f t="shared" si="109"/>
        <v>8</v>
      </c>
      <c r="M115" s="169">
        <f t="shared" si="109"/>
        <v>8</v>
      </c>
      <c r="N115" s="169">
        <f t="shared" si="109"/>
        <v>8</v>
      </c>
      <c r="O115" s="169" t="str">
        <f t="shared" si="109"/>
        <v/>
      </c>
      <c r="P115" s="169" t="str">
        <f t="shared" si="109"/>
        <v/>
      </c>
      <c r="Q115" s="169" t="str">
        <f t="shared" si="109"/>
        <v/>
      </c>
      <c r="R115" s="169" t="str">
        <f t="shared" si="109"/>
        <v/>
      </c>
      <c r="S115" s="169" t="str">
        <f t="shared" si="109"/>
        <v/>
      </c>
      <c r="T115" s="169">
        <f t="shared" si="109"/>
        <v>0</v>
      </c>
      <c r="U115" s="169">
        <f t="shared" si="109"/>
        <v>0</v>
      </c>
      <c r="V115" s="169">
        <f t="shared" si="109"/>
        <v>0</v>
      </c>
      <c r="W115" s="169">
        <f t="shared" si="109"/>
        <v>0</v>
      </c>
      <c r="X115" s="169">
        <f t="shared" si="109"/>
        <v>0</v>
      </c>
      <c r="Y115" s="169" t="str">
        <f t="shared" si="109"/>
        <v/>
      </c>
      <c r="Z115" s="169">
        <f t="shared" si="109"/>
        <v>0</v>
      </c>
      <c r="AA115" s="169">
        <f t="shared" si="109"/>
        <v>8</v>
      </c>
      <c r="AB115" s="169" t="str">
        <f t="shared" si="109"/>
        <v/>
      </c>
      <c r="AC115" s="169" t="str">
        <f t="shared" si="109"/>
        <v/>
      </c>
      <c r="AD115" s="169" t="str">
        <f t="shared" si="109"/>
        <v/>
      </c>
      <c r="AE115" s="169" t="str">
        <f>IF(AE15=$R32,$BD32*24,IF(AE15=$R33,$BD33*24,IF(AE15=$R34,$BD34*24,IF(AE15=$R35,$BD35*24,IF(AE15=$R36,$BD36*24,IF(AE15=$R37,$BD37*24,IF(AE15=$R38,$BD38*24,IF(AE15=$R39,$BD39*24,IF(AE15=$R40,$BD40*24,"")))))))))</f>
        <v/>
      </c>
      <c r="AF115" s="169">
        <f>IF(AF15=$R32,$BD32*24,IF(AF15=$R33,$BD33*24,IF(AF15=$R34,$BD34*24,IF(AF15=$R35,$BD35*24,IF(AF15=$R36,$BD36*24,IF(AF15=$R37,$BD37*24,IF(AF15=$R38,$BD38*24,IF(AF15=$R39,$BD39*24,IF(AF15=$R40,$BD40*24,"")))))))))</f>
        <v>8</v>
      </c>
      <c r="AG115" s="169">
        <f>IF(AG15=$R32,$BD32*24,IF(AG15=$R33,$BD33*24,IF(AG15=$R34,$BD34*24,IF(AG15=$R35,$BD35*24,IF(AG15=$R36,$BD36*24,IF(AG15=$R37,$BD37*24,IF(AG15=$R38,$BD38*24,IF(AG15=$R39,$BD39*24,IF(AG15=$R40,$BD40*24,"")))))))))</f>
        <v>8</v>
      </c>
      <c r="AH115" s="148">
        <f>SUM(C115:AG115)</f>
        <v>96</v>
      </c>
      <c r="AI115" s="133"/>
      <c r="AJ115" s="170"/>
      <c r="AK115" s="133"/>
      <c r="AL115" s="133"/>
    </row>
    <row r="116" spans="1:57" ht="15.95" hidden="1" customHeight="1" x14ac:dyDescent="0.25">
      <c r="A116" s="153"/>
      <c r="B116" s="167" t="s">
        <v>59</v>
      </c>
      <c r="C116" s="141">
        <f t="shared" ref="C116:AG116" si="110">IF(C15="V",$C36,IF(C15="PR",$C38,0))</f>
        <v>0</v>
      </c>
      <c r="D116" s="141">
        <f t="shared" si="110"/>
        <v>0</v>
      </c>
      <c r="E116" s="141">
        <f t="shared" si="110"/>
        <v>0</v>
      </c>
      <c r="F116" s="141">
        <f t="shared" si="110"/>
        <v>0</v>
      </c>
      <c r="G116" s="141">
        <f t="shared" si="110"/>
        <v>0</v>
      </c>
      <c r="H116" s="141">
        <f t="shared" si="110"/>
        <v>0</v>
      </c>
      <c r="I116" s="141">
        <f t="shared" si="110"/>
        <v>0</v>
      </c>
      <c r="J116" s="141">
        <f t="shared" si="110"/>
        <v>0</v>
      </c>
      <c r="K116" s="141">
        <f t="shared" si="110"/>
        <v>0</v>
      </c>
      <c r="L116" s="141">
        <f t="shared" si="110"/>
        <v>0</v>
      </c>
      <c r="M116" s="141">
        <f t="shared" si="110"/>
        <v>0</v>
      </c>
      <c r="N116" s="141">
        <f t="shared" si="110"/>
        <v>0</v>
      </c>
      <c r="O116" s="141">
        <f t="shared" si="110"/>
        <v>0</v>
      </c>
      <c r="P116" s="141">
        <f t="shared" si="110"/>
        <v>0</v>
      </c>
      <c r="Q116" s="141">
        <f t="shared" si="110"/>
        <v>0</v>
      </c>
      <c r="R116" s="141">
        <f t="shared" si="110"/>
        <v>0</v>
      </c>
      <c r="S116" s="141">
        <f t="shared" si="110"/>
        <v>0</v>
      </c>
      <c r="T116" s="141">
        <f t="shared" si="110"/>
        <v>0</v>
      </c>
      <c r="U116" s="141">
        <f t="shared" si="110"/>
        <v>0</v>
      </c>
      <c r="V116" s="141">
        <f t="shared" si="110"/>
        <v>0</v>
      </c>
      <c r="W116" s="141">
        <f t="shared" si="110"/>
        <v>0</v>
      </c>
      <c r="X116" s="141">
        <f t="shared" si="110"/>
        <v>0</v>
      </c>
      <c r="Y116" s="141">
        <f t="shared" si="110"/>
        <v>0</v>
      </c>
      <c r="Z116" s="141">
        <f t="shared" si="110"/>
        <v>0</v>
      </c>
      <c r="AA116" s="141">
        <f t="shared" si="110"/>
        <v>0</v>
      </c>
      <c r="AB116" s="141">
        <f t="shared" si="110"/>
        <v>0</v>
      </c>
      <c r="AC116" s="141">
        <f t="shared" si="110"/>
        <v>0</v>
      </c>
      <c r="AD116" s="141">
        <f t="shared" si="110"/>
        <v>0</v>
      </c>
      <c r="AE116" s="141">
        <f t="shared" si="110"/>
        <v>0</v>
      </c>
      <c r="AF116" s="141">
        <f t="shared" si="110"/>
        <v>0</v>
      </c>
      <c r="AG116" s="141">
        <f t="shared" si="110"/>
        <v>0</v>
      </c>
      <c r="AH116" s="226">
        <f>SUM(C116:AG116)</f>
        <v>0</v>
      </c>
      <c r="AI116" s="226"/>
      <c r="AJ116" s="230">
        <f>SUM(AH61+AH72+AH83+AH94+AH105+AH116)</f>
        <v>0</v>
      </c>
      <c r="AK116" s="230"/>
      <c r="AL116" s="133" t="s">
        <v>56</v>
      </c>
    </row>
    <row r="117" spans="1:57" ht="15.95" hidden="1" customHeight="1" x14ac:dyDescent="0.25">
      <c r="A117" s="150" t="s">
        <v>60</v>
      </c>
      <c r="B117" s="167" t="s">
        <v>61</v>
      </c>
      <c r="C117" s="151">
        <f t="shared" ref="C117:AD117" si="111">IF(C15=$R32,$BC32,IF(C15=$R33,$BC33,IF(C15=$R34,$BC34,IF(C15=$R35,$BC35,IF(C15=$R36,$BC36,IF(C15=$R37,$BC37,IF(C15=$R38,$BC38,IF(C15=$R39,$BC39,IF(C15=$R40,$BC40,0)))))))))</f>
        <v>11.999999999999998</v>
      </c>
      <c r="D117" s="151">
        <f t="shared" si="111"/>
        <v>12</v>
      </c>
      <c r="E117" s="151">
        <f t="shared" si="111"/>
        <v>12</v>
      </c>
      <c r="F117" s="151">
        <f t="shared" si="111"/>
        <v>0</v>
      </c>
      <c r="G117" s="151">
        <f t="shared" si="111"/>
        <v>0</v>
      </c>
      <c r="H117" s="151">
        <f t="shared" si="111"/>
        <v>12</v>
      </c>
      <c r="I117" s="151">
        <f t="shared" si="111"/>
        <v>12</v>
      </c>
      <c r="J117" s="151">
        <f t="shared" si="111"/>
        <v>12</v>
      </c>
      <c r="K117" s="151">
        <f t="shared" si="111"/>
        <v>12</v>
      </c>
      <c r="L117" s="151">
        <f t="shared" si="111"/>
        <v>12</v>
      </c>
      <c r="M117" s="151">
        <f t="shared" si="111"/>
        <v>12</v>
      </c>
      <c r="N117" s="151">
        <f t="shared" si="111"/>
        <v>12</v>
      </c>
      <c r="O117" s="151">
        <f t="shared" si="111"/>
        <v>0</v>
      </c>
      <c r="P117" s="151">
        <f t="shared" si="111"/>
        <v>0</v>
      </c>
      <c r="Q117" s="151">
        <f t="shared" si="111"/>
        <v>0</v>
      </c>
      <c r="R117" s="151">
        <f t="shared" si="111"/>
        <v>0</v>
      </c>
      <c r="S117" s="151">
        <f t="shared" si="111"/>
        <v>0</v>
      </c>
      <c r="T117" s="151">
        <f t="shared" si="111"/>
        <v>11.999999999999998</v>
      </c>
      <c r="U117" s="151">
        <f t="shared" si="111"/>
        <v>11.999999999999998</v>
      </c>
      <c r="V117" s="151">
        <f t="shared" si="111"/>
        <v>11.999999999999998</v>
      </c>
      <c r="W117" s="151">
        <f t="shared" si="111"/>
        <v>11.999999999999998</v>
      </c>
      <c r="X117" s="151">
        <f t="shared" si="111"/>
        <v>11.999999999999998</v>
      </c>
      <c r="Y117" s="151">
        <f t="shared" si="111"/>
        <v>0</v>
      </c>
      <c r="Z117" s="151">
        <f t="shared" si="111"/>
        <v>11.999999999999998</v>
      </c>
      <c r="AA117" s="151">
        <f t="shared" si="111"/>
        <v>12</v>
      </c>
      <c r="AB117" s="151">
        <f t="shared" si="111"/>
        <v>0</v>
      </c>
      <c r="AC117" s="151">
        <f t="shared" si="111"/>
        <v>0</v>
      </c>
      <c r="AD117" s="151">
        <f t="shared" si="111"/>
        <v>0</v>
      </c>
      <c r="AE117" s="151">
        <f>IF(AE15=$R32,$BC32,IF(AE15=$R33,$BC33,IF(AE15=$R34,$BC34,IF(AE15=$R35,$BC35,IF(AE15=$R36,$BC36,IF(AE15=$R37,$BC37,IF(AE15=$R38,$BC38,IF(AE15=$R39,$BC39,IF(AE15=$R40,$BC40,0)))))))))</f>
        <v>0</v>
      </c>
      <c r="AF117" s="151">
        <f>IF(AF15=$R32,$BC32,IF(AF15=$R33,$BC33,IF(AF15=$R34,$BC34,IF(AF15=$R35,$BC35,IF(AF15=$R36,$BC36,IF(AF15=$R37,$BC37,IF(AF15=$R38,$BC38,IF(AF15=$R39,$BC39,IF(AF15=$R40,$BC40,0)))))))))</f>
        <v>12</v>
      </c>
      <c r="AG117" s="151">
        <f>IF(AG15=$R32,$BC32,IF(AG15=$R33,$BC33,IF(AG15=$R34,$BC34,IF(AG15=$R35,$BC35,IF(AG15=$R36,$BC36,IF(AG15=$R37,$BC37,IF(AG15=$R38,$BC38,IF(AG15=$R39,$BC39,IF(AG15=$R40,$BC40,0)))))))))</f>
        <v>12</v>
      </c>
      <c r="AH117" s="226">
        <f>SUM(C117:AG117)</f>
        <v>228</v>
      </c>
      <c r="AI117" s="226"/>
      <c r="AJ117" s="174" t="s">
        <v>62</v>
      </c>
      <c r="AK117" s="133" t="s">
        <v>12</v>
      </c>
      <c r="AL117" s="133"/>
    </row>
    <row r="118" spans="1:57" ht="15.95" hidden="1" customHeight="1" x14ac:dyDescent="0.25">
      <c r="A118" s="153" t="s">
        <v>48</v>
      </c>
      <c r="B118" s="149" t="s">
        <v>63</v>
      </c>
      <c r="C118" s="141">
        <f t="shared" ref="C118:AG118" si="112">IF(C46=1,IF(C113&lt;C114,C117,0))</f>
        <v>11.999999999999998</v>
      </c>
      <c r="D118" s="141" t="b">
        <f t="shared" si="112"/>
        <v>0</v>
      </c>
      <c r="E118" s="141" t="b">
        <f t="shared" si="112"/>
        <v>0</v>
      </c>
      <c r="F118" s="141" t="b">
        <f t="shared" si="112"/>
        <v>0</v>
      </c>
      <c r="G118" s="141" t="b">
        <f t="shared" si="112"/>
        <v>0</v>
      </c>
      <c r="H118" s="141" t="b">
        <f t="shared" si="112"/>
        <v>0</v>
      </c>
      <c r="I118" s="141">
        <f t="shared" si="112"/>
        <v>0</v>
      </c>
      <c r="J118" s="141">
        <f t="shared" si="112"/>
        <v>0</v>
      </c>
      <c r="K118" s="141" t="b">
        <f t="shared" si="112"/>
        <v>0</v>
      </c>
      <c r="L118" s="141" t="b">
        <f t="shared" si="112"/>
        <v>0</v>
      </c>
      <c r="M118" s="141" t="b">
        <f t="shared" si="112"/>
        <v>0</v>
      </c>
      <c r="N118" s="141" t="b">
        <f t="shared" si="112"/>
        <v>0</v>
      </c>
      <c r="O118" s="141" t="b">
        <f t="shared" si="112"/>
        <v>0</v>
      </c>
      <c r="P118" s="141">
        <f t="shared" si="112"/>
        <v>0</v>
      </c>
      <c r="Q118" s="141">
        <f t="shared" si="112"/>
        <v>0</v>
      </c>
      <c r="R118" s="141" t="b">
        <f t="shared" si="112"/>
        <v>0</v>
      </c>
      <c r="S118" s="141" t="b">
        <f t="shared" si="112"/>
        <v>0</v>
      </c>
      <c r="T118" s="141" t="b">
        <f t="shared" si="112"/>
        <v>0</v>
      </c>
      <c r="U118" s="141" t="b">
        <f t="shared" si="112"/>
        <v>0</v>
      </c>
      <c r="V118" s="141" t="b">
        <f t="shared" si="112"/>
        <v>0</v>
      </c>
      <c r="W118" s="141">
        <f t="shared" si="112"/>
        <v>11.999999999999998</v>
      </c>
      <c r="X118" s="141">
        <f t="shared" si="112"/>
        <v>11.999999999999998</v>
      </c>
      <c r="Y118" s="141" t="b">
        <f t="shared" si="112"/>
        <v>0</v>
      </c>
      <c r="Z118" s="141" t="b">
        <f t="shared" si="112"/>
        <v>0</v>
      </c>
      <c r="AA118" s="141" t="b">
        <f t="shared" si="112"/>
        <v>0</v>
      </c>
      <c r="AB118" s="141" t="b">
        <f t="shared" si="112"/>
        <v>0</v>
      </c>
      <c r="AC118" s="141" t="b">
        <f t="shared" si="112"/>
        <v>0</v>
      </c>
      <c r="AD118" s="141">
        <f t="shared" si="112"/>
        <v>0</v>
      </c>
      <c r="AE118" s="141">
        <f t="shared" si="112"/>
        <v>0</v>
      </c>
      <c r="AF118" s="141" t="b">
        <f t="shared" si="112"/>
        <v>0</v>
      </c>
      <c r="AG118" s="141" t="b">
        <f t="shared" si="112"/>
        <v>0</v>
      </c>
      <c r="AH118" s="154" t="s">
        <v>12</v>
      </c>
      <c r="AI118" s="133"/>
      <c r="AJ118" s="170"/>
      <c r="AK118" s="133"/>
      <c r="AL118" s="133"/>
    </row>
    <row r="119" spans="1:57" ht="15.95" hidden="1" customHeight="1" x14ac:dyDescent="0.25">
      <c r="A119" s="176"/>
      <c r="B119" s="149" t="s">
        <v>64</v>
      </c>
      <c r="C119" s="141">
        <f t="shared" ref="C119:AG119" si="113">IF(C46=1,IF(C113&gt;C114,24-C113,0),0)</f>
        <v>0</v>
      </c>
      <c r="D119" s="141">
        <f t="shared" si="113"/>
        <v>0</v>
      </c>
      <c r="E119" s="141">
        <f t="shared" si="113"/>
        <v>0</v>
      </c>
      <c r="F119" s="141">
        <f t="shared" si="113"/>
        <v>0</v>
      </c>
      <c r="G119" s="141">
        <f t="shared" si="113"/>
        <v>0</v>
      </c>
      <c r="H119" s="141">
        <f t="shared" si="113"/>
        <v>0</v>
      </c>
      <c r="I119" s="141">
        <f t="shared" si="113"/>
        <v>5</v>
      </c>
      <c r="J119" s="141">
        <f t="shared" si="113"/>
        <v>5</v>
      </c>
      <c r="K119" s="141">
        <f t="shared" si="113"/>
        <v>0</v>
      </c>
      <c r="L119" s="141">
        <f t="shared" si="113"/>
        <v>0</v>
      </c>
      <c r="M119" s="141">
        <f t="shared" si="113"/>
        <v>0</v>
      </c>
      <c r="N119" s="141">
        <f t="shared" si="113"/>
        <v>0</v>
      </c>
      <c r="O119" s="141">
        <f t="shared" si="113"/>
        <v>0</v>
      </c>
      <c r="P119" s="141">
        <f t="shared" si="113"/>
        <v>0</v>
      </c>
      <c r="Q119" s="141">
        <f t="shared" si="113"/>
        <v>0</v>
      </c>
      <c r="R119" s="141">
        <f t="shared" si="113"/>
        <v>0</v>
      </c>
      <c r="S119" s="141">
        <f t="shared" si="113"/>
        <v>0</v>
      </c>
      <c r="T119" s="141">
        <f t="shared" si="113"/>
        <v>0</v>
      </c>
      <c r="U119" s="141">
        <f t="shared" si="113"/>
        <v>0</v>
      </c>
      <c r="V119" s="141">
        <f t="shared" si="113"/>
        <v>0</v>
      </c>
      <c r="W119" s="141">
        <f t="shared" si="113"/>
        <v>0</v>
      </c>
      <c r="X119" s="141">
        <f t="shared" si="113"/>
        <v>0</v>
      </c>
      <c r="Y119" s="141">
        <f t="shared" si="113"/>
        <v>0</v>
      </c>
      <c r="Z119" s="141">
        <f t="shared" si="113"/>
        <v>0</v>
      </c>
      <c r="AA119" s="141">
        <f t="shared" si="113"/>
        <v>0</v>
      </c>
      <c r="AB119" s="141">
        <f t="shared" si="113"/>
        <v>0</v>
      </c>
      <c r="AC119" s="141">
        <f t="shared" si="113"/>
        <v>0</v>
      </c>
      <c r="AD119" s="141">
        <f t="shared" si="113"/>
        <v>0</v>
      </c>
      <c r="AE119" s="141">
        <f t="shared" si="113"/>
        <v>0</v>
      </c>
      <c r="AF119" s="141">
        <f t="shared" si="113"/>
        <v>0</v>
      </c>
      <c r="AG119" s="141">
        <f t="shared" si="113"/>
        <v>0</v>
      </c>
      <c r="AH119" s="154" t="s">
        <v>12</v>
      </c>
      <c r="AI119" s="133"/>
      <c r="AJ119" s="170"/>
      <c r="AK119" s="133"/>
      <c r="AL119" s="133"/>
    </row>
    <row r="120" spans="1:57" ht="15.95" hidden="1" customHeight="1" x14ac:dyDescent="0.25">
      <c r="A120" s="176"/>
      <c r="B120" s="149" t="s">
        <v>65</v>
      </c>
      <c r="C120" s="141">
        <f t="shared" ref="C120:AG120" si="114">IF(D46=1,IF(C113&gt;C114,C114,0),0)</f>
        <v>0</v>
      </c>
      <c r="D120" s="141">
        <f t="shared" si="114"/>
        <v>0</v>
      </c>
      <c r="E120" s="141">
        <f t="shared" si="114"/>
        <v>0</v>
      </c>
      <c r="F120" s="141">
        <f t="shared" si="114"/>
        <v>0</v>
      </c>
      <c r="G120" s="141">
        <f t="shared" si="114"/>
        <v>0</v>
      </c>
      <c r="H120" s="141">
        <f t="shared" si="114"/>
        <v>7</v>
      </c>
      <c r="I120" s="141">
        <f t="shared" si="114"/>
        <v>7</v>
      </c>
      <c r="J120" s="141">
        <f t="shared" si="114"/>
        <v>0</v>
      </c>
      <c r="K120" s="141">
        <f t="shared" si="114"/>
        <v>0</v>
      </c>
      <c r="L120" s="141">
        <f t="shared" si="114"/>
        <v>0</v>
      </c>
      <c r="M120" s="141">
        <f t="shared" si="114"/>
        <v>0</v>
      </c>
      <c r="N120" s="141">
        <f t="shared" si="114"/>
        <v>0</v>
      </c>
      <c r="O120" s="141">
        <f t="shared" si="114"/>
        <v>0</v>
      </c>
      <c r="P120" s="141">
        <f t="shared" si="114"/>
        <v>0</v>
      </c>
      <c r="Q120" s="141">
        <f t="shared" si="114"/>
        <v>0</v>
      </c>
      <c r="R120" s="141">
        <f t="shared" si="114"/>
        <v>0</v>
      </c>
      <c r="S120" s="141">
        <f t="shared" si="114"/>
        <v>0</v>
      </c>
      <c r="T120" s="141">
        <f t="shared" si="114"/>
        <v>0</v>
      </c>
      <c r="U120" s="141">
        <f t="shared" si="114"/>
        <v>0</v>
      </c>
      <c r="V120" s="141">
        <f t="shared" si="114"/>
        <v>0</v>
      </c>
      <c r="W120" s="141">
        <f t="shared" si="114"/>
        <v>0</v>
      </c>
      <c r="X120" s="141">
        <f>IF(Y46=1,IF(X113&gt;X114,X114,0),0)</f>
        <v>0</v>
      </c>
      <c r="Y120" s="141">
        <f t="shared" si="114"/>
        <v>0</v>
      </c>
      <c r="Z120" s="141">
        <f t="shared" si="114"/>
        <v>0</v>
      </c>
      <c r="AA120" s="141">
        <f t="shared" si="114"/>
        <v>0</v>
      </c>
      <c r="AB120" s="141">
        <f t="shared" si="114"/>
        <v>0</v>
      </c>
      <c r="AC120" s="141">
        <f t="shared" si="114"/>
        <v>0</v>
      </c>
      <c r="AD120" s="141">
        <f t="shared" si="114"/>
        <v>0</v>
      </c>
      <c r="AE120" s="141">
        <f t="shared" si="114"/>
        <v>0</v>
      </c>
      <c r="AF120" s="141">
        <f t="shared" si="114"/>
        <v>0</v>
      </c>
      <c r="AG120" s="141">
        <f t="shared" si="114"/>
        <v>0</v>
      </c>
      <c r="AH120" s="154" t="s">
        <v>12</v>
      </c>
      <c r="AI120" s="133"/>
      <c r="AJ120" s="170"/>
      <c r="AK120" s="133"/>
      <c r="AL120" s="133"/>
    </row>
    <row r="121" spans="1:57" ht="15.95" hidden="1" customHeight="1" x14ac:dyDescent="0.25">
      <c r="A121" s="176"/>
      <c r="B121" s="149" t="s">
        <v>67</v>
      </c>
      <c r="C121" s="171">
        <f t="shared" ref="C121:AG121" si="115">SUM(C118:C120)</f>
        <v>11.999999999999998</v>
      </c>
      <c r="D121" s="171">
        <f t="shared" si="115"/>
        <v>0</v>
      </c>
      <c r="E121" s="171">
        <f t="shared" si="115"/>
        <v>0</v>
      </c>
      <c r="F121" s="171">
        <f t="shared" si="115"/>
        <v>0</v>
      </c>
      <c r="G121" s="171">
        <f t="shared" si="115"/>
        <v>0</v>
      </c>
      <c r="H121" s="171">
        <f t="shared" si="115"/>
        <v>7</v>
      </c>
      <c r="I121" s="171">
        <f t="shared" si="115"/>
        <v>12</v>
      </c>
      <c r="J121" s="171">
        <f t="shared" si="115"/>
        <v>5</v>
      </c>
      <c r="K121" s="171">
        <f t="shared" si="115"/>
        <v>0</v>
      </c>
      <c r="L121" s="171">
        <f t="shared" si="115"/>
        <v>0</v>
      </c>
      <c r="M121" s="171">
        <f t="shared" si="115"/>
        <v>0</v>
      </c>
      <c r="N121" s="171">
        <f t="shared" si="115"/>
        <v>0</v>
      </c>
      <c r="O121" s="171">
        <f t="shared" si="115"/>
        <v>0</v>
      </c>
      <c r="P121" s="171">
        <f t="shared" si="115"/>
        <v>0</v>
      </c>
      <c r="Q121" s="171">
        <f t="shared" si="115"/>
        <v>0</v>
      </c>
      <c r="R121" s="171">
        <f t="shared" si="115"/>
        <v>0</v>
      </c>
      <c r="S121" s="171">
        <f t="shared" si="115"/>
        <v>0</v>
      </c>
      <c r="T121" s="171">
        <f t="shared" si="115"/>
        <v>0</v>
      </c>
      <c r="U121" s="171">
        <f t="shared" si="115"/>
        <v>0</v>
      </c>
      <c r="V121" s="171">
        <f t="shared" si="115"/>
        <v>0</v>
      </c>
      <c r="W121" s="171">
        <f t="shared" si="115"/>
        <v>11.999999999999998</v>
      </c>
      <c r="X121" s="171">
        <f t="shared" si="115"/>
        <v>11.999999999999998</v>
      </c>
      <c r="Y121" s="171">
        <f t="shared" si="115"/>
        <v>0</v>
      </c>
      <c r="Z121" s="171">
        <f t="shared" si="115"/>
        <v>0</v>
      </c>
      <c r="AA121" s="171">
        <f t="shared" si="115"/>
        <v>0</v>
      </c>
      <c r="AB121" s="171">
        <f t="shared" si="115"/>
        <v>0</v>
      </c>
      <c r="AC121" s="171">
        <f t="shared" si="115"/>
        <v>0</v>
      </c>
      <c r="AD121" s="171">
        <f t="shared" si="115"/>
        <v>0</v>
      </c>
      <c r="AE121" s="171">
        <f t="shared" si="115"/>
        <v>0</v>
      </c>
      <c r="AF121" s="171">
        <f t="shared" si="115"/>
        <v>0</v>
      </c>
      <c r="AG121" s="171">
        <f t="shared" si="115"/>
        <v>0</v>
      </c>
      <c r="AH121" s="154" t="s">
        <v>12</v>
      </c>
      <c r="AI121" s="133"/>
      <c r="AJ121" s="170"/>
      <c r="AK121" s="133"/>
      <c r="AL121" s="133"/>
    </row>
    <row r="122" spans="1:57" ht="15.95" hidden="1" customHeight="1" x14ac:dyDescent="0.25">
      <c r="A122" s="177"/>
      <c r="B122" s="160" t="s">
        <v>68</v>
      </c>
      <c r="C122" s="182">
        <f t="shared" ref="C122:AG122" si="116">IF(C15="V",IF(C15="",0,1),0)</f>
        <v>0</v>
      </c>
      <c r="D122" s="182">
        <f t="shared" si="116"/>
        <v>0</v>
      </c>
      <c r="E122" s="182">
        <f t="shared" si="116"/>
        <v>0</v>
      </c>
      <c r="F122" s="182">
        <f t="shared" si="116"/>
        <v>0</v>
      </c>
      <c r="G122" s="182">
        <f t="shared" si="116"/>
        <v>0</v>
      </c>
      <c r="H122" s="182">
        <f t="shared" si="116"/>
        <v>0</v>
      </c>
      <c r="I122" s="182">
        <f t="shared" si="116"/>
        <v>0</v>
      </c>
      <c r="J122" s="182">
        <f t="shared" si="116"/>
        <v>0</v>
      </c>
      <c r="K122" s="182">
        <f t="shared" si="116"/>
        <v>0</v>
      </c>
      <c r="L122" s="182">
        <f t="shared" si="116"/>
        <v>0</v>
      </c>
      <c r="M122" s="182">
        <f t="shared" si="116"/>
        <v>0</v>
      </c>
      <c r="N122" s="182">
        <f t="shared" si="116"/>
        <v>0</v>
      </c>
      <c r="O122" s="182">
        <f t="shared" si="116"/>
        <v>0</v>
      </c>
      <c r="P122" s="182">
        <f t="shared" si="116"/>
        <v>0</v>
      </c>
      <c r="Q122" s="182">
        <f t="shared" si="116"/>
        <v>0</v>
      </c>
      <c r="R122" s="182">
        <f t="shared" si="116"/>
        <v>0</v>
      </c>
      <c r="S122" s="182">
        <f t="shared" si="116"/>
        <v>0</v>
      </c>
      <c r="T122" s="182">
        <f t="shared" si="116"/>
        <v>0</v>
      </c>
      <c r="U122" s="182">
        <f t="shared" si="116"/>
        <v>0</v>
      </c>
      <c r="V122" s="182">
        <f t="shared" si="116"/>
        <v>0</v>
      </c>
      <c r="W122" s="182">
        <f t="shared" si="116"/>
        <v>0</v>
      </c>
      <c r="X122" s="182">
        <f t="shared" si="116"/>
        <v>0</v>
      </c>
      <c r="Y122" s="182">
        <f t="shared" si="116"/>
        <v>0</v>
      </c>
      <c r="Z122" s="182">
        <f t="shared" si="116"/>
        <v>0</v>
      </c>
      <c r="AA122" s="182">
        <f t="shared" si="116"/>
        <v>0</v>
      </c>
      <c r="AB122" s="182">
        <f t="shared" si="116"/>
        <v>0</v>
      </c>
      <c r="AC122" s="182">
        <f t="shared" si="116"/>
        <v>0</v>
      </c>
      <c r="AD122" s="182">
        <f t="shared" si="116"/>
        <v>0</v>
      </c>
      <c r="AE122" s="182">
        <f t="shared" si="116"/>
        <v>0</v>
      </c>
      <c r="AF122" s="182">
        <f t="shared" si="116"/>
        <v>0</v>
      </c>
      <c r="AG122" s="182">
        <f t="shared" si="116"/>
        <v>0</v>
      </c>
      <c r="AH122" s="154" t="s">
        <v>12</v>
      </c>
      <c r="AI122" s="133"/>
      <c r="AJ122" s="170"/>
      <c r="AK122" s="133"/>
      <c r="AL122" s="133"/>
    </row>
    <row r="123" spans="1:57" ht="15.95" hidden="1" customHeight="1" x14ac:dyDescent="0.25">
      <c r="A123" s="180"/>
      <c r="B123" s="181" t="s">
        <v>16</v>
      </c>
      <c r="C123" s="182">
        <f t="shared" ref="C123:AG123" si="117">IF(C15="PR",IF(C15="",0,1),0)</f>
        <v>0</v>
      </c>
      <c r="D123" s="182">
        <f t="shared" si="117"/>
        <v>0</v>
      </c>
      <c r="E123" s="182">
        <f t="shared" si="117"/>
        <v>0</v>
      </c>
      <c r="F123" s="182">
        <f t="shared" si="117"/>
        <v>0</v>
      </c>
      <c r="G123" s="182">
        <f t="shared" si="117"/>
        <v>0</v>
      </c>
      <c r="H123" s="182">
        <f t="shared" si="117"/>
        <v>0</v>
      </c>
      <c r="I123" s="182">
        <f t="shared" si="117"/>
        <v>0</v>
      </c>
      <c r="J123" s="182">
        <f t="shared" si="117"/>
        <v>0</v>
      </c>
      <c r="K123" s="182">
        <f t="shared" si="117"/>
        <v>0</v>
      </c>
      <c r="L123" s="182">
        <f t="shared" si="117"/>
        <v>0</v>
      </c>
      <c r="M123" s="182">
        <f t="shared" si="117"/>
        <v>0</v>
      </c>
      <c r="N123" s="182">
        <f t="shared" si="117"/>
        <v>0</v>
      </c>
      <c r="O123" s="182">
        <f t="shared" si="117"/>
        <v>0</v>
      </c>
      <c r="P123" s="182">
        <f t="shared" si="117"/>
        <v>0</v>
      </c>
      <c r="Q123" s="182">
        <f t="shared" si="117"/>
        <v>0</v>
      </c>
      <c r="R123" s="182">
        <f t="shared" si="117"/>
        <v>0</v>
      </c>
      <c r="S123" s="182">
        <f t="shared" si="117"/>
        <v>0</v>
      </c>
      <c r="T123" s="182">
        <f t="shared" si="117"/>
        <v>0</v>
      </c>
      <c r="U123" s="182">
        <f t="shared" si="117"/>
        <v>0</v>
      </c>
      <c r="V123" s="182">
        <f t="shared" si="117"/>
        <v>0</v>
      </c>
      <c r="W123" s="182">
        <f t="shared" si="117"/>
        <v>0</v>
      </c>
      <c r="X123" s="182">
        <f t="shared" si="117"/>
        <v>0</v>
      </c>
      <c r="Y123" s="182">
        <f t="shared" si="117"/>
        <v>0</v>
      </c>
      <c r="Z123" s="182">
        <f t="shared" si="117"/>
        <v>0</v>
      </c>
      <c r="AA123" s="182">
        <f t="shared" si="117"/>
        <v>0</v>
      </c>
      <c r="AB123" s="182">
        <f t="shared" si="117"/>
        <v>0</v>
      </c>
      <c r="AC123" s="182">
        <f t="shared" si="117"/>
        <v>0</v>
      </c>
      <c r="AD123" s="182">
        <f t="shared" si="117"/>
        <v>0</v>
      </c>
      <c r="AE123" s="182">
        <f t="shared" si="117"/>
        <v>0</v>
      </c>
      <c r="AF123" s="182">
        <f t="shared" si="117"/>
        <v>0</v>
      </c>
      <c r="AG123" s="182">
        <f t="shared" si="117"/>
        <v>0</v>
      </c>
      <c r="AH123" s="227">
        <f>SUM(C123:AG123)</f>
        <v>0</v>
      </c>
      <c r="AI123" s="227"/>
      <c r="AJ123" s="174" t="s">
        <v>69</v>
      </c>
      <c r="AK123" s="133"/>
      <c r="AL123" s="133"/>
    </row>
    <row r="124" spans="1:57" ht="15.95" hidden="1" customHeight="1" x14ac:dyDescent="0.25">
      <c r="A124" s="164" t="s">
        <v>83</v>
      </c>
      <c r="B124" s="165" t="s">
        <v>29</v>
      </c>
      <c r="C124" s="141">
        <f t="shared" ref="C124:AG124" si="118">IF(C16=$R32,$S32*24,IF(C16=$R33,$S33*24,IF(C16=$R34,$S34*24,IF(C16=$R35,$S35*24,IF(C16=$R36,$S36*24,IF(C16=$R37,$S37*24,IF(C16=$R38,$S38*24,IF(C16=$R39,$S39*24,IF(C16=$R40,$S40*24,"")))))))))</f>
        <v>18</v>
      </c>
      <c r="D124" s="141" t="str">
        <f t="shared" si="118"/>
        <v/>
      </c>
      <c r="E124" s="141" t="str">
        <f t="shared" si="118"/>
        <v/>
      </c>
      <c r="F124" s="141">
        <f t="shared" si="118"/>
        <v>7</v>
      </c>
      <c r="G124" s="141">
        <f t="shared" si="118"/>
        <v>7</v>
      </c>
      <c r="H124" s="141" t="str">
        <f t="shared" si="118"/>
        <v/>
      </c>
      <c r="I124" s="141" t="str">
        <f t="shared" si="118"/>
        <v/>
      </c>
      <c r="J124" s="141" t="str">
        <f t="shared" si="118"/>
        <v/>
      </c>
      <c r="K124" s="141">
        <f t="shared" si="118"/>
        <v>7</v>
      </c>
      <c r="L124" s="141">
        <f t="shared" si="118"/>
        <v>7</v>
      </c>
      <c r="M124" s="141" t="str">
        <f t="shared" si="118"/>
        <v/>
      </c>
      <c r="N124" s="141" t="str">
        <f t="shared" si="118"/>
        <v/>
      </c>
      <c r="O124" s="141">
        <f t="shared" si="118"/>
        <v>7</v>
      </c>
      <c r="P124" s="141">
        <f t="shared" si="118"/>
        <v>7</v>
      </c>
      <c r="Q124" s="141">
        <f t="shared" si="118"/>
        <v>7</v>
      </c>
      <c r="R124" s="141" t="str">
        <f t="shared" si="118"/>
        <v/>
      </c>
      <c r="S124" s="141">
        <f t="shared" si="118"/>
        <v>18</v>
      </c>
      <c r="T124" s="141">
        <f t="shared" si="118"/>
        <v>18</v>
      </c>
      <c r="U124" s="141">
        <f t="shared" si="118"/>
        <v>18</v>
      </c>
      <c r="V124" s="141">
        <f t="shared" si="118"/>
        <v>18</v>
      </c>
      <c r="W124" s="141">
        <f t="shared" si="118"/>
        <v>18</v>
      </c>
      <c r="X124" s="141">
        <f t="shared" si="118"/>
        <v>18</v>
      </c>
      <c r="Y124" s="141" t="str">
        <f t="shared" si="118"/>
        <v/>
      </c>
      <c r="Z124" s="141" t="str">
        <f t="shared" si="118"/>
        <v/>
      </c>
      <c r="AA124" s="141">
        <f t="shared" si="118"/>
        <v>22</v>
      </c>
      <c r="AB124" s="141">
        <f t="shared" si="118"/>
        <v>18</v>
      </c>
      <c r="AC124" s="141" t="str">
        <f t="shared" si="118"/>
        <v/>
      </c>
      <c r="AD124" s="141" t="str">
        <f t="shared" si="118"/>
        <v/>
      </c>
      <c r="AE124" s="141" t="str">
        <f t="shared" si="118"/>
        <v/>
      </c>
      <c r="AF124" s="141" t="str">
        <f t="shared" si="118"/>
        <v/>
      </c>
      <c r="AG124" s="141" t="str">
        <f t="shared" si="118"/>
        <v/>
      </c>
      <c r="AH124" s="154" t="s">
        <v>12</v>
      </c>
      <c r="AI124" s="133"/>
      <c r="AJ124" s="170"/>
      <c r="AK124" s="133"/>
      <c r="AL124" s="133"/>
    </row>
    <row r="125" spans="1:57" ht="15.95" hidden="1" customHeight="1" x14ac:dyDescent="0.25">
      <c r="A125" s="166" t="s">
        <v>84</v>
      </c>
      <c r="B125" s="167" t="s">
        <v>30</v>
      </c>
      <c r="C125" s="141">
        <f t="shared" ref="C125:AG125" si="119">IF(C16=$R32,$V32*24,IF(C16=$R33,$V33*24,IF(C16=$R34,$V34*24,IF(C16=$R35,$V35*24,IF(C16=$R36,$V36*24,IF(C16=$R37,$V37*24,IF(C16=$R38,$V38*24,IF(C16=$R39,$V39*24,IF(C16=$R40,$V40*24,"")))))))))</f>
        <v>6</v>
      </c>
      <c r="D125" s="141" t="str">
        <f t="shared" si="119"/>
        <v/>
      </c>
      <c r="E125" s="141" t="str">
        <f t="shared" si="119"/>
        <v/>
      </c>
      <c r="F125" s="141">
        <f t="shared" si="119"/>
        <v>19</v>
      </c>
      <c r="G125" s="141">
        <f t="shared" si="119"/>
        <v>19</v>
      </c>
      <c r="H125" s="141" t="str">
        <f t="shared" si="119"/>
        <v/>
      </c>
      <c r="I125" s="141" t="str">
        <f t="shared" si="119"/>
        <v/>
      </c>
      <c r="J125" s="141" t="str">
        <f t="shared" si="119"/>
        <v/>
      </c>
      <c r="K125" s="141">
        <f t="shared" si="119"/>
        <v>19</v>
      </c>
      <c r="L125" s="141">
        <f t="shared" si="119"/>
        <v>19</v>
      </c>
      <c r="M125" s="141" t="str">
        <f t="shared" si="119"/>
        <v/>
      </c>
      <c r="N125" s="141" t="str">
        <f t="shared" si="119"/>
        <v/>
      </c>
      <c r="O125" s="141">
        <f t="shared" si="119"/>
        <v>19</v>
      </c>
      <c r="P125" s="141">
        <f t="shared" si="119"/>
        <v>19</v>
      </c>
      <c r="Q125" s="141">
        <f t="shared" si="119"/>
        <v>19</v>
      </c>
      <c r="R125" s="141" t="str">
        <f t="shared" si="119"/>
        <v/>
      </c>
      <c r="S125" s="141">
        <f t="shared" si="119"/>
        <v>6</v>
      </c>
      <c r="T125" s="141">
        <f t="shared" si="119"/>
        <v>6</v>
      </c>
      <c r="U125" s="141">
        <f t="shared" si="119"/>
        <v>6</v>
      </c>
      <c r="V125" s="141">
        <f t="shared" si="119"/>
        <v>6</v>
      </c>
      <c r="W125" s="141">
        <f t="shared" si="119"/>
        <v>6</v>
      </c>
      <c r="X125" s="141">
        <f t="shared" si="119"/>
        <v>6</v>
      </c>
      <c r="Y125" s="141" t="str">
        <f t="shared" si="119"/>
        <v/>
      </c>
      <c r="Z125" s="141" t="str">
        <f t="shared" si="119"/>
        <v/>
      </c>
      <c r="AA125" s="141">
        <f t="shared" si="119"/>
        <v>6</v>
      </c>
      <c r="AB125" s="141">
        <f t="shared" si="119"/>
        <v>6</v>
      </c>
      <c r="AC125" s="141" t="str">
        <f t="shared" si="119"/>
        <v/>
      </c>
      <c r="AD125" s="141" t="str">
        <f t="shared" si="119"/>
        <v/>
      </c>
      <c r="AE125" s="141" t="str">
        <f t="shared" si="119"/>
        <v/>
      </c>
      <c r="AF125" s="141" t="str">
        <f t="shared" si="119"/>
        <v/>
      </c>
      <c r="AG125" s="141" t="str">
        <f t="shared" si="119"/>
        <v/>
      </c>
      <c r="AH125" s="154" t="s">
        <v>12</v>
      </c>
      <c r="AI125" s="133"/>
      <c r="AJ125" s="170"/>
      <c r="AK125" s="133"/>
      <c r="AL125" s="133"/>
    </row>
    <row r="126" spans="1:57" ht="15.95" hidden="1" customHeight="1" x14ac:dyDescent="0.25">
      <c r="A126" s="153"/>
      <c r="B126" s="168" t="s">
        <v>34</v>
      </c>
      <c r="C126" s="169">
        <f t="shared" ref="C126:AD126" si="120">IF(C16=$R32,$BD32*24,IF(C16=$R33,$BD33*24,IF(C16=$R34,$BD34*24,IF(C16=$R35,$BD35*24,IF(C16=$R36,$BD36*24,IF(C16=$R37,$BD37*24,IF(C16=$R38,$BD38*24,IF(C16=$R39,$BD39*24,IF(C16=$R40,$BD40*24,"")))))))))</f>
        <v>8</v>
      </c>
      <c r="D126" s="169" t="str">
        <f t="shared" si="120"/>
        <v/>
      </c>
      <c r="E126" s="169" t="str">
        <f t="shared" si="120"/>
        <v/>
      </c>
      <c r="F126" s="169">
        <f t="shared" si="120"/>
        <v>0</v>
      </c>
      <c r="G126" s="169">
        <f t="shared" si="120"/>
        <v>0</v>
      </c>
      <c r="H126" s="169" t="str">
        <f t="shared" si="120"/>
        <v/>
      </c>
      <c r="I126" s="169" t="str">
        <f t="shared" si="120"/>
        <v/>
      </c>
      <c r="J126" s="169" t="str">
        <f t="shared" si="120"/>
        <v/>
      </c>
      <c r="K126" s="169">
        <f t="shared" si="120"/>
        <v>0</v>
      </c>
      <c r="L126" s="169">
        <f t="shared" si="120"/>
        <v>0</v>
      </c>
      <c r="M126" s="169" t="str">
        <f t="shared" si="120"/>
        <v/>
      </c>
      <c r="N126" s="169" t="str">
        <f t="shared" si="120"/>
        <v/>
      </c>
      <c r="O126" s="169">
        <f t="shared" si="120"/>
        <v>0</v>
      </c>
      <c r="P126" s="169">
        <f t="shared" si="120"/>
        <v>0</v>
      </c>
      <c r="Q126" s="169">
        <f t="shared" si="120"/>
        <v>0</v>
      </c>
      <c r="R126" s="169" t="str">
        <f t="shared" si="120"/>
        <v/>
      </c>
      <c r="S126" s="169">
        <f t="shared" si="120"/>
        <v>8</v>
      </c>
      <c r="T126" s="169">
        <f t="shared" si="120"/>
        <v>8</v>
      </c>
      <c r="U126" s="169">
        <f t="shared" si="120"/>
        <v>8</v>
      </c>
      <c r="V126" s="169">
        <f t="shared" si="120"/>
        <v>8</v>
      </c>
      <c r="W126" s="169">
        <f t="shared" si="120"/>
        <v>8</v>
      </c>
      <c r="X126" s="169">
        <f t="shared" si="120"/>
        <v>8</v>
      </c>
      <c r="Y126" s="169" t="str">
        <f t="shared" si="120"/>
        <v/>
      </c>
      <c r="Z126" s="169" t="str">
        <f t="shared" si="120"/>
        <v/>
      </c>
      <c r="AA126" s="169">
        <f t="shared" si="120"/>
        <v>8</v>
      </c>
      <c r="AB126" s="169">
        <f t="shared" si="120"/>
        <v>8</v>
      </c>
      <c r="AC126" s="169" t="str">
        <f t="shared" si="120"/>
        <v/>
      </c>
      <c r="AD126" s="169" t="str">
        <f t="shared" si="120"/>
        <v/>
      </c>
      <c r="AE126" s="169" t="str">
        <f>IF(AE16=$R32,$BD32*24,IF(AE16=$R33,$BD33*24,IF(AE16=$R34,$BD34*24,IF(AE16=$R35,$BD35*24,IF(AE16=$R36,$BD36*24,IF(AE16=$R37,$BD37*24,IF(AE16=$R38,$BD38*24,IF(AE16=$R39,$BD39*24,IF(AE16=$R40,$BD40*24,"")))))))))</f>
        <v/>
      </c>
      <c r="AF126" s="169" t="str">
        <f>IF(AF16=$R32,$BD32*24,IF(AF16=$R33,$BD33*24,IF(AF16=$R34,$BD34*24,IF(AF16=$R35,$BD35*24,IF(AF16=$R36,$BD36*24,IF(AF16=$R37,$BD37*24,IF(AF16=$R38,$BD38*24,IF(AF16=$R39,$BD39*24,IF(AF16=$R40,$BD40*24,"")))))))))</f>
        <v/>
      </c>
      <c r="AG126" s="169" t="str">
        <f>IF(AG16=$R32,$BD32*24,IF(AG16=$R33,$BD33*24,IF(AG16=$R34,$BD34*24,IF(AG16=$R35,$BD35*24,IF(AG16=$R36,$BD36*24,IF(AG16=$R37,$BD37*24,IF(AG16=$R38,$BD38*24,IF(AG16=$R39,$BD39*24,IF(AG16=$R40,$BD40*24,"")))))))))</f>
        <v/>
      </c>
      <c r="AH126" s="148">
        <f>SUM(C126:AG126)</f>
        <v>72</v>
      </c>
      <c r="AI126" s="133"/>
      <c r="AJ126" s="170"/>
      <c r="AK126" s="133"/>
      <c r="AL126" s="133"/>
    </row>
    <row r="127" spans="1:57" ht="15.95" hidden="1" customHeight="1" x14ac:dyDescent="0.25">
      <c r="A127" s="153"/>
      <c r="B127" s="167" t="s">
        <v>59</v>
      </c>
      <c r="C127" s="141">
        <f t="shared" ref="C127:AG127" si="121">IF(C16="V",$C36,IF(C16="PR",$C38,0))</f>
        <v>0</v>
      </c>
      <c r="D127" s="141">
        <f t="shared" si="121"/>
        <v>0</v>
      </c>
      <c r="E127" s="141">
        <f t="shared" si="121"/>
        <v>0</v>
      </c>
      <c r="F127" s="141">
        <f t="shared" si="121"/>
        <v>0</v>
      </c>
      <c r="G127" s="141">
        <f t="shared" si="121"/>
        <v>0</v>
      </c>
      <c r="H127" s="141">
        <f t="shared" si="121"/>
        <v>0</v>
      </c>
      <c r="I127" s="141">
        <f t="shared" si="121"/>
        <v>0</v>
      </c>
      <c r="J127" s="141">
        <f t="shared" si="121"/>
        <v>0</v>
      </c>
      <c r="K127" s="141">
        <f t="shared" si="121"/>
        <v>0</v>
      </c>
      <c r="L127" s="141">
        <f t="shared" si="121"/>
        <v>0</v>
      </c>
      <c r="M127" s="141">
        <f t="shared" si="121"/>
        <v>0</v>
      </c>
      <c r="N127" s="141">
        <f t="shared" si="121"/>
        <v>0</v>
      </c>
      <c r="O127" s="141">
        <f t="shared" si="121"/>
        <v>0</v>
      </c>
      <c r="P127" s="141">
        <f t="shared" si="121"/>
        <v>0</v>
      </c>
      <c r="Q127" s="141">
        <f t="shared" si="121"/>
        <v>0</v>
      </c>
      <c r="R127" s="141">
        <f t="shared" si="121"/>
        <v>0</v>
      </c>
      <c r="S127" s="141">
        <f t="shared" si="121"/>
        <v>0</v>
      </c>
      <c r="T127" s="141">
        <f t="shared" si="121"/>
        <v>0</v>
      </c>
      <c r="U127" s="141">
        <f t="shared" si="121"/>
        <v>0</v>
      </c>
      <c r="V127" s="141">
        <f t="shared" si="121"/>
        <v>0</v>
      </c>
      <c r="W127" s="141">
        <f t="shared" si="121"/>
        <v>0</v>
      </c>
      <c r="X127" s="141">
        <f t="shared" si="121"/>
        <v>0</v>
      </c>
      <c r="Y127" s="141">
        <f t="shared" si="121"/>
        <v>0</v>
      </c>
      <c r="Z127" s="141">
        <f t="shared" si="121"/>
        <v>0</v>
      </c>
      <c r="AA127" s="141">
        <f t="shared" si="121"/>
        <v>0</v>
      </c>
      <c r="AB127" s="141">
        <f t="shared" si="121"/>
        <v>0</v>
      </c>
      <c r="AC127" s="141">
        <f t="shared" si="121"/>
        <v>0</v>
      </c>
      <c r="AD127" s="141">
        <f t="shared" si="121"/>
        <v>0</v>
      </c>
      <c r="AE127" s="141">
        <f t="shared" si="121"/>
        <v>0</v>
      </c>
      <c r="AF127" s="141">
        <f t="shared" si="121"/>
        <v>0</v>
      </c>
      <c r="AG127" s="141">
        <f t="shared" si="121"/>
        <v>0</v>
      </c>
      <c r="AH127" s="226">
        <f>SUM(C127:AG127)</f>
        <v>0</v>
      </c>
      <c r="AI127" s="226"/>
      <c r="AJ127" s="230">
        <f>SUM(AH72+AH83+AH94+AH105+AH116+AH127)</f>
        <v>0</v>
      </c>
      <c r="AK127" s="230"/>
      <c r="AL127" s="133" t="s">
        <v>56</v>
      </c>
    </row>
    <row r="128" spans="1:57" ht="15.95" hidden="1" customHeight="1" x14ac:dyDescent="0.25">
      <c r="A128" s="150" t="s">
        <v>60</v>
      </c>
      <c r="B128" s="167" t="s">
        <v>61</v>
      </c>
      <c r="C128" s="151">
        <f t="shared" ref="C128:AD128" si="122">IF(C16=$R32,$BC32,IF(C16=$R33,$BC33,IF(C16=$R34,$BC34,IF(C16=$R35,$BC35,IF(C16=$R36,$BC36,IF(C16=$R37,$BC37,IF(C16=$R38,$BC38,IF(C16=$R39,$BC39,IF(C16=$R40,$BC40,0)))))))))</f>
        <v>12</v>
      </c>
      <c r="D128" s="151">
        <f t="shared" si="122"/>
        <v>0</v>
      </c>
      <c r="E128" s="151">
        <f t="shared" si="122"/>
        <v>0</v>
      </c>
      <c r="F128" s="151">
        <f t="shared" si="122"/>
        <v>11.999999999999998</v>
      </c>
      <c r="G128" s="151">
        <f t="shared" si="122"/>
        <v>11.999999999999998</v>
      </c>
      <c r="H128" s="151">
        <f t="shared" si="122"/>
        <v>0</v>
      </c>
      <c r="I128" s="151">
        <f t="shared" si="122"/>
        <v>0</v>
      </c>
      <c r="J128" s="151">
        <f t="shared" si="122"/>
        <v>0</v>
      </c>
      <c r="K128" s="151">
        <f t="shared" si="122"/>
        <v>11.999999999999998</v>
      </c>
      <c r="L128" s="151">
        <f t="shared" si="122"/>
        <v>11.999999999999998</v>
      </c>
      <c r="M128" s="151">
        <f t="shared" si="122"/>
        <v>0</v>
      </c>
      <c r="N128" s="151">
        <f t="shared" si="122"/>
        <v>0</v>
      </c>
      <c r="O128" s="151">
        <f t="shared" si="122"/>
        <v>11.999999999999998</v>
      </c>
      <c r="P128" s="151">
        <f t="shared" si="122"/>
        <v>11.999999999999998</v>
      </c>
      <c r="Q128" s="151">
        <f t="shared" si="122"/>
        <v>11.999999999999998</v>
      </c>
      <c r="R128" s="151">
        <f t="shared" si="122"/>
        <v>0</v>
      </c>
      <c r="S128" s="151">
        <f t="shared" si="122"/>
        <v>12</v>
      </c>
      <c r="T128" s="151">
        <f t="shared" si="122"/>
        <v>12</v>
      </c>
      <c r="U128" s="151">
        <f t="shared" si="122"/>
        <v>12</v>
      </c>
      <c r="V128" s="151">
        <f t="shared" si="122"/>
        <v>12</v>
      </c>
      <c r="W128" s="151">
        <f t="shared" si="122"/>
        <v>12</v>
      </c>
      <c r="X128" s="151">
        <f t="shared" si="122"/>
        <v>12</v>
      </c>
      <c r="Y128" s="151">
        <f t="shared" si="122"/>
        <v>0</v>
      </c>
      <c r="Z128" s="151">
        <f t="shared" si="122"/>
        <v>0</v>
      </c>
      <c r="AA128" s="151">
        <f t="shared" si="122"/>
        <v>7.9999999999999716</v>
      </c>
      <c r="AB128" s="151">
        <f t="shared" si="122"/>
        <v>12</v>
      </c>
      <c r="AC128" s="151">
        <f t="shared" si="122"/>
        <v>0</v>
      </c>
      <c r="AD128" s="151">
        <f t="shared" si="122"/>
        <v>0</v>
      </c>
      <c r="AE128" s="151">
        <f>IF(AE16=$R32,$BC32,IF(AE16=$R33,$BC33,IF(AE16=$R34,$BC34,IF(AE16=$R35,$BC35,IF(AE16=$R36,$BC36,IF(AE16=$R37,$BC37,IF(AE16=$R38,$BC38,IF(AE16=$R39,$BC39,IF(AE16=$R40,$BC40,0)))))))))</f>
        <v>0</v>
      </c>
      <c r="AF128" s="151">
        <f>IF(AF16=$R32,$BC32,IF(AF16=$R33,$BC33,IF(AF16=$R34,$BC34,IF(AF16=$R35,$BC35,IF(AF16=$R36,$BC36,IF(AF16=$R37,$BC37,IF(AF16=$R38,$BC38,IF(AF16=$R39,$BC39,IF(AF16=$R40,$BC40,0)))))))))</f>
        <v>0</v>
      </c>
      <c r="AG128" s="151">
        <f>IF(AG16=$R32,$BC32,IF(AG16=$R33,$BC33,IF(AG16=$R34,$BC34,IF(AG16=$R35,$BC35,IF(AG16=$R36,$BC36,IF(AG16=$R37,$BC37,IF(AG16=$R38,$BC38,IF(AG16=$R39,$BC39,IF(AG16=$R40,$BC40,0)))))))))</f>
        <v>0</v>
      </c>
      <c r="AH128" s="226">
        <f>SUM(C128:AG128)</f>
        <v>187.99999999999997</v>
      </c>
      <c r="AI128" s="226"/>
      <c r="AJ128" s="174" t="s">
        <v>62</v>
      </c>
      <c r="AK128" s="133" t="s">
        <v>12</v>
      </c>
      <c r="AL128" s="133"/>
    </row>
    <row r="129" spans="1:38" ht="15.95" hidden="1" customHeight="1" x14ac:dyDescent="0.25">
      <c r="A129" s="153" t="s">
        <v>48</v>
      </c>
      <c r="B129" s="149" t="s">
        <v>63</v>
      </c>
      <c r="C129" s="141">
        <f t="shared" ref="C129:AG129" si="123">IF(C46=1,IF(C124&lt;C125,C128,0))</f>
        <v>0</v>
      </c>
      <c r="D129" s="141" t="b">
        <f t="shared" si="123"/>
        <v>0</v>
      </c>
      <c r="E129" s="141" t="b">
        <f t="shared" si="123"/>
        <v>0</v>
      </c>
      <c r="F129" s="141" t="b">
        <f t="shared" si="123"/>
        <v>0</v>
      </c>
      <c r="G129" s="141" t="b">
        <f t="shared" si="123"/>
        <v>0</v>
      </c>
      <c r="H129" s="141" t="b">
        <f t="shared" si="123"/>
        <v>0</v>
      </c>
      <c r="I129" s="141">
        <f t="shared" si="123"/>
        <v>0</v>
      </c>
      <c r="J129" s="141">
        <f t="shared" si="123"/>
        <v>0</v>
      </c>
      <c r="K129" s="141" t="b">
        <f t="shared" si="123"/>
        <v>0</v>
      </c>
      <c r="L129" s="141" t="b">
        <f t="shared" si="123"/>
        <v>0</v>
      </c>
      <c r="M129" s="141" t="b">
        <f t="shared" si="123"/>
        <v>0</v>
      </c>
      <c r="N129" s="141" t="b">
        <f t="shared" si="123"/>
        <v>0</v>
      </c>
      <c r="O129" s="141" t="b">
        <f t="shared" si="123"/>
        <v>0</v>
      </c>
      <c r="P129" s="141">
        <f t="shared" si="123"/>
        <v>11.999999999999998</v>
      </c>
      <c r="Q129" s="141">
        <f t="shared" si="123"/>
        <v>11.999999999999998</v>
      </c>
      <c r="R129" s="141" t="b">
        <f t="shared" si="123"/>
        <v>0</v>
      </c>
      <c r="S129" s="141" t="b">
        <f t="shared" si="123"/>
        <v>0</v>
      </c>
      <c r="T129" s="141" t="b">
        <f t="shared" si="123"/>
        <v>0</v>
      </c>
      <c r="U129" s="141" t="b">
        <f t="shared" si="123"/>
        <v>0</v>
      </c>
      <c r="V129" s="141" t="b">
        <f t="shared" si="123"/>
        <v>0</v>
      </c>
      <c r="W129" s="141">
        <f t="shared" si="123"/>
        <v>0</v>
      </c>
      <c r="X129" s="141">
        <f t="shared" si="123"/>
        <v>0</v>
      </c>
      <c r="Y129" s="141" t="b">
        <f t="shared" si="123"/>
        <v>0</v>
      </c>
      <c r="Z129" s="141" t="b">
        <f t="shared" si="123"/>
        <v>0</v>
      </c>
      <c r="AA129" s="141" t="b">
        <f t="shared" si="123"/>
        <v>0</v>
      </c>
      <c r="AB129" s="141" t="b">
        <f t="shared" si="123"/>
        <v>0</v>
      </c>
      <c r="AC129" s="141" t="b">
        <f t="shared" si="123"/>
        <v>0</v>
      </c>
      <c r="AD129" s="141">
        <f t="shared" si="123"/>
        <v>0</v>
      </c>
      <c r="AE129" s="141">
        <f t="shared" si="123"/>
        <v>0</v>
      </c>
      <c r="AF129" s="141" t="b">
        <f t="shared" si="123"/>
        <v>0</v>
      </c>
      <c r="AG129" s="141" t="b">
        <f t="shared" si="123"/>
        <v>0</v>
      </c>
      <c r="AH129" s="154" t="s">
        <v>12</v>
      </c>
      <c r="AI129" s="133"/>
      <c r="AJ129" s="170"/>
      <c r="AK129" s="133"/>
      <c r="AL129" s="133"/>
    </row>
    <row r="130" spans="1:38" ht="15.95" hidden="1" customHeight="1" x14ac:dyDescent="0.25">
      <c r="A130" s="176"/>
      <c r="B130" s="149" t="s">
        <v>64</v>
      </c>
      <c r="C130" s="141">
        <f t="shared" ref="C130:AG130" si="124">IF(C46=1,IF(C124&gt;C125,24-C124,0),0)</f>
        <v>6</v>
      </c>
      <c r="D130" s="141">
        <f t="shared" si="124"/>
        <v>0</v>
      </c>
      <c r="E130" s="141">
        <f t="shared" si="124"/>
        <v>0</v>
      </c>
      <c r="F130" s="141">
        <f t="shared" si="124"/>
        <v>0</v>
      </c>
      <c r="G130" s="141">
        <f t="shared" si="124"/>
        <v>0</v>
      </c>
      <c r="H130" s="141">
        <f t="shared" si="124"/>
        <v>0</v>
      </c>
      <c r="I130" s="141">
        <f t="shared" si="124"/>
        <v>0</v>
      </c>
      <c r="J130" s="141">
        <f t="shared" si="124"/>
        <v>0</v>
      </c>
      <c r="K130" s="141">
        <f t="shared" si="124"/>
        <v>0</v>
      </c>
      <c r="L130" s="141">
        <f t="shared" si="124"/>
        <v>0</v>
      </c>
      <c r="M130" s="141">
        <f t="shared" si="124"/>
        <v>0</v>
      </c>
      <c r="N130" s="141">
        <f t="shared" si="124"/>
        <v>0</v>
      </c>
      <c r="O130" s="141">
        <f t="shared" si="124"/>
        <v>0</v>
      </c>
      <c r="P130" s="141">
        <f t="shared" si="124"/>
        <v>0</v>
      </c>
      <c r="Q130" s="141">
        <f t="shared" si="124"/>
        <v>0</v>
      </c>
      <c r="R130" s="141">
        <f t="shared" si="124"/>
        <v>0</v>
      </c>
      <c r="S130" s="141">
        <f t="shared" si="124"/>
        <v>0</v>
      </c>
      <c r="T130" s="141">
        <f t="shared" si="124"/>
        <v>0</v>
      </c>
      <c r="U130" s="141">
        <f t="shared" si="124"/>
        <v>0</v>
      </c>
      <c r="V130" s="141">
        <f t="shared" si="124"/>
        <v>0</v>
      </c>
      <c r="W130" s="141">
        <f t="shared" si="124"/>
        <v>6</v>
      </c>
      <c r="X130" s="141">
        <f t="shared" si="124"/>
        <v>6</v>
      </c>
      <c r="Y130" s="141">
        <f t="shared" si="124"/>
        <v>0</v>
      </c>
      <c r="Z130" s="141">
        <f t="shared" si="124"/>
        <v>0</v>
      </c>
      <c r="AA130" s="141">
        <f t="shared" si="124"/>
        <v>0</v>
      </c>
      <c r="AB130" s="141">
        <f t="shared" si="124"/>
        <v>0</v>
      </c>
      <c r="AC130" s="141">
        <f t="shared" si="124"/>
        <v>0</v>
      </c>
      <c r="AD130" s="141">
        <f t="shared" si="124"/>
        <v>0</v>
      </c>
      <c r="AE130" s="141">
        <f t="shared" si="124"/>
        <v>0</v>
      </c>
      <c r="AF130" s="141">
        <f t="shared" si="124"/>
        <v>0</v>
      </c>
      <c r="AG130" s="141">
        <f t="shared" si="124"/>
        <v>0</v>
      </c>
      <c r="AH130" s="154" t="s">
        <v>12</v>
      </c>
      <c r="AI130" s="133"/>
      <c r="AJ130" s="170"/>
      <c r="AK130" s="133"/>
      <c r="AL130" s="133"/>
    </row>
    <row r="131" spans="1:38" ht="15.95" hidden="1" customHeight="1" x14ac:dyDescent="0.25">
      <c r="A131" s="176"/>
      <c r="B131" s="149" t="s">
        <v>65</v>
      </c>
      <c r="C131" s="141">
        <f t="shared" ref="C131:AG131" si="125">IF(D46=1,IF(C124&gt;C125,C125,0),0)</f>
        <v>0</v>
      </c>
      <c r="D131" s="141">
        <f t="shared" si="125"/>
        <v>0</v>
      </c>
      <c r="E131" s="141">
        <f t="shared" si="125"/>
        <v>0</v>
      </c>
      <c r="F131" s="141">
        <f t="shared" si="125"/>
        <v>0</v>
      </c>
      <c r="G131" s="141">
        <f t="shared" si="125"/>
        <v>0</v>
      </c>
      <c r="H131" s="141">
        <f t="shared" si="125"/>
        <v>0</v>
      </c>
      <c r="I131" s="141">
        <f t="shared" si="125"/>
        <v>0</v>
      </c>
      <c r="J131" s="141">
        <f t="shared" si="125"/>
        <v>0</v>
      </c>
      <c r="K131" s="141">
        <f t="shared" si="125"/>
        <v>0</v>
      </c>
      <c r="L131" s="141">
        <f t="shared" si="125"/>
        <v>0</v>
      </c>
      <c r="M131" s="141">
        <f t="shared" si="125"/>
        <v>0</v>
      </c>
      <c r="N131" s="141">
        <f t="shared" si="125"/>
        <v>0</v>
      </c>
      <c r="O131" s="141">
        <f t="shared" si="125"/>
        <v>0</v>
      </c>
      <c r="P131" s="141">
        <f t="shared" si="125"/>
        <v>0</v>
      </c>
      <c r="Q131" s="141">
        <f t="shared" si="125"/>
        <v>0</v>
      </c>
      <c r="R131" s="141">
        <f t="shared" si="125"/>
        <v>0</v>
      </c>
      <c r="S131" s="141">
        <f t="shared" si="125"/>
        <v>0</v>
      </c>
      <c r="T131" s="141">
        <f t="shared" si="125"/>
        <v>0</v>
      </c>
      <c r="U131" s="141">
        <f t="shared" si="125"/>
        <v>0</v>
      </c>
      <c r="V131" s="141">
        <f t="shared" si="125"/>
        <v>6</v>
      </c>
      <c r="W131" s="141">
        <f t="shared" si="125"/>
        <v>6</v>
      </c>
      <c r="X131" s="141">
        <f>IF(Y46=1,IF(X124&gt;X125,X125,0),0)</f>
        <v>0</v>
      </c>
      <c r="Y131" s="141">
        <f t="shared" si="125"/>
        <v>0</v>
      </c>
      <c r="Z131" s="141">
        <f t="shared" si="125"/>
        <v>0</v>
      </c>
      <c r="AA131" s="141">
        <f t="shared" si="125"/>
        <v>0</v>
      </c>
      <c r="AB131" s="141">
        <f t="shared" si="125"/>
        <v>0</v>
      </c>
      <c r="AC131" s="141">
        <f t="shared" si="125"/>
        <v>0</v>
      </c>
      <c r="AD131" s="141">
        <f t="shared" si="125"/>
        <v>0</v>
      </c>
      <c r="AE131" s="141">
        <f t="shared" si="125"/>
        <v>0</v>
      </c>
      <c r="AF131" s="141">
        <f t="shared" si="125"/>
        <v>0</v>
      </c>
      <c r="AG131" s="141">
        <f t="shared" si="125"/>
        <v>0</v>
      </c>
      <c r="AH131" s="154" t="s">
        <v>12</v>
      </c>
      <c r="AI131" s="133"/>
      <c r="AJ131" s="170"/>
      <c r="AK131" s="133"/>
      <c r="AL131" s="133"/>
    </row>
    <row r="132" spans="1:38" ht="15.95" hidden="1" customHeight="1" x14ac:dyDescent="0.25">
      <c r="A132" s="176"/>
      <c r="B132" s="149" t="s">
        <v>67</v>
      </c>
      <c r="C132" s="171">
        <f t="shared" ref="C132:AG132" si="126">SUM(C129:C131)</f>
        <v>6</v>
      </c>
      <c r="D132" s="171">
        <f t="shared" si="126"/>
        <v>0</v>
      </c>
      <c r="E132" s="171">
        <f t="shared" si="126"/>
        <v>0</v>
      </c>
      <c r="F132" s="171">
        <f t="shared" si="126"/>
        <v>0</v>
      </c>
      <c r="G132" s="171">
        <f t="shared" si="126"/>
        <v>0</v>
      </c>
      <c r="H132" s="171">
        <f t="shared" si="126"/>
        <v>0</v>
      </c>
      <c r="I132" s="171">
        <f t="shared" si="126"/>
        <v>0</v>
      </c>
      <c r="J132" s="171">
        <f t="shared" si="126"/>
        <v>0</v>
      </c>
      <c r="K132" s="171">
        <f t="shared" si="126"/>
        <v>0</v>
      </c>
      <c r="L132" s="171">
        <f t="shared" si="126"/>
        <v>0</v>
      </c>
      <c r="M132" s="171">
        <f t="shared" si="126"/>
        <v>0</v>
      </c>
      <c r="N132" s="171">
        <f t="shared" si="126"/>
        <v>0</v>
      </c>
      <c r="O132" s="171">
        <f t="shared" si="126"/>
        <v>0</v>
      </c>
      <c r="P132" s="171">
        <f t="shared" si="126"/>
        <v>11.999999999999998</v>
      </c>
      <c r="Q132" s="171">
        <f t="shared" si="126"/>
        <v>11.999999999999998</v>
      </c>
      <c r="R132" s="171">
        <f t="shared" si="126"/>
        <v>0</v>
      </c>
      <c r="S132" s="171">
        <f t="shared" si="126"/>
        <v>0</v>
      </c>
      <c r="T132" s="171">
        <f t="shared" si="126"/>
        <v>0</v>
      </c>
      <c r="U132" s="171">
        <f t="shared" si="126"/>
        <v>0</v>
      </c>
      <c r="V132" s="171">
        <f t="shared" si="126"/>
        <v>6</v>
      </c>
      <c r="W132" s="171">
        <f t="shared" si="126"/>
        <v>12</v>
      </c>
      <c r="X132" s="171">
        <f t="shared" si="126"/>
        <v>6</v>
      </c>
      <c r="Y132" s="171">
        <f t="shared" si="126"/>
        <v>0</v>
      </c>
      <c r="Z132" s="171">
        <f t="shared" si="126"/>
        <v>0</v>
      </c>
      <c r="AA132" s="171">
        <f t="shared" si="126"/>
        <v>0</v>
      </c>
      <c r="AB132" s="171">
        <f t="shared" si="126"/>
        <v>0</v>
      </c>
      <c r="AC132" s="171">
        <f t="shared" si="126"/>
        <v>0</v>
      </c>
      <c r="AD132" s="171">
        <f t="shared" si="126"/>
        <v>0</v>
      </c>
      <c r="AE132" s="171">
        <f t="shared" si="126"/>
        <v>0</v>
      </c>
      <c r="AF132" s="171">
        <f t="shared" si="126"/>
        <v>0</v>
      </c>
      <c r="AG132" s="171">
        <f t="shared" si="126"/>
        <v>0</v>
      </c>
      <c r="AH132" s="154" t="s">
        <v>12</v>
      </c>
      <c r="AI132" s="133"/>
      <c r="AJ132" s="170"/>
      <c r="AK132" s="133"/>
      <c r="AL132" s="133"/>
    </row>
    <row r="133" spans="1:38" ht="15.95" hidden="1" customHeight="1" x14ac:dyDescent="0.25">
      <c r="A133" s="177"/>
      <c r="B133" s="160" t="s">
        <v>68</v>
      </c>
      <c r="C133" s="161">
        <f t="shared" ref="C133:AG133" si="127">IF(C16="V",IF(C16="",0,1),0)</f>
        <v>0</v>
      </c>
      <c r="D133" s="161">
        <f t="shared" si="127"/>
        <v>0</v>
      </c>
      <c r="E133" s="161">
        <f t="shared" si="127"/>
        <v>0</v>
      </c>
      <c r="F133" s="161">
        <f t="shared" si="127"/>
        <v>0</v>
      </c>
      <c r="G133" s="161">
        <f t="shared" si="127"/>
        <v>0</v>
      </c>
      <c r="H133" s="161">
        <f t="shared" si="127"/>
        <v>0</v>
      </c>
      <c r="I133" s="161">
        <f t="shared" si="127"/>
        <v>0</v>
      </c>
      <c r="J133" s="161">
        <f t="shared" si="127"/>
        <v>0</v>
      </c>
      <c r="K133" s="161">
        <f t="shared" si="127"/>
        <v>0</v>
      </c>
      <c r="L133" s="161">
        <f t="shared" si="127"/>
        <v>0</v>
      </c>
      <c r="M133" s="161">
        <f t="shared" si="127"/>
        <v>0</v>
      </c>
      <c r="N133" s="161">
        <f t="shared" si="127"/>
        <v>0</v>
      </c>
      <c r="O133" s="161">
        <f t="shared" si="127"/>
        <v>0</v>
      </c>
      <c r="P133" s="161">
        <f t="shared" si="127"/>
        <v>0</v>
      </c>
      <c r="Q133" s="161">
        <f t="shared" si="127"/>
        <v>0</v>
      </c>
      <c r="R133" s="161">
        <f t="shared" si="127"/>
        <v>0</v>
      </c>
      <c r="S133" s="161">
        <f t="shared" si="127"/>
        <v>0</v>
      </c>
      <c r="T133" s="161">
        <f t="shared" si="127"/>
        <v>0</v>
      </c>
      <c r="U133" s="161">
        <f t="shared" si="127"/>
        <v>0</v>
      </c>
      <c r="V133" s="161">
        <f t="shared" si="127"/>
        <v>0</v>
      </c>
      <c r="W133" s="161">
        <f t="shared" si="127"/>
        <v>0</v>
      </c>
      <c r="X133" s="161">
        <f t="shared" si="127"/>
        <v>0</v>
      </c>
      <c r="Y133" s="161">
        <f t="shared" si="127"/>
        <v>0</v>
      </c>
      <c r="Z133" s="161">
        <f t="shared" si="127"/>
        <v>0</v>
      </c>
      <c r="AA133" s="161">
        <f t="shared" si="127"/>
        <v>0</v>
      </c>
      <c r="AB133" s="161">
        <f t="shared" si="127"/>
        <v>0</v>
      </c>
      <c r="AC133" s="161">
        <f t="shared" si="127"/>
        <v>0</v>
      </c>
      <c r="AD133" s="161">
        <f t="shared" si="127"/>
        <v>0</v>
      </c>
      <c r="AE133" s="161">
        <f t="shared" si="127"/>
        <v>0</v>
      </c>
      <c r="AF133" s="161">
        <f t="shared" si="127"/>
        <v>0</v>
      </c>
      <c r="AG133" s="161">
        <f t="shared" si="127"/>
        <v>0</v>
      </c>
      <c r="AH133" s="154" t="s">
        <v>12</v>
      </c>
      <c r="AI133" s="133"/>
      <c r="AJ133" s="170"/>
      <c r="AK133" s="133"/>
      <c r="AL133" s="133"/>
    </row>
    <row r="134" spans="1:38" ht="15.95" hidden="1" customHeight="1" x14ac:dyDescent="0.25">
      <c r="A134" s="180"/>
      <c r="B134" s="181" t="s">
        <v>16</v>
      </c>
      <c r="C134" s="182">
        <f t="shared" ref="C134:AG134" si="128">IF(C16="PR",IF(C16="",0,1),0)</f>
        <v>0</v>
      </c>
      <c r="D134" s="182">
        <f t="shared" si="128"/>
        <v>0</v>
      </c>
      <c r="E134" s="182">
        <f t="shared" si="128"/>
        <v>0</v>
      </c>
      <c r="F134" s="182">
        <f t="shared" si="128"/>
        <v>0</v>
      </c>
      <c r="G134" s="182">
        <f t="shared" si="128"/>
        <v>0</v>
      </c>
      <c r="H134" s="182">
        <f t="shared" si="128"/>
        <v>0</v>
      </c>
      <c r="I134" s="182">
        <f t="shared" si="128"/>
        <v>0</v>
      </c>
      <c r="J134" s="182">
        <f t="shared" si="128"/>
        <v>0</v>
      </c>
      <c r="K134" s="182">
        <f t="shared" si="128"/>
        <v>0</v>
      </c>
      <c r="L134" s="182">
        <f t="shared" si="128"/>
        <v>0</v>
      </c>
      <c r="M134" s="182">
        <f t="shared" si="128"/>
        <v>0</v>
      </c>
      <c r="N134" s="182">
        <f t="shared" si="128"/>
        <v>0</v>
      </c>
      <c r="O134" s="182">
        <f t="shared" si="128"/>
        <v>0</v>
      </c>
      <c r="P134" s="182">
        <f t="shared" si="128"/>
        <v>0</v>
      </c>
      <c r="Q134" s="182">
        <f t="shared" si="128"/>
        <v>0</v>
      </c>
      <c r="R134" s="182">
        <f t="shared" si="128"/>
        <v>0</v>
      </c>
      <c r="S134" s="182">
        <f t="shared" si="128"/>
        <v>0</v>
      </c>
      <c r="T134" s="182">
        <f t="shared" si="128"/>
        <v>0</v>
      </c>
      <c r="U134" s="182">
        <f t="shared" si="128"/>
        <v>0</v>
      </c>
      <c r="V134" s="182">
        <f t="shared" si="128"/>
        <v>0</v>
      </c>
      <c r="W134" s="182">
        <f t="shared" si="128"/>
        <v>0</v>
      </c>
      <c r="X134" s="182">
        <f t="shared" si="128"/>
        <v>0</v>
      </c>
      <c r="Y134" s="182">
        <f t="shared" si="128"/>
        <v>0</v>
      </c>
      <c r="Z134" s="182">
        <f t="shared" si="128"/>
        <v>0</v>
      </c>
      <c r="AA134" s="182">
        <f t="shared" si="128"/>
        <v>0</v>
      </c>
      <c r="AB134" s="182">
        <f t="shared" si="128"/>
        <v>0</v>
      </c>
      <c r="AC134" s="182">
        <f t="shared" si="128"/>
        <v>0</v>
      </c>
      <c r="AD134" s="182">
        <f t="shared" si="128"/>
        <v>0</v>
      </c>
      <c r="AE134" s="182">
        <f t="shared" si="128"/>
        <v>0</v>
      </c>
      <c r="AF134" s="182">
        <f t="shared" si="128"/>
        <v>0</v>
      </c>
      <c r="AG134" s="182">
        <f t="shared" si="128"/>
        <v>0</v>
      </c>
      <c r="AH134" s="227">
        <f>SUM(C134:AG134)</f>
        <v>0</v>
      </c>
      <c r="AI134" s="227"/>
      <c r="AJ134" s="174" t="s">
        <v>69</v>
      </c>
      <c r="AK134" s="133"/>
      <c r="AL134" s="133"/>
    </row>
    <row r="135" spans="1:38" ht="15.95" hidden="1" customHeight="1" x14ac:dyDescent="0.25">
      <c r="A135" s="164" t="s">
        <v>85</v>
      </c>
      <c r="B135" s="165" t="s">
        <v>29</v>
      </c>
      <c r="C135" s="141" t="str">
        <f t="shared" ref="C135:AG135" si="129">IF(C17=$R32,$S32*24,IF(C17=$R33,$S33*24,IF(C17=$R34,$S34*24,IF(C17=$R35,$S35*24,IF(C17=$R36,$S36*24,IF(C17=$R37,$S37*24,IF(C17=$R38,$S38*24,IF(C17=$R39,$S39*24,IF(C17=$R40,$S40*24,"")))))))))</f>
        <v/>
      </c>
      <c r="D135" s="141">
        <f t="shared" si="129"/>
        <v>22</v>
      </c>
      <c r="E135" s="141">
        <f t="shared" si="129"/>
        <v>22</v>
      </c>
      <c r="F135" s="141" t="str">
        <f t="shared" si="129"/>
        <v/>
      </c>
      <c r="G135" s="141">
        <f t="shared" si="129"/>
        <v>18</v>
      </c>
      <c r="H135" s="141">
        <f t="shared" si="129"/>
        <v>18</v>
      </c>
      <c r="I135" s="141">
        <f t="shared" si="129"/>
        <v>18</v>
      </c>
      <c r="J135" s="141">
        <f t="shared" si="129"/>
        <v>18</v>
      </c>
      <c r="K135" s="141" t="str">
        <f t="shared" si="129"/>
        <v/>
      </c>
      <c r="L135" s="141" t="str">
        <f t="shared" si="129"/>
        <v/>
      </c>
      <c r="M135" s="141" t="str">
        <f t="shared" si="129"/>
        <v/>
      </c>
      <c r="N135" s="141" t="str">
        <f t="shared" si="129"/>
        <v/>
      </c>
      <c r="O135" s="141">
        <f t="shared" si="129"/>
        <v>18</v>
      </c>
      <c r="P135" s="141">
        <f t="shared" si="129"/>
        <v>18</v>
      </c>
      <c r="Q135" s="141">
        <f t="shared" si="129"/>
        <v>18</v>
      </c>
      <c r="R135" s="141">
        <f t="shared" si="129"/>
        <v>18</v>
      </c>
      <c r="S135" s="141" t="str">
        <f t="shared" si="129"/>
        <v/>
      </c>
      <c r="T135" s="141" t="str">
        <f t="shared" si="129"/>
        <v/>
      </c>
      <c r="U135" s="141" t="str">
        <f t="shared" si="129"/>
        <v/>
      </c>
      <c r="V135" s="141">
        <f t="shared" si="129"/>
        <v>22</v>
      </c>
      <c r="W135" s="141">
        <f t="shared" si="129"/>
        <v>22</v>
      </c>
      <c r="X135" s="141">
        <f t="shared" si="129"/>
        <v>22</v>
      </c>
      <c r="Y135" s="141" t="str">
        <f t="shared" si="129"/>
        <v/>
      </c>
      <c r="Z135" s="141">
        <f t="shared" si="129"/>
        <v>18</v>
      </c>
      <c r="AA135" s="141" t="str">
        <f t="shared" si="129"/>
        <v/>
      </c>
      <c r="AB135" s="141" t="str">
        <f t="shared" si="129"/>
        <v/>
      </c>
      <c r="AC135" s="141">
        <f t="shared" si="129"/>
        <v>18</v>
      </c>
      <c r="AD135" s="141">
        <f t="shared" si="129"/>
        <v>18</v>
      </c>
      <c r="AE135" s="141">
        <f t="shared" si="129"/>
        <v>18</v>
      </c>
      <c r="AF135" s="141" t="str">
        <f t="shared" si="129"/>
        <v/>
      </c>
      <c r="AG135" s="141" t="str">
        <f t="shared" si="129"/>
        <v/>
      </c>
      <c r="AH135" s="154" t="s">
        <v>12</v>
      </c>
      <c r="AI135" s="133"/>
      <c r="AJ135" s="170"/>
      <c r="AK135" s="133"/>
      <c r="AL135" s="133"/>
    </row>
    <row r="136" spans="1:38" ht="15.95" hidden="1" customHeight="1" x14ac:dyDescent="0.25">
      <c r="A136" s="166" t="s">
        <v>86</v>
      </c>
      <c r="B136" s="167" t="s">
        <v>30</v>
      </c>
      <c r="C136" s="141" t="str">
        <f t="shared" ref="C136:AG136" si="130">IF(C17=$R32,$V32*24,IF(C17=$R33,$V33*24,IF(C17=$R34,$V34*24,IF(C17=$R35,$V35*24,IF(C17=$R36,$V36*24,IF(C17=$R37,$V37*24,IF(C17=$R38,$V38*24,IF(C17=$R39,$V39*24,IF(C17=$R40,$V40*24,"")))))))))</f>
        <v/>
      </c>
      <c r="D136" s="141">
        <f t="shared" si="130"/>
        <v>6</v>
      </c>
      <c r="E136" s="141">
        <f t="shared" si="130"/>
        <v>6</v>
      </c>
      <c r="F136" s="141" t="str">
        <f t="shared" si="130"/>
        <v/>
      </c>
      <c r="G136" s="141">
        <f t="shared" si="130"/>
        <v>6</v>
      </c>
      <c r="H136" s="141">
        <f t="shared" si="130"/>
        <v>6</v>
      </c>
      <c r="I136" s="141">
        <f t="shared" si="130"/>
        <v>6</v>
      </c>
      <c r="J136" s="141">
        <f t="shared" si="130"/>
        <v>6</v>
      </c>
      <c r="K136" s="141" t="str">
        <f t="shared" si="130"/>
        <v/>
      </c>
      <c r="L136" s="141" t="str">
        <f t="shared" si="130"/>
        <v/>
      </c>
      <c r="M136" s="141" t="str">
        <f t="shared" si="130"/>
        <v/>
      </c>
      <c r="N136" s="141" t="str">
        <f t="shared" si="130"/>
        <v/>
      </c>
      <c r="O136" s="141">
        <f t="shared" si="130"/>
        <v>6</v>
      </c>
      <c r="P136" s="141">
        <f t="shared" si="130"/>
        <v>6</v>
      </c>
      <c r="Q136" s="141">
        <f t="shared" si="130"/>
        <v>6</v>
      </c>
      <c r="R136" s="141">
        <f t="shared" si="130"/>
        <v>6</v>
      </c>
      <c r="S136" s="141" t="str">
        <f t="shared" si="130"/>
        <v/>
      </c>
      <c r="T136" s="141" t="str">
        <f t="shared" si="130"/>
        <v/>
      </c>
      <c r="U136" s="141" t="str">
        <f t="shared" si="130"/>
        <v/>
      </c>
      <c r="V136" s="141">
        <f t="shared" si="130"/>
        <v>6</v>
      </c>
      <c r="W136" s="141">
        <f t="shared" si="130"/>
        <v>6</v>
      </c>
      <c r="X136" s="141">
        <f t="shared" si="130"/>
        <v>6</v>
      </c>
      <c r="Y136" s="141" t="str">
        <f t="shared" si="130"/>
        <v/>
      </c>
      <c r="Z136" s="141">
        <f t="shared" si="130"/>
        <v>6</v>
      </c>
      <c r="AA136" s="141" t="str">
        <f t="shared" si="130"/>
        <v/>
      </c>
      <c r="AB136" s="141" t="str">
        <f t="shared" si="130"/>
        <v/>
      </c>
      <c r="AC136" s="141">
        <f t="shared" si="130"/>
        <v>6</v>
      </c>
      <c r="AD136" s="141">
        <f t="shared" si="130"/>
        <v>6</v>
      </c>
      <c r="AE136" s="141">
        <f t="shared" si="130"/>
        <v>6</v>
      </c>
      <c r="AF136" s="141" t="str">
        <f t="shared" si="130"/>
        <v/>
      </c>
      <c r="AG136" s="141" t="str">
        <f t="shared" si="130"/>
        <v/>
      </c>
      <c r="AH136" s="154" t="s">
        <v>12</v>
      </c>
      <c r="AI136" s="133"/>
      <c r="AJ136" s="170"/>
      <c r="AK136" s="133"/>
      <c r="AL136" s="133"/>
    </row>
    <row r="137" spans="1:38" ht="15.95" hidden="1" customHeight="1" x14ac:dyDescent="0.25">
      <c r="A137" s="153"/>
      <c r="B137" s="168" t="s">
        <v>34</v>
      </c>
      <c r="C137" s="169" t="str">
        <f t="shared" ref="C137:AD137" si="131">IF(C17=$R32,$BD32*24,IF(C17=$R33,$BD33*24,IF(C17=$R34,$BD34*24,IF(C17=$R35,$BD35*24,IF(C17=$R36,$BD36*24,IF(C17=$R37,$BD37*24,IF(C17=$R38,$BD38*24,IF(C17=$R39,$BD39*24,IF(C17=$R40,$BD40*24,"")))))))))</f>
        <v/>
      </c>
      <c r="D137" s="169">
        <f t="shared" si="131"/>
        <v>8</v>
      </c>
      <c r="E137" s="169">
        <f t="shared" si="131"/>
        <v>8</v>
      </c>
      <c r="F137" s="169" t="str">
        <f t="shared" si="131"/>
        <v/>
      </c>
      <c r="G137" s="169">
        <f t="shared" si="131"/>
        <v>8</v>
      </c>
      <c r="H137" s="169">
        <f t="shared" si="131"/>
        <v>8</v>
      </c>
      <c r="I137" s="169">
        <f t="shared" si="131"/>
        <v>8</v>
      </c>
      <c r="J137" s="169">
        <f t="shared" si="131"/>
        <v>8</v>
      </c>
      <c r="K137" s="169" t="str">
        <f t="shared" si="131"/>
        <v/>
      </c>
      <c r="L137" s="169" t="str">
        <f t="shared" si="131"/>
        <v/>
      </c>
      <c r="M137" s="169" t="str">
        <f t="shared" si="131"/>
        <v/>
      </c>
      <c r="N137" s="169" t="str">
        <f t="shared" si="131"/>
        <v/>
      </c>
      <c r="O137" s="169">
        <f t="shared" si="131"/>
        <v>8</v>
      </c>
      <c r="P137" s="169">
        <f t="shared" si="131"/>
        <v>8</v>
      </c>
      <c r="Q137" s="169">
        <f t="shared" si="131"/>
        <v>8</v>
      </c>
      <c r="R137" s="169">
        <f t="shared" si="131"/>
        <v>8</v>
      </c>
      <c r="S137" s="169" t="str">
        <f t="shared" si="131"/>
        <v/>
      </c>
      <c r="T137" s="169" t="str">
        <f t="shared" si="131"/>
        <v/>
      </c>
      <c r="U137" s="169" t="str">
        <f t="shared" si="131"/>
        <v/>
      </c>
      <c r="V137" s="169">
        <f t="shared" si="131"/>
        <v>8</v>
      </c>
      <c r="W137" s="169">
        <f t="shared" si="131"/>
        <v>8</v>
      </c>
      <c r="X137" s="169">
        <f t="shared" si="131"/>
        <v>8</v>
      </c>
      <c r="Y137" s="169" t="str">
        <f t="shared" si="131"/>
        <v/>
      </c>
      <c r="Z137" s="169">
        <f t="shared" si="131"/>
        <v>8</v>
      </c>
      <c r="AA137" s="169" t="str">
        <f t="shared" si="131"/>
        <v/>
      </c>
      <c r="AB137" s="169" t="str">
        <f t="shared" si="131"/>
        <v/>
      </c>
      <c r="AC137" s="169">
        <f t="shared" si="131"/>
        <v>8</v>
      </c>
      <c r="AD137" s="169">
        <f t="shared" si="131"/>
        <v>8</v>
      </c>
      <c r="AE137" s="169">
        <f>IF(AE17=$R32,$BD32*24,IF(AE17=$R33,$BD33*24,IF(AE17=$R34,$BD34*24,IF(AE17=$R35,$BD35*24,IF(AE17=$R36,$BD36*24,IF(AE17=$R37,$BD37*24,IF(AE17=$R38,$BD38*24,IF(AE17=$R39,$BD39*24,IF(AE17=$R40,$BD40*24,"")))))))))</f>
        <v>8</v>
      </c>
      <c r="AF137" s="169" t="str">
        <f>IF(AF17=$R32,$BD32*24,IF(AF17=$R33,$BD33*24,IF(AF17=$R34,$BD34*24,IF(AF17=$R35,$BD35*24,IF(AF17=$R36,$BD36*24,IF(AF17=$R37,$BD37*24,IF(AF17=$R38,$BD38*24,IF(AF17=$R39,$BD39*24,IF(AF17=$R40,$BD40*24,"")))))))))</f>
        <v/>
      </c>
      <c r="AG137" s="169" t="str">
        <f>IF(AG17=$R32,$BD32*24,IF(AG17=$R33,$BD33*24,IF(AG17=$R34,$BD34*24,IF(AG17=$R35,$BD35*24,IF(AG17=$R36,$BD36*24,IF(AG17=$R37,$BD37*24,IF(AG17=$R38,$BD38*24,IF(AG17=$R39,$BD39*24,IF(AG17=$R40,$BD40*24,"")))))))))</f>
        <v/>
      </c>
      <c r="AH137" s="148">
        <f>SUM(C137:AG137)</f>
        <v>136</v>
      </c>
      <c r="AI137" s="133"/>
      <c r="AJ137" s="170"/>
      <c r="AK137" s="133"/>
      <c r="AL137" s="133"/>
    </row>
    <row r="138" spans="1:38" ht="15.95" hidden="1" customHeight="1" x14ac:dyDescent="0.25">
      <c r="A138" s="153"/>
      <c r="B138" s="167" t="s">
        <v>59</v>
      </c>
      <c r="C138" s="141">
        <f t="shared" ref="C138:AG138" si="132">IF(C17="V",$C36,IF(C17="PR",$C38,0))</f>
        <v>0</v>
      </c>
      <c r="D138" s="141">
        <f t="shared" si="132"/>
        <v>0</v>
      </c>
      <c r="E138" s="141">
        <f t="shared" si="132"/>
        <v>0</v>
      </c>
      <c r="F138" s="141">
        <f t="shared" si="132"/>
        <v>0</v>
      </c>
      <c r="G138" s="141">
        <f t="shared" si="132"/>
        <v>0</v>
      </c>
      <c r="H138" s="141">
        <f t="shared" si="132"/>
        <v>0</v>
      </c>
      <c r="I138" s="141">
        <f t="shared" si="132"/>
        <v>0</v>
      </c>
      <c r="J138" s="141">
        <f t="shared" si="132"/>
        <v>0</v>
      </c>
      <c r="K138" s="141">
        <f t="shared" si="132"/>
        <v>0</v>
      </c>
      <c r="L138" s="141">
        <f t="shared" si="132"/>
        <v>0</v>
      </c>
      <c r="M138" s="141">
        <f t="shared" si="132"/>
        <v>0</v>
      </c>
      <c r="N138" s="141">
        <f t="shared" si="132"/>
        <v>0</v>
      </c>
      <c r="O138" s="141">
        <f t="shared" si="132"/>
        <v>0</v>
      </c>
      <c r="P138" s="141">
        <f t="shared" si="132"/>
        <v>0</v>
      </c>
      <c r="Q138" s="141">
        <f t="shared" si="132"/>
        <v>0</v>
      </c>
      <c r="R138" s="141">
        <f t="shared" si="132"/>
        <v>0</v>
      </c>
      <c r="S138" s="141">
        <f t="shared" si="132"/>
        <v>0</v>
      </c>
      <c r="T138" s="141">
        <f t="shared" si="132"/>
        <v>0</v>
      </c>
      <c r="U138" s="141">
        <f t="shared" si="132"/>
        <v>0</v>
      </c>
      <c r="V138" s="141">
        <f t="shared" si="132"/>
        <v>0</v>
      </c>
      <c r="W138" s="141">
        <f t="shared" si="132"/>
        <v>0</v>
      </c>
      <c r="X138" s="141">
        <f t="shared" si="132"/>
        <v>0</v>
      </c>
      <c r="Y138" s="141">
        <f t="shared" si="132"/>
        <v>0</v>
      </c>
      <c r="Z138" s="141">
        <f t="shared" si="132"/>
        <v>0</v>
      </c>
      <c r="AA138" s="141">
        <f t="shared" si="132"/>
        <v>0</v>
      </c>
      <c r="AB138" s="141">
        <f t="shared" si="132"/>
        <v>0</v>
      </c>
      <c r="AC138" s="141">
        <f t="shared" si="132"/>
        <v>0</v>
      </c>
      <c r="AD138" s="141">
        <f t="shared" si="132"/>
        <v>0</v>
      </c>
      <c r="AE138" s="141">
        <f t="shared" si="132"/>
        <v>0</v>
      </c>
      <c r="AF138" s="141">
        <f t="shared" si="132"/>
        <v>0</v>
      </c>
      <c r="AG138" s="141">
        <f t="shared" si="132"/>
        <v>0</v>
      </c>
      <c r="AH138" s="226">
        <f>SUM(C138:AG138)</f>
        <v>0</v>
      </c>
      <c r="AI138" s="226"/>
      <c r="AJ138" s="230">
        <f>SUM(AH83+AH94+AH105+AH116+AH127+AH138)</f>
        <v>0</v>
      </c>
      <c r="AK138" s="230"/>
      <c r="AL138" s="133" t="s">
        <v>56</v>
      </c>
    </row>
    <row r="139" spans="1:38" ht="15.95" hidden="1" customHeight="1" x14ac:dyDescent="0.25">
      <c r="A139" s="150" t="s">
        <v>60</v>
      </c>
      <c r="B139" s="167" t="s">
        <v>61</v>
      </c>
      <c r="C139" s="151">
        <f t="shared" ref="C139:AD139" si="133">IF(C17=$R32,$BC32,IF(C17=$R33,$BC33,IF(C17=$R34,$BC34,IF(C17=$R35,$BC35,IF(C17=$R36,$BC36,IF(C17=$R37,$BC37,IF(C17=$R38,$BC38,IF(C17=$R39,$BC39,IF(C17=$R40,$BC40,0)))))))))</f>
        <v>0</v>
      </c>
      <c r="D139" s="151">
        <f t="shared" si="133"/>
        <v>7.9999999999999716</v>
      </c>
      <c r="E139" s="151">
        <f t="shared" si="133"/>
        <v>7.9999999999999716</v>
      </c>
      <c r="F139" s="151">
        <f t="shared" si="133"/>
        <v>0</v>
      </c>
      <c r="G139" s="151">
        <f t="shared" si="133"/>
        <v>12</v>
      </c>
      <c r="H139" s="151">
        <f t="shared" si="133"/>
        <v>12</v>
      </c>
      <c r="I139" s="151">
        <f t="shared" si="133"/>
        <v>12</v>
      </c>
      <c r="J139" s="151">
        <f t="shared" si="133"/>
        <v>12</v>
      </c>
      <c r="K139" s="151">
        <f t="shared" si="133"/>
        <v>0</v>
      </c>
      <c r="L139" s="151">
        <f t="shared" si="133"/>
        <v>0</v>
      </c>
      <c r="M139" s="151">
        <f t="shared" si="133"/>
        <v>0</v>
      </c>
      <c r="N139" s="151">
        <f t="shared" si="133"/>
        <v>0</v>
      </c>
      <c r="O139" s="151">
        <f t="shared" si="133"/>
        <v>12</v>
      </c>
      <c r="P139" s="151">
        <f t="shared" si="133"/>
        <v>12</v>
      </c>
      <c r="Q139" s="151">
        <f t="shared" si="133"/>
        <v>12</v>
      </c>
      <c r="R139" s="151">
        <f t="shared" si="133"/>
        <v>12</v>
      </c>
      <c r="S139" s="151">
        <f t="shared" si="133"/>
        <v>0</v>
      </c>
      <c r="T139" s="151">
        <f t="shared" si="133"/>
        <v>0</v>
      </c>
      <c r="U139" s="151">
        <f t="shared" si="133"/>
        <v>0</v>
      </c>
      <c r="V139" s="151">
        <f t="shared" si="133"/>
        <v>7.9999999999999716</v>
      </c>
      <c r="W139" s="151">
        <f t="shared" si="133"/>
        <v>7.9999999999999716</v>
      </c>
      <c r="X139" s="151">
        <f t="shared" si="133"/>
        <v>7.9999999999999716</v>
      </c>
      <c r="Y139" s="151">
        <f t="shared" si="133"/>
        <v>0</v>
      </c>
      <c r="Z139" s="151">
        <f t="shared" si="133"/>
        <v>12</v>
      </c>
      <c r="AA139" s="151">
        <f t="shared" si="133"/>
        <v>0</v>
      </c>
      <c r="AB139" s="151">
        <f t="shared" si="133"/>
        <v>0</v>
      </c>
      <c r="AC139" s="151">
        <f t="shared" si="133"/>
        <v>12</v>
      </c>
      <c r="AD139" s="151">
        <f t="shared" si="133"/>
        <v>12</v>
      </c>
      <c r="AE139" s="151">
        <f>IF(AE17=$R32,$BC32,IF(AE17=$R33,$BC33,IF(AE17=$R34,$BC34,IF(AE17=$R35,$BC35,IF(AE17=$R36,$BC36,IF(AE17=$R37,$BC37,IF(AE17=$R38,$BC38,IF(AE17=$R39,$BC39,IF(AE17=$R40,$BC40,0)))))))))</f>
        <v>12</v>
      </c>
      <c r="AF139" s="151">
        <f>IF(AF17=$R32,$BC32,IF(AF17=$R33,$BC33,IF(AF17=$R34,$BC34,IF(AF17=$R35,$BC35,IF(AF17=$R36,$BC36,IF(AF17=$R37,$BC37,IF(AF17=$R38,$BC38,IF(AF17=$R39,$BC39,IF(AF17=$R40,$BC40,0)))))))))</f>
        <v>0</v>
      </c>
      <c r="AG139" s="151">
        <f>IF(AG17=$R32,$BC32,IF(AG17=$R33,$BC33,IF(AG17=$R34,$BC34,IF(AG17=$R35,$BC35,IF(AG17=$R36,$BC36,IF(AG17=$R37,$BC37,IF(AG17=$R38,$BC38,IF(AG17=$R39,$BC39,IF(AG17=$R40,$BC40,0)))))))))</f>
        <v>0</v>
      </c>
      <c r="AH139" s="226">
        <f>SUM(C139:AG139)</f>
        <v>183.99999999999986</v>
      </c>
      <c r="AI139" s="226"/>
      <c r="AJ139" s="174" t="s">
        <v>62</v>
      </c>
      <c r="AK139" s="133" t="s">
        <v>12</v>
      </c>
      <c r="AL139" s="133"/>
    </row>
    <row r="140" spans="1:38" ht="15.95" hidden="1" customHeight="1" x14ac:dyDescent="0.25">
      <c r="A140" s="153" t="s">
        <v>48</v>
      </c>
      <c r="B140" s="149" t="s">
        <v>63</v>
      </c>
      <c r="C140" s="141">
        <f t="shared" ref="C140:AG140" si="134">IF(C46=1,IF(C135&lt;C136,C139,0))</f>
        <v>0</v>
      </c>
      <c r="D140" s="141" t="b">
        <f t="shared" si="134"/>
        <v>0</v>
      </c>
      <c r="E140" s="141" t="b">
        <f t="shared" si="134"/>
        <v>0</v>
      </c>
      <c r="F140" s="141" t="b">
        <f t="shared" si="134"/>
        <v>0</v>
      </c>
      <c r="G140" s="141" t="b">
        <f t="shared" si="134"/>
        <v>0</v>
      </c>
      <c r="H140" s="141" t="b">
        <f t="shared" si="134"/>
        <v>0</v>
      </c>
      <c r="I140" s="141">
        <f t="shared" si="134"/>
        <v>0</v>
      </c>
      <c r="J140" s="141">
        <f t="shared" si="134"/>
        <v>0</v>
      </c>
      <c r="K140" s="141" t="b">
        <f t="shared" si="134"/>
        <v>0</v>
      </c>
      <c r="L140" s="141" t="b">
        <f t="shared" si="134"/>
        <v>0</v>
      </c>
      <c r="M140" s="141" t="b">
        <f t="shared" si="134"/>
        <v>0</v>
      </c>
      <c r="N140" s="141" t="b">
        <f t="shared" si="134"/>
        <v>0</v>
      </c>
      <c r="O140" s="141" t="b">
        <f t="shared" si="134"/>
        <v>0</v>
      </c>
      <c r="P140" s="141">
        <f t="shared" si="134"/>
        <v>0</v>
      </c>
      <c r="Q140" s="141">
        <f t="shared" si="134"/>
        <v>0</v>
      </c>
      <c r="R140" s="141" t="b">
        <f t="shared" si="134"/>
        <v>0</v>
      </c>
      <c r="S140" s="141" t="b">
        <f t="shared" si="134"/>
        <v>0</v>
      </c>
      <c r="T140" s="141" t="b">
        <f t="shared" si="134"/>
        <v>0</v>
      </c>
      <c r="U140" s="141" t="b">
        <f t="shared" si="134"/>
        <v>0</v>
      </c>
      <c r="V140" s="141" t="b">
        <f t="shared" si="134"/>
        <v>0</v>
      </c>
      <c r="W140" s="141">
        <f t="shared" si="134"/>
        <v>0</v>
      </c>
      <c r="X140" s="141">
        <f t="shared" si="134"/>
        <v>0</v>
      </c>
      <c r="Y140" s="141" t="b">
        <f t="shared" si="134"/>
        <v>0</v>
      </c>
      <c r="Z140" s="141" t="b">
        <f t="shared" si="134"/>
        <v>0</v>
      </c>
      <c r="AA140" s="141" t="b">
        <f t="shared" si="134"/>
        <v>0</v>
      </c>
      <c r="AB140" s="141" t="b">
        <f t="shared" si="134"/>
        <v>0</v>
      </c>
      <c r="AC140" s="141" t="b">
        <f t="shared" si="134"/>
        <v>0</v>
      </c>
      <c r="AD140" s="141">
        <f t="shared" si="134"/>
        <v>0</v>
      </c>
      <c r="AE140" s="141">
        <f t="shared" si="134"/>
        <v>0</v>
      </c>
      <c r="AF140" s="141" t="b">
        <f t="shared" si="134"/>
        <v>0</v>
      </c>
      <c r="AG140" s="141" t="b">
        <f t="shared" si="134"/>
        <v>0</v>
      </c>
      <c r="AH140" s="154" t="s">
        <v>12</v>
      </c>
      <c r="AI140" s="133"/>
      <c r="AJ140" s="170"/>
      <c r="AK140" s="133"/>
      <c r="AL140" s="133"/>
    </row>
    <row r="141" spans="1:38" ht="15.95" hidden="1" customHeight="1" x14ac:dyDescent="0.25">
      <c r="A141" s="176"/>
      <c r="B141" s="149" t="s">
        <v>64</v>
      </c>
      <c r="C141" s="141">
        <f t="shared" ref="C141:AG141" si="135">IF(C46=1,IF(C135&gt;C136,24-C135,0),0)</f>
        <v>0</v>
      </c>
      <c r="D141" s="141">
        <f t="shared" si="135"/>
        <v>0</v>
      </c>
      <c r="E141" s="141">
        <f t="shared" si="135"/>
        <v>0</v>
      </c>
      <c r="F141" s="141">
        <f t="shared" si="135"/>
        <v>0</v>
      </c>
      <c r="G141" s="141">
        <f t="shared" si="135"/>
        <v>0</v>
      </c>
      <c r="H141" s="141">
        <f t="shared" si="135"/>
        <v>0</v>
      </c>
      <c r="I141" s="141">
        <f t="shared" si="135"/>
        <v>6</v>
      </c>
      <c r="J141" s="141">
        <f t="shared" si="135"/>
        <v>6</v>
      </c>
      <c r="K141" s="141">
        <f t="shared" si="135"/>
        <v>0</v>
      </c>
      <c r="L141" s="141">
        <f t="shared" si="135"/>
        <v>0</v>
      </c>
      <c r="M141" s="141">
        <f t="shared" si="135"/>
        <v>0</v>
      </c>
      <c r="N141" s="141">
        <f t="shared" si="135"/>
        <v>0</v>
      </c>
      <c r="O141" s="141">
        <f t="shared" si="135"/>
        <v>0</v>
      </c>
      <c r="P141" s="141">
        <f t="shared" si="135"/>
        <v>6</v>
      </c>
      <c r="Q141" s="141">
        <f t="shared" si="135"/>
        <v>6</v>
      </c>
      <c r="R141" s="141">
        <f t="shared" si="135"/>
        <v>0</v>
      </c>
      <c r="S141" s="141">
        <f t="shared" si="135"/>
        <v>0</v>
      </c>
      <c r="T141" s="141">
        <f t="shared" si="135"/>
        <v>0</v>
      </c>
      <c r="U141" s="141">
        <f t="shared" si="135"/>
        <v>0</v>
      </c>
      <c r="V141" s="141">
        <f t="shared" si="135"/>
        <v>0</v>
      </c>
      <c r="W141" s="141">
        <f t="shared" si="135"/>
        <v>2</v>
      </c>
      <c r="X141" s="141">
        <f t="shared" si="135"/>
        <v>2</v>
      </c>
      <c r="Y141" s="141">
        <f t="shared" si="135"/>
        <v>0</v>
      </c>
      <c r="Z141" s="141">
        <f t="shared" si="135"/>
        <v>0</v>
      </c>
      <c r="AA141" s="141">
        <f t="shared" si="135"/>
        <v>0</v>
      </c>
      <c r="AB141" s="141">
        <f t="shared" si="135"/>
        <v>0</v>
      </c>
      <c r="AC141" s="141">
        <f t="shared" si="135"/>
        <v>0</v>
      </c>
      <c r="AD141" s="141">
        <f t="shared" si="135"/>
        <v>6</v>
      </c>
      <c r="AE141" s="141">
        <f t="shared" si="135"/>
        <v>6</v>
      </c>
      <c r="AF141" s="141">
        <f t="shared" si="135"/>
        <v>0</v>
      </c>
      <c r="AG141" s="141">
        <f t="shared" si="135"/>
        <v>0</v>
      </c>
      <c r="AH141" s="154" t="s">
        <v>12</v>
      </c>
      <c r="AI141" s="133"/>
      <c r="AJ141" s="170"/>
      <c r="AK141" s="133"/>
      <c r="AL141" s="133"/>
    </row>
    <row r="142" spans="1:38" ht="15.95" hidden="1" customHeight="1" x14ac:dyDescent="0.25">
      <c r="A142" s="176"/>
      <c r="B142" s="149" t="s">
        <v>65</v>
      </c>
      <c r="C142" s="141">
        <f t="shared" ref="C142:AG142" si="136">IF(D46=1,IF(C135&gt;C136,C136,0),0)</f>
        <v>0</v>
      </c>
      <c r="D142" s="141">
        <f t="shared" si="136"/>
        <v>0</v>
      </c>
      <c r="E142" s="141">
        <f t="shared" si="136"/>
        <v>0</v>
      </c>
      <c r="F142" s="141">
        <f t="shared" si="136"/>
        <v>0</v>
      </c>
      <c r="G142" s="141">
        <f t="shared" si="136"/>
        <v>0</v>
      </c>
      <c r="H142" s="141">
        <f t="shared" si="136"/>
        <v>6</v>
      </c>
      <c r="I142" s="141">
        <f t="shared" si="136"/>
        <v>6</v>
      </c>
      <c r="J142" s="141">
        <f t="shared" si="136"/>
        <v>0</v>
      </c>
      <c r="K142" s="141">
        <f t="shared" si="136"/>
        <v>0</v>
      </c>
      <c r="L142" s="141">
        <f t="shared" si="136"/>
        <v>0</v>
      </c>
      <c r="M142" s="141">
        <f t="shared" si="136"/>
        <v>0</v>
      </c>
      <c r="N142" s="141">
        <f t="shared" si="136"/>
        <v>0</v>
      </c>
      <c r="O142" s="141">
        <f t="shared" si="136"/>
        <v>6</v>
      </c>
      <c r="P142" s="141">
        <f t="shared" si="136"/>
        <v>6</v>
      </c>
      <c r="Q142" s="141">
        <f t="shared" si="136"/>
        <v>0</v>
      </c>
      <c r="R142" s="141">
        <f t="shared" si="136"/>
        <v>0</v>
      </c>
      <c r="S142" s="141">
        <f t="shared" si="136"/>
        <v>0</v>
      </c>
      <c r="T142" s="141">
        <f t="shared" si="136"/>
        <v>0</v>
      </c>
      <c r="U142" s="141">
        <f t="shared" si="136"/>
        <v>0</v>
      </c>
      <c r="V142" s="141">
        <f t="shared" si="136"/>
        <v>6</v>
      </c>
      <c r="W142" s="141">
        <f t="shared" si="136"/>
        <v>6</v>
      </c>
      <c r="X142" s="141">
        <f>IF(Y46=1,IF(X135&gt;X136,X136,0),0)</f>
        <v>0</v>
      </c>
      <c r="Y142" s="141">
        <f t="shared" si="136"/>
        <v>0</v>
      </c>
      <c r="Z142" s="141">
        <f t="shared" si="136"/>
        <v>0</v>
      </c>
      <c r="AA142" s="141">
        <f t="shared" si="136"/>
        <v>0</v>
      </c>
      <c r="AB142" s="141">
        <f t="shared" si="136"/>
        <v>0</v>
      </c>
      <c r="AC142" s="141">
        <f t="shared" si="136"/>
        <v>6</v>
      </c>
      <c r="AD142" s="141">
        <f t="shared" si="136"/>
        <v>6</v>
      </c>
      <c r="AE142" s="141">
        <f t="shared" si="136"/>
        <v>0</v>
      </c>
      <c r="AF142" s="141">
        <f t="shared" si="136"/>
        <v>0</v>
      </c>
      <c r="AG142" s="141">
        <f t="shared" si="136"/>
        <v>0</v>
      </c>
      <c r="AH142" s="154" t="s">
        <v>12</v>
      </c>
      <c r="AI142" s="133"/>
      <c r="AJ142" s="170"/>
      <c r="AK142" s="133"/>
      <c r="AL142" s="133"/>
    </row>
    <row r="143" spans="1:38" ht="15.95" hidden="1" customHeight="1" x14ac:dyDescent="0.25">
      <c r="A143" s="176"/>
      <c r="B143" s="149" t="s">
        <v>67</v>
      </c>
      <c r="C143" s="171">
        <f>SUM(C140:C142)</f>
        <v>0</v>
      </c>
      <c r="D143" s="171">
        <f t="shared" ref="D143:AG143" si="137">SUM(D140:D142)</f>
        <v>0</v>
      </c>
      <c r="E143" s="171">
        <f t="shared" si="137"/>
        <v>0</v>
      </c>
      <c r="F143" s="171">
        <f t="shared" si="137"/>
        <v>0</v>
      </c>
      <c r="G143" s="171">
        <f t="shared" si="137"/>
        <v>0</v>
      </c>
      <c r="H143" s="171">
        <f t="shared" si="137"/>
        <v>6</v>
      </c>
      <c r="I143" s="171">
        <f t="shared" si="137"/>
        <v>12</v>
      </c>
      <c r="J143" s="171">
        <f t="shared" si="137"/>
        <v>6</v>
      </c>
      <c r="K143" s="171">
        <f t="shared" si="137"/>
        <v>0</v>
      </c>
      <c r="L143" s="171">
        <f t="shared" si="137"/>
        <v>0</v>
      </c>
      <c r="M143" s="171">
        <f t="shared" si="137"/>
        <v>0</v>
      </c>
      <c r="N143" s="171">
        <f t="shared" si="137"/>
        <v>0</v>
      </c>
      <c r="O143" s="171">
        <f t="shared" si="137"/>
        <v>6</v>
      </c>
      <c r="P143" s="171">
        <f t="shared" si="137"/>
        <v>12</v>
      </c>
      <c r="Q143" s="171">
        <f t="shared" si="137"/>
        <v>6</v>
      </c>
      <c r="R143" s="171">
        <f t="shared" si="137"/>
        <v>0</v>
      </c>
      <c r="S143" s="171">
        <f t="shared" si="137"/>
        <v>0</v>
      </c>
      <c r="T143" s="171">
        <f t="shared" si="137"/>
        <v>0</v>
      </c>
      <c r="U143" s="171">
        <f t="shared" si="137"/>
        <v>0</v>
      </c>
      <c r="V143" s="171">
        <f t="shared" si="137"/>
        <v>6</v>
      </c>
      <c r="W143" s="171">
        <f t="shared" si="137"/>
        <v>8</v>
      </c>
      <c r="X143" s="171">
        <f t="shared" si="137"/>
        <v>2</v>
      </c>
      <c r="Y143" s="171">
        <f t="shared" si="137"/>
        <v>0</v>
      </c>
      <c r="Z143" s="171">
        <f t="shared" si="137"/>
        <v>0</v>
      </c>
      <c r="AA143" s="171">
        <f t="shared" si="137"/>
        <v>0</v>
      </c>
      <c r="AB143" s="171">
        <f t="shared" si="137"/>
        <v>0</v>
      </c>
      <c r="AC143" s="171">
        <f t="shared" si="137"/>
        <v>6</v>
      </c>
      <c r="AD143" s="171">
        <f t="shared" si="137"/>
        <v>12</v>
      </c>
      <c r="AE143" s="171">
        <f t="shared" si="137"/>
        <v>6</v>
      </c>
      <c r="AF143" s="171">
        <f t="shared" si="137"/>
        <v>0</v>
      </c>
      <c r="AG143" s="171">
        <f t="shared" si="137"/>
        <v>0</v>
      </c>
      <c r="AH143" s="154" t="s">
        <v>12</v>
      </c>
      <c r="AI143" s="133"/>
      <c r="AJ143" s="170"/>
      <c r="AK143" s="133"/>
      <c r="AL143" s="133"/>
    </row>
    <row r="144" spans="1:38" ht="15.95" hidden="1" customHeight="1" x14ac:dyDescent="0.25">
      <c r="A144" s="177"/>
      <c r="B144" s="160" t="s">
        <v>68</v>
      </c>
      <c r="C144" s="161">
        <f t="shared" ref="C144:AG144" si="138">IF(C17="V",IF(C17="",0,1),0)</f>
        <v>0</v>
      </c>
      <c r="D144" s="161">
        <f t="shared" si="138"/>
        <v>0</v>
      </c>
      <c r="E144" s="161">
        <f t="shared" si="138"/>
        <v>0</v>
      </c>
      <c r="F144" s="161">
        <f t="shared" si="138"/>
        <v>0</v>
      </c>
      <c r="G144" s="161">
        <f t="shared" si="138"/>
        <v>0</v>
      </c>
      <c r="H144" s="161">
        <f t="shared" si="138"/>
        <v>0</v>
      </c>
      <c r="I144" s="161">
        <f t="shared" si="138"/>
        <v>0</v>
      </c>
      <c r="J144" s="161">
        <f t="shared" si="138"/>
        <v>0</v>
      </c>
      <c r="K144" s="161">
        <f t="shared" si="138"/>
        <v>0</v>
      </c>
      <c r="L144" s="161">
        <f t="shared" si="138"/>
        <v>0</v>
      </c>
      <c r="M144" s="161">
        <f t="shared" si="138"/>
        <v>0</v>
      </c>
      <c r="N144" s="161">
        <f t="shared" si="138"/>
        <v>0</v>
      </c>
      <c r="O144" s="161">
        <f t="shared" si="138"/>
        <v>0</v>
      </c>
      <c r="P144" s="161">
        <f t="shared" si="138"/>
        <v>0</v>
      </c>
      <c r="Q144" s="161">
        <f t="shared" si="138"/>
        <v>0</v>
      </c>
      <c r="R144" s="161">
        <f t="shared" si="138"/>
        <v>0</v>
      </c>
      <c r="S144" s="161">
        <f t="shared" si="138"/>
        <v>0</v>
      </c>
      <c r="T144" s="161">
        <f t="shared" si="138"/>
        <v>0</v>
      </c>
      <c r="U144" s="161">
        <f t="shared" si="138"/>
        <v>0</v>
      </c>
      <c r="V144" s="161">
        <f t="shared" si="138"/>
        <v>0</v>
      </c>
      <c r="W144" s="161">
        <f t="shared" si="138"/>
        <v>0</v>
      </c>
      <c r="X144" s="161">
        <f t="shared" si="138"/>
        <v>0</v>
      </c>
      <c r="Y144" s="161">
        <f t="shared" si="138"/>
        <v>0</v>
      </c>
      <c r="Z144" s="161">
        <f t="shared" si="138"/>
        <v>0</v>
      </c>
      <c r="AA144" s="161">
        <f t="shared" si="138"/>
        <v>0</v>
      </c>
      <c r="AB144" s="161">
        <f t="shared" si="138"/>
        <v>0</v>
      </c>
      <c r="AC144" s="161">
        <f t="shared" si="138"/>
        <v>0</v>
      </c>
      <c r="AD144" s="161">
        <f t="shared" si="138"/>
        <v>0</v>
      </c>
      <c r="AE144" s="161">
        <f t="shared" si="138"/>
        <v>0</v>
      </c>
      <c r="AF144" s="161">
        <f t="shared" si="138"/>
        <v>0</v>
      </c>
      <c r="AG144" s="161">
        <f t="shared" si="138"/>
        <v>0</v>
      </c>
      <c r="AH144" s="154" t="s">
        <v>12</v>
      </c>
      <c r="AI144" s="133"/>
      <c r="AJ144" s="170"/>
      <c r="AK144" s="133"/>
      <c r="AL144" s="133"/>
    </row>
    <row r="145" spans="1:38" ht="15.95" hidden="1" customHeight="1" x14ac:dyDescent="0.25">
      <c r="A145" s="180"/>
      <c r="B145" s="181" t="s">
        <v>16</v>
      </c>
      <c r="C145" s="182">
        <f t="shared" ref="C145:AG145" si="139">IF(C17="PR",IF(C17="",0,1),0)</f>
        <v>0</v>
      </c>
      <c r="D145" s="182">
        <f t="shared" si="139"/>
        <v>0</v>
      </c>
      <c r="E145" s="182">
        <f t="shared" si="139"/>
        <v>0</v>
      </c>
      <c r="F145" s="182">
        <f t="shared" si="139"/>
        <v>0</v>
      </c>
      <c r="G145" s="182">
        <f t="shared" si="139"/>
        <v>0</v>
      </c>
      <c r="H145" s="182">
        <f t="shared" si="139"/>
        <v>0</v>
      </c>
      <c r="I145" s="182">
        <f t="shared" si="139"/>
        <v>0</v>
      </c>
      <c r="J145" s="182">
        <f t="shared" si="139"/>
        <v>0</v>
      </c>
      <c r="K145" s="182">
        <f t="shared" si="139"/>
        <v>0</v>
      </c>
      <c r="L145" s="182">
        <f t="shared" si="139"/>
        <v>0</v>
      </c>
      <c r="M145" s="182">
        <f t="shared" si="139"/>
        <v>0</v>
      </c>
      <c r="N145" s="182">
        <f t="shared" si="139"/>
        <v>0</v>
      </c>
      <c r="O145" s="182">
        <f t="shared" si="139"/>
        <v>0</v>
      </c>
      <c r="P145" s="182">
        <f t="shared" si="139"/>
        <v>0</v>
      </c>
      <c r="Q145" s="182">
        <f t="shared" si="139"/>
        <v>0</v>
      </c>
      <c r="R145" s="182">
        <f t="shared" si="139"/>
        <v>0</v>
      </c>
      <c r="S145" s="182">
        <f t="shared" si="139"/>
        <v>0</v>
      </c>
      <c r="T145" s="182">
        <f t="shared" si="139"/>
        <v>0</v>
      </c>
      <c r="U145" s="182">
        <f t="shared" si="139"/>
        <v>0</v>
      </c>
      <c r="V145" s="182">
        <f t="shared" si="139"/>
        <v>0</v>
      </c>
      <c r="W145" s="182">
        <f t="shared" si="139"/>
        <v>0</v>
      </c>
      <c r="X145" s="182">
        <f t="shared" si="139"/>
        <v>0</v>
      </c>
      <c r="Y145" s="182">
        <f t="shared" si="139"/>
        <v>0</v>
      </c>
      <c r="Z145" s="182">
        <f t="shared" si="139"/>
        <v>0</v>
      </c>
      <c r="AA145" s="182">
        <f t="shared" si="139"/>
        <v>0</v>
      </c>
      <c r="AB145" s="182">
        <f t="shared" si="139"/>
        <v>0</v>
      </c>
      <c r="AC145" s="182">
        <f t="shared" si="139"/>
        <v>0</v>
      </c>
      <c r="AD145" s="182">
        <f t="shared" si="139"/>
        <v>0</v>
      </c>
      <c r="AE145" s="182">
        <f t="shared" si="139"/>
        <v>0</v>
      </c>
      <c r="AF145" s="182">
        <f t="shared" si="139"/>
        <v>0</v>
      </c>
      <c r="AG145" s="182">
        <f t="shared" si="139"/>
        <v>0</v>
      </c>
      <c r="AH145" s="227">
        <f>SUM(C145:AG145)</f>
        <v>0</v>
      </c>
      <c r="AI145" s="227"/>
      <c r="AJ145" s="174" t="s">
        <v>69</v>
      </c>
      <c r="AK145" s="133"/>
      <c r="AL145" s="133"/>
    </row>
    <row r="146" spans="1:38" ht="15.95" hidden="1" customHeight="1" x14ac:dyDescent="0.25">
      <c r="A146" s="164" t="s">
        <v>87</v>
      </c>
      <c r="B146" s="165" t="s">
        <v>29</v>
      </c>
      <c r="C146" s="141">
        <f t="shared" ref="C146:AG146" si="140">IF(C18=$R32,$S32*24,IF(C18=$R33,$S33*24,IF(C18=$R34,$S34*24,IF(C18=$R35,$S35*24,IF(C18=$R36,$S36*24,IF(C18=$R37,$S37*24,IF(C18=$R38,$S38*24,IF(C18=$R39,$S39*24,IF(C18=$R40,$S40*24,"")))))))))</f>
        <v>6</v>
      </c>
      <c r="D146" s="141" t="str">
        <f t="shared" si="140"/>
        <v/>
      </c>
      <c r="E146" s="141" t="str">
        <f t="shared" si="140"/>
        <v/>
      </c>
      <c r="F146" s="141">
        <f t="shared" si="140"/>
        <v>6</v>
      </c>
      <c r="G146" s="141">
        <f t="shared" si="140"/>
        <v>6</v>
      </c>
      <c r="H146" s="141" t="str">
        <f t="shared" si="140"/>
        <v/>
      </c>
      <c r="I146" s="141" t="str">
        <f t="shared" si="140"/>
        <v/>
      </c>
      <c r="J146" s="141" t="str">
        <f t="shared" si="140"/>
        <v/>
      </c>
      <c r="K146" s="141">
        <f t="shared" si="140"/>
        <v>6</v>
      </c>
      <c r="L146" s="141">
        <f t="shared" si="140"/>
        <v>6</v>
      </c>
      <c r="M146" s="141" t="str">
        <f t="shared" si="140"/>
        <v/>
      </c>
      <c r="N146" s="141" t="str">
        <f t="shared" si="140"/>
        <v/>
      </c>
      <c r="O146" s="141">
        <f t="shared" si="140"/>
        <v>6</v>
      </c>
      <c r="P146" s="141">
        <f t="shared" si="140"/>
        <v>6</v>
      </c>
      <c r="Q146" s="141">
        <f t="shared" si="140"/>
        <v>6</v>
      </c>
      <c r="R146" s="141" t="str">
        <f t="shared" si="140"/>
        <v/>
      </c>
      <c r="S146" s="141" t="str">
        <f t="shared" si="140"/>
        <v/>
      </c>
      <c r="T146" s="141">
        <f t="shared" si="140"/>
        <v>6</v>
      </c>
      <c r="U146" s="141">
        <f t="shared" si="140"/>
        <v>6</v>
      </c>
      <c r="V146" s="141" t="str">
        <f t="shared" si="140"/>
        <v/>
      </c>
      <c r="W146" s="141" t="str">
        <f t="shared" si="140"/>
        <v/>
      </c>
      <c r="X146" s="141" t="str">
        <f t="shared" si="140"/>
        <v/>
      </c>
      <c r="Y146" s="141">
        <f t="shared" si="140"/>
        <v>6</v>
      </c>
      <c r="Z146" s="141">
        <f t="shared" si="140"/>
        <v>6</v>
      </c>
      <c r="AA146" s="141" t="str">
        <f t="shared" si="140"/>
        <v/>
      </c>
      <c r="AB146" s="141" t="str">
        <f t="shared" si="140"/>
        <v/>
      </c>
      <c r="AC146" s="141">
        <f t="shared" si="140"/>
        <v>6</v>
      </c>
      <c r="AD146" s="141">
        <f t="shared" si="140"/>
        <v>6</v>
      </c>
      <c r="AE146" s="141">
        <f t="shared" si="140"/>
        <v>6</v>
      </c>
      <c r="AF146" s="141" t="str">
        <f t="shared" si="140"/>
        <v/>
      </c>
      <c r="AG146" s="141" t="str">
        <f t="shared" si="140"/>
        <v/>
      </c>
      <c r="AH146" s="154" t="s">
        <v>12</v>
      </c>
      <c r="AI146" s="133"/>
      <c r="AJ146" s="170"/>
      <c r="AK146" s="133"/>
      <c r="AL146" s="133"/>
    </row>
    <row r="147" spans="1:38" ht="15.95" hidden="1" customHeight="1" x14ac:dyDescent="0.25">
      <c r="A147" s="166" t="s">
        <v>88</v>
      </c>
      <c r="B147" s="167" t="s">
        <v>30</v>
      </c>
      <c r="C147" s="141">
        <f t="shared" ref="C147:AG147" si="141">IF(C18=$R32,$V32*24,IF(C18=$R33,$V33*24,IF(C18=$R34,$V34*24,IF(C18=$R35,$V35*24,IF(C18=$R36,$V36*24,IF(C18=$R37,$V37*24,IF(C18=$R38,$V38*24,IF(C18=$R39,$V39*24,IF(C18=$R40,$V40*24,"")))))))))</f>
        <v>18</v>
      </c>
      <c r="D147" s="141" t="str">
        <f t="shared" si="141"/>
        <v/>
      </c>
      <c r="E147" s="141" t="str">
        <f t="shared" si="141"/>
        <v/>
      </c>
      <c r="F147" s="141">
        <f t="shared" si="141"/>
        <v>18</v>
      </c>
      <c r="G147" s="141">
        <f t="shared" si="141"/>
        <v>18</v>
      </c>
      <c r="H147" s="141" t="str">
        <f t="shared" si="141"/>
        <v/>
      </c>
      <c r="I147" s="141" t="str">
        <f t="shared" si="141"/>
        <v/>
      </c>
      <c r="J147" s="141" t="str">
        <f t="shared" si="141"/>
        <v/>
      </c>
      <c r="K147" s="141">
        <f t="shared" si="141"/>
        <v>18</v>
      </c>
      <c r="L147" s="141">
        <f t="shared" si="141"/>
        <v>18</v>
      </c>
      <c r="M147" s="141" t="str">
        <f t="shared" si="141"/>
        <v/>
      </c>
      <c r="N147" s="141" t="str">
        <f t="shared" si="141"/>
        <v/>
      </c>
      <c r="O147" s="141">
        <f t="shared" si="141"/>
        <v>18</v>
      </c>
      <c r="P147" s="141">
        <f t="shared" si="141"/>
        <v>18</v>
      </c>
      <c r="Q147" s="141">
        <f t="shared" si="141"/>
        <v>18</v>
      </c>
      <c r="R147" s="141" t="str">
        <f t="shared" si="141"/>
        <v/>
      </c>
      <c r="S147" s="141" t="str">
        <f t="shared" si="141"/>
        <v/>
      </c>
      <c r="T147" s="141">
        <f t="shared" si="141"/>
        <v>18</v>
      </c>
      <c r="U147" s="141">
        <f t="shared" si="141"/>
        <v>18</v>
      </c>
      <c r="V147" s="141" t="str">
        <f t="shared" si="141"/>
        <v/>
      </c>
      <c r="W147" s="141" t="str">
        <f t="shared" si="141"/>
        <v/>
      </c>
      <c r="X147" s="141" t="str">
        <f t="shared" si="141"/>
        <v/>
      </c>
      <c r="Y147" s="141">
        <f t="shared" si="141"/>
        <v>18</v>
      </c>
      <c r="Z147" s="141">
        <f t="shared" si="141"/>
        <v>18</v>
      </c>
      <c r="AA147" s="141" t="str">
        <f t="shared" si="141"/>
        <v/>
      </c>
      <c r="AB147" s="141" t="str">
        <f t="shared" si="141"/>
        <v/>
      </c>
      <c r="AC147" s="141">
        <f t="shared" si="141"/>
        <v>18</v>
      </c>
      <c r="AD147" s="141">
        <f t="shared" si="141"/>
        <v>18</v>
      </c>
      <c r="AE147" s="141">
        <f t="shared" si="141"/>
        <v>18</v>
      </c>
      <c r="AF147" s="141" t="str">
        <f t="shared" si="141"/>
        <v/>
      </c>
      <c r="AG147" s="141" t="str">
        <f t="shared" si="141"/>
        <v/>
      </c>
      <c r="AH147" s="154" t="s">
        <v>12</v>
      </c>
      <c r="AI147" s="133"/>
      <c r="AJ147" s="170"/>
      <c r="AK147" s="133"/>
      <c r="AL147" s="133"/>
    </row>
    <row r="148" spans="1:38" ht="15.95" hidden="1" customHeight="1" x14ac:dyDescent="0.25">
      <c r="A148" s="153"/>
      <c r="B148" s="168" t="s">
        <v>34</v>
      </c>
      <c r="C148" s="169">
        <f t="shared" ref="C148:AD148" si="142">IF(C18=$R32,$BD32*24,IF(C18=$R33,$BD33*24,IF(C18=$R34,$BD34*24,IF(C18=$R35,$BD35*24,IF(C18=$R36,$BD36*24,IF(C18=$R37,$BD37*24,IF(C18=$R38,$BD38*24,IF(C18=$R39,$BD39*24,IF(C18=$R40,$BD40*24,"")))))))))</f>
        <v>0</v>
      </c>
      <c r="D148" s="169" t="str">
        <f t="shared" si="142"/>
        <v/>
      </c>
      <c r="E148" s="169" t="str">
        <f t="shared" si="142"/>
        <v/>
      </c>
      <c r="F148" s="169">
        <f t="shared" si="142"/>
        <v>0</v>
      </c>
      <c r="G148" s="169">
        <f t="shared" si="142"/>
        <v>0</v>
      </c>
      <c r="H148" s="169" t="str">
        <f t="shared" si="142"/>
        <v/>
      </c>
      <c r="I148" s="169" t="str">
        <f t="shared" si="142"/>
        <v/>
      </c>
      <c r="J148" s="169" t="str">
        <f t="shared" si="142"/>
        <v/>
      </c>
      <c r="K148" s="169">
        <f t="shared" si="142"/>
        <v>0</v>
      </c>
      <c r="L148" s="169">
        <f t="shared" si="142"/>
        <v>0</v>
      </c>
      <c r="M148" s="169" t="str">
        <f t="shared" si="142"/>
        <v/>
      </c>
      <c r="N148" s="169" t="str">
        <f t="shared" si="142"/>
        <v/>
      </c>
      <c r="O148" s="169">
        <f t="shared" si="142"/>
        <v>0</v>
      </c>
      <c r="P148" s="169">
        <f t="shared" si="142"/>
        <v>0</v>
      </c>
      <c r="Q148" s="169">
        <f t="shared" si="142"/>
        <v>0</v>
      </c>
      <c r="R148" s="169" t="str">
        <f t="shared" si="142"/>
        <v/>
      </c>
      <c r="S148" s="169" t="str">
        <f t="shared" si="142"/>
        <v/>
      </c>
      <c r="T148" s="169">
        <f t="shared" si="142"/>
        <v>0</v>
      </c>
      <c r="U148" s="169">
        <f t="shared" si="142"/>
        <v>0</v>
      </c>
      <c r="V148" s="169" t="str">
        <f t="shared" si="142"/>
        <v/>
      </c>
      <c r="W148" s="169" t="str">
        <f t="shared" si="142"/>
        <v/>
      </c>
      <c r="X148" s="169" t="str">
        <f t="shared" si="142"/>
        <v/>
      </c>
      <c r="Y148" s="169">
        <f t="shared" si="142"/>
        <v>0</v>
      </c>
      <c r="Z148" s="169">
        <f t="shared" si="142"/>
        <v>0</v>
      </c>
      <c r="AA148" s="169" t="str">
        <f t="shared" si="142"/>
        <v/>
      </c>
      <c r="AB148" s="169" t="str">
        <f t="shared" si="142"/>
        <v/>
      </c>
      <c r="AC148" s="169">
        <f t="shared" si="142"/>
        <v>0</v>
      </c>
      <c r="AD148" s="169">
        <f t="shared" si="142"/>
        <v>0</v>
      </c>
      <c r="AE148" s="169">
        <f>IF(AE18=$R32,$BD32*24,IF(AE18=$R33,$BD33*24,IF(AE18=$R34,$BD34*24,IF(AE18=$R35,$BD35*24,IF(AE18=$R36,$BD36*24,IF(AE18=$R37,$BD37*24,IF(AE18=$R38,$BD38*24,IF(AE18=$R39,$BD39*24,IF(AE18=$R40,$BD40*24,"")))))))))</f>
        <v>0</v>
      </c>
      <c r="AF148" s="169" t="str">
        <f>IF(AF18=$R32,$BD32*24,IF(AF18=$R33,$BD33*24,IF(AF18=$R34,$BD34*24,IF(AF18=$R35,$BD35*24,IF(AF18=$R36,$BD36*24,IF(AF18=$R37,$BD37*24,IF(AF18=$R38,$BD38*24,IF(AF18=$R39,$BD39*24,IF(AF18=$R40,$BD40*24,"")))))))))</f>
        <v/>
      </c>
      <c r="AG148" s="169" t="str">
        <f>IF(AG18=$R32,$BD32*24,IF(AG18=$R33,$BD33*24,IF(AG18=$R34,$BD34*24,IF(AG18=$R35,$BD35*24,IF(AG18=$R36,$BD36*24,IF(AG18=$R37,$BD37*24,IF(AG18=$R38,$BD38*24,IF(AG18=$R39,$BD39*24,IF(AG18=$R40,$BD40*24,"")))))))))</f>
        <v/>
      </c>
      <c r="AH148" s="148">
        <f>SUM(C148:AG148)</f>
        <v>0</v>
      </c>
      <c r="AI148" s="133"/>
      <c r="AJ148" s="170"/>
      <c r="AK148" s="133"/>
      <c r="AL148" s="133"/>
    </row>
    <row r="149" spans="1:38" ht="15.95" hidden="1" customHeight="1" x14ac:dyDescent="0.25">
      <c r="A149" s="153"/>
      <c r="B149" s="167" t="s">
        <v>59</v>
      </c>
      <c r="C149" s="141">
        <f t="shared" ref="C149:AG149" si="143">IF(C18="V",$C36,IF(C18="PR",$C38,0))</f>
        <v>0</v>
      </c>
      <c r="D149" s="141">
        <f t="shared" si="143"/>
        <v>0</v>
      </c>
      <c r="E149" s="141">
        <f t="shared" si="143"/>
        <v>0</v>
      </c>
      <c r="F149" s="141">
        <f t="shared" si="143"/>
        <v>0</v>
      </c>
      <c r="G149" s="141">
        <f t="shared" si="143"/>
        <v>0</v>
      </c>
      <c r="H149" s="141">
        <f t="shared" si="143"/>
        <v>0</v>
      </c>
      <c r="I149" s="141">
        <f t="shared" si="143"/>
        <v>0</v>
      </c>
      <c r="J149" s="141">
        <f t="shared" si="143"/>
        <v>0</v>
      </c>
      <c r="K149" s="141">
        <f t="shared" si="143"/>
        <v>0</v>
      </c>
      <c r="L149" s="141">
        <f t="shared" si="143"/>
        <v>0</v>
      </c>
      <c r="M149" s="141">
        <f t="shared" si="143"/>
        <v>0</v>
      </c>
      <c r="N149" s="141">
        <f t="shared" si="143"/>
        <v>0</v>
      </c>
      <c r="O149" s="141">
        <f t="shared" si="143"/>
        <v>0</v>
      </c>
      <c r="P149" s="141">
        <f t="shared" si="143"/>
        <v>0</v>
      </c>
      <c r="Q149" s="141">
        <f t="shared" si="143"/>
        <v>0</v>
      </c>
      <c r="R149" s="141">
        <f t="shared" si="143"/>
        <v>0</v>
      </c>
      <c r="S149" s="141">
        <f t="shared" si="143"/>
        <v>0</v>
      </c>
      <c r="T149" s="141">
        <f t="shared" si="143"/>
        <v>0</v>
      </c>
      <c r="U149" s="141">
        <f t="shared" si="143"/>
        <v>0</v>
      </c>
      <c r="V149" s="141">
        <f t="shared" si="143"/>
        <v>0</v>
      </c>
      <c r="W149" s="141">
        <f t="shared" si="143"/>
        <v>0</v>
      </c>
      <c r="X149" s="141">
        <f t="shared" si="143"/>
        <v>0</v>
      </c>
      <c r="Y149" s="141">
        <f t="shared" si="143"/>
        <v>0</v>
      </c>
      <c r="Z149" s="141">
        <f t="shared" si="143"/>
        <v>0</v>
      </c>
      <c r="AA149" s="141">
        <f t="shared" si="143"/>
        <v>0</v>
      </c>
      <c r="AB149" s="141">
        <f t="shared" si="143"/>
        <v>0</v>
      </c>
      <c r="AC149" s="141">
        <f t="shared" si="143"/>
        <v>0</v>
      </c>
      <c r="AD149" s="141">
        <f t="shared" si="143"/>
        <v>0</v>
      </c>
      <c r="AE149" s="141">
        <f t="shared" si="143"/>
        <v>0</v>
      </c>
      <c r="AF149" s="141">
        <f t="shared" si="143"/>
        <v>0</v>
      </c>
      <c r="AG149" s="141">
        <f t="shared" si="143"/>
        <v>0</v>
      </c>
      <c r="AH149" s="226">
        <f>SUM(C149:AG149)</f>
        <v>0</v>
      </c>
      <c r="AI149" s="226"/>
      <c r="AJ149" s="230">
        <f>SUM(AH94+AH105+AH116+AH127+AH138+AH149)</f>
        <v>0</v>
      </c>
      <c r="AK149" s="230"/>
      <c r="AL149" s="133" t="s">
        <v>56</v>
      </c>
    </row>
    <row r="150" spans="1:38" ht="15.95" hidden="1" customHeight="1" x14ac:dyDescent="0.25">
      <c r="A150" s="150" t="s">
        <v>60</v>
      </c>
      <c r="B150" s="167" t="s">
        <v>61</v>
      </c>
      <c r="C150" s="151">
        <f t="shared" ref="C150:AD150" si="144">IF(C18=$R32,$BC32,IF(C18=$R33,$BC33,IF(C18=$R34,$BC34,IF(C18=$R35,$BC35,IF(C18=$R36,$BC36,IF(C18=$R37,$BC37,IF(C18=$R38,$BC38,IF(C18=$R39,$BC39,IF(C18=$R40,$BC40,0)))))))))</f>
        <v>12</v>
      </c>
      <c r="D150" s="151">
        <f t="shared" si="144"/>
        <v>0</v>
      </c>
      <c r="E150" s="151">
        <f t="shared" si="144"/>
        <v>0</v>
      </c>
      <c r="F150" s="151">
        <f t="shared" si="144"/>
        <v>12</v>
      </c>
      <c r="G150" s="151">
        <f t="shared" si="144"/>
        <v>12</v>
      </c>
      <c r="H150" s="151">
        <f t="shared" si="144"/>
        <v>0</v>
      </c>
      <c r="I150" s="151">
        <f t="shared" si="144"/>
        <v>0</v>
      </c>
      <c r="J150" s="151">
        <f t="shared" si="144"/>
        <v>0</v>
      </c>
      <c r="K150" s="151">
        <f t="shared" si="144"/>
        <v>12</v>
      </c>
      <c r="L150" s="151">
        <f t="shared" si="144"/>
        <v>12</v>
      </c>
      <c r="M150" s="151">
        <f t="shared" si="144"/>
        <v>0</v>
      </c>
      <c r="N150" s="151">
        <f t="shared" si="144"/>
        <v>0</v>
      </c>
      <c r="O150" s="151">
        <f t="shared" si="144"/>
        <v>12</v>
      </c>
      <c r="P150" s="151">
        <f t="shared" si="144"/>
        <v>12</v>
      </c>
      <c r="Q150" s="151">
        <f t="shared" si="144"/>
        <v>12</v>
      </c>
      <c r="R150" s="151">
        <f t="shared" si="144"/>
        <v>0</v>
      </c>
      <c r="S150" s="151">
        <f t="shared" si="144"/>
        <v>0</v>
      </c>
      <c r="T150" s="151">
        <f t="shared" si="144"/>
        <v>12</v>
      </c>
      <c r="U150" s="151">
        <f t="shared" si="144"/>
        <v>12</v>
      </c>
      <c r="V150" s="151">
        <f t="shared" si="144"/>
        <v>0</v>
      </c>
      <c r="W150" s="151">
        <f t="shared" si="144"/>
        <v>0</v>
      </c>
      <c r="X150" s="151">
        <f t="shared" si="144"/>
        <v>0</v>
      </c>
      <c r="Y150" s="151">
        <f t="shared" si="144"/>
        <v>12</v>
      </c>
      <c r="Z150" s="151">
        <f t="shared" si="144"/>
        <v>12</v>
      </c>
      <c r="AA150" s="151">
        <f t="shared" si="144"/>
        <v>0</v>
      </c>
      <c r="AB150" s="151">
        <f t="shared" si="144"/>
        <v>0</v>
      </c>
      <c r="AC150" s="151">
        <f t="shared" si="144"/>
        <v>12</v>
      </c>
      <c r="AD150" s="151">
        <f t="shared" si="144"/>
        <v>12</v>
      </c>
      <c r="AE150" s="151">
        <f>IF(AE18=$R32,$BC32,IF(AE18=$R33,$BC33,IF(AE18=$R34,$BC34,IF(AE18=$R35,$BC35,IF(AE18=$R36,$BC36,IF(AE18=$R37,$BC37,IF(AE18=$R38,$BC38,IF(AE18=$R39,$BC39,IF(AE18=$R40,$BC40,0)))))))))</f>
        <v>12</v>
      </c>
      <c r="AF150" s="151">
        <f>IF(AF18=$R32,$BC32,IF(AF18=$R33,$BC33,IF(AF18=$R34,$BC34,IF(AF18=$R35,$BC35,IF(AF18=$R36,$BC36,IF(AF18=$R37,$BC37,IF(AF18=$R38,$BC38,IF(AF18=$R39,$BC39,IF(AF18=$R40,$BC40,0)))))))))</f>
        <v>0</v>
      </c>
      <c r="AG150" s="151">
        <f>IF(AG18=$R32,$BC32,IF(AG18=$R33,$BC33,IF(AG18=$R34,$BC34,IF(AG18=$R35,$BC35,IF(AG18=$R36,$BC36,IF(AG18=$R37,$BC37,IF(AG18=$R38,$BC38,IF(AG18=$R39,$BC39,IF(AG18=$R40,$BC40,0)))))))))</f>
        <v>0</v>
      </c>
      <c r="AH150" s="226">
        <f>SUM(C150:AG150)</f>
        <v>180</v>
      </c>
      <c r="AI150" s="226"/>
      <c r="AJ150" s="174" t="s">
        <v>62</v>
      </c>
      <c r="AK150" s="133" t="s">
        <v>12</v>
      </c>
      <c r="AL150" s="133"/>
    </row>
    <row r="151" spans="1:38" ht="15.95" hidden="1" customHeight="1" x14ac:dyDescent="0.25">
      <c r="A151" s="153" t="s">
        <v>48</v>
      </c>
      <c r="B151" s="149" t="s">
        <v>63</v>
      </c>
      <c r="C151" s="141">
        <f>IF(C46=1,IF(C146&lt;C147,C150,0))</f>
        <v>12</v>
      </c>
      <c r="D151" s="141" t="b">
        <f t="shared" ref="D151:AG151" si="145">IF(D46=1,IF(D146&lt;D147,D150,0))</f>
        <v>0</v>
      </c>
      <c r="E151" s="141" t="b">
        <f t="shared" si="145"/>
        <v>0</v>
      </c>
      <c r="F151" s="141" t="b">
        <f t="shared" si="145"/>
        <v>0</v>
      </c>
      <c r="G151" s="141" t="b">
        <f t="shared" si="145"/>
        <v>0</v>
      </c>
      <c r="H151" s="141" t="b">
        <f t="shared" si="145"/>
        <v>0</v>
      </c>
      <c r="I151" s="141">
        <f t="shared" si="145"/>
        <v>0</v>
      </c>
      <c r="J151" s="141">
        <f t="shared" si="145"/>
        <v>0</v>
      </c>
      <c r="K151" s="141" t="b">
        <f t="shared" si="145"/>
        <v>0</v>
      </c>
      <c r="L151" s="141" t="b">
        <f t="shared" si="145"/>
        <v>0</v>
      </c>
      <c r="M151" s="141" t="b">
        <f t="shared" si="145"/>
        <v>0</v>
      </c>
      <c r="N151" s="141" t="b">
        <f t="shared" si="145"/>
        <v>0</v>
      </c>
      <c r="O151" s="141" t="b">
        <f t="shared" si="145"/>
        <v>0</v>
      </c>
      <c r="P151" s="141">
        <f t="shared" si="145"/>
        <v>12</v>
      </c>
      <c r="Q151" s="141">
        <f t="shared" si="145"/>
        <v>12</v>
      </c>
      <c r="R151" s="141" t="b">
        <f t="shared" si="145"/>
        <v>0</v>
      </c>
      <c r="S151" s="141" t="b">
        <f t="shared" si="145"/>
        <v>0</v>
      </c>
      <c r="T151" s="141" t="b">
        <f t="shared" si="145"/>
        <v>0</v>
      </c>
      <c r="U151" s="141" t="b">
        <f t="shared" si="145"/>
        <v>0</v>
      </c>
      <c r="V151" s="141" t="b">
        <f t="shared" si="145"/>
        <v>0</v>
      </c>
      <c r="W151" s="141">
        <f t="shared" si="145"/>
        <v>0</v>
      </c>
      <c r="X151" s="141">
        <f t="shared" si="145"/>
        <v>0</v>
      </c>
      <c r="Y151" s="141" t="b">
        <f t="shared" si="145"/>
        <v>0</v>
      </c>
      <c r="Z151" s="141" t="b">
        <f t="shared" si="145"/>
        <v>0</v>
      </c>
      <c r="AA151" s="141" t="b">
        <f t="shared" si="145"/>
        <v>0</v>
      </c>
      <c r="AB151" s="141" t="b">
        <f t="shared" si="145"/>
        <v>0</v>
      </c>
      <c r="AC151" s="141" t="b">
        <f t="shared" si="145"/>
        <v>0</v>
      </c>
      <c r="AD151" s="141">
        <f t="shared" si="145"/>
        <v>12</v>
      </c>
      <c r="AE151" s="141">
        <f t="shared" si="145"/>
        <v>12</v>
      </c>
      <c r="AF151" s="141" t="b">
        <f t="shared" si="145"/>
        <v>0</v>
      </c>
      <c r="AG151" s="141" t="b">
        <f t="shared" si="145"/>
        <v>0</v>
      </c>
      <c r="AH151" s="154" t="s">
        <v>12</v>
      </c>
      <c r="AI151" s="133"/>
      <c r="AJ151" s="170"/>
      <c r="AK151" s="133"/>
      <c r="AL151" s="133"/>
    </row>
    <row r="152" spans="1:38" ht="15.95" hidden="1" customHeight="1" x14ac:dyDescent="0.25">
      <c r="A152" s="176"/>
      <c r="B152" s="149" t="s">
        <v>64</v>
      </c>
      <c r="C152" s="141">
        <f t="shared" ref="C152:AG152" si="146">IF(C46=1,IF(C146&gt;C147,24-C146,0),0)</f>
        <v>0</v>
      </c>
      <c r="D152" s="141">
        <f t="shared" si="146"/>
        <v>0</v>
      </c>
      <c r="E152" s="141">
        <f t="shared" si="146"/>
        <v>0</v>
      </c>
      <c r="F152" s="141">
        <f t="shared" si="146"/>
        <v>0</v>
      </c>
      <c r="G152" s="141">
        <f t="shared" si="146"/>
        <v>0</v>
      </c>
      <c r="H152" s="141">
        <f t="shared" si="146"/>
        <v>0</v>
      </c>
      <c r="I152" s="141">
        <f t="shared" si="146"/>
        <v>0</v>
      </c>
      <c r="J152" s="141">
        <f t="shared" si="146"/>
        <v>0</v>
      </c>
      <c r="K152" s="141">
        <f t="shared" si="146"/>
        <v>0</v>
      </c>
      <c r="L152" s="141">
        <f t="shared" si="146"/>
        <v>0</v>
      </c>
      <c r="M152" s="141">
        <f t="shared" si="146"/>
        <v>0</v>
      </c>
      <c r="N152" s="141">
        <f t="shared" si="146"/>
        <v>0</v>
      </c>
      <c r="O152" s="141">
        <f t="shared" si="146"/>
        <v>0</v>
      </c>
      <c r="P152" s="141">
        <f t="shared" si="146"/>
        <v>0</v>
      </c>
      <c r="Q152" s="141">
        <f t="shared" si="146"/>
        <v>0</v>
      </c>
      <c r="R152" s="141">
        <f t="shared" si="146"/>
        <v>0</v>
      </c>
      <c r="S152" s="141">
        <f t="shared" si="146"/>
        <v>0</v>
      </c>
      <c r="T152" s="141">
        <f t="shared" si="146"/>
        <v>0</v>
      </c>
      <c r="U152" s="141">
        <f t="shared" si="146"/>
        <v>0</v>
      </c>
      <c r="V152" s="141">
        <f t="shared" si="146"/>
        <v>0</v>
      </c>
      <c r="W152" s="141">
        <f t="shared" si="146"/>
        <v>0</v>
      </c>
      <c r="X152" s="141">
        <f t="shared" si="146"/>
        <v>0</v>
      </c>
      <c r="Y152" s="141">
        <f t="shared" si="146"/>
        <v>0</v>
      </c>
      <c r="Z152" s="141">
        <f t="shared" si="146"/>
        <v>0</v>
      </c>
      <c r="AA152" s="141">
        <f t="shared" si="146"/>
        <v>0</v>
      </c>
      <c r="AB152" s="141">
        <f t="shared" si="146"/>
        <v>0</v>
      </c>
      <c r="AC152" s="141">
        <f t="shared" si="146"/>
        <v>0</v>
      </c>
      <c r="AD152" s="141">
        <f t="shared" si="146"/>
        <v>0</v>
      </c>
      <c r="AE152" s="141">
        <f t="shared" si="146"/>
        <v>0</v>
      </c>
      <c r="AF152" s="141">
        <f t="shared" si="146"/>
        <v>0</v>
      </c>
      <c r="AG152" s="141">
        <f t="shared" si="146"/>
        <v>0</v>
      </c>
      <c r="AH152" s="154" t="s">
        <v>12</v>
      </c>
      <c r="AI152" s="133"/>
      <c r="AJ152" s="170"/>
      <c r="AK152" s="133"/>
      <c r="AL152" s="133"/>
    </row>
    <row r="153" spans="1:38" ht="15.95" hidden="1" customHeight="1" x14ac:dyDescent="0.25">
      <c r="A153" s="176"/>
      <c r="B153" s="149" t="s">
        <v>65</v>
      </c>
      <c r="C153" s="141">
        <f t="shared" ref="C153:AG153" si="147">IF(D46=1,IF(C146&gt;C147,C147,0),0)</f>
        <v>0</v>
      </c>
      <c r="D153" s="141">
        <f t="shared" si="147"/>
        <v>0</v>
      </c>
      <c r="E153" s="141">
        <f t="shared" si="147"/>
        <v>0</v>
      </c>
      <c r="F153" s="141">
        <f t="shared" si="147"/>
        <v>0</v>
      </c>
      <c r="G153" s="141">
        <f t="shared" si="147"/>
        <v>0</v>
      </c>
      <c r="H153" s="141">
        <f t="shared" si="147"/>
        <v>0</v>
      </c>
      <c r="I153" s="141">
        <f t="shared" si="147"/>
        <v>0</v>
      </c>
      <c r="J153" s="141">
        <f t="shared" si="147"/>
        <v>0</v>
      </c>
      <c r="K153" s="141">
        <f t="shared" si="147"/>
        <v>0</v>
      </c>
      <c r="L153" s="141">
        <f t="shared" si="147"/>
        <v>0</v>
      </c>
      <c r="M153" s="141">
        <f t="shared" si="147"/>
        <v>0</v>
      </c>
      <c r="N153" s="141">
        <f t="shared" si="147"/>
        <v>0</v>
      </c>
      <c r="O153" s="141">
        <f t="shared" si="147"/>
        <v>0</v>
      </c>
      <c r="P153" s="141">
        <f t="shared" si="147"/>
        <v>0</v>
      </c>
      <c r="Q153" s="141">
        <f t="shared" si="147"/>
        <v>0</v>
      </c>
      <c r="R153" s="141">
        <f t="shared" si="147"/>
        <v>0</v>
      </c>
      <c r="S153" s="141">
        <f t="shared" si="147"/>
        <v>0</v>
      </c>
      <c r="T153" s="141">
        <f t="shared" si="147"/>
        <v>0</v>
      </c>
      <c r="U153" s="141">
        <f t="shared" si="147"/>
        <v>0</v>
      </c>
      <c r="V153" s="141">
        <f t="shared" si="147"/>
        <v>0</v>
      </c>
      <c r="W153" s="141">
        <f t="shared" si="147"/>
        <v>0</v>
      </c>
      <c r="X153" s="141">
        <f>IF(Y46=1,IF(X146&gt;X147,X147,0),0)</f>
        <v>0</v>
      </c>
      <c r="Y153" s="141">
        <f t="shared" si="147"/>
        <v>0</v>
      </c>
      <c r="Z153" s="141">
        <f t="shared" si="147"/>
        <v>0</v>
      </c>
      <c r="AA153" s="141">
        <f t="shared" si="147"/>
        <v>0</v>
      </c>
      <c r="AB153" s="141">
        <f t="shared" si="147"/>
        <v>0</v>
      </c>
      <c r="AC153" s="141">
        <f t="shared" si="147"/>
        <v>0</v>
      </c>
      <c r="AD153" s="141">
        <f t="shared" si="147"/>
        <v>0</v>
      </c>
      <c r="AE153" s="141">
        <f t="shared" si="147"/>
        <v>0</v>
      </c>
      <c r="AF153" s="141">
        <f t="shared" si="147"/>
        <v>0</v>
      </c>
      <c r="AG153" s="141">
        <f t="shared" si="147"/>
        <v>0</v>
      </c>
      <c r="AH153" s="154" t="s">
        <v>12</v>
      </c>
      <c r="AI153" s="133"/>
      <c r="AJ153" s="170"/>
      <c r="AK153" s="133"/>
      <c r="AL153" s="133"/>
    </row>
    <row r="154" spans="1:38" ht="15.95" hidden="1" customHeight="1" x14ac:dyDescent="0.25">
      <c r="A154" s="176"/>
      <c r="B154" s="149" t="s">
        <v>67</v>
      </c>
      <c r="C154" s="171">
        <f>SUM(C151:C153)</f>
        <v>12</v>
      </c>
      <c r="D154" s="171">
        <f t="shared" ref="D154:AG154" si="148">SUM(D151:D153)</f>
        <v>0</v>
      </c>
      <c r="E154" s="171">
        <f t="shared" si="148"/>
        <v>0</v>
      </c>
      <c r="F154" s="171">
        <f t="shared" si="148"/>
        <v>0</v>
      </c>
      <c r="G154" s="171">
        <f t="shared" si="148"/>
        <v>0</v>
      </c>
      <c r="H154" s="171">
        <f t="shared" si="148"/>
        <v>0</v>
      </c>
      <c r="I154" s="171">
        <f t="shared" si="148"/>
        <v>0</v>
      </c>
      <c r="J154" s="171">
        <f t="shared" si="148"/>
        <v>0</v>
      </c>
      <c r="K154" s="171">
        <f t="shared" si="148"/>
        <v>0</v>
      </c>
      <c r="L154" s="171">
        <f t="shared" si="148"/>
        <v>0</v>
      </c>
      <c r="M154" s="171">
        <f t="shared" si="148"/>
        <v>0</v>
      </c>
      <c r="N154" s="171">
        <f t="shared" si="148"/>
        <v>0</v>
      </c>
      <c r="O154" s="171">
        <f t="shared" si="148"/>
        <v>0</v>
      </c>
      <c r="P154" s="171">
        <f t="shared" si="148"/>
        <v>12</v>
      </c>
      <c r="Q154" s="171">
        <f t="shared" si="148"/>
        <v>12</v>
      </c>
      <c r="R154" s="171">
        <f t="shared" si="148"/>
        <v>0</v>
      </c>
      <c r="S154" s="171">
        <f t="shared" si="148"/>
        <v>0</v>
      </c>
      <c r="T154" s="171">
        <f t="shared" si="148"/>
        <v>0</v>
      </c>
      <c r="U154" s="171">
        <f t="shared" si="148"/>
        <v>0</v>
      </c>
      <c r="V154" s="171">
        <f t="shared" si="148"/>
        <v>0</v>
      </c>
      <c r="W154" s="171">
        <f t="shared" si="148"/>
        <v>0</v>
      </c>
      <c r="X154" s="171">
        <f t="shared" si="148"/>
        <v>0</v>
      </c>
      <c r="Y154" s="171">
        <f t="shared" si="148"/>
        <v>0</v>
      </c>
      <c r="Z154" s="171">
        <f t="shared" si="148"/>
        <v>0</v>
      </c>
      <c r="AA154" s="171">
        <f t="shared" si="148"/>
        <v>0</v>
      </c>
      <c r="AB154" s="171">
        <f t="shared" si="148"/>
        <v>0</v>
      </c>
      <c r="AC154" s="171">
        <f t="shared" si="148"/>
        <v>0</v>
      </c>
      <c r="AD154" s="171">
        <f t="shared" si="148"/>
        <v>12</v>
      </c>
      <c r="AE154" s="171">
        <f t="shared" si="148"/>
        <v>12</v>
      </c>
      <c r="AF154" s="171">
        <f t="shared" si="148"/>
        <v>0</v>
      </c>
      <c r="AG154" s="171">
        <f t="shared" si="148"/>
        <v>0</v>
      </c>
      <c r="AH154" s="154" t="s">
        <v>12</v>
      </c>
      <c r="AI154" s="133"/>
      <c r="AJ154" s="170"/>
      <c r="AK154" s="133"/>
      <c r="AL154" s="133"/>
    </row>
    <row r="155" spans="1:38" ht="15.95" hidden="1" customHeight="1" x14ac:dyDescent="0.25">
      <c r="A155" s="177"/>
      <c r="B155" s="160" t="s">
        <v>68</v>
      </c>
      <c r="C155" s="161">
        <f t="shared" ref="C155:AG155" si="149">IF(C18="V",IF(C18="",0,1),0)</f>
        <v>0</v>
      </c>
      <c r="D155" s="161">
        <f t="shared" si="149"/>
        <v>0</v>
      </c>
      <c r="E155" s="161">
        <f t="shared" si="149"/>
        <v>0</v>
      </c>
      <c r="F155" s="161">
        <f t="shared" si="149"/>
        <v>0</v>
      </c>
      <c r="G155" s="161">
        <f t="shared" si="149"/>
        <v>0</v>
      </c>
      <c r="H155" s="161">
        <f t="shared" si="149"/>
        <v>0</v>
      </c>
      <c r="I155" s="161">
        <f t="shared" si="149"/>
        <v>0</v>
      </c>
      <c r="J155" s="161">
        <f t="shared" si="149"/>
        <v>0</v>
      </c>
      <c r="K155" s="161">
        <f t="shared" si="149"/>
        <v>0</v>
      </c>
      <c r="L155" s="161">
        <f t="shared" si="149"/>
        <v>0</v>
      </c>
      <c r="M155" s="161">
        <f t="shared" si="149"/>
        <v>0</v>
      </c>
      <c r="N155" s="161">
        <f t="shared" si="149"/>
        <v>0</v>
      </c>
      <c r="O155" s="161">
        <f t="shared" si="149"/>
        <v>0</v>
      </c>
      <c r="P155" s="161">
        <f t="shared" si="149"/>
        <v>0</v>
      </c>
      <c r="Q155" s="161">
        <f t="shared" si="149"/>
        <v>0</v>
      </c>
      <c r="R155" s="161">
        <f t="shared" si="149"/>
        <v>0</v>
      </c>
      <c r="S155" s="161">
        <f t="shared" si="149"/>
        <v>0</v>
      </c>
      <c r="T155" s="161">
        <f t="shared" si="149"/>
        <v>0</v>
      </c>
      <c r="U155" s="161">
        <f t="shared" si="149"/>
        <v>0</v>
      </c>
      <c r="V155" s="161">
        <f t="shared" si="149"/>
        <v>0</v>
      </c>
      <c r="W155" s="161">
        <f t="shared" si="149"/>
        <v>0</v>
      </c>
      <c r="X155" s="161">
        <f t="shared" si="149"/>
        <v>0</v>
      </c>
      <c r="Y155" s="161">
        <f t="shared" si="149"/>
        <v>0</v>
      </c>
      <c r="Z155" s="161">
        <f t="shared" si="149"/>
        <v>0</v>
      </c>
      <c r="AA155" s="161">
        <f t="shared" si="149"/>
        <v>0</v>
      </c>
      <c r="AB155" s="161">
        <f t="shared" si="149"/>
        <v>0</v>
      </c>
      <c r="AC155" s="161">
        <f t="shared" si="149"/>
        <v>0</v>
      </c>
      <c r="AD155" s="161">
        <f t="shared" si="149"/>
        <v>0</v>
      </c>
      <c r="AE155" s="161">
        <f t="shared" si="149"/>
        <v>0</v>
      </c>
      <c r="AF155" s="161">
        <f t="shared" si="149"/>
        <v>0</v>
      </c>
      <c r="AG155" s="161">
        <f t="shared" si="149"/>
        <v>0</v>
      </c>
      <c r="AH155" s="154" t="s">
        <v>12</v>
      </c>
      <c r="AI155" s="133"/>
      <c r="AJ155" s="170"/>
      <c r="AK155" s="133"/>
      <c r="AL155" s="133"/>
    </row>
    <row r="156" spans="1:38" ht="15.95" hidden="1" customHeight="1" x14ac:dyDescent="0.25">
      <c r="A156" s="180"/>
      <c r="B156" s="181" t="s">
        <v>16</v>
      </c>
      <c r="C156" s="182">
        <f t="shared" ref="C156:AG156" si="150">IF(C18="PR",IF(C18="",0,1),0)</f>
        <v>0</v>
      </c>
      <c r="D156" s="182">
        <f t="shared" si="150"/>
        <v>0</v>
      </c>
      <c r="E156" s="182">
        <f t="shared" si="150"/>
        <v>0</v>
      </c>
      <c r="F156" s="182">
        <f t="shared" si="150"/>
        <v>0</v>
      </c>
      <c r="G156" s="182">
        <f t="shared" si="150"/>
        <v>0</v>
      </c>
      <c r="H156" s="182">
        <f t="shared" si="150"/>
        <v>0</v>
      </c>
      <c r="I156" s="182">
        <f t="shared" si="150"/>
        <v>0</v>
      </c>
      <c r="J156" s="182">
        <f t="shared" si="150"/>
        <v>0</v>
      </c>
      <c r="K156" s="182">
        <f t="shared" si="150"/>
        <v>0</v>
      </c>
      <c r="L156" s="182">
        <f t="shared" si="150"/>
        <v>0</v>
      </c>
      <c r="M156" s="182">
        <f t="shared" si="150"/>
        <v>0</v>
      </c>
      <c r="N156" s="182">
        <f t="shared" si="150"/>
        <v>0</v>
      </c>
      <c r="O156" s="182">
        <f t="shared" si="150"/>
        <v>0</v>
      </c>
      <c r="P156" s="182">
        <f t="shared" si="150"/>
        <v>0</v>
      </c>
      <c r="Q156" s="182">
        <f t="shared" si="150"/>
        <v>0</v>
      </c>
      <c r="R156" s="182">
        <f t="shared" si="150"/>
        <v>0</v>
      </c>
      <c r="S156" s="182">
        <f t="shared" si="150"/>
        <v>0</v>
      </c>
      <c r="T156" s="182">
        <f t="shared" si="150"/>
        <v>0</v>
      </c>
      <c r="U156" s="182">
        <f t="shared" si="150"/>
        <v>0</v>
      </c>
      <c r="V156" s="182">
        <f t="shared" si="150"/>
        <v>0</v>
      </c>
      <c r="W156" s="182">
        <f t="shared" si="150"/>
        <v>0</v>
      </c>
      <c r="X156" s="182">
        <f t="shared" si="150"/>
        <v>0</v>
      </c>
      <c r="Y156" s="182">
        <f t="shared" si="150"/>
        <v>0</v>
      </c>
      <c r="Z156" s="182">
        <f t="shared" si="150"/>
        <v>0</v>
      </c>
      <c r="AA156" s="182">
        <f t="shared" si="150"/>
        <v>0</v>
      </c>
      <c r="AB156" s="182">
        <f t="shared" si="150"/>
        <v>0</v>
      </c>
      <c r="AC156" s="182">
        <f t="shared" si="150"/>
        <v>0</v>
      </c>
      <c r="AD156" s="182">
        <f t="shared" si="150"/>
        <v>0</v>
      </c>
      <c r="AE156" s="182">
        <f t="shared" si="150"/>
        <v>0</v>
      </c>
      <c r="AF156" s="182">
        <f t="shared" si="150"/>
        <v>0</v>
      </c>
      <c r="AG156" s="182">
        <f t="shared" si="150"/>
        <v>0</v>
      </c>
      <c r="AH156" s="227">
        <f>SUM(C156:AG156)</f>
        <v>0</v>
      </c>
      <c r="AI156" s="227"/>
      <c r="AJ156" s="174" t="s">
        <v>69</v>
      </c>
      <c r="AK156" s="133"/>
      <c r="AL156" s="133"/>
    </row>
    <row r="157" spans="1:38" ht="15.95" hidden="1" customHeight="1" x14ac:dyDescent="0.25">
      <c r="A157" s="164" t="s">
        <v>126</v>
      </c>
      <c r="B157" s="165" t="s">
        <v>29</v>
      </c>
      <c r="C157" s="141" t="str">
        <f>IF(C19=$R32,$S32*24,IF(C19=$R33,$S33*24,IF(C19=$R34,$S34*24,IF(C19=$R35,$S35*24,IF(C19=$R36,$S36*24,IF(C19=$R37,$S37*24,IF(C19=$R38,$S38*24,IF(C19=$R39,$S39*24,IF(C19=$R40,$S40*24,"")))))))))</f>
        <v/>
      </c>
      <c r="D157" s="141" t="str">
        <f t="shared" ref="D157:AG157" si="151">IF(D19=$R32,$S32*24,IF(D19=$R33,$S33*24,IF(D19=$R34,$S34*24,IF(D19=$R35,$S35*24,IF(D19=$R36,$S36*24,IF(D19=$R37,$S37*24,IF(D19=$R38,$S38*24,IF(D19=$R39,$S39*24,IF(D19=$R40,$S40*24,"")))))))))</f>
        <v/>
      </c>
      <c r="E157" s="141" t="str">
        <f t="shared" si="151"/>
        <v/>
      </c>
      <c r="F157" s="141" t="str">
        <f t="shared" si="151"/>
        <v/>
      </c>
      <c r="G157" s="141" t="str">
        <f t="shared" si="151"/>
        <v/>
      </c>
      <c r="H157" s="141" t="str">
        <f t="shared" si="151"/>
        <v/>
      </c>
      <c r="I157" s="141" t="str">
        <f t="shared" si="151"/>
        <v/>
      </c>
      <c r="J157" s="141" t="str">
        <f t="shared" si="151"/>
        <v/>
      </c>
      <c r="K157" s="141" t="str">
        <f t="shared" si="151"/>
        <v/>
      </c>
      <c r="L157" s="141" t="str">
        <f t="shared" si="151"/>
        <v/>
      </c>
      <c r="M157" s="141" t="str">
        <f t="shared" si="151"/>
        <v/>
      </c>
      <c r="N157" s="141" t="str">
        <f t="shared" si="151"/>
        <v/>
      </c>
      <c r="O157" s="141" t="str">
        <f t="shared" si="151"/>
        <v/>
      </c>
      <c r="P157" s="141" t="str">
        <f t="shared" si="151"/>
        <v/>
      </c>
      <c r="Q157" s="141" t="str">
        <f t="shared" si="151"/>
        <v/>
      </c>
      <c r="R157" s="141" t="str">
        <f t="shared" si="151"/>
        <v/>
      </c>
      <c r="S157" s="141" t="str">
        <f t="shared" si="151"/>
        <v/>
      </c>
      <c r="T157" s="141" t="str">
        <f t="shared" si="151"/>
        <v/>
      </c>
      <c r="U157" s="141" t="str">
        <f t="shared" si="151"/>
        <v/>
      </c>
      <c r="V157" s="141" t="str">
        <f t="shared" si="151"/>
        <v/>
      </c>
      <c r="W157" s="141" t="str">
        <f t="shared" si="151"/>
        <v/>
      </c>
      <c r="X157" s="141" t="str">
        <f t="shared" si="151"/>
        <v/>
      </c>
      <c r="Y157" s="141" t="str">
        <f t="shared" si="151"/>
        <v/>
      </c>
      <c r="Z157" s="141" t="str">
        <f t="shared" si="151"/>
        <v/>
      </c>
      <c r="AA157" s="141" t="str">
        <f t="shared" si="151"/>
        <v/>
      </c>
      <c r="AB157" s="141" t="str">
        <f t="shared" si="151"/>
        <v/>
      </c>
      <c r="AC157" s="141" t="str">
        <f t="shared" si="151"/>
        <v/>
      </c>
      <c r="AD157" s="141" t="str">
        <f t="shared" si="151"/>
        <v/>
      </c>
      <c r="AE157" s="141" t="str">
        <f t="shared" si="151"/>
        <v/>
      </c>
      <c r="AF157" s="141" t="str">
        <f t="shared" si="151"/>
        <v/>
      </c>
      <c r="AG157" s="141" t="str">
        <f t="shared" si="151"/>
        <v/>
      </c>
      <c r="AH157" s="154" t="s">
        <v>12</v>
      </c>
      <c r="AI157" s="133"/>
      <c r="AJ157" s="170"/>
      <c r="AK157" s="133"/>
      <c r="AL157" s="133"/>
    </row>
    <row r="158" spans="1:38" ht="15.95" hidden="1" customHeight="1" x14ac:dyDescent="0.25">
      <c r="A158" s="166" t="s">
        <v>128</v>
      </c>
      <c r="B158" s="167" t="s">
        <v>30</v>
      </c>
      <c r="C158" s="141" t="str">
        <f>IF(C19=$R32,$V32*24,IF(C19=$R33,$V33*24,IF(C19=$R34,$V34*24,IF(C19=$R35,$V35*24,IF(C19=$R36,$V36*24,IF(C19=$R37,$V37*24,IF(C19=$R38,$V38*24,IF(C19=$R39,$V39*24,IF(C19=$R40,$V40*24,"")))))))))</f>
        <v/>
      </c>
      <c r="D158" s="141" t="str">
        <f t="shared" ref="D158:AG158" si="152">IF(D19=$R32,$V32*24,IF(D19=$R33,$V33*24,IF(D19=$R34,$V34*24,IF(D19=$R35,$V35*24,IF(D19=$R36,$V36*24,IF(D19=$R37,$V37*24,IF(D19=$R38,$V38*24,IF(D19=$R39,$V39*24,IF(D19=$R40,$V40*24,"")))))))))</f>
        <v/>
      </c>
      <c r="E158" s="141" t="str">
        <f t="shared" si="152"/>
        <v/>
      </c>
      <c r="F158" s="141" t="str">
        <f t="shared" si="152"/>
        <v/>
      </c>
      <c r="G158" s="141" t="str">
        <f t="shared" si="152"/>
        <v/>
      </c>
      <c r="H158" s="141" t="str">
        <f t="shared" si="152"/>
        <v/>
      </c>
      <c r="I158" s="141" t="str">
        <f t="shared" si="152"/>
        <v/>
      </c>
      <c r="J158" s="141" t="str">
        <f t="shared" si="152"/>
        <v/>
      </c>
      <c r="K158" s="141" t="str">
        <f t="shared" si="152"/>
        <v/>
      </c>
      <c r="L158" s="141" t="str">
        <f t="shared" si="152"/>
        <v/>
      </c>
      <c r="M158" s="141" t="str">
        <f t="shared" si="152"/>
        <v/>
      </c>
      <c r="N158" s="141" t="str">
        <f t="shared" si="152"/>
        <v/>
      </c>
      <c r="O158" s="141" t="str">
        <f t="shared" si="152"/>
        <v/>
      </c>
      <c r="P158" s="141" t="str">
        <f t="shared" si="152"/>
        <v/>
      </c>
      <c r="Q158" s="141" t="str">
        <f t="shared" si="152"/>
        <v/>
      </c>
      <c r="R158" s="141" t="str">
        <f t="shared" si="152"/>
        <v/>
      </c>
      <c r="S158" s="141" t="str">
        <f t="shared" si="152"/>
        <v/>
      </c>
      <c r="T158" s="141" t="str">
        <f t="shared" si="152"/>
        <v/>
      </c>
      <c r="U158" s="141" t="str">
        <f t="shared" si="152"/>
        <v/>
      </c>
      <c r="V158" s="141" t="str">
        <f t="shared" si="152"/>
        <v/>
      </c>
      <c r="W158" s="141" t="str">
        <f t="shared" si="152"/>
        <v/>
      </c>
      <c r="X158" s="141" t="str">
        <f t="shared" si="152"/>
        <v/>
      </c>
      <c r="Y158" s="141" t="str">
        <f t="shared" si="152"/>
        <v/>
      </c>
      <c r="Z158" s="141" t="str">
        <f t="shared" si="152"/>
        <v/>
      </c>
      <c r="AA158" s="141" t="str">
        <f t="shared" si="152"/>
        <v/>
      </c>
      <c r="AB158" s="141" t="str">
        <f t="shared" si="152"/>
        <v/>
      </c>
      <c r="AC158" s="141" t="str">
        <f t="shared" si="152"/>
        <v/>
      </c>
      <c r="AD158" s="141" t="str">
        <f t="shared" si="152"/>
        <v/>
      </c>
      <c r="AE158" s="141" t="str">
        <f t="shared" si="152"/>
        <v/>
      </c>
      <c r="AF158" s="141" t="str">
        <f t="shared" si="152"/>
        <v/>
      </c>
      <c r="AG158" s="141" t="str">
        <f t="shared" si="152"/>
        <v/>
      </c>
      <c r="AH158" s="154" t="s">
        <v>12</v>
      </c>
      <c r="AI158" s="133"/>
      <c r="AJ158" s="170"/>
      <c r="AK158" s="133"/>
      <c r="AL158" s="133"/>
    </row>
    <row r="159" spans="1:38" ht="15.95" hidden="1" customHeight="1" x14ac:dyDescent="0.25">
      <c r="A159" s="153"/>
      <c r="B159" s="183" t="s">
        <v>34</v>
      </c>
      <c r="C159" s="169" t="str">
        <f t="shared" ref="C159:AD159" si="153">IF(C19=$R32,$BD32*24,IF(C19=$R33,$BD33*24,IF(C19=$R34,$BD34*24,IF(C19=$R35,$BD35*24,IF(C19=$R36,$BD36*24,IF(C19=$R37,$BD37*24,IF(C19=$R38,$BD38*24,IF(C19=$R39,$BD39*24,IF(C19=$R40,$BD40*24,"")))))))))</f>
        <v/>
      </c>
      <c r="D159" s="169" t="str">
        <f t="shared" si="153"/>
        <v/>
      </c>
      <c r="E159" s="169" t="str">
        <f t="shared" si="153"/>
        <v/>
      </c>
      <c r="F159" s="169" t="str">
        <f t="shared" si="153"/>
        <v/>
      </c>
      <c r="G159" s="169" t="str">
        <f t="shared" si="153"/>
        <v/>
      </c>
      <c r="H159" s="169" t="str">
        <f t="shared" si="153"/>
        <v/>
      </c>
      <c r="I159" s="169" t="str">
        <f t="shared" si="153"/>
        <v/>
      </c>
      <c r="J159" s="169" t="str">
        <f t="shared" si="153"/>
        <v/>
      </c>
      <c r="K159" s="169" t="str">
        <f t="shared" si="153"/>
        <v/>
      </c>
      <c r="L159" s="169" t="str">
        <f t="shared" si="153"/>
        <v/>
      </c>
      <c r="M159" s="169" t="str">
        <f t="shared" si="153"/>
        <v/>
      </c>
      <c r="N159" s="169" t="str">
        <f t="shared" si="153"/>
        <v/>
      </c>
      <c r="O159" s="169" t="str">
        <f t="shared" si="153"/>
        <v/>
      </c>
      <c r="P159" s="169" t="str">
        <f t="shared" si="153"/>
        <v/>
      </c>
      <c r="Q159" s="169" t="str">
        <f t="shared" si="153"/>
        <v/>
      </c>
      <c r="R159" s="169" t="str">
        <f t="shared" si="153"/>
        <v/>
      </c>
      <c r="S159" s="169" t="str">
        <f t="shared" si="153"/>
        <v/>
      </c>
      <c r="T159" s="169" t="str">
        <f t="shared" si="153"/>
        <v/>
      </c>
      <c r="U159" s="169" t="str">
        <f t="shared" si="153"/>
        <v/>
      </c>
      <c r="V159" s="169" t="str">
        <f t="shared" si="153"/>
        <v/>
      </c>
      <c r="W159" s="169" t="str">
        <f t="shared" si="153"/>
        <v/>
      </c>
      <c r="X159" s="169" t="str">
        <f t="shared" si="153"/>
        <v/>
      </c>
      <c r="Y159" s="169" t="str">
        <f t="shared" si="153"/>
        <v/>
      </c>
      <c r="Z159" s="169" t="str">
        <f t="shared" si="153"/>
        <v/>
      </c>
      <c r="AA159" s="169" t="str">
        <f t="shared" si="153"/>
        <v/>
      </c>
      <c r="AB159" s="169" t="str">
        <f t="shared" si="153"/>
        <v/>
      </c>
      <c r="AC159" s="169" t="str">
        <f t="shared" si="153"/>
        <v/>
      </c>
      <c r="AD159" s="169" t="str">
        <f t="shared" si="153"/>
        <v/>
      </c>
      <c r="AE159" s="169" t="str">
        <f>IF(AE19=$R32,$BD32*24,IF(AE19=$R33,$BD33*24,IF(AE19=$R34,$BD34*24,IF(AE19=$R35,$BD35*24,IF(AE19=$R36,$BD36*24,IF(AE19=$R37,$BD37*24,IF(AE19=$R38,$BD38*24,IF(AE19=$R39,$BD39*24,IF(AE19=$R40,$BD40*24,"")))))))))</f>
        <v/>
      </c>
      <c r="AF159" s="169" t="str">
        <f>IF(AF19=$R32,$BD32*24,IF(AF19=$R33,$BD33*24,IF(AF19=$R34,$BD34*24,IF(AF19=$R35,$BD35*24,IF(AF19=$R36,$BD36*24,IF(AF19=$R37,$BD37*24,IF(AF19=$R38,$BD38*24,IF(AF19=$R39,$BD39*24,IF(AF19=$R40,$BD40*24,"")))))))))</f>
        <v/>
      </c>
      <c r="AG159" s="169" t="str">
        <f>IF(AG19=$R32,$BD32*24,IF(AG19=$R33,$BD33*24,IF(AG19=$R34,$BD34*24,IF(AG19=$R35,$BD35*24,IF(AG19=$R36,$BD36*24,IF(AG19=$R37,$BD37*24,IF(AG19=$R38,$BD38*24,IF(AG19=$R39,$BD39*24,IF(AG19=$R40,$BD40*24,"")))))))))</f>
        <v/>
      </c>
      <c r="AH159" s="148">
        <f>SUM(C159:AG159)</f>
        <v>0</v>
      </c>
      <c r="AI159" s="133"/>
      <c r="AJ159" s="170"/>
      <c r="AK159" s="133"/>
      <c r="AL159" s="133"/>
    </row>
    <row r="160" spans="1:38" ht="15.95" hidden="1" customHeight="1" x14ac:dyDescent="0.25">
      <c r="A160" s="153"/>
      <c r="B160" s="167" t="s">
        <v>59</v>
      </c>
      <c r="C160" s="141">
        <f>IF(C19="V",$C36,IF(C19="PR",$C38,0))</f>
        <v>0</v>
      </c>
      <c r="D160" s="141">
        <f t="shared" ref="D160:AG160" si="154">IF(D19="V",$C36,IF(D19="PR",$C38,0))</f>
        <v>0</v>
      </c>
      <c r="E160" s="141">
        <f t="shared" si="154"/>
        <v>0</v>
      </c>
      <c r="F160" s="141">
        <f t="shared" si="154"/>
        <v>0</v>
      </c>
      <c r="G160" s="141">
        <f t="shared" si="154"/>
        <v>0</v>
      </c>
      <c r="H160" s="141">
        <f t="shared" si="154"/>
        <v>0</v>
      </c>
      <c r="I160" s="141">
        <f t="shared" si="154"/>
        <v>0</v>
      </c>
      <c r="J160" s="141">
        <f t="shared" si="154"/>
        <v>0</v>
      </c>
      <c r="K160" s="141">
        <f t="shared" si="154"/>
        <v>0</v>
      </c>
      <c r="L160" s="141">
        <f t="shared" si="154"/>
        <v>0</v>
      </c>
      <c r="M160" s="141">
        <f t="shared" si="154"/>
        <v>0</v>
      </c>
      <c r="N160" s="141">
        <f t="shared" si="154"/>
        <v>0</v>
      </c>
      <c r="O160" s="141">
        <f t="shared" si="154"/>
        <v>0</v>
      </c>
      <c r="P160" s="141">
        <f t="shared" si="154"/>
        <v>0</v>
      </c>
      <c r="Q160" s="141">
        <f t="shared" si="154"/>
        <v>0</v>
      </c>
      <c r="R160" s="141">
        <f t="shared" si="154"/>
        <v>0</v>
      </c>
      <c r="S160" s="141">
        <f t="shared" si="154"/>
        <v>0</v>
      </c>
      <c r="T160" s="141">
        <f t="shared" si="154"/>
        <v>0</v>
      </c>
      <c r="U160" s="141">
        <f t="shared" si="154"/>
        <v>0</v>
      </c>
      <c r="V160" s="141">
        <f t="shared" si="154"/>
        <v>0</v>
      </c>
      <c r="W160" s="141">
        <f t="shared" si="154"/>
        <v>0</v>
      </c>
      <c r="X160" s="141">
        <f t="shared" si="154"/>
        <v>0</v>
      </c>
      <c r="Y160" s="141">
        <f t="shared" si="154"/>
        <v>0</v>
      </c>
      <c r="Z160" s="141">
        <f t="shared" si="154"/>
        <v>0</v>
      </c>
      <c r="AA160" s="141">
        <f t="shared" si="154"/>
        <v>0</v>
      </c>
      <c r="AB160" s="141">
        <f t="shared" si="154"/>
        <v>0</v>
      </c>
      <c r="AC160" s="141">
        <f t="shared" si="154"/>
        <v>0</v>
      </c>
      <c r="AD160" s="141">
        <f t="shared" si="154"/>
        <v>0</v>
      </c>
      <c r="AE160" s="141">
        <f t="shared" si="154"/>
        <v>0</v>
      </c>
      <c r="AF160" s="141">
        <f t="shared" si="154"/>
        <v>0</v>
      </c>
      <c r="AG160" s="141">
        <f t="shared" si="154"/>
        <v>0</v>
      </c>
      <c r="AH160" s="226">
        <f>SUM(C160:AG160)</f>
        <v>0</v>
      </c>
      <c r="AI160" s="226"/>
      <c r="AJ160" s="230">
        <f>SUM(AH105+AH116+AH127+AH138+AH149+AH160)</f>
        <v>0</v>
      </c>
      <c r="AK160" s="230"/>
      <c r="AL160" s="133" t="s">
        <v>56</v>
      </c>
    </row>
    <row r="161" spans="1:38" ht="15.95" hidden="1" customHeight="1" x14ac:dyDescent="0.25">
      <c r="A161" s="150" t="s">
        <v>60</v>
      </c>
      <c r="B161" s="167" t="s">
        <v>61</v>
      </c>
      <c r="C161" s="151">
        <f t="shared" ref="C161:AD161" si="155">IF(C19=$R32,$BC32,IF(C19=$R33,$BC33,IF(C19=$R34,$BC34,IF(C19=$R35,$BC35,IF(C19=$R36,$BC36,IF(C19=$R37,$BC37,IF(C19=$R38,$BC38,IF(C19=$R39,$BC39,IF(C19=$R40,$BC40,0)))))))))</f>
        <v>0</v>
      </c>
      <c r="D161" s="151">
        <f t="shared" si="155"/>
        <v>0</v>
      </c>
      <c r="E161" s="151">
        <f t="shared" si="155"/>
        <v>0</v>
      </c>
      <c r="F161" s="151">
        <f t="shared" si="155"/>
        <v>0</v>
      </c>
      <c r="G161" s="151">
        <f t="shared" si="155"/>
        <v>0</v>
      </c>
      <c r="H161" s="151">
        <f t="shared" si="155"/>
        <v>0</v>
      </c>
      <c r="I161" s="151">
        <f t="shared" si="155"/>
        <v>0</v>
      </c>
      <c r="J161" s="151">
        <f t="shared" si="155"/>
        <v>0</v>
      </c>
      <c r="K161" s="151">
        <f t="shared" si="155"/>
        <v>0</v>
      </c>
      <c r="L161" s="151">
        <f t="shared" si="155"/>
        <v>0</v>
      </c>
      <c r="M161" s="151">
        <f t="shared" si="155"/>
        <v>0</v>
      </c>
      <c r="N161" s="151">
        <f t="shared" si="155"/>
        <v>0</v>
      </c>
      <c r="O161" s="151">
        <f t="shared" si="155"/>
        <v>0</v>
      </c>
      <c r="P161" s="151">
        <f t="shared" si="155"/>
        <v>0</v>
      </c>
      <c r="Q161" s="151">
        <f t="shared" si="155"/>
        <v>0</v>
      </c>
      <c r="R161" s="151">
        <f t="shared" si="155"/>
        <v>0</v>
      </c>
      <c r="S161" s="151">
        <f t="shared" si="155"/>
        <v>0</v>
      </c>
      <c r="T161" s="151">
        <f t="shared" si="155"/>
        <v>0</v>
      </c>
      <c r="U161" s="151">
        <f t="shared" si="155"/>
        <v>0</v>
      </c>
      <c r="V161" s="151">
        <f t="shared" si="155"/>
        <v>0</v>
      </c>
      <c r="W161" s="151">
        <f t="shared" si="155"/>
        <v>0</v>
      </c>
      <c r="X161" s="151">
        <f t="shared" si="155"/>
        <v>0</v>
      </c>
      <c r="Y161" s="151">
        <f t="shared" si="155"/>
        <v>0</v>
      </c>
      <c r="Z161" s="151">
        <f t="shared" si="155"/>
        <v>0</v>
      </c>
      <c r="AA161" s="151">
        <f t="shared" si="155"/>
        <v>0</v>
      </c>
      <c r="AB161" s="151">
        <f t="shared" si="155"/>
        <v>0</v>
      </c>
      <c r="AC161" s="151">
        <f t="shared" si="155"/>
        <v>0</v>
      </c>
      <c r="AD161" s="151">
        <f t="shared" si="155"/>
        <v>0</v>
      </c>
      <c r="AE161" s="151">
        <f>IF(AE19=$R32,$BC32,IF(AE19=$R33,$BC33,IF(AE19=$R34,$BC34,IF(AE19=$R35,$BC35,IF(AE19=$R36,$BC36,IF(AE19=$R37,$BC37,IF(AE19=$R38,$BC38,IF(AE19=$R39,$BC39,IF(AE19=$R40,$BC40,0)))))))))</f>
        <v>0</v>
      </c>
      <c r="AF161" s="151">
        <f>IF(AF19=$R32,$BC32,IF(AF19=$R33,$BC33,IF(AF19=$R34,$BC34,IF(AF19=$R35,$BC35,IF(AF19=$R36,$BC36,IF(AF19=$R37,$BC37,IF(AF19=$R38,$BC38,IF(AF19=$R39,$BC39,IF(AF19=$R40,$BC40,0)))))))))</f>
        <v>0</v>
      </c>
      <c r="AG161" s="151">
        <f>IF(AG19=$R32,$BC32,IF(AG19=$R33,$BC33,IF(AG19=$R34,$BC34,IF(AG19=$R35,$BC35,IF(AG19=$R36,$BC36,IF(AG19=$R37,$BC37,IF(AG19=$R38,$BC38,IF(AG19=$R39,$BC39,IF(AG19=$R40,$BC40,0)))))))))</f>
        <v>0</v>
      </c>
      <c r="AH161" s="226">
        <f>SUM(C161:AG161)</f>
        <v>0</v>
      </c>
      <c r="AI161" s="226"/>
      <c r="AJ161" s="174" t="s">
        <v>62</v>
      </c>
      <c r="AK161" s="133" t="s">
        <v>12</v>
      </c>
      <c r="AL161" s="133"/>
    </row>
    <row r="162" spans="1:38" ht="15.95" hidden="1" customHeight="1" x14ac:dyDescent="0.25">
      <c r="A162" s="153" t="s">
        <v>48</v>
      </c>
      <c r="B162" s="149" t="s">
        <v>63</v>
      </c>
      <c r="C162" s="141">
        <f>IF(C46=1,IF(C157&lt;C158,C161,0))</f>
        <v>0</v>
      </c>
      <c r="D162" s="141" t="b">
        <f t="shared" ref="D162:AG162" si="156">IF(D46=1,IF(D157&lt;D158,D161,0))</f>
        <v>0</v>
      </c>
      <c r="E162" s="141" t="b">
        <f t="shared" si="156"/>
        <v>0</v>
      </c>
      <c r="F162" s="141" t="b">
        <f t="shared" si="156"/>
        <v>0</v>
      </c>
      <c r="G162" s="141" t="b">
        <f t="shared" si="156"/>
        <v>0</v>
      </c>
      <c r="H162" s="141" t="b">
        <f t="shared" si="156"/>
        <v>0</v>
      </c>
      <c r="I162" s="141">
        <f t="shared" si="156"/>
        <v>0</v>
      </c>
      <c r="J162" s="141">
        <f t="shared" si="156"/>
        <v>0</v>
      </c>
      <c r="K162" s="141" t="b">
        <f t="shared" si="156"/>
        <v>0</v>
      </c>
      <c r="L162" s="141" t="b">
        <f t="shared" si="156"/>
        <v>0</v>
      </c>
      <c r="M162" s="141" t="b">
        <f t="shared" si="156"/>
        <v>0</v>
      </c>
      <c r="N162" s="141" t="b">
        <f t="shared" si="156"/>
        <v>0</v>
      </c>
      <c r="O162" s="141" t="b">
        <f t="shared" si="156"/>
        <v>0</v>
      </c>
      <c r="P162" s="141">
        <f t="shared" si="156"/>
        <v>0</v>
      </c>
      <c r="Q162" s="141">
        <f t="shared" si="156"/>
        <v>0</v>
      </c>
      <c r="R162" s="141" t="b">
        <f t="shared" si="156"/>
        <v>0</v>
      </c>
      <c r="S162" s="141" t="b">
        <f t="shared" si="156"/>
        <v>0</v>
      </c>
      <c r="T162" s="141" t="b">
        <f t="shared" si="156"/>
        <v>0</v>
      </c>
      <c r="U162" s="141" t="b">
        <f t="shared" si="156"/>
        <v>0</v>
      </c>
      <c r="V162" s="141" t="b">
        <f t="shared" si="156"/>
        <v>0</v>
      </c>
      <c r="W162" s="141">
        <f t="shared" si="156"/>
        <v>0</v>
      </c>
      <c r="X162" s="141">
        <f t="shared" si="156"/>
        <v>0</v>
      </c>
      <c r="Y162" s="141" t="b">
        <f t="shared" si="156"/>
        <v>0</v>
      </c>
      <c r="Z162" s="141" t="b">
        <f t="shared" si="156"/>
        <v>0</v>
      </c>
      <c r="AA162" s="141" t="b">
        <f t="shared" si="156"/>
        <v>0</v>
      </c>
      <c r="AB162" s="141" t="b">
        <f t="shared" si="156"/>
        <v>0</v>
      </c>
      <c r="AC162" s="141" t="b">
        <f t="shared" si="156"/>
        <v>0</v>
      </c>
      <c r="AD162" s="141">
        <f t="shared" si="156"/>
        <v>0</v>
      </c>
      <c r="AE162" s="141">
        <f t="shared" si="156"/>
        <v>0</v>
      </c>
      <c r="AF162" s="141" t="b">
        <f t="shared" si="156"/>
        <v>0</v>
      </c>
      <c r="AG162" s="141" t="b">
        <f t="shared" si="156"/>
        <v>0</v>
      </c>
      <c r="AH162" s="154" t="s">
        <v>12</v>
      </c>
      <c r="AI162" s="133"/>
      <c r="AJ162" s="170"/>
      <c r="AK162" s="133"/>
      <c r="AL162" s="133"/>
    </row>
    <row r="163" spans="1:38" ht="15.95" hidden="1" customHeight="1" x14ac:dyDescent="0.25">
      <c r="A163" s="176"/>
      <c r="B163" s="149" t="s">
        <v>64</v>
      </c>
      <c r="C163" s="141">
        <f>IF(C46=1,IF(C157&gt;C158,24-C157,0),0)</f>
        <v>0</v>
      </c>
      <c r="D163" s="141">
        <f t="shared" ref="D163:AG163" si="157">IF(D46=1,IF(D157&gt;D158,24-D157,0),0)</f>
        <v>0</v>
      </c>
      <c r="E163" s="141">
        <f t="shared" si="157"/>
        <v>0</v>
      </c>
      <c r="F163" s="141">
        <f t="shared" si="157"/>
        <v>0</v>
      </c>
      <c r="G163" s="141">
        <f t="shared" si="157"/>
        <v>0</v>
      </c>
      <c r="H163" s="141">
        <f t="shared" si="157"/>
        <v>0</v>
      </c>
      <c r="I163" s="141">
        <f t="shared" si="157"/>
        <v>0</v>
      </c>
      <c r="J163" s="141">
        <f t="shared" si="157"/>
        <v>0</v>
      </c>
      <c r="K163" s="141">
        <f t="shared" si="157"/>
        <v>0</v>
      </c>
      <c r="L163" s="141">
        <f t="shared" si="157"/>
        <v>0</v>
      </c>
      <c r="M163" s="141">
        <f t="shared" si="157"/>
        <v>0</v>
      </c>
      <c r="N163" s="141">
        <f t="shared" si="157"/>
        <v>0</v>
      </c>
      <c r="O163" s="141">
        <f t="shared" si="157"/>
        <v>0</v>
      </c>
      <c r="P163" s="141">
        <f t="shared" si="157"/>
        <v>0</v>
      </c>
      <c r="Q163" s="141">
        <f t="shared" si="157"/>
        <v>0</v>
      </c>
      <c r="R163" s="141">
        <f t="shared" si="157"/>
        <v>0</v>
      </c>
      <c r="S163" s="141">
        <f t="shared" si="157"/>
        <v>0</v>
      </c>
      <c r="T163" s="141">
        <f t="shared" si="157"/>
        <v>0</v>
      </c>
      <c r="U163" s="141">
        <f t="shared" si="157"/>
        <v>0</v>
      </c>
      <c r="V163" s="141">
        <f t="shared" si="157"/>
        <v>0</v>
      </c>
      <c r="W163" s="141">
        <f t="shared" si="157"/>
        <v>0</v>
      </c>
      <c r="X163" s="141">
        <f t="shared" si="157"/>
        <v>0</v>
      </c>
      <c r="Y163" s="141">
        <f t="shared" si="157"/>
        <v>0</v>
      </c>
      <c r="Z163" s="141">
        <f t="shared" si="157"/>
        <v>0</v>
      </c>
      <c r="AA163" s="141">
        <f t="shared" si="157"/>
        <v>0</v>
      </c>
      <c r="AB163" s="141">
        <f t="shared" si="157"/>
        <v>0</v>
      </c>
      <c r="AC163" s="141">
        <f t="shared" si="157"/>
        <v>0</v>
      </c>
      <c r="AD163" s="141">
        <f t="shared" si="157"/>
        <v>0</v>
      </c>
      <c r="AE163" s="141">
        <f t="shared" si="157"/>
        <v>0</v>
      </c>
      <c r="AF163" s="141">
        <f t="shared" si="157"/>
        <v>0</v>
      </c>
      <c r="AG163" s="141">
        <f t="shared" si="157"/>
        <v>0</v>
      </c>
      <c r="AH163" s="154" t="s">
        <v>12</v>
      </c>
      <c r="AI163" s="133"/>
      <c r="AJ163" s="170"/>
      <c r="AK163" s="133"/>
      <c r="AL163" s="133"/>
    </row>
    <row r="164" spans="1:38" ht="15.95" hidden="1" customHeight="1" x14ac:dyDescent="0.25">
      <c r="A164" s="176"/>
      <c r="B164" s="149" t="s">
        <v>65</v>
      </c>
      <c r="C164" s="141">
        <f>IF(C46=1,IF(C157&gt;C158,C158,0),0)</f>
        <v>0</v>
      </c>
      <c r="D164" s="141">
        <f t="shared" ref="D164:AG164" si="158">IF(D46=1,IF(D157&gt;D158,D158,0),0)</f>
        <v>0</v>
      </c>
      <c r="E164" s="141">
        <f t="shared" si="158"/>
        <v>0</v>
      </c>
      <c r="F164" s="141">
        <f t="shared" si="158"/>
        <v>0</v>
      </c>
      <c r="G164" s="141">
        <f t="shared" si="158"/>
        <v>0</v>
      </c>
      <c r="H164" s="141">
        <f t="shared" si="158"/>
        <v>0</v>
      </c>
      <c r="I164" s="141">
        <f t="shared" si="158"/>
        <v>0</v>
      </c>
      <c r="J164" s="141">
        <f t="shared" si="158"/>
        <v>0</v>
      </c>
      <c r="K164" s="141">
        <f t="shared" si="158"/>
        <v>0</v>
      </c>
      <c r="L164" s="141">
        <f t="shared" si="158"/>
        <v>0</v>
      </c>
      <c r="M164" s="141">
        <f t="shared" si="158"/>
        <v>0</v>
      </c>
      <c r="N164" s="141">
        <f t="shared" si="158"/>
        <v>0</v>
      </c>
      <c r="O164" s="141">
        <f t="shared" si="158"/>
        <v>0</v>
      </c>
      <c r="P164" s="141">
        <f t="shared" si="158"/>
        <v>0</v>
      </c>
      <c r="Q164" s="141">
        <f t="shared" si="158"/>
        <v>0</v>
      </c>
      <c r="R164" s="141">
        <f t="shared" si="158"/>
        <v>0</v>
      </c>
      <c r="S164" s="141">
        <f t="shared" si="158"/>
        <v>0</v>
      </c>
      <c r="T164" s="141">
        <f t="shared" si="158"/>
        <v>0</v>
      </c>
      <c r="U164" s="141">
        <f t="shared" si="158"/>
        <v>0</v>
      </c>
      <c r="V164" s="141">
        <f t="shared" si="158"/>
        <v>0</v>
      </c>
      <c r="W164" s="141">
        <f t="shared" si="158"/>
        <v>0</v>
      </c>
      <c r="X164" s="141">
        <f t="shared" si="158"/>
        <v>0</v>
      </c>
      <c r="Y164" s="141">
        <f t="shared" si="158"/>
        <v>0</v>
      </c>
      <c r="Z164" s="141">
        <f t="shared" si="158"/>
        <v>0</v>
      </c>
      <c r="AA164" s="141">
        <f t="shared" si="158"/>
        <v>0</v>
      </c>
      <c r="AB164" s="141">
        <f t="shared" si="158"/>
        <v>0</v>
      </c>
      <c r="AC164" s="141">
        <f t="shared" si="158"/>
        <v>0</v>
      </c>
      <c r="AD164" s="141">
        <f t="shared" si="158"/>
        <v>0</v>
      </c>
      <c r="AE164" s="141">
        <f t="shared" si="158"/>
        <v>0</v>
      </c>
      <c r="AF164" s="141">
        <f t="shared" si="158"/>
        <v>0</v>
      </c>
      <c r="AG164" s="141">
        <f t="shared" si="158"/>
        <v>0</v>
      </c>
      <c r="AH164" s="154" t="s">
        <v>12</v>
      </c>
      <c r="AI164" s="133"/>
      <c r="AJ164" s="170"/>
      <c r="AK164" s="133"/>
      <c r="AL164" s="133"/>
    </row>
    <row r="165" spans="1:38" ht="15.95" hidden="1" customHeight="1" x14ac:dyDescent="0.25">
      <c r="A165" s="176"/>
      <c r="B165" s="149" t="s">
        <v>67</v>
      </c>
      <c r="C165" s="171">
        <f t="shared" ref="C165:AG165" si="159">SUM(C162:C164)</f>
        <v>0</v>
      </c>
      <c r="D165" s="171">
        <f t="shared" si="159"/>
        <v>0</v>
      </c>
      <c r="E165" s="171">
        <f t="shared" si="159"/>
        <v>0</v>
      </c>
      <c r="F165" s="171">
        <f t="shared" si="159"/>
        <v>0</v>
      </c>
      <c r="G165" s="171">
        <f t="shared" si="159"/>
        <v>0</v>
      </c>
      <c r="H165" s="171">
        <f t="shared" si="159"/>
        <v>0</v>
      </c>
      <c r="I165" s="171">
        <f t="shared" si="159"/>
        <v>0</v>
      </c>
      <c r="J165" s="171">
        <f t="shared" si="159"/>
        <v>0</v>
      </c>
      <c r="K165" s="171">
        <f t="shared" si="159"/>
        <v>0</v>
      </c>
      <c r="L165" s="171">
        <f t="shared" si="159"/>
        <v>0</v>
      </c>
      <c r="M165" s="171">
        <f t="shared" si="159"/>
        <v>0</v>
      </c>
      <c r="N165" s="171">
        <f t="shared" si="159"/>
        <v>0</v>
      </c>
      <c r="O165" s="171">
        <f t="shared" si="159"/>
        <v>0</v>
      </c>
      <c r="P165" s="171">
        <f t="shared" si="159"/>
        <v>0</v>
      </c>
      <c r="Q165" s="171">
        <f t="shared" si="159"/>
        <v>0</v>
      </c>
      <c r="R165" s="171">
        <f t="shared" si="159"/>
        <v>0</v>
      </c>
      <c r="S165" s="171">
        <f t="shared" si="159"/>
        <v>0</v>
      </c>
      <c r="T165" s="171">
        <f t="shared" si="159"/>
        <v>0</v>
      </c>
      <c r="U165" s="171">
        <f t="shared" si="159"/>
        <v>0</v>
      </c>
      <c r="V165" s="171">
        <f t="shared" si="159"/>
        <v>0</v>
      </c>
      <c r="W165" s="171">
        <f t="shared" si="159"/>
        <v>0</v>
      </c>
      <c r="X165" s="171">
        <f t="shared" si="159"/>
        <v>0</v>
      </c>
      <c r="Y165" s="171">
        <f t="shared" si="159"/>
        <v>0</v>
      </c>
      <c r="Z165" s="171">
        <f t="shared" si="159"/>
        <v>0</v>
      </c>
      <c r="AA165" s="171">
        <f t="shared" si="159"/>
        <v>0</v>
      </c>
      <c r="AB165" s="171">
        <f t="shared" si="159"/>
        <v>0</v>
      </c>
      <c r="AC165" s="171">
        <f t="shared" si="159"/>
        <v>0</v>
      </c>
      <c r="AD165" s="171">
        <f t="shared" si="159"/>
        <v>0</v>
      </c>
      <c r="AE165" s="171">
        <f t="shared" si="159"/>
        <v>0</v>
      </c>
      <c r="AF165" s="171">
        <f t="shared" si="159"/>
        <v>0</v>
      </c>
      <c r="AG165" s="171">
        <f t="shared" si="159"/>
        <v>0</v>
      </c>
      <c r="AH165" s="154" t="s">
        <v>12</v>
      </c>
      <c r="AI165" s="133"/>
      <c r="AJ165" s="170"/>
      <c r="AK165" s="133"/>
      <c r="AL165" s="133"/>
    </row>
    <row r="166" spans="1:38" ht="15.95" hidden="1" customHeight="1" x14ac:dyDescent="0.25">
      <c r="A166" s="177"/>
      <c r="B166" s="160" t="s">
        <v>68</v>
      </c>
      <c r="C166" s="161">
        <f>IF(C19="V",IF(C19="",0,1),0)</f>
        <v>0</v>
      </c>
      <c r="D166" s="161">
        <f t="shared" ref="D166:AG166" si="160">IF(D19="V",IF(D19="",0,1),0)</f>
        <v>0</v>
      </c>
      <c r="E166" s="161">
        <f t="shared" si="160"/>
        <v>0</v>
      </c>
      <c r="F166" s="161">
        <f t="shared" si="160"/>
        <v>0</v>
      </c>
      <c r="G166" s="161">
        <f t="shared" si="160"/>
        <v>0</v>
      </c>
      <c r="H166" s="161">
        <f t="shared" si="160"/>
        <v>0</v>
      </c>
      <c r="I166" s="161">
        <f t="shared" si="160"/>
        <v>0</v>
      </c>
      <c r="J166" s="161">
        <f t="shared" si="160"/>
        <v>0</v>
      </c>
      <c r="K166" s="161">
        <f t="shared" si="160"/>
        <v>0</v>
      </c>
      <c r="L166" s="161">
        <f t="shared" si="160"/>
        <v>0</v>
      </c>
      <c r="M166" s="161">
        <f t="shared" si="160"/>
        <v>0</v>
      </c>
      <c r="N166" s="161">
        <f t="shared" si="160"/>
        <v>0</v>
      </c>
      <c r="O166" s="161">
        <f t="shared" si="160"/>
        <v>0</v>
      </c>
      <c r="P166" s="161">
        <f t="shared" si="160"/>
        <v>0</v>
      </c>
      <c r="Q166" s="161">
        <f t="shared" si="160"/>
        <v>0</v>
      </c>
      <c r="R166" s="161">
        <f t="shared" si="160"/>
        <v>0</v>
      </c>
      <c r="S166" s="161">
        <f t="shared" si="160"/>
        <v>0</v>
      </c>
      <c r="T166" s="161">
        <f t="shared" si="160"/>
        <v>0</v>
      </c>
      <c r="U166" s="161">
        <f t="shared" si="160"/>
        <v>0</v>
      </c>
      <c r="V166" s="161">
        <f t="shared" si="160"/>
        <v>0</v>
      </c>
      <c r="W166" s="161">
        <f t="shared" si="160"/>
        <v>0</v>
      </c>
      <c r="X166" s="161">
        <f t="shared" si="160"/>
        <v>0</v>
      </c>
      <c r="Y166" s="161">
        <f t="shared" si="160"/>
        <v>0</v>
      </c>
      <c r="Z166" s="161">
        <f t="shared" si="160"/>
        <v>0</v>
      </c>
      <c r="AA166" s="161">
        <f t="shared" si="160"/>
        <v>0</v>
      </c>
      <c r="AB166" s="161">
        <f t="shared" si="160"/>
        <v>0</v>
      </c>
      <c r="AC166" s="161">
        <f t="shared" si="160"/>
        <v>0</v>
      </c>
      <c r="AD166" s="161">
        <f t="shared" si="160"/>
        <v>0</v>
      </c>
      <c r="AE166" s="161">
        <f t="shared" si="160"/>
        <v>0</v>
      </c>
      <c r="AF166" s="161">
        <f t="shared" si="160"/>
        <v>0</v>
      </c>
      <c r="AG166" s="161">
        <f t="shared" si="160"/>
        <v>0</v>
      </c>
      <c r="AH166" s="154" t="s">
        <v>12</v>
      </c>
      <c r="AI166" s="133"/>
      <c r="AJ166" s="170"/>
      <c r="AK166" s="133"/>
      <c r="AL166" s="133"/>
    </row>
    <row r="167" spans="1:38" ht="15.95" hidden="1" customHeight="1" x14ac:dyDescent="0.25">
      <c r="A167" s="180"/>
      <c r="B167" s="181" t="s">
        <v>16</v>
      </c>
      <c r="C167" s="182">
        <f>IF(C19="PR",IF(C19="",0,1),0)</f>
        <v>0</v>
      </c>
      <c r="D167" s="182">
        <f t="shared" ref="D167:AG167" si="161">IF(D19="PR",IF(D19="",0,1),0)</f>
        <v>0</v>
      </c>
      <c r="E167" s="182">
        <f t="shared" si="161"/>
        <v>0</v>
      </c>
      <c r="F167" s="182">
        <f t="shared" si="161"/>
        <v>0</v>
      </c>
      <c r="G167" s="182">
        <f t="shared" si="161"/>
        <v>0</v>
      </c>
      <c r="H167" s="182">
        <f t="shared" si="161"/>
        <v>0</v>
      </c>
      <c r="I167" s="182">
        <f t="shared" si="161"/>
        <v>0</v>
      </c>
      <c r="J167" s="182">
        <f t="shared" si="161"/>
        <v>0</v>
      </c>
      <c r="K167" s="182">
        <f t="shared" si="161"/>
        <v>0</v>
      </c>
      <c r="L167" s="182">
        <f t="shared" si="161"/>
        <v>0</v>
      </c>
      <c r="M167" s="182">
        <f t="shared" si="161"/>
        <v>0</v>
      </c>
      <c r="N167" s="182">
        <f t="shared" si="161"/>
        <v>0</v>
      </c>
      <c r="O167" s="182">
        <f t="shared" si="161"/>
        <v>0</v>
      </c>
      <c r="P167" s="182">
        <f t="shared" si="161"/>
        <v>0</v>
      </c>
      <c r="Q167" s="182">
        <f t="shared" si="161"/>
        <v>0</v>
      </c>
      <c r="R167" s="182">
        <f t="shared" si="161"/>
        <v>0</v>
      </c>
      <c r="S167" s="182">
        <f t="shared" si="161"/>
        <v>0</v>
      </c>
      <c r="T167" s="182">
        <f t="shared" si="161"/>
        <v>0</v>
      </c>
      <c r="U167" s="182">
        <f t="shared" si="161"/>
        <v>0</v>
      </c>
      <c r="V167" s="182">
        <f t="shared" si="161"/>
        <v>0</v>
      </c>
      <c r="W167" s="182">
        <f t="shared" si="161"/>
        <v>0</v>
      </c>
      <c r="X167" s="182">
        <f t="shared" si="161"/>
        <v>0</v>
      </c>
      <c r="Y167" s="182">
        <f t="shared" si="161"/>
        <v>0</v>
      </c>
      <c r="Z167" s="182">
        <f t="shared" si="161"/>
        <v>0</v>
      </c>
      <c r="AA167" s="182">
        <f t="shared" si="161"/>
        <v>0</v>
      </c>
      <c r="AB167" s="182">
        <f t="shared" si="161"/>
        <v>0</v>
      </c>
      <c r="AC167" s="182">
        <f t="shared" si="161"/>
        <v>0</v>
      </c>
      <c r="AD167" s="182">
        <f t="shared" si="161"/>
        <v>0</v>
      </c>
      <c r="AE167" s="182">
        <f t="shared" si="161"/>
        <v>0</v>
      </c>
      <c r="AF167" s="182">
        <f t="shared" si="161"/>
        <v>0</v>
      </c>
      <c r="AG167" s="182">
        <f t="shared" si="161"/>
        <v>0</v>
      </c>
      <c r="AH167" s="227">
        <f>SUM(C167:AG167)</f>
        <v>0</v>
      </c>
      <c r="AI167" s="227"/>
      <c r="AJ167" s="174" t="s">
        <v>69</v>
      </c>
      <c r="AK167" s="133"/>
      <c r="AL167" s="133"/>
    </row>
    <row r="168" spans="1:38" ht="15.95" hidden="1" customHeight="1" x14ac:dyDescent="0.25">
      <c r="A168" s="164" t="s">
        <v>127</v>
      </c>
      <c r="B168" s="165" t="s">
        <v>29</v>
      </c>
      <c r="C168" s="141" t="str">
        <f>IF(C20=$R32,$S32*24,IF(C20=$R33,$S33*24,IF(C20=$R34,$S34*24,IF(C20=$R35,$S35*24,IF(C20=$R36,$S36*24,IF(C20=$R37,$S37*24,IF(C20=$R38,$S38*24,IF(C20=$R39,$S39*24,IF(C20=$R40,$S40*24,"")))))))))</f>
        <v/>
      </c>
      <c r="D168" s="141" t="str">
        <f t="shared" ref="D168:AG168" si="162">IF(D20=$R32,$S32*24,IF(D20=$R33,$S33*24,IF(D20=$R34,$S34*24,IF(D20=$R35,$S35*24,IF(D20=$R36,$S36*24,IF(D20=$R37,$S37*24,IF(D20=$R38,$S38*24,IF(D20=$R39,$S39*24,IF(D20=$R40,$S40*24,"")))))))))</f>
        <v/>
      </c>
      <c r="E168" s="141" t="str">
        <f t="shared" si="162"/>
        <v/>
      </c>
      <c r="F168" s="141" t="str">
        <f t="shared" si="162"/>
        <v/>
      </c>
      <c r="G168" s="141" t="str">
        <f t="shared" si="162"/>
        <v/>
      </c>
      <c r="H168" s="141" t="str">
        <f t="shared" si="162"/>
        <v/>
      </c>
      <c r="I168" s="141" t="str">
        <f t="shared" si="162"/>
        <v/>
      </c>
      <c r="J168" s="141" t="str">
        <f t="shared" si="162"/>
        <v/>
      </c>
      <c r="K168" s="141" t="str">
        <f t="shared" si="162"/>
        <v/>
      </c>
      <c r="L168" s="141" t="str">
        <f t="shared" si="162"/>
        <v/>
      </c>
      <c r="M168" s="141" t="str">
        <f t="shared" si="162"/>
        <v/>
      </c>
      <c r="N168" s="141" t="str">
        <f t="shared" si="162"/>
        <v/>
      </c>
      <c r="O168" s="141" t="str">
        <f t="shared" si="162"/>
        <v/>
      </c>
      <c r="P168" s="141" t="str">
        <f t="shared" si="162"/>
        <v/>
      </c>
      <c r="Q168" s="141" t="str">
        <f t="shared" si="162"/>
        <v/>
      </c>
      <c r="R168" s="141" t="str">
        <f t="shared" si="162"/>
        <v/>
      </c>
      <c r="S168" s="141" t="str">
        <f t="shared" si="162"/>
        <v/>
      </c>
      <c r="T168" s="141" t="str">
        <f t="shared" si="162"/>
        <v/>
      </c>
      <c r="U168" s="141" t="str">
        <f t="shared" si="162"/>
        <v/>
      </c>
      <c r="V168" s="141" t="str">
        <f t="shared" si="162"/>
        <v/>
      </c>
      <c r="W168" s="141" t="str">
        <f t="shared" si="162"/>
        <v/>
      </c>
      <c r="X168" s="141" t="str">
        <f t="shared" si="162"/>
        <v/>
      </c>
      <c r="Y168" s="141" t="str">
        <f t="shared" si="162"/>
        <v/>
      </c>
      <c r="Z168" s="141" t="str">
        <f t="shared" si="162"/>
        <v/>
      </c>
      <c r="AA168" s="141" t="str">
        <f t="shared" si="162"/>
        <v/>
      </c>
      <c r="AB168" s="141" t="str">
        <f t="shared" si="162"/>
        <v/>
      </c>
      <c r="AC168" s="141" t="str">
        <f t="shared" si="162"/>
        <v/>
      </c>
      <c r="AD168" s="141" t="str">
        <f t="shared" si="162"/>
        <v/>
      </c>
      <c r="AE168" s="141" t="str">
        <f t="shared" si="162"/>
        <v/>
      </c>
      <c r="AF168" s="141" t="str">
        <f t="shared" si="162"/>
        <v/>
      </c>
      <c r="AG168" s="141" t="str">
        <f t="shared" si="162"/>
        <v/>
      </c>
      <c r="AH168" s="154" t="s">
        <v>12</v>
      </c>
      <c r="AI168" s="133"/>
      <c r="AJ168" s="170"/>
      <c r="AK168" s="133"/>
      <c r="AL168" s="133"/>
    </row>
    <row r="169" spans="1:38" ht="15.95" hidden="1" customHeight="1" x14ac:dyDescent="0.25">
      <c r="A169" s="166" t="s">
        <v>129</v>
      </c>
      <c r="B169" s="167" t="s">
        <v>30</v>
      </c>
      <c r="C169" s="141" t="str">
        <f>IF(C20=$R32,$V32*24,IF(C20=$R33,$V33*24,IF(C20=$R34,$V34*24,IF(C20=$R35,$V35*24,IF(C20=$R36,$V36*24,IF(C20=$R37,$V37*24,IF(C20=$R38,$V38*24,IF(C20=$R39,$V39*24,IF(C20=$R40,$V40*24,"")))))))))</f>
        <v/>
      </c>
      <c r="D169" s="141" t="str">
        <f t="shared" ref="D169:AG169" si="163">IF(D20=$R32,$V32*24,IF(D20=$R33,$V33*24,IF(D20=$R34,$V34*24,IF(D20=$R35,$V35*24,IF(D20=$R36,$V36*24,IF(D20=$R37,$V37*24,IF(D20=$R38,$V38*24,IF(D20=$R39,$V39*24,IF(D20=$R40,$V40*24,"")))))))))</f>
        <v/>
      </c>
      <c r="E169" s="141" t="str">
        <f t="shared" si="163"/>
        <v/>
      </c>
      <c r="F169" s="141" t="str">
        <f t="shared" si="163"/>
        <v/>
      </c>
      <c r="G169" s="141" t="str">
        <f t="shared" si="163"/>
        <v/>
      </c>
      <c r="H169" s="141" t="str">
        <f t="shared" si="163"/>
        <v/>
      </c>
      <c r="I169" s="141" t="str">
        <f t="shared" si="163"/>
        <v/>
      </c>
      <c r="J169" s="141" t="str">
        <f t="shared" si="163"/>
        <v/>
      </c>
      <c r="K169" s="141" t="str">
        <f t="shared" si="163"/>
        <v/>
      </c>
      <c r="L169" s="141" t="str">
        <f t="shared" si="163"/>
        <v/>
      </c>
      <c r="M169" s="141" t="str">
        <f t="shared" si="163"/>
        <v/>
      </c>
      <c r="N169" s="141" t="str">
        <f t="shared" si="163"/>
        <v/>
      </c>
      <c r="O169" s="141" t="str">
        <f t="shared" si="163"/>
        <v/>
      </c>
      <c r="P169" s="141" t="str">
        <f t="shared" si="163"/>
        <v/>
      </c>
      <c r="Q169" s="141" t="str">
        <f t="shared" si="163"/>
        <v/>
      </c>
      <c r="R169" s="141" t="str">
        <f t="shared" si="163"/>
        <v/>
      </c>
      <c r="S169" s="141" t="str">
        <f t="shared" si="163"/>
        <v/>
      </c>
      <c r="T169" s="141" t="str">
        <f t="shared" si="163"/>
        <v/>
      </c>
      <c r="U169" s="141" t="str">
        <f t="shared" si="163"/>
        <v/>
      </c>
      <c r="V169" s="141" t="str">
        <f t="shared" si="163"/>
        <v/>
      </c>
      <c r="W169" s="141" t="str">
        <f t="shared" si="163"/>
        <v/>
      </c>
      <c r="X169" s="141" t="str">
        <f t="shared" si="163"/>
        <v/>
      </c>
      <c r="Y169" s="141" t="str">
        <f t="shared" si="163"/>
        <v/>
      </c>
      <c r="Z169" s="141" t="str">
        <f t="shared" si="163"/>
        <v/>
      </c>
      <c r="AA169" s="141" t="str">
        <f t="shared" si="163"/>
        <v/>
      </c>
      <c r="AB169" s="141" t="str">
        <f t="shared" si="163"/>
        <v/>
      </c>
      <c r="AC169" s="141" t="str">
        <f t="shared" si="163"/>
        <v/>
      </c>
      <c r="AD169" s="141" t="str">
        <f t="shared" si="163"/>
        <v/>
      </c>
      <c r="AE169" s="141" t="str">
        <f t="shared" si="163"/>
        <v/>
      </c>
      <c r="AF169" s="141" t="str">
        <f t="shared" si="163"/>
        <v/>
      </c>
      <c r="AG169" s="141" t="str">
        <f t="shared" si="163"/>
        <v/>
      </c>
      <c r="AH169" s="154" t="s">
        <v>12</v>
      </c>
      <c r="AI169" s="133"/>
      <c r="AJ169" s="170"/>
      <c r="AK169" s="133"/>
      <c r="AL169" s="133"/>
    </row>
    <row r="170" spans="1:38" ht="15.95" hidden="1" customHeight="1" x14ac:dyDescent="0.25">
      <c r="A170" s="153"/>
      <c r="B170" s="183" t="s">
        <v>34</v>
      </c>
      <c r="C170" s="169" t="str">
        <f t="shared" ref="C170:AD170" si="164">IF(C20=$R32,$BD32*24,IF(C20=$R33,$BD33*24,IF(C20=$R34,$BD34*24,IF(C20=$R35,$BD35*24,IF(C20=$R36,$BD36*24,IF(C20=$R37,$BD37*24,IF(C20=$R38,$BD38*24,IF(C20=$R39,$BD39*24,IF(C20=$R40,$BD40*24,"")))))))))</f>
        <v/>
      </c>
      <c r="D170" s="169" t="str">
        <f t="shared" si="164"/>
        <v/>
      </c>
      <c r="E170" s="169" t="str">
        <f t="shared" si="164"/>
        <v/>
      </c>
      <c r="F170" s="169" t="str">
        <f t="shared" si="164"/>
        <v/>
      </c>
      <c r="G170" s="169" t="str">
        <f t="shared" si="164"/>
        <v/>
      </c>
      <c r="H170" s="169" t="str">
        <f t="shared" si="164"/>
        <v/>
      </c>
      <c r="I170" s="169" t="str">
        <f t="shared" si="164"/>
        <v/>
      </c>
      <c r="J170" s="169" t="str">
        <f t="shared" si="164"/>
        <v/>
      </c>
      <c r="K170" s="169" t="str">
        <f t="shared" si="164"/>
        <v/>
      </c>
      <c r="L170" s="169" t="str">
        <f t="shared" si="164"/>
        <v/>
      </c>
      <c r="M170" s="169" t="str">
        <f t="shared" si="164"/>
        <v/>
      </c>
      <c r="N170" s="169" t="str">
        <f t="shared" si="164"/>
        <v/>
      </c>
      <c r="O170" s="169" t="str">
        <f t="shared" si="164"/>
        <v/>
      </c>
      <c r="P170" s="169" t="str">
        <f t="shared" si="164"/>
        <v/>
      </c>
      <c r="Q170" s="169" t="str">
        <f t="shared" si="164"/>
        <v/>
      </c>
      <c r="R170" s="169" t="str">
        <f t="shared" si="164"/>
        <v/>
      </c>
      <c r="S170" s="169" t="str">
        <f t="shared" si="164"/>
        <v/>
      </c>
      <c r="T170" s="169" t="str">
        <f t="shared" si="164"/>
        <v/>
      </c>
      <c r="U170" s="169" t="str">
        <f t="shared" si="164"/>
        <v/>
      </c>
      <c r="V170" s="169" t="str">
        <f t="shared" si="164"/>
        <v/>
      </c>
      <c r="W170" s="169" t="str">
        <f t="shared" si="164"/>
        <v/>
      </c>
      <c r="X170" s="169" t="str">
        <f t="shared" si="164"/>
        <v/>
      </c>
      <c r="Y170" s="169" t="str">
        <f t="shared" si="164"/>
        <v/>
      </c>
      <c r="Z170" s="169" t="str">
        <f t="shared" si="164"/>
        <v/>
      </c>
      <c r="AA170" s="169" t="str">
        <f t="shared" si="164"/>
        <v/>
      </c>
      <c r="AB170" s="169" t="str">
        <f t="shared" si="164"/>
        <v/>
      </c>
      <c r="AC170" s="169" t="str">
        <f t="shared" si="164"/>
        <v/>
      </c>
      <c r="AD170" s="169" t="str">
        <f t="shared" si="164"/>
        <v/>
      </c>
      <c r="AE170" s="169" t="str">
        <f>IF(AE20=$R32,$BD32*24,IF(AE20=$R33,$BD33*24,IF(AE20=$R34,$BD34*24,IF(AE20=$R35,$BD35*24,IF(AE20=$R36,$BD36*24,IF(AE20=$R37,$BD37*24,IF(AE20=$R38,$BD38*24,IF(AE20=$R39,$BD39*24,IF(AE20=$R40,$BD40*24,"")))))))))</f>
        <v/>
      </c>
      <c r="AF170" s="169" t="str">
        <f>IF(AF20=$R32,$BD32*24,IF(AF20=$R33,$BD33*24,IF(AF20=$R34,$BD34*24,IF(AF20=$R35,$BD35*24,IF(AF20=$R36,$BD36*24,IF(AF20=$R37,$BD37*24,IF(AF20=$R38,$BD38*24,IF(AF20=$R39,$BD39*24,IF(AF20=$R40,$BD40*24,"")))))))))</f>
        <v/>
      </c>
      <c r="AG170" s="169" t="str">
        <f>IF(AG20=$R32,$BD32*24,IF(AG20=$R33,$BD33*24,IF(AG20=$R34,$BD34*24,IF(AG20=$R35,$BD35*24,IF(AG20=$R36,$BD36*24,IF(AG20=$R37,$BD37*24,IF(AG20=$R38,$BD38*24,IF(AG20=$R39,$BD39*24,IF(AG20=$R40,$BD40*24,"")))))))))</f>
        <v/>
      </c>
      <c r="AH170" s="148">
        <f>SUM(C170:AG170)</f>
        <v>0</v>
      </c>
      <c r="AI170" s="133"/>
      <c r="AJ170" s="170"/>
      <c r="AK170" s="133"/>
      <c r="AL170" s="133"/>
    </row>
    <row r="171" spans="1:38" ht="15.95" hidden="1" customHeight="1" x14ac:dyDescent="0.25">
      <c r="A171" s="153"/>
      <c r="B171" s="167" t="s">
        <v>59</v>
      </c>
      <c r="C171" s="141">
        <f>IF(C20="V",$C36,IF(C20="PR",$C38,0))</f>
        <v>0</v>
      </c>
      <c r="D171" s="141">
        <f t="shared" ref="D171:AG171" si="165">IF(D20="V",$C36,IF(D20="PR",$C38,0))</f>
        <v>0</v>
      </c>
      <c r="E171" s="141">
        <f t="shared" si="165"/>
        <v>0</v>
      </c>
      <c r="F171" s="141">
        <f t="shared" si="165"/>
        <v>0</v>
      </c>
      <c r="G171" s="141">
        <f t="shared" si="165"/>
        <v>0</v>
      </c>
      <c r="H171" s="141">
        <f t="shared" si="165"/>
        <v>0</v>
      </c>
      <c r="I171" s="141">
        <f t="shared" si="165"/>
        <v>0</v>
      </c>
      <c r="J171" s="141">
        <f t="shared" si="165"/>
        <v>0</v>
      </c>
      <c r="K171" s="141">
        <f t="shared" si="165"/>
        <v>0</v>
      </c>
      <c r="L171" s="141">
        <f t="shared" si="165"/>
        <v>0</v>
      </c>
      <c r="M171" s="141">
        <f t="shared" si="165"/>
        <v>0</v>
      </c>
      <c r="N171" s="141">
        <f t="shared" si="165"/>
        <v>0</v>
      </c>
      <c r="O171" s="141">
        <f t="shared" si="165"/>
        <v>0</v>
      </c>
      <c r="P171" s="141">
        <f t="shared" si="165"/>
        <v>0</v>
      </c>
      <c r="Q171" s="141">
        <f t="shared" si="165"/>
        <v>0</v>
      </c>
      <c r="R171" s="141">
        <f t="shared" si="165"/>
        <v>0</v>
      </c>
      <c r="S171" s="141">
        <f t="shared" si="165"/>
        <v>0</v>
      </c>
      <c r="T171" s="141">
        <f t="shared" si="165"/>
        <v>0</v>
      </c>
      <c r="U171" s="141">
        <f t="shared" si="165"/>
        <v>0</v>
      </c>
      <c r="V171" s="141">
        <f t="shared" si="165"/>
        <v>0</v>
      </c>
      <c r="W171" s="141">
        <f t="shared" si="165"/>
        <v>0</v>
      </c>
      <c r="X171" s="141">
        <f t="shared" si="165"/>
        <v>0</v>
      </c>
      <c r="Y171" s="141">
        <f t="shared" si="165"/>
        <v>0</v>
      </c>
      <c r="Z171" s="141">
        <f t="shared" si="165"/>
        <v>0</v>
      </c>
      <c r="AA171" s="141">
        <f t="shared" si="165"/>
        <v>0</v>
      </c>
      <c r="AB171" s="141">
        <f t="shared" si="165"/>
        <v>0</v>
      </c>
      <c r="AC171" s="141">
        <f t="shared" si="165"/>
        <v>0</v>
      </c>
      <c r="AD171" s="141">
        <f t="shared" si="165"/>
        <v>0</v>
      </c>
      <c r="AE171" s="141">
        <f t="shared" si="165"/>
        <v>0</v>
      </c>
      <c r="AF171" s="141">
        <f t="shared" si="165"/>
        <v>0</v>
      </c>
      <c r="AG171" s="141">
        <f t="shared" si="165"/>
        <v>0</v>
      </c>
      <c r="AH171" s="226">
        <f>SUM(C171:AG171)</f>
        <v>0</v>
      </c>
      <c r="AI171" s="226"/>
      <c r="AJ171" s="230">
        <f>SUM(AH116+AH127+AH138+AH149+AH160+AH171)</f>
        <v>0</v>
      </c>
      <c r="AK171" s="230"/>
      <c r="AL171" s="133" t="s">
        <v>56</v>
      </c>
    </row>
    <row r="172" spans="1:38" ht="15.95" hidden="1" customHeight="1" x14ac:dyDescent="0.25">
      <c r="A172" s="150" t="s">
        <v>60</v>
      </c>
      <c r="B172" s="167" t="s">
        <v>61</v>
      </c>
      <c r="C172" s="151">
        <f t="shared" ref="C172:AD172" si="166">IF(C20=$R32,$BC32,IF(C20=$R33,$BC33,IF(C20=$R34,$BC34,IF(C20=$R35,$BC35,IF(C20=$R36,$BC36,IF(C20=$R37,$BC37,IF(C20=$R38,$BC38,IF(C20=$R39,$BC39,IF(C20=$R40,$BC40,0)))))))))</f>
        <v>0</v>
      </c>
      <c r="D172" s="151">
        <f t="shared" si="166"/>
        <v>0</v>
      </c>
      <c r="E172" s="151">
        <f t="shared" si="166"/>
        <v>0</v>
      </c>
      <c r="F172" s="151">
        <f t="shared" si="166"/>
        <v>0</v>
      </c>
      <c r="G172" s="151">
        <f t="shared" si="166"/>
        <v>0</v>
      </c>
      <c r="H172" s="151">
        <f t="shared" si="166"/>
        <v>0</v>
      </c>
      <c r="I172" s="151">
        <f t="shared" si="166"/>
        <v>0</v>
      </c>
      <c r="J172" s="151">
        <f t="shared" si="166"/>
        <v>0</v>
      </c>
      <c r="K172" s="151">
        <f t="shared" si="166"/>
        <v>0</v>
      </c>
      <c r="L172" s="151">
        <f t="shared" si="166"/>
        <v>0</v>
      </c>
      <c r="M172" s="151">
        <f t="shared" si="166"/>
        <v>0</v>
      </c>
      <c r="N172" s="151">
        <f t="shared" si="166"/>
        <v>0</v>
      </c>
      <c r="O172" s="151">
        <f t="shared" si="166"/>
        <v>0</v>
      </c>
      <c r="P172" s="151">
        <f t="shared" si="166"/>
        <v>0</v>
      </c>
      <c r="Q172" s="151">
        <f t="shared" si="166"/>
        <v>0</v>
      </c>
      <c r="R172" s="151">
        <f t="shared" si="166"/>
        <v>0</v>
      </c>
      <c r="S172" s="151">
        <f t="shared" si="166"/>
        <v>0</v>
      </c>
      <c r="T172" s="151">
        <f t="shared" si="166"/>
        <v>0</v>
      </c>
      <c r="U172" s="151">
        <f t="shared" si="166"/>
        <v>0</v>
      </c>
      <c r="V172" s="151">
        <f t="shared" si="166"/>
        <v>0</v>
      </c>
      <c r="W172" s="151">
        <f t="shared" si="166"/>
        <v>0</v>
      </c>
      <c r="X172" s="151">
        <f t="shared" si="166"/>
        <v>0</v>
      </c>
      <c r="Y172" s="151">
        <f t="shared" si="166"/>
        <v>0</v>
      </c>
      <c r="Z172" s="151">
        <f t="shared" si="166"/>
        <v>0</v>
      </c>
      <c r="AA172" s="151">
        <f t="shared" si="166"/>
        <v>0</v>
      </c>
      <c r="AB172" s="151">
        <f t="shared" si="166"/>
        <v>0</v>
      </c>
      <c r="AC172" s="151">
        <f t="shared" si="166"/>
        <v>0</v>
      </c>
      <c r="AD172" s="151">
        <f t="shared" si="166"/>
        <v>0</v>
      </c>
      <c r="AE172" s="151">
        <f>IF(AE20=$R32,$BC32,IF(AE20=$R33,$BC33,IF(AE20=$R34,$BC34,IF(AE20=$R35,$BC35,IF(AE20=$R36,$BC36,IF(AE20=$R37,$BC37,IF(AE20=$R38,$BC38,IF(AE20=$R39,$BC39,IF(AE20=$R40,$BC40,0)))))))))</f>
        <v>0</v>
      </c>
      <c r="AF172" s="151">
        <f>IF(AF20=$R32,$BC32,IF(AF20=$R33,$BC33,IF(AF20=$R34,$BC34,IF(AF20=$R35,$BC35,IF(AF20=$R36,$BC36,IF(AF20=$R37,$BC37,IF(AF20=$R38,$BC38,IF(AF20=$R39,$BC39,IF(AF20=$R40,$BC40,0)))))))))</f>
        <v>0</v>
      </c>
      <c r="AG172" s="151">
        <f>IF(AG20=$R32,$BC32,IF(AG20=$R33,$BC33,IF(AG20=$R34,$BC34,IF(AG20=$R35,$BC35,IF(AG20=$R36,$BC36,IF(AG20=$R37,$BC37,IF(AG20=$R38,$BC38,IF(AG20=$R39,$BC39,IF(AG20=$R40,$BC40,0)))))))))</f>
        <v>0</v>
      </c>
      <c r="AH172" s="226">
        <f>SUM(C172:AG172)</f>
        <v>0</v>
      </c>
      <c r="AI172" s="226"/>
      <c r="AJ172" s="174" t="s">
        <v>62</v>
      </c>
      <c r="AK172" s="133" t="s">
        <v>12</v>
      </c>
      <c r="AL172" s="133"/>
    </row>
    <row r="173" spans="1:38" ht="15.95" hidden="1" customHeight="1" x14ac:dyDescent="0.25">
      <c r="A173" s="153" t="s">
        <v>48</v>
      </c>
      <c r="B173" s="149" t="s">
        <v>63</v>
      </c>
      <c r="C173" s="141">
        <f>IF(C46=1,IF(C168&lt;C169,C172,0))</f>
        <v>0</v>
      </c>
      <c r="D173" s="141" t="b">
        <f t="shared" ref="D173:AG173" si="167">IF(D46=1,IF(D168&lt;D169,D172,0))</f>
        <v>0</v>
      </c>
      <c r="E173" s="141" t="b">
        <f t="shared" si="167"/>
        <v>0</v>
      </c>
      <c r="F173" s="141" t="b">
        <f t="shared" si="167"/>
        <v>0</v>
      </c>
      <c r="G173" s="141" t="b">
        <f t="shared" si="167"/>
        <v>0</v>
      </c>
      <c r="H173" s="141" t="b">
        <f t="shared" si="167"/>
        <v>0</v>
      </c>
      <c r="I173" s="141">
        <f t="shared" si="167"/>
        <v>0</v>
      </c>
      <c r="J173" s="141">
        <f t="shared" si="167"/>
        <v>0</v>
      </c>
      <c r="K173" s="141" t="b">
        <f t="shared" si="167"/>
        <v>0</v>
      </c>
      <c r="L173" s="141" t="b">
        <f t="shared" si="167"/>
        <v>0</v>
      </c>
      <c r="M173" s="141" t="b">
        <f t="shared" si="167"/>
        <v>0</v>
      </c>
      <c r="N173" s="141" t="b">
        <f t="shared" si="167"/>
        <v>0</v>
      </c>
      <c r="O173" s="141" t="b">
        <f t="shared" si="167"/>
        <v>0</v>
      </c>
      <c r="P173" s="141">
        <f t="shared" si="167"/>
        <v>0</v>
      </c>
      <c r="Q173" s="141">
        <f t="shared" si="167"/>
        <v>0</v>
      </c>
      <c r="R173" s="141" t="b">
        <f t="shared" si="167"/>
        <v>0</v>
      </c>
      <c r="S173" s="141" t="b">
        <f t="shared" si="167"/>
        <v>0</v>
      </c>
      <c r="T173" s="141" t="b">
        <f t="shared" si="167"/>
        <v>0</v>
      </c>
      <c r="U173" s="141" t="b">
        <f t="shared" si="167"/>
        <v>0</v>
      </c>
      <c r="V173" s="141" t="b">
        <f t="shared" si="167"/>
        <v>0</v>
      </c>
      <c r="W173" s="141">
        <f t="shared" si="167"/>
        <v>0</v>
      </c>
      <c r="X173" s="141">
        <f t="shared" si="167"/>
        <v>0</v>
      </c>
      <c r="Y173" s="141" t="b">
        <f t="shared" si="167"/>
        <v>0</v>
      </c>
      <c r="Z173" s="141" t="b">
        <f t="shared" si="167"/>
        <v>0</v>
      </c>
      <c r="AA173" s="141" t="b">
        <f t="shared" si="167"/>
        <v>0</v>
      </c>
      <c r="AB173" s="141" t="b">
        <f t="shared" si="167"/>
        <v>0</v>
      </c>
      <c r="AC173" s="141" t="b">
        <f t="shared" si="167"/>
        <v>0</v>
      </c>
      <c r="AD173" s="141">
        <f t="shared" si="167"/>
        <v>0</v>
      </c>
      <c r="AE173" s="141">
        <f t="shared" si="167"/>
        <v>0</v>
      </c>
      <c r="AF173" s="141" t="b">
        <f t="shared" si="167"/>
        <v>0</v>
      </c>
      <c r="AG173" s="141" t="b">
        <f t="shared" si="167"/>
        <v>0</v>
      </c>
      <c r="AH173" s="154" t="s">
        <v>12</v>
      </c>
      <c r="AI173" s="133"/>
      <c r="AJ173" s="170"/>
      <c r="AK173" s="133"/>
      <c r="AL173" s="133"/>
    </row>
    <row r="174" spans="1:38" ht="15.95" hidden="1" customHeight="1" x14ac:dyDescent="0.25">
      <c r="A174" s="176"/>
      <c r="B174" s="149" t="s">
        <v>64</v>
      </c>
      <c r="C174" s="141">
        <f>IF(C46=1,IF(C168&gt;C169,24-C168,0),0)</f>
        <v>0</v>
      </c>
      <c r="D174" s="141">
        <f t="shared" ref="D174:AG174" si="168">IF(D46=1,IF(D168&gt;D169,24-D168,0),0)</f>
        <v>0</v>
      </c>
      <c r="E174" s="141">
        <f t="shared" si="168"/>
        <v>0</v>
      </c>
      <c r="F174" s="141">
        <f t="shared" si="168"/>
        <v>0</v>
      </c>
      <c r="G174" s="141">
        <f t="shared" si="168"/>
        <v>0</v>
      </c>
      <c r="H174" s="141">
        <f t="shared" si="168"/>
        <v>0</v>
      </c>
      <c r="I174" s="141">
        <f t="shared" si="168"/>
        <v>0</v>
      </c>
      <c r="J174" s="141">
        <f t="shared" si="168"/>
        <v>0</v>
      </c>
      <c r="K174" s="141">
        <f t="shared" si="168"/>
        <v>0</v>
      </c>
      <c r="L174" s="141">
        <f t="shared" si="168"/>
        <v>0</v>
      </c>
      <c r="M174" s="141">
        <f t="shared" si="168"/>
        <v>0</v>
      </c>
      <c r="N174" s="141">
        <f t="shared" si="168"/>
        <v>0</v>
      </c>
      <c r="O174" s="141">
        <f t="shared" si="168"/>
        <v>0</v>
      </c>
      <c r="P174" s="141">
        <f t="shared" si="168"/>
        <v>0</v>
      </c>
      <c r="Q174" s="141">
        <f t="shared" si="168"/>
        <v>0</v>
      </c>
      <c r="R174" s="141">
        <f t="shared" si="168"/>
        <v>0</v>
      </c>
      <c r="S174" s="141">
        <f t="shared" si="168"/>
        <v>0</v>
      </c>
      <c r="T174" s="141">
        <f t="shared" si="168"/>
        <v>0</v>
      </c>
      <c r="U174" s="141">
        <f t="shared" si="168"/>
        <v>0</v>
      </c>
      <c r="V174" s="141">
        <f t="shared" si="168"/>
        <v>0</v>
      </c>
      <c r="W174" s="141">
        <f t="shared" si="168"/>
        <v>0</v>
      </c>
      <c r="X174" s="141">
        <f t="shared" si="168"/>
        <v>0</v>
      </c>
      <c r="Y174" s="141">
        <f t="shared" si="168"/>
        <v>0</v>
      </c>
      <c r="Z174" s="141">
        <f t="shared" si="168"/>
        <v>0</v>
      </c>
      <c r="AA174" s="141">
        <f t="shared" si="168"/>
        <v>0</v>
      </c>
      <c r="AB174" s="141">
        <f t="shared" si="168"/>
        <v>0</v>
      </c>
      <c r="AC174" s="141">
        <f t="shared" si="168"/>
        <v>0</v>
      </c>
      <c r="AD174" s="141">
        <f t="shared" si="168"/>
        <v>0</v>
      </c>
      <c r="AE174" s="141">
        <f t="shared" si="168"/>
        <v>0</v>
      </c>
      <c r="AF174" s="141">
        <f t="shared" si="168"/>
        <v>0</v>
      </c>
      <c r="AG174" s="141">
        <f t="shared" si="168"/>
        <v>0</v>
      </c>
      <c r="AH174" s="154" t="s">
        <v>12</v>
      </c>
      <c r="AI174" s="133"/>
      <c r="AJ174" s="170"/>
      <c r="AK174" s="133"/>
      <c r="AL174" s="133"/>
    </row>
    <row r="175" spans="1:38" ht="15.95" hidden="1" customHeight="1" x14ac:dyDescent="0.25">
      <c r="A175" s="176"/>
      <c r="B175" s="149" t="s">
        <v>65</v>
      </c>
      <c r="C175" s="141">
        <f>IF(C46=1,IF(C168&gt;C169,C169,0),0)</f>
        <v>0</v>
      </c>
      <c r="D175" s="141">
        <f t="shared" ref="D175:AG175" si="169">IF(D46=1,IF(D168&gt;D169,D169,0),0)</f>
        <v>0</v>
      </c>
      <c r="E175" s="141">
        <f t="shared" si="169"/>
        <v>0</v>
      </c>
      <c r="F175" s="141">
        <f t="shared" si="169"/>
        <v>0</v>
      </c>
      <c r="G175" s="141">
        <f t="shared" si="169"/>
        <v>0</v>
      </c>
      <c r="H175" s="141">
        <f t="shared" si="169"/>
        <v>0</v>
      </c>
      <c r="I175" s="141">
        <f t="shared" si="169"/>
        <v>0</v>
      </c>
      <c r="J175" s="141">
        <f t="shared" si="169"/>
        <v>0</v>
      </c>
      <c r="K175" s="141">
        <f t="shared" si="169"/>
        <v>0</v>
      </c>
      <c r="L175" s="141">
        <f t="shared" si="169"/>
        <v>0</v>
      </c>
      <c r="M175" s="141">
        <f t="shared" si="169"/>
        <v>0</v>
      </c>
      <c r="N175" s="141">
        <f t="shared" si="169"/>
        <v>0</v>
      </c>
      <c r="O175" s="141">
        <f t="shared" si="169"/>
        <v>0</v>
      </c>
      <c r="P175" s="141">
        <f t="shared" si="169"/>
        <v>0</v>
      </c>
      <c r="Q175" s="141">
        <f t="shared" si="169"/>
        <v>0</v>
      </c>
      <c r="R175" s="141">
        <f t="shared" si="169"/>
        <v>0</v>
      </c>
      <c r="S175" s="141">
        <f t="shared" si="169"/>
        <v>0</v>
      </c>
      <c r="T175" s="141">
        <f t="shared" si="169"/>
        <v>0</v>
      </c>
      <c r="U175" s="141">
        <f t="shared" si="169"/>
        <v>0</v>
      </c>
      <c r="V175" s="141">
        <f t="shared" si="169"/>
        <v>0</v>
      </c>
      <c r="W175" s="141">
        <f t="shared" si="169"/>
        <v>0</v>
      </c>
      <c r="X175" s="141">
        <f t="shared" si="169"/>
        <v>0</v>
      </c>
      <c r="Y175" s="141">
        <f t="shared" si="169"/>
        <v>0</v>
      </c>
      <c r="Z175" s="141">
        <f t="shared" si="169"/>
        <v>0</v>
      </c>
      <c r="AA175" s="141">
        <f t="shared" si="169"/>
        <v>0</v>
      </c>
      <c r="AB175" s="141">
        <f t="shared" si="169"/>
        <v>0</v>
      </c>
      <c r="AC175" s="141">
        <f t="shared" si="169"/>
        <v>0</v>
      </c>
      <c r="AD175" s="141">
        <f t="shared" si="169"/>
        <v>0</v>
      </c>
      <c r="AE175" s="141">
        <f t="shared" si="169"/>
        <v>0</v>
      </c>
      <c r="AF175" s="141">
        <f t="shared" si="169"/>
        <v>0</v>
      </c>
      <c r="AG175" s="141">
        <f t="shared" si="169"/>
        <v>0</v>
      </c>
      <c r="AH175" s="154" t="s">
        <v>12</v>
      </c>
      <c r="AI175" s="133"/>
      <c r="AJ175" s="170"/>
      <c r="AK175" s="133"/>
      <c r="AL175" s="133"/>
    </row>
    <row r="176" spans="1:38" ht="15.95" hidden="1" customHeight="1" x14ac:dyDescent="0.25">
      <c r="A176" s="176"/>
      <c r="B176" s="149" t="s">
        <v>67</v>
      </c>
      <c r="C176" s="171">
        <f>SUM(C173:C175)</f>
        <v>0</v>
      </c>
      <c r="D176" s="171">
        <f t="shared" ref="D176:AG176" si="170">SUM(D173:D175)</f>
        <v>0</v>
      </c>
      <c r="E176" s="171">
        <f t="shared" si="170"/>
        <v>0</v>
      </c>
      <c r="F176" s="171">
        <f t="shared" si="170"/>
        <v>0</v>
      </c>
      <c r="G176" s="171">
        <f t="shared" si="170"/>
        <v>0</v>
      </c>
      <c r="H176" s="171">
        <f t="shared" si="170"/>
        <v>0</v>
      </c>
      <c r="I176" s="171">
        <f t="shared" si="170"/>
        <v>0</v>
      </c>
      <c r="J176" s="171">
        <f t="shared" si="170"/>
        <v>0</v>
      </c>
      <c r="K176" s="171">
        <f t="shared" si="170"/>
        <v>0</v>
      </c>
      <c r="L176" s="171">
        <f t="shared" si="170"/>
        <v>0</v>
      </c>
      <c r="M176" s="171">
        <f t="shared" si="170"/>
        <v>0</v>
      </c>
      <c r="N176" s="171">
        <f t="shared" si="170"/>
        <v>0</v>
      </c>
      <c r="O176" s="171">
        <f t="shared" si="170"/>
        <v>0</v>
      </c>
      <c r="P176" s="171">
        <f t="shared" si="170"/>
        <v>0</v>
      </c>
      <c r="Q176" s="171">
        <f t="shared" si="170"/>
        <v>0</v>
      </c>
      <c r="R176" s="171">
        <f t="shared" si="170"/>
        <v>0</v>
      </c>
      <c r="S176" s="171">
        <f t="shared" si="170"/>
        <v>0</v>
      </c>
      <c r="T176" s="171">
        <f t="shared" si="170"/>
        <v>0</v>
      </c>
      <c r="U176" s="171">
        <f t="shared" si="170"/>
        <v>0</v>
      </c>
      <c r="V176" s="171">
        <f t="shared" si="170"/>
        <v>0</v>
      </c>
      <c r="W176" s="171">
        <f t="shared" si="170"/>
        <v>0</v>
      </c>
      <c r="X176" s="171">
        <f t="shared" si="170"/>
        <v>0</v>
      </c>
      <c r="Y176" s="171">
        <f t="shared" si="170"/>
        <v>0</v>
      </c>
      <c r="Z176" s="171">
        <f t="shared" si="170"/>
        <v>0</v>
      </c>
      <c r="AA176" s="171">
        <f t="shared" si="170"/>
        <v>0</v>
      </c>
      <c r="AB176" s="171">
        <f t="shared" si="170"/>
        <v>0</v>
      </c>
      <c r="AC176" s="171">
        <f t="shared" si="170"/>
        <v>0</v>
      </c>
      <c r="AD176" s="171">
        <f t="shared" si="170"/>
        <v>0</v>
      </c>
      <c r="AE176" s="171">
        <f t="shared" si="170"/>
        <v>0</v>
      </c>
      <c r="AF176" s="171">
        <f t="shared" si="170"/>
        <v>0</v>
      </c>
      <c r="AG176" s="171">
        <f t="shared" si="170"/>
        <v>0</v>
      </c>
      <c r="AH176" s="154" t="s">
        <v>12</v>
      </c>
      <c r="AI176" s="133"/>
      <c r="AJ176" s="170"/>
      <c r="AK176" s="133"/>
      <c r="AL176" s="133"/>
    </row>
    <row r="177" spans="1:38" ht="15.95" hidden="1" customHeight="1" x14ac:dyDescent="0.25">
      <c r="A177" s="177"/>
      <c r="B177" s="160" t="s">
        <v>68</v>
      </c>
      <c r="C177" s="161">
        <f>IF(C20="V",IF(C20="",0,1),0)</f>
        <v>0</v>
      </c>
      <c r="D177" s="161">
        <f t="shared" ref="D177:AG177" si="171">IF(D20="V",IF(D20="",0,1),0)</f>
        <v>0</v>
      </c>
      <c r="E177" s="161">
        <f t="shared" si="171"/>
        <v>0</v>
      </c>
      <c r="F177" s="161">
        <f t="shared" si="171"/>
        <v>0</v>
      </c>
      <c r="G177" s="161">
        <f t="shared" si="171"/>
        <v>0</v>
      </c>
      <c r="H177" s="161">
        <f t="shared" si="171"/>
        <v>0</v>
      </c>
      <c r="I177" s="161">
        <f t="shared" si="171"/>
        <v>0</v>
      </c>
      <c r="J177" s="161">
        <f t="shared" si="171"/>
        <v>0</v>
      </c>
      <c r="K177" s="161">
        <f t="shared" si="171"/>
        <v>0</v>
      </c>
      <c r="L177" s="161">
        <f t="shared" si="171"/>
        <v>0</v>
      </c>
      <c r="M177" s="161">
        <f t="shared" si="171"/>
        <v>0</v>
      </c>
      <c r="N177" s="161">
        <f t="shared" si="171"/>
        <v>0</v>
      </c>
      <c r="O177" s="161">
        <f t="shared" si="171"/>
        <v>0</v>
      </c>
      <c r="P177" s="161">
        <f t="shared" si="171"/>
        <v>0</v>
      </c>
      <c r="Q177" s="161">
        <f t="shared" si="171"/>
        <v>0</v>
      </c>
      <c r="R177" s="161">
        <f t="shared" si="171"/>
        <v>0</v>
      </c>
      <c r="S177" s="161">
        <f t="shared" si="171"/>
        <v>0</v>
      </c>
      <c r="T177" s="161">
        <f t="shared" si="171"/>
        <v>0</v>
      </c>
      <c r="U177" s="161">
        <f t="shared" si="171"/>
        <v>0</v>
      </c>
      <c r="V177" s="161">
        <f t="shared" si="171"/>
        <v>0</v>
      </c>
      <c r="W177" s="161">
        <f t="shared" si="171"/>
        <v>0</v>
      </c>
      <c r="X177" s="161">
        <f t="shared" si="171"/>
        <v>0</v>
      </c>
      <c r="Y177" s="161">
        <f t="shared" si="171"/>
        <v>0</v>
      </c>
      <c r="Z177" s="161">
        <f t="shared" si="171"/>
        <v>0</v>
      </c>
      <c r="AA177" s="161">
        <f t="shared" si="171"/>
        <v>0</v>
      </c>
      <c r="AB177" s="161">
        <f t="shared" si="171"/>
        <v>0</v>
      </c>
      <c r="AC177" s="161">
        <f t="shared" si="171"/>
        <v>0</v>
      </c>
      <c r="AD177" s="161">
        <f t="shared" si="171"/>
        <v>0</v>
      </c>
      <c r="AE177" s="161">
        <f t="shared" si="171"/>
        <v>0</v>
      </c>
      <c r="AF177" s="161">
        <f t="shared" si="171"/>
        <v>0</v>
      </c>
      <c r="AG177" s="161">
        <f t="shared" si="171"/>
        <v>0</v>
      </c>
      <c r="AH177" s="154" t="s">
        <v>12</v>
      </c>
      <c r="AI177" s="133"/>
      <c r="AJ177" s="170"/>
      <c r="AK177" s="133"/>
      <c r="AL177" s="133"/>
    </row>
    <row r="178" spans="1:38" ht="15.95" hidden="1" customHeight="1" x14ac:dyDescent="0.25">
      <c r="A178" s="180"/>
      <c r="B178" s="181" t="s">
        <v>16</v>
      </c>
      <c r="C178" s="182">
        <f>IF(C20="PR",IF(C20="",0,1),0)</f>
        <v>0</v>
      </c>
      <c r="D178" s="182">
        <f t="shared" ref="D178:AG178" si="172">IF(D20="PR",IF(D20="",0,1),0)</f>
        <v>0</v>
      </c>
      <c r="E178" s="182">
        <f t="shared" si="172"/>
        <v>0</v>
      </c>
      <c r="F178" s="182">
        <f t="shared" si="172"/>
        <v>0</v>
      </c>
      <c r="G178" s="182">
        <f t="shared" si="172"/>
        <v>0</v>
      </c>
      <c r="H178" s="182">
        <f t="shared" si="172"/>
        <v>0</v>
      </c>
      <c r="I178" s="182">
        <f t="shared" si="172"/>
        <v>0</v>
      </c>
      <c r="J178" s="182">
        <f t="shared" si="172"/>
        <v>0</v>
      </c>
      <c r="K178" s="182">
        <f t="shared" si="172"/>
        <v>0</v>
      </c>
      <c r="L178" s="182">
        <f t="shared" si="172"/>
        <v>0</v>
      </c>
      <c r="M178" s="182">
        <f t="shared" si="172"/>
        <v>0</v>
      </c>
      <c r="N178" s="182">
        <f t="shared" si="172"/>
        <v>0</v>
      </c>
      <c r="O178" s="182">
        <f t="shared" si="172"/>
        <v>0</v>
      </c>
      <c r="P178" s="182">
        <f t="shared" si="172"/>
        <v>0</v>
      </c>
      <c r="Q178" s="182">
        <f t="shared" si="172"/>
        <v>0</v>
      </c>
      <c r="R178" s="182">
        <f t="shared" si="172"/>
        <v>0</v>
      </c>
      <c r="S178" s="182">
        <f t="shared" si="172"/>
        <v>0</v>
      </c>
      <c r="T178" s="182">
        <f t="shared" si="172"/>
        <v>0</v>
      </c>
      <c r="U178" s="182">
        <f t="shared" si="172"/>
        <v>0</v>
      </c>
      <c r="V178" s="182">
        <f t="shared" si="172"/>
        <v>0</v>
      </c>
      <c r="W178" s="182">
        <f t="shared" si="172"/>
        <v>0</v>
      </c>
      <c r="X178" s="182">
        <f t="shared" si="172"/>
        <v>0</v>
      </c>
      <c r="Y178" s="182">
        <f t="shared" si="172"/>
        <v>0</v>
      </c>
      <c r="Z178" s="182">
        <f t="shared" si="172"/>
        <v>0</v>
      </c>
      <c r="AA178" s="182">
        <f t="shared" si="172"/>
        <v>0</v>
      </c>
      <c r="AB178" s="182">
        <f t="shared" si="172"/>
        <v>0</v>
      </c>
      <c r="AC178" s="182">
        <f t="shared" si="172"/>
        <v>0</v>
      </c>
      <c r="AD178" s="182">
        <f t="shared" si="172"/>
        <v>0</v>
      </c>
      <c r="AE178" s="182">
        <f t="shared" si="172"/>
        <v>0</v>
      </c>
      <c r="AF178" s="182">
        <f t="shared" si="172"/>
        <v>0</v>
      </c>
      <c r="AG178" s="182">
        <f t="shared" si="172"/>
        <v>0</v>
      </c>
      <c r="AH178" s="227">
        <f>SUM(C178:AG178)</f>
        <v>0</v>
      </c>
      <c r="AI178" s="227"/>
      <c r="AJ178" s="174" t="s">
        <v>69</v>
      </c>
      <c r="AK178" s="133"/>
      <c r="AL178" s="133"/>
    </row>
    <row r="179" spans="1:38" ht="15.95" hidden="1" customHeight="1" x14ac:dyDescent="0.25">
      <c r="A179" s="116"/>
      <c r="B179" s="184"/>
      <c r="C179" s="185"/>
      <c r="D179" s="185"/>
      <c r="E179" s="185"/>
      <c r="F179" s="185"/>
      <c r="G179" s="186"/>
      <c r="H179" s="185"/>
      <c r="I179" s="185"/>
      <c r="J179" s="185"/>
      <c r="K179" s="185"/>
      <c r="L179" s="185"/>
      <c r="M179" s="185"/>
      <c r="N179" s="186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185"/>
      <c r="AF179" s="185"/>
      <c r="AG179" s="185"/>
      <c r="AH179" s="133"/>
      <c r="AI179" s="133"/>
      <c r="AJ179" s="133"/>
      <c r="AK179" s="133"/>
      <c r="AL179" s="133"/>
    </row>
    <row r="180" spans="1:38" ht="15.95" hidden="1" customHeight="1" x14ac:dyDescent="0.25">
      <c r="A180" s="116"/>
      <c r="B180" s="184"/>
      <c r="C180" s="185"/>
      <c r="D180" s="185"/>
      <c r="E180" s="185"/>
      <c r="F180" s="185"/>
      <c r="G180" s="186"/>
      <c r="H180" s="185"/>
      <c r="I180" s="185"/>
      <c r="J180" s="185"/>
      <c r="K180" s="185"/>
      <c r="L180" s="185"/>
      <c r="M180" s="185"/>
      <c r="N180" s="186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185"/>
      <c r="AF180" s="185"/>
      <c r="AG180" s="185"/>
      <c r="AH180" s="116"/>
      <c r="AI180" s="116"/>
      <c r="AJ180" s="116"/>
      <c r="AK180" s="116"/>
      <c r="AL180" s="116"/>
    </row>
    <row r="181" spans="1:38" ht="15.95" hidden="1" customHeight="1" x14ac:dyDescent="0.25">
      <c r="A181" s="116"/>
      <c r="B181" s="184"/>
      <c r="C181" s="185"/>
      <c r="D181" s="185"/>
      <c r="E181" s="185"/>
      <c r="F181" s="185"/>
      <c r="G181" s="186"/>
      <c r="H181" s="185"/>
      <c r="I181" s="185"/>
      <c r="J181" s="185"/>
      <c r="K181" s="185"/>
      <c r="L181" s="185"/>
      <c r="M181" s="185"/>
      <c r="N181" s="186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/>
      <c r="AH181" s="116"/>
      <c r="AI181" s="116"/>
      <c r="AJ181" s="116"/>
      <c r="AK181" s="116"/>
      <c r="AL181" s="116"/>
    </row>
    <row r="182" spans="1:38" ht="15.95" hidden="1" customHeight="1" x14ac:dyDescent="0.25">
      <c r="A182" s="116"/>
      <c r="B182" s="126"/>
      <c r="C182" s="116"/>
      <c r="D182" s="116"/>
      <c r="E182" s="116"/>
      <c r="F182" s="116"/>
      <c r="G182" s="114"/>
      <c r="H182" s="116"/>
      <c r="I182" s="116"/>
      <c r="J182" s="116"/>
      <c r="K182" s="116"/>
      <c r="L182" s="116"/>
      <c r="M182" s="116"/>
      <c r="N182" s="114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  <c r="AH182" s="116"/>
      <c r="AI182" s="116"/>
      <c r="AJ182" s="116"/>
      <c r="AK182" s="116"/>
      <c r="AL182" s="116"/>
    </row>
    <row r="183" spans="1:38" ht="15.95" hidden="1" customHeight="1" x14ac:dyDescent="0.25">
      <c r="A183" s="116"/>
      <c r="B183" s="126"/>
      <c r="C183" s="116"/>
      <c r="D183" s="116"/>
      <c r="E183" s="116"/>
      <c r="F183" s="116"/>
      <c r="G183" s="114"/>
      <c r="H183" s="116"/>
      <c r="I183" s="116"/>
      <c r="J183" s="116"/>
      <c r="K183" s="116"/>
      <c r="L183" s="116"/>
      <c r="M183" s="116"/>
      <c r="N183" s="114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  <c r="AI183" s="116"/>
      <c r="AJ183" s="116"/>
      <c r="AK183" s="116"/>
      <c r="AL183" s="116"/>
    </row>
    <row r="184" spans="1:38" ht="15.95" hidden="1" customHeight="1" x14ac:dyDescent="0.25">
      <c r="A184" s="116"/>
      <c r="B184" s="126"/>
      <c r="C184" s="116"/>
      <c r="D184" s="116"/>
      <c r="E184" s="116"/>
      <c r="F184" s="116"/>
      <c r="G184" s="114"/>
      <c r="H184" s="116"/>
      <c r="I184" s="116"/>
      <c r="J184" s="116"/>
      <c r="K184" s="116"/>
      <c r="L184" s="116"/>
      <c r="M184" s="116"/>
      <c r="N184" s="114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  <c r="AI184" s="116"/>
      <c r="AJ184" s="116"/>
      <c r="AK184" s="116"/>
      <c r="AL184" s="116"/>
    </row>
    <row r="185" spans="1:38" ht="15.95" hidden="1" customHeight="1" x14ac:dyDescent="0.25">
      <c r="A185" s="116"/>
      <c r="B185" s="116"/>
      <c r="C185" s="116"/>
      <c r="D185" s="116"/>
      <c r="E185" s="116"/>
      <c r="F185" s="116"/>
      <c r="G185" s="114"/>
      <c r="H185" s="116"/>
      <c r="I185" s="116"/>
      <c r="J185" s="116"/>
      <c r="K185" s="116"/>
      <c r="L185" s="116"/>
      <c r="M185" s="116"/>
      <c r="N185" s="114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  <c r="AI185" s="116"/>
      <c r="AJ185" s="116"/>
      <c r="AK185" s="116"/>
      <c r="AL185" s="116"/>
    </row>
    <row r="186" spans="1:38" ht="15.95" hidden="1" customHeight="1" x14ac:dyDescent="0.25">
      <c r="A186" s="116"/>
      <c r="B186" s="116"/>
      <c r="C186" s="228" t="s">
        <v>89</v>
      </c>
      <c r="D186" s="228"/>
      <c r="E186" s="228"/>
      <c r="F186" s="228"/>
      <c r="G186" s="228"/>
      <c r="H186" s="228"/>
      <c r="I186" s="228"/>
      <c r="J186" s="228"/>
      <c r="K186" s="228"/>
      <c r="L186" s="228"/>
      <c r="M186" s="116"/>
      <c r="N186" s="114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  <c r="AH186" s="116"/>
      <c r="AI186" s="116"/>
      <c r="AJ186" s="116"/>
      <c r="AK186" s="116"/>
      <c r="AL186" s="116"/>
    </row>
    <row r="187" spans="1:38" ht="15.95" hidden="1" customHeight="1" x14ac:dyDescent="0.25">
      <c r="A187" s="180"/>
      <c r="B187" s="181" t="s">
        <v>90</v>
      </c>
      <c r="C187" s="187">
        <f t="shared" ref="C187:AG187" si="173">IF(C49&gt;=4,IF(C49="",0,8),IF(C49&gt;=0.1,IF(C49="",0,C49),""))</f>
        <v>0</v>
      </c>
      <c r="D187" s="187">
        <f t="shared" si="173"/>
        <v>8</v>
      </c>
      <c r="E187" s="187">
        <f t="shared" si="173"/>
        <v>8</v>
      </c>
      <c r="F187" s="187">
        <f t="shared" si="173"/>
        <v>8</v>
      </c>
      <c r="G187" s="187">
        <f t="shared" si="173"/>
        <v>0</v>
      </c>
      <c r="H187" s="187">
        <f t="shared" si="173"/>
        <v>0</v>
      </c>
      <c r="I187" s="187">
        <f t="shared" si="173"/>
        <v>0</v>
      </c>
      <c r="J187" s="187">
        <f t="shared" si="173"/>
        <v>0</v>
      </c>
      <c r="K187" s="187">
        <f t="shared" si="173"/>
        <v>8</v>
      </c>
      <c r="L187" s="187">
        <f t="shared" si="173"/>
        <v>8</v>
      </c>
      <c r="M187" s="187">
        <f t="shared" si="173"/>
        <v>8</v>
      </c>
      <c r="N187" s="187">
        <f t="shared" si="173"/>
        <v>8</v>
      </c>
      <c r="O187" s="187">
        <f t="shared" si="173"/>
        <v>0</v>
      </c>
      <c r="P187" s="187">
        <f t="shared" si="173"/>
        <v>0</v>
      </c>
      <c r="Q187" s="187">
        <f t="shared" si="173"/>
        <v>0</v>
      </c>
      <c r="R187" s="187">
        <f t="shared" si="173"/>
        <v>8</v>
      </c>
      <c r="S187" s="187">
        <f t="shared" si="173"/>
        <v>8</v>
      </c>
      <c r="T187" s="187">
        <f t="shared" si="173"/>
        <v>0</v>
      </c>
      <c r="U187" s="187">
        <f t="shared" si="173"/>
        <v>8</v>
      </c>
      <c r="V187" s="187">
        <f t="shared" si="173"/>
        <v>8</v>
      </c>
      <c r="W187" s="187">
        <f t="shared" si="173"/>
        <v>8</v>
      </c>
      <c r="X187" s="187">
        <f t="shared" si="173"/>
        <v>8</v>
      </c>
      <c r="Y187" s="187">
        <f t="shared" si="173"/>
        <v>8</v>
      </c>
      <c r="Z187" s="187">
        <f t="shared" si="173"/>
        <v>0</v>
      </c>
      <c r="AA187" s="187">
        <f t="shared" si="173"/>
        <v>8</v>
      </c>
      <c r="AB187" s="187">
        <f t="shared" si="173"/>
        <v>8</v>
      </c>
      <c r="AC187" s="187">
        <f t="shared" si="173"/>
        <v>0</v>
      </c>
      <c r="AD187" s="187">
        <f t="shared" si="173"/>
        <v>0</v>
      </c>
      <c r="AE187" s="187">
        <f t="shared" si="173"/>
        <v>0</v>
      </c>
      <c r="AF187" s="187">
        <f t="shared" si="173"/>
        <v>8</v>
      </c>
      <c r="AG187" s="187">
        <f t="shared" si="173"/>
        <v>8</v>
      </c>
      <c r="AH187" s="188">
        <f t="shared" ref="AH187" si="174">SUM(C187:AG187)</f>
        <v>144</v>
      </c>
      <c r="AI187" s="116" t="s">
        <v>91</v>
      </c>
      <c r="AJ187" s="116"/>
      <c r="AK187" s="116"/>
      <c r="AL187" s="116"/>
    </row>
    <row r="188" spans="1:38" ht="15.95" hidden="1" customHeight="1" x14ac:dyDescent="0.25">
      <c r="A188" s="116"/>
      <c r="B188" s="181" t="s">
        <v>92</v>
      </c>
      <c r="C188" s="189">
        <v>1</v>
      </c>
      <c r="D188" s="189">
        <v>2</v>
      </c>
      <c r="E188" s="189">
        <v>3</v>
      </c>
      <c r="F188" s="189">
        <v>4</v>
      </c>
      <c r="G188" s="189">
        <v>5</v>
      </c>
      <c r="H188" s="189">
        <v>6</v>
      </c>
      <c r="I188" s="189">
        <v>7</v>
      </c>
      <c r="J188" s="189">
        <v>8</v>
      </c>
      <c r="K188" s="189">
        <v>9</v>
      </c>
      <c r="L188" s="189">
        <v>10</v>
      </c>
      <c r="M188" s="189">
        <v>11</v>
      </c>
      <c r="N188" s="189">
        <v>12</v>
      </c>
      <c r="O188" s="189">
        <v>13</v>
      </c>
      <c r="P188" s="189">
        <v>14</v>
      </c>
      <c r="Q188" s="189">
        <v>15</v>
      </c>
      <c r="R188" s="189">
        <v>16</v>
      </c>
      <c r="S188" s="189">
        <v>17</v>
      </c>
      <c r="T188" s="189">
        <v>18</v>
      </c>
      <c r="U188" s="189">
        <v>19</v>
      </c>
      <c r="V188" s="189">
        <v>20</v>
      </c>
      <c r="W188" s="189">
        <v>21</v>
      </c>
      <c r="X188" s="189">
        <v>22</v>
      </c>
      <c r="Y188" s="189">
        <v>23</v>
      </c>
      <c r="Z188" s="189">
        <v>24</v>
      </c>
      <c r="AA188" s="189">
        <v>25</v>
      </c>
      <c r="AB188" s="189">
        <v>26</v>
      </c>
      <c r="AC188" s="189">
        <v>27</v>
      </c>
      <c r="AD188" s="189">
        <v>28</v>
      </c>
      <c r="AE188" s="189">
        <v>29</v>
      </c>
      <c r="AF188" s="189">
        <v>30</v>
      </c>
      <c r="AG188" s="189">
        <v>31</v>
      </c>
      <c r="AH188" s="116"/>
      <c r="AI188" s="116"/>
      <c r="AJ188" s="116"/>
      <c r="AK188" s="116"/>
      <c r="AL188" s="116"/>
    </row>
    <row r="189" spans="1:38" ht="15.95" hidden="1" customHeight="1" x14ac:dyDescent="0.25">
      <c r="A189" s="116"/>
      <c r="B189" s="116"/>
      <c r="C189" s="116"/>
      <c r="D189" s="116"/>
      <c r="E189" s="116"/>
      <c r="F189" s="116"/>
      <c r="G189" s="114"/>
      <c r="H189" s="116"/>
      <c r="I189" s="116"/>
      <c r="J189" s="116"/>
      <c r="K189" s="116"/>
      <c r="L189" s="116"/>
      <c r="M189" s="116"/>
      <c r="N189" s="114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  <c r="AH189" s="116"/>
      <c r="AI189" s="116"/>
      <c r="AJ189" s="116"/>
      <c r="AK189" s="116"/>
      <c r="AL189" s="116"/>
    </row>
    <row r="190" spans="1:38" ht="15.95" hidden="1" customHeight="1" x14ac:dyDescent="0.25">
      <c r="A190" s="116"/>
      <c r="B190" s="116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  <c r="AB190" s="221"/>
      <c r="AC190" s="221"/>
      <c r="AD190" s="221"/>
      <c r="AE190" s="221"/>
      <c r="AF190" s="221"/>
      <c r="AG190" s="221"/>
      <c r="AH190" s="116"/>
      <c r="AI190" s="116"/>
      <c r="AJ190" s="116"/>
      <c r="AK190" s="116"/>
      <c r="AL190" s="116"/>
    </row>
    <row r="191" spans="1:38" ht="15.95" hidden="1" customHeight="1" x14ac:dyDescent="0.25">
      <c r="A191" s="116"/>
      <c r="B191" s="181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  <c r="AA191" s="190"/>
      <c r="AB191" s="190"/>
      <c r="AC191" s="190"/>
      <c r="AD191" s="190"/>
      <c r="AE191" s="190"/>
      <c r="AF191" s="190"/>
      <c r="AG191" s="190"/>
      <c r="AH191" s="116"/>
      <c r="AI191" s="116"/>
      <c r="AJ191" s="116"/>
      <c r="AK191" s="116"/>
      <c r="AL191" s="116"/>
    </row>
    <row r="192" spans="1:38" ht="15.95" hidden="1" customHeight="1" x14ac:dyDescent="0.25">
      <c r="A192" s="116"/>
      <c r="B192" s="191"/>
      <c r="C192" s="192"/>
      <c r="D192" s="192"/>
      <c r="E192" s="192"/>
      <c r="F192" s="192"/>
      <c r="G192" s="193"/>
      <c r="H192" s="192"/>
      <c r="I192" s="192"/>
      <c r="J192" s="192"/>
      <c r="K192" s="192"/>
      <c r="L192" s="192"/>
      <c r="M192" s="192"/>
      <c r="N192" s="193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  <c r="AA192" s="192"/>
      <c r="AB192" s="192"/>
      <c r="AC192" s="192"/>
      <c r="AD192" s="192"/>
      <c r="AE192" s="192"/>
      <c r="AF192" s="192"/>
      <c r="AG192" s="192"/>
      <c r="AH192" s="116"/>
      <c r="AI192" s="116"/>
      <c r="AJ192" s="116"/>
      <c r="AK192" s="116"/>
      <c r="AL192" s="116"/>
    </row>
    <row r="193" spans="1:38" ht="15.95" hidden="1" customHeight="1" x14ac:dyDescent="0.25">
      <c r="A193" s="116"/>
      <c r="B193" s="116"/>
      <c r="C193" s="116"/>
      <c r="D193" s="116"/>
      <c r="E193" s="116"/>
      <c r="F193" s="116"/>
      <c r="G193" s="114"/>
      <c r="H193" s="116"/>
      <c r="I193" s="116"/>
      <c r="J193" s="116"/>
      <c r="K193" s="116"/>
      <c r="L193" s="116"/>
      <c r="M193" s="116"/>
      <c r="N193" s="114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  <c r="AH193" s="116"/>
      <c r="AI193" s="116"/>
      <c r="AJ193" s="116"/>
      <c r="AK193" s="116"/>
      <c r="AL193" s="116"/>
    </row>
    <row r="194" spans="1:38" ht="15.95" hidden="1" customHeight="1" x14ac:dyDescent="0.25">
      <c r="A194" s="116"/>
      <c r="B194" s="116"/>
      <c r="C194" s="116"/>
      <c r="D194" s="116"/>
      <c r="E194" s="116"/>
      <c r="F194" s="116"/>
      <c r="G194" s="114"/>
      <c r="H194" s="116"/>
      <c r="I194" s="116"/>
      <c r="J194" s="116"/>
      <c r="K194" s="116"/>
      <c r="L194" s="116"/>
      <c r="M194" s="116"/>
      <c r="N194" s="114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  <c r="AK194" s="116"/>
      <c r="AL194" s="116"/>
    </row>
    <row r="195" spans="1:38" ht="15.95" hidden="1" customHeight="1" x14ac:dyDescent="0.25">
      <c r="A195" s="116"/>
      <c r="B195" s="116"/>
      <c r="C195" s="116"/>
      <c r="D195" s="116"/>
      <c r="E195" s="116"/>
      <c r="F195" s="116"/>
      <c r="G195" s="114"/>
      <c r="H195" s="116"/>
      <c r="I195" s="116"/>
      <c r="J195" s="116"/>
      <c r="K195" s="116"/>
      <c r="L195" s="116"/>
      <c r="M195" s="116"/>
      <c r="N195" s="114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  <c r="AJ195" s="116"/>
      <c r="AK195" s="116"/>
      <c r="AL195" s="116"/>
    </row>
    <row r="196" spans="1:38" ht="15.95" hidden="1" customHeight="1" x14ac:dyDescent="0.25">
      <c r="A196" s="116"/>
      <c r="B196" s="116"/>
      <c r="C196" s="116"/>
      <c r="D196" s="116"/>
      <c r="E196" s="116"/>
      <c r="F196" s="116"/>
      <c r="G196" s="114"/>
      <c r="H196" s="116"/>
      <c r="I196" s="116"/>
      <c r="J196" s="116"/>
      <c r="K196" s="116"/>
      <c r="L196" s="116"/>
      <c r="M196" s="116"/>
      <c r="N196" s="114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  <c r="AJ196" s="116"/>
      <c r="AK196" s="116"/>
      <c r="AL196" s="116"/>
    </row>
    <row r="197" spans="1:38" ht="15.95" hidden="1" customHeight="1" x14ac:dyDescent="0.25">
      <c r="A197" s="116"/>
      <c r="B197" s="116"/>
      <c r="C197" s="116"/>
      <c r="D197" s="116"/>
      <c r="E197" s="116"/>
      <c r="F197" s="116"/>
      <c r="G197" s="114"/>
      <c r="H197" s="116"/>
      <c r="I197" s="116"/>
      <c r="J197" s="116"/>
      <c r="K197" s="116"/>
      <c r="L197" s="116"/>
      <c r="M197" s="116"/>
      <c r="N197" s="114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  <c r="AI197" s="116"/>
      <c r="AJ197" s="116"/>
      <c r="AK197" s="116"/>
      <c r="AL197" s="116"/>
    </row>
    <row r="198" spans="1:38" ht="15.95" hidden="1" customHeight="1" x14ac:dyDescent="0.25">
      <c r="A198" s="116"/>
      <c r="B198" s="116"/>
      <c r="C198" s="116"/>
      <c r="D198" s="116"/>
      <c r="E198" s="116"/>
      <c r="F198" s="116"/>
      <c r="G198" s="114"/>
      <c r="H198" s="116"/>
      <c r="I198" s="116"/>
      <c r="J198" s="116"/>
      <c r="K198" s="116"/>
      <c r="L198" s="116"/>
      <c r="M198" s="116"/>
      <c r="N198" s="114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  <c r="AL198" s="116"/>
    </row>
    <row r="199" spans="1:38" ht="15.95" hidden="1" customHeight="1" x14ac:dyDescent="0.25">
      <c r="A199" s="116"/>
      <c r="B199" s="116"/>
      <c r="C199" s="116"/>
      <c r="D199" s="116"/>
      <c r="E199" s="116"/>
      <c r="F199" s="116"/>
      <c r="G199" s="114"/>
      <c r="H199" s="116"/>
      <c r="I199" s="116"/>
      <c r="J199" s="116"/>
      <c r="K199" s="116"/>
      <c r="L199" s="116"/>
      <c r="M199" s="116"/>
      <c r="N199" s="114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  <c r="AJ199" s="116"/>
      <c r="AK199" s="116"/>
      <c r="AL199" s="116"/>
    </row>
    <row r="200" spans="1:38" ht="15.95" hidden="1" customHeight="1" x14ac:dyDescent="0.25">
      <c r="A200" s="116"/>
      <c r="B200" s="116"/>
      <c r="C200" s="116"/>
      <c r="D200" s="116"/>
      <c r="E200" s="116"/>
      <c r="F200" s="116"/>
      <c r="G200" s="114"/>
      <c r="H200" s="116"/>
      <c r="I200" s="116"/>
      <c r="J200" s="116"/>
      <c r="K200" s="116"/>
      <c r="L200" s="116"/>
      <c r="M200" s="116"/>
      <c r="N200" s="114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  <c r="AI200" s="116"/>
      <c r="AJ200" s="116"/>
      <c r="AK200" s="116"/>
      <c r="AL200" s="116"/>
    </row>
    <row r="201" spans="1:38" ht="20.25" customHeight="1" x14ac:dyDescent="0.25">
      <c r="A201" s="116"/>
      <c r="B201" s="116"/>
      <c r="C201" s="116"/>
      <c r="D201" s="116"/>
      <c r="E201" s="116"/>
      <c r="F201" s="116"/>
      <c r="G201" s="114"/>
      <c r="H201" s="116"/>
      <c r="I201" s="116"/>
      <c r="J201" s="116"/>
      <c r="K201" s="116"/>
      <c r="L201" s="116"/>
      <c r="M201" s="116"/>
      <c r="N201" s="114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  <c r="AK201" s="116"/>
      <c r="AL201" s="116"/>
    </row>
  </sheetData>
  <sheetProtection algorithmName="SHA-512" hashValue="g5jiy/e7YrTzcdhTM4j1AXvBTSwrojjXXNPlI7yUOQG+oxbCX5baEpLAMp+dXiYdaGOM8jjP5Sn2lgBVjxDKlQ==" saltValue="mdl6cCBgRQI0DbJ9JKEicg==" spinCount="100000" sheet="1" objects="1" scenarios="1" formatCells="0"/>
  <mergeCells count="148">
    <mergeCell ref="AH171:AI171"/>
    <mergeCell ref="AJ171:AK171"/>
    <mergeCell ref="AH172:AI172"/>
    <mergeCell ref="AH178:AI178"/>
    <mergeCell ref="C186:L186"/>
    <mergeCell ref="C190:AG190"/>
    <mergeCell ref="AH150:AI150"/>
    <mergeCell ref="AH156:AI156"/>
    <mergeCell ref="AH160:AI160"/>
    <mergeCell ref="AJ160:AK160"/>
    <mergeCell ref="AH161:AI161"/>
    <mergeCell ref="AH167:AI167"/>
    <mergeCell ref="AH138:AI138"/>
    <mergeCell ref="AJ138:AK138"/>
    <mergeCell ref="AH139:AI139"/>
    <mergeCell ref="AH145:AI145"/>
    <mergeCell ref="AH149:AI149"/>
    <mergeCell ref="AJ149:AK149"/>
    <mergeCell ref="AH117:AI117"/>
    <mergeCell ref="AH123:AI123"/>
    <mergeCell ref="AH127:AI127"/>
    <mergeCell ref="AJ127:AK127"/>
    <mergeCell ref="AH128:AI128"/>
    <mergeCell ref="AH134:AI134"/>
    <mergeCell ref="AH105:AI105"/>
    <mergeCell ref="AJ105:AK105"/>
    <mergeCell ref="AH106:AI106"/>
    <mergeCell ref="AH112:AI112"/>
    <mergeCell ref="AH116:AI116"/>
    <mergeCell ref="AJ116:AK116"/>
    <mergeCell ref="AH83:AI83"/>
    <mergeCell ref="AH84:AI84"/>
    <mergeCell ref="AH90:AI90"/>
    <mergeCell ref="AH94:AI94"/>
    <mergeCell ref="AH95:AI95"/>
    <mergeCell ref="AH101:AI101"/>
    <mergeCell ref="AH61:AI61"/>
    <mergeCell ref="AH62:AI62"/>
    <mergeCell ref="AH68:AI68"/>
    <mergeCell ref="AH72:AI72"/>
    <mergeCell ref="AH73:AI73"/>
    <mergeCell ref="AH79:AI79"/>
    <mergeCell ref="AI48:AJ48"/>
    <mergeCell ref="AI49:AJ49"/>
    <mergeCell ref="AN49:AO49"/>
    <mergeCell ref="AH50:AI50"/>
    <mergeCell ref="AH51:AI51"/>
    <mergeCell ref="AH57:AI57"/>
    <mergeCell ref="C43:D43"/>
    <mergeCell ref="E43:AI43"/>
    <mergeCell ref="AI45:AJ45"/>
    <mergeCell ref="AI46:AJ46"/>
    <mergeCell ref="AI47:AJ47"/>
    <mergeCell ref="AN47:AO47"/>
    <mergeCell ref="S39:T39"/>
    <mergeCell ref="V39:W39"/>
    <mergeCell ref="S40:T40"/>
    <mergeCell ref="V40:W40"/>
    <mergeCell ref="C42:V42"/>
    <mergeCell ref="W42:AH42"/>
    <mergeCell ref="A37:B37"/>
    <mergeCell ref="C37:N37"/>
    <mergeCell ref="S37:T37"/>
    <mergeCell ref="V37:W37"/>
    <mergeCell ref="A38:B38"/>
    <mergeCell ref="C38:N38"/>
    <mergeCell ref="S38:T38"/>
    <mergeCell ref="V38:W38"/>
    <mergeCell ref="A35:B35"/>
    <mergeCell ref="C35:N35"/>
    <mergeCell ref="S35:T35"/>
    <mergeCell ref="V35:W35"/>
    <mergeCell ref="A36:B36"/>
    <mergeCell ref="C36:N36"/>
    <mergeCell ref="S36:T36"/>
    <mergeCell ref="V36:W36"/>
    <mergeCell ref="A33:B33"/>
    <mergeCell ref="C33:N33"/>
    <mergeCell ref="S33:T33"/>
    <mergeCell ref="V33:W33"/>
    <mergeCell ref="A34:B34"/>
    <mergeCell ref="C34:N34"/>
    <mergeCell ref="S34:T34"/>
    <mergeCell ref="V34:W34"/>
    <mergeCell ref="AR31:AZ31"/>
    <mergeCell ref="D26:E26"/>
    <mergeCell ref="G26:H26"/>
    <mergeCell ref="K26:L26"/>
    <mergeCell ref="N26:O26"/>
    <mergeCell ref="R26:S26"/>
    <mergeCell ref="U26:V26"/>
    <mergeCell ref="W26:X26"/>
    <mergeCell ref="BB31:BC31"/>
    <mergeCell ref="A32:B32"/>
    <mergeCell ref="C32:N32"/>
    <mergeCell ref="S32:T32"/>
    <mergeCell ref="V32:W32"/>
    <mergeCell ref="AD32:AG32"/>
    <mergeCell ref="AI32:AJ32"/>
    <mergeCell ref="Z26:AA26"/>
    <mergeCell ref="AH26:AI26"/>
    <mergeCell ref="AJ26:AL26"/>
    <mergeCell ref="AE27:AF27"/>
    <mergeCell ref="C29:AJ29"/>
    <mergeCell ref="A31:N31"/>
    <mergeCell ref="R31:W31"/>
    <mergeCell ref="AD31:AI31"/>
    <mergeCell ref="AH24:AI24"/>
    <mergeCell ref="AJ24:AL24"/>
    <mergeCell ref="D25:E25"/>
    <mergeCell ref="G25:H25"/>
    <mergeCell ref="K25:L25"/>
    <mergeCell ref="N25:O25"/>
    <mergeCell ref="R25:S25"/>
    <mergeCell ref="U25:V25"/>
    <mergeCell ref="W25:X25"/>
    <mergeCell ref="Z25:AA25"/>
    <mergeCell ref="AH25:AI25"/>
    <mergeCell ref="AJ25:AL25"/>
    <mergeCell ref="C23:H23"/>
    <mergeCell ref="J23:O23"/>
    <mergeCell ref="Q23:AA23"/>
    <mergeCell ref="D24:E24"/>
    <mergeCell ref="G24:H24"/>
    <mergeCell ref="K24:L24"/>
    <mergeCell ref="N24:O24"/>
    <mergeCell ref="R24:S24"/>
    <mergeCell ref="U24:V24"/>
    <mergeCell ref="W24:X24"/>
    <mergeCell ref="Z24:AA24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B3:J3"/>
    <mergeCell ref="B4:O4"/>
    <mergeCell ref="Q4:X4"/>
    <mergeCell ref="Z4:AB4"/>
    <mergeCell ref="AC4:AH4"/>
    <mergeCell ref="A8:B8"/>
    <mergeCell ref="A15:B15"/>
    <mergeCell ref="A16:B16"/>
    <mergeCell ref="A17:B17"/>
  </mergeCells>
  <conditionalFormatting sqref="C7:AG20">
    <cfRule type="expression" dxfId="9" priority="1" stopIfTrue="1">
      <formula>C$46=1</formula>
    </cfRule>
  </conditionalFormatting>
  <hyperlinks>
    <hyperlink ref="C42" r:id="rId1" xr:uid="{00000000-0004-0000-0200-000000000000}"/>
  </hyperlinks>
  <printOptions horizontalCentered="1"/>
  <pageMargins left="7.874015748031496E-2" right="7.874015748031496E-2" top="0.31496062992125984" bottom="0" header="0.51181102362204722" footer="0.51181102362204722"/>
  <pageSetup paperSize="9" scale="97" orientation="landscape" useFirstPageNumber="1" r:id="rId2"/>
  <headerFooter alignWithMargins="0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I201"/>
  <sheetViews>
    <sheetView showGridLines="0" showRowColHeaders="0" tabSelected="1" topLeftCell="A4" zoomScale="120" zoomScaleNormal="120" zoomScaleSheetLayoutView="75" workbookViewId="0">
      <selection activeCell="CS11" sqref="CS11"/>
    </sheetView>
  </sheetViews>
  <sheetFormatPr baseColWidth="10" defaultColWidth="11.140625" defaultRowHeight="20.25" customHeight="1" x14ac:dyDescent="0.25"/>
  <cols>
    <col min="1" max="2" width="9.7109375" style="1" customWidth="1"/>
    <col min="3" max="6" width="3.28515625" style="1" customWidth="1"/>
    <col min="7" max="7" width="3.28515625" style="2" customWidth="1"/>
    <col min="8" max="13" width="3.28515625" style="1" customWidth="1"/>
    <col min="14" max="14" width="3.28515625" style="2" customWidth="1"/>
    <col min="15" max="33" width="3.28515625" style="1" customWidth="1"/>
    <col min="34" max="34" width="7.7109375" style="1" customWidth="1"/>
    <col min="35" max="38" width="4.7109375" style="1" customWidth="1"/>
    <col min="39" max="59" width="6.7109375" style="1" hidden="1" customWidth="1"/>
    <col min="60" max="83" width="4.7109375" style="1" hidden="1" customWidth="1"/>
    <col min="84" max="95" width="0" style="1" hidden="1" customWidth="1"/>
    <col min="96" max="16384" width="11.140625" style="1"/>
  </cols>
  <sheetData>
    <row r="1" spans="1:84" s="2" customFormat="1" ht="19.5" customHeight="1" x14ac:dyDescent="0.35">
      <c r="B1" s="3"/>
      <c r="M1" s="4"/>
      <c r="U1" s="5"/>
      <c r="V1" s="6"/>
      <c r="Z1" s="7"/>
      <c r="AA1" s="7"/>
      <c r="AB1" s="7"/>
      <c r="AC1" s="7"/>
      <c r="AD1" s="7"/>
      <c r="AE1" s="7"/>
      <c r="AF1" s="7"/>
      <c r="AG1" s="1"/>
      <c r="AH1" s="1"/>
      <c r="AI1" s="1"/>
      <c r="AJ1" s="1"/>
    </row>
    <row r="2" spans="1:84" s="2" customFormat="1" ht="19.5" customHeight="1" x14ac:dyDescent="0.35">
      <c r="B2" s="3"/>
      <c r="M2" s="4"/>
      <c r="U2" s="5"/>
      <c r="V2" s="6"/>
      <c r="Z2" s="7"/>
      <c r="AA2" s="7"/>
      <c r="AB2" s="7"/>
      <c r="AC2" s="7"/>
      <c r="AD2" s="7"/>
      <c r="AE2" s="7"/>
      <c r="AF2" s="7"/>
      <c r="AG2" s="1"/>
      <c r="AH2" s="1"/>
      <c r="AI2" s="1"/>
      <c r="AJ2" s="1"/>
    </row>
    <row r="3" spans="1:84" s="2" customFormat="1" ht="19.5" customHeight="1" x14ac:dyDescent="0.35">
      <c r="B3" s="271" t="str">
        <f t="shared" ref="B3:B4" si="0">C32</f>
        <v>EMPRESA</v>
      </c>
      <c r="C3" s="271"/>
      <c r="D3" s="271"/>
      <c r="E3" s="271"/>
      <c r="F3" s="271"/>
      <c r="G3" s="271"/>
      <c r="H3" s="271"/>
      <c r="I3" s="271"/>
      <c r="J3" s="271"/>
      <c r="M3" s="4"/>
      <c r="U3" s="5"/>
      <c r="V3" s="6"/>
      <c r="Z3" s="7"/>
      <c r="AA3" s="7"/>
      <c r="AB3" s="7"/>
      <c r="AC3" s="7"/>
      <c r="AD3" s="7"/>
      <c r="AE3" s="7"/>
      <c r="AF3" s="7"/>
      <c r="AG3" s="1"/>
      <c r="AH3" s="1"/>
      <c r="AI3" s="1"/>
      <c r="AJ3" s="1"/>
    </row>
    <row r="4" spans="1:84" s="9" customFormat="1" ht="17.25" customHeight="1" x14ac:dyDescent="0.25">
      <c r="A4" s="8"/>
      <c r="B4" s="272" t="str">
        <f t="shared" si="0"/>
        <v>CENTRO</v>
      </c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1"/>
      <c r="Q4" s="232">
        <f>DATE($C$34,$C$35,1)</f>
        <v>46113</v>
      </c>
      <c r="R4" s="232"/>
      <c r="S4" s="232"/>
      <c r="T4" s="232"/>
      <c r="U4" s="232"/>
      <c r="V4" s="232"/>
      <c r="W4" s="232"/>
      <c r="X4" s="232"/>
      <c r="Y4" s="1"/>
      <c r="Z4" s="259">
        <f>SUM(AH51+AH62+AH73+AH84+AH95+AH106+AH117+AH128+AH139+AH150+AH161+AH172)</f>
        <v>1679.9999999999991</v>
      </c>
      <c r="AA4" s="259"/>
      <c r="AB4" s="259"/>
      <c r="AC4" s="267" t="s">
        <v>0</v>
      </c>
      <c r="AD4" s="267"/>
      <c r="AE4" s="267"/>
      <c r="AF4" s="267"/>
      <c r="AG4" s="267"/>
      <c r="AH4" s="267"/>
      <c r="AI4" s="1"/>
      <c r="AJ4" s="1"/>
    </row>
    <row r="5" spans="1:84" s="2" customFormat="1" ht="17.25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/>
      <c r="AD5" s="12"/>
      <c r="AE5" s="12" t="str">
        <f>IF(CA59=28,IF(CA59="",0,1),IF(CA59=1,IF(CA59="",0,1),""))</f>
        <v/>
      </c>
      <c r="AF5" s="12" t="str">
        <f>IF(CA59=29,IF(CA59="",0,1),IF(CA59=1,IF(CA59="",0,1),""))</f>
        <v/>
      </c>
      <c r="AG5" s="12">
        <f>IF(CA59=30,IF(CA59="",0,1),IF(CA59=1,IF(CA59="",0,1),""))</f>
        <v>1</v>
      </c>
      <c r="AH5" s="12" t="str">
        <f>IF(CA59=31,IF(CA59="",0,1),IF(CA59=1,IF(CA59="",0,1),""))</f>
        <v/>
      </c>
      <c r="AI5" s="1"/>
      <c r="AJ5" s="1"/>
    </row>
    <row r="6" spans="1:84" s="13" customFormat="1" ht="17.25" customHeight="1" x14ac:dyDescent="0.25">
      <c r="B6" s="14" t="s">
        <v>1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"/>
      <c r="AJ6" s="1"/>
    </row>
    <row r="7" spans="1:84" s="11" customFormat="1" ht="19.5" customHeight="1" x14ac:dyDescent="0.25">
      <c r="A7" s="16"/>
      <c r="B7" s="17" t="s">
        <v>2</v>
      </c>
      <c r="C7" s="18" t="str">
        <f>IF(AV47="LUNES","lu",IF(AV47="MARTES","ma",IF(AV47="MIERCOLES","mi",IF(AV47="JUEVES","ju",IF(AV47="VIERNES","vi",IF(AV47="SABADO","S",IF(AV47="DOMINGO","D","")))))))</f>
        <v>mi</v>
      </c>
      <c r="D7" s="18" t="str">
        <f t="shared" ref="D7:AD7" si="1">IF(C7="lu","ma",IF(C7="ma","mi",IF(C7="mi","ju",IF(C7="ju","vi",IF(C7="vi","S",IF(C7="S","D",IF(C7="D","lu","")))))))</f>
        <v>ju</v>
      </c>
      <c r="E7" s="18" t="str">
        <f t="shared" si="1"/>
        <v>vi</v>
      </c>
      <c r="F7" s="18" t="str">
        <f t="shared" si="1"/>
        <v>S</v>
      </c>
      <c r="G7" s="18" t="str">
        <f t="shared" si="1"/>
        <v>D</v>
      </c>
      <c r="H7" s="18" t="str">
        <f t="shared" si="1"/>
        <v>lu</v>
      </c>
      <c r="I7" s="18" t="str">
        <f t="shared" si="1"/>
        <v>ma</v>
      </c>
      <c r="J7" s="18" t="str">
        <f t="shared" si="1"/>
        <v>mi</v>
      </c>
      <c r="K7" s="18" t="str">
        <f t="shared" si="1"/>
        <v>ju</v>
      </c>
      <c r="L7" s="18" t="str">
        <f t="shared" si="1"/>
        <v>vi</v>
      </c>
      <c r="M7" s="18" t="str">
        <f t="shared" si="1"/>
        <v>S</v>
      </c>
      <c r="N7" s="18" t="str">
        <f t="shared" si="1"/>
        <v>D</v>
      </c>
      <c r="O7" s="18" t="str">
        <f t="shared" si="1"/>
        <v>lu</v>
      </c>
      <c r="P7" s="18" t="str">
        <f t="shared" si="1"/>
        <v>ma</v>
      </c>
      <c r="Q7" s="18" t="str">
        <f t="shared" si="1"/>
        <v>mi</v>
      </c>
      <c r="R7" s="18" t="str">
        <f t="shared" si="1"/>
        <v>ju</v>
      </c>
      <c r="S7" s="18" t="str">
        <f t="shared" si="1"/>
        <v>vi</v>
      </c>
      <c r="T7" s="18" t="str">
        <f t="shared" si="1"/>
        <v>S</v>
      </c>
      <c r="U7" s="18" t="str">
        <f t="shared" si="1"/>
        <v>D</v>
      </c>
      <c r="V7" s="18" t="str">
        <f t="shared" si="1"/>
        <v>lu</v>
      </c>
      <c r="W7" s="18" t="str">
        <f t="shared" si="1"/>
        <v>ma</v>
      </c>
      <c r="X7" s="18" t="str">
        <f t="shared" si="1"/>
        <v>mi</v>
      </c>
      <c r="Y7" s="18" t="str">
        <f t="shared" si="1"/>
        <v>ju</v>
      </c>
      <c r="Z7" s="18" t="str">
        <f t="shared" si="1"/>
        <v>vi</v>
      </c>
      <c r="AA7" s="18" t="str">
        <f t="shared" si="1"/>
        <v>S</v>
      </c>
      <c r="AB7" s="18" t="str">
        <f t="shared" si="1"/>
        <v>D</v>
      </c>
      <c r="AC7" s="18" t="str">
        <f t="shared" si="1"/>
        <v>lu</v>
      </c>
      <c r="AD7" s="18" t="str">
        <f t="shared" si="1"/>
        <v>ma</v>
      </c>
      <c r="AE7" s="18" t="str">
        <f>IF(AE8="","",IF(AD7="lu","ma",IF(AD7="ma","mi",IF(AD7="mi","ju",IF(AD7="ju","vi",IF(AD7="vi","S",IF(AD7="S","D",IF(AD7="D","lu",""))))))))</f>
        <v>mi</v>
      </c>
      <c r="AF7" s="18" t="str">
        <f>IF(AF8="","",IF(AE7="lu","ma",IF(AE7="ma","mi",IF(AE7="mi","ju",IF(AE7="ju","vi",IF(AE7="vi","S",IF(AE7="S","D",IF(AE7="D","lu",""))))))))</f>
        <v>ju</v>
      </c>
      <c r="AG7" s="18" t="str">
        <f>IF(AG8="","",IF(AF7="lu","ma",IF(AF7="ma","mi",IF(AF7="mi","ju",IF(AF7="ju","vi",IF(AF7="vi","S",IF(AF7="S","D",IF(AF7="D","lu",""))))))))</f>
        <v/>
      </c>
      <c r="AH7" s="16"/>
    </row>
    <row r="8" spans="1:84" s="22" customFormat="1" ht="19.5" customHeight="1" x14ac:dyDescent="0.2">
      <c r="A8" s="270" t="s">
        <v>3</v>
      </c>
      <c r="B8" s="270"/>
      <c r="C8" s="18">
        <v>1</v>
      </c>
      <c r="D8" s="18">
        <v>2</v>
      </c>
      <c r="E8" s="18">
        <v>3</v>
      </c>
      <c r="F8" s="18">
        <v>4</v>
      </c>
      <c r="G8" s="18">
        <v>5</v>
      </c>
      <c r="H8" s="18">
        <v>6</v>
      </c>
      <c r="I8" s="18">
        <v>7</v>
      </c>
      <c r="J8" s="18">
        <v>8</v>
      </c>
      <c r="K8" s="18">
        <v>9</v>
      </c>
      <c r="L8" s="18">
        <v>10</v>
      </c>
      <c r="M8" s="18">
        <v>11</v>
      </c>
      <c r="N8" s="18">
        <v>12</v>
      </c>
      <c r="O8" s="18">
        <v>13</v>
      </c>
      <c r="P8" s="18">
        <v>14</v>
      </c>
      <c r="Q8" s="18">
        <v>15</v>
      </c>
      <c r="R8" s="18">
        <v>16</v>
      </c>
      <c r="S8" s="18">
        <v>17</v>
      </c>
      <c r="T8" s="18">
        <v>18</v>
      </c>
      <c r="U8" s="18">
        <v>19</v>
      </c>
      <c r="V8" s="18">
        <v>20</v>
      </c>
      <c r="W8" s="18">
        <v>21</v>
      </c>
      <c r="X8" s="18">
        <v>22</v>
      </c>
      <c r="Y8" s="18">
        <v>23</v>
      </c>
      <c r="Z8" s="18">
        <v>24</v>
      </c>
      <c r="AA8" s="18">
        <v>25</v>
      </c>
      <c r="AB8" s="18">
        <v>26</v>
      </c>
      <c r="AC8" s="18">
        <v>27</v>
      </c>
      <c r="AD8" s="18">
        <v>28</v>
      </c>
      <c r="AE8" s="18">
        <f>IF(CA59=28,"",IF(CA59=29,29,IF(CA59=30,29,IF(CA59=31,29,""))))</f>
        <v>29</v>
      </c>
      <c r="AF8" s="18">
        <f>IF(CA59=28,"",IF(CA59=29,"",IF(CA59=30,30,IF(CA59=31,30,""))))</f>
        <v>30</v>
      </c>
      <c r="AG8" s="18" t="str">
        <f>IF(CA59=28,"",IF(CA59=29,"",IF(CA59=30,"",IF(CA59=31,31,""))))</f>
        <v/>
      </c>
      <c r="AH8" s="19" t="s">
        <v>60</v>
      </c>
      <c r="AI8" s="20" t="s">
        <v>4</v>
      </c>
      <c r="AJ8" s="20" t="s">
        <v>5</v>
      </c>
      <c r="AK8" s="21" t="s">
        <v>6</v>
      </c>
      <c r="AL8" s="21" t="s">
        <v>7</v>
      </c>
    </row>
    <row r="9" spans="1:84" s="2" customFormat="1" ht="20.100000000000001" customHeight="1" x14ac:dyDescent="0.25">
      <c r="A9" s="268" t="s">
        <v>155</v>
      </c>
      <c r="B9" s="268"/>
      <c r="C9" s="23" t="s">
        <v>151</v>
      </c>
      <c r="D9" s="23"/>
      <c r="E9" s="23" t="s">
        <v>151</v>
      </c>
      <c r="F9" s="23" t="s">
        <v>151</v>
      </c>
      <c r="G9" s="23" t="s">
        <v>151</v>
      </c>
      <c r="H9" s="23"/>
      <c r="I9" s="23" t="s">
        <v>150</v>
      </c>
      <c r="J9" s="23" t="s">
        <v>151</v>
      </c>
      <c r="K9" s="23" t="s">
        <v>151</v>
      </c>
      <c r="L9" s="23"/>
      <c r="M9" s="23"/>
      <c r="N9" s="23"/>
      <c r="O9" s="23" t="s">
        <v>153</v>
      </c>
      <c r="P9" s="23" t="s">
        <v>153</v>
      </c>
      <c r="Q9" s="23"/>
      <c r="R9" s="23" t="s">
        <v>154</v>
      </c>
      <c r="S9" s="23" t="s">
        <v>153</v>
      </c>
      <c r="T9" s="24" t="s">
        <v>153</v>
      </c>
      <c r="U9" s="23" t="s">
        <v>153</v>
      </c>
      <c r="V9" s="23"/>
      <c r="W9" s="23"/>
      <c r="X9" s="23" t="s">
        <v>153</v>
      </c>
      <c r="Y9" s="23" t="s">
        <v>153</v>
      </c>
      <c r="Z9" s="23" t="s">
        <v>154</v>
      </c>
      <c r="AA9" s="23"/>
      <c r="AB9" s="23"/>
      <c r="AC9" s="23" t="s">
        <v>153</v>
      </c>
      <c r="AD9" s="23" t="s">
        <v>153</v>
      </c>
      <c r="AE9" s="23"/>
      <c r="AF9" s="23"/>
      <c r="AG9" s="23"/>
      <c r="AH9" s="83">
        <f>SUM(AH50:AH51)</f>
        <v>207.99999999999991</v>
      </c>
      <c r="AI9" s="84">
        <f>AH9-C37</f>
        <v>45.999999999999915</v>
      </c>
      <c r="AJ9" s="84">
        <f>SUM(C55:AG55)</f>
        <v>54</v>
      </c>
      <c r="AK9" s="84">
        <f>AK32</f>
        <v>88</v>
      </c>
      <c r="AL9" s="18">
        <f>SUM(C56:AG56)</f>
        <v>0</v>
      </c>
      <c r="CB9" s="25">
        <f>ROUNDDOWN(AH9,0)</f>
        <v>208</v>
      </c>
      <c r="CC9" s="26">
        <f>AH9-INT(AH9)</f>
        <v>0</v>
      </c>
      <c r="CD9" s="27">
        <f>CC9/24</f>
        <v>0</v>
      </c>
      <c r="CE9"/>
      <c r="CF9"/>
    </row>
    <row r="10" spans="1:84" s="2" customFormat="1" ht="20.100000000000001" customHeight="1" x14ac:dyDescent="0.25">
      <c r="A10" s="268" t="s">
        <v>156</v>
      </c>
      <c r="B10" s="268"/>
      <c r="C10" s="23" t="s">
        <v>153</v>
      </c>
      <c r="D10" s="23" t="s">
        <v>153</v>
      </c>
      <c r="E10" s="23"/>
      <c r="F10" s="23"/>
      <c r="G10" s="23"/>
      <c r="H10" s="23" t="s">
        <v>153</v>
      </c>
      <c r="I10" s="23" t="s">
        <v>153</v>
      </c>
      <c r="J10" s="23"/>
      <c r="K10" s="23"/>
      <c r="L10" s="23" t="s">
        <v>153</v>
      </c>
      <c r="M10" s="23" t="s">
        <v>153</v>
      </c>
      <c r="N10" s="23" t="s">
        <v>153</v>
      </c>
      <c r="O10" s="23"/>
      <c r="P10" s="23"/>
      <c r="Q10" s="23" t="s">
        <v>153</v>
      </c>
      <c r="R10" s="23" t="s">
        <v>153</v>
      </c>
      <c r="S10" s="23"/>
      <c r="T10" s="23"/>
      <c r="U10" s="23"/>
      <c r="V10" s="23" t="s">
        <v>153</v>
      </c>
      <c r="W10" s="23" t="s">
        <v>153</v>
      </c>
      <c r="X10" s="23"/>
      <c r="Y10" s="23"/>
      <c r="Z10" s="23" t="s">
        <v>153</v>
      </c>
      <c r="AA10" s="23" t="s">
        <v>153</v>
      </c>
      <c r="AB10" s="23" t="s">
        <v>153</v>
      </c>
      <c r="AC10" s="23"/>
      <c r="AD10" s="23"/>
      <c r="AE10" s="23" t="s">
        <v>153</v>
      </c>
      <c r="AF10" s="23" t="s">
        <v>153</v>
      </c>
      <c r="AG10" s="23"/>
      <c r="AH10" s="83">
        <f>SUM(AH61:AH62)</f>
        <v>192</v>
      </c>
      <c r="AI10" s="84">
        <f>AH10-C37</f>
        <v>30</v>
      </c>
      <c r="AJ10" s="84">
        <f>SUM(C66:AG66)</f>
        <v>48</v>
      </c>
      <c r="AK10" s="84">
        <f t="shared" ref="AK10:AK20" si="2">AK33</f>
        <v>128</v>
      </c>
      <c r="AL10" s="18">
        <f>SUM(C67:AG67)</f>
        <v>0</v>
      </c>
      <c r="CF10"/>
    </row>
    <row r="11" spans="1:84" s="2" customFormat="1" ht="20.100000000000001" customHeight="1" x14ac:dyDescent="0.25">
      <c r="A11" s="268" t="s">
        <v>157</v>
      </c>
      <c r="B11" s="268"/>
      <c r="C11" s="23" t="s">
        <v>91</v>
      </c>
      <c r="D11" s="23" t="s">
        <v>91</v>
      </c>
      <c r="E11" s="23" t="s">
        <v>91</v>
      </c>
      <c r="F11" s="23" t="s">
        <v>91</v>
      </c>
      <c r="G11" s="23" t="s">
        <v>91</v>
      </c>
      <c r="H11" s="23" t="s">
        <v>91</v>
      </c>
      <c r="I11" s="23" t="s">
        <v>91</v>
      </c>
      <c r="J11" s="23" t="s">
        <v>91</v>
      </c>
      <c r="K11" s="23" t="s">
        <v>91</v>
      </c>
      <c r="L11" s="23" t="s">
        <v>91</v>
      </c>
      <c r="M11" s="23" t="s">
        <v>91</v>
      </c>
      <c r="N11" s="23" t="s">
        <v>91</v>
      </c>
      <c r="O11" s="23" t="s">
        <v>91</v>
      </c>
      <c r="P11" s="23" t="s">
        <v>91</v>
      </c>
      <c r="Q11" s="23" t="s">
        <v>91</v>
      </c>
      <c r="R11" s="23" t="s">
        <v>91</v>
      </c>
      <c r="S11" s="23" t="s">
        <v>91</v>
      </c>
      <c r="T11" s="23" t="s">
        <v>91</v>
      </c>
      <c r="U11" s="23" t="s">
        <v>91</v>
      </c>
      <c r="V11" s="23" t="s">
        <v>91</v>
      </c>
      <c r="W11" s="23" t="s">
        <v>91</v>
      </c>
      <c r="X11" s="23" t="s">
        <v>91</v>
      </c>
      <c r="Y11" s="23" t="s">
        <v>91</v>
      </c>
      <c r="Z11" s="23" t="s">
        <v>91</v>
      </c>
      <c r="AA11" s="23" t="s">
        <v>91</v>
      </c>
      <c r="AB11" s="23" t="s">
        <v>91</v>
      </c>
      <c r="AC11" s="23" t="s">
        <v>91</v>
      </c>
      <c r="AD11" s="23" t="s">
        <v>91</v>
      </c>
      <c r="AE11" s="23" t="s">
        <v>91</v>
      </c>
      <c r="AF11" s="23" t="s">
        <v>91</v>
      </c>
      <c r="AG11" s="23"/>
      <c r="AH11" s="83">
        <f>SUM(AH72:AH73)</f>
        <v>0</v>
      </c>
      <c r="AI11" s="84">
        <f>AH11-C37</f>
        <v>-162</v>
      </c>
      <c r="AJ11" s="84">
        <f>SUM(C77:AG77)</f>
        <v>0</v>
      </c>
      <c r="AK11" s="84">
        <f t="shared" si="2"/>
        <v>0</v>
      </c>
      <c r="AL11" s="18">
        <f>SUM(C78:AG78)</f>
        <v>0</v>
      </c>
      <c r="CF11"/>
    </row>
    <row r="12" spans="1:84" s="2" customFormat="1" ht="20.100000000000001" customHeight="1" x14ac:dyDescent="0.25">
      <c r="A12" s="268" t="s">
        <v>169</v>
      </c>
      <c r="B12" s="268"/>
      <c r="C12" s="23"/>
      <c r="D12" s="23" t="s">
        <v>151</v>
      </c>
      <c r="E12" s="23"/>
      <c r="F12" s="23"/>
      <c r="G12" s="23"/>
      <c r="H12" s="23" t="s">
        <v>151</v>
      </c>
      <c r="I12" s="23" t="s">
        <v>151</v>
      </c>
      <c r="J12" s="23" t="s">
        <v>152</v>
      </c>
      <c r="K12" s="23"/>
      <c r="L12" s="23" t="s">
        <v>151</v>
      </c>
      <c r="M12" s="23" t="s">
        <v>151</v>
      </c>
      <c r="N12" s="23" t="s">
        <v>151</v>
      </c>
      <c r="O12" s="23" t="s">
        <v>151</v>
      </c>
      <c r="P12" s="23" t="s">
        <v>151</v>
      </c>
      <c r="Q12" s="23" t="s">
        <v>151</v>
      </c>
      <c r="R12" s="23" t="s">
        <v>151</v>
      </c>
      <c r="S12" s="23"/>
      <c r="T12" s="23"/>
      <c r="U12" s="23"/>
      <c r="V12" s="23" t="s">
        <v>151</v>
      </c>
      <c r="W12" s="23" t="s">
        <v>151</v>
      </c>
      <c r="X12" s="23"/>
      <c r="Y12" s="23"/>
      <c r="Z12" s="23" t="s">
        <v>151</v>
      </c>
      <c r="AA12" s="23" t="s">
        <v>151</v>
      </c>
      <c r="AB12" s="23" t="s">
        <v>151</v>
      </c>
      <c r="AC12" s="23"/>
      <c r="AD12" s="23"/>
      <c r="AE12" s="23" t="s">
        <v>151</v>
      </c>
      <c r="AF12" s="23" t="s">
        <v>151</v>
      </c>
      <c r="AG12" s="23"/>
      <c r="AH12" s="83">
        <f>SUM(AH83:AH84)</f>
        <v>215.99999999999997</v>
      </c>
      <c r="AI12" s="84">
        <f>AH12-C37</f>
        <v>53.999999999999972</v>
      </c>
      <c r="AJ12" s="84">
        <f>SUM(C88:AG88)</f>
        <v>47.999999999999993</v>
      </c>
      <c r="AK12" s="84">
        <f t="shared" si="2"/>
        <v>8</v>
      </c>
      <c r="AL12" s="18">
        <f>SUM(C89:AG89)</f>
        <v>0</v>
      </c>
      <c r="CF12"/>
    </row>
    <row r="13" spans="1:84" s="2" customFormat="1" ht="20.100000000000001" customHeight="1" x14ac:dyDescent="0.25">
      <c r="A13" s="268" t="s">
        <v>178</v>
      </c>
      <c r="B13" s="268"/>
      <c r="C13" s="23" t="s">
        <v>150</v>
      </c>
      <c r="D13" s="23" t="s">
        <v>150</v>
      </c>
      <c r="E13" s="23" t="s">
        <v>150</v>
      </c>
      <c r="F13" s="23" t="s">
        <v>150</v>
      </c>
      <c r="G13" s="23" t="s">
        <v>150</v>
      </c>
      <c r="H13" s="23" t="s">
        <v>150</v>
      </c>
      <c r="I13" s="23"/>
      <c r="J13" s="23" t="s">
        <v>150</v>
      </c>
      <c r="K13" s="23" t="s">
        <v>150</v>
      </c>
      <c r="L13" s="23" t="s">
        <v>150</v>
      </c>
      <c r="M13" s="23" t="s">
        <v>150</v>
      </c>
      <c r="N13" s="23" t="s">
        <v>150</v>
      </c>
      <c r="O13" s="23"/>
      <c r="P13" s="23"/>
      <c r="Q13" s="23" t="s">
        <v>150</v>
      </c>
      <c r="R13" s="23" t="s">
        <v>150</v>
      </c>
      <c r="S13" s="23"/>
      <c r="T13" s="23"/>
      <c r="U13" s="23"/>
      <c r="V13" s="23" t="s">
        <v>150</v>
      </c>
      <c r="W13" s="23"/>
      <c r="X13" s="23"/>
      <c r="Y13" s="23"/>
      <c r="Z13" s="23"/>
      <c r="AA13" s="23"/>
      <c r="AB13" s="23"/>
      <c r="AC13" s="23"/>
      <c r="AD13" s="23"/>
      <c r="AE13" s="23" t="s">
        <v>150</v>
      </c>
      <c r="AF13" s="23" t="s">
        <v>150</v>
      </c>
      <c r="AG13" s="23"/>
      <c r="AH13" s="83">
        <f>SUM(AH94:AH95)</f>
        <v>192</v>
      </c>
      <c r="AI13" s="84">
        <f>AH13-C37</f>
        <v>30</v>
      </c>
      <c r="AJ13" s="84">
        <f>SUM(C99:AG99)</f>
        <v>48</v>
      </c>
      <c r="AK13" s="84">
        <f t="shared" si="2"/>
        <v>0</v>
      </c>
      <c r="AL13" s="18">
        <f>SUM(C100:AG100)</f>
        <v>0</v>
      </c>
      <c r="CB13" s="28"/>
      <c r="CF13"/>
    </row>
    <row r="14" spans="1:84" s="2" customFormat="1" ht="19.5" customHeight="1" x14ac:dyDescent="0.25">
      <c r="A14" s="268" t="s">
        <v>160</v>
      </c>
      <c r="B14" s="268"/>
      <c r="C14" s="23" t="s">
        <v>14</v>
      </c>
      <c r="D14" s="23" t="s">
        <v>14</v>
      </c>
      <c r="E14" s="23" t="s">
        <v>14</v>
      </c>
      <c r="F14" s="23" t="s">
        <v>14</v>
      </c>
      <c r="G14" s="23" t="s">
        <v>14</v>
      </c>
      <c r="H14" s="23" t="s">
        <v>14</v>
      </c>
      <c r="I14" s="23" t="s">
        <v>14</v>
      </c>
      <c r="J14" s="23" t="s">
        <v>14</v>
      </c>
      <c r="K14" s="23" t="s">
        <v>14</v>
      </c>
      <c r="L14" s="23" t="s">
        <v>14</v>
      </c>
      <c r="M14" s="23" t="s">
        <v>14</v>
      </c>
      <c r="N14" s="23" t="s">
        <v>14</v>
      </c>
      <c r="O14" s="23" t="s">
        <v>14</v>
      </c>
      <c r="P14" s="23" t="s">
        <v>14</v>
      </c>
      <c r="Q14" s="23" t="s">
        <v>14</v>
      </c>
      <c r="R14" s="23"/>
      <c r="S14" s="23" t="s">
        <v>150</v>
      </c>
      <c r="T14" s="23" t="s">
        <v>150</v>
      </c>
      <c r="U14" s="23" t="s">
        <v>150</v>
      </c>
      <c r="V14" s="23"/>
      <c r="W14" s="23"/>
      <c r="X14" s="23" t="s">
        <v>150</v>
      </c>
      <c r="Y14" s="23" t="s">
        <v>150</v>
      </c>
      <c r="Z14" s="23" t="s">
        <v>150</v>
      </c>
      <c r="AA14" s="23" t="s">
        <v>150</v>
      </c>
      <c r="AB14" s="23" t="s">
        <v>150</v>
      </c>
      <c r="AC14" s="23" t="s">
        <v>150</v>
      </c>
      <c r="AD14" s="23" t="s">
        <v>150</v>
      </c>
      <c r="AE14" s="23" t="s">
        <v>154</v>
      </c>
      <c r="AF14" s="23" t="s">
        <v>154</v>
      </c>
      <c r="AG14" s="23"/>
      <c r="AH14" s="83">
        <f>SUM(AH105:AH106)</f>
        <v>214.29999999999995</v>
      </c>
      <c r="AI14" s="84">
        <f>AH14-C37</f>
        <v>52.299999999999955</v>
      </c>
      <c r="AJ14" s="84">
        <f>SUM(C110:AG110)</f>
        <v>48</v>
      </c>
      <c r="AK14" s="84">
        <f t="shared" si="2"/>
        <v>16</v>
      </c>
      <c r="AL14" s="18">
        <f>SUM(C111:AG111)</f>
        <v>15</v>
      </c>
      <c r="CF14"/>
    </row>
    <row r="15" spans="1:84" s="2" customFormat="1" ht="19.5" customHeight="1" x14ac:dyDescent="0.25">
      <c r="A15" s="268" t="s">
        <v>161</v>
      </c>
      <c r="B15" s="268"/>
      <c r="C15" s="23" t="s">
        <v>14</v>
      </c>
      <c r="D15" s="23" t="s">
        <v>14</v>
      </c>
      <c r="E15" s="23" t="s">
        <v>14</v>
      </c>
      <c r="F15" s="23" t="s">
        <v>14</v>
      </c>
      <c r="G15" s="23" t="s">
        <v>14</v>
      </c>
      <c r="H15" s="23" t="s">
        <v>14</v>
      </c>
      <c r="I15" s="23" t="s">
        <v>14</v>
      </c>
      <c r="J15" s="23" t="s">
        <v>14</v>
      </c>
      <c r="K15" s="23" t="s">
        <v>14</v>
      </c>
      <c r="L15" s="23" t="s">
        <v>14</v>
      </c>
      <c r="M15" s="23" t="s">
        <v>14</v>
      </c>
      <c r="N15" s="23" t="s">
        <v>14</v>
      </c>
      <c r="O15" s="23" t="s">
        <v>14</v>
      </c>
      <c r="P15" s="23" t="s">
        <v>14</v>
      </c>
      <c r="Q15" s="23" t="s">
        <v>14</v>
      </c>
      <c r="R15" s="23"/>
      <c r="S15" s="23" t="s">
        <v>151</v>
      </c>
      <c r="T15" s="23" t="s">
        <v>151</v>
      </c>
      <c r="U15" s="23" t="s">
        <v>151</v>
      </c>
      <c r="V15" s="23" t="s">
        <v>152</v>
      </c>
      <c r="W15" s="23"/>
      <c r="X15" s="23" t="s">
        <v>151</v>
      </c>
      <c r="Y15" s="23" t="s">
        <v>151</v>
      </c>
      <c r="Z15" s="23" t="s">
        <v>181</v>
      </c>
      <c r="AA15" s="23" t="s">
        <v>154</v>
      </c>
      <c r="AB15" s="23" t="s">
        <v>154</v>
      </c>
      <c r="AC15" s="23" t="s">
        <v>151</v>
      </c>
      <c r="AD15" s="23" t="s">
        <v>151</v>
      </c>
      <c r="AE15" s="23" t="s">
        <v>152</v>
      </c>
      <c r="AF15" s="23" t="s">
        <v>152</v>
      </c>
      <c r="AG15" s="23"/>
      <c r="AH15" s="83">
        <f>SUM(AH116:AH117)</f>
        <v>214.29999999999995</v>
      </c>
      <c r="AI15" s="84">
        <f>AH15-C37</f>
        <v>52.299999999999955</v>
      </c>
      <c r="AJ15" s="84">
        <f>SUM(C121:AG121)</f>
        <v>34</v>
      </c>
      <c r="AK15" s="84">
        <f t="shared" si="2"/>
        <v>40</v>
      </c>
      <c r="AL15" s="18">
        <f>SUM(C122:AG122)</f>
        <v>15</v>
      </c>
      <c r="CF15"/>
    </row>
    <row r="16" spans="1:84" s="2" customFormat="1" ht="19.5" customHeight="1" x14ac:dyDescent="0.25">
      <c r="A16" s="268" t="s">
        <v>162</v>
      </c>
      <c r="B16" s="268"/>
      <c r="C16" s="23" t="s">
        <v>152</v>
      </c>
      <c r="D16" s="23" t="s">
        <v>152</v>
      </c>
      <c r="E16" s="23" t="s">
        <v>153</v>
      </c>
      <c r="F16" s="23" t="s">
        <v>153</v>
      </c>
      <c r="G16" s="23" t="s">
        <v>153</v>
      </c>
      <c r="H16" s="23"/>
      <c r="I16" s="23" t="s">
        <v>154</v>
      </c>
      <c r="J16" s="23" t="s">
        <v>153</v>
      </c>
      <c r="K16" s="23" t="s">
        <v>153</v>
      </c>
      <c r="L16" s="23"/>
      <c r="M16" s="23"/>
      <c r="N16" s="23"/>
      <c r="O16" s="23" t="s">
        <v>150</v>
      </c>
      <c r="P16" s="23" t="s">
        <v>150</v>
      </c>
      <c r="Q16" s="23"/>
      <c r="R16" s="23"/>
      <c r="S16" s="23" t="s">
        <v>152</v>
      </c>
      <c r="T16" s="23" t="s">
        <v>152</v>
      </c>
      <c r="U16" s="23" t="s">
        <v>152</v>
      </c>
      <c r="V16" s="23"/>
      <c r="W16" s="23" t="s">
        <v>152</v>
      </c>
      <c r="X16" s="23" t="s">
        <v>152</v>
      </c>
      <c r="Y16" s="23" t="s">
        <v>152</v>
      </c>
      <c r="Z16" s="23"/>
      <c r="AA16" s="23"/>
      <c r="AB16" s="23"/>
      <c r="AC16" s="23" t="s">
        <v>152</v>
      </c>
      <c r="AD16" s="23" t="s">
        <v>152</v>
      </c>
      <c r="AE16" s="23"/>
      <c r="AF16" s="23"/>
      <c r="AG16" s="23"/>
      <c r="AH16" s="83">
        <f>SUM(AH127:AH128)</f>
        <v>211.99999999999997</v>
      </c>
      <c r="AI16" s="84">
        <f>AH16-C37</f>
        <v>49.999999999999972</v>
      </c>
      <c r="AJ16" s="84">
        <f>SUM(C132:AG132)</f>
        <v>48</v>
      </c>
      <c r="AK16" s="84">
        <f t="shared" si="2"/>
        <v>128</v>
      </c>
      <c r="AL16" s="18">
        <f>SUM(C133:AG133)</f>
        <v>0</v>
      </c>
      <c r="CF16"/>
    </row>
    <row r="17" spans="1:87" s="2" customFormat="1" ht="19.5" customHeight="1" x14ac:dyDescent="0.25">
      <c r="A17" s="268" t="s">
        <v>163</v>
      </c>
      <c r="B17" s="268"/>
      <c r="C17" s="23"/>
      <c r="D17" s="23" t="s">
        <v>154</v>
      </c>
      <c r="E17" s="23" t="s">
        <v>152</v>
      </c>
      <c r="F17" s="23" t="s">
        <v>152</v>
      </c>
      <c r="G17" s="23" t="s">
        <v>152</v>
      </c>
      <c r="H17" s="23" t="s">
        <v>152</v>
      </c>
      <c r="I17" s="23" t="s">
        <v>152</v>
      </c>
      <c r="J17" s="23"/>
      <c r="K17" s="23" t="s">
        <v>152</v>
      </c>
      <c r="L17" s="23" t="s">
        <v>152</v>
      </c>
      <c r="M17" s="23" t="s">
        <v>152</v>
      </c>
      <c r="N17" s="23" t="s">
        <v>152</v>
      </c>
      <c r="O17" s="23" t="s">
        <v>152</v>
      </c>
      <c r="P17" s="23" t="s">
        <v>152</v>
      </c>
      <c r="Q17" s="23" t="s">
        <v>152</v>
      </c>
      <c r="R17" s="23" t="s">
        <v>152</v>
      </c>
      <c r="S17" s="23"/>
      <c r="T17" s="23"/>
      <c r="U17" s="23"/>
      <c r="V17" s="23"/>
      <c r="W17" s="23" t="s">
        <v>150</v>
      </c>
      <c r="X17" s="23"/>
      <c r="Y17" s="23"/>
      <c r="Z17" s="23" t="s">
        <v>152</v>
      </c>
      <c r="AA17" s="23" t="s">
        <v>152</v>
      </c>
      <c r="AB17" s="23" t="s">
        <v>152</v>
      </c>
      <c r="AC17" s="23"/>
      <c r="AD17" s="23"/>
      <c r="AE17" s="23"/>
      <c r="AF17" s="23"/>
      <c r="AG17" s="23"/>
      <c r="AH17" s="83">
        <f>SUM(AH138:AH139)</f>
        <v>211.99999999999997</v>
      </c>
      <c r="AI17" s="84">
        <f>AH17-C37</f>
        <v>49.999999999999972</v>
      </c>
      <c r="AJ17" s="84">
        <f>SUM(C143:AG143)</f>
        <v>72</v>
      </c>
      <c r="AK17" s="84">
        <f t="shared" si="2"/>
        <v>136</v>
      </c>
      <c r="AL17" s="18">
        <f>SUM(C144:AG144)</f>
        <v>0</v>
      </c>
      <c r="CF17"/>
    </row>
    <row r="18" spans="1:87" s="2" customFormat="1" ht="19.5" customHeight="1" x14ac:dyDescent="0.25">
      <c r="A18" s="268" t="s">
        <v>182</v>
      </c>
      <c r="B18" s="268"/>
      <c r="C18" s="23" t="s">
        <v>154</v>
      </c>
      <c r="D18" s="23"/>
      <c r="E18" s="23" t="s">
        <v>154</v>
      </c>
      <c r="F18" s="23" t="s">
        <v>154</v>
      </c>
      <c r="G18" s="23" t="s">
        <v>154</v>
      </c>
      <c r="H18" s="23" t="s">
        <v>154</v>
      </c>
      <c r="I18" s="23"/>
      <c r="J18" s="23" t="s">
        <v>154</v>
      </c>
      <c r="K18" s="23" t="s">
        <v>154</v>
      </c>
      <c r="L18" s="23" t="s">
        <v>154</v>
      </c>
      <c r="M18" s="23" t="s">
        <v>154</v>
      </c>
      <c r="N18" s="23" t="s">
        <v>154</v>
      </c>
      <c r="O18" s="23" t="s">
        <v>154</v>
      </c>
      <c r="P18" s="23" t="s">
        <v>154</v>
      </c>
      <c r="Q18" s="23" t="s">
        <v>154</v>
      </c>
      <c r="R18" s="23"/>
      <c r="S18" s="23" t="s">
        <v>154</v>
      </c>
      <c r="T18" s="23" t="s">
        <v>154</v>
      </c>
      <c r="U18" s="23" t="s">
        <v>154</v>
      </c>
      <c r="V18" s="23" t="s">
        <v>154</v>
      </c>
      <c r="W18" s="23" t="s">
        <v>154</v>
      </c>
      <c r="X18" s="23" t="s">
        <v>154</v>
      </c>
      <c r="Y18" s="23" t="s">
        <v>154</v>
      </c>
      <c r="Z18" s="23"/>
      <c r="AA18" s="23"/>
      <c r="AB18" s="23"/>
      <c r="AC18" s="23" t="s">
        <v>154</v>
      </c>
      <c r="AD18" s="23" t="s">
        <v>154</v>
      </c>
      <c r="AE18" s="23"/>
      <c r="AF18" s="23"/>
      <c r="AG18" s="23"/>
      <c r="AH18" s="83">
        <f>SUM(AH149:AH150)</f>
        <v>175.99999999999937</v>
      </c>
      <c r="AI18" s="84">
        <f>AH18-C37</f>
        <v>13.999999999999375</v>
      </c>
      <c r="AJ18" s="84">
        <f>SUM(C154:AG154)</f>
        <v>48</v>
      </c>
      <c r="AK18" s="84">
        <f t="shared" si="2"/>
        <v>176</v>
      </c>
      <c r="AL18" s="18">
        <f>SUM(C155:AG155)</f>
        <v>0</v>
      </c>
      <c r="CF18"/>
    </row>
    <row r="19" spans="1:87" s="2" customFormat="1" ht="19.5" customHeight="1" x14ac:dyDescent="0.25">
      <c r="A19" s="268"/>
      <c r="B19" s="268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83">
        <f>SUM(AH160:AH161)</f>
        <v>0</v>
      </c>
      <c r="AI19" s="84">
        <f>AH19-C37</f>
        <v>-162</v>
      </c>
      <c r="AJ19" s="84">
        <f>SUM(C165:AG165)</f>
        <v>0</v>
      </c>
      <c r="AK19" s="84">
        <f t="shared" si="2"/>
        <v>0</v>
      </c>
      <c r="AL19" s="18">
        <f>SUM(C166:AG166)</f>
        <v>0</v>
      </c>
      <c r="CF19"/>
    </row>
    <row r="20" spans="1:87" s="2" customFormat="1" ht="19.5" customHeight="1" x14ac:dyDescent="0.25">
      <c r="A20" s="268"/>
      <c r="B20" s="268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83">
        <f>SUM(AH171:AH172)</f>
        <v>0</v>
      </c>
      <c r="AI20" s="84">
        <f>AH20-C37</f>
        <v>-162</v>
      </c>
      <c r="AJ20" s="84">
        <f>SUM(C176:AG176)</f>
        <v>0</v>
      </c>
      <c r="AK20" s="84">
        <f t="shared" si="2"/>
        <v>0</v>
      </c>
      <c r="AL20" s="18">
        <f>SUM(C177:AG177)</f>
        <v>0</v>
      </c>
      <c r="CF20"/>
    </row>
    <row r="21" spans="1:87" s="2" customFormat="1" ht="19.5" customHeight="1" x14ac:dyDescent="0.25">
      <c r="A21" s="10"/>
      <c r="B21" s="29" t="s">
        <v>8</v>
      </c>
      <c r="C21" s="113">
        <f>SUM(C51+C62+C73+C84+C95+C106+C117+C128+C139+C150+C161+C172)</f>
        <v>55.999999999999972</v>
      </c>
      <c r="D21" s="113">
        <f t="shared" ref="D21:AG21" si="3">SUM(D51+D62+D73+D84+D95+D106+D117+D128+D139+D150+D161+D172)</f>
        <v>55.999999999999972</v>
      </c>
      <c r="E21" s="113">
        <f t="shared" si="3"/>
        <v>55.999999999999972</v>
      </c>
      <c r="F21" s="113">
        <f t="shared" si="3"/>
        <v>55.999999999999972</v>
      </c>
      <c r="G21" s="113">
        <f t="shared" si="3"/>
        <v>55.999999999999972</v>
      </c>
      <c r="H21" s="113">
        <f t="shared" si="3"/>
        <v>55.999999999999972</v>
      </c>
      <c r="I21" s="113">
        <f t="shared" si="3"/>
        <v>55.999999999999972</v>
      </c>
      <c r="J21" s="113">
        <f t="shared" si="3"/>
        <v>55.999999999999972</v>
      </c>
      <c r="K21" s="113">
        <f t="shared" si="3"/>
        <v>55.999999999999972</v>
      </c>
      <c r="L21" s="113">
        <f t="shared" si="3"/>
        <v>55.999999999999972</v>
      </c>
      <c r="M21" s="113">
        <f t="shared" si="3"/>
        <v>55.999999999999972</v>
      </c>
      <c r="N21" s="113">
        <f t="shared" si="3"/>
        <v>55.999999999999972</v>
      </c>
      <c r="O21" s="113">
        <f t="shared" si="3"/>
        <v>55.999999999999972</v>
      </c>
      <c r="P21" s="113">
        <f t="shared" si="3"/>
        <v>55.999999999999972</v>
      </c>
      <c r="Q21" s="113">
        <f t="shared" si="3"/>
        <v>55.999999999999972</v>
      </c>
      <c r="R21" s="113">
        <f t="shared" si="3"/>
        <v>55.999999999999972</v>
      </c>
      <c r="S21" s="113">
        <f t="shared" si="3"/>
        <v>55.999999999999972</v>
      </c>
      <c r="T21" s="113">
        <f t="shared" si="3"/>
        <v>55.999999999999972</v>
      </c>
      <c r="U21" s="113">
        <f t="shared" si="3"/>
        <v>55.999999999999972</v>
      </c>
      <c r="V21" s="113">
        <f t="shared" si="3"/>
        <v>55.999999999999972</v>
      </c>
      <c r="W21" s="113">
        <f t="shared" si="3"/>
        <v>55.999999999999972</v>
      </c>
      <c r="X21" s="113">
        <f t="shared" si="3"/>
        <v>55.999999999999972</v>
      </c>
      <c r="Y21" s="113">
        <f t="shared" si="3"/>
        <v>55.999999999999972</v>
      </c>
      <c r="Z21" s="113">
        <f t="shared" si="3"/>
        <v>55.999999999999972</v>
      </c>
      <c r="AA21" s="113">
        <f t="shared" si="3"/>
        <v>55.999999999999972</v>
      </c>
      <c r="AB21" s="113">
        <f t="shared" si="3"/>
        <v>55.999999999999972</v>
      </c>
      <c r="AC21" s="113">
        <f t="shared" si="3"/>
        <v>55.999999999999972</v>
      </c>
      <c r="AD21" s="113">
        <f t="shared" si="3"/>
        <v>55.999999999999972</v>
      </c>
      <c r="AE21" s="113">
        <f t="shared" si="3"/>
        <v>55.999999999999972</v>
      </c>
      <c r="AF21" s="113">
        <f t="shared" si="3"/>
        <v>55.999999999999972</v>
      </c>
      <c r="AG21" s="113">
        <f t="shared" si="3"/>
        <v>0</v>
      </c>
      <c r="AH21" s="30"/>
      <c r="AI21" s="30"/>
      <c r="AJ21" s="30"/>
      <c r="AK21" s="30"/>
      <c r="AL21" s="30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</row>
    <row r="22" spans="1:87" s="2" customFormat="1" ht="19.5" customHeight="1" x14ac:dyDescent="0.25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</row>
    <row r="23" spans="1:87" s="2" customFormat="1" ht="19.5" customHeight="1" x14ac:dyDescent="0.25">
      <c r="A23" s="80"/>
      <c r="B23" s="80"/>
      <c r="C23" s="273" t="s">
        <v>9</v>
      </c>
      <c r="D23" s="273"/>
      <c r="E23" s="273"/>
      <c r="F23" s="273"/>
      <c r="G23" s="273"/>
      <c r="H23" s="273"/>
      <c r="I23" s="82"/>
      <c r="J23" s="274" t="s">
        <v>9</v>
      </c>
      <c r="K23" s="274"/>
      <c r="L23" s="274"/>
      <c r="M23" s="274"/>
      <c r="N23" s="274"/>
      <c r="O23" s="274"/>
      <c r="P23" s="32"/>
      <c r="Q23" s="274" t="s">
        <v>136</v>
      </c>
      <c r="R23" s="274"/>
      <c r="S23" s="274"/>
      <c r="T23" s="274"/>
      <c r="U23" s="274"/>
      <c r="V23" s="274"/>
      <c r="W23" s="274"/>
      <c r="X23" s="274"/>
      <c r="Y23" s="274"/>
      <c r="Z23" s="274"/>
      <c r="AA23" s="274"/>
      <c r="AB23" s="82"/>
      <c r="AC23" s="82"/>
      <c r="AD23" s="82"/>
      <c r="AE23" s="82"/>
      <c r="AF23" s="80"/>
      <c r="AG23" s="80"/>
      <c r="AH23" s="80"/>
      <c r="AI23" s="80"/>
      <c r="AJ23" s="80"/>
      <c r="AK23" s="80"/>
      <c r="AL23" s="80"/>
      <c r="AM23"/>
      <c r="AN23"/>
      <c r="AO23"/>
      <c r="AP23"/>
      <c r="AQ23" s="1" t="s">
        <v>10</v>
      </c>
      <c r="AR23" s="1"/>
      <c r="AS23" s="1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</row>
    <row r="24" spans="1:87" ht="14.45" customHeight="1" x14ac:dyDescent="0.25">
      <c r="A24" s="82"/>
      <c r="B24" s="82"/>
      <c r="C24" s="108" t="str">
        <f t="shared" ref="C24:D26" si="4">R32</f>
        <v>D1</v>
      </c>
      <c r="D24" s="275">
        <f t="shared" si="4"/>
        <v>0.25</v>
      </c>
      <c r="E24" s="275"/>
      <c r="F24" s="33" t="s">
        <v>11</v>
      </c>
      <c r="G24" s="276">
        <f t="shared" ref="G24:G26" si="5">V32</f>
        <v>0.75</v>
      </c>
      <c r="H24" s="276"/>
      <c r="I24" s="105"/>
      <c r="J24" s="107" t="str">
        <f t="shared" ref="J24:K26" si="6">R35</f>
        <v>N2</v>
      </c>
      <c r="K24" s="277">
        <f t="shared" si="6"/>
        <v>0.79166666666666663</v>
      </c>
      <c r="L24" s="278"/>
      <c r="M24" s="110" t="s">
        <v>11</v>
      </c>
      <c r="N24" s="277">
        <f>V35</f>
        <v>0.29166666666666669</v>
      </c>
      <c r="O24" s="279"/>
      <c r="P24" s="32"/>
      <c r="Q24" s="107" t="str">
        <f>R38</f>
        <v>G</v>
      </c>
      <c r="R24" s="280"/>
      <c r="S24" s="280"/>
      <c r="T24" s="109" t="s">
        <v>11</v>
      </c>
      <c r="U24" s="280"/>
      <c r="V24" s="280"/>
      <c r="W24" s="281"/>
      <c r="X24" s="280"/>
      <c r="Y24" s="109" t="s">
        <v>11</v>
      </c>
      <c r="Z24" s="282"/>
      <c r="AA24" s="283"/>
      <c r="AB24" s="106"/>
      <c r="AC24" s="80"/>
      <c r="AD24" s="104"/>
      <c r="AE24" s="104"/>
      <c r="AF24" s="104"/>
      <c r="AG24" s="107" t="s">
        <v>12</v>
      </c>
      <c r="AH24" s="256" t="s">
        <v>1</v>
      </c>
      <c r="AI24" s="257"/>
      <c r="AJ24" s="245"/>
      <c r="AK24" s="245"/>
      <c r="AL24" s="245"/>
      <c r="AM24"/>
      <c r="AN24"/>
      <c r="AO24"/>
      <c r="AP24"/>
      <c r="AQ24" s="1" t="s">
        <v>13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</row>
    <row r="25" spans="1:87" s="2" customFormat="1" ht="14.45" customHeight="1" x14ac:dyDescent="0.25">
      <c r="A25" s="82"/>
      <c r="B25" s="82"/>
      <c r="C25" s="108" t="str">
        <f t="shared" si="4"/>
        <v>N1</v>
      </c>
      <c r="D25" s="275">
        <f t="shared" si="4"/>
        <v>0.75</v>
      </c>
      <c r="E25" s="275"/>
      <c r="F25" s="33" t="s">
        <v>11</v>
      </c>
      <c r="G25" s="276">
        <f t="shared" si="5"/>
        <v>0.25</v>
      </c>
      <c r="H25" s="276"/>
      <c r="I25" s="105"/>
      <c r="J25" s="107" t="str">
        <f t="shared" si="6"/>
        <v>N3</v>
      </c>
      <c r="K25" s="280">
        <f t="shared" si="6"/>
        <v>0.91666666666666663</v>
      </c>
      <c r="L25" s="278"/>
      <c r="M25" s="110" t="s">
        <v>11</v>
      </c>
      <c r="N25" s="280">
        <f>V36</f>
        <v>0.25</v>
      </c>
      <c r="O25" s="279"/>
      <c r="P25" s="32"/>
      <c r="Q25" s="107" t="str">
        <f>R39</f>
        <v>H</v>
      </c>
      <c r="R25" s="280"/>
      <c r="S25" s="280"/>
      <c r="T25" s="109" t="s">
        <v>11</v>
      </c>
      <c r="U25" s="280"/>
      <c r="V25" s="280"/>
      <c r="W25" s="281"/>
      <c r="X25" s="280"/>
      <c r="Y25" s="109" t="s">
        <v>11</v>
      </c>
      <c r="Z25" s="284"/>
      <c r="AA25" s="283"/>
      <c r="AB25" s="106"/>
      <c r="AC25" s="80"/>
      <c r="AD25" s="104"/>
      <c r="AE25" s="104"/>
      <c r="AF25" s="104"/>
      <c r="AG25" s="107" t="s">
        <v>14</v>
      </c>
      <c r="AH25" s="256" t="s">
        <v>59</v>
      </c>
      <c r="AI25" s="257"/>
      <c r="AJ25" s="245"/>
      <c r="AK25" s="245"/>
      <c r="AL25" s="245"/>
      <c r="AM25"/>
      <c r="AN25"/>
      <c r="AO25"/>
      <c r="AP25"/>
      <c r="AQ25" s="1" t="s">
        <v>15</v>
      </c>
      <c r="AR25" s="1"/>
      <c r="AS25" s="1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</row>
    <row r="26" spans="1:87" s="2" customFormat="1" ht="14.45" customHeight="1" x14ac:dyDescent="0.25">
      <c r="A26" s="82"/>
      <c r="B26" s="82"/>
      <c r="C26" s="108" t="str">
        <f t="shared" si="4"/>
        <v>D2</v>
      </c>
      <c r="D26" s="275">
        <f t="shared" si="4"/>
        <v>0.29166666666666669</v>
      </c>
      <c r="E26" s="275"/>
      <c r="F26" s="33" t="s">
        <v>11</v>
      </c>
      <c r="G26" s="276">
        <f t="shared" si="5"/>
        <v>0.79166666666666663</v>
      </c>
      <c r="H26" s="276"/>
      <c r="I26" s="105"/>
      <c r="J26" s="107" t="str">
        <f t="shared" si="6"/>
        <v>P</v>
      </c>
      <c r="K26" s="280">
        <f t="shared" si="6"/>
        <v>0.20833333333333334</v>
      </c>
      <c r="L26" s="278"/>
      <c r="M26" s="110" t="s">
        <v>11</v>
      </c>
      <c r="N26" s="280">
        <f>V37</f>
        <v>0.625</v>
      </c>
      <c r="O26" s="279"/>
      <c r="P26" s="32"/>
      <c r="Q26" s="107" t="str">
        <f>R40</f>
        <v>I</v>
      </c>
      <c r="R26" s="280"/>
      <c r="S26" s="280"/>
      <c r="T26" s="109" t="s">
        <v>11</v>
      </c>
      <c r="U26" s="280"/>
      <c r="V26" s="280"/>
      <c r="W26" s="281"/>
      <c r="X26" s="280"/>
      <c r="Y26" s="109" t="s">
        <v>11</v>
      </c>
      <c r="Z26" s="284"/>
      <c r="AA26" s="283"/>
      <c r="AB26" s="106"/>
      <c r="AC26" s="80"/>
      <c r="AD26" s="104"/>
      <c r="AE26" s="104"/>
      <c r="AF26" s="104"/>
      <c r="AG26" s="107" t="s">
        <v>16</v>
      </c>
      <c r="AH26" s="256" t="s">
        <v>42</v>
      </c>
      <c r="AI26" s="257"/>
      <c r="AJ26" s="245"/>
      <c r="AK26" s="245"/>
      <c r="AL26" s="245"/>
      <c r="AM26"/>
      <c r="AN26"/>
      <c r="AO26"/>
      <c r="AP26"/>
      <c r="AQ26" s="1" t="s">
        <v>17</v>
      </c>
      <c r="AR26" s="1"/>
      <c r="AS26" s="1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</row>
    <row r="27" spans="1:87" s="2" customFormat="1" ht="14.45" customHeight="1" x14ac:dyDescent="0.25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82"/>
      <c r="Z27" s="82"/>
      <c r="AA27" s="82"/>
      <c r="AB27" s="82"/>
      <c r="AC27" s="82"/>
      <c r="AD27" s="82"/>
      <c r="AE27" s="262"/>
      <c r="AF27" s="262"/>
      <c r="AG27" s="82"/>
      <c r="AH27" s="82"/>
      <c r="AI27" s="82"/>
      <c r="AJ27" s="32"/>
      <c r="AK27" s="32"/>
      <c r="AL27" s="32"/>
    </row>
    <row r="28" spans="1:87" s="2" customFormat="1" ht="14.45" customHeight="1" x14ac:dyDescent="0.25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32"/>
      <c r="AK28" s="32"/>
      <c r="AL28" s="32"/>
    </row>
    <row r="29" spans="1:87" s="2" customFormat="1" ht="14.45" customHeight="1" x14ac:dyDescent="0.25">
      <c r="A29" s="82"/>
      <c r="B29" s="81" t="s">
        <v>18</v>
      </c>
      <c r="C29" s="251" t="str">
        <f>E43</f>
        <v xml:space="preserve">*Aquí notas que se vean en el cuadrante... </v>
      </c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  <c r="AA29" s="251"/>
      <c r="AB29" s="251"/>
      <c r="AC29" s="251"/>
      <c r="AD29" s="251"/>
      <c r="AE29" s="251"/>
      <c r="AF29" s="251"/>
      <c r="AG29" s="251"/>
      <c r="AH29" s="251"/>
      <c r="AI29" s="251"/>
      <c r="AJ29" s="251"/>
      <c r="AK29" s="32"/>
      <c r="AL29" s="32"/>
    </row>
    <row r="30" spans="1:87" s="2" customFormat="1" ht="19.5" customHeight="1" x14ac:dyDescent="0.35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32"/>
      <c r="AK30" s="32"/>
      <c r="AL30" s="32"/>
      <c r="AN30" s="5" t="s">
        <v>19</v>
      </c>
      <c r="AO30" s="5"/>
      <c r="AP30" s="5" t="s">
        <v>20</v>
      </c>
      <c r="AQ30" s="5" t="s">
        <v>21</v>
      </c>
      <c r="AR30" s="5"/>
      <c r="AS30" s="5"/>
      <c r="AT30" s="5"/>
      <c r="AU30" s="5"/>
      <c r="AV30" s="5"/>
      <c r="AW30" s="5"/>
      <c r="AX30" s="5" t="s">
        <v>22</v>
      </c>
      <c r="AY30" s="5"/>
      <c r="AZ30" s="5" t="s">
        <v>23</v>
      </c>
      <c r="BA30" s="5"/>
      <c r="BB30" s="5"/>
      <c r="BC30" s="5"/>
      <c r="BD30" s="5" t="s">
        <v>24</v>
      </c>
    </row>
    <row r="31" spans="1:87" s="2" customFormat="1" ht="19.5" customHeight="1" x14ac:dyDescent="0.25">
      <c r="A31" s="252" t="s">
        <v>25</v>
      </c>
      <c r="B31" s="252"/>
      <c r="C31" s="252"/>
      <c r="D31" s="252"/>
      <c r="E31" s="252"/>
      <c r="F31" s="252"/>
      <c r="G31" s="252"/>
      <c r="H31" s="252"/>
      <c r="I31" s="252"/>
      <c r="J31" s="252"/>
      <c r="K31" s="252"/>
      <c r="L31" s="252"/>
      <c r="M31" s="252"/>
      <c r="N31" s="252"/>
      <c r="O31" s="114"/>
      <c r="P31" s="114"/>
      <c r="Q31" s="114"/>
      <c r="R31" s="252" t="s">
        <v>9</v>
      </c>
      <c r="S31" s="252"/>
      <c r="T31" s="252"/>
      <c r="U31" s="252"/>
      <c r="V31" s="252"/>
      <c r="W31" s="252"/>
      <c r="X31" s="115"/>
      <c r="Y31" s="115"/>
      <c r="Z31" s="115"/>
      <c r="AA31" s="115"/>
      <c r="AB31" s="115"/>
      <c r="AC31" s="116"/>
      <c r="AD31" s="253" t="s">
        <v>26</v>
      </c>
      <c r="AE31" s="253"/>
      <c r="AF31" s="253"/>
      <c r="AG31" s="253"/>
      <c r="AH31" s="253"/>
      <c r="AI31" s="253"/>
      <c r="AJ31" s="114"/>
      <c r="AK31" s="212" t="s">
        <v>6</v>
      </c>
      <c r="AL31" s="114"/>
      <c r="AN31" s="97" t="s">
        <v>27</v>
      </c>
      <c r="AO31" s="97" t="s">
        <v>28</v>
      </c>
      <c r="AP31" s="97" t="s">
        <v>29</v>
      </c>
      <c r="AQ31" s="97" t="s">
        <v>30</v>
      </c>
      <c r="AR31" s="261" t="s">
        <v>31</v>
      </c>
      <c r="AS31" s="261"/>
      <c r="AT31" s="261"/>
      <c r="AU31" s="261"/>
      <c r="AV31" s="261"/>
      <c r="AW31" s="261"/>
      <c r="AX31" s="261"/>
      <c r="AY31" s="261"/>
      <c r="AZ31" s="261"/>
      <c r="BA31" s="97" t="s">
        <v>32</v>
      </c>
      <c r="BB31" s="260" t="s">
        <v>33</v>
      </c>
      <c r="BC31" s="260"/>
      <c r="BD31" s="103" t="s">
        <v>34</v>
      </c>
      <c r="BE31" s="56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</row>
    <row r="32" spans="1:87" s="2" customFormat="1" ht="19.5" customHeight="1" x14ac:dyDescent="0.25">
      <c r="A32" s="238" t="s">
        <v>35</v>
      </c>
      <c r="B32" s="238"/>
      <c r="C32" s="242" t="str">
        <f>CONTROL!B34</f>
        <v>EMPRESA</v>
      </c>
      <c r="D32" s="242"/>
      <c r="E32" s="242"/>
      <c r="F32" s="242"/>
      <c r="G32" s="242"/>
      <c r="H32" s="242"/>
      <c r="I32" s="242"/>
      <c r="J32" s="242"/>
      <c r="K32" s="242"/>
      <c r="L32" s="242"/>
      <c r="M32" s="242"/>
      <c r="N32" s="242"/>
      <c r="O32" s="114"/>
      <c r="P32" s="114"/>
      <c r="Q32" s="117"/>
      <c r="R32" s="85" t="s">
        <v>150</v>
      </c>
      <c r="S32" s="240">
        <v>0.25</v>
      </c>
      <c r="T32" s="240"/>
      <c r="U32" s="118" t="s">
        <v>11</v>
      </c>
      <c r="V32" s="241">
        <v>0.75</v>
      </c>
      <c r="W32" s="241"/>
      <c r="X32" s="115"/>
      <c r="Y32" s="115"/>
      <c r="Z32" s="115"/>
      <c r="AA32" s="115"/>
      <c r="AB32" s="115"/>
      <c r="AC32" s="116"/>
      <c r="AD32" s="250" t="s">
        <v>36</v>
      </c>
      <c r="AE32" s="250"/>
      <c r="AF32" s="250"/>
      <c r="AG32" s="250"/>
      <c r="AH32" s="86">
        <v>0.5</v>
      </c>
      <c r="AI32" s="254">
        <f>AH32/24</f>
        <v>2.0833333333333332E-2</v>
      </c>
      <c r="AJ32" s="255"/>
      <c r="AK32" s="217">
        <f>AH49</f>
        <v>88</v>
      </c>
      <c r="AL32" s="214" t="s">
        <v>90</v>
      </c>
      <c r="AM32" s="9"/>
      <c r="AN32" s="34">
        <f t="shared" ref="AN32:AN40" si="7">IF(AS32/24=0,0,AS32/24)</f>
        <v>0</v>
      </c>
      <c r="AO32" s="35">
        <f t="shared" ref="AO32:AO40" si="8">IF(BA32=0,"",BA32)</f>
        <v>0.5</v>
      </c>
      <c r="AP32" s="36">
        <f t="shared" ref="AP32:AP39" si="9">S32*24</f>
        <v>6</v>
      </c>
      <c r="AQ32" s="36">
        <f t="shared" ref="AQ32:AQ40" si="10">V32*24</f>
        <v>18</v>
      </c>
      <c r="AR32" s="36">
        <f t="shared" ref="AR32:AR40" si="11">AS32</f>
        <v>0</v>
      </c>
      <c r="AS32" s="37">
        <f t="shared" ref="AS32:AS40" si="12">IF(AV32&gt;=4,AT32,AT32)</f>
        <v>0</v>
      </c>
      <c r="AT32" s="38">
        <f t="shared" ref="AT32:AT40" si="13">IF(AV32&gt;8,8,AU32)</f>
        <v>0</v>
      </c>
      <c r="AU32" s="39">
        <f t="shared" ref="AU32:AU40" si="14">IF(AV32&lt;0,0,AV32)</f>
        <v>0</v>
      </c>
      <c r="AV32" s="40">
        <f t="shared" ref="AV32:AV40" si="15">IF(AP32=AQ32,0,IF(AP32&gt;AQ32,AW32,IF(AP32&gt;=6,AX32,AQ32-AP32)))</f>
        <v>-12</v>
      </c>
      <c r="AW32" s="36">
        <f t="shared" ref="AW32:AW40" si="16">IF(AP32&lt;6,(AQ32-22+24)+(6-AP32),IF(AP32&gt;=22,AY32,IF(AV2&lt;=6,(AQ32-22)+24,8)))</f>
        <v>20</v>
      </c>
      <c r="AX32" s="41">
        <f t="shared" ref="AX32:AX40" si="17">IF(AQ32&gt;22,AZ32,IF(AP32&lt;AQ32,AP32-AQ32,IF(AP32&gt;6,0,(6-AP32))))</f>
        <v>-12</v>
      </c>
      <c r="AY32" s="36">
        <f t="shared" ref="AY32:AY40" si="18">IF(AQ32&lt;=6,(AQ32-AP32)+24,IF(AQ32&gt;22,8,(6-AP32)+24))</f>
        <v>24</v>
      </c>
      <c r="AZ32" s="42">
        <f t="shared" ref="AZ32:AZ40" si="19">IF(AP32&lt;=6,(6-AP32)+(AQ32-22),IF(AP32&gt;22,(AQ32-AP32),(AQ32-22)))</f>
        <v>-4</v>
      </c>
      <c r="BA32" s="36">
        <f t="shared" ref="BA32:BA40" si="20">IF(V32-S32&gt;=0,V32-S32,V32-S32+24)</f>
        <v>0.5</v>
      </c>
      <c r="BB32" s="36">
        <f t="shared" ref="BB32:BB40" si="21">IF(AO32&lt;1,AO32*24,(AO32-24)*24)</f>
        <v>12</v>
      </c>
      <c r="BC32" s="36">
        <f t="shared" ref="BC32:BC40" si="22">IF(BB32&gt;=0,BB32,BB32+24)</f>
        <v>12</v>
      </c>
      <c r="BD32" s="43">
        <f t="shared" ref="BD32:BD40" si="23">IF(AX32&lt;=0,AN32,IF(AX32&gt;=0.1,AX32/24))</f>
        <v>0</v>
      </c>
      <c r="BE32" s="44" t="str">
        <f t="shared" ref="BE32:BE34" si="24">IF(BD38&gt;=4,IF(BD38="",0,8),IF(BD38&gt;=0.1,IF(BD38="",0,BD38),""))</f>
        <v/>
      </c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</row>
    <row r="33" spans="1:80" s="2" customFormat="1" ht="19.5" customHeight="1" x14ac:dyDescent="0.25">
      <c r="A33" s="238" t="s">
        <v>37</v>
      </c>
      <c r="B33" s="238"/>
      <c r="C33" s="242" t="str">
        <f>CONTROL!B35</f>
        <v>CENTRO</v>
      </c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114"/>
      <c r="P33" s="114"/>
      <c r="Q33" s="117"/>
      <c r="R33" s="85" t="s">
        <v>152</v>
      </c>
      <c r="S33" s="240">
        <v>0.75</v>
      </c>
      <c r="T33" s="240"/>
      <c r="U33" s="118" t="s">
        <v>11</v>
      </c>
      <c r="V33" s="241">
        <v>0.25</v>
      </c>
      <c r="W33" s="241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4"/>
      <c r="AK33" s="217">
        <f>AH60</f>
        <v>128</v>
      </c>
      <c r="AL33" s="214" t="s">
        <v>138</v>
      </c>
      <c r="AM33" s="9"/>
      <c r="AN33" s="35">
        <f t="shared" si="7"/>
        <v>0.33333333333333331</v>
      </c>
      <c r="AO33" s="35">
        <f t="shared" si="8"/>
        <v>23.5</v>
      </c>
      <c r="AP33" s="36">
        <f t="shared" si="9"/>
        <v>18</v>
      </c>
      <c r="AQ33" s="36">
        <f t="shared" si="10"/>
        <v>6</v>
      </c>
      <c r="AR33" s="36">
        <f t="shared" si="11"/>
        <v>8</v>
      </c>
      <c r="AS33" s="37">
        <f t="shared" si="12"/>
        <v>8</v>
      </c>
      <c r="AT33" s="38">
        <f t="shared" si="13"/>
        <v>8</v>
      </c>
      <c r="AU33" s="39">
        <f t="shared" si="14"/>
        <v>8</v>
      </c>
      <c r="AV33" s="36">
        <f t="shared" si="15"/>
        <v>8</v>
      </c>
      <c r="AW33" s="36">
        <f t="shared" si="16"/>
        <v>8</v>
      </c>
      <c r="AX33" s="41">
        <f t="shared" si="17"/>
        <v>0</v>
      </c>
      <c r="AY33" s="36">
        <f t="shared" si="18"/>
        <v>12</v>
      </c>
      <c r="AZ33" s="36">
        <f t="shared" si="19"/>
        <v>-16</v>
      </c>
      <c r="BA33" s="36">
        <f t="shared" si="20"/>
        <v>23.5</v>
      </c>
      <c r="BB33" s="36">
        <f t="shared" si="21"/>
        <v>-12</v>
      </c>
      <c r="BC33" s="36">
        <f t="shared" si="22"/>
        <v>12</v>
      </c>
      <c r="BD33" s="43">
        <f t="shared" si="23"/>
        <v>0.33333333333333331</v>
      </c>
      <c r="BE33" s="44" t="str">
        <f t="shared" si="24"/>
        <v/>
      </c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</row>
    <row r="34" spans="1:80" s="2" customFormat="1" ht="19.5" customHeight="1" x14ac:dyDescent="0.35">
      <c r="A34" s="238" t="s">
        <v>38</v>
      </c>
      <c r="B34" s="238"/>
      <c r="C34" s="242">
        <v>2026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114"/>
      <c r="P34" s="114"/>
      <c r="Q34" s="117"/>
      <c r="R34" s="85" t="s">
        <v>151</v>
      </c>
      <c r="S34" s="240">
        <v>0.29166666666666669</v>
      </c>
      <c r="T34" s="240"/>
      <c r="U34" s="118" t="s">
        <v>11</v>
      </c>
      <c r="V34" s="241">
        <v>0.79166666666666663</v>
      </c>
      <c r="W34" s="241"/>
      <c r="X34" s="115"/>
      <c r="Y34" s="119"/>
      <c r="Z34" s="119"/>
      <c r="AA34" s="119"/>
      <c r="AB34" s="119"/>
      <c r="AC34" s="119"/>
      <c r="AD34" s="119"/>
      <c r="AE34" s="115"/>
      <c r="AF34" s="115"/>
      <c r="AG34" s="115"/>
      <c r="AH34" s="115"/>
      <c r="AI34" s="115"/>
      <c r="AJ34" s="115"/>
      <c r="AK34" s="217">
        <f>AH71</f>
        <v>0</v>
      </c>
      <c r="AL34" s="214" t="s">
        <v>139</v>
      </c>
      <c r="AM34" s="9"/>
      <c r="AN34" s="35">
        <f t="shared" si="7"/>
        <v>0</v>
      </c>
      <c r="AO34" s="35">
        <f t="shared" si="8"/>
        <v>0.49999999999999994</v>
      </c>
      <c r="AP34" s="36">
        <f t="shared" si="9"/>
        <v>7</v>
      </c>
      <c r="AQ34" s="36">
        <f t="shared" si="10"/>
        <v>19</v>
      </c>
      <c r="AR34" s="36">
        <f t="shared" si="11"/>
        <v>0</v>
      </c>
      <c r="AS34" s="37">
        <f t="shared" si="12"/>
        <v>0</v>
      </c>
      <c r="AT34" s="38">
        <f t="shared" si="13"/>
        <v>0</v>
      </c>
      <c r="AU34" s="39">
        <f t="shared" si="14"/>
        <v>0</v>
      </c>
      <c r="AV34" s="36">
        <f t="shared" si="15"/>
        <v>-12</v>
      </c>
      <c r="AW34" s="36">
        <f t="shared" si="16"/>
        <v>21</v>
      </c>
      <c r="AX34" s="41">
        <f t="shared" si="17"/>
        <v>-12</v>
      </c>
      <c r="AY34" s="36">
        <f t="shared" si="18"/>
        <v>23</v>
      </c>
      <c r="AZ34" s="36">
        <f t="shared" si="19"/>
        <v>-3</v>
      </c>
      <c r="BA34" s="36">
        <f t="shared" si="20"/>
        <v>0.49999999999999994</v>
      </c>
      <c r="BB34" s="36">
        <f t="shared" si="21"/>
        <v>11.999999999999998</v>
      </c>
      <c r="BC34" s="36">
        <f t="shared" si="22"/>
        <v>11.999999999999998</v>
      </c>
      <c r="BD34" s="43">
        <f t="shared" si="23"/>
        <v>0</v>
      </c>
      <c r="BE34" s="44" t="str">
        <f t="shared" si="24"/>
        <v/>
      </c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</row>
    <row r="35" spans="1:80" s="2" customFormat="1" ht="19.5" customHeight="1" x14ac:dyDescent="0.25">
      <c r="A35" s="238" t="s">
        <v>39</v>
      </c>
      <c r="B35" s="238"/>
      <c r="C35" s="242">
        <v>4</v>
      </c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114"/>
      <c r="P35" s="114"/>
      <c r="Q35" s="117"/>
      <c r="R35" s="85" t="s">
        <v>153</v>
      </c>
      <c r="S35" s="240">
        <v>0.79166666666666663</v>
      </c>
      <c r="T35" s="240"/>
      <c r="U35" s="118" t="s">
        <v>11</v>
      </c>
      <c r="V35" s="241">
        <v>0.29166666666666669</v>
      </c>
      <c r="W35" s="241"/>
      <c r="X35" s="115"/>
      <c r="Y35" s="120"/>
      <c r="Z35" s="121"/>
      <c r="AA35" s="121"/>
      <c r="AB35" s="120"/>
      <c r="AC35" s="121"/>
      <c r="AD35" s="121"/>
      <c r="AE35" s="115"/>
      <c r="AF35" s="115"/>
      <c r="AG35" s="115"/>
      <c r="AH35" s="115"/>
      <c r="AI35" s="115"/>
      <c r="AJ35" s="115"/>
      <c r="AK35" s="217">
        <f>AH82</f>
        <v>8</v>
      </c>
      <c r="AL35" s="214" t="s">
        <v>140</v>
      </c>
      <c r="AM35" s="9"/>
      <c r="AN35" s="35">
        <f t="shared" si="7"/>
        <v>0.33333333333333331</v>
      </c>
      <c r="AO35" s="35">
        <f t="shared" si="8"/>
        <v>23.5</v>
      </c>
      <c r="AP35" s="36">
        <f t="shared" si="9"/>
        <v>19</v>
      </c>
      <c r="AQ35" s="36">
        <f t="shared" si="10"/>
        <v>7</v>
      </c>
      <c r="AR35" s="36">
        <f t="shared" si="11"/>
        <v>8</v>
      </c>
      <c r="AS35" s="37">
        <f t="shared" si="12"/>
        <v>8</v>
      </c>
      <c r="AT35" s="38">
        <f t="shared" si="13"/>
        <v>8</v>
      </c>
      <c r="AU35" s="39">
        <f t="shared" si="14"/>
        <v>9</v>
      </c>
      <c r="AV35" s="36">
        <f t="shared" si="15"/>
        <v>9</v>
      </c>
      <c r="AW35" s="36">
        <f t="shared" si="16"/>
        <v>9</v>
      </c>
      <c r="AX35" s="41">
        <f t="shared" si="17"/>
        <v>0</v>
      </c>
      <c r="AY35" s="36">
        <f t="shared" si="18"/>
        <v>11</v>
      </c>
      <c r="AZ35" s="36">
        <f t="shared" si="19"/>
        <v>-15</v>
      </c>
      <c r="BA35" s="36">
        <f t="shared" si="20"/>
        <v>23.5</v>
      </c>
      <c r="BB35" s="36">
        <f t="shared" si="21"/>
        <v>-12</v>
      </c>
      <c r="BC35" s="36">
        <f t="shared" si="22"/>
        <v>12</v>
      </c>
      <c r="BD35" s="43">
        <f t="shared" si="23"/>
        <v>0.33333333333333331</v>
      </c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</row>
    <row r="36" spans="1:80" s="2" customFormat="1" ht="19.5" customHeight="1" x14ac:dyDescent="0.25">
      <c r="A36" s="238" t="s">
        <v>40</v>
      </c>
      <c r="B36" s="238"/>
      <c r="C36" s="239">
        <v>5.22</v>
      </c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114"/>
      <c r="P36" s="114"/>
      <c r="Q36" s="117"/>
      <c r="R36" s="85" t="s">
        <v>154</v>
      </c>
      <c r="S36" s="240">
        <v>0.91666666666666663</v>
      </c>
      <c r="T36" s="240"/>
      <c r="U36" s="118" t="s">
        <v>11</v>
      </c>
      <c r="V36" s="241">
        <v>0.25</v>
      </c>
      <c r="W36" s="241"/>
      <c r="X36" s="115"/>
      <c r="Y36" s="120"/>
      <c r="Z36" s="121"/>
      <c r="AA36" s="121"/>
      <c r="AB36" s="120"/>
      <c r="AC36" s="121"/>
      <c r="AD36" s="121"/>
      <c r="AE36" s="115"/>
      <c r="AF36" s="115"/>
      <c r="AG36" s="115"/>
      <c r="AH36" s="115"/>
      <c r="AI36" s="115"/>
      <c r="AJ36" s="115"/>
      <c r="AK36" s="217">
        <f>AH93</f>
        <v>0</v>
      </c>
      <c r="AL36" s="214" t="s">
        <v>141</v>
      </c>
      <c r="AM36" s="9"/>
      <c r="AN36" s="35">
        <f t="shared" si="7"/>
        <v>0.33333333333333331</v>
      </c>
      <c r="AO36" s="35">
        <f t="shared" si="8"/>
        <v>23.333333333333332</v>
      </c>
      <c r="AP36" s="36">
        <f t="shared" si="9"/>
        <v>22</v>
      </c>
      <c r="AQ36" s="36">
        <f t="shared" si="10"/>
        <v>6</v>
      </c>
      <c r="AR36" s="36">
        <f t="shared" si="11"/>
        <v>8</v>
      </c>
      <c r="AS36" s="37">
        <f t="shared" si="12"/>
        <v>8</v>
      </c>
      <c r="AT36" s="38">
        <f t="shared" si="13"/>
        <v>8</v>
      </c>
      <c r="AU36" s="39">
        <f t="shared" si="14"/>
        <v>8</v>
      </c>
      <c r="AV36" s="36">
        <f t="shared" si="15"/>
        <v>8</v>
      </c>
      <c r="AW36" s="36">
        <f t="shared" si="16"/>
        <v>8</v>
      </c>
      <c r="AX36" s="41">
        <f t="shared" si="17"/>
        <v>0</v>
      </c>
      <c r="AY36" s="36">
        <f t="shared" si="18"/>
        <v>8</v>
      </c>
      <c r="AZ36" s="36">
        <f t="shared" si="19"/>
        <v>-16</v>
      </c>
      <c r="BA36" s="36">
        <f t="shared" si="20"/>
        <v>23.333333333333332</v>
      </c>
      <c r="BB36" s="36">
        <f t="shared" si="21"/>
        <v>-16.000000000000028</v>
      </c>
      <c r="BC36" s="36">
        <f t="shared" si="22"/>
        <v>7.9999999999999716</v>
      </c>
      <c r="BD36" s="43">
        <f t="shared" si="23"/>
        <v>0.33333333333333331</v>
      </c>
      <c r="BE36" s="1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</row>
    <row r="37" spans="1:80" s="2" customFormat="1" ht="19.5" customHeight="1" x14ac:dyDescent="0.25">
      <c r="A37" s="238" t="s">
        <v>41</v>
      </c>
      <c r="B37" s="238"/>
      <c r="C37" s="239">
        <v>162</v>
      </c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116"/>
      <c r="P37" s="116"/>
      <c r="Q37" s="117"/>
      <c r="R37" s="85" t="s">
        <v>167</v>
      </c>
      <c r="S37" s="240">
        <f>CONTROL!G40</f>
        <v>0.20833333333333334</v>
      </c>
      <c r="T37" s="240"/>
      <c r="U37" s="118" t="s">
        <v>11</v>
      </c>
      <c r="V37" s="241">
        <v>0.625</v>
      </c>
      <c r="W37" s="241"/>
      <c r="X37" s="115"/>
      <c r="Y37" s="120"/>
      <c r="Z37" s="121"/>
      <c r="AA37" s="121"/>
      <c r="AB37" s="120"/>
      <c r="AC37" s="121"/>
      <c r="AD37" s="121"/>
      <c r="AE37" s="115"/>
      <c r="AF37" s="115"/>
      <c r="AG37" s="115"/>
      <c r="AH37" s="115"/>
      <c r="AI37" s="115"/>
      <c r="AJ37" s="116"/>
      <c r="AK37" s="217">
        <f>AH104</f>
        <v>16</v>
      </c>
      <c r="AL37" s="214" t="s">
        <v>142</v>
      </c>
      <c r="AM37" s="9"/>
      <c r="AN37" s="35">
        <f t="shared" si="7"/>
        <v>0.33333333333333331</v>
      </c>
      <c r="AO37" s="35">
        <f t="shared" si="8"/>
        <v>0.41666666666666663</v>
      </c>
      <c r="AP37" s="36">
        <f t="shared" si="9"/>
        <v>5</v>
      </c>
      <c r="AQ37" s="36">
        <f t="shared" si="10"/>
        <v>15</v>
      </c>
      <c r="AR37" s="36">
        <f t="shared" si="11"/>
        <v>8</v>
      </c>
      <c r="AS37" s="37">
        <f t="shared" si="12"/>
        <v>8</v>
      </c>
      <c r="AT37" s="38">
        <f t="shared" si="13"/>
        <v>8</v>
      </c>
      <c r="AU37" s="39">
        <f t="shared" si="14"/>
        <v>10</v>
      </c>
      <c r="AV37" s="36">
        <f t="shared" si="15"/>
        <v>10</v>
      </c>
      <c r="AW37" s="36">
        <f t="shared" si="16"/>
        <v>18</v>
      </c>
      <c r="AX37" s="41">
        <f t="shared" si="17"/>
        <v>-10</v>
      </c>
      <c r="AY37" s="36">
        <f t="shared" si="18"/>
        <v>25</v>
      </c>
      <c r="AZ37" s="36">
        <f t="shared" si="19"/>
        <v>-6</v>
      </c>
      <c r="BA37" s="36">
        <f t="shared" si="20"/>
        <v>0.41666666666666663</v>
      </c>
      <c r="BB37" s="36">
        <f t="shared" si="21"/>
        <v>10</v>
      </c>
      <c r="BC37" s="36">
        <f t="shared" si="22"/>
        <v>10</v>
      </c>
      <c r="BD37" s="43">
        <f t="shared" si="23"/>
        <v>0.33333333333333331</v>
      </c>
      <c r="BE37" s="1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</row>
    <row r="38" spans="1:80" s="2" customFormat="1" ht="20.100000000000001" customHeight="1" x14ac:dyDescent="0.25">
      <c r="A38" s="238" t="s">
        <v>42</v>
      </c>
      <c r="B38" s="238"/>
      <c r="C38" s="239">
        <v>0</v>
      </c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122"/>
      <c r="P38" s="122"/>
      <c r="Q38" s="115"/>
      <c r="R38" s="197" t="str">
        <f>CONTROL!F41</f>
        <v>G</v>
      </c>
      <c r="S38" s="222">
        <f>CONTROL!G41</f>
        <v>0.29166666666666669</v>
      </c>
      <c r="T38" s="222"/>
      <c r="U38" s="118" t="s">
        <v>11</v>
      </c>
      <c r="V38" s="223">
        <f>CONTROL!H41</f>
        <v>0.33333333333333331</v>
      </c>
      <c r="W38" s="223"/>
      <c r="X38" s="115"/>
      <c r="Y38" s="120"/>
      <c r="Z38" s="121"/>
      <c r="AA38" s="121"/>
      <c r="AB38" s="120"/>
      <c r="AC38" s="121"/>
      <c r="AD38" s="121"/>
      <c r="AE38" s="116"/>
      <c r="AF38" s="116"/>
      <c r="AG38" s="116"/>
      <c r="AH38" s="116"/>
      <c r="AI38" s="116"/>
      <c r="AJ38" s="114"/>
      <c r="AK38" s="217">
        <f>AH115</f>
        <v>40</v>
      </c>
      <c r="AL38" s="214" t="s">
        <v>143</v>
      </c>
      <c r="AN38" s="35">
        <f t="shared" si="7"/>
        <v>0</v>
      </c>
      <c r="AO38" s="35">
        <f t="shared" si="8"/>
        <v>4.166666666666663E-2</v>
      </c>
      <c r="AP38" s="36">
        <f t="shared" si="9"/>
        <v>7</v>
      </c>
      <c r="AQ38" s="36">
        <f t="shared" si="10"/>
        <v>8</v>
      </c>
      <c r="AR38" s="36">
        <f t="shared" si="11"/>
        <v>0</v>
      </c>
      <c r="AS38" s="37">
        <f t="shared" si="12"/>
        <v>0</v>
      </c>
      <c r="AT38" s="38">
        <f t="shared" si="13"/>
        <v>0</v>
      </c>
      <c r="AU38" s="39">
        <f t="shared" si="14"/>
        <v>0</v>
      </c>
      <c r="AV38" s="36">
        <f t="shared" si="15"/>
        <v>-1</v>
      </c>
      <c r="AW38" s="36">
        <f t="shared" si="16"/>
        <v>10</v>
      </c>
      <c r="AX38" s="41">
        <f t="shared" si="17"/>
        <v>-1</v>
      </c>
      <c r="AY38" s="36">
        <f t="shared" si="18"/>
        <v>23</v>
      </c>
      <c r="AZ38" s="36">
        <f t="shared" si="19"/>
        <v>-14</v>
      </c>
      <c r="BA38" s="36">
        <f t="shared" si="20"/>
        <v>4.166666666666663E-2</v>
      </c>
      <c r="BB38" s="36">
        <f t="shared" si="21"/>
        <v>0.99999999999999911</v>
      </c>
      <c r="BC38" s="36">
        <f t="shared" si="22"/>
        <v>0.99999999999999911</v>
      </c>
      <c r="BD38" s="43">
        <f t="shared" si="23"/>
        <v>0</v>
      </c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</row>
    <row r="39" spans="1:80" s="2" customFormat="1" ht="20.100000000000001" customHeight="1" x14ac:dyDescent="0.25">
      <c r="A39" s="123"/>
      <c r="B39" s="116"/>
      <c r="C39" s="124"/>
      <c r="D39" s="116"/>
      <c r="E39" s="116"/>
      <c r="F39" s="116"/>
      <c r="G39" s="116"/>
      <c r="H39" s="116"/>
      <c r="I39" s="116"/>
      <c r="J39" s="116"/>
      <c r="K39" s="116"/>
      <c r="L39" s="122"/>
      <c r="M39" s="122"/>
      <c r="N39" s="125"/>
      <c r="O39" s="122"/>
      <c r="P39" s="122"/>
      <c r="Q39" s="115"/>
      <c r="R39" s="197" t="str">
        <f>CONTROL!F42</f>
        <v>H</v>
      </c>
      <c r="S39" s="222">
        <f>CONTROL!G42</f>
        <v>0.33333333333333331</v>
      </c>
      <c r="T39" s="222"/>
      <c r="U39" s="118" t="s">
        <v>11</v>
      </c>
      <c r="V39" s="223">
        <f>CONTROL!H42</f>
        <v>0.375</v>
      </c>
      <c r="W39" s="223"/>
      <c r="X39" s="115"/>
      <c r="Y39" s="120"/>
      <c r="Z39" s="121"/>
      <c r="AA39" s="121"/>
      <c r="AB39" s="120"/>
      <c r="AC39" s="121"/>
      <c r="AD39" s="121"/>
      <c r="AE39" s="116"/>
      <c r="AF39" s="116"/>
      <c r="AG39" s="116"/>
      <c r="AH39" s="116"/>
      <c r="AI39" s="116"/>
      <c r="AJ39" s="114"/>
      <c r="AK39" s="217">
        <f>AH126</f>
        <v>128</v>
      </c>
      <c r="AL39" s="214" t="s">
        <v>144</v>
      </c>
      <c r="AN39" s="35">
        <f t="shared" si="7"/>
        <v>0</v>
      </c>
      <c r="AO39" s="35">
        <f t="shared" si="8"/>
        <v>4.1666666666666685E-2</v>
      </c>
      <c r="AP39" s="36">
        <f t="shared" si="9"/>
        <v>8</v>
      </c>
      <c r="AQ39" s="36">
        <f t="shared" si="10"/>
        <v>9</v>
      </c>
      <c r="AR39" s="36">
        <f t="shared" si="11"/>
        <v>0</v>
      </c>
      <c r="AS39" s="37">
        <f t="shared" si="12"/>
        <v>0</v>
      </c>
      <c r="AT39" s="38">
        <f t="shared" si="13"/>
        <v>0</v>
      </c>
      <c r="AU39" s="39">
        <f t="shared" si="14"/>
        <v>0</v>
      </c>
      <c r="AV39" s="36">
        <f t="shared" si="15"/>
        <v>-1</v>
      </c>
      <c r="AW39" s="36">
        <f t="shared" si="16"/>
        <v>11</v>
      </c>
      <c r="AX39" s="41">
        <f t="shared" si="17"/>
        <v>-1</v>
      </c>
      <c r="AY39" s="36">
        <f t="shared" si="18"/>
        <v>22</v>
      </c>
      <c r="AZ39" s="36">
        <f t="shared" si="19"/>
        <v>-13</v>
      </c>
      <c r="BA39" s="36">
        <f t="shared" si="20"/>
        <v>4.1666666666666685E-2</v>
      </c>
      <c r="BB39" s="36">
        <f t="shared" si="21"/>
        <v>1.0000000000000004</v>
      </c>
      <c r="BC39" s="36">
        <f t="shared" si="22"/>
        <v>1.0000000000000004</v>
      </c>
      <c r="BD39" s="43">
        <f t="shared" si="23"/>
        <v>0</v>
      </c>
      <c r="BE39" s="31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</row>
    <row r="40" spans="1:80" s="2" customFormat="1" ht="20.100000000000001" customHeight="1" x14ac:dyDescent="0.25">
      <c r="A40" s="123"/>
      <c r="B40" s="116"/>
      <c r="C40" s="124"/>
      <c r="D40" s="116"/>
      <c r="E40" s="116"/>
      <c r="F40" s="116"/>
      <c r="G40" s="116"/>
      <c r="H40" s="116"/>
      <c r="I40" s="116"/>
      <c r="J40" s="116"/>
      <c r="K40" s="116"/>
      <c r="L40" s="122"/>
      <c r="M40" s="122"/>
      <c r="N40" s="125"/>
      <c r="O40" s="122"/>
      <c r="P40" s="122"/>
      <c r="Q40" s="115"/>
      <c r="R40" s="197" t="str">
        <f>CONTROL!F43</f>
        <v>I</v>
      </c>
      <c r="S40" s="222">
        <f>CONTROL!G43</f>
        <v>0.41666666666666669</v>
      </c>
      <c r="T40" s="222"/>
      <c r="U40" s="118" t="s">
        <v>11</v>
      </c>
      <c r="V40" s="223">
        <f>CONTROL!H43</f>
        <v>0.45833333333333331</v>
      </c>
      <c r="W40" s="223"/>
      <c r="X40" s="115"/>
      <c r="Y40" s="120"/>
      <c r="Z40" s="121"/>
      <c r="AA40" s="121"/>
      <c r="AB40" s="120"/>
      <c r="AC40" s="121"/>
      <c r="AD40" s="121"/>
      <c r="AE40" s="116"/>
      <c r="AF40" s="116"/>
      <c r="AG40" s="116"/>
      <c r="AH40" s="116"/>
      <c r="AI40" s="116"/>
      <c r="AJ40" s="114"/>
      <c r="AK40" s="217">
        <f>AH137</f>
        <v>136</v>
      </c>
      <c r="AL40" s="214" t="s">
        <v>145</v>
      </c>
      <c r="AN40" s="35">
        <f t="shared" si="7"/>
        <v>0</v>
      </c>
      <c r="AO40" s="35">
        <f t="shared" si="8"/>
        <v>4.166666666666663E-2</v>
      </c>
      <c r="AP40" s="36">
        <f>S40*24+24</f>
        <v>34</v>
      </c>
      <c r="AQ40" s="36">
        <f t="shared" si="10"/>
        <v>11</v>
      </c>
      <c r="AR40" s="36">
        <f t="shared" si="11"/>
        <v>0</v>
      </c>
      <c r="AS40" s="37">
        <f t="shared" si="12"/>
        <v>0</v>
      </c>
      <c r="AT40" s="38">
        <f t="shared" si="13"/>
        <v>0</v>
      </c>
      <c r="AU40" s="39">
        <f t="shared" si="14"/>
        <v>0</v>
      </c>
      <c r="AV40" s="36">
        <f t="shared" si="15"/>
        <v>-4</v>
      </c>
      <c r="AW40" s="36">
        <f t="shared" si="16"/>
        <v>-4</v>
      </c>
      <c r="AX40" s="41">
        <f t="shared" si="17"/>
        <v>0</v>
      </c>
      <c r="AY40" s="36">
        <f t="shared" si="18"/>
        <v>-4</v>
      </c>
      <c r="AZ40" s="36">
        <f t="shared" si="19"/>
        <v>-23</v>
      </c>
      <c r="BA40" s="36">
        <f t="shared" si="20"/>
        <v>4.166666666666663E-2</v>
      </c>
      <c r="BB40" s="36">
        <f t="shared" si="21"/>
        <v>0.99999999999999911</v>
      </c>
      <c r="BC40" s="36">
        <f t="shared" si="22"/>
        <v>0.99999999999999911</v>
      </c>
      <c r="BD40" s="43">
        <f t="shared" si="23"/>
        <v>0</v>
      </c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</row>
    <row r="41" spans="1:80" s="2" customFormat="1" ht="20.100000000000001" customHeight="1" x14ac:dyDescent="0.25">
      <c r="A41" s="123"/>
      <c r="B41" s="116"/>
      <c r="C41" s="124"/>
      <c r="D41" s="116"/>
      <c r="E41" s="116"/>
      <c r="F41" s="116"/>
      <c r="G41" s="116"/>
      <c r="H41" s="116"/>
      <c r="I41" s="116"/>
      <c r="J41" s="116"/>
      <c r="K41" s="116"/>
      <c r="L41" s="122"/>
      <c r="M41" s="122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6"/>
      <c r="AB41" s="116"/>
      <c r="AC41" s="116"/>
      <c r="AD41" s="116"/>
      <c r="AE41" s="116"/>
      <c r="AF41" s="116"/>
      <c r="AG41" s="116"/>
      <c r="AH41" s="116"/>
      <c r="AI41" s="116"/>
      <c r="AJ41" s="114"/>
      <c r="AK41" s="217">
        <f>AH148</f>
        <v>176</v>
      </c>
      <c r="AL41" s="214" t="s">
        <v>146</v>
      </c>
      <c r="AN41" s="10"/>
      <c r="AO41" s="10"/>
      <c r="AP41" s="46">
        <f>S41*24</f>
        <v>0</v>
      </c>
      <c r="AQ41" s="10"/>
      <c r="AR41" s="47">
        <v>1</v>
      </c>
      <c r="AS41" s="47">
        <v>2</v>
      </c>
      <c r="AT41" s="47">
        <v>3</v>
      </c>
      <c r="AU41" s="47">
        <v>4</v>
      </c>
      <c r="AV41" s="47">
        <v>5</v>
      </c>
      <c r="AW41" s="47">
        <v>6</v>
      </c>
      <c r="AX41" s="47">
        <v>7</v>
      </c>
      <c r="AY41" s="47">
        <v>8</v>
      </c>
      <c r="AZ41" s="47">
        <v>9</v>
      </c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</row>
    <row r="42" spans="1:80" ht="20.100000000000001" customHeight="1" x14ac:dyDescent="0.25">
      <c r="A42" s="116"/>
      <c r="B42" s="126"/>
      <c r="C42" s="224" t="s">
        <v>43</v>
      </c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5" t="str">
        <f>CONTROL!B38</f>
        <v>OSCAR ORGEIRA © 20.03.00 EXCEL</v>
      </c>
      <c r="X42" s="225"/>
      <c r="Y42" s="225"/>
      <c r="Z42" s="225"/>
      <c r="AA42" s="225"/>
      <c r="AB42" s="225"/>
      <c r="AC42" s="225"/>
      <c r="AD42" s="225"/>
      <c r="AE42" s="225"/>
      <c r="AF42" s="225"/>
      <c r="AG42" s="225"/>
      <c r="AH42" s="225"/>
      <c r="AI42" s="127"/>
      <c r="AJ42" s="116"/>
      <c r="AK42" s="218">
        <f>AH159</f>
        <v>0</v>
      </c>
      <c r="AL42" s="215" t="s">
        <v>147</v>
      </c>
      <c r="BE42" s="10"/>
    </row>
    <row r="43" spans="1:80" ht="20.100000000000001" customHeight="1" x14ac:dyDescent="0.25">
      <c r="A43" s="116"/>
      <c r="B43" s="116"/>
      <c r="C43" s="234" t="s">
        <v>44</v>
      </c>
      <c r="D43" s="234"/>
      <c r="E43" s="235" t="s">
        <v>45</v>
      </c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  <c r="AA43" s="235"/>
      <c r="AB43" s="235"/>
      <c r="AC43" s="235"/>
      <c r="AD43" s="235"/>
      <c r="AE43" s="235"/>
      <c r="AF43" s="235"/>
      <c r="AG43" s="235"/>
      <c r="AH43" s="235"/>
      <c r="AI43" s="235"/>
      <c r="AJ43" s="116"/>
      <c r="AK43" s="218">
        <f>AH170</f>
        <v>0</v>
      </c>
      <c r="AL43" s="215" t="s">
        <v>148</v>
      </c>
      <c r="BE43" s="10"/>
    </row>
    <row r="44" spans="1:80" s="2" customFormat="1" ht="15.95" hidden="1" customHeight="1" x14ac:dyDescent="0.25">
      <c r="A44" s="123"/>
      <c r="B44" s="114"/>
      <c r="C44" s="128"/>
      <c r="D44" s="114"/>
      <c r="E44" s="114"/>
      <c r="F44" s="114"/>
      <c r="G44" s="114"/>
      <c r="H44" s="114"/>
      <c r="I44" s="114"/>
      <c r="J44" s="114"/>
      <c r="K44" s="114"/>
      <c r="L44" s="125"/>
      <c r="M44" s="125"/>
      <c r="N44" s="125"/>
      <c r="O44" s="125"/>
      <c r="P44" s="125"/>
      <c r="Q44" s="125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N44" s="10"/>
      <c r="AO44" s="10"/>
      <c r="AP44" s="10"/>
      <c r="AQ44" s="10"/>
      <c r="AR44" s="47"/>
      <c r="AS44" s="47"/>
      <c r="AT44" s="47"/>
      <c r="AU44" s="47"/>
      <c r="AV44" s="47"/>
      <c r="AW44" s="47"/>
      <c r="AX44" s="47"/>
      <c r="AY44" s="47"/>
      <c r="AZ44" s="47"/>
      <c r="BA44" s="10"/>
      <c r="BB44" s="10"/>
      <c r="BC44" s="10"/>
      <c r="BD44" s="10"/>
      <c r="BE44" s="48" t="str">
        <f>INDEX({"do";"lu";"ma";"mi";"ju";"vi";"sa"},1+MOD($AR$47+4-2,7))</f>
        <v>ju</v>
      </c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</row>
    <row r="45" spans="1:80" ht="15.95" hidden="1" customHeight="1" x14ac:dyDescent="0.25">
      <c r="A45" s="129"/>
      <c r="B45" s="130" t="s">
        <v>46</v>
      </c>
      <c r="C45" s="131" t="str">
        <f t="shared" ref="C45:AH45" si="25">IF(C7="S",IF(C7="",0,1),IF(C7="D",IF(C7="",0,1),""))</f>
        <v/>
      </c>
      <c r="D45" s="131" t="str">
        <f t="shared" si="25"/>
        <v/>
      </c>
      <c r="E45" s="131" t="str">
        <f t="shared" si="25"/>
        <v/>
      </c>
      <c r="F45" s="131">
        <f t="shared" si="25"/>
        <v>1</v>
      </c>
      <c r="G45" s="131">
        <f t="shared" si="25"/>
        <v>1</v>
      </c>
      <c r="H45" s="131" t="str">
        <f t="shared" si="25"/>
        <v/>
      </c>
      <c r="I45" s="131" t="str">
        <f t="shared" si="25"/>
        <v/>
      </c>
      <c r="J45" s="131" t="str">
        <f t="shared" si="25"/>
        <v/>
      </c>
      <c r="K45" s="131" t="str">
        <f t="shared" si="25"/>
        <v/>
      </c>
      <c r="L45" s="131" t="str">
        <f t="shared" si="25"/>
        <v/>
      </c>
      <c r="M45" s="131">
        <f t="shared" si="25"/>
        <v>1</v>
      </c>
      <c r="N45" s="131">
        <f t="shared" si="25"/>
        <v>1</v>
      </c>
      <c r="O45" s="131" t="str">
        <f t="shared" si="25"/>
        <v/>
      </c>
      <c r="P45" s="131" t="str">
        <f t="shared" si="25"/>
        <v/>
      </c>
      <c r="Q45" s="131" t="str">
        <f t="shared" si="25"/>
        <v/>
      </c>
      <c r="R45" s="131" t="str">
        <f t="shared" si="25"/>
        <v/>
      </c>
      <c r="S45" s="131" t="str">
        <f t="shared" si="25"/>
        <v/>
      </c>
      <c r="T45" s="131">
        <f t="shared" si="25"/>
        <v>1</v>
      </c>
      <c r="U45" s="131">
        <f t="shared" si="25"/>
        <v>1</v>
      </c>
      <c r="V45" s="131" t="str">
        <f t="shared" si="25"/>
        <v/>
      </c>
      <c r="W45" s="131" t="str">
        <f t="shared" si="25"/>
        <v/>
      </c>
      <c r="X45" s="131" t="str">
        <f t="shared" si="25"/>
        <v/>
      </c>
      <c r="Y45" s="131" t="str">
        <f t="shared" si="25"/>
        <v/>
      </c>
      <c r="Z45" s="131" t="str">
        <f t="shared" si="25"/>
        <v/>
      </c>
      <c r="AA45" s="131">
        <f t="shared" si="25"/>
        <v>1</v>
      </c>
      <c r="AB45" s="131">
        <f t="shared" si="25"/>
        <v>1</v>
      </c>
      <c r="AC45" s="131" t="str">
        <f t="shared" si="25"/>
        <v/>
      </c>
      <c r="AD45" s="131" t="str">
        <f t="shared" si="25"/>
        <v/>
      </c>
      <c r="AE45" s="131" t="str">
        <f t="shared" si="25"/>
        <v/>
      </c>
      <c r="AF45" s="131" t="str">
        <f t="shared" si="25"/>
        <v/>
      </c>
      <c r="AG45" s="131" t="str">
        <f t="shared" si="25"/>
        <v/>
      </c>
      <c r="AH45" s="132" t="str">
        <f t="shared" si="25"/>
        <v/>
      </c>
      <c r="AI45" s="236" t="s">
        <v>8</v>
      </c>
      <c r="AJ45" s="236"/>
      <c r="AK45" s="133"/>
      <c r="AL45" s="133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49" t="str">
        <f>IF(MONTH($Q$4)&lt;&gt;MONTH($Q$4-(WEEKDAY($Q$4,1)-($AR$47-1))-IF((WEEKDAY($Q$4,1)-($AR$47-1))&lt;=0,7,0)+(ROW(BE45)-ROW($AN$51))*7+(COLUMN(BE45)-COLUMN($AN$51)+1)),"",$Q$4-(WEEKDAY($Q$4,1)-($AR$47-1))-IF((WEEKDAY($Q$4,1)-($AR$47-1))&lt;=0,7,0)+(ROW(BE45)-ROW($AN$51))*7+(COLUMN(BE45)-COLUMN($AN$51)+1))</f>
        <v/>
      </c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</row>
    <row r="46" spans="1:80" s="2" customFormat="1" ht="15.95" hidden="1" customHeight="1" x14ac:dyDescent="0.25">
      <c r="A46" s="134" t="s">
        <v>47</v>
      </c>
      <c r="B46" s="134" t="s">
        <v>48</v>
      </c>
      <c r="C46" s="135" t="str">
        <f t="shared" ref="C46:AG46" si="26">IF(C6="X",IF(C6="",0,1),IF(C45=1,IF(C45="",0,1),""))</f>
        <v/>
      </c>
      <c r="D46" s="135" t="str">
        <f t="shared" si="26"/>
        <v/>
      </c>
      <c r="E46" s="135" t="str">
        <f t="shared" si="26"/>
        <v/>
      </c>
      <c r="F46" s="135">
        <f t="shared" si="26"/>
        <v>1</v>
      </c>
      <c r="G46" s="135">
        <f t="shared" si="26"/>
        <v>1</v>
      </c>
      <c r="H46" s="135" t="str">
        <f t="shared" si="26"/>
        <v/>
      </c>
      <c r="I46" s="135" t="str">
        <f t="shared" si="26"/>
        <v/>
      </c>
      <c r="J46" s="135" t="str">
        <f t="shared" si="26"/>
        <v/>
      </c>
      <c r="K46" s="135" t="str">
        <f t="shared" si="26"/>
        <v/>
      </c>
      <c r="L46" s="135" t="str">
        <f t="shared" si="26"/>
        <v/>
      </c>
      <c r="M46" s="135">
        <f t="shared" si="26"/>
        <v>1</v>
      </c>
      <c r="N46" s="135">
        <f t="shared" si="26"/>
        <v>1</v>
      </c>
      <c r="O46" s="135" t="str">
        <f t="shared" si="26"/>
        <v/>
      </c>
      <c r="P46" s="135" t="str">
        <f t="shared" si="26"/>
        <v/>
      </c>
      <c r="Q46" s="135" t="str">
        <f t="shared" si="26"/>
        <v/>
      </c>
      <c r="R46" s="135" t="str">
        <f t="shared" si="26"/>
        <v/>
      </c>
      <c r="S46" s="135" t="str">
        <f t="shared" si="26"/>
        <v/>
      </c>
      <c r="T46" s="135">
        <f t="shared" si="26"/>
        <v>1</v>
      </c>
      <c r="U46" s="135">
        <f t="shared" si="26"/>
        <v>1</v>
      </c>
      <c r="V46" s="135" t="str">
        <f t="shared" si="26"/>
        <v/>
      </c>
      <c r="W46" s="135" t="str">
        <f t="shared" si="26"/>
        <v/>
      </c>
      <c r="X46" s="135" t="str">
        <f t="shared" si="26"/>
        <v/>
      </c>
      <c r="Y46" s="135" t="str">
        <f t="shared" si="26"/>
        <v/>
      </c>
      <c r="Z46" s="135" t="str">
        <f t="shared" si="26"/>
        <v/>
      </c>
      <c r="AA46" s="135">
        <f t="shared" si="26"/>
        <v>1</v>
      </c>
      <c r="AB46" s="135">
        <f t="shared" si="26"/>
        <v>1</v>
      </c>
      <c r="AC46" s="135" t="str">
        <f t="shared" si="26"/>
        <v/>
      </c>
      <c r="AD46" s="135" t="str">
        <f t="shared" si="26"/>
        <v/>
      </c>
      <c r="AE46" s="132" t="str">
        <f t="shared" si="26"/>
        <v/>
      </c>
      <c r="AF46" s="132" t="str">
        <f t="shared" si="26"/>
        <v/>
      </c>
      <c r="AG46" s="132" t="str">
        <f t="shared" si="26"/>
        <v/>
      </c>
      <c r="AH46" s="136" t="b">
        <f>IF(AH6="X",IF(AH6="",0,1))</f>
        <v>0</v>
      </c>
      <c r="AI46" s="231">
        <f>(AH32-AH33)*AL46</f>
        <v>4</v>
      </c>
      <c r="AJ46" s="231"/>
      <c r="AK46" s="137" t="s">
        <v>49</v>
      </c>
      <c r="AL46" s="138">
        <f>SUM(C46:AG46)</f>
        <v>8</v>
      </c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</row>
    <row r="47" spans="1:80" s="2" customFormat="1" ht="15.95" hidden="1" customHeight="1" x14ac:dyDescent="0.3">
      <c r="A47" s="139" t="s">
        <v>50</v>
      </c>
      <c r="B47" s="140" t="s">
        <v>29</v>
      </c>
      <c r="C47" s="141">
        <f t="shared" ref="C47:AG47" si="27">IF(C9=$R32,$S32*24,IF(C9=$R33,$S33*24,IF(C9=$R34,$S34*24,IF(C9=$R35,$S35*24,IF(C9=$R36,$S36*24,IF(C9=$R37,$S37*24,IF(C9=$R38,$S38*24,IF(C9=$R39,$S39*24,IF(C9=$R40,$S40*24,"")))))))))</f>
        <v>7</v>
      </c>
      <c r="D47" s="141" t="str">
        <f t="shared" si="27"/>
        <v/>
      </c>
      <c r="E47" s="141">
        <f t="shared" si="27"/>
        <v>7</v>
      </c>
      <c r="F47" s="141">
        <f t="shared" si="27"/>
        <v>7</v>
      </c>
      <c r="G47" s="141">
        <f t="shared" si="27"/>
        <v>7</v>
      </c>
      <c r="H47" s="141" t="str">
        <f t="shared" si="27"/>
        <v/>
      </c>
      <c r="I47" s="141">
        <f t="shared" si="27"/>
        <v>6</v>
      </c>
      <c r="J47" s="141">
        <f t="shared" si="27"/>
        <v>7</v>
      </c>
      <c r="K47" s="141">
        <f t="shared" si="27"/>
        <v>7</v>
      </c>
      <c r="L47" s="141" t="str">
        <f t="shared" si="27"/>
        <v/>
      </c>
      <c r="M47" s="141" t="str">
        <f t="shared" si="27"/>
        <v/>
      </c>
      <c r="N47" s="141" t="str">
        <f t="shared" si="27"/>
        <v/>
      </c>
      <c r="O47" s="141">
        <f t="shared" si="27"/>
        <v>19</v>
      </c>
      <c r="P47" s="141">
        <f t="shared" si="27"/>
        <v>19</v>
      </c>
      <c r="Q47" s="141" t="str">
        <f t="shared" si="27"/>
        <v/>
      </c>
      <c r="R47" s="141">
        <f t="shared" si="27"/>
        <v>22</v>
      </c>
      <c r="S47" s="141">
        <f t="shared" si="27"/>
        <v>19</v>
      </c>
      <c r="T47" s="141">
        <f t="shared" si="27"/>
        <v>19</v>
      </c>
      <c r="U47" s="141">
        <f t="shared" si="27"/>
        <v>19</v>
      </c>
      <c r="V47" s="141" t="str">
        <f t="shared" si="27"/>
        <v/>
      </c>
      <c r="W47" s="141" t="str">
        <f t="shared" si="27"/>
        <v/>
      </c>
      <c r="X47" s="141">
        <f t="shared" si="27"/>
        <v>19</v>
      </c>
      <c r="Y47" s="141">
        <f t="shared" si="27"/>
        <v>19</v>
      </c>
      <c r="Z47" s="141">
        <f t="shared" si="27"/>
        <v>22</v>
      </c>
      <c r="AA47" s="141" t="str">
        <f t="shared" si="27"/>
        <v/>
      </c>
      <c r="AB47" s="141" t="str">
        <f t="shared" si="27"/>
        <v/>
      </c>
      <c r="AC47" s="141">
        <f t="shared" si="27"/>
        <v>19</v>
      </c>
      <c r="AD47" s="141">
        <f t="shared" si="27"/>
        <v>19</v>
      </c>
      <c r="AE47" s="141" t="str">
        <f t="shared" si="27"/>
        <v/>
      </c>
      <c r="AF47" s="141" t="str">
        <f t="shared" si="27"/>
        <v/>
      </c>
      <c r="AG47" s="141" t="str">
        <f t="shared" si="27"/>
        <v/>
      </c>
      <c r="AH47" s="142" t="s">
        <v>12</v>
      </c>
      <c r="AI47" s="231">
        <f>(CA59-AH46)*AH33</f>
        <v>0</v>
      </c>
      <c r="AJ47" s="231"/>
      <c r="AK47" s="137" t="s">
        <v>51</v>
      </c>
      <c r="AL47" s="137"/>
      <c r="AN47" s="237" t="s">
        <v>52</v>
      </c>
      <c r="AO47" s="237"/>
      <c r="AP47" s="10"/>
      <c r="AQ47" s="50" t="s">
        <v>53</v>
      </c>
      <c r="AR47" s="46">
        <v>2</v>
      </c>
      <c r="AS47" s="51">
        <v>1</v>
      </c>
      <c r="AT47" s="52" t="str">
        <f>IF(AN53="lu","LUNES",IF(AN53="ma","MARTES",IF(AN53="mi","MIERCOLES",IF(AN53="ju","JUEVES",IF(AN53="vi","VIERNES",IF(AN53="sa","SABADO",IF(AN53="do","DOMINGO",IF(AO53="lu","LUNES",IF(AO53="ma","MARTES",IF(AO53="mi","MIERCOLES",IF(AO53="ju","JUEVES",IF(AO53="vi","VIERNES",IF(AO53="sa","SABADO",IF(AO53="do","DOMINGO",IF(AP53="lu","LUNES",IF(AP53="ma","MARTES",IF(AP53="mi","MIERCOLES",IF(AP53="ju","JUEVES",IF(AP53="vi","VIERNES",IF(AP53="sa","SABADO",IF(AP53="do","DOMINGO",IF(AQ53="lu","LUNES",IF(AQ53="ma","MARTES",IF(AQ53="mi","MIERCOLES",IF(AQ53="ju","JUEVES",IF(AQ53="vi","VIERNES",IF(AQ53="sa","SABADO",IF(AQ53="do","DOMINGO",IF(AR53="lu","LUNES",IF(AR53="ma","MARTES",IF(AR53="mi","MIERCOLES",IF(AR53="ju","JUEVES",IF(AR53="vi","VIERNES",IF(AR53="sa","SABADO",IF(AR53="do","DOMINGO","")))))))))))))))))))))))))))))))))))</f>
        <v>MIERCOLES</v>
      </c>
      <c r="AU47" s="50" t="s">
        <v>54</v>
      </c>
      <c r="AV47" s="53" t="str">
        <f>IF(AT47="LUNES","LUNES",IF(AT47="MARTES","MARTES",IF(AT47="MIERCOLES","MIERCOLES",IF(AT47="JUEVES","JUEVES",IF(AT47="VIERNES","VIERNES",IF(AT47="SABADO","SABADO",IF(AT47="DOMINGO","DOMINGO",IF(AT48="LUNES","LUNES",IF(AT48="MARTES","MARTES",IF(AT48="MIERCOLES","MIERCOLES",IF(AT48="JUEVES","JUEVES",IF(AT48="VIERNES","VIERNES",IF(AT48="SABADO","SABADO",IF(AT48="DOMINGO","DOMINGO",""))))))))))))))</f>
        <v>MIERCOLES</v>
      </c>
      <c r="AW47" s="51">
        <v>28</v>
      </c>
      <c r="AX47" s="46">
        <f>$AR$48+27</f>
        <v>46140</v>
      </c>
      <c r="AY47" s="51">
        <v>30</v>
      </c>
      <c r="AZ47" s="46">
        <f>$AR$48+29</f>
        <v>46142</v>
      </c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</row>
    <row r="48" spans="1:80" s="2" customFormat="1" ht="15.95" hidden="1" customHeight="1" x14ac:dyDescent="0.35">
      <c r="A48" s="143" t="s">
        <v>55</v>
      </c>
      <c r="B48" s="144" t="s">
        <v>30</v>
      </c>
      <c r="C48" s="141">
        <f t="shared" ref="C48:AG48" si="28">IF(C9=$R32,$V32*24,IF(C9=$R33,$V33*24,IF(C9=$R34,$V34*24,IF(C9=$R35,$V35*24,IF(C9=$R36,$V36*24,IF(C9=$R37,$V37*24,IF(C9=$R38,$V38*24,IF(C9=$R39,$V39*24,IF(C9=$R40,$V40*24,"")))))))))</f>
        <v>19</v>
      </c>
      <c r="D48" s="141" t="str">
        <f t="shared" si="28"/>
        <v/>
      </c>
      <c r="E48" s="141">
        <f t="shared" si="28"/>
        <v>19</v>
      </c>
      <c r="F48" s="141">
        <f t="shared" si="28"/>
        <v>19</v>
      </c>
      <c r="G48" s="141">
        <f t="shared" si="28"/>
        <v>19</v>
      </c>
      <c r="H48" s="141" t="str">
        <f t="shared" si="28"/>
        <v/>
      </c>
      <c r="I48" s="141">
        <f t="shared" si="28"/>
        <v>18</v>
      </c>
      <c r="J48" s="141">
        <f t="shared" si="28"/>
        <v>19</v>
      </c>
      <c r="K48" s="141">
        <f t="shared" si="28"/>
        <v>19</v>
      </c>
      <c r="L48" s="141" t="str">
        <f t="shared" si="28"/>
        <v/>
      </c>
      <c r="M48" s="141" t="str">
        <f t="shared" si="28"/>
        <v/>
      </c>
      <c r="N48" s="141" t="str">
        <f t="shared" si="28"/>
        <v/>
      </c>
      <c r="O48" s="141">
        <f t="shared" si="28"/>
        <v>7</v>
      </c>
      <c r="P48" s="141">
        <f t="shared" si="28"/>
        <v>7</v>
      </c>
      <c r="Q48" s="141" t="str">
        <f t="shared" si="28"/>
        <v/>
      </c>
      <c r="R48" s="141">
        <f t="shared" si="28"/>
        <v>6</v>
      </c>
      <c r="S48" s="141">
        <f t="shared" si="28"/>
        <v>7</v>
      </c>
      <c r="T48" s="141">
        <f t="shared" si="28"/>
        <v>7</v>
      </c>
      <c r="U48" s="141">
        <f t="shared" si="28"/>
        <v>7</v>
      </c>
      <c r="V48" s="141" t="str">
        <f t="shared" si="28"/>
        <v/>
      </c>
      <c r="W48" s="141" t="str">
        <f t="shared" si="28"/>
        <v/>
      </c>
      <c r="X48" s="141">
        <f t="shared" si="28"/>
        <v>7</v>
      </c>
      <c r="Y48" s="141">
        <f t="shared" si="28"/>
        <v>7</v>
      </c>
      <c r="Z48" s="141">
        <f t="shared" si="28"/>
        <v>6</v>
      </c>
      <c r="AA48" s="141" t="str">
        <f t="shared" si="28"/>
        <v/>
      </c>
      <c r="AB48" s="141" t="str">
        <f t="shared" si="28"/>
        <v/>
      </c>
      <c r="AC48" s="141">
        <f t="shared" si="28"/>
        <v>7</v>
      </c>
      <c r="AD48" s="141">
        <f t="shared" si="28"/>
        <v>7</v>
      </c>
      <c r="AE48" s="141" t="str">
        <f t="shared" si="28"/>
        <v/>
      </c>
      <c r="AF48" s="141" t="str">
        <f t="shared" si="28"/>
        <v/>
      </c>
      <c r="AG48" s="141" t="str">
        <f t="shared" si="28"/>
        <v/>
      </c>
      <c r="AH48" s="142" t="s">
        <v>12</v>
      </c>
      <c r="AI48" s="230">
        <f>SUM(AI46:AI47)</f>
        <v>4</v>
      </c>
      <c r="AJ48" s="230"/>
      <c r="AK48" s="137" t="s">
        <v>56</v>
      </c>
      <c r="AL48" s="137"/>
      <c r="AN48" s="10"/>
      <c r="AO48" s="10"/>
      <c r="AP48" s="10"/>
      <c r="AQ48" s="50" t="s">
        <v>57</v>
      </c>
      <c r="AR48" s="54">
        <f>DATE($C$34,$C$35,1)</f>
        <v>46113</v>
      </c>
      <c r="AS48" s="51">
        <v>2</v>
      </c>
      <c r="AT48" s="52" t="str">
        <f>IF(AS53="lu","LUNES",IF(AS53="ma","MARTES",IF(AS53="mi","MIERCOLES",IF(AS53="ju","JUEVES",IF(AS53="vi","VIERNES",IF(AS53="sa","SABADO",IF(AS53="do","DOMINGO",IF(AT53="lu","LUNES",IF(AT53="ma","MARTES",IF(AT53="mi","MIERCOLES",IF(AT53="ju","JUEVES",IF(AT53="vi","VIERNES",IF(AT53="sa","SABADO",IF(AT53="do","DOMINGO",""))))))))))))))</f>
        <v/>
      </c>
      <c r="AU48" s="10"/>
      <c r="AV48" s="51"/>
      <c r="AW48" s="51">
        <v>29</v>
      </c>
      <c r="AX48" s="46">
        <f>$AR$48+28</f>
        <v>46141</v>
      </c>
      <c r="AY48" s="51">
        <v>31</v>
      </c>
      <c r="AZ48" s="46">
        <f>$AR$48+30</f>
        <v>46143</v>
      </c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</row>
    <row r="49" spans="1:80" s="2" customFormat="1" ht="15.95" hidden="1" customHeight="1" x14ac:dyDescent="0.25">
      <c r="A49" s="145"/>
      <c r="B49" s="146" t="s">
        <v>34</v>
      </c>
      <c r="C49" s="147">
        <f t="shared" ref="C49:AD49" si="29">IF(C9=$R32,$BD32*24,IF(C9=$R33,$BD33*24,IF(C9=$R34,$BD34*24,IF(C9=$R35,$BD35*24,IF(C9=$R36,$BD36*24,IF(C9=$R37,$BD37*24,IF(C9=$R38,$BD38*24,IF(C9=$R39,$BD39*24,IF(C9=$R40,$BD40*24,"")))))))))</f>
        <v>0</v>
      </c>
      <c r="D49" s="147" t="str">
        <f t="shared" si="29"/>
        <v/>
      </c>
      <c r="E49" s="147">
        <f t="shared" si="29"/>
        <v>0</v>
      </c>
      <c r="F49" s="147">
        <f t="shared" si="29"/>
        <v>0</v>
      </c>
      <c r="G49" s="147">
        <f t="shared" si="29"/>
        <v>0</v>
      </c>
      <c r="H49" s="147" t="str">
        <f t="shared" si="29"/>
        <v/>
      </c>
      <c r="I49" s="147">
        <f t="shared" si="29"/>
        <v>0</v>
      </c>
      <c r="J49" s="147">
        <f t="shared" si="29"/>
        <v>0</v>
      </c>
      <c r="K49" s="147">
        <f t="shared" si="29"/>
        <v>0</v>
      </c>
      <c r="L49" s="147" t="str">
        <f t="shared" si="29"/>
        <v/>
      </c>
      <c r="M49" s="147" t="str">
        <f t="shared" si="29"/>
        <v/>
      </c>
      <c r="N49" s="147" t="str">
        <f t="shared" si="29"/>
        <v/>
      </c>
      <c r="O49" s="147">
        <f t="shared" si="29"/>
        <v>8</v>
      </c>
      <c r="P49" s="147">
        <f t="shared" si="29"/>
        <v>8</v>
      </c>
      <c r="Q49" s="147" t="str">
        <f t="shared" si="29"/>
        <v/>
      </c>
      <c r="R49" s="147">
        <f t="shared" si="29"/>
        <v>8</v>
      </c>
      <c r="S49" s="147">
        <f t="shared" si="29"/>
        <v>8</v>
      </c>
      <c r="T49" s="147">
        <f t="shared" si="29"/>
        <v>8</v>
      </c>
      <c r="U49" s="147">
        <f t="shared" si="29"/>
        <v>8</v>
      </c>
      <c r="V49" s="147" t="str">
        <f t="shared" si="29"/>
        <v/>
      </c>
      <c r="W49" s="147" t="str">
        <f t="shared" si="29"/>
        <v/>
      </c>
      <c r="X49" s="147">
        <f t="shared" si="29"/>
        <v>8</v>
      </c>
      <c r="Y49" s="147">
        <f t="shared" si="29"/>
        <v>8</v>
      </c>
      <c r="Z49" s="147">
        <f t="shared" si="29"/>
        <v>8</v>
      </c>
      <c r="AA49" s="147" t="str">
        <f t="shared" si="29"/>
        <v/>
      </c>
      <c r="AB49" s="147" t="str">
        <f t="shared" si="29"/>
        <v/>
      </c>
      <c r="AC49" s="147">
        <f t="shared" si="29"/>
        <v>8</v>
      </c>
      <c r="AD49" s="147">
        <f t="shared" si="29"/>
        <v>8</v>
      </c>
      <c r="AE49" s="147" t="str">
        <f>IF(AE9=$R32,$BD32*24,IF(AE9=$R33,$BD33*24,IF(AE9=$R34,$BD34*24,IF(AE9=$R35,$BD35*24,IF(AE9=$R36,$BD36*24,IF(AE9=$R37,$BD37*24,IF(AE9=$R38,$BD38*24,IF(AE9=$R39,$BD39*24,IF(AE9=$R40,$BD40*24,"")))))))))</f>
        <v/>
      </c>
      <c r="AF49" s="147" t="str">
        <f>IF(AF9=$R32,$BD32*24,IF(AF9=$R33,$BD33*24,IF(AF9=$R34,$BD34*24,IF(AF9=$R35,$BD35*24,IF(AF9=$R36,$BD36*24,IF(AF9=$R37,$BD37*24,IF(AF9=$R38,$BD38*24,IF(AF9=$R39,$BD39*24,IF(AF9=$R40,$BD40*24,"")))))))))</f>
        <v/>
      </c>
      <c r="AG49" s="147" t="str">
        <f>IF(AG9=$R32,$BD32*24,IF(AG9=$R33,$BD33*24,IF(AG9=$R34,$BD34*24,IF(AG9=$R35,$BD35*24,IF(AG9=$R36,$BD36*24,IF(AG9=$R37,$BD37*24,IF(AG9=$R38,$BD38*24,IF(AG9=$R39,$BD39*24,IF(AG9=$R40,$BD40*24,"")))))))))</f>
        <v/>
      </c>
      <c r="AH49" s="148">
        <f>SUM(C49:AG49)</f>
        <v>88</v>
      </c>
      <c r="AI49" s="231">
        <f>C37*AF36</f>
        <v>0</v>
      </c>
      <c r="AJ49" s="231"/>
      <c r="AK49" s="137" t="s">
        <v>58</v>
      </c>
      <c r="AL49" s="137"/>
      <c r="AN49" s="232">
        <f>Q4</f>
        <v>46113</v>
      </c>
      <c r="AO49" s="232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</row>
    <row r="50" spans="1:80" s="2" customFormat="1" ht="15.95" hidden="1" customHeight="1" x14ac:dyDescent="0.25">
      <c r="A50" s="145"/>
      <c r="B50" s="149" t="s">
        <v>59</v>
      </c>
      <c r="C50" s="141">
        <f t="shared" ref="C50:AG50" si="30">IF(C9="V",$C36,IF(C9="PR",$C38,0))</f>
        <v>0</v>
      </c>
      <c r="D50" s="141">
        <f t="shared" si="30"/>
        <v>0</v>
      </c>
      <c r="E50" s="141">
        <f t="shared" si="30"/>
        <v>0</v>
      </c>
      <c r="F50" s="141">
        <f t="shared" si="30"/>
        <v>0</v>
      </c>
      <c r="G50" s="141">
        <f t="shared" si="30"/>
        <v>0</v>
      </c>
      <c r="H50" s="141">
        <f t="shared" si="30"/>
        <v>0</v>
      </c>
      <c r="I50" s="141">
        <f t="shared" si="30"/>
        <v>0</v>
      </c>
      <c r="J50" s="141">
        <f t="shared" si="30"/>
        <v>0</v>
      </c>
      <c r="K50" s="141">
        <f t="shared" si="30"/>
        <v>0</v>
      </c>
      <c r="L50" s="141">
        <f t="shared" si="30"/>
        <v>0</v>
      </c>
      <c r="M50" s="141">
        <f t="shared" si="30"/>
        <v>0</v>
      </c>
      <c r="N50" s="141">
        <f t="shared" si="30"/>
        <v>0</v>
      </c>
      <c r="O50" s="141">
        <f t="shared" si="30"/>
        <v>0</v>
      </c>
      <c r="P50" s="141">
        <f t="shared" si="30"/>
        <v>0</v>
      </c>
      <c r="Q50" s="141">
        <f t="shared" si="30"/>
        <v>0</v>
      </c>
      <c r="R50" s="141">
        <f t="shared" si="30"/>
        <v>0</v>
      </c>
      <c r="S50" s="141">
        <f t="shared" si="30"/>
        <v>0</v>
      </c>
      <c r="T50" s="141">
        <f t="shared" si="30"/>
        <v>0</v>
      </c>
      <c r="U50" s="141">
        <f t="shared" si="30"/>
        <v>0</v>
      </c>
      <c r="V50" s="141">
        <f t="shared" si="30"/>
        <v>0</v>
      </c>
      <c r="W50" s="141">
        <f t="shared" si="30"/>
        <v>0</v>
      </c>
      <c r="X50" s="141">
        <f t="shared" si="30"/>
        <v>0</v>
      </c>
      <c r="Y50" s="141">
        <f t="shared" si="30"/>
        <v>0</v>
      </c>
      <c r="Z50" s="141">
        <f t="shared" si="30"/>
        <v>0</v>
      </c>
      <c r="AA50" s="141">
        <f t="shared" si="30"/>
        <v>0</v>
      </c>
      <c r="AB50" s="141">
        <f t="shared" si="30"/>
        <v>0</v>
      </c>
      <c r="AC50" s="141">
        <f t="shared" si="30"/>
        <v>0</v>
      </c>
      <c r="AD50" s="141">
        <f t="shared" si="30"/>
        <v>0</v>
      </c>
      <c r="AE50" s="141">
        <f t="shared" si="30"/>
        <v>0</v>
      </c>
      <c r="AF50" s="141">
        <f t="shared" si="30"/>
        <v>0</v>
      </c>
      <c r="AG50" s="141">
        <f t="shared" si="30"/>
        <v>0</v>
      </c>
      <c r="AH50" s="226">
        <f>SUM(C50:AG50)</f>
        <v>0</v>
      </c>
      <c r="AI50" s="226"/>
      <c r="AJ50" s="137" t="s">
        <v>12</v>
      </c>
      <c r="AK50" s="137"/>
      <c r="AL50" s="137"/>
      <c r="AN50" s="48" t="str">
        <f>INDEX({"do";"lu";"ma";"mi";"ju";"vi";"sa"},1+MOD($AR$47+1-2,7))</f>
        <v>lu</v>
      </c>
      <c r="AO50" s="48" t="str">
        <f>INDEX({"do";"lu";"ma";"mi";"ju";"vi";"sa"},1+MOD($AR$47+2-2,7))</f>
        <v>ma</v>
      </c>
      <c r="AP50" s="48" t="str">
        <f>INDEX({"do";"lu";"ma";"mi";"ju";"vi";"sa"},1+MOD($AR$47+3-2,7))</f>
        <v>mi</v>
      </c>
      <c r="AQ50" s="48" t="str">
        <f>INDEX({"do";"lu";"ma";"mi";"ju";"vi";"sa"},1+MOD($AR$47+4-2,7))</f>
        <v>ju</v>
      </c>
      <c r="AR50" s="48" t="str">
        <f>INDEX({"do";"lu";"ma";"mi";"ju";"vi";"sa"},1+MOD($AR$47+5-2,7))</f>
        <v>vi</v>
      </c>
      <c r="AS50" s="48" t="str">
        <f>INDEX({"do";"lu";"ma";"mi";"ju";"vi";"sa"},1+MOD($AR$47+6-2,7))</f>
        <v>sa</v>
      </c>
      <c r="AT50" s="48" t="str">
        <f>INDEX({"do";"lu";"ma";"mi";"ju";"vi";"sa"},1+MOD($AR$47+7-2,7))</f>
        <v>do</v>
      </c>
      <c r="AU50" s="48" t="str">
        <f>INDEX({"do";"lu";"ma";"mi";"ju";"vi";"sa"},1+MOD($AR$47+1-2,7))</f>
        <v>lu</v>
      </c>
      <c r="AV50" s="48" t="str">
        <f>INDEX({"do";"lu";"ma";"mi";"ju";"vi";"sa"},1+MOD($AR$47+2-2,7))</f>
        <v>ma</v>
      </c>
      <c r="AW50" s="48" t="str">
        <f>INDEX({"do";"lu";"ma";"mi";"ju";"vi";"sa"},1+MOD($AR$47+3-2,7))</f>
        <v>mi</v>
      </c>
      <c r="AX50" s="48" t="str">
        <f>INDEX({"do";"lu";"ma";"mi";"ju";"vi";"sa"},1+MOD($AR$47+4-2,7))</f>
        <v>ju</v>
      </c>
      <c r="AY50" s="48" t="str">
        <f>INDEX({"do";"lu";"ma";"mi";"ju";"vi";"sa"},1+MOD($AR$47+5-2,7))</f>
        <v>vi</v>
      </c>
      <c r="AZ50" s="48" t="str">
        <f>INDEX({"do";"lu";"ma";"mi";"ju";"vi";"sa"},1+MOD($AR$47+6-2,7))</f>
        <v>sa</v>
      </c>
      <c r="BA50" s="48" t="str">
        <f>INDEX({"do";"lu";"ma";"mi";"ju";"vi";"sa"},1+MOD($AR$47+7-2,7))</f>
        <v>do</v>
      </c>
      <c r="BB50" s="48" t="str">
        <f>INDEX({"do";"lu";"ma";"mi";"ju";"vi";"sa"},1+MOD($AR$47+1-2,7))</f>
        <v>lu</v>
      </c>
      <c r="BC50" s="48" t="str">
        <f>INDEX({"do";"lu";"ma";"mi";"ju";"vi";"sa"},1+MOD($AR$47+2-2,7))</f>
        <v>ma</v>
      </c>
      <c r="BD50" s="48" t="str">
        <f>INDEX({"do";"lu";"ma";"mi";"ju";"vi";"sa"},1+MOD($AR$47+3-2,7))</f>
        <v>mi</v>
      </c>
      <c r="BE50" s="10"/>
      <c r="BF50" s="48" t="str">
        <f>INDEX({"do";"lu";"ma";"mi";"ju";"vi";"sa"},1+MOD($AR$47+5-2,7))</f>
        <v>vi</v>
      </c>
      <c r="BG50" s="48" t="str">
        <f>INDEX({"do";"lu";"ma";"mi";"ju";"vi";"sa"},1+MOD($AR$47+6-2,7))</f>
        <v>sa</v>
      </c>
      <c r="BH50" s="48" t="str">
        <f>INDEX({"do";"lu";"ma";"mi";"ju";"vi";"sa"},1+MOD($AR$47+7-2,7))</f>
        <v>do</v>
      </c>
      <c r="BI50" s="48" t="str">
        <f>INDEX({"do";"lu";"ma";"mi";"ju";"vi";"sa"},1+MOD($AR$47+1-2,7))</f>
        <v>lu</v>
      </c>
      <c r="BJ50" s="48" t="str">
        <f>INDEX({"do";"lu";"ma";"mi";"ju";"vi";"sa"},1+MOD($AR$47+2-2,7))</f>
        <v>ma</v>
      </c>
      <c r="BK50" s="48" t="str">
        <f>INDEX({"do";"lu";"ma";"mi";"ju";"vi";"sa"},1+MOD($AR$47+3-2,7))</f>
        <v>mi</v>
      </c>
      <c r="BL50" s="48" t="str">
        <f>INDEX({"do";"lu";"ma";"mi";"ju";"vi";"sa"},1+MOD($AR$47+4-2,7))</f>
        <v>ju</v>
      </c>
      <c r="BM50" s="48" t="str">
        <f>INDEX({"do";"lu";"ma";"mi";"ju";"vi";"sa"},1+MOD($AR$47+5-2,7))</f>
        <v>vi</v>
      </c>
      <c r="BN50" s="48" t="str">
        <f>INDEX({"do";"lu";"ma";"mi";"ju";"vi";"sa"},1+MOD($AR$47+6-2,7))</f>
        <v>sa</v>
      </c>
      <c r="BO50" s="48" t="str">
        <f>INDEX({"do";"lu";"ma";"mi";"ju";"vi";"sa"},1+MOD($AR$47+7-2,7))</f>
        <v>do</v>
      </c>
      <c r="BP50" s="48" t="str">
        <f>INDEX({"do";"lu";"ma";"mi";"ju";"vi";"sa"},1+MOD($AR$47+1-2,7))</f>
        <v>lu</v>
      </c>
      <c r="BQ50" s="48" t="str">
        <f>INDEX({"do";"lu";"ma";"mi";"ju";"vi";"sa"},1+MOD($AR$47+2-2,7))</f>
        <v>ma</v>
      </c>
      <c r="BR50" s="48" t="str">
        <f>INDEX({"do";"lu";"ma";"mi";"ju";"vi";"sa"},1+MOD($AR$47+3-2,7))</f>
        <v>mi</v>
      </c>
      <c r="BS50" s="48" t="str">
        <f>INDEX({"do";"lu";"ma";"mi";"ju";"vi";"sa"},1+MOD($AR$47+4-2,7))</f>
        <v>ju</v>
      </c>
      <c r="BT50" s="48" t="str">
        <f>INDEX({"do";"lu";"ma";"mi";"ju";"vi";"sa"},1+MOD($AR$47+5-2,7))</f>
        <v>vi</v>
      </c>
      <c r="BU50" s="48" t="str">
        <f>INDEX({"do";"lu";"ma";"mi";"ju";"vi";"sa"},1+MOD($AR$47+6-2,7))</f>
        <v>sa</v>
      </c>
      <c r="BV50" s="48" t="str">
        <f>INDEX({"do";"lu";"ma";"mi";"ju";"vi";"sa"},1+MOD($AR$47+7-2,7))</f>
        <v>do</v>
      </c>
      <c r="BW50" s="48" t="str">
        <f>INDEX({"do";"lu";"ma";"mi";"ju";"vi";"sa"},1+MOD($AR$47+1-2,7))</f>
        <v>lu</v>
      </c>
      <c r="BX50" s="48" t="str">
        <f>INDEX({"do";"lu";"ma";"mi";"ju";"vi";"sa"},1+MOD($AR$47+2-2,7))</f>
        <v>ma</v>
      </c>
      <c r="BY50" s="10"/>
      <c r="BZ50" s="10"/>
      <c r="CA50" s="10"/>
      <c r="CB50" s="10"/>
    </row>
    <row r="51" spans="1:80" s="2" customFormat="1" ht="15.95" hidden="1" customHeight="1" x14ac:dyDescent="0.25">
      <c r="A51" s="150" t="s">
        <v>60</v>
      </c>
      <c r="B51" s="144" t="s">
        <v>61</v>
      </c>
      <c r="C51" s="151">
        <f t="shared" ref="C51:AD51" si="31">IF(C9=$R32,$BC32,IF(C9=$R33,$BC33,IF(C9=$R34,$BC34,IF(C9=$R35,$BC35,IF(C9=$R36,$BC36,IF(C9=$R37,$BC37,IF(C9=$R38,$BC38,IF(C9=$R39,$BC39,IF(C9=$R40,$BC40,0)))))))))</f>
        <v>11.999999999999998</v>
      </c>
      <c r="D51" s="151">
        <f t="shared" si="31"/>
        <v>0</v>
      </c>
      <c r="E51" s="151">
        <f t="shared" si="31"/>
        <v>11.999999999999998</v>
      </c>
      <c r="F51" s="151">
        <f t="shared" si="31"/>
        <v>11.999999999999998</v>
      </c>
      <c r="G51" s="151">
        <f t="shared" si="31"/>
        <v>11.999999999999998</v>
      </c>
      <c r="H51" s="151">
        <f t="shared" si="31"/>
        <v>0</v>
      </c>
      <c r="I51" s="151">
        <f t="shared" si="31"/>
        <v>12</v>
      </c>
      <c r="J51" s="151">
        <f t="shared" si="31"/>
        <v>11.999999999999998</v>
      </c>
      <c r="K51" s="151">
        <f t="shared" si="31"/>
        <v>11.999999999999998</v>
      </c>
      <c r="L51" s="151">
        <f t="shared" si="31"/>
        <v>0</v>
      </c>
      <c r="M51" s="151">
        <f t="shared" si="31"/>
        <v>0</v>
      </c>
      <c r="N51" s="151">
        <f t="shared" si="31"/>
        <v>0</v>
      </c>
      <c r="O51" s="151">
        <f t="shared" si="31"/>
        <v>12</v>
      </c>
      <c r="P51" s="151">
        <f t="shared" si="31"/>
        <v>12</v>
      </c>
      <c r="Q51" s="151">
        <f t="shared" si="31"/>
        <v>0</v>
      </c>
      <c r="R51" s="151">
        <f t="shared" si="31"/>
        <v>7.9999999999999716</v>
      </c>
      <c r="S51" s="151">
        <f t="shared" si="31"/>
        <v>12</v>
      </c>
      <c r="T51" s="151">
        <f t="shared" si="31"/>
        <v>12</v>
      </c>
      <c r="U51" s="151">
        <f t="shared" si="31"/>
        <v>12</v>
      </c>
      <c r="V51" s="151">
        <f t="shared" si="31"/>
        <v>0</v>
      </c>
      <c r="W51" s="151">
        <f t="shared" si="31"/>
        <v>0</v>
      </c>
      <c r="X51" s="151">
        <f t="shared" si="31"/>
        <v>12</v>
      </c>
      <c r="Y51" s="151">
        <f t="shared" si="31"/>
        <v>12</v>
      </c>
      <c r="Z51" s="151">
        <f t="shared" si="31"/>
        <v>7.9999999999999716</v>
      </c>
      <c r="AA51" s="151">
        <f t="shared" si="31"/>
        <v>0</v>
      </c>
      <c r="AB51" s="151">
        <f t="shared" si="31"/>
        <v>0</v>
      </c>
      <c r="AC51" s="151">
        <f t="shared" si="31"/>
        <v>12</v>
      </c>
      <c r="AD51" s="151">
        <f t="shared" si="31"/>
        <v>12</v>
      </c>
      <c r="AE51" s="151">
        <f>IF(AE9=$R32,$BC32,IF(AE9=$R33,$BC33,IF(AE9=$R34,$BC34,IF(AE9=$R35,$BC35,IF(AE9=$R36,$BC36,IF(AE9=$R37,$BC37,IF(AE9=$R38,$BC38,IF(AE9=$R39,$BC39,IF(AE9=$R40,$BC40,0)))))))))</f>
        <v>0</v>
      </c>
      <c r="AF51" s="151">
        <f>IF(AF9=$R32,$BC32,IF(AF9=$R33,$BC33,IF(AF9=$R34,$BC34,IF(AF9=$R35,$BC35,IF(AF9=$R36,$BC36,IF(AF9=$R37,$BC37,IF(AF9=$R38,$BC38,IF(AF9=$R39,$BC39,IF(AF9=$R40,$BC40,0)))))))))</f>
        <v>0</v>
      </c>
      <c r="AG51" s="151">
        <f>IF(AG9=$R32,$BC32,IF(AG9=$R33,$BC33,IF(AG9=$R34,$BC34,IF(AG9=$R35,$BC35,IF(AG9=$R36,$BC36,IF(AG9=$R37,$BC37,IF(AG9=$R38,$BC38,IF(AG9=$R39,$BC39,IF(AG9=$R40,$BC40,0)))))))))</f>
        <v>0</v>
      </c>
      <c r="AH51" s="226">
        <f>SUM(C51:AG51)</f>
        <v>207.99999999999991</v>
      </c>
      <c r="AI51" s="226"/>
      <c r="AJ51" s="152" t="s">
        <v>62</v>
      </c>
      <c r="AK51" s="137" t="s">
        <v>12</v>
      </c>
      <c r="AL51" s="137"/>
      <c r="AN51" s="49" t="str">
        <f t="shared" ref="AN51:BD51" si="32">IF(MONTH($Q$4)&lt;&gt;MONTH($Q$4-(WEEKDAY($Q$4,1)-($AR$47-1))-IF((WEEKDAY($Q$4,1)-($AR$47-1))&lt;=0,7,0)+(ROW(AN51)-ROW($AN$51))*7+(COLUMN(AN51)-COLUMN($AN$51)+1)),"",$Q$4-(WEEKDAY($Q$4,1)-($AR$47-1))-IF((WEEKDAY($Q$4,1)-($AR$47-1))&lt;=0,7,0)+(ROW(AN51)-ROW($AN$51))*7+(COLUMN(AN51)-COLUMN($AN$51)+1))</f>
        <v/>
      </c>
      <c r="AO51" s="49" t="str">
        <f t="shared" si="32"/>
        <v/>
      </c>
      <c r="AP51" s="49">
        <f t="shared" si="32"/>
        <v>46113</v>
      </c>
      <c r="AQ51" s="49">
        <f t="shared" si="32"/>
        <v>46114</v>
      </c>
      <c r="AR51" s="49">
        <f t="shared" si="32"/>
        <v>46115</v>
      </c>
      <c r="AS51" s="49">
        <f t="shared" si="32"/>
        <v>46116</v>
      </c>
      <c r="AT51" s="49">
        <f t="shared" si="32"/>
        <v>46117</v>
      </c>
      <c r="AU51" s="49">
        <f t="shared" si="32"/>
        <v>46118</v>
      </c>
      <c r="AV51" s="49">
        <f t="shared" si="32"/>
        <v>46119</v>
      </c>
      <c r="AW51" s="49">
        <f t="shared" si="32"/>
        <v>46120</v>
      </c>
      <c r="AX51" s="49">
        <f t="shared" si="32"/>
        <v>46121</v>
      </c>
      <c r="AY51" s="49">
        <f t="shared" si="32"/>
        <v>46122</v>
      </c>
      <c r="AZ51" s="49">
        <f t="shared" si="32"/>
        <v>46123</v>
      </c>
      <c r="BA51" s="49">
        <f t="shared" si="32"/>
        <v>46124</v>
      </c>
      <c r="BB51" s="49">
        <f t="shared" si="32"/>
        <v>46125</v>
      </c>
      <c r="BC51" s="49">
        <f t="shared" si="32"/>
        <v>46126</v>
      </c>
      <c r="BD51" s="49">
        <f t="shared" si="32"/>
        <v>46127</v>
      </c>
      <c r="BE51" s="31"/>
      <c r="BF51" s="49">
        <f t="shared" ref="BF51:BX51" si="33">IF(MONTH($Q$4)&lt;&gt;MONTH($Q$4-(WEEKDAY($Q$4,1)-($AR$47-1))-IF((WEEKDAY($Q$4,1)-($AR$47-1))&lt;=0,7,0)+(ROW(BF51)-ROW($AN$51))*7+(COLUMN(BF51)-COLUMN($AN$51)+1)),"",$Q$4-(WEEKDAY($Q$4,1)-($AR$47-1))-IF((WEEKDAY($Q$4,1)-($AR$47-1))&lt;=0,7,0)+(ROW(BF51)-ROW($AN$51))*7+(COLUMN(BF51)-COLUMN($AN$51)+1))</f>
        <v>46129</v>
      </c>
      <c r="BG51" s="49">
        <f t="shared" si="33"/>
        <v>46130</v>
      </c>
      <c r="BH51" s="49">
        <f t="shared" si="33"/>
        <v>46131</v>
      </c>
      <c r="BI51" s="49">
        <f t="shared" si="33"/>
        <v>46132</v>
      </c>
      <c r="BJ51" s="49">
        <f t="shared" si="33"/>
        <v>46133</v>
      </c>
      <c r="BK51" s="49">
        <f t="shared" si="33"/>
        <v>46134</v>
      </c>
      <c r="BL51" s="49">
        <f t="shared" si="33"/>
        <v>46135</v>
      </c>
      <c r="BM51" s="49">
        <f t="shared" si="33"/>
        <v>46136</v>
      </c>
      <c r="BN51" s="49">
        <f t="shared" si="33"/>
        <v>46137</v>
      </c>
      <c r="BO51" s="49">
        <f t="shared" si="33"/>
        <v>46138</v>
      </c>
      <c r="BP51" s="49">
        <f t="shared" si="33"/>
        <v>46139</v>
      </c>
      <c r="BQ51" s="49">
        <f t="shared" si="33"/>
        <v>46140</v>
      </c>
      <c r="BR51" s="49">
        <f t="shared" si="33"/>
        <v>46141</v>
      </c>
      <c r="BS51" s="49">
        <f t="shared" si="33"/>
        <v>46142</v>
      </c>
      <c r="BT51" s="49" t="str">
        <f t="shared" si="33"/>
        <v/>
      </c>
      <c r="BU51" s="49" t="str">
        <f t="shared" si="33"/>
        <v/>
      </c>
      <c r="BV51" s="49" t="str">
        <f t="shared" si="33"/>
        <v/>
      </c>
      <c r="BW51" s="49" t="str">
        <f t="shared" si="33"/>
        <v/>
      </c>
      <c r="BX51" s="49" t="str">
        <f t="shared" si="33"/>
        <v/>
      </c>
      <c r="BY51" s="10"/>
      <c r="BZ51" s="10"/>
      <c r="CA51" s="10"/>
      <c r="CB51" s="10"/>
    </row>
    <row r="52" spans="1:80" s="2" customFormat="1" ht="15.95" hidden="1" customHeight="1" x14ac:dyDescent="0.25">
      <c r="A52" s="153" t="s">
        <v>48</v>
      </c>
      <c r="B52" s="149" t="s">
        <v>63</v>
      </c>
      <c r="C52" s="141" t="b">
        <f t="shared" ref="C52:AG52" si="34">IF(C46=1,IF(C47&lt;C48,C51,0))</f>
        <v>0</v>
      </c>
      <c r="D52" s="141" t="b">
        <f t="shared" si="34"/>
        <v>0</v>
      </c>
      <c r="E52" s="141" t="b">
        <f t="shared" si="34"/>
        <v>0</v>
      </c>
      <c r="F52" s="141">
        <f t="shared" si="34"/>
        <v>11.999999999999998</v>
      </c>
      <c r="G52" s="141">
        <f t="shared" si="34"/>
        <v>11.999999999999998</v>
      </c>
      <c r="H52" s="141" t="b">
        <f t="shared" si="34"/>
        <v>0</v>
      </c>
      <c r="I52" s="141" t="b">
        <f t="shared" si="34"/>
        <v>0</v>
      </c>
      <c r="J52" s="141" t="b">
        <f t="shared" si="34"/>
        <v>0</v>
      </c>
      <c r="K52" s="141" t="b">
        <f t="shared" si="34"/>
        <v>0</v>
      </c>
      <c r="L52" s="141" t="b">
        <f t="shared" si="34"/>
        <v>0</v>
      </c>
      <c r="M52" s="141">
        <f t="shared" si="34"/>
        <v>0</v>
      </c>
      <c r="N52" s="141">
        <f t="shared" si="34"/>
        <v>0</v>
      </c>
      <c r="O52" s="141" t="b">
        <f t="shared" si="34"/>
        <v>0</v>
      </c>
      <c r="P52" s="141" t="b">
        <f t="shared" si="34"/>
        <v>0</v>
      </c>
      <c r="Q52" s="141" t="b">
        <f t="shared" si="34"/>
        <v>0</v>
      </c>
      <c r="R52" s="141" t="b">
        <f t="shared" si="34"/>
        <v>0</v>
      </c>
      <c r="S52" s="141" t="b">
        <f t="shared" si="34"/>
        <v>0</v>
      </c>
      <c r="T52" s="141">
        <f t="shared" si="34"/>
        <v>0</v>
      </c>
      <c r="U52" s="141">
        <f t="shared" si="34"/>
        <v>0</v>
      </c>
      <c r="V52" s="141" t="b">
        <f t="shared" si="34"/>
        <v>0</v>
      </c>
      <c r="W52" s="141" t="b">
        <f t="shared" si="34"/>
        <v>0</v>
      </c>
      <c r="X52" s="141" t="b">
        <f t="shared" si="34"/>
        <v>0</v>
      </c>
      <c r="Y52" s="141" t="b">
        <f t="shared" si="34"/>
        <v>0</v>
      </c>
      <c r="Z52" s="141" t="b">
        <f t="shared" si="34"/>
        <v>0</v>
      </c>
      <c r="AA52" s="141">
        <f t="shared" si="34"/>
        <v>0</v>
      </c>
      <c r="AB52" s="141">
        <f t="shared" si="34"/>
        <v>0</v>
      </c>
      <c r="AC52" s="141" t="b">
        <f t="shared" si="34"/>
        <v>0</v>
      </c>
      <c r="AD52" s="141" t="b">
        <f t="shared" si="34"/>
        <v>0</v>
      </c>
      <c r="AE52" s="141" t="b">
        <f t="shared" si="34"/>
        <v>0</v>
      </c>
      <c r="AF52" s="141" t="b">
        <f t="shared" si="34"/>
        <v>0</v>
      </c>
      <c r="AG52" s="141" t="b">
        <f t="shared" si="34"/>
        <v>0</v>
      </c>
      <c r="AH52" s="154" t="s">
        <v>12</v>
      </c>
      <c r="AI52" s="133"/>
      <c r="AJ52" s="155"/>
      <c r="AK52" s="156"/>
      <c r="AL52" s="137"/>
      <c r="AN52" s="55" t="str">
        <f t="shared" ref="AN52:AT52" si="35">IF(AN51=$AR$48,IF(AN51="",0,1),"")</f>
        <v/>
      </c>
      <c r="AO52" s="55" t="str">
        <f t="shared" si="35"/>
        <v/>
      </c>
      <c r="AP52" s="55">
        <f t="shared" si="35"/>
        <v>1</v>
      </c>
      <c r="AQ52" s="55" t="str">
        <f t="shared" si="35"/>
        <v/>
      </c>
      <c r="AR52" s="55" t="str">
        <f t="shared" si="35"/>
        <v/>
      </c>
      <c r="AS52" s="55" t="str">
        <f t="shared" si="35"/>
        <v/>
      </c>
      <c r="AT52" s="55" t="str">
        <f t="shared" si="35"/>
        <v/>
      </c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56"/>
      <c r="BF52" s="10"/>
      <c r="BG52" s="10"/>
      <c r="BH52" s="10"/>
      <c r="BI52" s="10"/>
      <c r="BJ52" s="10"/>
      <c r="BK52" s="10"/>
      <c r="BL52" s="10"/>
      <c r="BM52" s="10"/>
      <c r="BN52" s="10"/>
      <c r="BO52" s="96">
        <f t="shared" ref="BO52:BX52" si="36">BO51</f>
        <v>46138</v>
      </c>
      <c r="BP52" s="96">
        <f t="shared" si="36"/>
        <v>46139</v>
      </c>
      <c r="BQ52" s="96">
        <f t="shared" si="36"/>
        <v>46140</v>
      </c>
      <c r="BR52" s="96">
        <f t="shared" si="36"/>
        <v>46141</v>
      </c>
      <c r="BS52" s="96">
        <f t="shared" si="36"/>
        <v>46142</v>
      </c>
      <c r="BT52" s="96" t="str">
        <f t="shared" si="36"/>
        <v/>
      </c>
      <c r="BU52" s="96" t="str">
        <f t="shared" si="36"/>
        <v/>
      </c>
      <c r="BV52" s="96" t="str">
        <f t="shared" si="36"/>
        <v/>
      </c>
      <c r="BW52" s="96" t="str">
        <f t="shared" si="36"/>
        <v/>
      </c>
      <c r="BX52" s="96" t="str">
        <f t="shared" si="36"/>
        <v/>
      </c>
      <c r="BY52" s="10"/>
      <c r="BZ52" s="10"/>
      <c r="CA52" s="10"/>
      <c r="CB52" s="10"/>
    </row>
    <row r="53" spans="1:80" s="2" customFormat="1" ht="15.95" hidden="1" customHeight="1" x14ac:dyDescent="0.25">
      <c r="A53" s="153"/>
      <c r="B53" s="149" t="s">
        <v>64</v>
      </c>
      <c r="C53" s="141">
        <f t="shared" ref="C53:AG53" si="37">IF(C46=1,IF(C47&gt;C48,24-C47,0),0)</f>
        <v>0</v>
      </c>
      <c r="D53" s="141">
        <f t="shared" si="37"/>
        <v>0</v>
      </c>
      <c r="E53" s="141">
        <f t="shared" si="37"/>
        <v>0</v>
      </c>
      <c r="F53" s="141">
        <f t="shared" si="37"/>
        <v>0</v>
      </c>
      <c r="G53" s="141">
        <f t="shared" si="37"/>
        <v>0</v>
      </c>
      <c r="H53" s="141">
        <f t="shared" si="37"/>
        <v>0</v>
      </c>
      <c r="I53" s="141">
        <f t="shared" si="37"/>
        <v>0</v>
      </c>
      <c r="J53" s="141">
        <f t="shared" si="37"/>
        <v>0</v>
      </c>
      <c r="K53" s="141">
        <f t="shared" si="37"/>
        <v>0</v>
      </c>
      <c r="L53" s="141">
        <f t="shared" si="37"/>
        <v>0</v>
      </c>
      <c r="M53" s="141">
        <f t="shared" si="37"/>
        <v>0</v>
      </c>
      <c r="N53" s="141">
        <f t="shared" si="37"/>
        <v>0</v>
      </c>
      <c r="O53" s="141">
        <f t="shared" si="37"/>
        <v>0</v>
      </c>
      <c r="P53" s="141">
        <f t="shared" si="37"/>
        <v>0</v>
      </c>
      <c r="Q53" s="141">
        <f t="shared" si="37"/>
        <v>0</v>
      </c>
      <c r="R53" s="141">
        <f t="shared" si="37"/>
        <v>0</v>
      </c>
      <c r="S53" s="141">
        <f t="shared" si="37"/>
        <v>0</v>
      </c>
      <c r="T53" s="141">
        <f t="shared" si="37"/>
        <v>5</v>
      </c>
      <c r="U53" s="141">
        <f t="shared" si="37"/>
        <v>5</v>
      </c>
      <c r="V53" s="141">
        <f t="shared" si="37"/>
        <v>0</v>
      </c>
      <c r="W53" s="141">
        <f t="shared" si="37"/>
        <v>0</v>
      </c>
      <c r="X53" s="141">
        <f t="shared" si="37"/>
        <v>0</v>
      </c>
      <c r="Y53" s="141">
        <f t="shared" si="37"/>
        <v>0</v>
      </c>
      <c r="Z53" s="141">
        <f t="shared" si="37"/>
        <v>0</v>
      </c>
      <c r="AA53" s="141">
        <f t="shared" si="37"/>
        <v>0</v>
      </c>
      <c r="AB53" s="141">
        <f t="shared" si="37"/>
        <v>0</v>
      </c>
      <c r="AC53" s="141">
        <f t="shared" si="37"/>
        <v>0</v>
      </c>
      <c r="AD53" s="141">
        <f t="shared" si="37"/>
        <v>0</v>
      </c>
      <c r="AE53" s="141">
        <f t="shared" si="37"/>
        <v>0</v>
      </c>
      <c r="AF53" s="141">
        <f t="shared" si="37"/>
        <v>0</v>
      </c>
      <c r="AG53" s="141">
        <f t="shared" si="37"/>
        <v>0</v>
      </c>
      <c r="AH53" s="154" t="s">
        <v>12</v>
      </c>
      <c r="AI53" s="133"/>
      <c r="AJ53" s="155"/>
      <c r="AK53" s="137"/>
      <c r="AL53" s="137"/>
      <c r="AN53" s="57" t="str">
        <f t="shared" ref="AN53:AT53" si="38">IF(AN52=1,IF(AN52="",0,AN50),"")</f>
        <v/>
      </c>
      <c r="AO53" s="57" t="str">
        <f t="shared" si="38"/>
        <v/>
      </c>
      <c r="AP53" s="57" t="str">
        <f t="shared" si="38"/>
        <v>mi</v>
      </c>
      <c r="AQ53" s="57" t="str">
        <f t="shared" si="38"/>
        <v/>
      </c>
      <c r="AR53" s="57" t="str">
        <f t="shared" si="38"/>
        <v/>
      </c>
      <c r="AS53" s="57" t="str">
        <f t="shared" si="38"/>
        <v/>
      </c>
      <c r="AT53" s="57" t="str">
        <f t="shared" si="38"/>
        <v/>
      </c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56"/>
      <c r="BF53" s="10"/>
      <c r="BG53" s="10"/>
      <c r="BH53" s="10"/>
      <c r="BI53" s="10"/>
      <c r="BJ53" s="10"/>
      <c r="BK53" s="10"/>
      <c r="BL53" s="10"/>
      <c r="BM53" s="10"/>
      <c r="BN53" s="10"/>
      <c r="BO53" s="58" t="str">
        <f t="shared" ref="BO53:BX53" si="39">IF(BO52=$AR$48+30,IF(BO52="",0,1),IF(BO52=$AR$48+29,IF(BO52="",0,1),IF(BO52=$AR$48+28,IF(BO52="",0,1),IF(BO52=$AR$48+27,IF(BO52="",0,1),""))))</f>
        <v/>
      </c>
      <c r="BP53" s="58" t="str">
        <f t="shared" si="39"/>
        <v/>
      </c>
      <c r="BQ53" s="58">
        <f t="shared" si="39"/>
        <v>1</v>
      </c>
      <c r="BR53" s="58">
        <f t="shared" si="39"/>
        <v>1</v>
      </c>
      <c r="BS53" s="58">
        <f t="shared" si="39"/>
        <v>1</v>
      </c>
      <c r="BT53" s="58" t="str">
        <f t="shared" si="39"/>
        <v/>
      </c>
      <c r="BU53" s="58" t="str">
        <f t="shared" si="39"/>
        <v/>
      </c>
      <c r="BV53" s="58" t="str">
        <f t="shared" si="39"/>
        <v/>
      </c>
      <c r="BW53" s="58" t="str">
        <f t="shared" si="39"/>
        <v/>
      </c>
      <c r="BX53" s="58" t="str">
        <f t="shared" si="39"/>
        <v/>
      </c>
      <c r="BY53" s="10"/>
      <c r="BZ53" s="10"/>
      <c r="CA53" s="10"/>
      <c r="CB53" s="10"/>
    </row>
    <row r="54" spans="1:80" s="2" customFormat="1" ht="15.95" hidden="1" customHeight="1" x14ac:dyDescent="0.25">
      <c r="A54" s="157"/>
      <c r="B54" s="149" t="s">
        <v>65</v>
      </c>
      <c r="C54" s="141">
        <f t="shared" ref="C54:AG54" si="40">IF(D46=1,IF(C47&gt;C48,C48,0),0)</f>
        <v>0</v>
      </c>
      <c r="D54" s="141">
        <f t="shared" si="40"/>
        <v>0</v>
      </c>
      <c r="E54" s="141">
        <f t="shared" si="40"/>
        <v>0</v>
      </c>
      <c r="F54" s="141">
        <f t="shared" si="40"/>
        <v>0</v>
      </c>
      <c r="G54" s="141">
        <f t="shared" si="40"/>
        <v>0</v>
      </c>
      <c r="H54" s="141">
        <f t="shared" si="40"/>
        <v>0</v>
      </c>
      <c r="I54" s="141">
        <f t="shared" si="40"/>
        <v>0</v>
      </c>
      <c r="J54" s="141">
        <f t="shared" si="40"/>
        <v>0</v>
      </c>
      <c r="K54" s="141">
        <f t="shared" si="40"/>
        <v>0</v>
      </c>
      <c r="L54" s="141">
        <f t="shared" si="40"/>
        <v>0</v>
      </c>
      <c r="M54" s="141">
        <f t="shared" si="40"/>
        <v>0</v>
      </c>
      <c r="N54" s="141">
        <f t="shared" si="40"/>
        <v>0</v>
      </c>
      <c r="O54" s="141">
        <f t="shared" si="40"/>
        <v>0</v>
      </c>
      <c r="P54" s="141">
        <f t="shared" si="40"/>
        <v>0</v>
      </c>
      <c r="Q54" s="141">
        <f t="shared" si="40"/>
        <v>0</v>
      </c>
      <c r="R54" s="141">
        <f t="shared" si="40"/>
        <v>0</v>
      </c>
      <c r="S54" s="141">
        <f t="shared" si="40"/>
        <v>7</v>
      </c>
      <c r="T54" s="141">
        <f t="shared" si="40"/>
        <v>7</v>
      </c>
      <c r="U54" s="141">
        <f t="shared" si="40"/>
        <v>0</v>
      </c>
      <c r="V54" s="141">
        <f t="shared" si="40"/>
        <v>0</v>
      </c>
      <c r="W54" s="141">
        <f t="shared" si="40"/>
        <v>0</v>
      </c>
      <c r="X54" s="141">
        <f>IF(Y46=1,IF(X47&gt;X48,X48,0),0)</f>
        <v>0</v>
      </c>
      <c r="Y54" s="141">
        <f t="shared" si="40"/>
        <v>0</v>
      </c>
      <c r="Z54" s="141">
        <f t="shared" si="40"/>
        <v>6</v>
      </c>
      <c r="AA54" s="141">
        <f t="shared" si="40"/>
        <v>0</v>
      </c>
      <c r="AB54" s="141">
        <f t="shared" si="40"/>
        <v>0</v>
      </c>
      <c r="AC54" s="141">
        <f t="shared" si="40"/>
        <v>0</v>
      </c>
      <c r="AD54" s="141">
        <f t="shared" si="40"/>
        <v>0</v>
      </c>
      <c r="AE54" s="141">
        <f t="shared" si="40"/>
        <v>0</v>
      </c>
      <c r="AF54" s="141">
        <f t="shared" si="40"/>
        <v>0</v>
      </c>
      <c r="AG54" s="141">
        <f t="shared" si="40"/>
        <v>0</v>
      </c>
      <c r="AH54" s="154" t="s">
        <v>12</v>
      </c>
      <c r="AI54" s="133"/>
      <c r="AJ54" s="155"/>
      <c r="AK54" s="137"/>
      <c r="AL54" s="137"/>
      <c r="AN54" s="10"/>
      <c r="AO54" s="10"/>
      <c r="AP54" s="10"/>
      <c r="AQ54" s="10"/>
      <c r="AR54" s="47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56"/>
      <c r="BF54" s="10"/>
      <c r="BG54" s="10"/>
      <c r="BH54" s="10"/>
      <c r="BI54" s="10"/>
      <c r="BJ54" s="10"/>
      <c r="BK54" s="10"/>
      <c r="BL54" s="10"/>
      <c r="BM54" s="10"/>
      <c r="BN54" s="10"/>
      <c r="BO54" s="52" t="str">
        <f t="shared" ref="BO54:BX54" si="41">IF(BO53=1,IF(BO53="",0,BO52),"")</f>
        <v/>
      </c>
      <c r="BP54" s="52" t="str">
        <f t="shared" si="41"/>
        <v/>
      </c>
      <c r="BQ54" s="52">
        <f t="shared" si="41"/>
        <v>46140</v>
      </c>
      <c r="BR54" s="52">
        <f t="shared" si="41"/>
        <v>46141</v>
      </c>
      <c r="BS54" s="52">
        <f t="shared" si="41"/>
        <v>46142</v>
      </c>
      <c r="BT54" s="52" t="str">
        <f t="shared" si="41"/>
        <v/>
      </c>
      <c r="BU54" s="52" t="str">
        <f t="shared" si="41"/>
        <v/>
      </c>
      <c r="BV54" s="52" t="str">
        <f t="shared" si="41"/>
        <v/>
      </c>
      <c r="BW54" s="52" t="str">
        <f t="shared" si="41"/>
        <v/>
      </c>
      <c r="BX54" s="52" t="str">
        <f t="shared" si="41"/>
        <v/>
      </c>
      <c r="BY54" s="56"/>
      <c r="BZ54" s="97" t="s">
        <v>66</v>
      </c>
      <c r="CA54" s="56"/>
      <c r="CB54" s="10"/>
    </row>
    <row r="55" spans="1:80" s="2" customFormat="1" ht="15.95" hidden="1" customHeight="1" x14ac:dyDescent="0.25">
      <c r="A55" s="157"/>
      <c r="B55" s="149" t="s">
        <v>67</v>
      </c>
      <c r="C55" s="158">
        <f t="shared" ref="C55:AG55" si="42">SUM(C52:C54)</f>
        <v>0</v>
      </c>
      <c r="D55" s="158">
        <f t="shared" si="42"/>
        <v>0</v>
      </c>
      <c r="E55" s="158">
        <f t="shared" si="42"/>
        <v>0</v>
      </c>
      <c r="F55" s="158">
        <f t="shared" si="42"/>
        <v>11.999999999999998</v>
      </c>
      <c r="G55" s="158">
        <f t="shared" si="42"/>
        <v>11.999999999999998</v>
      </c>
      <c r="H55" s="158">
        <f t="shared" si="42"/>
        <v>0</v>
      </c>
      <c r="I55" s="158">
        <f t="shared" si="42"/>
        <v>0</v>
      </c>
      <c r="J55" s="158">
        <f t="shared" si="42"/>
        <v>0</v>
      </c>
      <c r="K55" s="158">
        <f t="shared" si="42"/>
        <v>0</v>
      </c>
      <c r="L55" s="158">
        <f t="shared" si="42"/>
        <v>0</v>
      </c>
      <c r="M55" s="158">
        <f t="shared" si="42"/>
        <v>0</v>
      </c>
      <c r="N55" s="158">
        <f t="shared" si="42"/>
        <v>0</v>
      </c>
      <c r="O55" s="158">
        <f t="shared" si="42"/>
        <v>0</v>
      </c>
      <c r="P55" s="158">
        <f t="shared" si="42"/>
        <v>0</v>
      </c>
      <c r="Q55" s="158">
        <f t="shared" si="42"/>
        <v>0</v>
      </c>
      <c r="R55" s="158">
        <f t="shared" si="42"/>
        <v>0</v>
      </c>
      <c r="S55" s="158">
        <f t="shared" si="42"/>
        <v>7</v>
      </c>
      <c r="T55" s="158">
        <f t="shared" si="42"/>
        <v>12</v>
      </c>
      <c r="U55" s="158">
        <f t="shared" si="42"/>
        <v>5</v>
      </c>
      <c r="V55" s="158">
        <f t="shared" si="42"/>
        <v>0</v>
      </c>
      <c r="W55" s="158">
        <f t="shared" si="42"/>
        <v>0</v>
      </c>
      <c r="X55" s="158">
        <f t="shared" si="42"/>
        <v>0</v>
      </c>
      <c r="Y55" s="158">
        <f t="shared" si="42"/>
        <v>0</v>
      </c>
      <c r="Z55" s="158">
        <f t="shared" si="42"/>
        <v>6</v>
      </c>
      <c r="AA55" s="158">
        <f t="shared" si="42"/>
        <v>0</v>
      </c>
      <c r="AB55" s="158">
        <f t="shared" si="42"/>
        <v>0</v>
      </c>
      <c r="AC55" s="158">
        <f t="shared" si="42"/>
        <v>0</v>
      </c>
      <c r="AD55" s="158">
        <f t="shared" si="42"/>
        <v>0</v>
      </c>
      <c r="AE55" s="158">
        <f t="shared" si="42"/>
        <v>0</v>
      </c>
      <c r="AF55" s="158">
        <f t="shared" si="42"/>
        <v>0</v>
      </c>
      <c r="AG55" s="158">
        <f t="shared" si="42"/>
        <v>0</v>
      </c>
      <c r="AH55" s="154" t="s">
        <v>12</v>
      </c>
      <c r="AI55" s="133"/>
      <c r="AJ55" s="155"/>
      <c r="AK55" s="137"/>
      <c r="AL55" s="137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59"/>
      <c r="BF55" s="10"/>
      <c r="BG55" s="10"/>
      <c r="BH55" s="10"/>
      <c r="BI55" s="10"/>
      <c r="BJ55" s="10"/>
      <c r="BK55" s="10"/>
      <c r="BL55" s="10"/>
      <c r="BM55" s="10"/>
      <c r="BN55" s="10"/>
      <c r="BO55" s="52" t="str">
        <f t="shared" ref="BO55:BX55" si="43">IF(BO54=$AZ48,IF(BO54="",0,$AZ48),"")</f>
        <v/>
      </c>
      <c r="BP55" s="52" t="str">
        <f t="shared" si="43"/>
        <v/>
      </c>
      <c r="BQ55" s="52" t="str">
        <f t="shared" si="43"/>
        <v/>
      </c>
      <c r="BR55" s="52" t="str">
        <f t="shared" si="43"/>
        <v/>
      </c>
      <c r="BS55" s="52" t="str">
        <f t="shared" si="43"/>
        <v/>
      </c>
      <c r="BT55" s="52" t="str">
        <f t="shared" si="43"/>
        <v/>
      </c>
      <c r="BU55" s="52" t="str">
        <f t="shared" si="43"/>
        <v/>
      </c>
      <c r="BV55" s="52" t="str">
        <f t="shared" si="43"/>
        <v/>
      </c>
      <c r="BW55" s="52" t="str">
        <f t="shared" si="43"/>
        <v/>
      </c>
      <c r="BX55" s="52" t="str">
        <f t="shared" si="43"/>
        <v/>
      </c>
      <c r="BY55" s="52">
        <f t="shared" ref="BY55:BY58" si="44">SUM(BO55:BX55)</f>
        <v>0</v>
      </c>
      <c r="BZ55" s="98" t="b">
        <f t="shared" ref="BZ55:BZ58" si="45">IF(BY55=$AZ$48,IF(BY55="",0,31),IF(BY55=$AZ$47,IF(BY55="",0,30),IF(BY55=$AX$48,IF(BY55="",0,29),IF(BY55=$AX$47,IF(BY55="",0,28)))))</f>
        <v>0</v>
      </c>
      <c r="CA55" s="99">
        <v>31</v>
      </c>
      <c r="CB55" s="10"/>
    </row>
    <row r="56" spans="1:80" s="2" customFormat="1" ht="15.95" hidden="1" customHeight="1" x14ac:dyDescent="0.25">
      <c r="A56" s="159"/>
      <c r="B56" s="160" t="s">
        <v>68</v>
      </c>
      <c r="C56" s="161">
        <f t="shared" ref="C56:AG56" si="46">IF(C9="V",IF(C9="",0,1),0)</f>
        <v>0</v>
      </c>
      <c r="D56" s="161">
        <f t="shared" si="46"/>
        <v>0</v>
      </c>
      <c r="E56" s="161">
        <f t="shared" si="46"/>
        <v>0</v>
      </c>
      <c r="F56" s="161">
        <f t="shared" si="46"/>
        <v>0</v>
      </c>
      <c r="G56" s="161">
        <f t="shared" si="46"/>
        <v>0</v>
      </c>
      <c r="H56" s="161">
        <f t="shared" si="46"/>
        <v>0</v>
      </c>
      <c r="I56" s="161">
        <f t="shared" si="46"/>
        <v>0</v>
      </c>
      <c r="J56" s="161">
        <f t="shared" si="46"/>
        <v>0</v>
      </c>
      <c r="K56" s="161">
        <f t="shared" si="46"/>
        <v>0</v>
      </c>
      <c r="L56" s="161">
        <f t="shared" si="46"/>
        <v>0</v>
      </c>
      <c r="M56" s="161">
        <f t="shared" si="46"/>
        <v>0</v>
      </c>
      <c r="N56" s="161">
        <f t="shared" si="46"/>
        <v>0</v>
      </c>
      <c r="O56" s="161">
        <f t="shared" si="46"/>
        <v>0</v>
      </c>
      <c r="P56" s="161">
        <f t="shared" si="46"/>
        <v>0</v>
      </c>
      <c r="Q56" s="161">
        <f t="shared" si="46"/>
        <v>0</v>
      </c>
      <c r="R56" s="161">
        <f t="shared" si="46"/>
        <v>0</v>
      </c>
      <c r="S56" s="161">
        <f t="shared" si="46"/>
        <v>0</v>
      </c>
      <c r="T56" s="161">
        <f t="shared" si="46"/>
        <v>0</v>
      </c>
      <c r="U56" s="161">
        <f t="shared" si="46"/>
        <v>0</v>
      </c>
      <c r="V56" s="161">
        <f t="shared" si="46"/>
        <v>0</v>
      </c>
      <c r="W56" s="161">
        <f t="shared" si="46"/>
        <v>0</v>
      </c>
      <c r="X56" s="161">
        <f t="shared" si="46"/>
        <v>0</v>
      </c>
      <c r="Y56" s="161">
        <f t="shared" si="46"/>
        <v>0</v>
      </c>
      <c r="Z56" s="161">
        <f t="shared" si="46"/>
        <v>0</v>
      </c>
      <c r="AA56" s="161">
        <f t="shared" si="46"/>
        <v>0</v>
      </c>
      <c r="AB56" s="161">
        <f t="shared" si="46"/>
        <v>0</v>
      </c>
      <c r="AC56" s="161">
        <f t="shared" si="46"/>
        <v>0</v>
      </c>
      <c r="AD56" s="161">
        <f t="shared" si="46"/>
        <v>0</v>
      </c>
      <c r="AE56" s="161">
        <f t="shared" si="46"/>
        <v>0</v>
      </c>
      <c r="AF56" s="161">
        <f t="shared" si="46"/>
        <v>0</v>
      </c>
      <c r="AG56" s="161">
        <f t="shared" si="46"/>
        <v>0</v>
      </c>
      <c r="AH56" s="154" t="s">
        <v>12</v>
      </c>
      <c r="AI56" s="133"/>
      <c r="AJ56" s="155"/>
      <c r="AK56" s="137"/>
      <c r="AL56" s="137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59"/>
      <c r="BF56" s="10"/>
      <c r="BG56" s="10"/>
      <c r="BH56" s="10"/>
      <c r="BI56" s="10"/>
      <c r="BJ56" s="10"/>
      <c r="BK56" s="10"/>
      <c r="BL56" s="10"/>
      <c r="BM56" s="10"/>
      <c r="BN56" s="10"/>
      <c r="BO56" s="52" t="str">
        <f t="shared" ref="BO56:BX56" si="47">IF(BO54=$AZ47,IF(BO54="",0,$AZ47),"")</f>
        <v/>
      </c>
      <c r="BP56" s="52" t="str">
        <f t="shared" si="47"/>
        <v/>
      </c>
      <c r="BQ56" s="52" t="str">
        <f t="shared" si="47"/>
        <v/>
      </c>
      <c r="BR56" s="52" t="str">
        <f t="shared" si="47"/>
        <v/>
      </c>
      <c r="BS56" s="52">
        <f t="shared" si="47"/>
        <v>46142</v>
      </c>
      <c r="BT56" s="52" t="str">
        <f t="shared" si="47"/>
        <v/>
      </c>
      <c r="BU56" s="52" t="str">
        <f t="shared" si="47"/>
        <v/>
      </c>
      <c r="BV56" s="52" t="str">
        <f t="shared" si="47"/>
        <v/>
      </c>
      <c r="BW56" s="52" t="str">
        <f t="shared" si="47"/>
        <v/>
      </c>
      <c r="BX56" s="52" t="str">
        <f t="shared" si="47"/>
        <v/>
      </c>
      <c r="BY56" s="52">
        <f t="shared" si="44"/>
        <v>46142</v>
      </c>
      <c r="BZ56" s="98">
        <f t="shared" si="45"/>
        <v>30</v>
      </c>
      <c r="CA56" s="99">
        <v>30</v>
      </c>
      <c r="CB56" s="10"/>
    </row>
    <row r="57" spans="1:80" ht="15.95" hidden="1" customHeight="1" x14ac:dyDescent="0.25">
      <c r="A57" s="129"/>
      <c r="B57" s="162" t="s">
        <v>16</v>
      </c>
      <c r="C57" s="163">
        <f t="shared" ref="C57:AG57" si="48">IF(C9="PR",IF(C9="",0,1),0)</f>
        <v>0</v>
      </c>
      <c r="D57" s="163">
        <f t="shared" si="48"/>
        <v>0</v>
      </c>
      <c r="E57" s="163">
        <f t="shared" si="48"/>
        <v>0</v>
      </c>
      <c r="F57" s="163">
        <f t="shared" si="48"/>
        <v>0</v>
      </c>
      <c r="G57" s="163">
        <f t="shared" si="48"/>
        <v>0</v>
      </c>
      <c r="H57" s="163">
        <f t="shared" si="48"/>
        <v>0</v>
      </c>
      <c r="I57" s="163">
        <f t="shared" si="48"/>
        <v>0</v>
      </c>
      <c r="J57" s="163">
        <f t="shared" si="48"/>
        <v>0</v>
      </c>
      <c r="K57" s="163">
        <f t="shared" si="48"/>
        <v>0</v>
      </c>
      <c r="L57" s="163">
        <f t="shared" si="48"/>
        <v>0</v>
      </c>
      <c r="M57" s="163">
        <f t="shared" si="48"/>
        <v>0</v>
      </c>
      <c r="N57" s="163">
        <f t="shared" si="48"/>
        <v>0</v>
      </c>
      <c r="O57" s="163">
        <f t="shared" si="48"/>
        <v>0</v>
      </c>
      <c r="P57" s="163">
        <f t="shared" si="48"/>
        <v>0</v>
      </c>
      <c r="Q57" s="163">
        <f t="shared" si="48"/>
        <v>0</v>
      </c>
      <c r="R57" s="163">
        <f t="shared" si="48"/>
        <v>0</v>
      </c>
      <c r="S57" s="163">
        <f t="shared" si="48"/>
        <v>0</v>
      </c>
      <c r="T57" s="163">
        <f t="shared" si="48"/>
        <v>0</v>
      </c>
      <c r="U57" s="163">
        <f t="shared" si="48"/>
        <v>0</v>
      </c>
      <c r="V57" s="163">
        <f t="shared" si="48"/>
        <v>0</v>
      </c>
      <c r="W57" s="163">
        <f t="shared" si="48"/>
        <v>0</v>
      </c>
      <c r="X57" s="163">
        <f t="shared" si="48"/>
        <v>0</v>
      </c>
      <c r="Y57" s="163">
        <f t="shared" si="48"/>
        <v>0</v>
      </c>
      <c r="Z57" s="163">
        <f t="shared" si="48"/>
        <v>0</v>
      </c>
      <c r="AA57" s="163">
        <f t="shared" si="48"/>
        <v>0</v>
      </c>
      <c r="AB57" s="163">
        <f t="shared" si="48"/>
        <v>0</v>
      </c>
      <c r="AC57" s="163">
        <f t="shared" si="48"/>
        <v>0</v>
      </c>
      <c r="AD57" s="163">
        <f t="shared" si="48"/>
        <v>0</v>
      </c>
      <c r="AE57" s="163">
        <f t="shared" si="48"/>
        <v>0</v>
      </c>
      <c r="AF57" s="163">
        <f t="shared" si="48"/>
        <v>0</v>
      </c>
      <c r="AG57" s="163">
        <f t="shared" si="48"/>
        <v>0</v>
      </c>
      <c r="AH57" s="233">
        <f>SUM(C57:AG57)</f>
        <v>0</v>
      </c>
      <c r="AI57" s="233"/>
      <c r="AJ57" s="137" t="s">
        <v>69</v>
      </c>
      <c r="AK57" s="133"/>
      <c r="AL57" s="133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59"/>
      <c r="BF57" s="31"/>
      <c r="BG57" s="31"/>
      <c r="BH57" s="31"/>
      <c r="BI57" s="31"/>
      <c r="BJ57" s="31"/>
      <c r="BK57" s="31"/>
      <c r="BL57" s="31"/>
      <c r="BM57" s="31"/>
      <c r="BN57" s="31"/>
      <c r="BO57" s="52" t="str">
        <f t="shared" ref="BO57:BX57" si="49">IF(BO54=$AX48,IF(BO54="",0,$AX48),"")</f>
        <v/>
      </c>
      <c r="BP57" s="52" t="str">
        <f t="shared" si="49"/>
        <v/>
      </c>
      <c r="BQ57" s="52" t="str">
        <f t="shared" si="49"/>
        <v/>
      </c>
      <c r="BR57" s="52">
        <f t="shared" si="49"/>
        <v>46141</v>
      </c>
      <c r="BS57" s="52" t="str">
        <f t="shared" si="49"/>
        <v/>
      </c>
      <c r="BT57" s="52" t="str">
        <f t="shared" si="49"/>
        <v/>
      </c>
      <c r="BU57" s="52" t="str">
        <f t="shared" si="49"/>
        <v/>
      </c>
      <c r="BV57" s="52" t="str">
        <f t="shared" si="49"/>
        <v/>
      </c>
      <c r="BW57" s="52" t="str">
        <f t="shared" si="49"/>
        <v/>
      </c>
      <c r="BX57" s="52" t="str">
        <f t="shared" si="49"/>
        <v/>
      </c>
      <c r="BY57" s="52">
        <f t="shared" si="44"/>
        <v>46141</v>
      </c>
      <c r="BZ57" s="98">
        <f t="shared" si="45"/>
        <v>29</v>
      </c>
      <c r="CA57" s="99">
        <v>29</v>
      </c>
      <c r="CB57" s="31"/>
    </row>
    <row r="58" spans="1:80" s="59" customFormat="1" ht="15.95" hidden="1" customHeight="1" x14ac:dyDescent="0.25">
      <c r="A58" s="164" t="s">
        <v>70</v>
      </c>
      <c r="B58" s="165" t="s">
        <v>29</v>
      </c>
      <c r="C58" s="141">
        <f t="shared" ref="C58:AG58" si="50">IF(C10=$R32,$S32*24,IF(C10=$R33,$S33*24,IF(C10=$R34,$S34*24,IF(C10=$R35,$S35*24,IF(C10=$R36,$S36*24,IF(C10=$R37,$S37*24,IF(C10=$R38,$S38*24,IF(C10=$R39,$S39*24,IF(C10=$R40,$S40*24,"")))))))))</f>
        <v>19</v>
      </c>
      <c r="D58" s="141">
        <f t="shared" si="50"/>
        <v>19</v>
      </c>
      <c r="E58" s="141" t="str">
        <f t="shared" si="50"/>
        <v/>
      </c>
      <c r="F58" s="141" t="str">
        <f t="shared" si="50"/>
        <v/>
      </c>
      <c r="G58" s="141" t="str">
        <f t="shared" si="50"/>
        <v/>
      </c>
      <c r="H58" s="141">
        <f t="shared" si="50"/>
        <v>19</v>
      </c>
      <c r="I58" s="141">
        <f t="shared" si="50"/>
        <v>19</v>
      </c>
      <c r="J58" s="141" t="str">
        <f t="shared" si="50"/>
        <v/>
      </c>
      <c r="K58" s="141" t="str">
        <f t="shared" si="50"/>
        <v/>
      </c>
      <c r="L58" s="141">
        <f t="shared" si="50"/>
        <v>19</v>
      </c>
      <c r="M58" s="141">
        <f t="shared" si="50"/>
        <v>19</v>
      </c>
      <c r="N58" s="141">
        <f t="shared" si="50"/>
        <v>19</v>
      </c>
      <c r="O58" s="141" t="str">
        <f t="shared" si="50"/>
        <v/>
      </c>
      <c r="P58" s="141" t="str">
        <f t="shared" si="50"/>
        <v/>
      </c>
      <c r="Q58" s="141">
        <f t="shared" si="50"/>
        <v>19</v>
      </c>
      <c r="R58" s="141">
        <f t="shared" si="50"/>
        <v>19</v>
      </c>
      <c r="S58" s="141" t="str">
        <f t="shared" si="50"/>
        <v/>
      </c>
      <c r="T58" s="141" t="str">
        <f t="shared" si="50"/>
        <v/>
      </c>
      <c r="U58" s="141" t="str">
        <f t="shared" si="50"/>
        <v/>
      </c>
      <c r="V58" s="141">
        <f t="shared" si="50"/>
        <v>19</v>
      </c>
      <c r="W58" s="141">
        <f t="shared" si="50"/>
        <v>19</v>
      </c>
      <c r="X58" s="141" t="str">
        <f t="shared" si="50"/>
        <v/>
      </c>
      <c r="Y58" s="141" t="str">
        <f t="shared" si="50"/>
        <v/>
      </c>
      <c r="Z58" s="141">
        <f t="shared" si="50"/>
        <v>19</v>
      </c>
      <c r="AA58" s="141">
        <f t="shared" si="50"/>
        <v>19</v>
      </c>
      <c r="AB58" s="141">
        <f t="shared" si="50"/>
        <v>19</v>
      </c>
      <c r="AC58" s="141" t="str">
        <f t="shared" si="50"/>
        <v/>
      </c>
      <c r="AD58" s="141" t="str">
        <f t="shared" si="50"/>
        <v/>
      </c>
      <c r="AE58" s="141">
        <f t="shared" si="50"/>
        <v>19</v>
      </c>
      <c r="AF58" s="141">
        <f t="shared" si="50"/>
        <v>19</v>
      </c>
      <c r="AG58" s="141" t="str">
        <f t="shared" si="50"/>
        <v/>
      </c>
      <c r="AH58" s="154" t="s">
        <v>12</v>
      </c>
      <c r="AI58" s="133"/>
      <c r="AJ58" s="137"/>
      <c r="AK58" s="137"/>
      <c r="AL58" s="137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1"/>
      <c r="BF58" s="56"/>
      <c r="BG58" s="56"/>
      <c r="BH58" s="56"/>
      <c r="BI58" s="56"/>
      <c r="BJ58" s="56"/>
      <c r="BK58" s="56"/>
      <c r="BL58" s="56"/>
      <c r="BM58" s="56"/>
      <c r="BN58" s="56"/>
      <c r="BO58" s="52" t="str">
        <f t="shared" ref="BO58:BX58" si="51">IF(BO54=$AX47,IF(BO54="",0,$AX47),"")</f>
        <v/>
      </c>
      <c r="BP58" s="52" t="str">
        <f t="shared" si="51"/>
        <v/>
      </c>
      <c r="BQ58" s="52">
        <f t="shared" si="51"/>
        <v>46140</v>
      </c>
      <c r="BR58" s="52" t="str">
        <f t="shared" si="51"/>
        <v/>
      </c>
      <c r="BS58" s="52" t="str">
        <f t="shared" si="51"/>
        <v/>
      </c>
      <c r="BT58" s="52" t="str">
        <f t="shared" si="51"/>
        <v/>
      </c>
      <c r="BU58" s="52" t="str">
        <f t="shared" si="51"/>
        <v/>
      </c>
      <c r="BV58" s="52" t="str">
        <f t="shared" si="51"/>
        <v/>
      </c>
      <c r="BW58" s="52" t="str">
        <f t="shared" si="51"/>
        <v/>
      </c>
      <c r="BX58" s="52" t="str">
        <f t="shared" si="51"/>
        <v/>
      </c>
      <c r="BY58" s="52">
        <f t="shared" si="44"/>
        <v>46140</v>
      </c>
      <c r="BZ58" s="52">
        <f t="shared" si="45"/>
        <v>28</v>
      </c>
      <c r="CA58" s="99">
        <v>28</v>
      </c>
      <c r="CB58" s="56"/>
    </row>
    <row r="59" spans="1:80" s="59" customFormat="1" ht="15.95" hidden="1" customHeight="1" x14ac:dyDescent="0.25">
      <c r="A59" s="166" t="s">
        <v>71</v>
      </c>
      <c r="B59" s="167" t="s">
        <v>30</v>
      </c>
      <c r="C59" s="141">
        <f t="shared" ref="C59:AG59" si="52">IF(C10=$R32,$V32*24,IF(C10=$R33,$V33*24,IF(C10=$R34,$V34*24,IF(C10=$R35,$V35*24,IF(C10=$R36,$V36*24,IF(C10=$R37,$V37*24,IF(C10=$R38,$V38*24,IF(C10=$R39,$V39*24,IF(C10=$R40,$V40*24,"")))))))))</f>
        <v>7</v>
      </c>
      <c r="D59" s="141">
        <f t="shared" si="52"/>
        <v>7</v>
      </c>
      <c r="E59" s="141" t="str">
        <f t="shared" si="52"/>
        <v/>
      </c>
      <c r="F59" s="141" t="str">
        <f t="shared" si="52"/>
        <v/>
      </c>
      <c r="G59" s="141" t="str">
        <f t="shared" si="52"/>
        <v/>
      </c>
      <c r="H59" s="141">
        <f t="shared" si="52"/>
        <v>7</v>
      </c>
      <c r="I59" s="141">
        <f t="shared" si="52"/>
        <v>7</v>
      </c>
      <c r="J59" s="141" t="str">
        <f t="shared" si="52"/>
        <v/>
      </c>
      <c r="K59" s="141" t="str">
        <f t="shared" si="52"/>
        <v/>
      </c>
      <c r="L59" s="141">
        <f t="shared" si="52"/>
        <v>7</v>
      </c>
      <c r="M59" s="141">
        <f t="shared" si="52"/>
        <v>7</v>
      </c>
      <c r="N59" s="141">
        <f t="shared" si="52"/>
        <v>7</v>
      </c>
      <c r="O59" s="141" t="str">
        <f t="shared" si="52"/>
        <v/>
      </c>
      <c r="P59" s="141" t="str">
        <f t="shared" si="52"/>
        <v/>
      </c>
      <c r="Q59" s="141">
        <f t="shared" si="52"/>
        <v>7</v>
      </c>
      <c r="R59" s="141">
        <f t="shared" si="52"/>
        <v>7</v>
      </c>
      <c r="S59" s="141" t="str">
        <f t="shared" si="52"/>
        <v/>
      </c>
      <c r="T59" s="141" t="str">
        <f t="shared" si="52"/>
        <v/>
      </c>
      <c r="U59" s="141" t="str">
        <f t="shared" si="52"/>
        <v/>
      </c>
      <c r="V59" s="141">
        <f t="shared" si="52"/>
        <v>7</v>
      </c>
      <c r="W59" s="141">
        <f t="shared" si="52"/>
        <v>7</v>
      </c>
      <c r="X59" s="141" t="str">
        <f t="shared" si="52"/>
        <v/>
      </c>
      <c r="Y59" s="141" t="str">
        <f t="shared" si="52"/>
        <v/>
      </c>
      <c r="Z59" s="141">
        <f t="shared" si="52"/>
        <v>7</v>
      </c>
      <c r="AA59" s="141">
        <f t="shared" si="52"/>
        <v>7</v>
      </c>
      <c r="AB59" s="141">
        <f t="shared" si="52"/>
        <v>7</v>
      </c>
      <c r="AC59" s="141" t="str">
        <f t="shared" si="52"/>
        <v/>
      </c>
      <c r="AD59" s="141" t="str">
        <f t="shared" si="52"/>
        <v/>
      </c>
      <c r="AE59" s="141">
        <f t="shared" si="52"/>
        <v>7</v>
      </c>
      <c r="AF59" s="141">
        <f t="shared" si="52"/>
        <v>7</v>
      </c>
      <c r="AG59" s="141" t="str">
        <f t="shared" si="52"/>
        <v/>
      </c>
      <c r="AH59" s="154" t="s">
        <v>12</v>
      </c>
      <c r="AI59" s="133"/>
      <c r="AJ59" s="137"/>
      <c r="AK59" s="137"/>
      <c r="AL59" s="137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1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100" t="s">
        <v>56</v>
      </c>
      <c r="BZ59" s="52">
        <f>SUM(BZ55:BZ58)</f>
        <v>87</v>
      </c>
      <c r="CA59" s="53">
        <f>IF(BZ59=118,31,IF(BZ59=90,31,IF(BZ59=61,31,IF(BZ59=31,31,IF(BZ59=87,30,IF(BZ59=59,30,IF(BZ59=30,30,IF(BZ59=57,29,IF(BZ59=29,29,IF(BZ59=28,28,""))))))))))</f>
        <v>30</v>
      </c>
      <c r="CB59" s="10"/>
    </row>
    <row r="60" spans="1:80" s="59" customFormat="1" ht="15.95" hidden="1" customHeight="1" x14ac:dyDescent="0.25">
      <c r="A60" s="153"/>
      <c r="B60" s="168" t="s">
        <v>34</v>
      </c>
      <c r="C60" s="169">
        <f t="shared" ref="C60:AD60" si="53">IF(C10=$R32,$BD32*24,IF(C10=$R33,$BD33*24,IF(C10=$R34,$BD34*24,IF(C10=$R35,$BD35*24,IF(C10=$R36,$BD36*24,IF(C10=$R37,$BD37*24,IF(C10=$R38,$BD38*24,IF(C10=$R39,$BD39*24,IF(C10=$R40,$BD40*24,"")))))))))</f>
        <v>8</v>
      </c>
      <c r="D60" s="169">
        <f t="shared" si="53"/>
        <v>8</v>
      </c>
      <c r="E60" s="169" t="str">
        <f t="shared" si="53"/>
        <v/>
      </c>
      <c r="F60" s="169" t="str">
        <f t="shared" si="53"/>
        <v/>
      </c>
      <c r="G60" s="169" t="str">
        <f t="shared" si="53"/>
        <v/>
      </c>
      <c r="H60" s="169">
        <f t="shared" si="53"/>
        <v>8</v>
      </c>
      <c r="I60" s="169">
        <f t="shared" si="53"/>
        <v>8</v>
      </c>
      <c r="J60" s="169" t="str">
        <f t="shared" si="53"/>
        <v/>
      </c>
      <c r="K60" s="169" t="str">
        <f t="shared" si="53"/>
        <v/>
      </c>
      <c r="L60" s="169">
        <f t="shared" si="53"/>
        <v>8</v>
      </c>
      <c r="M60" s="169">
        <f t="shared" si="53"/>
        <v>8</v>
      </c>
      <c r="N60" s="169">
        <f t="shared" si="53"/>
        <v>8</v>
      </c>
      <c r="O60" s="169" t="str">
        <f t="shared" si="53"/>
        <v/>
      </c>
      <c r="P60" s="169" t="str">
        <f t="shared" si="53"/>
        <v/>
      </c>
      <c r="Q60" s="169">
        <f t="shared" si="53"/>
        <v>8</v>
      </c>
      <c r="R60" s="169">
        <f t="shared" si="53"/>
        <v>8</v>
      </c>
      <c r="S60" s="169" t="str">
        <f t="shared" si="53"/>
        <v/>
      </c>
      <c r="T60" s="169" t="str">
        <f t="shared" si="53"/>
        <v/>
      </c>
      <c r="U60" s="169" t="str">
        <f t="shared" si="53"/>
        <v/>
      </c>
      <c r="V60" s="169">
        <f t="shared" si="53"/>
        <v>8</v>
      </c>
      <c r="W60" s="169">
        <f t="shared" si="53"/>
        <v>8</v>
      </c>
      <c r="X60" s="169" t="str">
        <f t="shared" si="53"/>
        <v/>
      </c>
      <c r="Y60" s="169" t="str">
        <f t="shared" si="53"/>
        <v/>
      </c>
      <c r="Z60" s="169">
        <f t="shared" si="53"/>
        <v>8</v>
      </c>
      <c r="AA60" s="169">
        <f t="shared" si="53"/>
        <v>8</v>
      </c>
      <c r="AB60" s="169">
        <f t="shared" si="53"/>
        <v>8</v>
      </c>
      <c r="AC60" s="169" t="str">
        <f t="shared" si="53"/>
        <v/>
      </c>
      <c r="AD60" s="169" t="str">
        <f t="shared" si="53"/>
        <v/>
      </c>
      <c r="AE60" s="169">
        <f>IF(AE10=$R32,$BD32*24,IF(AE10=$R33,$BD33*24,IF(AE10=$R34,$BD34*24,IF(AE10=$R35,$BD35*24,IF(AE10=$R36,$BD36*24,IF(AE10=$R37,$BD37*24,IF(AE10=$R38,$BD38*24,IF(AE10=$R39,$BD39*24,IF(AE10=$R40,$BD40*24,"")))))))))</f>
        <v>8</v>
      </c>
      <c r="AF60" s="169">
        <f>IF(AF10=$R32,$BD32*24,IF(AF10=$R33,$BD33*24,IF(AF10=$R34,$BD34*24,IF(AF10=$R35,$BD35*24,IF(AF10=$R36,$BD36*24,IF(AF10=$R37,$BD37*24,IF(AF10=$R38,$BD38*24,IF(AF10=$R39,$BD39*24,IF(AF10=$R40,$BD40*24,"")))))))))</f>
        <v>8</v>
      </c>
      <c r="AG60" s="169" t="str">
        <f>IF(AG10=$R32,$BD32*24,IF(AG10=$R33,$BD33*24,IF(AG10=$R34,$BD34*24,IF(AG10=$R35,$BD35*24,IF(AG10=$R36,$BD36*24,IF(AG10=$R37,$BD37*24,IF(AG10=$R38,$BD38*24,IF(AG10=$R39,$BD39*24,IF(AG10=$R40,$BD40*24,"")))))))))</f>
        <v/>
      </c>
      <c r="AH60" s="148">
        <f>SUM(C60:AG60)</f>
        <v>128</v>
      </c>
      <c r="AI60" s="133"/>
      <c r="AJ60" s="137"/>
      <c r="AK60" s="137"/>
      <c r="AL60" s="137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1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101">
        <f>CA59</f>
        <v>30</v>
      </c>
      <c r="CB60" s="56"/>
    </row>
    <row r="61" spans="1:80" s="59" customFormat="1" ht="15.95" hidden="1" customHeight="1" x14ac:dyDescent="0.25">
      <c r="A61" s="153"/>
      <c r="B61" s="167" t="s">
        <v>59</v>
      </c>
      <c r="C61" s="141">
        <f t="shared" ref="C61:AG61" si="54">IF(C10="V",$C36,IF(C10="PR",$C38,0))</f>
        <v>0</v>
      </c>
      <c r="D61" s="141">
        <f t="shared" si="54"/>
        <v>0</v>
      </c>
      <c r="E61" s="141">
        <f t="shared" si="54"/>
        <v>0</v>
      </c>
      <c r="F61" s="141">
        <f t="shared" si="54"/>
        <v>0</v>
      </c>
      <c r="G61" s="141">
        <f t="shared" si="54"/>
        <v>0</v>
      </c>
      <c r="H61" s="141">
        <f t="shared" si="54"/>
        <v>0</v>
      </c>
      <c r="I61" s="141">
        <f t="shared" si="54"/>
        <v>0</v>
      </c>
      <c r="J61" s="141">
        <f t="shared" si="54"/>
        <v>0</v>
      </c>
      <c r="K61" s="141">
        <f t="shared" si="54"/>
        <v>0</v>
      </c>
      <c r="L61" s="141">
        <f t="shared" si="54"/>
        <v>0</v>
      </c>
      <c r="M61" s="141">
        <f t="shared" si="54"/>
        <v>0</v>
      </c>
      <c r="N61" s="141">
        <f t="shared" si="54"/>
        <v>0</v>
      </c>
      <c r="O61" s="141">
        <f t="shared" si="54"/>
        <v>0</v>
      </c>
      <c r="P61" s="141">
        <f t="shared" si="54"/>
        <v>0</v>
      </c>
      <c r="Q61" s="141">
        <f t="shared" si="54"/>
        <v>0</v>
      </c>
      <c r="R61" s="141">
        <f t="shared" si="54"/>
        <v>0</v>
      </c>
      <c r="S61" s="141">
        <f t="shared" si="54"/>
        <v>0</v>
      </c>
      <c r="T61" s="141">
        <f t="shared" si="54"/>
        <v>0</v>
      </c>
      <c r="U61" s="141">
        <f t="shared" si="54"/>
        <v>0</v>
      </c>
      <c r="V61" s="141">
        <f t="shared" si="54"/>
        <v>0</v>
      </c>
      <c r="W61" s="141">
        <f t="shared" si="54"/>
        <v>0</v>
      </c>
      <c r="X61" s="141">
        <f t="shared" si="54"/>
        <v>0</v>
      </c>
      <c r="Y61" s="141">
        <f t="shared" si="54"/>
        <v>0</v>
      </c>
      <c r="Z61" s="141">
        <f t="shared" si="54"/>
        <v>0</v>
      </c>
      <c r="AA61" s="141">
        <f t="shared" si="54"/>
        <v>0</v>
      </c>
      <c r="AB61" s="141">
        <f t="shared" si="54"/>
        <v>0</v>
      </c>
      <c r="AC61" s="141">
        <f t="shared" si="54"/>
        <v>0</v>
      </c>
      <c r="AD61" s="141">
        <f t="shared" si="54"/>
        <v>0</v>
      </c>
      <c r="AE61" s="141">
        <f t="shared" si="54"/>
        <v>0</v>
      </c>
      <c r="AF61" s="141">
        <f t="shared" si="54"/>
        <v>0</v>
      </c>
      <c r="AG61" s="141">
        <f t="shared" si="54"/>
        <v>0</v>
      </c>
      <c r="AH61" s="226">
        <f>SUM(C61:AG61)</f>
        <v>0</v>
      </c>
      <c r="AI61" s="226"/>
      <c r="AJ61" s="137" t="s">
        <v>12</v>
      </c>
      <c r="AK61" s="137"/>
      <c r="AL61" s="137"/>
      <c r="BE61" s="1"/>
      <c r="BU61" s="60" t="str">
        <f>BS50</f>
        <v>ju</v>
      </c>
      <c r="BV61" s="60" t="str">
        <f>BT50</f>
        <v>vi</v>
      </c>
      <c r="BW61" s="60" t="str">
        <f>BU50</f>
        <v>sa</v>
      </c>
      <c r="BX61" s="60" t="str">
        <f>BV50</f>
        <v>do</v>
      </c>
      <c r="BY61" s="60" t="str">
        <f>BW50</f>
        <v>lu</v>
      </c>
    </row>
    <row r="62" spans="1:80" s="59" customFormat="1" ht="15.95" hidden="1" customHeight="1" x14ac:dyDescent="0.25">
      <c r="A62" s="150" t="s">
        <v>60</v>
      </c>
      <c r="B62" s="167" t="s">
        <v>61</v>
      </c>
      <c r="C62" s="151">
        <f t="shared" ref="C62:AD62" si="55">IF(C10=$R32,$BC32,IF(C10=$R33,$BC33,IF(C10=$R34,$BC34,IF(C10=$R35,$BC35,IF(C10=$R36,$BC36,IF(C10=$R37,$BC37,IF(C10=$R38,$BC38,IF(C10=$R39,$BC39,IF(C10=$R40,$BC40,0)))))))))</f>
        <v>12</v>
      </c>
      <c r="D62" s="151">
        <f t="shared" si="55"/>
        <v>12</v>
      </c>
      <c r="E62" s="151">
        <f t="shared" si="55"/>
        <v>0</v>
      </c>
      <c r="F62" s="151">
        <f t="shared" si="55"/>
        <v>0</v>
      </c>
      <c r="G62" s="151">
        <f t="shared" si="55"/>
        <v>0</v>
      </c>
      <c r="H62" s="151">
        <f t="shared" si="55"/>
        <v>12</v>
      </c>
      <c r="I62" s="151">
        <f t="shared" si="55"/>
        <v>12</v>
      </c>
      <c r="J62" s="151">
        <f t="shared" si="55"/>
        <v>0</v>
      </c>
      <c r="K62" s="151">
        <f t="shared" si="55"/>
        <v>0</v>
      </c>
      <c r="L62" s="151">
        <f t="shared" si="55"/>
        <v>12</v>
      </c>
      <c r="M62" s="151">
        <f t="shared" si="55"/>
        <v>12</v>
      </c>
      <c r="N62" s="151">
        <f t="shared" si="55"/>
        <v>12</v>
      </c>
      <c r="O62" s="151">
        <f t="shared" si="55"/>
        <v>0</v>
      </c>
      <c r="P62" s="151">
        <f t="shared" si="55"/>
        <v>0</v>
      </c>
      <c r="Q62" s="151">
        <f t="shared" si="55"/>
        <v>12</v>
      </c>
      <c r="R62" s="151">
        <f t="shared" si="55"/>
        <v>12</v>
      </c>
      <c r="S62" s="151">
        <f t="shared" si="55"/>
        <v>0</v>
      </c>
      <c r="T62" s="151">
        <f t="shared" si="55"/>
        <v>0</v>
      </c>
      <c r="U62" s="151">
        <f t="shared" si="55"/>
        <v>0</v>
      </c>
      <c r="V62" s="151">
        <f t="shared" si="55"/>
        <v>12</v>
      </c>
      <c r="W62" s="151">
        <f t="shared" si="55"/>
        <v>12</v>
      </c>
      <c r="X62" s="151">
        <f t="shared" si="55"/>
        <v>0</v>
      </c>
      <c r="Y62" s="151">
        <f t="shared" si="55"/>
        <v>0</v>
      </c>
      <c r="Z62" s="151">
        <f t="shared" si="55"/>
        <v>12</v>
      </c>
      <c r="AA62" s="151">
        <f t="shared" si="55"/>
        <v>12</v>
      </c>
      <c r="AB62" s="151">
        <f t="shared" si="55"/>
        <v>12</v>
      </c>
      <c r="AC62" s="151">
        <f t="shared" si="55"/>
        <v>0</v>
      </c>
      <c r="AD62" s="151">
        <f t="shared" si="55"/>
        <v>0</v>
      </c>
      <c r="AE62" s="151">
        <f>IF(AE10=$R32,$BC32,IF(AE10=$R33,$BC33,IF(AE10=$R34,$BC34,IF(AE10=$R35,$BC35,IF(AE10=$R36,$BC36,IF(AE10=$R37,$BC37,IF(AE10=$R38,$BC38,IF(AE10=$R39,$BC39,IF(AE10=$R40,$BC40,0)))))))))</f>
        <v>12</v>
      </c>
      <c r="AF62" s="151">
        <f>IF(AF10=$R32,$BC32,IF(AF10=$R33,$BC33,IF(AF10=$R34,$BC34,IF(AF10=$R35,$BC35,IF(AF10=$R36,$BC36,IF(AF10=$R37,$BC37,IF(AF10=$R38,$BC38,IF(AF10=$R39,$BC39,IF(AF10=$R40,$BC40,0)))))))))</f>
        <v>12</v>
      </c>
      <c r="AG62" s="151">
        <f>IF(AG10=$R32,$BC32,IF(AG10=$R33,$BC33,IF(AG10=$R34,$BC34,IF(AG10=$R35,$BC35,IF(AG10=$R36,$BC36,IF(AG10=$R37,$BC37,IF(AG10=$R38,$BC38,IF(AG10=$R39,$BC39,IF(AG10=$R40,$BC40,0)))))))))</f>
        <v>0</v>
      </c>
      <c r="AH62" s="226">
        <f>SUM(C62:AG62)</f>
        <v>192</v>
      </c>
      <c r="AI62" s="226"/>
      <c r="AJ62" s="137" t="s">
        <v>62</v>
      </c>
      <c r="AK62" s="137" t="s">
        <v>12</v>
      </c>
      <c r="AL62" s="137"/>
      <c r="BE62" s="1"/>
      <c r="BU62" s="61">
        <v>28</v>
      </c>
      <c r="BV62" s="61">
        <v>29</v>
      </c>
      <c r="BW62" s="61">
        <v>30</v>
      </c>
      <c r="BX62" s="61">
        <v>31</v>
      </c>
      <c r="BY62" s="61">
        <v>1</v>
      </c>
    </row>
    <row r="63" spans="1:80" s="59" customFormat="1" ht="15.95" hidden="1" customHeight="1" x14ac:dyDescent="0.25">
      <c r="A63" s="153" t="s">
        <v>48</v>
      </c>
      <c r="B63" s="149" t="s">
        <v>63</v>
      </c>
      <c r="C63" s="141" t="b">
        <f t="shared" ref="C63:AG63" si="56">IF(C46=1,IF(C58&lt;C59,C62,0))</f>
        <v>0</v>
      </c>
      <c r="D63" s="141" t="b">
        <f t="shared" si="56"/>
        <v>0</v>
      </c>
      <c r="E63" s="141" t="b">
        <f t="shared" si="56"/>
        <v>0</v>
      </c>
      <c r="F63" s="141">
        <f t="shared" si="56"/>
        <v>0</v>
      </c>
      <c r="G63" s="141">
        <f t="shared" si="56"/>
        <v>0</v>
      </c>
      <c r="H63" s="141" t="b">
        <f t="shared" si="56"/>
        <v>0</v>
      </c>
      <c r="I63" s="141" t="b">
        <f t="shared" si="56"/>
        <v>0</v>
      </c>
      <c r="J63" s="141" t="b">
        <f t="shared" si="56"/>
        <v>0</v>
      </c>
      <c r="K63" s="141" t="b">
        <f t="shared" si="56"/>
        <v>0</v>
      </c>
      <c r="L63" s="141" t="b">
        <f t="shared" si="56"/>
        <v>0</v>
      </c>
      <c r="M63" s="141">
        <f t="shared" si="56"/>
        <v>0</v>
      </c>
      <c r="N63" s="141">
        <f t="shared" si="56"/>
        <v>0</v>
      </c>
      <c r="O63" s="141" t="b">
        <f t="shared" si="56"/>
        <v>0</v>
      </c>
      <c r="P63" s="141" t="b">
        <f t="shared" si="56"/>
        <v>0</v>
      </c>
      <c r="Q63" s="141" t="b">
        <f t="shared" si="56"/>
        <v>0</v>
      </c>
      <c r="R63" s="141" t="b">
        <f t="shared" si="56"/>
        <v>0</v>
      </c>
      <c r="S63" s="141" t="b">
        <f t="shared" si="56"/>
        <v>0</v>
      </c>
      <c r="T63" s="141">
        <f t="shared" si="56"/>
        <v>0</v>
      </c>
      <c r="U63" s="141">
        <f t="shared" si="56"/>
        <v>0</v>
      </c>
      <c r="V63" s="141" t="b">
        <f t="shared" si="56"/>
        <v>0</v>
      </c>
      <c r="W63" s="141" t="b">
        <f t="shared" si="56"/>
        <v>0</v>
      </c>
      <c r="X63" s="141" t="b">
        <f t="shared" si="56"/>
        <v>0</v>
      </c>
      <c r="Y63" s="141" t="b">
        <f t="shared" si="56"/>
        <v>0</v>
      </c>
      <c r="Z63" s="141" t="b">
        <f t="shared" si="56"/>
        <v>0</v>
      </c>
      <c r="AA63" s="141">
        <f t="shared" si="56"/>
        <v>0</v>
      </c>
      <c r="AB63" s="141">
        <f t="shared" si="56"/>
        <v>0</v>
      </c>
      <c r="AC63" s="141" t="b">
        <f t="shared" si="56"/>
        <v>0</v>
      </c>
      <c r="AD63" s="141" t="b">
        <f t="shared" si="56"/>
        <v>0</v>
      </c>
      <c r="AE63" s="141" t="b">
        <f t="shared" si="56"/>
        <v>0</v>
      </c>
      <c r="AF63" s="141" t="b">
        <f t="shared" si="56"/>
        <v>0</v>
      </c>
      <c r="AG63" s="141" t="b">
        <f t="shared" si="56"/>
        <v>0</v>
      </c>
      <c r="AH63" s="142" t="s">
        <v>12</v>
      </c>
      <c r="AI63" s="133"/>
      <c r="AJ63" s="137"/>
      <c r="AK63" s="137"/>
      <c r="AL63" s="137"/>
      <c r="BE63" s="1"/>
      <c r="BV63" s="102" t="str">
        <f>IF(CA59=28,IF(CA59="",0,1),IF(CA59=1,IF(CA59="",0,1),""))</f>
        <v/>
      </c>
      <c r="BW63" s="102" t="str">
        <f>IF(CA59=29,IF(CA59="",0,1),IF(CA59=1,IF(CA59="",0,1),""))</f>
        <v/>
      </c>
      <c r="BX63" s="102">
        <f>IF(CA59=30,IF(CA59="",0,1),IF(CA59=1,IF(CA59="",0,1),""))</f>
        <v>1</v>
      </c>
      <c r="BY63" s="102" t="str">
        <f>IF(CA59=31,IF(CA59="",0,1),IF(CA59=1,IF(CA59="",0,1),""))</f>
        <v/>
      </c>
    </row>
    <row r="64" spans="1:80" ht="15.95" hidden="1" customHeight="1" x14ac:dyDescent="0.25">
      <c r="A64" s="153"/>
      <c r="B64" s="149" t="s">
        <v>64</v>
      </c>
      <c r="C64" s="141">
        <f t="shared" ref="C64:AG64" si="57">IF(C46=1,IF(C58&gt;C59,24-C58,0),0)</f>
        <v>0</v>
      </c>
      <c r="D64" s="141">
        <f t="shared" si="57"/>
        <v>0</v>
      </c>
      <c r="E64" s="141">
        <f t="shared" si="57"/>
        <v>0</v>
      </c>
      <c r="F64" s="141">
        <f t="shared" si="57"/>
        <v>0</v>
      </c>
      <c r="G64" s="141">
        <f t="shared" si="57"/>
        <v>0</v>
      </c>
      <c r="H64" s="141">
        <f t="shared" si="57"/>
        <v>0</v>
      </c>
      <c r="I64" s="141">
        <f t="shared" si="57"/>
        <v>0</v>
      </c>
      <c r="J64" s="141">
        <f t="shared" si="57"/>
        <v>0</v>
      </c>
      <c r="K64" s="141">
        <f t="shared" si="57"/>
        <v>0</v>
      </c>
      <c r="L64" s="141">
        <f t="shared" si="57"/>
        <v>0</v>
      </c>
      <c r="M64" s="141">
        <f t="shared" si="57"/>
        <v>5</v>
      </c>
      <c r="N64" s="141">
        <f t="shared" si="57"/>
        <v>5</v>
      </c>
      <c r="O64" s="141">
        <f t="shared" si="57"/>
        <v>0</v>
      </c>
      <c r="P64" s="141">
        <f t="shared" si="57"/>
        <v>0</v>
      </c>
      <c r="Q64" s="141">
        <f t="shared" si="57"/>
        <v>0</v>
      </c>
      <c r="R64" s="141">
        <f t="shared" si="57"/>
        <v>0</v>
      </c>
      <c r="S64" s="141">
        <f t="shared" si="57"/>
        <v>0</v>
      </c>
      <c r="T64" s="141">
        <f t="shared" si="57"/>
        <v>0</v>
      </c>
      <c r="U64" s="141">
        <f t="shared" si="57"/>
        <v>0</v>
      </c>
      <c r="V64" s="141">
        <f t="shared" si="57"/>
        <v>0</v>
      </c>
      <c r="W64" s="141">
        <f t="shared" si="57"/>
        <v>0</v>
      </c>
      <c r="X64" s="141">
        <f t="shared" si="57"/>
        <v>0</v>
      </c>
      <c r="Y64" s="141">
        <f t="shared" si="57"/>
        <v>0</v>
      </c>
      <c r="Z64" s="141">
        <f t="shared" si="57"/>
        <v>0</v>
      </c>
      <c r="AA64" s="141">
        <f t="shared" si="57"/>
        <v>5</v>
      </c>
      <c r="AB64" s="141">
        <f t="shared" si="57"/>
        <v>5</v>
      </c>
      <c r="AC64" s="141">
        <f t="shared" si="57"/>
        <v>0</v>
      </c>
      <c r="AD64" s="141">
        <f t="shared" si="57"/>
        <v>0</v>
      </c>
      <c r="AE64" s="141">
        <f t="shared" si="57"/>
        <v>0</v>
      </c>
      <c r="AF64" s="141">
        <f t="shared" si="57"/>
        <v>0</v>
      </c>
      <c r="AG64" s="141">
        <f t="shared" si="57"/>
        <v>0</v>
      </c>
      <c r="AH64" s="142" t="s">
        <v>12</v>
      </c>
      <c r="AI64" s="133"/>
      <c r="AJ64" s="170"/>
      <c r="AK64" s="133"/>
      <c r="AL64" s="133"/>
      <c r="BU64" s="45" t="s">
        <v>72</v>
      </c>
      <c r="BV64" s="102" t="b">
        <f>IF(BV61="sa",IF(BV61="",0,"1"),IF(BV61="do",IF(BV61="",0,"1")))</f>
        <v>0</v>
      </c>
      <c r="BW64" s="102" t="str">
        <f>IF(BW61="sa",IF(BW61="",0,"1"),IF(BW61="do",IF(BW61="",0,"1")))</f>
        <v>1</v>
      </c>
      <c r="BX64" s="102" t="str">
        <f>IF(BX61="sa",IF(BX61="",0,"1"),IF(BX61="do",IF(BX61="",0,"1")))</f>
        <v>1</v>
      </c>
      <c r="BY64" s="102" t="b">
        <f>IF(BY61="sa",IF(BY61="",0,"1"),IF(BY61="do",IF(BY61="",0,"1")))</f>
        <v>0</v>
      </c>
    </row>
    <row r="65" spans="1:77" ht="15.95" hidden="1" customHeight="1" x14ac:dyDescent="0.25">
      <c r="A65" s="153"/>
      <c r="B65" s="149" t="s">
        <v>65</v>
      </c>
      <c r="C65" s="141">
        <f t="shared" ref="C65:AG65" si="58">IF(D46=1,IF(C58&gt;C59,C59,0),0)</f>
        <v>0</v>
      </c>
      <c r="D65" s="141">
        <f t="shared" si="58"/>
        <v>0</v>
      </c>
      <c r="E65" s="141">
        <f t="shared" si="58"/>
        <v>0</v>
      </c>
      <c r="F65" s="141">
        <f t="shared" si="58"/>
        <v>0</v>
      </c>
      <c r="G65" s="141">
        <f t="shared" si="58"/>
        <v>0</v>
      </c>
      <c r="H65" s="141">
        <f t="shared" si="58"/>
        <v>0</v>
      </c>
      <c r="I65" s="141">
        <f t="shared" si="58"/>
        <v>0</v>
      </c>
      <c r="J65" s="141">
        <f t="shared" si="58"/>
        <v>0</v>
      </c>
      <c r="K65" s="141">
        <f t="shared" si="58"/>
        <v>0</v>
      </c>
      <c r="L65" s="141">
        <f t="shared" si="58"/>
        <v>7</v>
      </c>
      <c r="M65" s="141">
        <f t="shared" si="58"/>
        <v>7</v>
      </c>
      <c r="N65" s="141">
        <f t="shared" si="58"/>
        <v>0</v>
      </c>
      <c r="O65" s="141">
        <f t="shared" si="58"/>
        <v>0</v>
      </c>
      <c r="P65" s="141">
        <f t="shared" si="58"/>
        <v>0</v>
      </c>
      <c r="Q65" s="141">
        <f t="shared" si="58"/>
        <v>0</v>
      </c>
      <c r="R65" s="141">
        <f t="shared" si="58"/>
        <v>0</v>
      </c>
      <c r="S65" s="141">
        <f t="shared" si="58"/>
        <v>0</v>
      </c>
      <c r="T65" s="141">
        <f t="shared" si="58"/>
        <v>0</v>
      </c>
      <c r="U65" s="141">
        <f t="shared" si="58"/>
        <v>0</v>
      </c>
      <c r="V65" s="141">
        <f t="shared" si="58"/>
        <v>0</v>
      </c>
      <c r="W65" s="141">
        <f t="shared" si="58"/>
        <v>0</v>
      </c>
      <c r="X65" s="141">
        <f>IF(Y46=1,IF(X58&gt;X59,X59,0),0)</f>
        <v>0</v>
      </c>
      <c r="Y65" s="141">
        <f t="shared" si="58"/>
        <v>0</v>
      </c>
      <c r="Z65" s="141">
        <f t="shared" si="58"/>
        <v>7</v>
      </c>
      <c r="AA65" s="141">
        <f t="shared" si="58"/>
        <v>7</v>
      </c>
      <c r="AB65" s="141">
        <f t="shared" si="58"/>
        <v>0</v>
      </c>
      <c r="AC65" s="141">
        <f t="shared" si="58"/>
        <v>0</v>
      </c>
      <c r="AD65" s="141">
        <f t="shared" si="58"/>
        <v>0</v>
      </c>
      <c r="AE65" s="141">
        <f t="shared" si="58"/>
        <v>0</v>
      </c>
      <c r="AF65" s="141">
        <f t="shared" si="58"/>
        <v>0</v>
      </c>
      <c r="AG65" s="141">
        <f t="shared" si="58"/>
        <v>0</v>
      </c>
      <c r="AH65" s="142" t="s">
        <v>12</v>
      </c>
      <c r="AI65" s="133"/>
      <c r="AJ65" s="170"/>
      <c r="AK65" s="133"/>
      <c r="AL65" s="133"/>
    </row>
    <row r="66" spans="1:77" ht="15.95" hidden="1" customHeight="1" x14ac:dyDescent="0.25">
      <c r="A66" s="153"/>
      <c r="B66" s="149" t="s">
        <v>67</v>
      </c>
      <c r="C66" s="171">
        <f t="shared" ref="C66:AG66" si="59">SUM(C63:C65)</f>
        <v>0</v>
      </c>
      <c r="D66" s="171">
        <f t="shared" si="59"/>
        <v>0</v>
      </c>
      <c r="E66" s="171">
        <f t="shared" si="59"/>
        <v>0</v>
      </c>
      <c r="F66" s="171">
        <f t="shared" si="59"/>
        <v>0</v>
      </c>
      <c r="G66" s="171">
        <f t="shared" si="59"/>
        <v>0</v>
      </c>
      <c r="H66" s="171">
        <f t="shared" si="59"/>
        <v>0</v>
      </c>
      <c r="I66" s="171">
        <f t="shared" si="59"/>
        <v>0</v>
      </c>
      <c r="J66" s="171">
        <f t="shared" si="59"/>
        <v>0</v>
      </c>
      <c r="K66" s="171">
        <f t="shared" si="59"/>
        <v>0</v>
      </c>
      <c r="L66" s="171">
        <f t="shared" si="59"/>
        <v>7</v>
      </c>
      <c r="M66" s="171">
        <f t="shared" si="59"/>
        <v>12</v>
      </c>
      <c r="N66" s="171">
        <f t="shared" si="59"/>
        <v>5</v>
      </c>
      <c r="O66" s="171">
        <f t="shared" si="59"/>
        <v>0</v>
      </c>
      <c r="P66" s="171">
        <f t="shared" si="59"/>
        <v>0</v>
      </c>
      <c r="Q66" s="171">
        <f t="shared" si="59"/>
        <v>0</v>
      </c>
      <c r="R66" s="171">
        <f t="shared" si="59"/>
        <v>0</v>
      </c>
      <c r="S66" s="171">
        <f t="shared" si="59"/>
        <v>0</v>
      </c>
      <c r="T66" s="171">
        <f t="shared" si="59"/>
        <v>0</v>
      </c>
      <c r="U66" s="171">
        <f t="shared" si="59"/>
        <v>0</v>
      </c>
      <c r="V66" s="171">
        <f t="shared" si="59"/>
        <v>0</v>
      </c>
      <c r="W66" s="171">
        <f t="shared" si="59"/>
        <v>0</v>
      </c>
      <c r="X66" s="171">
        <f t="shared" si="59"/>
        <v>0</v>
      </c>
      <c r="Y66" s="171">
        <f t="shared" si="59"/>
        <v>0</v>
      </c>
      <c r="Z66" s="171">
        <f t="shared" si="59"/>
        <v>7</v>
      </c>
      <c r="AA66" s="171">
        <f t="shared" si="59"/>
        <v>12</v>
      </c>
      <c r="AB66" s="171">
        <f t="shared" si="59"/>
        <v>5</v>
      </c>
      <c r="AC66" s="171">
        <f t="shared" si="59"/>
        <v>0</v>
      </c>
      <c r="AD66" s="171">
        <f t="shared" si="59"/>
        <v>0</v>
      </c>
      <c r="AE66" s="171">
        <f t="shared" si="59"/>
        <v>0</v>
      </c>
      <c r="AF66" s="171">
        <f t="shared" si="59"/>
        <v>0</v>
      </c>
      <c r="AG66" s="171">
        <f t="shared" si="59"/>
        <v>0</v>
      </c>
      <c r="AH66" s="142" t="s">
        <v>12</v>
      </c>
      <c r="AI66" s="133"/>
      <c r="AJ66" s="170"/>
      <c r="AK66" s="133"/>
      <c r="AL66" s="133"/>
      <c r="BU66" s="62"/>
      <c r="BV66" s="63" t="str">
        <f t="shared" ref="BV66:BY67" si="60">IF(BV65=2,IF(BV65="",0,"X"),IF(BV65=2,IF(BV65="",0,2),""))</f>
        <v/>
      </c>
      <c r="BW66" s="63" t="str">
        <f t="shared" si="60"/>
        <v/>
      </c>
      <c r="BX66" s="63" t="str">
        <f t="shared" si="60"/>
        <v/>
      </c>
      <c r="BY66" s="63" t="str">
        <f t="shared" si="60"/>
        <v/>
      </c>
    </row>
    <row r="67" spans="1:77" ht="15.95" hidden="1" customHeight="1" x14ac:dyDescent="0.25">
      <c r="A67" s="172"/>
      <c r="B67" s="160" t="s">
        <v>68</v>
      </c>
      <c r="C67" s="161">
        <f t="shared" ref="C67:AG67" si="61">IF(C10="V",IF(C10="",0,1),0)</f>
        <v>0</v>
      </c>
      <c r="D67" s="161">
        <f t="shared" si="61"/>
        <v>0</v>
      </c>
      <c r="E67" s="161">
        <f t="shared" si="61"/>
        <v>0</v>
      </c>
      <c r="F67" s="161">
        <f t="shared" si="61"/>
        <v>0</v>
      </c>
      <c r="G67" s="161">
        <f t="shared" si="61"/>
        <v>0</v>
      </c>
      <c r="H67" s="161">
        <f t="shared" si="61"/>
        <v>0</v>
      </c>
      <c r="I67" s="161">
        <f t="shared" si="61"/>
        <v>0</v>
      </c>
      <c r="J67" s="161">
        <f t="shared" si="61"/>
        <v>0</v>
      </c>
      <c r="K67" s="161">
        <f t="shared" si="61"/>
        <v>0</v>
      </c>
      <c r="L67" s="161">
        <f t="shared" si="61"/>
        <v>0</v>
      </c>
      <c r="M67" s="161">
        <f t="shared" si="61"/>
        <v>0</v>
      </c>
      <c r="N67" s="161">
        <f t="shared" si="61"/>
        <v>0</v>
      </c>
      <c r="O67" s="161">
        <f t="shared" si="61"/>
        <v>0</v>
      </c>
      <c r="P67" s="161">
        <f t="shared" si="61"/>
        <v>0</v>
      </c>
      <c r="Q67" s="161">
        <f t="shared" si="61"/>
        <v>0</v>
      </c>
      <c r="R67" s="161">
        <f t="shared" si="61"/>
        <v>0</v>
      </c>
      <c r="S67" s="161">
        <f t="shared" si="61"/>
        <v>0</v>
      </c>
      <c r="T67" s="161">
        <f t="shared" si="61"/>
        <v>0</v>
      </c>
      <c r="U67" s="161">
        <f t="shared" si="61"/>
        <v>0</v>
      </c>
      <c r="V67" s="161">
        <f t="shared" si="61"/>
        <v>0</v>
      </c>
      <c r="W67" s="161">
        <f t="shared" si="61"/>
        <v>0</v>
      </c>
      <c r="X67" s="161">
        <f t="shared" si="61"/>
        <v>0</v>
      </c>
      <c r="Y67" s="161">
        <f t="shared" si="61"/>
        <v>0</v>
      </c>
      <c r="Z67" s="161">
        <f t="shared" si="61"/>
        <v>0</v>
      </c>
      <c r="AA67" s="161">
        <f t="shared" si="61"/>
        <v>0</v>
      </c>
      <c r="AB67" s="161">
        <f t="shared" si="61"/>
        <v>0</v>
      </c>
      <c r="AC67" s="161">
        <f t="shared" si="61"/>
        <v>0</v>
      </c>
      <c r="AD67" s="161">
        <f t="shared" si="61"/>
        <v>0</v>
      </c>
      <c r="AE67" s="161">
        <f t="shared" si="61"/>
        <v>0</v>
      </c>
      <c r="AF67" s="161">
        <f t="shared" si="61"/>
        <v>0</v>
      </c>
      <c r="AG67" s="161">
        <f t="shared" si="61"/>
        <v>0</v>
      </c>
      <c r="AH67" s="142" t="s">
        <v>12</v>
      </c>
      <c r="AI67" s="133"/>
      <c r="AJ67" s="170"/>
      <c r="AK67" s="133"/>
      <c r="AL67" s="133"/>
      <c r="BU67" s="64"/>
      <c r="BV67" s="63" t="str">
        <f t="shared" si="60"/>
        <v/>
      </c>
      <c r="BW67" s="63" t="str">
        <f t="shared" si="60"/>
        <v/>
      </c>
      <c r="BX67" s="63" t="str">
        <f t="shared" si="60"/>
        <v/>
      </c>
      <c r="BY67" s="63" t="str">
        <f t="shared" si="60"/>
        <v/>
      </c>
    </row>
    <row r="68" spans="1:77" ht="15.95" hidden="1" customHeight="1" x14ac:dyDescent="0.25">
      <c r="A68" s="173"/>
      <c r="B68" s="130" t="s">
        <v>16</v>
      </c>
      <c r="C68" s="163">
        <f t="shared" ref="C68:AG68" si="62">IF(C10="PR",IF(C10="",0,1),0)</f>
        <v>0</v>
      </c>
      <c r="D68" s="163">
        <f t="shared" si="62"/>
        <v>0</v>
      </c>
      <c r="E68" s="163">
        <f t="shared" si="62"/>
        <v>0</v>
      </c>
      <c r="F68" s="163">
        <f t="shared" si="62"/>
        <v>0</v>
      </c>
      <c r="G68" s="163">
        <f t="shared" si="62"/>
        <v>0</v>
      </c>
      <c r="H68" s="163">
        <f t="shared" si="62"/>
        <v>0</v>
      </c>
      <c r="I68" s="163">
        <f t="shared" si="62"/>
        <v>0</v>
      </c>
      <c r="J68" s="163">
        <f t="shared" si="62"/>
        <v>0</v>
      </c>
      <c r="K68" s="163">
        <f t="shared" si="62"/>
        <v>0</v>
      </c>
      <c r="L68" s="163">
        <f t="shared" si="62"/>
        <v>0</v>
      </c>
      <c r="M68" s="163">
        <f t="shared" si="62"/>
        <v>0</v>
      </c>
      <c r="N68" s="163">
        <f t="shared" si="62"/>
        <v>0</v>
      </c>
      <c r="O68" s="163">
        <f t="shared" si="62"/>
        <v>0</v>
      </c>
      <c r="P68" s="163">
        <f t="shared" si="62"/>
        <v>0</v>
      </c>
      <c r="Q68" s="163">
        <f t="shared" si="62"/>
        <v>0</v>
      </c>
      <c r="R68" s="163">
        <f t="shared" si="62"/>
        <v>0</v>
      </c>
      <c r="S68" s="163">
        <f t="shared" si="62"/>
        <v>0</v>
      </c>
      <c r="T68" s="163">
        <f t="shared" si="62"/>
        <v>0</v>
      </c>
      <c r="U68" s="163">
        <f t="shared" si="62"/>
        <v>0</v>
      </c>
      <c r="V68" s="163">
        <f t="shared" si="62"/>
        <v>0</v>
      </c>
      <c r="W68" s="163">
        <f t="shared" si="62"/>
        <v>0</v>
      </c>
      <c r="X68" s="163">
        <f t="shared" si="62"/>
        <v>0</v>
      </c>
      <c r="Y68" s="163">
        <f t="shared" si="62"/>
        <v>0</v>
      </c>
      <c r="Z68" s="163">
        <f t="shared" si="62"/>
        <v>0</v>
      </c>
      <c r="AA68" s="163">
        <f t="shared" si="62"/>
        <v>0</v>
      </c>
      <c r="AB68" s="163">
        <f t="shared" si="62"/>
        <v>0</v>
      </c>
      <c r="AC68" s="163">
        <f t="shared" si="62"/>
        <v>0</v>
      </c>
      <c r="AD68" s="163">
        <f t="shared" si="62"/>
        <v>0</v>
      </c>
      <c r="AE68" s="163">
        <f t="shared" si="62"/>
        <v>0</v>
      </c>
      <c r="AF68" s="163">
        <f t="shared" si="62"/>
        <v>0</v>
      </c>
      <c r="AG68" s="163">
        <f t="shared" si="62"/>
        <v>0</v>
      </c>
      <c r="AH68" s="229">
        <f>SUM(C68:AG68)</f>
        <v>0</v>
      </c>
      <c r="AI68" s="229"/>
      <c r="AJ68" s="174" t="s">
        <v>69</v>
      </c>
      <c r="AK68" s="133"/>
      <c r="AL68" s="133"/>
    </row>
    <row r="69" spans="1:77" ht="15.95" hidden="1" customHeight="1" x14ac:dyDescent="0.25">
      <c r="A69" s="164" t="s">
        <v>73</v>
      </c>
      <c r="B69" s="165" t="s">
        <v>29</v>
      </c>
      <c r="C69" s="141" t="str">
        <f t="shared" ref="C69:AG69" si="63">IF(C11=$R32,$S32*24,IF(C11=$R33,$S33*24,IF(C11=$R34,$S34*24,IF(C11=$R35,$S35*24,IF(C11=$R36,$S36*24,IF(C11=$R37,$S37*24,IF(C11=$R38,$S38*24,IF(C11=$R39,$S39*24,IF(C11=$R40,$S40*24,"")))))))))</f>
        <v/>
      </c>
      <c r="D69" s="141" t="str">
        <f t="shared" si="63"/>
        <v/>
      </c>
      <c r="E69" s="141" t="str">
        <f t="shared" si="63"/>
        <v/>
      </c>
      <c r="F69" s="141" t="str">
        <f t="shared" si="63"/>
        <v/>
      </c>
      <c r="G69" s="141" t="str">
        <f t="shared" si="63"/>
        <v/>
      </c>
      <c r="H69" s="141" t="str">
        <f t="shared" si="63"/>
        <v/>
      </c>
      <c r="I69" s="141" t="str">
        <f t="shared" si="63"/>
        <v/>
      </c>
      <c r="J69" s="141" t="str">
        <f t="shared" si="63"/>
        <v/>
      </c>
      <c r="K69" s="141" t="str">
        <f t="shared" si="63"/>
        <v/>
      </c>
      <c r="L69" s="141" t="str">
        <f t="shared" si="63"/>
        <v/>
      </c>
      <c r="M69" s="141" t="str">
        <f t="shared" si="63"/>
        <v/>
      </c>
      <c r="N69" s="141" t="str">
        <f t="shared" si="63"/>
        <v/>
      </c>
      <c r="O69" s="141" t="str">
        <f t="shared" si="63"/>
        <v/>
      </c>
      <c r="P69" s="141" t="str">
        <f t="shared" si="63"/>
        <v/>
      </c>
      <c r="Q69" s="141" t="str">
        <f t="shared" si="63"/>
        <v/>
      </c>
      <c r="R69" s="141" t="str">
        <f t="shared" si="63"/>
        <v/>
      </c>
      <c r="S69" s="141" t="str">
        <f t="shared" si="63"/>
        <v/>
      </c>
      <c r="T69" s="141" t="str">
        <f t="shared" si="63"/>
        <v/>
      </c>
      <c r="U69" s="141" t="str">
        <f t="shared" si="63"/>
        <v/>
      </c>
      <c r="V69" s="141" t="str">
        <f t="shared" si="63"/>
        <v/>
      </c>
      <c r="W69" s="141" t="str">
        <f t="shared" si="63"/>
        <v/>
      </c>
      <c r="X69" s="141" t="str">
        <f t="shared" si="63"/>
        <v/>
      </c>
      <c r="Y69" s="141" t="str">
        <f t="shared" si="63"/>
        <v/>
      </c>
      <c r="Z69" s="141" t="str">
        <f t="shared" si="63"/>
        <v/>
      </c>
      <c r="AA69" s="141" t="str">
        <f t="shared" si="63"/>
        <v/>
      </c>
      <c r="AB69" s="141" t="str">
        <f t="shared" si="63"/>
        <v/>
      </c>
      <c r="AC69" s="141" t="str">
        <f t="shared" si="63"/>
        <v/>
      </c>
      <c r="AD69" s="141" t="str">
        <f t="shared" si="63"/>
        <v/>
      </c>
      <c r="AE69" s="141" t="str">
        <f t="shared" si="63"/>
        <v/>
      </c>
      <c r="AF69" s="141" t="str">
        <f t="shared" si="63"/>
        <v/>
      </c>
      <c r="AG69" s="141" t="str">
        <f t="shared" si="63"/>
        <v/>
      </c>
      <c r="AH69" s="154" t="s">
        <v>12</v>
      </c>
      <c r="AI69" s="133"/>
      <c r="AJ69" s="170"/>
      <c r="AK69" s="133"/>
      <c r="AL69" s="133"/>
    </row>
    <row r="70" spans="1:77" ht="15.95" hidden="1" customHeight="1" x14ac:dyDescent="0.25">
      <c r="A70" s="166" t="s">
        <v>74</v>
      </c>
      <c r="B70" s="167" t="s">
        <v>30</v>
      </c>
      <c r="C70" s="141" t="str">
        <f t="shared" ref="C70:AG70" si="64">IF(C11=$R32,$V32*24,IF(C11=$R33,$V33*24,IF(C11=$R34,$V34*24,IF(C11=$R35,$V35*24,IF(C11=$R36,$V36*24,IF(C11=$R37,$V37*24,IF(C11=$R38,$V38*24,IF(C11=$R39,$V39*24,IF(C11=$R40,$V40*24,"")))))))))</f>
        <v/>
      </c>
      <c r="D70" s="141" t="str">
        <f t="shared" si="64"/>
        <v/>
      </c>
      <c r="E70" s="141" t="str">
        <f t="shared" si="64"/>
        <v/>
      </c>
      <c r="F70" s="141" t="str">
        <f t="shared" si="64"/>
        <v/>
      </c>
      <c r="G70" s="141" t="str">
        <f t="shared" si="64"/>
        <v/>
      </c>
      <c r="H70" s="141" t="str">
        <f t="shared" si="64"/>
        <v/>
      </c>
      <c r="I70" s="141" t="str">
        <f t="shared" si="64"/>
        <v/>
      </c>
      <c r="J70" s="141" t="str">
        <f t="shared" si="64"/>
        <v/>
      </c>
      <c r="K70" s="141" t="str">
        <f t="shared" si="64"/>
        <v/>
      </c>
      <c r="L70" s="141" t="str">
        <f t="shared" si="64"/>
        <v/>
      </c>
      <c r="M70" s="141" t="str">
        <f t="shared" si="64"/>
        <v/>
      </c>
      <c r="N70" s="141" t="str">
        <f t="shared" si="64"/>
        <v/>
      </c>
      <c r="O70" s="141" t="str">
        <f t="shared" si="64"/>
        <v/>
      </c>
      <c r="P70" s="141" t="str">
        <f t="shared" si="64"/>
        <v/>
      </c>
      <c r="Q70" s="141" t="str">
        <f t="shared" si="64"/>
        <v/>
      </c>
      <c r="R70" s="141" t="str">
        <f t="shared" si="64"/>
        <v/>
      </c>
      <c r="S70" s="141" t="str">
        <f t="shared" si="64"/>
        <v/>
      </c>
      <c r="T70" s="141" t="str">
        <f t="shared" si="64"/>
        <v/>
      </c>
      <c r="U70" s="141" t="str">
        <f t="shared" si="64"/>
        <v/>
      </c>
      <c r="V70" s="141" t="str">
        <f t="shared" si="64"/>
        <v/>
      </c>
      <c r="W70" s="141" t="str">
        <f t="shared" si="64"/>
        <v/>
      </c>
      <c r="X70" s="141" t="str">
        <f t="shared" si="64"/>
        <v/>
      </c>
      <c r="Y70" s="141" t="str">
        <f t="shared" si="64"/>
        <v/>
      </c>
      <c r="Z70" s="141" t="str">
        <f t="shared" si="64"/>
        <v/>
      </c>
      <c r="AA70" s="141" t="str">
        <f t="shared" si="64"/>
        <v/>
      </c>
      <c r="AB70" s="141" t="str">
        <f t="shared" si="64"/>
        <v/>
      </c>
      <c r="AC70" s="141" t="str">
        <f t="shared" si="64"/>
        <v/>
      </c>
      <c r="AD70" s="141" t="str">
        <f t="shared" si="64"/>
        <v/>
      </c>
      <c r="AE70" s="141" t="str">
        <f t="shared" si="64"/>
        <v/>
      </c>
      <c r="AF70" s="141" t="str">
        <f t="shared" si="64"/>
        <v/>
      </c>
      <c r="AG70" s="141" t="str">
        <f t="shared" si="64"/>
        <v/>
      </c>
      <c r="AH70" s="154" t="s">
        <v>12</v>
      </c>
      <c r="AI70" s="133"/>
      <c r="AJ70" s="170"/>
      <c r="AK70" s="133"/>
      <c r="AL70" s="133"/>
    </row>
    <row r="71" spans="1:77" ht="15.95" hidden="1" customHeight="1" x14ac:dyDescent="0.25">
      <c r="A71" s="153"/>
      <c r="B71" s="168" t="s">
        <v>34</v>
      </c>
      <c r="C71" s="169" t="str">
        <f t="shared" ref="C71:AD71" si="65">IF(C11=$R32,$BD32*24,IF(C11=$R33,$BD33*24,IF(C11=$R34,$BD34*24,IF(C11=$R35,$BD35*24,IF(C11=$R36,$BD36*24,IF(C11=$R37,$BD37*24,IF(C11=$R38,$BD38*24,IF(C11=$R39,$BD39*24,IF(C11=$R40,$BD40*24,"")))))))))</f>
        <v/>
      </c>
      <c r="D71" s="169" t="str">
        <f t="shared" si="65"/>
        <v/>
      </c>
      <c r="E71" s="169" t="str">
        <f t="shared" si="65"/>
        <v/>
      </c>
      <c r="F71" s="169" t="str">
        <f t="shared" si="65"/>
        <v/>
      </c>
      <c r="G71" s="169" t="str">
        <f t="shared" si="65"/>
        <v/>
      </c>
      <c r="H71" s="169" t="str">
        <f t="shared" si="65"/>
        <v/>
      </c>
      <c r="I71" s="169" t="str">
        <f t="shared" si="65"/>
        <v/>
      </c>
      <c r="J71" s="169" t="str">
        <f t="shared" si="65"/>
        <v/>
      </c>
      <c r="K71" s="169" t="str">
        <f t="shared" si="65"/>
        <v/>
      </c>
      <c r="L71" s="169" t="str">
        <f t="shared" si="65"/>
        <v/>
      </c>
      <c r="M71" s="169" t="str">
        <f t="shared" si="65"/>
        <v/>
      </c>
      <c r="N71" s="169" t="str">
        <f t="shared" si="65"/>
        <v/>
      </c>
      <c r="O71" s="169" t="str">
        <f t="shared" si="65"/>
        <v/>
      </c>
      <c r="P71" s="169" t="str">
        <f t="shared" si="65"/>
        <v/>
      </c>
      <c r="Q71" s="169" t="str">
        <f t="shared" si="65"/>
        <v/>
      </c>
      <c r="R71" s="169" t="str">
        <f t="shared" si="65"/>
        <v/>
      </c>
      <c r="S71" s="169" t="str">
        <f t="shared" si="65"/>
        <v/>
      </c>
      <c r="T71" s="169" t="str">
        <f t="shared" si="65"/>
        <v/>
      </c>
      <c r="U71" s="169" t="str">
        <f t="shared" si="65"/>
        <v/>
      </c>
      <c r="V71" s="169" t="str">
        <f t="shared" si="65"/>
        <v/>
      </c>
      <c r="W71" s="169" t="str">
        <f t="shared" si="65"/>
        <v/>
      </c>
      <c r="X71" s="169" t="str">
        <f t="shared" si="65"/>
        <v/>
      </c>
      <c r="Y71" s="169" t="str">
        <f t="shared" si="65"/>
        <v/>
      </c>
      <c r="Z71" s="169" t="str">
        <f t="shared" si="65"/>
        <v/>
      </c>
      <c r="AA71" s="169" t="str">
        <f t="shared" si="65"/>
        <v/>
      </c>
      <c r="AB71" s="169" t="str">
        <f t="shared" si="65"/>
        <v/>
      </c>
      <c r="AC71" s="169" t="str">
        <f t="shared" si="65"/>
        <v/>
      </c>
      <c r="AD71" s="169" t="str">
        <f t="shared" si="65"/>
        <v/>
      </c>
      <c r="AE71" s="169" t="str">
        <f>IF(AE11=$R32,$BD32*24,IF(AE11=$R33,$BD33*24,IF(AE11=$R34,$BD34*24,IF(AE11=$R35,$BD35*24,IF(AE11=$R36,$BD36*24,IF(AE11=$R37,$BD37*24,IF(AE11=$R38,$BD38*24,IF(AE11=$R39,$BD39*24,IF(AE11=$R40,$BD40*24,"")))))))))</f>
        <v/>
      </c>
      <c r="AF71" s="169" t="str">
        <f>IF(AF11=$R32,$BD32*24,IF(AF11=$R33,$BD33*24,IF(AF11=$R34,$BD34*24,IF(AF11=$R35,$BD35*24,IF(AF11=$R36,$BD36*24,IF(AF11=$R37,$BD37*24,IF(AF11=$R38,$BD38*24,IF(AF11=$R39,$BD39*24,IF(AF11=$R40,$BD40*24,"")))))))))</f>
        <v/>
      </c>
      <c r="AG71" s="169" t="str">
        <f>IF(AG11=$R32,$BD32*24,IF(AG11=$R33,$BD33*24,IF(AG11=$R34,$BD34*24,IF(AG11=$R35,$BD35*24,IF(AG11=$R36,$BD36*24,IF(AG11=$R37,$BD37*24,IF(AG11=$R38,$BD38*24,IF(AG11=$R39,$BD39*24,IF(AG11=$R40,$BD40*24,"")))))))))</f>
        <v/>
      </c>
      <c r="AH71" s="148">
        <f>SUM(C71:AG71)</f>
        <v>0</v>
      </c>
      <c r="AI71" s="133"/>
      <c r="AJ71" s="170"/>
      <c r="AK71" s="133"/>
      <c r="AL71" s="133"/>
    </row>
    <row r="72" spans="1:77" ht="15.95" hidden="1" customHeight="1" x14ac:dyDescent="0.25">
      <c r="A72" s="153"/>
      <c r="B72" s="167" t="s">
        <v>59</v>
      </c>
      <c r="C72" s="141">
        <f t="shared" ref="C72:AG72" si="66">IF(C11="V",$C36,IF(C11="PR",$C38,0))</f>
        <v>0</v>
      </c>
      <c r="D72" s="141">
        <f t="shared" si="66"/>
        <v>0</v>
      </c>
      <c r="E72" s="141">
        <f t="shared" si="66"/>
        <v>0</v>
      </c>
      <c r="F72" s="141">
        <f t="shared" si="66"/>
        <v>0</v>
      </c>
      <c r="G72" s="141">
        <f t="shared" si="66"/>
        <v>0</v>
      </c>
      <c r="H72" s="141">
        <f t="shared" si="66"/>
        <v>0</v>
      </c>
      <c r="I72" s="141">
        <f t="shared" si="66"/>
        <v>0</v>
      </c>
      <c r="J72" s="141">
        <f t="shared" si="66"/>
        <v>0</v>
      </c>
      <c r="K72" s="141">
        <f t="shared" si="66"/>
        <v>0</v>
      </c>
      <c r="L72" s="141">
        <f t="shared" si="66"/>
        <v>0</v>
      </c>
      <c r="M72" s="141">
        <f t="shared" si="66"/>
        <v>0</v>
      </c>
      <c r="N72" s="141">
        <f t="shared" si="66"/>
        <v>0</v>
      </c>
      <c r="O72" s="141">
        <f t="shared" si="66"/>
        <v>0</v>
      </c>
      <c r="P72" s="141">
        <f t="shared" si="66"/>
        <v>0</v>
      </c>
      <c r="Q72" s="141">
        <f t="shared" si="66"/>
        <v>0</v>
      </c>
      <c r="R72" s="141">
        <f t="shared" si="66"/>
        <v>0</v>
      </c>
      <c r="S72" s="141">
        <f t="shared" si="66"/>
        <v>0</v>
      </c>
      <c r="T72" s="141">
        <f t="shared" si="66"/>
        <v>0</v>
      </c>
      <c r="U72" s="141">
        <f t="shared" si="66"/>
        <v>0</v>
      </c>
      <c r="V72" s="141">
        <f t="shared" si="66"/>
        <v>0</v>
      </c>
      <c r="W72" s="141">
        <f t="shared" si="66"/>
        <v>0</v>
      </c>
      <c r="X72" s="141">
        <f t="shared" si="66"/>
        <v>0</v>
      </c>
      <c r="Y72" s="141">
        <f t="shared" si="66"/>
        <v>0</v>
      </c>
      <c r="Z72" s="141">
        <f t="shared" si="66"/>
        <v>0</v>
      </c>
      <c r="AA72" s="141">
        <f t="shared" si="66"/>
        <v>0</v>
      </c>
      <c r="AB72" s="141">
        <f t="shared" si="66"/>
        <v>0</v>
      </c>
      <c r="AC72" s="141">
        <f t="shared" si="66"/>
        <v>0</v>
      </c>
      <c r="AD72" s="141">
        <f t="shared" si="66"/>
        <v>0</v>
      </c>
      <c r="AE72" s="141">
        <f t="shared" si="66"/>
        <v>0</v>
      </c>
      <c r="AF72" s="141">
        <f t="shared" si="66"/>
        <v>0</v>
      </c>
      <c r="AG72" s="141">
        <f t="shared" si="66"/>
        <v>0</v>
      </c>
      <c r="AH72" s="226">
        <f>SUM(C72:AG72)</f>
        <v>0</v>
      </c>
      <c r="AI72" s="226"/>
      <c r="AJ72" s="170" t="s">
        <v>12</v>
      </c>
      <c r="AK72" s="133"/>
      <c r="AL72" s="133"/>
    </row>
    <row r="73" spans="1:77" ht="15.95" hidden="1" customHeight="1" x14ac:dyDescent="0.25">
      <c r="A73" s="150" t="s">
        <v>60</v>
      </c>
      <c r="B73" s="167" t="s">
        <v>61</v>
      </c>
      <c r="C73" s="151">
        <f t="shared" ref="C73:AD73" si="67">IF(C11=$R32,$BC32,IF(C11=$R33,$BC33,IF(C11=$R34,$BC34,IF(C11=$R35,$BC35,IF(C11=$R36,$BC36,IF(C11=$R37,$BC37,IF(C11=$R38,$BC38,IF(C11=$R39,$BC39,IF(C11=$R40,$BC40,0)))))))))</f>
        <v>0</v>
      </c>
      <c r="D73" s="151">
        <f t="shared" si="67"/>
        <v>0</v>
      </c>
      <c r="E73" s="151">
        <f t="shared" si="67"/>
        <v>0</v>
      </c>
      <c r="F73" s="151">
        <f t="shared" si="67"/>
        <v>0</v>
      </c>
      <c r="G73" s="151">
        <f t="shared" si="67"/>
        <v>0</v>
      </c>
      <c r="H73" s="151">
        <f t="shared" si="67"/>
        <v>0</v>
      </c>
      <c r="I73" s="151">
        <f t="shared" si="67"/>
        <v>0</v>
      </c>
      <c r="J73" s="151">
        <f t="shared" si="67"/>
        <v>0</v>
      </c>
      <c r="K73" s="151">
        <f t="shared" si="67"/>
        <v>0</v>
      </c>
      <c r="L73" s="151">
        <f t="shared" si="67"/>
        <v>0</v>
      </c>
      <c r="M73" s="151">
        <f t="shared" si="67"/>
        <v>0</v>
      </c>
      <c r="N73" s="151">
        <f t="shared" si="67"/>
        <v>0</v>
      </c>
      <c r="O73" s="151">
        <f t="shared" si="67"/>
        <v>0</v>
      </c>
      <c r="P73" s="151">
        <f t="shared" si="67"/>
        <v>0</v>
      </c>
      <c r="Q73" s="151">
        <f t="shared" si="67"/>
        <v>0</v>
      </c>
      <c r="R73" s="151">
        <f t="shared" si="67"/>
        <v>0</v>
      </c>
      <c r="S73" s="151">
        <f t="shared" si="67"/>
        <v>0</v>
      </c>
      <c r="T73" s="151">
        <f t="shared" si="67"/>
        <v>0</v>
      </c>
      <c r="U73" s="151">
        <f t="shared" si="67"/>
        <v>0</v>
      </c>
      <c r="V73" s="151">
        <f t="shared" si="67"/>
        <v>0</v>
      </c>
      <c r="W73" s="151">
        <f t="shared" si="67"/>
        <v>0</v>
      </c>
      <c r="X73" s="151">
        <f t="shared" si="67"/>
        <v>0</v>
      </c>
      <c r="Y73" s="151">
        <f t="shared" si="67"/>
        <v>0</v>
      </c>
      <c r="Z73" s="151">
        <f t="shared" si="67"/>
        <v>0</v>
      </c>
      <c r="AA73" s="151">
        <f t="shared" si="67"/>
        <v>0</v>
      </c>
      <c r="AB73" s="151">
        <f t="shared" si="67"/>
        <v>0</v>
      </c>
      <c r="AC73" s="151">
        <f t="shared" si="67"/>
        <v>0</v>
      </c>
      <c r="AD73" s="151">
        <f t="shared" si="67"/>
        <v>0</v>
      </c>
      <c r="AE73" s="151">
        <f>IF(AE11=$R32,$BC32,IF(AE11=$R33,$BC33,IF(AE11=$R34,$BC34,IF(AE11=$R35,$BC35,IF(AE11=$R36,$BC36,IF(AE11=$R37,$BC37,IF(AE11=$R38,$BC38,IF(AE11=$R39,$BC39,IF(AE11=$R40,$BC40,0)))))))))</f>
        <v>0</v>
      </c>
      <c r="AF73" s="151">
        <f>IF(AF11=$R32,$BC32,IF(AF11=$R33,$BC33,IF(AF11=$R34,$BC34,IF(AF11=$R35,$BC35,IF(AF11=$R36,$BC36,IF(AF11=$R37,$BC37,IF(AF11=$R38,$BC38,IF(AF11=$R39,$BC39,IF(AF11=$R40,$BC40,0)))))))))</f>
        <v>0</v>
      </c>
      <c r="AG73" s="151">
        <f>IF(AG11=$R32,$BC32,IF(AG11=$R33,$BC33,IF(AG11=$R34,$BC34,IF(AG11=$R35,$BC35,IF(AG11=$R36,$BC36,IF(AG11=$R37,$BC37,IF(AG11=$R38,$BC38,IF(AG11=$R39,$BC39,IF(AG11=$R40,$BC40,0)))))))))</f>
        <v>0</v>
      </c>
      <c r="AH73" s="226">
        <f>SUM(C73:AG73)</f>
        <v>0</v>
      </c>
      <c r="AI73" s="226"/>
      <c r="AJ73" s="175" t="s">
        <v>62</v>
      </c>
      <c r="AK73" s="133" t="s">
        <v>12</v>
      </c>
      <c r="AL73" s="133"/>
    </row>
    <row r="74" spans="1:77" ht="15.95" hidden="1" customHeight="1" x14ac:dyDescent="0.25">
      <c r="A74" s="153" t="s">
        <v>48</v>
      </c>
      <c r="B74" s="149" t="s">
        <v>63</v>
      </c>
      <c r="C74" s="141" t="b">
        <f t="shared" ref="C74:AG74" si="68">IF(C46=1,IF(C69&lt;C70,C73,0))</f>
        <v>0</v>
      </c>
      <c r="D74" s="141" t="b">
        <f t="shared" si="68"/>
        <v>0</v>
      </c>
      <c r="E74" s="141" t="b">
        <f t="shared" si="68"/>
        <v>0</v>
      </c>
      <c r="F74" s="141">
        <f t="shared" si="68"/>
        <v>0</v>
      </c>
      <c r="G74" s="141">
        <f t="shared" si="68"/>
        <v>0</v>
      </c>
      <c r="H74" s="141" t="b">
        <f t="shared" si="68"/>
        <v>0</v>
      </c>
      <c r="I74" s="141" t="b">
        <f t="shared" si="68"/>
        <v>0</v>
      </c>
      <c r="J74" s="141" t="b">
        <f t="shared" si="68"/>
        <v>0</v>
      </c>
      <c r="K74" s="141" t="b">
        <f t="shared" si="68"/>
        <v>0</v>
      </c>
      <c r="L74" s="141" t="b">
        <f t="shared" si="68"/>
        <v>0</v>
      </c>
      <c r="M74" s="141">
        <f t="shared" si="68"/>
        <v>0</v>
      </c>
      <c r="N74" s="141">
        <f t="shared" si="68"/>
        <v>0</v>
      </c>
      <c r="O74" s="141" t="b">
        <f t="shared" si="68"/>
        <v>0</v>
      </c>
      <c r="P74" s="141" t="b">
        <f t="shared" si="68"/>
        <v>0</v>
      </c>
      <c r="Q74" s="141" t="b">
        <f t="shared" si="68"/>
        <v>0</v>
      </c>
      <c r="R74" s="141" t="b">
        <f t="shared" si="68"/>
        <v>0</v>
      </c>
      <c r="S74" s="141" t="b">
        <f t="shared" si="68"/>
        <v>0</v>
      </c>
      <c r="T74" s="141">
        <f t="shared" si="68"/>
        <v>0</v>
      </c>
      <c r="U74" s="141">
        <f t="shared" si="68"/>
        <v>0</v>
      </c>
      <c r="V74" s="141" t="b">
        <f t="shared" si="68"/>
        <v>0</v>
      </c>
      <c r="W74" s="141" t="b">
        <f t="shared" si="68"/>
        <v>0</v>
      </c>
      <c r="X74" s="141" t="b">
        <f t="shared" si="68"/>
        <v>0</v>
      </c>
      <c r="Y74" s="141" t="b">
        <f t="shared" si="68"/>
        <v>0</v>
      </c>
      <c r="Z74" s="141" t="b">
        <f t="shared" si="68"/>
        <v>0</v>
      </c>
      <c r="AA74" s="141">
        <f t="shared" si="68"/>
        <v>0</v>
      </c>
      <c r="AB74" s="141">
        <f t="shared" si="68"/>
        <v>0</v>
      </c>
      <c r="AC74" s="141" t="b">
        <f t="shared" si="68"/>
        <v>0</v>
      </c>
      <c r="AD74" s="141" t="b">
        <f t="shared" si="68"/>
        <v>0</v>
      </c>
      <c r="AE74" s="141" t="b">
        <f t="shared" si="68"/>
        <v>0</v>
      </c>
      <c r="AF74" s="141" t="b">
        <f t="shared" si="68"/>
        <v>0</v>
      </c>
      <c r="AG74" s="141" t="b">
        <f t="shared" si="68"/>
        <v>0</v>
      </c>
      <c r="AH74" s="154" t="s">
        <v>12</v>
      </c>
      <c r="AI74" s="133"/>
      <c r="AJ74" s="170"/>
      <c r="AK74" s="133"/>
      <c r="AL74" s="133"/>
    </row>
    <row r="75" spans="1:77" ht="15.95" hidden="1" customHeight="1" x14ac:dyDescent="0.25">
      <c r="A75" s="176"/>
      <c r="B75" s="149" t="s">
        <v>64</v>
      </c>
      <c r="C75" s="141">
        <f t="shared" ref="C75:AG75" si="69">IF(C46=1,IF(C69&gt;C70,24-C69,0),0)</f>
        <v>0</v>
      </c>
      <c r="D75" s="141">
        <f t="shared" si="69"/>
        <v>0</v>
      </c>
      <c r="E75" s="141">
        <f t="shared" si="69"/>
        <v>0</v>
      </c>
      <c r="F75" s="141">
        <f t="shared" si="69"/>
        <v>0</v>
      </c>
      <c r="G75" s="141">
        <f t="shared" si="69"/>
        <v>0</v>
      </c>
      <c r="H75" s="141">
        <f t="shared" si="69"/>
        <v>0</v>
      </c>
      <c r="I75" s="141">
        <f t="shared" si="69"/>
        <v>0</v>
      </c>
      <c r="J75" s="141">
        <f t="shared" si="69"/>
        <v>0</v>
      </c>
      <c r="K75" s="141">
        <f t="shared" si="69"/>
        <v>0</v>
      </c>
      <c r="L75" s="141">
        <f t="shared" si="69"/>
        <v>0</v>
      </c>
      <c r="M75" s="141">
        <f t="shared" si="69"/>
        <v>0</v>
      </c>
      <c r="N75" s="141">
        <f t="shared" si="69"/>
        <v>0</v>
      </c>
      <c r="O75" s="141">
        <f t="shared" si="69"/>
        <v>0</v>
      </c>
      <c r="P75" s="141">
        <f t="shared" si="69"/>
        <v>0</v>
      </c>
      <c r="Q75" s="141">
        <f t="shared" si="69"/>
        <v>0</v>
      </c>
      <c r="R75" s="141">
        <f t="shared" si="69"/>
        <v>0</v>
      </c>
      <c r="S75" s="141">
        <f t="shared" si="69"/>
        <v>0</v>
      </c>
      <c r="T75" s="141">
        <f t="shared" si="69"/>
        <v>0</v>
      </c>
      <c r="U75" s="141">
        <f t="shared" si="69"/>
        <v>0</v>
      </c>
      <c r="V75" s="141">
        <f t="shared" si="69"/>
        <v>0</v>
      </c>
      <c r="W75" s="141">
        <f t="shared" si="69"/>
        <v>0</v>
      </c>
      <c r="X75" s="141">
        <f t="shared" si="69"/>
        <v>0</v>
      </c>
      <c r="Y75" s="141">
        <f t="shared" si="69"/>
        <v>0</v>
      </c>
      <c r="Z75" s="141">
        <f t="shared" si="69"/>
        <v>0</v>
      </c>
      <c r="AA75" s="141">
        <f t="shared" si="69"/>
        <v>0</v>
      </c>
      <c r="AB75" s="141">
        <f t="shared" si="69"/>
        <v>0</v>
      </c>
      <c r="AC75" s="141">
        <f t="shared" si="69"/>
        <v>0</v>
      </c>
      <c r="AD75" s="141">
        <f t="shared" si="69"/>
        <v>0</v>
      </c>
      <c r="AE75" s="141">
        <f t="shared" si="69"/>
        <v>0</v>
      </c>
      <c r="AF75" s="141">
        <f t="shared" si="69"/>
        <v>0</v>
      </c>
      <c r="AG75" s="141">
        <f t="shared" si="69"/>
        <v>0</v>
      </c>
      <c r="AH75" s="154" t="s">
        <v>12</v>
      </c>
      <c r="AI75" s="133"/>
      <c r="AJ75" s="170"/>
      <c r="AK75" s="133"/>
      <c r="AL75" s="133"/>
    </row>
    <row r="76" spans="1:77" ht="15.95" hidden="1" customHeight="1" x14ac:dyDescent="0.25">
      <c r="A76" s="176"/>
      <c r="B76" s="149" t="s">
        <v>65</v>
      </c>
      <c r="C76" s="141">
        <f t="shared" ref="C76:AG76" si="70">IF(D46=1,IF(C69&gt;C70,C70,0),0)</f>
        <v>0</v>
      </c>
      <c r="D76" s="141">
        <f t="shared" si="70"/>
        <v>0</v>
      </c>
      <c r="E76" s="141">
        <f t="shared" si="70"/>
        <v>0</v>
      </c>
      <c r="F76" s="141">
        <f t="shared" si="70"/>
        <v>0</v>
      </c>
      <c r="G76" s="141">
        <f t="shared" si="70"/>
        <v>0</v>
      </c>
      <c r="H76" s="141">
        <f t="shared" si="70"/>
        <v>0</v>
      </c>
      <c r="I76" s="141">
        <f t="shared" si="70"/>
        <v>0</v>
      </c>
      <c r="J76" s="141">
        <f t="shared" si="70"/>
        <v>0</v>
      </c>
      <c r="K76" s="141">
        <f t="shared" si="70"/>
        <v>0</v>
      </c>
      <c r="L76" s="141">
        <f t="shared" si="70"/>
        <v>0</v>
      </c>
      <c r="M76" s="141">
        <f t="shared" si="70"/>
        <v>0</v>
      </c>
      <c r="N76" s="141">
        <f t="shared" si="70"/>
        <v>0</v>
      </c>
      <c r="O76" s="141">
        <f t="shared" si="70"/>
        <v>0</v>
      </c>
      <c r="P76" s="141">
        <f t="shared" si="70"/>
        <v>0</v>
      </c>
      <c r="Q76" s="141">
        <f t="shared" si="70"/>
        <v>0</v>
      </c>
      <c r="R76" s="141">
        <f t="shared" si="70"/>
        <v>0</v>
      </c>
      <c r="S76" s="141">
        <f t="shared" si="70"/>
        <v>0</v>
      </c>
      <c r="T76" s="141">
        <f t="shared" si="70"/>
        <v>0</v>
      </c>
      <c r="U76" s="141">
        <f t="shared" si="70"/>
        <v>0</v>
      </c>
      <c r="V76" s="141">
        <f t="shared" si="70"/>
        <v>0</v>
      </c>
      <c r="W76" s="141">
        <f t="shared" si="70"/>
        <v>0</v>
      </c>
      <c r="X76" s="141">
        <f>IF(Y46=1,IF(X69&gt;X70,X70,0),0)</f>
        <v>0</v>
      </c>
      <c r="Y76" s="141">
        <f t="shared" si="70"/>
        <v>0</v>
      </c>
      <c r="Z76" s="141">
        <f t="shared" si="70"/>
        <v>0</v>
      </c>
      <c r="AA76" s="141">
        <f t="shared" si="70"/>
        <v>0</v>
      </c>
      <c r="AB76" s="141">
        <f t="shared" si="70"/>
        <v>0</v>
      </c>
      <c r="AC76" s="141">
        <f t="shared" si="70"/>
        <v>0</v>
      </c>
      <c r="AD76" s="141">
        <f t="shared" si="70"/>
        <v>0</v>
      </c>
      <c r="AE76" s="141">
        <f t="shared" si="70"/>
        <v>0</v>
      </c>
      <c r="AF76" s="141">
        <f t="shared" si="70"/>
        <v>0</v>
      </c>
      <c r="AG76" s="141">
        <f t="shared" si="70"/>
        <v>0</v>
      </c>
      <c r="AH76" s="154" t="s">
        <v>12</v>
      </c>
      <c r="AI76" s="133"/>
      <c r="AJ76" s="170"/>
      <c r="AK76" s="133"/>
      <c r="AL76" s="133"/>
    </row>
    <row r="77" spans="1:77" ht="15.95" hidden="1" customHeight="1" x14ac:dyDescent="0.25">
      <c r="A77" s="176"/>
      <c r="B77" s="149" t="s">
        <v>67</v>
      </c>
      <c r="C77" s="171">
        <f t="shared" ref="C77:AG77" si="71">SUM(C74:C76)</f>
        <v>0</v>
      </c>
      <c r="D77" s="171">
        <f t="shared" si="71"/>
        <v>0</v>
      </c>
      <c r="E77" s="171">
        <f t="shared" si="71"/>
        <v>0</v>
      </c>
      <c r="F77" s="171">
        <f t="shared" si="71"/>
        <v>0</v>
      </c>
      <c r="G77" s="171">
        <f t="shared" si="71"/>
        <v>0</v>
      </c>
      <c r="H77" s="171">
        <f t="shared" si="71"/>
        <v>0</v>
      </c>
      <c r="I77" s="171">
        <f t="shared" si="71"/>
        <v>0</v>
      </c>
      <c r="J77" s="171">
        <f t="shared" si="71"/>
        <v>0</v>
      </c>
      <c r="K77" s="171">
        <f t="shared" si="71"/>
        <v>0</v>
      </c>
      <c r="L77" s="171">
        <f t="shared" si="71"/>
        <v>0</v>
      </c>
      <c r="M77" s="171">
        <f t="shared" si="71"/>
        <v>0</v>
      </c>
      <c r="N77" s="171">
        <f t="shared" si="71"/>
        <v>0</v>
      </c>
      <c r="O77" s="171">
        <f t="shared" si="71"/>
        <v>0</v>
      </c>
      <c r="P77" s="171">
        <f t="shared" si="71"/>
        <v>0</v>
      </c>
      <c r="Q77" s="171">
        <f t="shared" si="71"/>
        <v>0</v>
      </c>
      <c r="R77" s="171">
        <f t="shared" si="71"/>
        <v>0</v>
      </c>
      <c r="S77" s="171">
        <f t="shared" si="71"/>
        <v>0</v>
      </c>
      <c r="T77" s="171">
        <f t="shared" si="71"/>
        <v>0</v>
      </c>
      <c r="U77" s="171">
        <f t="shared" si="71"/>
        <v>0</v>
      </c>
      <c r="V77" s="171">
        <f t="shared" si="71"/>
        <v>0</v>
      </c>
      <c r="W77" s="171">
        <f t="shared" si="71"/>
        <v>0</v>
      </c>
      <c r="X77" s="171">
        <f t="shared" si="71"/>
        <v>0</v>
      </c>
      <c r="Y77" s="171">
        <f t="shared" si="71"/>
        <v>0</v>
      </c>
      <c r="Z77" s="171">
        <f t="shared" si="71"/>
        <v>0</v>
      </c>
      <c r="AA77" s="171">
        <f t="shared" si="71"/>
        <v>0</v>
      </c>
      <c r="AB77" s="171">
        <f t="shared" si="71"/>
        <v>0</v>
      </c>
      <c r="AC77" s="171">
        <f t="shared" si="71"/>
        <v>0</v>
      </c>
      <c r="AD77" s="171">
        <f t="shared" si="71"/>
        <v>0</v>
      </c>
      <c r="AE77" s="171">
        <f t="shared" si="71"/>
        <v>0</v>
      </c>
      <c r="AF77" s="171">
        <f t="shared" si="71"/>
        <v>0</v>
      </c>
      <c r="AG77" s="171">
        <f t="shared" si="71"/>
        <v>0</v>
      </c>
      <c r="AH77" s="154" t="s">
        <v>12</v>
      </c>
      <c r="AI77" s="133"/>
      <c r="AJ77" s="170"/>
      <c r="AK77" s="133"/>
      <c r="AL77" s="133"/>
    </row>
    <row r="78" spans="1:77" ht="15.95" hidden="1" customHeight="1" x14ac:dyDescent="0.25">
      <c r="A78" s="177"/>
      <c r="B78" s="160" t="s">
        <v>68</v>
      </c>
      <c r="C78" s="161">
        <f t="shared" ref="C78:AG78" si="72">IF(C11="V",IF(C11="",0,1),0)</f>
        <v>0</v>
      </c>
      <c r="D78" s="161">
        <f t="shared" si="72"/>
        <v>0</v>
      </c>
      <c r="E78" s="161">
        <f t="shared" si="72"/>
        <v>0</v>
      </c>
      <c r="F78" s="161">
        <f t="shared" si="72"/>
        <v>0</v>
      </c>
      <c r="G78" s="161">
        <f t="shared" si="72"/>
        <v>0</v>
      </c>
      <c r="H78" s="161">
        <f t="shared" si="72"/>
        <v>0</v>
      </c>
      <c r="I78" s="161">
        <f t="shared" si="72"/>
        <v>0</v>
      </c>
      <c r="J78" s="161">
        <f t="shared" si="72"/>
        <v>0</v>
      </c>
      <c r="K78" s="161">
        <f t="shared" si="72"/>
        <v>0</v>
      </c>
      <c r="L78" s="161">
        <f t="shared" si="72"/>
        <v>0</v>
      </c>
      <c r="M78" s="161">
        <f t="shared" si="72"/>
        <v>0</v>
      </c>
      <c r="N78" s="161">
        <f t="shared" si="72"/>
        <v>0</v>
      </c>
      <c r="O78" s="161">
        <f t="shared" si="72"/>
        <v>0</v>
      </c>
      <c r="P78" s="161">
        <f t="shared" si="72"/>
        <v>0</v>
      </c>
      <c r="Q78" s="161">
        <f t="shared" si="72"/>
        <v>0</v>
      </c>
      <c r="R78" s="161">
        <f t="shared" si="72"/>
        <v>0</v>
      </c>
      <c r="S78" s="161">
        <f t="shared" si="72"/>
        <v>0</v>
      </c>
      <c r="T78" s="161">
        <f t="shared" si="72"/>
        <v>0</v>
      </c>
      <c r="U78" s="161">
        <f t="shared" si="72"/>
        <v>0</v>
      </c>
      <c r="V78" s="161">
        <f t="shared" si="72"/>
        <v>0</v>
      </c>
      <c r="W78" s="161">
        <f t="shared" si="72"/>
        <v>0</v>
      </c>
      <c r="X78" s="161">
        <f t="shared" si="72"/>
        <v>0</v>
      </c>
      <c r="Y78" s="161">
        <f t="shared" si="72"/>
        <v>0</v>
      </c>
      <c r="Z78" s="161">
        <f t="shared" si="72"/>
        <v>0</v>
      </c>
      <c r="AA78" s="161">
        <f t="shared" si="72"/>
        <v>0</v>
      </c>
      <c r="AB78" s="161">
        <f t="shared" si="72"/>
        <v>0</v>
      </c>
      <c r="AC78" s="161">
        <f t="shared" si="72"/>
        <v>0</v>
      </c>
      <c r="AD78" s="161">
        <f t="shared" si="72"/>
        <v>0</v>
      </c>
      <c r="AE78" s="161">
        <f t="shared" si="72"/>
        <v>0</v>
      </c>
      <c r="AF78" s="161">
        <f t="shared" si="72"/>
        <v>0</v>
      </c>
      <c r="AG78" s="161">
        <f t="shared" si="72"/>
        <v>0</v>
      </c>
      <c r="AH78" s="154" t="s">
        <v>12</v>
      </c>
      <c r="AI78" s="133"/>
      <c r="AJ78" s="170"/>
      <c r="AK78" s="133"/>
      <c r="AL78" s="133"/>
    </row>
    <row r="79" spans="1:77" ht="15.95" hidden="1" customHeight="1" x14ac:dyDescent="0.25">
      <c r="A79" s="173"/>
      <c r="B79" s="130" t="s">
        <v>16</v>
      </c>
      <c r="C79" s="163">
        <f t="shared" ref="C79:AG79" si="73">IF(C11="PR",IF(C11="",0,1),0)</f>
        <v>0</v>
      </c>
      <c r="D79" s="163">
        <f t="shared" si="73"/>
        <v>0</v>
      </c>
      <c r="E79" s="163">
        <f t="shared" si="73"/>
        <v>0</v>
      </c>
      <c r="F79" s="163">
        <f t="shared" si="73"/>
        <v>0</v>
      </c>
      <c r="G79" s="163">
        <f t="shared" si="73"/>
        <v>0</v>
      </c>
      <c r="H79" s="163">
        <f t="shared" si="73"/>
        <v>0</v>
      </c>
      <c r="I79" s="163">
        <f t="shared" si="73"/>
        <v>0</v>
      </c>
      <c r="J79" s="163">
        <f t="shared" si="73"/>
        <v>0</v>
      </c>
      <c r="K79" s="163">
        <f t="shared" si="73"/>
        <v>0</v>
      </c>
      <c r="L79" s="163">
        <f t="shared" si="73"/>
        <v>0</v>
      </c>
      <c r="M79" s="163">
        <f t="shared" si="73"/>
        <v>0</v>
      </c>
      <c r="N79" s="163">
        <f t="shared" si="73"/>
        <v>0</v>
      </c>
      <c r="O79" s="163">
        <f t="shared" si="73"/>
        <v>0</v>
      </c>
      <c r="P79" s="163">
        <f t="shared" si="73"/>
        <v>0</v>
      </c>
      <c r="Q79" s="163">
        <f t="shared" si="73"/>
        <v>0</v>
      </c>
      <c r="R79" s="163">
        <f t="shared" si="73"/>
        <v>0</v>
      </c>
      <c r="S79" s="163">
        <f t="shared" si="73"/>
        <v>0</v>
      </c>
      <c r="T79" s="163">
        <f t="shared" si="73"/>
        <v>0</v>
      </c>
      <c r="U79" s="163">
        <f t="shared" si="73"/>
        <v>0</v>
      </c>
      <c r="V79" s="163">
        <f t="shared" si="73"/>
        <v>0</v>
      </c>
      <c r="W79" s="163">
        <f t="shared" si="73"/>
        <v>0</v>
      </c>
      <c r="X79" s="163">
        <f t="shared" si="73"/>
        <v>0</v>
      </c>
      <c r="Y79" s="163">
        <f t="shared" si="73"/>
        <v>0</v>
      </c>
      <c r="Z79" s="163">
        <f t="shared" si="73"/>
        <v>0</v>
      </c>
      <c r="AA79" s="163">
        <f t="shared" si="73"/>
        <v>0</v>
      </c>
      <c r="AB79" s="163">
        <f t="shared" si="73"/>
        <v>0</v>
      </c>
      <c r="AC79" s="163">
        <f t="shared" si="73"/>
        <v>0</v>
      </c>
      <c r="AD79" s="163">
        <f t="shared" si="73"/>
        <v>0</v>
      </c>
      <c r="AE79" s="163">
        <f t="shared" si="73"/>
        <v>0</v>
      </c>
      <c r="AF79" s="163">
        <f t="shared" si="73"/>
        <v>0</v>
      </c>
      <c r="AG79" s="163">
        <f t="shared" si="73"/>
        <v>0</v>
      </c>
      <c r="AH79" s="229">
        <f>SUM(C79:AG79)</f>
        <v>0</v>
      </c>
      <c r="AI79" s="229"/>
      <c r="AJ79" s="174" t="s">
        <v>69</v>
      </c>
      <c r="AK79" s="133"/>
      <c r="AL79" s="133"/>
    </row>
    <row r="80" spans="1:77" ht="15.95" hidden="1" customHeight="1" x14ac:dyDescent="0.25">
      <c r="A80" s="164" t="s">
        <v>75</v>
      </c>
      <c r="B80" s="165" t="s">
        <v>29</v>
      </c>
      <c r="C80" s="141" t="str">
        <f t="shared" ref="C80:AG80" si="74">IF(C12=$R32,$S32*24,IF(C12=$R33,$S33*24,IF(C12=$R34,$S34*24,IF(C12=$R35,$S35*24,IF(C12=$R36,$S36*24,IF(C12=$R37,$S37*24,IF(C12=$R38,$S38*24,IF(C12=$R39,$S39*24,IF(C12=$R40,$S40*24,"")))))))))</f>
        <v/>
      </c>
      <c r="D80" s="141">
        <f t="shared" si="74"/>
        <v>7</v>
      </c>
      <c r="E80" s="141" t="str">
        <f t="shared" si="74"/>
        <v/>
      </c>
      <c r="F80" s="141" t="str">
        <f t="shared" si="74"/>
        <v/>
      </c>
      <c r="G80" s="141" t="str">
        <f t="shared" si="74"/>
        <v/>
      </c>
      <c r="H80" s="141">
        <f t="shared" si="74"/>
        <v>7</v>
      </c>
      <c r="I80" s="141">
        <f t="shared" si="74"/>
        <v>7</v>
      </c>
      <c r="J80" s="141">
        <f t="shared" si="74"/>
        <v>18</v>
      </c>
      <c r="K80" s="141" t="str">
        <f t="shared" si="74"/>
        <v/>
      </c>
      <c r="L80" s="141">
        <f t="shared" si="74"/>
        <v>7</v>
      </c>
      <c r="M80" s="141">
        <f t="shared" si="74"/>
        <v>7</v>
      </c>
      <c r="N80" s="141">
        <f t="shared" si="74"/>
        <v>7</v>
      </c>
      <c r="O80" s="141">
        <f t="shared" si="74"/>
        <v>7</v>
      </c>
      <c r="P80" s="141">
        <f t="shared" si="74"/>
        <v>7</v>
      </c>
      <c r="Q80" s="141">
        <f t="shared" si="74"/>
        <v>7</v>
      </c>
      <c r="R80" s="141">
        <f t="shared" si="74"/>
        <v>7</v>
      </c>
      <c r="S80" s="141" t="str">
        <f t="shared" si="74"/>
        <v/>
      </c>
      <c r="T80" s="141" t="str">
        <f t="shared" si="74"/>
        <v/>
      </c>
      <c r="U80" s="141" t="str">
        <f t="shared" si="74"/>
        <v/>
      </c>
      <c r="V80" s="141">
        <f t="shared" si="74"/>
        <v>7</v>
      </c>
      <c r="W80" s="141">
        <f t="shared" si="74"/>
        <v>7</v>
      </c>
      <c r="X80" s="141" t="str">
        <f t="shared" si="74"/>
        <v/>
      </c>
      <c r="Y80" s="141" t="str">
        <f t="shared" si="74"/>
        <v/>
      </c>
      <c r="Z80" s="141">
        <f t="shared" si="74"/>
        <v>7</v>
      </c>
      <c r="AA80" s="141">
        <f t="shared" si="74"/>
        <v>7</v>
      </c>
      <c r="AB80" s="141">
        <f t="shared" si="74"/>
        <v>7</v>
      </c>
      <c r="AC80" s="141" t="str">
        <f t="shared" si="74"/>
        <v/>
      </c>
      <c r="AD80" s="141" t="str">
        <f t="shared" si="74"/>
        <v/>
      </c>
      <c r="AE80" s="141">
        <f t="shared" si="74"/>
        <v>7</v>
      </c>
      <c r="AF80" s="141">
        <f t="shared" si="74"/>
        <v>7</v>
      </c>
      <c r="AG80" s="141" t="str">
        <f t="shared" si="74"/>
        <v/>
      </c>
      <c r="AH80" s="154" t="s">
        <v>12</v>
      </c>
      <c r="AI80" s="133"/>
      <c r="AJ80" s="170"/>
      <c r="AK80" s="133"/>
      <c r="AL80" s="133"/>
    </row>
    <row r="81" spans="1:38" ht="15.95" hidden="1" customHeight="1" x14ac:dyDescent="0.25">
      <c r="A81" s="166" t="s">
        <v>76</v>
      </c>
      <c r="B81" s="167" t="s">
        <v>30</v>
      </c>
      <c r="C81" s="141" t="str">
        <f t="shared" ref="C81:AG81" si="75">IF(C12=$R32,$V32*24,IF(C12=$R33,$V33*24,IF(C12=$R34,$V34*24,IF(C12=$R35,$V35*24,IF(C12=$R36,$V36*24,IF(C12=$R37,$V37*24,IF(C12=$R38,$V38*24,IF(C12=$R39,$V39*24,IF(C12=$R40,$V40*24,"")))))))))</f>
        <v/>
      </c>
      <c r="D81" s="141">
        <f t="shared" si="75"/>
        <v>19</v>
      </c>
      <c r="E81" s="141" t="str">
        <f t="shared" si="75"/>
        <v/>
      </c>
      <c r="F81" s="141" t="str">
        <f t="shared" si="75"/>
        <v/>
      </c>
      <c r="G81" s="141" t="str">
        <f t="shared" si="75"/>
        <v/>
      </c>
      <c r="H81" s="141">
        <f t="shared" si="75"/>
        <v>19</v>
      </c>
      <c r="I81" s="141">
        <f t="shared" si="75"/>
        <v>19</v>
      </c>
      <c r="J81" s="141">
        <f t="shared" si="75"/>
        <v>6</v>
      </c>
      <c r="K81" s="141" t="str">
        <f t="shared" si="75"/>
        <v/>
      </c>
      <c r="L81" s="141">
        <f t="shared" si="75"/>
        <v>19</v>
      </c>
      <c r="M81" s="141">
        <f t="shared" si="75"/>
        <v>19</v>
      </c>
      <c r="N81" s="141">
        <f t="shared" si="75"/>
        <v>19</v>
      </c>
      <c r="O81" s="141">
        <f t="shared" si="75"/>
        <v>19</v>
      </c>
      <c r="P81" s="141">
        <f t="shared" si="75"/>
        <v>19</v>
      </c>
      <c r="Q81" s="141">
        <f t="shared" si="75"/>
        <v>19</v>
      </c>
      <c r="R81" s="141">
        <f t="shared" si="75"/>
        <v>19</v>
      </c>
      <c r="S81" s="141" t="str">
        <f t="shared" si="75"/>
        <v/>
      </c>
      <c r="T81" s="141" t="str">
        <f t="shared" si="75"/>
        <v/>
      </c>
      <c r="U81" s="141" t="str">
        <f t="shared" si="75"/>
        <v/>
      </c>
      <c r="V81" s="141">
        <f t="shared" si="75"/>
        <v>19</v>
      </c>
      <c r="W81" s="141">
        <f t="shared" si="75"/>
        <v>19</v>
      </c>
      <c r="X81" s="141" t="str">
        <f t="shared" si="75"/>
        <v/>
      </c>
      <c r="Y81" s="141" t="str">
        <f t="shared" si="75"/>
        <v/>
      </c>
      <c r="Z81" s="141">
        <f t="shared" si="75"/>
        <v>19</v>
      </c>
      <c r="AA81" s="141">
        <f t="shared" si="75"/>
        <v>19</v>
      </c>
      <c r="AB81" s="141">
        <f t="shared" si="75"/>
        <v>19</v>
      </c>
      <c r="AC81" s="141" t="str">
        <f t="shared" si="75"/>
        <v/>
      </c>
      <c r="AD81" s="141" t="str">
        <f t="shared" si="75"/>
        <v/>
      </c>
      <c r="AE81" s="141">
        <f t="shared" si="75"/>
        <v>19</v>
      </c>
      <c r="AF81" s="141">
        <f t="shared" si="75"/>
        <v>19</v>
      </c>
      <c r="AG81" s="141" t="str">
        <f t="shared" si="75"/>
        <v/>
      </c>
      <c r="AH81" s="154" t="s">
        <v>12</v>
      </c>
      <c r="AI81" s="133"/>
      <c r="AJ81" s="170"/>
      <c r="AK81" s="133"/>
      <c r="AL81" s="133"/>
    </row>
    <row r="82" spans="1:38" ht="15.95" hidden="1" customHeight="1" x14ac:dyDescent="0.25">
      <c r="A82" s="153"/>
      <c r="B82" s="168" t="s">
        <v>34</v>
      </c>
      <c r="C82" s="169" t="str">
        <f t="shared" ref="C82:AD82" si="76">IF(C12=$R32,$BD32*24,IF(C12=$R33,$BD33*24,IF(C12=$R34,$BD34*24,IF(C12=$R35,$BD35*24,IF(C12=$R36,$BD36*24,IF(C12=$R37,$BD37*24,IF(C12=$R38,$BD38*24,IF(C12=$R39,$BD39*24,IF(C12=$R40,$BD40*24,"")))))))))</f>
        <v/>
      </c>
      <c r="D82" s="169">
        <f t="shared" si="76"/>
        <v>0</v>
      </c>
      <c r="E82" s="169" t="str">
        <f t="shared" si="76"/>
        <v/>
      </c>
      <c r="F82" s="169" t="str">
        <f t="shared" si="76"/>
        <v/>
      </c>
      <c r="G82" s="169" t="str">
        <f t="shared" si="76"/>
        <v/>
      </c>
      <c r="H82" s="169">
        <f t="shared" si="76"/>
        <v>0</v>
      </c>
      <c r="I82" s="169">
        <f t="shared" si="76"/>
        <v>0</v>
      </c>
      <c r="J82" s="169">
        <f t="shared" si="76"/>
        <v>8</v>
      </c>
      <c r="K82" s="169" t="str">
        <f t="shared" si="76"/>
        <v/>
      </c>
      <c r="L82" s="169">
        <f t="shared" si="76"/>
        <v>0</v>
      </c>
      <c r="M82" s="169">
        <f t="shared" si="76"/>
        <v>0</v>
      </c>
      <c r="N82" s="169">
        <f t="shared" si="76"/>
        <v>0</v>
      </c>
      <c r="O82" s="169">
        <f t="shared" si="76"/>
        <v>0</v>
      </c>
      <c r="P82" s="169">
        <f t="shared" si="76"/>
        <v>0</v>
      </c>
      <c r="Q82" s="169">
        <f t="shared" si="76"/>
        <v>0</v>
      </c>
      <c r="R82" s="169">
        <f t="shared" si="76"/>
        <v>0</v>
      </c>
      <c r="S82" s="169" t="str">
        <f t="shared" si="76"/>
        <v/>
      </c>
      <c r="T82" s="169" t="str">
        <f t="shared" si="76"/>
        <v/>
      </c>
      <c r="U82" s="169" t="str">
        <f t="shared" si="76"/>
        <v/>
      </c>
      <c r="V82" s="169">
        <f t="shared" si="76"/>
        <v>0</v>
      </c>
      <c r="W82" s="169">
        <f t="shared" si="76"/>
        <v>0</v>
      </c>
      <c r="X82" s="169" t="str">
        <f t="shared" si="76"/>
        <v/>
      </c>
      <c r="Y82" s="169" t="str">
        <f t="shared" si="76"/>
        <v/>
      </c>
      <c r="Z82" s="169">
        <f t="shared" si="76"/>
        <v>0</v>
      </c>
      <c r="AA82" s="169">
        <f t="shared" si="76"/>
        <v>0</v>
      </c>
      <c r="AB82" s="169">
        <f t="shared" si="76"/>
        <v>0</v>
      </c>
      <c r="AC82" s="169" t="str">
        <f t="shared" si="76"/>
        <v/>
      </c>
      <c r="AD82" s="169" t="str">
        <f t="shared" si="76"/>
        <v/>
      </c>
      <c r="AE82" s="169">
        <f>IF(AE12=$R32,$BD32*24,IF(AE12=$R33,$BD33*24,IF(AE12=$R34,$BD34*24,IF(AE12=$R35,$BD35*24,IF(AE12=$R36,$BD36*24,IF(AE12=$R37,$BD37*24,IF(AE12=$R38,$BD38*24,IF(AE12=$R39,$BD39*24,IF(AE12=$R40,$BD40*24,"")))))))))</f>
        <v>0</v>
      </c>
      <c r="AF82" s="169">
        <f>IF(AF12=$R32,$BD32*24,IF(AF12=$R33,$BD33*24,IF(AF12=$R34,$BD34*24,IF(AF12=$R35,$BD35*24,IF(AF12=$R36,$BD36*24,IF(AF12=$R37,$BD37*24,IF(AF12=$R38,$BD38*24,IF(AF12=$R39,$BD39*24,IF(AF12=$R40,$BD40*24,"")))))))))</f>
        <v>0</v>
      </c>
      <c r="AG82" s="169" t="str">
        <f>IF(AG12=$R32,$BD32*24,IF(AG12=$R33,$BD33*24,IF(AG12=$R34,$BD34*24,IF(AG12=$R35,$BD35*24,IF(AG12=$R36,$BD36*24,IF(AG12=$R37,$BD37*24,IF(AG12=$R38,$BD38*24,IF(AG12=$R39,$BD39*24,IF(AG12=$R40,$BD40*24,"")))))))))</f>
        <v/>
      </c>
      <c r="AH82" s="148">
        <f>SUM(C82:AG82)</f>
        <v>8</v>
      </c>
      <c r="AI82" s="133"/>
      <c r="AJ82" s="170"/>
      <c r="AK82" s="133"/>
      <c r="AL82" s="133"/>
    </row>
    <row r="83" spans="1:38" ht="15.95" hidden="1" customHeight="1" x14ac:dyDescent="0.25">
      <c r="A83" s="153"/>
      <c r="B83" s="167" t="s">
        <v>59</v>
      </c>
      <c r="C83" s="141">
        <f t="shared" ref="C83:AG83" si="77">IF(C12="V",$C36,IF(C12="PR",$C38,0))</f>
        <v>0</v>
      </c>
      <c r="D83" s="141">
        <f t="shared" si="77"/>
        <v>0</v>
      </c>
      <c r="E83" s="141">
        <f t="shared" si="77"/>
        <v>0</v>
      </c>
      <c r="F83" s="141">
        <f t="shared" si="77"/>
        <v>0</v>
      </c>
      <c r="G83" s="141">
        <f t="shared" si="77"/>
        <v>0</v>
      </c>
      <c r="H83" s="141">
        <f t="shared" si="77"/>
        <v>0</v>
      </c>
      <c r="I83" s="141">
        <f t="shared" si="77"/>
        <v>0</v>
      </c>
      <c r="J83" s="141">
        <f t="shared" si="77"/>
        <v>0</v>
      </c>
      <c r="K83" s="141">
        <f t="shared" si="77"/>
        <v>0</v>
      </c>
      <c r="L83" s="141">
        <f t="shared" si="77"/>
        <v>0</v>
      </c>
      <c r="M83" s="141">
        <f t="shared" si="77"/>
        <v>0</v>
      </c>
      <c r="N83" s="141">
        <f t="shared" si="77"/>
        <v>0</v>
      </c>
      <c r="O83" s="141">
        <f t="shared" si="77"/>
        <v>0</v>
      </c>
      <c r="P83" s="141">
        <f t="shared" si="77"/>
        <v>0</v>
      </c>
      <c r="Q83" s="141">
        <f t="shared" si="77"/>
        <v>0</v>
      </c>
      <c r="R83" s="141">
        <f t="shared" si="77"/>
        <v>0</v>
      </c>
      <c r="S83" s="141">
        <f t="shared" si="77"/>
        <v>0</v>
      </c>
      <c r="T83" s="141">
        <f t="shared" si="77"/>
        <v>0</v>
      </c>
      <c r="U83" s="141">
        <f t="shared" si="77"/>
        <v>0</v>
      </c>
      <c r="V83" s="141">
        <f t="shared" si="77"/>
        <v>0</v>
      </c>
      <c r="W83" s="141">
        <f t="shared" si="77"/>
        <v>0</v>
      </c>
      <c r="X83" s="141">
        <f t="shared" si="77"/>
        <v>0</v>
      </c>
      <c r="Y83" s="141">
        <f t="shared" si="77"/>
        <v>0</v>
      </c>
      <c r="Z83" s="141">
        <f t="shared" si="77"/>
        <v>0</v>
      </c>
      <c r="AA83" s="141">
        <f t="shared" si="77"/>
        <v>0</v>
      </c>
      <c r="AB83" s="141">
        <f t="shared" si="77"/>
        <v>0</v>
      </c>
      <c r="AC83" s="141">
        <f t="shared" si="77"/>
        <v>0</v>
      </c>
      <c r="AD83" s="141">
        <f t="shared" si="77"/>
        <v>0</v>
      </c>
      <c r="AE83" s="141">
        <f t="shared" si="77"/>
        <v>0</v>
      </c>
      <c r="AF83" s="141">
        <f t="shared" si="77"/>
        <v>0</v>
      </c>
      <c r="AG83" s="141">
        <f t="shared" si="77"/>
        <v>0</v>
      </c>
      <c r="AH83" s="226">
        <f>SUM(C83:AG83)</f>
        <v>0</v>
      </c>
      <c r="AI83" s="226"/>
      <c r="AJ83" s="170" t="s">
        <v>12</v>
      </c>
      <c r="AK83" s="133"/>
      <c r="AL83" s="133"/>
    </row>
    <row r="84" spans="1:38" ht="15.95" hidden="1" customHeight="1" x14ac:dyDescent="0.25">
      <c r="A84" s="150" t="s">
        <v>60</v>
      </c>
      <c r="B84" s="167" t="s">
        <v>61</v>
      </c>
      <c r="C84" s="151">
        <f t="shared" ref="C84:AD84" si="78">IF(C12=$R32,$BC32,IF(C12=$R33,$BC33,IF(C12=$R34,$BC34,IF(C12=$R35,$BC35,IF(C12=$R36,$BC36,IF(C12=$R37,$BC37,IF(C12=$R38,$BC38,IF(C12=$R39,$BC39,IF(C12=$R40,$BC40,0)))))))))</f>
        <v>0</v>
      </c>
      <c r="D84" s="151">
        <f t="shared" si="78"/>
        <v>11.999999999999998</v>
      </c>
      <c r="E84" s="151">
        <f t="shared" si="78"/>
        <v>0</v>
      </c>
      <c r="F84" s="151">
        <f t="shared" si="78"/>
        <v>0</v>
      </c>
      <c r="G84" s="151">
        <f t="shared" si="78"/>
        <v>0</v>
      </c>
      <c r="H84" s="151">
        <f t="shared" si="78"/>
        <v>11.999999999999998</v>
      </c>
      <c r="I84" s="151">
        <f t="shared" si="78"/>
        <v>11.999999999999998</v>
      </c>
      <c r="J84" s="151">
        <f t="shared" si="78"/>
        <v>12</v>
      </c>
      <c r="K84" s="151">
        <f t="shared" si="78"/>
        <v>0</v>
      </c>
      <c r="L84" s="151">
        <f t="shared" si="78"/>
        <v>11.999999999999998</v>
      </c>
      <c r="M84" s="151">
        <f t="shared" si="78"/>
        <v>11.999999999999998</v>
      </c>
      <c r="N84" s="151">
        <f t="shared" si="78"/>
        <v>11.999999999999998</v>
      </c>
      <c r="O84" s="151">
        <f t="shared" si="78"/>
        <v>11.999999999999998</v>
      </c>
      <c r="P84" s="151">
        <f t="shared" si="78"/>
        <v>11.999999999999998</v>
      </c>
      <c r="Q84" s="151">
        <f t="shared" si="78"/>
        <v>11.999999999999998</v>
      </c>
      <c r="R84" s="151">
        <f t="shared" si="78"/>
        <v>11.999999999999998</v>
      </c>
      <c r="S84" s="151">
        <f t="shared" si="78"/>
        <v>0</v>
      </c>
      <c r="T84" s="151">
        <f t="shared" si="78"/>
        <v>0</v>
      </c>
      <c r="U84" s="151">
        <f t="shared" si="78"/>
        <v>0</v>
      </c>
      <c r="V84" s="151">
        <f t="shared" si="78"/>
        <v>11.999999999999998</v>
      </c>
      <c r="W84" s="151">
        <f t="shared" si="78"/>
        <v>11.999999999999998</v>
      </c>
      <c r="X84" s="151">
        <f t="shared" si="78"/>
        <v>0</v>
      </c>
      <c r="Y84" s="151">
        <f t="shared" si="78"/>
        <v>0</v>
      </c>
      <c r="Z84" s="151">
        <f t="shared" si="78"/>
        <v>11.999999999999998</v>
      </c>
      <c r="AA84" s="151">
        <f t="shared" si="78"/>
        <v>11.999999999999998</v>
      </c>
      <c r="AB84" s="151">
        <f t="shared" si="78"/>
        <v>11.999999999999998</v>
      </c>
      <c r="AC84" s="151">
        <f t="shared" si="78"/>
        <v>0</v>
      </c>
      <c r="AD84" s="151">
        <f t="shared" si="78"/>
        <v>0</v>
      </c>
      <c r="AE84" s="151">
        <f>IF(AE12=$R32,$BC32,IF(AE12=$R33,$BC33,IF(AE12=$R34,$BC34,IF(AE12=$R35,$BC35,IF(AE12=$R36,$BC36,IF(AE12=$R37,$BC37,IF(AE12=$R38,$BC38,IF(AE12=$R39,$BC39,IF(AE12=$R40,$BC40,0)))))))))</f>
        <v>11.999999999999998</v>
      </c>
      <c r="AF84" s="151">
        <f>IF(AF12=$R32,$BC32,IF(AF12=$R33,$BC33,IF(AF12=$R34,$BC34,IF(AF12=$R35,$BC35,IF(AF12=$R36,$BC36,IF(AF12=$R37,$BC37,IF(AF12=$R38,$BC38,IF(AF12=$R39,$BC39,IF(AF12=$R40,$BC40,0)))))))))</f>
        <v>11.999999999999998</v>
      </c>
      <c r="AG84" s="151">
        <f>IF(AG12=$R32,$BC32,IF(AG12=$R33,$BC33,IF(AG12=$R34,$BC34,IF(AG12=$R35,$BC35,IF(AG12=$R36,$BC36,IF(AG12=$R37,$BC37,IF(AG12=$R38,$BC38,IF(AG12=$R39,$BC39,IF(AG12=$R40,$BC40,0)))))))))</f>
        <v>0</v>
      </c>
      <c r="AH84" s="226">
        <f>SUM(C84:AG84)</f>
        <v>215.99999999999997</v>
      </c>
      <c r="AI84" s="226"/>
      <c r="AJ84" s="175" t="s">
        <v>62</v>
      </c>
      <c r="AK84" s="133" t="s">
        <v>12</v>
      </c>
      <c r="AL84" s="133"/>
    </row>
    <row r="85" spans="1:38" ht="15.95" hidden="1" customHeight="1" x14ac:dyDescent="0.25">
      <c r="A85" s="153" t="s">
        <v>48</v>
      </c>
      <c r="B85" s="149" t="s">
        <v>63</v>
      </c>
      <c r="C85" s="141" t="b">
        <f t="shared" ref="C85:AG85" si="79">IF(C46=1,IF(C80&lt;C81,C84,0))</f>
        <v>0</v>
      </c>
      <c r="D85" s="141" t="b">
        <f t="shared" si="79"/>
        <v>0</v>
      </c>
      <c r="E85" s="141" t="b">
        <f t="shared" si="79"/>
        <v>0</v>
      </c>
      <c r="F85" s="141">
        <f t="shared" si="79"/>
        <v>0</v>
      </c>
      <c r="G85" s="141">
        <f t="shared" si="79"/>
        <v>0</v>
      </c>
      <c r="H85" s="141" t="b">
        <f t="shared" si="79"/>
        <v>0</v>
      </c>
      <c r="I85" s="141" t="b">
        <f t="shared" si="79"/>
        <v>0</v>
      </c>
      <c r="J85" s="141" t="b">
        <f t="shared" si="79"/>
        <v>0</v>
      </c>
      <c r="K85" s="141" t="b">
        <f t="shared" si="79"/>
        <v>0</v>
      </c>
      <c r="L85" s="141" t="b">
        <f t="shared" si="79"/>
        <v>0</v>
      </c>
      <c r="M85" s="141">
        <f t="shared" si="79"/>
        <v>11.999999999999998</v>
      </c>
      <c r="N85" s="141">
        <f t="shared" si="79"/>
        <v>11.999999999999998</v>
      </c>
      <c r="O85" s="141" t="b">
        <f t="shared" si="79"/>
        <v>0</v>
      </c>
      <c r="P85" s="141" t="b">
        <f t="shared" si="79"/>
        <v>0</v>
      </c>
      <c r="Q85" s="141" t="b">
        <f t="shared" si="79"/>
        <v>0</v>
      </c>
      <c r="R85" s="141" t="b">
        <f t="shared" si="79"/>
        <v>0</v>
      </c>
      <c r="S85" s="141" t="b">
        <f t="shared" si="79"/>
        <v>0</v>
      </c>
      <c r="T85" s="141">
        <f t="shared" si="79"/>
        <v>0</v>
      </c>
      <c r="U85" s="141">
        <f t="shared" si="79"/>
        <v>0</v>
      </c>
      <c r="V85" s="141" t="b">
        <f t="shared" si="79"/>
        <v>0</v>
      </c>
      <c r="W85" s="141" t="b">
        <f t="shared" si="79"/>
        <v>0</v>
      </c>
      <c r="X85" s="141" t="b">
        <f t="shared" si="79"/>
        <v>0</v>
      </c>
      <c r="Y85" s="141" t="b">
        <f t="shared" si="79"/>
        <v>0</v>
      </c>
      <c r="Z85" s="141" t="b">
        <f t="shared" si="79"/>
        <v>0</v>
      </c>
      <c r="AA85" s="141">
        <f t="shared" si="79"/>
        <v>11.999999999999998</v>
      </c>
      <c r="AB85" s="141">
        <f t="shared" si="79"/>
        <v>11.999999999999998</v>
      </c>
      <c r="AC85" s="141" t="b">
        <f t="shared" si="79"/>
        <v>0</v>
      </c>
      <c r="AD85" s="141" t="b">
        <f t="shared" si="79"/>
        <v>0</v>
      </c>
      <c r="AE85" s="141" t="b">
        <f t="shared" si="79"/>
        <v>0</v>
      </c>
      <c r="AF85" s="141" t="b">
        <f t="shared" si="79"/>
        <v>0</v>
      </c>
      <c r="AG85" s="141" t="b">
        <f t="shared" si="79"/>
        <v>0</v>
      </c>
      <c r="AH85" s="154" t="s">
        <v>12</v>
      </c>
      <c r="AI85" s="133"/>
      <c r="AJ85" s="170"/>
      <c r="AK85" s="133"/>
      <c r="AL85" s="133"/>
    </row>
    <row r="86" spans="1:38" ht="15.95" hidden="1" customHeight="1" x14ac:dyDescent="0.25">
      <c r="A86" s="176"/>
      <c r="B86" s="149" t="s">
        <v>64</v>
      </c>
      <c r="C86" s="141">
        <f t="shared" ref="C86:AG86" si="80">IF(C46=1,IF(C80&gt;C81,24-C80,0),0)</f>
        <v>0</v>
      </c>
      <c r="D86" s="141">
        <f t="shared" si="80"/>
        <v>0</v>
      </c>
      <c r="E86" s="141">
        <f t="shared" si="80"/>
        <v>0</v>
      </c>
      <c r="F86" s="141">
        <f t="shared" si="80"/>
        <v>0</v>
      </c>
      <c r="G86" s="141">
        <f t="shared" si="80"/>
        <v>0</v>
      </c>
      <c r="H86" s="141">
        <f t="shared" si="80"/>
        <v>0</v>
      </c>
      <c r="I86" s="141">
        <f t="shared" si="80"/>
        <v>0</v>
      </c>
      <c r="J86" s="141">
        <f t="shared" si="80"/>
        <v>0</v>
      </c>
      <c r="K86" s="141">
        <f t="shared" si="80"/>
        <v>0</v>
      </c>
      <c r="L86" s="141">
        <f t="shared" si="80"/>
        <v>0</v>
      </c>
      <c r="M86" s="141">
        <f t="shared" si="80"/>
        <v>0</v>
      </c>
      <c r="N86" s="141">
        <f t="shared" si="80"/>
        <v>0</v>
      </c>
      <c r="O86" s="141">
        <f t="shared" si="80"/>
        <v>0</v>
      </c>
      <c r="P86" s="141">
        <f t="shared" si="80"/>
        <v>0</v>
      </c>
      <c r="Q86" s="141">
        <f t="shared" si="80"/>
        <v>0</v>
      </c>
      <c r="R86" s="141">
        <f t="shared" si="80"/>
        <v>0</v>
      </c>
      <c r="S86" s="141">
        <f t="shared" si="80"/>
        <v>0</v>
      </c>
      <c r="T86" s="141">
        <f t="shared" si="80"/>
        <v>0</v>
      </c>
      <c r="U86" s="141">
        <f t="shared" si="80"/>
        <v>0</v>
      </c>
      <c r="V86" s="141">
        <f t="shared" si="80"/>
        <v>0</v>
      </c>
      <c r="W86" s="141">
        <f t="shared" si="80"/>
        <v>0</v>
      </c>
      <c r="X86" s="141">
        <f t="shared" si="80"/>
        <v>0</v>
      </c>
      <c r="Y86" s="141">
        <f t="shared" si="80"/>
        <v>0</v>
      </c>
      <c r="Z86" s="141">
        <f t="shared" si="80"/>
        <v>0</v>
      </c>
      <c r="AA86" s="141">
        <f t="shared" si="80"/>
        <v>0</v>
      </c>
      <c r="AB86" s="141">
        <f t="shared" si="80"/>
        <v>0</v>
      </c>
      <c r="AC86" s="141">
        <f t="shared" si="80"/>
        <v>0</v>
      </c>
      <c r="AD86" s="141">
        <f t="shared" si="80"/>
        <v>0</v>
      </c>
      <c r="AE86" s="141">
        <f t="shared" si="80"/>
        <v>0</v>
      </c>
      <c r="AF86" s="141">
        <f t="shared" si="80"/>
        <v>0</v>
      </c>
      <c r="AG86" s="141">
        <f t="shared" si="80"/>
        <v>0</v>
      </c>
      <c r="AH86" s="154" t="s">
        <v>12</v>
      </c>
      <c r="AI86" s="133"/>
      <c r="AJ86" s="170"/>
      <c r="AK86" s="133"/>
      <c r="AL86" s="133"/>
    </row>
    <row r="87" spans="1:38" ht="15.95" hidden="1" customHeight="1" x14ac:dyDescent="0.25">
      <c r="A87" s="176"/>
      <c r="B87" s="149" t="s">
        <v>65</v>
      </c>
      <c r="C87" s="141">
        <f t="shared" ref="C87:AG87" si="81">IF(D46=1,IF(C80&gt;C81,C81,0),0)</f>
        <v>0</v>
      </c>
      <c r="D87" s="141">
        <f t="shared" si="81"/>
        <v>0</v>
      </c>
      <c r="E87" s="141">
        <f t="shared" si="81"/>
        <v>0</v>
      </c>
      <c r="F87" s="141">
        <f t="shared" si="81"/>
        <v>0</v>
      </c>
      <c r="G87" s="141">
        <f t="shared" si="81"/>
        <v>0</v>
      </c>
      <c r="H87" s="141">
        <f t="shared" si="81"/>
        <v>0</v>
      </c>
      <c r="I87" s="141">
        <f t="shared" si="81"/>
        <v>0</v>
      </c>
      <c r="J87" s="141">
        <f t="shared" si="81"/>
        <v>0</v>
      </c>
      <c r="K87" s="141">
        <f t="shared" si="81"/>
        <v>0</v>
      </c>
      <c r="L87" s="141">
        <f t="shared" si="81"/>
        <v>0</v>
      </c>
      <c r="M87" s="141">
        <f t="shared" si="81"/>
        <v>0</v>
      </c>
      <c r="N87" s="141">
        <f t="shared" si="81"/>
        <v>0</v>
      </c>
      <c r="O87" s="141">
        <f t="shared" si="81"/>
        <v>0</v>
      </c>
      <c r="P87" s="141">
        <f t="shared" si="81"/>
        <v>0</v>
      </c>
      <c r="Q87" s="141">
        <f t="shared" si="81"/>
        <v>0</v>
      </c>
      <c r="R87" s="141">
        <f t="shared" si="81"/>
        <v>0</v>
      </c>
      <c r="S87" s="141">
        <f t="shared" si="81"/>
        <v>0</v>
      </c>
      <c r="T87" s="141">
        <f t="shared" si="81"/>
        <v>0</v>
      </c>
      <c r="U87" s="141">
        <f t="shared" si="81"/>
        <v>0</v>
      </c>
      <c r="V87" s="141">
        <f t="shared" si="81"/>
        <v>0</v>
      </c>
      <c r="W87" s="141">
        <f t="shared" si="81"/>
        <v>0</v>
      </c>
      <c r="X87" s="141">
        <f>IF(Y46=1,IF(X80&gt;X81,X81,0),0)</f>
        <v>0</v>
      </c>
      <c r="Y87" s="141">
        <f t="shared" si="81"/>
        <v>0</v>
      </c>
      <c r="Z87" s="141">
        <f t="shared" si="81"/>
        <v>0</v>
      </c>
      <c r="AA87" s="141">
        <f t="shared" si="81"/>
        <v>0</v>
      </c>
      <c r="AB87" s="141">
        <f t="shared" si="81"/>
        <v>0</v>
      </c>
      <c r="AC87" s="141">
        <f t="shared" si="81"/>
        <v>0</v>
      </c>
      <c r="AD87" s="141">
        <f t="shared" si="81"/>
        <v>0</v>
      </c>
      <c r="AE87" s="141">
        <f t="shared" si="81"/>
        <v>0</v>
      </c>
      <c r="AF87" s="141">
        <f t="shared" si="81"/>
        <v>0</v>
      </c>
      <c r="AG87" s="141">
        <f t="shared" si="81"/>
        <v>0</v>
      </c>
      <c r="AH87" s="154" t="s">
        <v>12</v>
      </c>
      <c r="AI87" s="133"/>
      <c r="AJ87" s="170"/>
      <c r="AK87" s="133"/>
      <c r="AL87" s="133"/>
    </row>
    <row r="88" spans="1:38" ht="15.95" hidden="1" customHeight="1" x14ac:dyDescent="0.25">
      <c r="A88" s="176"/>
      <c r="B88" s="149" t="s">
        <v>67</v>
      </c>
      <c r="C88" s="171">
        <f t="shared" ref="C88:AG88" si="82">SUM(C85:C87)</f>
        <v>0</v>
      </c>
      <c r="D88" s="171">
        <f t="shared" si="82"/>
        <v>0</v>
      </c>
      <c r="E88" s="171">
        <f t="shared" si="82"/>
        <v>0</v>
      </c>
      <c r="F88" s="171">
        <f t="shared" si="82"/>
        <v>0</v>
      </c>
      <c r="G88" s="171">
        <f t="shared" si="82"/>
        <v>0</v>
      </c>
      <c r="H88" s="171">
        <f t="shared" si="82"/>
        <v>0</v>
      </c>
      <c r="I88" s="171">
        <f t="shared" si="82"/>
        <v>0</v>
      </c>
      <c r="J88" s="171">
        <f t="shared" si="82"/>
        <v>0</v>
      </c>
      <c r="K88" s="171">
        <f t="shared" si="82"/>
        <v>0</v>
      </c>
      <c r="L88" s="171">
        <f t="shared" si="82"/>
        <v>0</v>
      </c>
      <c r="M88" s="171">
        <f t="shared" si="82"/>
        <v>11.999999999999998</v>
      </c>
      <c r="N88" s="171">
        <f t="shared" si="82"/>
        <v>11.999999999999998</v>
      </c>
      <c r="O88" s="171">
        <f t="shared" si="82"/>
        <v>0</v>
      </c>
      <c r="P88" s="171">
        <f t="shared" si="82"/>
        <v>0</v>
      </c>
      <c r="Q88" s="171">
        <f t="shared" si="82"/>
        <v>0</v>
      </c>
      <c r="R88" s="171">
        <f t="shared" si="82"/>
        <v>0</v>
      </c>
      <c r="S88" s="171">
        <f t="shared" si="82"/>
        <v>0</v>
      </c>
      <c r="T88" s="171">
        <f t="shared" si="82"/>
        <v>0</v>
      </c>
      <c r="U88" s="171">
        <f t="shared" si="82"/>
        <v>0</v>
      </c>
      <c r="V88" s="171">
        <f t="shared" si="82"/>
        <v>0</v>
      </c>
      <c r="W88" s="171">
        <f t="shared" si="82"/>
        <v>0</v>
      </c>
      <c r="X88" s="171">
        <f t="shared" si="82"/>
        <v>0</v>
      </c>
      <c r="Y88" s="171">
        <f t="shared" si="82"/>
        <v>0</v>
      </c>
      <c r="Z88" s="171">
        <f t="shared" si="82"/>
        <v>0</v>
      </c>
      <c r="AA88" s="171">
        <f t="shared" si="82"/>
        <v>11.999999999999998</v>
      </c>
      <c r="AB88" s="171">
        <f t="shared" si="82"/>
        <v>11.999999999999998</v>
      </c>
      <c r="AC88" s="171">
        <f t="shared" si="82"/>
        <v>0</v>
      </c>
      <c r="AD88" s="171">
        <f t="shared" si="82"/>
        <v>0</v>
      </c>
      <c r="AE88" s="171">
        <f t="shared" si="82"/>
        <v>0</v>
      </c>
      <c r="AF88" s="171">
        <f t="shared" si="82"/>
        <v>0</v>
      </c>
      <c r="AG88" s="171">
        <f t="shared" si="82"/>
        <v>0</v>
      </c>
      <c r="AH88" s="154" t="s">
        <v>12</v>
      </c>
      <c r="AI88" s="133"/>
      <c r="AJ88" s="170"/>
      <c r="AK88" s="133"/>
      <c r="AL88" s="133"/>
    </row>
    <row r="89" spans="1:38" ht="15.95" hidden="1" customHeight="1" x14ac:dyDescent="0.25">
      <c r="A89" s="177"/>
      <c r="B89" s="160" t="s">
        <v>68</v>
      </c>
      <c r="C89" s="161">
        <f t="shared" ref="C89:AG89" si="83">IF(C12="V",IF(C12="",0,1),0)</f>
        <v>0</v>
      </c>
      <c r="D89" s="161">
        <f t="shared" si="83"/>
        <v>0</v>
      </c>
      <c r="E89" s="161">
        <f t="shared" si="83"/>
        <v>0</v>
      </c>
      <c r="F89" s="161">
        <f t="shared" si="83"/>
        <v>0</v>
      </c>
      <c r="G89" s="161">
        <f t="shared" si="83"/>
        <v>0</v>
      </c>
      <c r="H89" s="161">
        <f t="shared" si="83"/>
        <v>0</v>
      </c>
      <c r="I89" s="161">
        <f t="shared" si="83"/>
        <v>0</v>
      </c>
      <c r="J89" s="161">
        <f t="shared" si="83"/>
        <v>0</v>
      </c>
      <c r="K89" s="161">
        <f t="shared" si="83"/>
        <v>0</v>
      </c>
      <c r="L89" s="161">
        <f t="shared" si="83"/>
        <v>0</v>
      </c>
      <c r="M89" s="161">
        <f t="shared" si="83"/>
        <v>0</v>
      </c>
      <c r="N89" s="161">
        <f t="shared" si="83"/>
        <v>0</v>
      </c>
      <c r="O89" s="161">
        <f t="shared" si="83"/>
        <v>0</v>
      </c>
      <c r="P89" s="161">
        <f t="shared" si="83"/>
        <v>0</v>
      </c>
      <c r="Q89" s="161">
        <f t="shared" si="83"/>
        <v>0</v>
      </c>
      <c r="R89" s="161">
        <f t="shared" si="83"/>
        <v>0</v>
      </c>
      <c r="S89" s="161">
        <f t="shared" si="83"/>
        <v>0</v>
      </c>
      <c r="T89" s="161">
        <f t="shared" si="83"/>
        <v>0</v>
      </c>
      <c r="U89" s="161">
        <f t="shared" si="83"/>
        <v>0</v>
      </c>
      <c r="V89" s="161">
        <f t="shared" si="83"/>
        <v>0</v>
      </c>
      <c r="W89" s="161">
        <f t="shared" si="83"/>
        <v>0</v>
      </c>
      <c r="X89" s="161">
        <f t="shared" si="83"/>
        <v>0</v>
      </c>
      <c r="Y89" s="161">
        <f t="shared" si="83"/>
        <v>0</v>
      </c>
      <c r="Z89" s="161">
        <f t="shared" si="83"/>
        <v>0</v>
      </c>
      <c r="AA89" s="161">
        <f t="shared" si="83"/>
        <v>0</v>
      </c>
      <c r="AB89" s="161">
        <f t="shared" si="83"/>
        <v>0</v>
      </c>
      <c r="AC89" s="161">
        <f t="shared" si="83"/>
        <v>0</v>
      </c>
      <c r="AD89" s="161">
        <f t="shared" si="83"/>
        <v>0</v>
      </c>
      <c r="AE89" s="161">
        <f t="shared" si="83"/>
        <v>0</v>
      </c>
      <c r="AF89" s="161">
        <f t="shared" si="83"/>
        <v>0</v>
      </c>
      <c r="AG89" s="161">
        <f t="shared" si="83"/>
        <v>0</v>
      </c>
      <c r="AH89" s="154"/>
      <c r="AI89" s="133"/>
      <c r="AJ89" s="170"/>
      <c r="AK89" s="133"/>
      <c r="AL89" s="133"/>
    </row>
    <row r="90" spans="1:38" ht="15.95" hidden="1" customHeight="1" x14ac:dyDescent="0.25">
      <c r="A90" s="173"/>
      <c r="B90" s="130" t="s">
        <v>16</v>
      </c>
      <c r="C90" s="163">
        <f t="shared" ref="C90:AG90" si="84">IF(C12="PR",IF(C12="",0,1),0)</f>
        <v>0</v>
      </c>
      <c r="D90" s="163">
        <f t="shared" si="84"/>
        <v>0</v>
      </c>
      <c r="E90" s="163">
        <f t="shared" si="84"/>
        <v>0</v>
      </c>
      <c r="F90" s="163">
        <f t="shared" si="84"/>
        <v>0</v>
      </c>
      <c r="G90" s="163">
        <f t="shared" si="84"/>
        <v>0</v>
      </c>
      <c r="H90" s="163">
        <f t="shared" si="84"/>
        <v>0</v>
      </c>
      <c r="I90" s="163">
        <f t="shared" si="84"/>
        <v>0</v>
      </c>
      <c r="J90" s="163">
        <f t="shared" si="84"/>
        <v>0</v>
      </c>
      <c r="K90" s="163">
        <f t="shared" si="84"/>
        <v>0</v>
      </c>
      <c r="L90" s="163">
        <f t="shared" si="84"/>
        <v>0</v>
      </c>
      <c r="M90" s="163">
        <f t="shared" si="84"/>
        <v>0</v>
      </c>
      <c r="N90" s="163">
        <f t="shared" si="84"/>
        <v>0</v>
      </c>
      <c r="O90" s="163">
        <f t="shared" si="84"/>
        <v>0</v>
      </c>
      <c r="P90" s="163">
        <f t="shared" si="84"/>
        <v>0</v>
      </c>
      <c r="Q90" s="163">
        <f t="shared" si="84"/>
        <v>0</v>
      </c>
      <c r="R90" s="163">
        <f t="shared" si="84"/>
        <v>0</v>
      </c>
      <c r="S90" s="163">
        <f t="shared" si="84"/>
        <v>0</v>
      </c>
      <c r="T90" s="163">
        <f t="shared" si="84"/>
        <v>0</v>
      </c>
      <c r="U90" s="163">
        <f t="shared" si="84"/>
        <v>0</v>
      </c>
      <c r="V90" s="163">
        <f t="shared" si="84"/>
        <v>0</v>
      </c>
      <c r="W90" s="163">
        <f t="shared" si="84"/>
        <v>0</v>
      </c>
      <c r="X90" s="163">
        <f t="shared" si="84"/>
        <v>0</v>
      </c>
      <c r="Y90" s="163">
        <f t="shared" si="84"/>
        <v>0</v>
      </c>
      <c r="Z90" s="163">
        <f t="shared" si="84"/>
        <v>0</v>
      </c>
      <c r="AA90" s="163">
        <f t="shared" si="84"/>
        <v>0</v>
      </c>
      <c r="AB90" s="163">
        <f t="shared" si="84"/>
        <v>0</v>
      </c>
      <c r="AC90" s="163">
        <f t="shared" si="84"/>
        <v>0</v>
      </c>
      <c r="AD90" s="163">
        <f t="shared" si="84"/>
        <v>0</v>
      </c>
      <c r="AE90" s="163">
        <f t="shared" si="84"/>
        <v>0</v>
      </c>
      <c r="AF90" s="163">
        <f t="shared" si="84"/>
        <v>0</v>
      </c>
      <c r="AG90" s="163">
        <f t="shared" si="84"/>
        <v>0</v>
      </c>
      <c r="AH90" s="229">
        <f>SUM(C90:AG90)</f>
        <v>0</v>
      </c>
      <c r="AI90" s="229"/>
      <c r="AJ90" s="174" t="s">
        <v>69</v>
      </c>
      <c r="AK90" s="133"/>
      <c r="AL90" s="133"/>
    </row>
    <row r="91" spans="1:38" ht="15.95" hidden="1" customHeight="1" x14ac:dyDescent="0.25">
      <c r="A91" s="164" t="s">
        <v>77</v>
      </c>
      <c r="B91" s="165" t="s">
        <v>29</v>
      </c>
      <c r="C91" s="141">
        <f t="shared" ref="C91:AG91" si="85">IF(C13=$R32,$S32*24,IF(C13=$R33,$S33*24,IF(C13=$R34,$S34*24,IF(C13=$R35,$S35*24,IF(C13=$R36,$S36*24,IF(C13=$R37,$S37*24,IF(C13=$R38,$S38*24,IF(C13=$R39,$S39*24,IF(C13=$R40,$S40*24,"")))))))))</f>
        <v>6</v>
      </c>
      <c r="D91" s="141">
        <f t="shared" si="85"/>
        <v>6</v>
      </c>
      <c r="E91" s="141">
        <f t="shared" si="85"/>
        <v>6</v>
      </c>
      <c r="F91" s="141">
        <f t="shared" si="85"/>
        <v>6</v>
      </c>
      <c r="G91" s="141">
        <f t="shared" si="85"/>
        <v>6</v>
      </c>
      <c r="H91" s="141">
        <f t="shared" si="85"/>
        <v>6</v>
      </c>
      <c r="I91" s="141" t="str">
        <f t="shared" si="85"/>
        <v/>
      </c>
      <c r="J91" s="141">
        <f t="shared" si="85"/>
        <v>6</v>
      </c>
      <c r="K91" s="141">
        <f t="shared" si="85"/>
        <v>6</v>
      </c>
      <c r="L91" s="141">
        <f t="shared" si="85"/>
        <v>6</v>
      </c>
      <c r="M91" s="141">
        <f t="shared" si="85"/>
        <v>6</v>
      </c>
      <c r="N91" s="141">
        <f t="shared" si="85"/>
        <v>6</v>
      </c>
      <c r="O91" s="141" t="str">
        <f t="shared" si="85"/>
        <v/>
      </c>
      <c r="P91" s="141" t="str">
        <f t="shared" si="85"/>
        <v/>
      </c>
      <c r="Q91" s="141">
        <f t="shared" si="85"/>
        <v>6</v>
      </c>
      <c r="R91" s="141">
        <f t="shared" si="85"/>
        <v>6</v>
      </c>
      <c r="S91" s="141" t="str">
        <f t="shared" si="85"/>
        <v/>
      </c>
      <c r="T91" s="141" t="str">
        <f t="shared" si="85"/>
        <v/>
      </c>
      <c r="U91" s="141" t="str">
        <f t="shared" si="85"/>
        <v/>
      </c>
      <c r="V91" s="141">
        <f t="shared" si="85"/>
        <v>6</v>
      </c>
      <c r="W91" s="141" t="str">
        <f t="shared" si="85"/>
        <v/>
      </c>
      <c r="X91" s="141" t="str">
        <f t="shared" si="85"/>
        <v/>
      </c>
      <c r="Y91" s="141" t="str">
        <f t="shared" si="85"/>
        <v/>
      </c>
      <c r="Z91" s="141" t="str">
        <f t="shared" si="85"/>
        <v/>
      </c>
      <c r="AA91" s="141" t="str">
        <f t="shared" si="85"/>
        <v/>
      </c>
      <c r="AB91" s="141" t="str">
        <f t="shared" si="85"/>
        <v/>
      </c>
      <c r="AC91" s="141" t="str">
        <f t="shared" si="85"/>
        <v/>
      </c>
      <c r="AD91" s="141" t="str">
        <f t="shared" si="85"/>
        <v/>
      </c>
      <c r="AE91" s="141">
        <f t="shared" si="85"/>
        <v>6</v>
      </c>
      <c r="AF91" s="141">
        <f t="shared" si="85"/>
        <v>6</v>
      </c>
      <c r="AG91" s="141" t="str">
        <f t="shared" si="85"/>
        <v/>
      </c>
      <c r="AH91" s="154" t="s">
        <v>12</v>
      </c>
      <c r="AI91" s="133"/>
      <c r="AJ91" s="170"/>
      <c r="AK91" s="133"/>
      <c r="AL91" s="133"/>
    </row>
    <row r="92" spans="1:38" ht="15.95" hidden="1" customHeight="1" x14ac:dyDescent="0.25">
      <c r="A92" s="166" t="s">
        <v>78</v>
      </c>
      <c r="B92" s="167" t="s">
        <v>30</v>
      </c>
      <c r="C92" s="141">
        <f t="shared" ref="C92:AG92" si="86">IF(C13=$R32,$V32*24,IF(C13=$R33,$V33*24,IF(C13=$R34,$V34*24,IF(C13=$R35,$V35*24,IF(C13=$R36,$V36*24,IF(C13=$R37,$V37*24,IF(C13=$R38,$V38*24,IF(C13=$R39,$V39*24,IF(C13=$R40,$V40*24,"")))))))))</f>
        <v>18</v>
      </c>
      <c r="D92" s="141">
        <f t="shared" si="86"/>
        <v>18</v>
      </c>
      <c r="E92" s="141">
        <f t="shared" si="86"/>
        <v>18</v>
      </c>
      <c r="F92" s="141">
        <f t="shared" si="86"/>
        <v>18</v>
      </c>
      <c r="G92" s="141">
        <f t="shared" si="86"/>
        <v>18</v>
      </c>
      <c r="H92" s="141">
        <f t="shared" si="86"/>
        <v>18</v>
      </c>
      <c r="I92" s="141" t="str">
        <f t="shared" si="86"/>
        <v/>
      </c>
      <c r="J92" s="141">
        <f t="shared" si="86"/>
        <v>18</v>
      </c>
      <c r="K92" s="141">
        <f t="shared" si="86"/>
        <v>18</v>
      </c>
      <c r="L92" s="141">
        <f t="shared" si="86"/>
        <v>18</v>
      </c>
      <c r="M92" s="141">
        <f t="shared" si="86"/>
        <v>18</v>
      </c>
      <c r="N92" s="141">
        <f t="shared" si="86"/>
        <v>18</v>
      </c>
      <c r="O92" s="141" t="str">
        <f t="shared" si="86"/>
        <v/>
      </c>
      <c r="P92" s="141" t="str">
        <f t="shared" si="86"/>
        <v/>
      </c>
      <c r="Q92" s="141">
        <f t="shared" si="86"/>
        <v>18</v>
      </c>
      <c r="R92" s="141">
        <f t="shared" si="86"/>
        <v>18</v>
      </c>
      <c r="S92" s="141" t="str">
        <f t="shared" si="86"/>
        <v/>
      </c>
      <c r="T92" s="141" t="str">
        <f t="shared" si="86"/>
        <v/>
      </c>
      <c r="U92" s="141" t="str">
        <f t="shared" si="86"/>
        <v/>
      </c>
      <c r="V92" s="141">
        <f t="shared" si="86"/>
        <v>18</v>
      </c>
      <c r="W92" s="141" t="str">
        <f t="shared" si="86"/>
        <v/>
      </c>
      <c r="X92" s="141" t="str">
        <f t="shared" si="86"/>
        <v/>
      </c>
      <c r="Y92" s="141" t="str">
        <f t="shared" si="86"/>
        <v/>
      </c>
      <c r="Z92" s="141" t="str">
        <f t="shared" si="86"/>
        <v/>
      </c>
      <c r="AA92" s="141" t="str">
        <f t="shared" si="86"/>
        <v/>
      </c>
      <c r="AB92" s="141" t="str">
        <f t="shared" si="86"/>
        <v/>
      </c>
      <c r="AC92" s="141" t="str">
        <f t="shared" si="86"/>
        <v/>
      </c>
      <c r="AD92" s="141" t="str">
        <f t="shared" si="86"/>
        <v/>
      </c>
      <c r="AE92" s="141">
        <f t="shared" si="86"/>
        <v>18</v>
      </c>
      <c r="AF92" s="141">
        <f t="shared" si="86"/>
        <v>18</v>
      </c>
      <c r="AG92" s="141" t="str">
        <f t="shared" si="86"/>
        <v/>
      </c>
      <c r="AH92" s="154" t="s">
        <v>12</v>
      </c>
      <c r="AI92" s="133"/>
      <c r="AJ92" s="170"/>
      <c r="AK92" s="133"/>
      <c r="AL92" s="133"/>
    </row>
    <row r="93" spans="1:38" ht="15.95" hidden="1" customHeight="1" x14ac:dyDescent="0.25">
      <c r="A93" s="153"/>
      <c r="B93" s="168" t="s">
        <v>34</v>
      </c>
      <c r="C93" s="169">
        <f t="shared" ref="C93:AD93" si="87">IF(C13=$R32,$BD32*24,IF(C13=$R33,$BD33*24,IF(C13=$R34,$BD34*24,IF(C13=$R35,$BD35*24,IF(C13=$R36,$BD36*24,IF(C13=$R37,$BD37*24,IF(C13=$R38,$BD38*24,IF(C13=$R39,$BD39*24,IF(C13=$R40,$BD40*24,"")))))))))</f>
        <v>0</v>
      </c>
      <c r="D93" s="169">
        <f t="shared" si="87"/>
        <v>0</v>
      </c>
      <c r="E93" s="169">
        <f t="shared" si="87"/>
        <v>0</v>
      </c>
      <c r="F93" s="169">
        <f t="shared" si="87"/>
        <v>0</v>
      </c>
      <c r="G93" s="169">
        <f t="shared" si="87"/>
        <v>0</v>
      </c>
      <c r="H93" s="169">
        <f t="shared" si="87"/>
        <v>0</v>
      </c>
      <c r="I93" s="169" t="str">
        <f t="shared" si="87"/>
        <v/>
      </c>
      <c r="J93" s="169">
        <f t="shared" si="87"/>
        <v>0</v>
      </c>
      <c r="K93" s="169">
        <f t="shared" si="87"/>
        <v>0</v>
      </c>
      <c r="L93" s="169">
        <f t="shared" si="87"/>
        <v>0</v>
      </c>
      <c r="M93" s="169">
        <f t="shared" si="87"/>
        <v>0</v>
      </c>
      <c r="N93" s="169">
        <f t="shared" si="87"/>
        <v>0</v>
      </c>
      <c r="O93" s="169" t="str">
        <f t="shared" si="87"/>
        <v/>
      </c>
      <c r="P93" s="169" t="str">
        <f t="shared" si="87"/>
        <v/>
      </c>
      <c r="Q93" s="169">
        <f t="shared" si="87"/>
        <v>0</v>
      </c>
      <c r="R93" s="169">
        <f t="shared" si="87"/>
        <v>0</v>
      </c>
      <c r="S93" s="169" t="str">
        <f t="shared" si="87"/>
        <v/>
      </c>
      <c r="T93" s="169" t="str">
        <f t="shared" si="87"/>
        <v/>
      </c>
      <c r="U93" s="169" t="str">
        <f t="shared" si="87"/>
        <v/>
      </c>
      <c r="V93" s="169">
        <f t="shared" si="87"/>
        <v>0</v>
      </c>
      <c r="W93" s="169" t="str">
        <f t="shared" si="87"/>
        <v/>
      </c>
      <c r="X93" s="169" t="str">
        <f t="shared" si="87"/>
        <v/>
      </c>
      <c r="Y93" s="169" t="str">
        <f t="shared" si="87"/>
        <v/>
      </c>
      <c r="Z93" s="169" t="str">
        <f t="shared" si="87"/>
        <v/>
      </c>
      <c r="AA93" s="169" t="str">
        <f t="shared" si="87"/>
        <v/>
      </c>
      <c r="AB93" s="169" t="str">
        <f t="shared" si="87"/>
        <v/>
      </c>
      <c r="AC93" s="169" t="str">
        <f t="shared" si="87"/>
        <v/>
      </c>
      <c r="AD93" s="169" t="str">
        <f t="shared" si="87"/>
        <v/>
      </c>
      <c r="AE93" s="169">
        <f>IF(AE13=$R32,$BD32*24,IF(AE13=$R33,$BD33*24,IF(AE13=$R34,$BD34*24,IF(AE13=$R35,$BD35*24,IF(AE13=$R36,$BD36*24,IF(AE13=$R37,$BD37*24,IF(AE13=$R38,$BD38*24,IF(AE13=$R39,$BD39*24,IF(AE13=$R40,$BD40*24,"")))))))))</f>
        <v>0</v>
      </c>
      <c r="AF93" s="169">
        <f>IF(AF13=$R32,$BD32*24,IF(AF13=$R33,$BD33*24,IF(AF13=$R34,$BD34*24,IF(AF13=$R35,$BD35*24,IF(AF13=$R36,$BD36*24,IF(AF13=$R37,$BD37*24,IF(AF13=$R38,$BD38*24,IF(AF13=$R39,$BD39*24,IF(AF13=$R40,$BD40*24,"")))))))))</f>
        <v>0</v>
      </c>
      <c r="AG93" s="169" t="str">
        <f>IF(AG13=$R32,$BD32*24,IF(AG13=$R33,$BD33*24,IF(AG13=$R34,$BD34*24,IF(AG13=$R35,$BD35*24,IF(AG13=$R36,$BD36*24,IF(AG13=$R37,$BD37*24,IF(AG13=$R38,$BD38*24,IF(AG13=$R39,$BD39*24,IF(AG13=$R40,$BD40*24,"")))))))))</f>
        <v/>
      </c>
      <c r="AH93" s="148">
        <f>SUM(C93:AG93)</f>
        <v>0</v>
      </c>
      <c r="AI93" s="133"/>
      <c r="AJ93" s="170"/>
      <c r="AK93" s="133"/>
      <c r="AL93" s="133"/>
    </row>
    <row r="94" spans="1:38" ht="15.95" hidden="1" customHeight="1" x14ac:dyDescent="0.25">
      <c r="A94" s="153"/>
      <c r="B94" s="167" t="s">
        <v>59</v>
      </c>
      <c r="C94" s="141">
        <f t="shared" ref="C94:AG94" si="88">IF(C13="V",$C36,IF(C13="PR",$C38,0))</f>
        <v>0</v>
      </c>
      <c r="D94" s="141">
        <f t="shared" si="88"/>
        <v>0</v>
      </c>
      <c r="E94" s="141">
        <f t="shared" si="88"/>
        <v>0</v>
      </c>
      <c r="F94" s="141">
        <f t="shared" si="88"/>
        <v>0</v>
      </c>
      <c r="G94" s="141">
        <f t="shared" si="88"/>
        <v>0</v>
      </c>
      <c r="H94" s="141">
        <f t="shared" si="88"/>
        <v>0</v>
      </c>
      <c r="I94" s="141">
        <f t="shared" si="88"/>
        <v>0</v>
      </c>
      <c r="J94" s="141">
        <f t="shared" si="88"/>
        <v>0</v>
      </c>
      <c r="K94" s="141">
        <f t="shared" si="88"/>
        <v>0</v>
      </c>
      <c r="L94" s="141">
        <f t="shared" si="88"/>
        <v>0</v>
      </c>
      <c r="M94" s="141">
        <f t="shared" si="88"/>
        <v>0</v>
      </c>
      <c r="N94" s="141">
        <f t="shared" si="88"/>
        <v>0</v>
      </c>
      <c r="O94" s="141">
        <f t="shared" si="88"/>
        <v>0</v>
      </c>
      <c r="P94" s="141">
        <f t="shared" si="88"/>
        <v>0</v>
      </c>
      <c r="Q94" s="141">
        <f t="shared" si="88"/>
        <v>0</v>
      </c>
      <c r="R94" s="141">
        <f t="shared" si="88"/>
        <v>0</v>
      </c>
      <c r="S94" s="141">
        <f t="shared" si="88"/>
        <v>0</v>
      </c>
      <c r="T94" s="141">
        <f t="shared" si="88"/>
        <v>0</v>
      </c>
      <c r="U94" s="141">
        <f t="shared" si="88"/>
        <v>0</v>
      </c>
      <c r="V94" s="141">
        <f t="shared" si="88"/>
        <v>0</v>
      </c>
      <c r="W94" s="141">
        <f t="shared" si="88"/>
        <v>0</v>
      </c>
      <c r="X94" s="141">
        <f t="shared" si="88"/>
        <v>0</v>
      </c>
      <c r="Y94" s="141">
        <f t="shared" si="88"/>
        <v>0</v>
      </c>
      <c r="Z94" s="141">
        <f t="shared" si="88"/>
        <v>0</v>
      </c>
      <c r="AA94" s="141">
        <f t="shared" si="88"/>
        <v>0</v>
      </c>
      <c r="AB94" s="141">
        <f t="shared" si="88"/>
        <v>0</v>
      </c>
      <c r="AC94" s="141">
        <f t="shared" si="88"/>
        <v>0</v>
      </c>
      <c r="AD94" s="141">
        <f t="shared" si="88"/>
        <v>0</v>
      </c>
      <c r="AE94" s="141">
        <f t="shared" si="88"/>
        <v>0</v>
      </c>
      <c r="AF94" s="141">
        <f t="shared" si="88"/>
        <v>0</v>
      </c>
      <c r="AG94" s="141">
        <f t="shared" si="88"/>
        <v>0</v>
      </c>
      <c r="AH94" s="231">
        <f>SUM(C94:AG94)</f>
        <v>0</v>
      </c>
      <c r="AI94" s="231"/>
      <c r="AJ94" s="170" t="s">
        <v>12</v>
      </c>
      <c r="AK94" s="133"/>
      <c r="AL94" s="133"/>
    </row>
    <row r="95" spans="1:38" ht="15.95" hidden="1" customHeight="1" x14ac:dyDescent="0.25">
      <c r="A95" s="150" t="s">
        <v>60</v>
      </c>
      <c r="B95" s="167" t="s">
        <v>61</v>
      </c>
      <c r="C95" s="151">
        <f t="shared" ref="C95:AD95" si="89">IF(C13=$R32,$BC32,IF(C13=$R33,$BC33,IF(C13=$R34,$BC34,IF(C13=$R35,$BC35,IF(C13=$R36,$BC36,IF(C13=$R37,$BC37,IF(C13=$R38,$BC38,IF(C13=$R39,$BC39,IF(C13=$R40,$BC40,0)))))))))</f>
        <v>12</v>
      </c>
      <c r="D95" s="151">
        <f t="shared" si="89"/>
        <v>12</v>
      </c>
      <c r="E95" s="151">
        <f t="shared" si="89"/>
        <v>12</v>
      </c>
      <c r="F95" s="151">
        <f t="shared" si="89"/>
        <v>12</v>
      </c>
      <c r="G95" s="151">
        <f t="shared" si="89"/>
        <v>12</v>
      </c>
      <c r="H95" s="151">
        <f t="shared" si="89"/>
        <v>12</v>
      </c>
      <c r="I95" s="151">
        <f t="shared" si="89"/>
        <v>0</v>
      </c>
      <c r="J95" s="151">
        <f t="shared" si="89"/>
        <v>12</v>
      </c>
      <c r="K95" s="151">
        <f t="shared" si="89"/>
        <v>12</v>
      </c>
      <c r="L95" s="151">
        <f t="shared" si="89"/>
        <v>12</v>
      </c>
      <c r="M95" s="151">
        <f t="shared" si="89"/>
        <v>12</v>
      </c>
      <c r="N95" s="151">
        <f t="shared" si="89"/>
        <v>12</v>
      </c>
      <c r="O95" s="151">
        <f t="shared" si="89"/>
        <v>0</v>
      </c>
      <c r="P95" s="151">
        <f t="shared" si="89"/>
        <v>0</v>
      </c>
      <c r="Q95" s="151">
        <f t="shared" si="89"/>
        <v>12</v>
      </c>
      <c r="R95" s="151">
        <f t="shared" si="89"/>
        <v>12</v>
      </c>
      <c r="S95" s="151">
        <f t="shared" si="89"/>
        <v>0</v>
      </c>
      <c r="T95" s="151">
        <f t="shared" si="89"/>
        <v>0</v>
      </c>
      <c r="U95" s="151">
        <f t="shared" si="89"/>
        <v>0</v>
      </c>
      <c r="V95" s="151">
        <f t="shared" si="89"/>
        <v>12</v>
      </c>
      <c r="W95" s="151">
        <f t="shared" si="89"/>
        <v>0</v>
      </c>
      <c r="X95" s="151">
        <f t="shared" si="89"/>
        <v>0</v>
      </c>
      <c r="Y95" s="151">
        <f t="shared" si="89"/>
        <v>0</v>
      </c>
      <c r="Z95" s="151">
        <f t="shared" si="89"/>
        <v>0</v>
      </c>
      <c r="AA95" s="151">
        <f t="shared" si="89"/>
        <v>0</v>
      </c>
      <c r="AB95" s="151">
        <f t="shared" si="89"/>
        <v>0</v>
      </c>
      <c r="AC95" s="151">
        <f t="shared" si="89"/>
        <v>0</v>
      </c>
      <c r="AD95" s="151">
        <f t="shared" si="89"/>
        <v>0</v>
      </c>
      <c r="AE95" s="151">
        <f>IF(AE13=$R32,$BC32,IF(AE13=$R33,$BC33,IF(AE13=$R34,$BC34,IF(AE13=$R35,$BC35,IF(AE13=$R36,$BC36,IF(AE13=$R37,$BC37,IF(AE13=$R38,$BC38,IF(AE13=$R39,$BC39,IF(AE13=$R40,$BC40,0)))))))))</f>
        <v>12</v>
      </c>
      <c r="AF95" s="151">
        <f>IF(AF13=$R32,$BC32,IF(AF13=$R33,$BC33,IF(AF13=$R34,$BC34,IF(AF13=$R35,$BC35,IF(AF13=$R36,$BC36,IF(AF13=$R37,$BC37,IF(AF13=$R38,$BC38,IF(AF13=$R39,$BC39,IF(AF13=$R40,$BC40,0)))))))))</f>
        <v>12</v>
      </c>
      <c r="AG95" s="151">
        <f>IF(AG13=$R32,$BC32,IF(AG13=$R33,$BC33,IF(AG13=$R34,$BC34,IF(AG13=$R35,$BC35,IF(AG13=$R36,$BC36,IF(AG13=$R37,$BC37,IF(AG13=$R38,$BC38,IF(AG13=$R39,$BC39,IF(AG13=$R40,$BC40,0)))))))))</f>
        <v>0</v>
      </c>
      <c r="AH95" s="226">
        <f>SUM(C95:AG95)</f>
        <v>192</v>
      </c>
      <c r="AI95" s="226"/>
      <c r="AJ95" s="175" t="s">
        <v>62</v>
      </c>
      <c r="AK95" s="133" t="s">
        <v>12</v>
      </c>
      <c r="AL95" s="133"/>
    </row>
    <row r="96" spans="1:38" ht="15.95" hidden="1" customHeight="1" x14ac:dyDescent="0.25">
      <c r="A96" s="153" t="s">
        <v>48</v>
      </c>
      <c r="B96" s="149" t="s">
        <v>63</v>
      </c>
      <c r="C96" s="141" t="b">
        <f t="shared" ref="C96:AG96" si="90">IF(C46=1,IF(C91&lt;C92,C95,0))</f>
        <v>0</v>
      </c>
      <c r="D96" s="141" t="b">
        <f t="shared" si="90"/>
        <v>0</v>
      </c>
      <c r="E96" s="141" t="b">
        <f t="shared" si="90"/>
        <v>0</v>
      </c>
      <c r="F96" s="141">
        <f t="shared" si="90"/>
        <v>12</v>
      </c>
      <c r="G96" s="141">
        <f t="shared" si="90"/>
        <v>12</v>
      </c>
      <c r="H96" s="141" t="b">
        <f t="shared" si="90"/>
        <v>0</v>
      </c>
      <c r="I96" s="141" t="b">
        <f t="shared" si="90"/>
        <v>0</v>
      </c>
      <c r="J96" s="141" t="b">
        <f t="shared" si="90"/>
        <v>0</v>
      </c>
      <c r="K96" s="141" t="b">
        <f t="shared" si="90"/>
        <v>0</v>
      </c>
      <c r="L96" s="141" t="b">
        <f t="shared" si="90"/>
        <v>0</v>
      </c>
      <c r="M96" s="141">
        <f t="shared" si="90"/>
        <v>12</v>
      </c>
      <c r="N96" s="141">
        <f t="shared" si="90"/>
        <v>12</v>
      </c>
      <c r="O96" s="141" t="b">
        <f t="shared" si="90"/>
        <v>0</v>
      </c>
      <c r="P96" s="141" t="b">
        <f t="shared" si="90"/>
        <v>0</v>
      </c>
      <c r="Q96" s="141" t="b">
        <f t="shared" si="90"/>
        <v>0</v>
      </c>
      <c r="R96" s="141" t="b">
        <f t="shared" si="90"/>
        <v>0</v>
      </c>
      <c r="S96" s="141" t="b">
        <f t="shared" si="90"/>
        <v>0</v>
      </c>
      <c r="T96" s="141">
        <f t="shared" si="90"/>
        <v>0</v>
      </c>
      <c r="U96" s="141">
        <f t="shared" si="90"/>
        <v>0</v>
      </c>
      <c r="V96" s="141" t="b">
        <f t="shared" si="90"/>
        <v>0</v>
      </c>
      <c r="W96" s="141" t="b">
        <f t="shared" si="90"/>
        <v>0</v>
      </c>
      <c r="X96" s="141" t="b">
        <f t="shared" si="90"/>
        <v>0</v>
      </c>
      <c r="Y96" s="141" t="b">
        <f t="shared" si="90"/>
        <v>0</v>
      </c>
      <c r="Z96" s="141" t="b">
        <f t="shared" si="90"/>
        <v>0</v>
      </c>
      <c r="AA96" s="141">
        <f t="shared" si="90"/>
        <v>0</v>
      </c>
      <c r="AB96" s="141">
        <f t="shared" si="90"/>
        <v>0</v>
      </c>
      <c r="AC96" s="141" t="b">
        <f t="shared" si="90"/>
        <v>0</v>
      </c>
      <c r="AD96" s="141" t="b">
        <f t="shared" si="90"/>
        <v>0</v>
      </c>
      <c r="AE96" s="141" t="b">
        <f t="shared" si="90"/>
        <v>0</v>
      </c>
      <c r="AF96" s="141" t="b">
        <f t="shared" si="90"/>
        <v>0</v>
      </c>
      <c r="AG96" s="141" t="b">
        <f t="shared" si="90"/>
        <v>0</v>
      </c>
      <c r="AH96" s="154" t="s">
        <v>12</v>
      </c>
      <c r="AI96" s="133"/>
      <c r="AJ96" s="170"/>
      <c r="AK96" s="133"/>
      <c r="AL96" s="133"/>
    </row>
    <row r="97" spans="1:57" ht="15.95" hidden="1" customHeight="1" x14ac:dyDescent="0.25">
      <c r="A97" s="176"/>
      <c r="B97" s="149" t="s">
        <v>64</v>
      </c>
      <c r="C97" s="141">
        <f t="shared" ref="C97:AG97" si="91">IF(C46=1,IF(C91&gt;C92,24-C91,0),0)</f>
        <v>0</v>
      </c>
      <c r="D97" s="141">
        <f t="shared" si="91"/>
        <v>0</v>
      </c>
      <c r="E97" s="141">
        <f t="shared" si="91"/>
        <v>0</v>
      </c>
      <c r="F97" s="141">
        <f t="shared" si="91"/>
        <v>0</v>
      </c>
      <c r="G97" s="141">
        <f t="shared" si="91"/>
        <v>0</v>
      </c>
      <c r="H97" s="141">
        <f t="shared" si="91"/>
        <v>0</v>
      </c>
      <c r="I97" s="141">
        <f t="shared" si="91"/>
        <v>0</v>
      </c>
      <c r="J97" s="141">
        <f t="shared" si="91"/>
        <v>0</v>
      </c>
      <c r="K97" s="141">
        <f t="shared" si="91"/>
        <v>0</v>
      </c>
      <c r="L97" s="141">
        <f t="shared" si="91"/>
        <v>0</v>
      </c>
      <c r="M97" s="141">
        <f t="shared" si="91"/>
        <v>0</v>
      </c>
      <c r="N97" s="141">
        <f t="shared" si="91"/>
        <v>0</v>
      </c>
      <c r="O97" s="141">
        <f t="shared" si="91"/>
        <v>0</v>
      </c>
      <c r="P97" s="141">
        <f t="shared" si="91"/>
        <v>0</v>
      </c>
      <c r="Q97" s="141">
        <f t="shared" si="91"/>
        <v>0</v>
      </c>
      <c r="R97" s="141">
        <f t="shared" si="91"/>
        <v>0</v>
      </c>
      <c r="S97" s="141">
        <f t="shared" si="91"/>
        <v>0</v>
      </c>
      <c r="T97" s="141">
        <f t="shared" si="91"/>
        <v>0</v>
      </c>
      <c r="U97" s="141">
        <f t="shared" si="91"/>
        <v>0</v>
      </c>
      <c r="V97" s="141">
        <f t="shared" si="91"/>
        <v>0</v>
      </c>
      <c r="W97" s="141">
        <f t="shared" si="91"/>
        <v>0</v>
      </c>
      <c r="X97" s="141">
        <f t="shared" si="91"/>
        <v>0</v>
      </c>
      <c r="Y97" s="141">
        <f t="shared" si="91"/>
        <v>0</v>
      </c>
      <c r="Z97" s="141">
        <f t="shared" si="91"/>
        <v>0</v>
      </c>
      <c r="AA97" s="141">
        <f t="shared" si="91"/>
        <v>0</v>
      </c>
      <c r="AB97" s="141">
        <f t="shared" si="91"/>
        <v>0</v>
      </c>
      <c r="AC97" s="141">
        <f t="shared" si="91"/>
        <v>0</v>
      </c>
      <c r="AD97" s="141">
        <f t="shared" si="91"/>
        <v>0</v>
      </c>
      <c r="AE97" s="141">
        <f t="shared" si="91"/>
        <v>0</v>
      </c>
      <c r="AF97" s="141">
        <f t="shared" si="91"/>
        <v>0</v>
      </c>
      <c r="AG97" s="141">
        <f t="shared" si="91"/>
        <v>0</v>
      </c>
      <c r="AH97" s="154" t="s">
        <v>12</v>
      </c>
      <c r="AI97" s="133"/>
      <c r="AJ97" s="170"/>
      <c r="AK97" s="133"/>
      <c r="AL97" s="133"/>
    </row>
    <row r="98" spans="1:57" ht="15.95" hidden="1" customHeight="1" x14ac:dyDescent="0.25">
      <c r="A98" s="176"/>
      <c r="B98" s="149" t="s">
        <v>65</v>
      </c>
      <c r="C98" s="141">
        <f t="shared" ref="C98:AG98" si="92">IF(D46=1,IF(C91&gt;C92,C92,0),0)</f>
        <v>0</v>
      </c>
      <c r="D98" s="141">
        <f t="shared" si="92"/>
        <v>0</v>
      </c>
      <c r="E98" s="141">
        <f t="shared" si="92"/>
        <v>0</v>
      </c>
      <c r="F98" s="141">
        <f t="shared" si="92"/>
        <v>0</v>
      </c>
      <c r="G98" s="141">
        <f t="shared" si="92"/>
        <v>0</v>
      </c>
      <c r="H98" s="141">
        <f t="shared" si="92"/>
        <v>0</v>
      </c>
      <c r="I98" s="141">
        <f t="shared" si="92"/>
        <v>0</v>
      </c>
      <c r="J98" s="141">
        <f t="shared" si="92"/>
        <v>0</v>
      </c>
      <c r="K98" s="141">
        <f t="shared" si="92"/>
        <v>0</v>
      </c>
      <c r="L98" s="141">
        <f t="shared" si="92"/>
        <v>0</v>
      </c>
      <c r="M98" s="141">
        <f t="shared" si="92"/>
        <v>0</v>
      </c>
      <c r="N98" s="141">
        <f t="shared" si="92"/>
        <v>0</v>
      </c>
      <c r="O98" s="141">
        <f t="shared" si="92"/>
        <v>0</v>
      </c>
      <c r="P98" s="141">
        <f t="shared" si="92"/>
        <v>0</v>
      </c>
      <c r="Q98" s="141">
        <f t="shared" si="92"/>
        <v>0</v>
      </c>
      <c r="R98" s="141">
        <f t="shared" si="92"/>
        <v>0</v>
      </c>
      <c r="S98" s="141">
        <f t="shared" si="92"/>
        <v>0</v>
      </c>
      <c r="T98" s="141">
        <f t="shared" si="92"/>
        <v>0</v>
      </c>
      <c r="U98" s="141">
        <f t="shared" si="92"/>
        <v>0</v>
      </c>
      <c r="V98" s="141">
        <f t="shared" si="92"/>
        <v>0</v>
      </c>
      <c r="W98" s="141">
        <f t="shared" si="92"/>
        <v>0</v>
      </c>
      <c r="X98" s="141">
        <f>IF(Y46=1,IF(X91&gt;X92,X92,0),0)</f>
        <v>0</v>
      </c>
      <c r="Y98" s="141">
        <f t="shared" si="92"/>
        <v>0</v>
      </c>
      <c r="Z98" s="141">
        <f t="shared" si="92"/>
        <v>0</v>
      </c>
      <c r="AA98" s="141">
        <f t="shared" si="92"/>
        <v>0</v>
      </c>
      <c r="AB98" s="141">
        <f t="shared" si="92"/>
        <v>0</v>
      </c>
      <c r="AC98" s="141">
        <f t="shared" si="92"/>
        <v>0</v>
      </c>
      <c r="AD98" s="141">
        <f t="shared" si="92"/>
        <v>0</v>
      </c>
      <c r="AE98" s="141">
        <f t="shared" si="92"/>
        <v>0</v>
      </c>
      <c r="AF98" s="141">
        <f t="shared" si="92"/>
        <v>0</v>
      </c>
      <c r="AG98" s="141">
        <f t="shared" si="92"/>
        <v>0</v>
      </c>
      <c r="AH98" s="154" t="s">
        <v>12</v>
      </c>
      <c r="AI98" s="133"/>
      <c r="AJ98" s="170"/>
      <c r="AK98" s="133"/>
      <c r="AL98" s="133"/>
    </row>
    <row r="99" spans="1:57" ht="15.95" hidden="1" customHeight="1" x14ac:dyDescent="0.25">
      <c r="A99" s="176"/>
      <c r="B99" s="149" t="s">
        <v>67</v>
      </c>
      <c r="C99" s="178">
        <f t="shared" ref="C99:AG99" si="93">SUM(C96:C98)</f>
        <v>0</v>
      </c>
      <c r="D99" s="178">
        <f t="shared" si="93"/>
        <v>0</v>
      </c>
      <c r="E99" s="178">
        <f t="shared" si="93"/>
        <v>0</v>
      </c>
      <c r="F99" s="178">
        <f t="shared" si="93"/>
        <v>12</v>
      </c>
      <c r="G99" s="178">
        <f t="shared" si="93"/>
        <v>12</v>
      </c>
      <c r="H99" s="178">
        <f t="shared" si="93"/>
        <v>0</v>
      </c>
      <c r="I99" s="178">
        <f t="shared" si="93"/>
        <v>0</v>
      </c>
      <c r="J99" s="178">
        <f t="shared" si="93"/>
        <v>0</v>
      </c>
      <c r="K99" s="178">
        <f t="shared" si="93"/>
        <v>0</v>
      </c>
      <c r="L99" s="178">
        <f t="shared" si="93"/>
        <v>0</v>
      </c>
      <c r="M99" s="178">
        <f t="shared" si="93"/>
        <v>12</v>
      </c>
      <c r="N99" s="178">
        <f t="shared" si="93"/>
        <v>12</v>
      </c>
      <c r="O99" s="178">
        <f t="shared" si="93"/>
        <v>0</v>
      </c>
      <c r="P99" s="178">
        <f t="shared" si="93"/>
        <v>0</v>
      </c>
      <c r="Q99" s="178">
        <f t="shared" si="93"/>
        <v>0</v>
      </c>
      <c r="R99" s="178">
        <f t="shared" si="93"/>
        <v>0</v>
      </c>
      <c r="S99" s="178">
        <f t="shared" si="93"/>
        <v>0</v>
      </c>
      <c r="T99" s="178">
        <f t="shared" si="93"/>
        <v>0</v>
      </c>
      <c r="U99" s="178">
        <f t="shared" si="93"/>
        <v>0</v>
      </c>
      <c r="V99" s="178">
        <f t="shared" si="93"/>
        <v>0</v>
      </c>
      <c r="W99" s="178">
        <f t="shared" si="93"/>
        <v>0</v>
      </c>
      <c r="X99" s="178">
        <f t="shared" si="93"/>
        <v>0</v>
      </c>
      <c r="Y99" s="178">
        <f t="shared" si="93"/>
        <v>0</v>
      </c>
      <c r="Z99" s="178">
        <f t="shared" si="93"/>
        <v>0</v>
      </c>
      <c r="AA99" s="178">
        <f t="shared" si="93"/>
        <v>0</v>
      </c>
      <c r="AB99" s="178">
        <f t="shared" si="93"/>
        <v>0</v>
      </c>
      <c r="AC99" s="178">
        <f t="shared" si="93"/>
        <v>0</v>
      </c>
      <c r="AD99" s="178">
        <f t="shared" si="93"/>
        <v>0</v>
      </c>
      <c r="AE99" s="178">
        <f t="shared" si="93"/>
        <v>0</v>
      </c>
      <c r="AF99" s="178">
        <f t="shared" si="93"/>
        <v>0</v>
      </c>
      <c r="AG99" s="178">
        <f t="shared" si="93"/>
        <v>0</v>
      </c>
      <c r="AH99" s="154" t="s">
        <v>12</v>
      </c>
      <c r="AI99" s="133"/>
      <c r="AJ99" s="170"/>
      <c r="AK99" s="133"/>
      <c r="AL99" s="133"/>
    </row>
    <row r="100" spans="1:57" ht="15.95" hidden="1" customHeight="1" x14ac:dyDescent="0.25">
      <c r="A100" s="177"/>
      <c r="B100" s="160" t="s">
        <v>68</v>
      </c>
      <c r="C100" s="161">
        <f t="shared" ref="C100:AG100" si="94">IF(C13="V",IF(C13="",0,1),0)</f>
        <v>0</v>
      </c>
      <c r="D100" s="161">
        <f t="shared" si="94"/>
        <v>0</v>
      </c>
      <c r="E100" s="161">
        <f t="shared" si="94"/>
        <v>0</v>
      </c>
      <c r="F100" s="161">
        <f t="shared" si="94"/>
        <v>0</v>
      </c>
      <c r="G100" s="161">
        <f t="shared" si="94"/>
        <v>0</v>
      </c>
      <c r="H100" s="161">
        <f t="shared" si="94"/>
        <v>0</v>
      </c>
      <c r="I100" s="161">
        <f t="shared" si="94"/>
        <v>0</v>
      </c>
      <c r="J100" s="161">
        <f t="shared" si="94"/>
        <v>0</v>
      </c>
      <c r="K100" s="161">
        <f t="shared" si="94"/>
        <v>0</v>
      </c>
      <c r="L100" s="161">
        <f t="shared" si="94"/>
        <v>0</v>
      </c>
      <c r="M100" s="161">
        <f t="shared" si="94"/>
        <v>0</v>
      </c>
      <c r="N100" s="161">
        <f t="shared" si="94"/>
        <v>0</v>
      </c>
      <c r="O100" s="161">
        <f t="shared" si="94"/>
        <v>0</v>
      </c>
      <c r="P100" s="161">
        <f t="shared" si="94"/>
        <v>0</v>
      </c>
      <c r="Q100" s="161">
        <f t="shared" si="94"/>
        <v>0</v>
      </c>
      <c r="R100" s="161">
        <f t="shared" si="94"/>
        <v>0</v>
      </c>
      <c r="S100" s="161">
        <f t="shared" si="94"/>
        <v>0</v>
      </c>
      <c r="T100" s="161">
        <f t="shared" si="94"/>
        <v>0</v>
      </c>
      <c r="U100" s="161">
        <f t="shared" si="94"/>
        <v>0</v>
      </c>
      <c r="V100" s="161">
        <f t="shared" si="94"/>
        <v>0</v>
      </c>
      <c r="W100" s="161">
        <f t="shared" si="94"/>
        <v>0</v>
      </c>
      <c r="X100" s="161">
        <f t="shared" si="94"/>
        <v>0</v>
      </c>
      <c r="Y100" s="161">
        <f t="shared" si="94"/>
        <v>0</v>
      </c>
      <c r="Z100" s="161">
        <f t="shared" si="94"/>
        <v>0</v>
      </c>
      <c r="AA100" s="161">
        <f t="shared" si="94"/>
        <v>0</v>
      </c>
      <c r="AB100" s="161">
        <f t="shared" si="94"/>
        <v>0</v>
      </c>
      <c r="AC100" s="161">
        <f t="shared" si="94"/>
        <v>0</v>
      </c>
      <c r="AD100" s="161">
        <f t="shared" si="94"/>
        <v>0</v>
      </c>
      <c r="AE100" s="161">
        <f t="shared" si="94"/>
        <v>0</v>
      </c>
      <c r="AF100" s="161">
        <f t="shared" si="94"/>
        <v>0</v>
      </c>
      <c r="AG100" s="161">
        <f t="shared" si="94"/>
        <v>0</v>
      </c>
      <c r="AH100" s="154" t="s">
        <v>12</v>
      </c>
      <c r="AI100" s="133"/>
      <c r="AJ100" s="170"/>
      <c r="AK100" s="133"/>
      <c r="AL100" s="133"/>
    </row>
    <row r="101" spans="1:57" ht="15.95" hidden="1" customHeight="1" x14ac:dyDescent="0.25">
      <c r="A101" s="173"/>
      <c r="B101" s="130" t="s">
        <v>16</v>
      </c>
      <c r="C101" s="179">
        <f t="shared" ref="C101:AG101" si="95">IF(C13="PR",IF(C13="",0,1),0)</f>
        <v>0</v>
      </c>
      <c r="D101" s="179">
        <f t="shared" si="95"/>
        <v>0</v>
      </c>
      <c r="E101" s="179">
        <f t="shared" si="95"/>
        <v>0</v>
      </c>
      <c r="F101" s="179">
        <f t="shared" si="95"/>
        <v>0</v>
      </c>
      <c r="G101" s="179">
        <f t="shared" si="95"/>
        <v>0</v>
      </c>
      <c r="H101" s="179">
        <f t="shared" si="95"/>
        <v>0</v>
      </c>
      <c r="I101" s="179">
        <f t="shared" si="95"/>
        <v>0</v>
      </c>
      <c r="J101" s="179">
        <f t="shared" si="95"/>
        <v>0</v>
      </c>
      <c r="K101" s="179">
        <f t="shared" si="95"/>
        <v>0</v>
      </c>
      <c r="L101" s="179">
        <f t="shared" si="95"/>
        <v>0</v>
      </c>
      <c r="M101" s="179">
        <f t="shared" si="95"/>
        <v>0</v>
      </c>
      <c r="N101" s="179">
        <f t="shared" si="95"/>
        <v>0</v>
      </c>
      <c r="O101" s="179">
        <f t="shared" si="95"/>
        <v>0</v>
      </c>
      <c r="P101" s="179">
        <f t="shared" si="95"/>
        <v>0</v>
      </c>
      <c r="Q101" s="179">
        <f t="shared" si="95"/>
        <v>0</v>
      </c>
      <c r="R101" s="179">
        <f t="shared" si="95"/>
        <v>0</v>
      </c>
      <c r="S101" s="179">
        <f t="shared" si="95"/>
        <v>0</v>
      </c>
      <c r="T101" s="179">
        <f t="shared" si="95"/>
        <v>0</v>
      </c>
      <c r="U101" s="179">
        <f t="shared" si="95"/>
        <v>0</v>
      </c>
      <c r="V101" s="179">
        <f t="shared" si="95"/>
        <v>0</v>
      </c>
      <c r="W101" s="179">
        <f t="shared" si="95"/>
        <v>0</v>
      </c>
      <c r="X101" s="179">
        <f t="shared" si="95"/>
        <v>0</v>
      </c>
      <c r="Y101" s="179">
        <f t="shared" si="95"/>
        <v>0</v>
      </c>
      <c r="Z101" s="179">
        <f t="shared" si="95"/>
        <v>0</v>
      </c>
      <c r="AA101" s="179">
        <f t="shared" si="95"/>
        <v>0</v>
      </c>
      <c r="AB101" s="179">
        <f t="shared" si="95"/>
        <v>0</v>
      </c>
      <c r="AC101" s="179">
        <f t="shared" si="95"/>
        <v>0</v>
      </c>
      <c r="AD101" s="179">
        <f t="shared" si="95"/>
        <v>0</v>
      </c>
      <c r="AE101" s="179">
        <f t="shared" si="95"/>
        <v>0</v>
      </c>
      <c r="AF101" s="179">
        <f t="shared" si="95"/>
        <v>0</v>
      </c>
      <c r="AG101" s="179">
        <f t="shared" si="95"/>
        <v>0</v>
      </c>
      <c r="AH101" s="229">
        <f>SUM(C101:AG101)</f>
        <v>0</v>
      </c>
      <c r="AI101" s="229"/>
      <c r="AJ101" s="174" t="s">
        <v>69</v>
      </c>
      <c r="AK101" s="133"/>
      <c r="AL101" s="133"/>
    </row>
    <row r="102" spans="1:57" ht="15.95" hidden="1" customHeight="1" x14ac:dyDescent="0.25">
      <c r="A102" s="164" t="s">
        <v>79</v>
      </c>
      <c r="B102" s="165" t="s">
        <v>29</v>
      </c>
      <c r="C102" s="141" t="str">
        <f t="shared" ref="C102:AG102" si="96">IF(C14=$R32,$S32*24,IF(C14=$R33,$S33*24,IF(C14=$R34,$S34*24,IF(C14=$R35,$S35*24,IF(C14=$R36,$S36*24,IF(C14=$R37,$S37*24,IF(C14=$R38,$S38*24,IF(C14=$R39,$S39*24,IF(C14=$R40,$S40*24,"")))))))))</f>
        <v/>
      </c>
      <c r="D102" s="141" t="str">
        <f t="shared" si="96"/>
        <v/>
      </c>
      <c r="E102" s="141" t="str">
        <f t="shared" si="96"/>
        <v/>
      </c>
      <c r="F102" s="141" t="str">
        <f t="shared" si="96"/>
        <v/>
      </c>
      <c r="G102" s="141" t="str">
        <f t="shared" si="96"/>
        <v/>
      </c>
      <c r="H102" s="141" t="str">
        <f t="shared" si="96"/>
        <v/>
      </c>
      <c r="I102" s="141" t="str">
        <f t="shared" si="96"/>
        <v/>
      </c>
      <c r="J102" s="141" t="str">
        <f t="shared" si="96"/>
        <v/>
      </c>
      <c r="K102" s="141" t="str">
        <f t="shared" si="96"/>
        <v/>
      </c>
      <c r="L102" s="141" t="str">
        <f t="shared" si="96"/>
        <v/>
      </c>
      <c r="M102" s="141" t="str">
        <f t="shared" si="96"/>
        <v/>
      </c>
      <c r="N102" s="141" t="str">
        <f t="shared" si="96"/>
        <v/>
      </c>
      <c r="O102" s="141" t="str">
        <f t="shared" si="96"/>
        <v/>
      </c>
      <c r="P102" s="141" t="str">
        <f t="shared" si="96"/>
        <v/>
      </c>
      <c r="Q102" s="141" t="str">
        <f t="shared" si="96"/>
        <v/>
      </c>
      <c r="R102" s="141" t="str">
        <f t="shared" si="96"/>
        <v/>
      </c>
      <c r="S102" s="141">
        <f t="shared" si="96"/>
        <v>6</v>
      </c>
      <c r="T102" s="141">
        <f t="shared" si="96"/>
        <v>6</v>
      </c>
      <c r="U102" s="141">
        <f t="shared" si="96"/>
        <v>6</v>
      </c>
      <c r="V102" s="141" t="str">
        <f t="shared" si="96"/>
        <v/>
      </c>
      <c r="W102" s="141" t="str">
        <f t="shared" si="96"/>
        <v/>
      </c>
      <c r="X102" s="141">
        <f t="shared" si="96"/>
        <v>6</v>
      </c>
      <c r="Y102" s="141">
        <f t="shared" si="96"/>
        <v>6</v>
      </c>
      <c r="Z102" s="141">
        <f t="shared" si="96"/>
        <v>6</v>
      </c>
      <c r="AA102" s="141">
        <f t="shared" si="96"/>
        <v>6</v>
      </c>
      <c r="AB102" s="141">
        <f t="shared" si="96"/>
        <v>6</v>
      </c>
      <c r="AC102" s="141">
        <f t="shared" si="96"/>
        <v>6</v>
      </c>
      <c r="AD102" s="141">
        <f t="shared" si="96"/>
        <v>6</v>
      </c>
      <c r="AE102" s="141">
        <f t="shared" si="96"/>
        <v>22</v>
      </c>
      <c r="AF102" s="141">
        <f t="shared" si="96"/>
        <v>22</v>
      </c>
      <c r="AG102" s="141" t="str">
        <f t="shared" si="96"/>
        <v/>
      </c>
      <c r="AH102" s="154" t="s">
        <v>12</v>
      </c>
      <c r="AI102" s="133"/>
      <c r="AJ102" s="170"/>
      <c r="AK102" s="133"/>
      <c r="AL102" s="133"/>
    </row>
    <row r="103" spans="1:57" ht="15.95" hidden="1" customHeight="1" x14ac:dyDescent="0.25">
      <c r="A103" s="166" t="s">
        <v>80</v>
      </c>
      <c r="B103" s="167" t="s">
        <v>30</v>
      </c>
      <c r="C103" s="141" t="str">
        <f t="shared" ref="C103:AG103" si="97">IF(C14=$R32,$V32*24,IF(C14=$R33,$V33*24,IF(C14=$R34,$V34*24,IF(C14=$R35,$V35*24,IF(C14=$R36,$V36*24,IF(C14=$R37,$V37*24,IF(C14=$R38,$V38*24,IF(C14=$R39,$V39*24,IF(C14=$R40,$V40*24,"")))))))))</f>
        <v/>
      </c>
      <c r="D103" s="141" t="str">
        <f t="shared" si="97"/>
        <v/>
      </c>
      <c r="E103" s="141" t="str">
        <f t="shared" si="97"/>
        <v/>
      </c>
      <c r="F103" s="141" t="str">
        <f t="shared" si="97"/>
        <v/>
      </c>
      <c r="G103" s="141" t="str">
        <f t="shared" si="97"/>
        <v/>
      </c>
      <c r="H103" s="141" t="str">
        <f t="shared" si="97"/>
        <v/>
      </c>
      <c r="I103" s="141" t="str">
        <f t="shared" si="97"/>
        <v/>
      </c>
      <c r="J103" s="141" t="str">
        <f t="shared" si="97"/>
        <v/>
      </c>
      <c r="K103" s="141" t="str">
        <f t="shared" si="97"/>
        <v/>
      </c>
      <c r="L103" s="141" t="str">
        <f t="shared" si="97"/>
        <v/>
      </c>
      <c r="M103" s="141" t="str">
        <f t="shared" si="97"/>
        <v/>
      </c>
      <c r="N103" s="141" t="str">
        <f t="shared" si="97"/>
        <v/>
      </c>
      <c r="O103" s="141" t="str">
        <f t="shared" si="97"/>
        <v/>
      </c>
      <c r="P103" s="141" t="str">
        <f t="shared" si="97"/>
        <v/>
      </c>
      <c r="Q103" s="141" t="str">
        <f t="shared" si="97"/>
        <v/>
      </c>
      <c r="R103" s="141" t="str">
        <f t="shared" si="97"/>
        <v/>
      </c>
      <c r="S103" s="141">
        <f t="shared" si="97"/>
        <v>18</v>
      </c>
      <c r="T103" s="141">
        <f t="shared" si="97"/>
        <v>18</v>
      </c>
      <c r="U103" s="141">
        <f t="shared" si="97"/>
        <v>18</v>
      </c>
      <c r="V103" s="141" t="str">
        <f t="shared" si="97"/>
        <v/>
      </c>
      <c r="W103" s="141" t="str">
        <f t="shared" si="97"/>
        <v/>
      </c>
      <c r="X103" s="141">
        <f t="shared" si="97"/>
        <v>18</v>
      </c>
      <c r="Y103" s="141">
        <f t="shared" si="97"/>
        <v>18</v>
      </c>
      <c r="Z103" s="141">
        <f t="shared" si="97"/>
        <v>18</v>
      </c>
      <c r="AA103" s="141">
        <f t="shared" si="97"/>
        <v>18</v>
      </c>
      <c r="AB103" s="141">
        <f t="shared" si="97"/>
        <v>18</v>
      </c>
      <c r="AC103" s="141">
        <f t="shared" si="97"/>
        <v>18</v>
      </c>
      <c r="AD103" s="141">
        <f t="shared" si="97"/>
        <v>18</v>
      </c>
      <c r="AE103" s="141">
        <f t="shared" si="97"/>
        <v>6</v>
      </c>
      <c r="AF103" s="141">
        <f t="shared" si="97"/>
        <v>6</v>
      </c>
      <c r="AG103" s="141" t="str">
        <f t="shared" si="97"/>
        <v/>
      </c>
      <c r="AH103" s="154" t="s">
        <v>12</v>
      </c>
      <c r="AI103" s="133"/>
      <c r="AJ103" s="170"/>
      <c r="AK103" s="133"/>
      <c r="AL103" s="133"/>
    </row>
    <row r="104" spans="1:57" ht="15.95" hidden="1" customHeight="1" x14ac:dyDescent="0.25">
      <c r="A104" s="153"/>
      <c r="B104" s="168" t="s">
        <v>34</v>
      </c>
      <c r="C104" s="169" t="str">
        <f t="shared" ref="C104:AD104" si="98">IF(C14=$R32,$BD32*24,IF(C14=$R33,$BD33*24,IF(C14=$R34,$BD34*24,IF(C14=$R35,$BD35*24,IF(C14=$R36,$BD36*24,IF(C14=$R37,$BD37*24,IF(C14=$R38,$BD38*24,IF(C14=$R39,$BD39*24,IF(C14=$R40,$BD40*24,"")))))))))</f>
        <v/>
      </c>
      <c r="D104" s="169" t="str">
        <f t="shared" si="98"/>
        <v/>
      </c>
      <c r="E104" s="169" t="str">
        <f t="shared" si="98"/>
        <v/>
      </c>
      <c r="F104" s="169" t="str">
        <f t="shared" si="98"/>
        <v/>
      </c>
      <c r="G104" s="169" t="str">
        <f t="shared" si="98"/>
        <v/>
      </c>
      <c r="H104" s="169" t="str">
        <f t="shared" si="98"/>
        <v/>
      </c>
      <c r="I104" s="169" t="str">
        <f t="shared" si="98"/>
        <v/>
      </c>
      <c r="J104" s="169" t="str">
        <f t="shared" si="98"/>
        <v/>
      </c>
      <c r="K104" s="169" t="str">
        <f t="shared" si="98"/>
        <v/>
      </c>
      <c r="L104" s="169" t="str">
        <f t="shared" si="98"/>
        <v/>
      </c>
      <c r="M104" s="169" t="str">
        <f t="shared" si="98"/>
        <v/>
      </c>
      <c r="N104" s="169" t="str">
        <f t="shared" si="98"/>
        <v/>
      </c>
      <c r="O104" s="169" t="str">
        <f t="shared" si="98"/>
        <v/>
      </c>
      <c r="P104" s="169" t="str">
        <f t="shared" si="98"/>
        <v/>
      </c>
      <c r="Q104" s="169" t="str">
        <f t="shared" si="98"/>
        <v/>
      </c>
      <c r="R104" s="169" t="str">
        <f t="shared" si="98"/>
        <v/>
      </c>
      <c r="S104" s="169">
        <f t="shared" si="98"/>
        <v>0</v>
      </c>
      <c r="T104" s="169">
        <f t="shared" si="98"/>
        <v>0</v>
      </c>
      <c r="U104" s="169">
        <f t="shared" si="98"/>
        <v>0</v>
      </c>
      <c r="V104" s="169" t="str">
        <f t="shared" si="98"/>
        <v/>
      </c>
      <c r="W104" s="169" t="str">
        <f t="shared" si="98"/>
        <v/>
      </c>
      <c r="X104" s="169">
        <f t="shared" si="98"/>
        <v>0</v>
      </c>
      <c r="Y104" s="169">
        <f t="shared" si="98"/>
        <v>0</v>
      </c>
      <c r="Z104" s="169">
        <f t="shared" si="98"/>
        <v>0</v>
      </c>
      <c r="AA104" s="169">
        <f t="shared" si="98"/>
        <v>0</v>
      </c>
      <c r="AB104" s="169">
        <f t="shared" si="98"/>
        <v>0</v>
      </c>
      <c r="AC104" s="169">
        <f t="shared" si="98"/>
        <v>0</v>
      </c>
      <c r="AD104" s="169">
        <f t="shared" si="98"/>
        <v>0</v>
      </c>
      <c r="AE104" s="169">
        <f>IF(AE14=$R32,$BD32*24,IF(AE14=$R33,$BD33*24,IF(AE14=$R34,$BD34*24,IF(AE14=$R35,$BD35*24,IF(AE14=$R36,$BD36*24,IF(AE14=$R37,$BD37*24,IF(AE14=$R38,$BD38*24,IF(AE14=$R39,$BD39*24,IF(AE14=$R40,$BD40*24,"")))))))))</f>
        <v>8</v>
      </c>
      <c r="AF104" s="169">
        <f>IF(AF14=$R32,$BD32*24,IF(AF14=$R33,$BD33*24,IF(AF14=$R34,$BD34*24,IF(AF14=$R35,$BD35*24,IF(AF14=$R36,$BD36*24,IF(AF14=$R37,$BD37*24,IF(AF14=$R38,$BD38*24,IF(AF14=$R39,$BD39*24,IF(AF14=$R40,$BD40*24,"")))))))))</f>
        <v>8</v>
      </c>
      <c r="AG104" s="169" t="str">
        <f>IF(AG14=$R32,$BD32*24,IF(AG14=$R33,$BD33*24,IF(AG14=$R34,$BD34*24,IF(AG14=$R35,$BD35*24,IF(AG14=$R36,$BD36*24,IF(AG14=$R37,$BD37*24,IF(AG14=$R38,$BD38*24,IF(AG14=$R39,$BD39*24,IF(AG14=$R40,$BD40*24,"")))))))))</f>
        <v/>
      </c>
      <c r="AH104" s="148">
        <f>SUM(C104:AG104)</f>
        <v>16</v>
      </c>
      <c r="AI104" s="133"/>
      <c r="AJ104" s="170"/>
      <c r="AK104" s="133"/>
      <c r="AL104" s="133"/>
    </row>
    <row r="105" spans="1:57" ht="15.95" hidden="1" customHeight="1" x14ac:dyDescent="0.25">
      <c r="A105" s="153"/>
      <c r="B105" s="167" t="s">
        <v>59</v>
      </c>
      <c r="C105" s="141">
        <f t="shared" ref="C105:AG105" si="99">IF(C14="V",$C36,IF(C14="PR",$C38,0))</f>
        <v>5.22</v>
      </c>
      <c r="D105" s="141">
        <f t="shared" si="99"/>
        <v>5.22</v>
      </c>
      <c r="E105" s="141">
        <f t="shared" si="99"/>
        <v>5.22</v>
      </c>
      <c r="F105" s="141">
        <f t="shared" si="99"/>
        <v>5.22</v>
      </c>
      <c r="G105" s="141">
        <f t="shared" si="99"/>
        <v>5.22</v>
      </c>
      <c r="H105" s="141">
        <f t="shared" si="99"/>
        <v>5.22</v>
      </c>
      <c r="I105" s="141">
        <f t="shared" si="99"/>
        <v>5.22</v>
      </c>
      <c r="J105" s="141">
        <f t="shared" si="99"/>
        <v>5.22</v>
      </c>
      <c r="K105" s="141">
        <f t="shared" si="99"/>
        <v>5.22</v>
      </c>
      <c r="L105" s="141">
        <f t="shared" si="99"/>
        <v>5.22</v>
      </c>
      <c r="M105" s="141">
        <f t="shared" si="99"/>
        <v>5.22</v>
      </c>
      <c r="N105" s="141">
        <f t="shared" si="99"/>
        <v>5.22</v>
      </c>
      <c r="O105" s="141">
        <f t="shared" si="99"/>
        <v>5.22</v>
      </c>
      <c r="P105" s="141">
        <f t="shared" si="99"/>
        <v>5.22</v>
      </c>
      <c r="Q105" s="141">
        <f t="shared" si="99"/>
        <v>5.22</v>
      </c>
      <c r="R105" s="141">
        <f t="shared" si="99"/>
        <v>0</v>
      </c>
      <c r="S105" s="141">
        <f t="shared" si="99"/>
        <v>0</v>
      </c>
      <c r="T105" s="141">
        <f t="shared" si="99"/>
        <v>0</v>
      </c>
      <c r="U105" s="141">
        <f t="shared" si="99"/>
        <v>0</v>
      </c>
      <c r="V105" s="141">
        <f t="shared" si="99"/>
        <v>0</v>
      </c>
      <c r="W105" s="141">
        <f t="shared" si="99"/>
        <v>0</v>
      </c>
      <c r="X105" s="141">
        <f t="shared" si="99"/>
        <v>0</v>
      </c>
      <c r="Y105" s="141">
        <f t="shared" si="99"/>
        <v>0</v>
      </c>
      <c r="Z105" s="141">
        <f t="shared" si="99"/>
        <v>0</v>
      </c>
      <c r="AA105" s="141">
        <f t="shared" si="99"/>
        <v>0</v>
      </c>
      <c r="AB105" s="141">
        <f t="shared" si="99"/>
        <v>0</v>
      </c>
      <c r="AC105" s="141">
        <f t="shared" si="99"/>
        <v>0</v>
      </c>
      <c r="AD105" s="141">
        <f t="shared" si="99"/>
        <v>0</v>
      </c>
      <c r="AE105" s="141">
        <f t="shared" si="99"/>
        <v>0</v>
      </c>
      <c r="AF105" s="141">
        <f t="shared" si="99"/>
        <v>0</v>
      </c>
      <c r="AG105" s="141">
        <f t="shared" si="99"/>
        <v>0</v>
      </c>
      <c r="AH105" s="226">
        <f>SUM(C105:AG105)</f>
        <v>78.3</v>
      </c>
      <c r="AI105" s="226"/>
      <c r="AJ105" s="230">
        <f>SUM(AH50+AH61+AH72+AH83+AH94+AH105)</f>
        <v>78.3</v>
      </c>
      <c r="AK105" s="230"/>
      <c r="AL105" s="133" t="s">
        <v>56</v>
      </c>
      <c r="AM105" s="1" t="s">
        <v>12</v>
      </c>
    </row>
    <row r="106" spans="1:57" ht="15.95" hidden="1" customHeight="1" x14ac:dyDescent="0.25">
      <c r="A106" s="150" t="s">
        <v>60</v>
      </c>
      <c r="B106" s="167" t="s">
        <v>61</v>
      </c>
      <c r="C106" s="151">
        <f t="shared" ref="C106:AD106" si="100">IF(C14=$R32,$BC32,IF(C14=$R33,$BC33,IF(C14=$R34,$BC34,IF(C14=$R35,$BC35,IF(C14=$R36,$BC36,IF(C14=$R37,$BC37,IF(C14=$R38,$BC38,IF(C14=$R39,$BC39,IF(C14=$R40,$BC40,0)))))))))</f>
        <v>0</v>
      </c>
      <c r="D106" s="151">
        <f t="shared" si="100"/>
        <v>0</v>
      </c>
      <c r="E106" s="151">
        <f t="shared" si="100"/>
        <v>0</v>
      </c>
      <c r="F106" s="151">
        <f t="shared" si="100"/>
        <v>0</v>
      </c>
      <c r="G106" s="151">
        <f t="shared" si="100"/>
        <v>0</v>
      </c>
      <c r="H106" s="151">
        <f t="shared" si="100"/>
        <v>0</v>
      </c>
      <c r="I106" s="151">
        <f t="shared" si="100"/>
        <v>0</v>
      </c>
      <c r="J106" s="151">
        <f t="shared" si="100"/>
        <v>0</v>
      </c>
      <c r="K106" s="151">
        <f t="shared" si="100"/>
        <v>0</v>
      </c>
      <c r="L106" s="151">
        <f t="shared" si="100"/>
        <v>0</v>
      </c>
      <c r="M106" s="151">
        <f t="shared" si="100"/>
        <v>0</v>
      </c>
      <c r="N106" s="151">
        <f t="shared" si="100"/>
        <v>0</v>
      </c>
      <c r="O106" s="151">
        <f t="shared" si="100"/>
        <v>0</v>
      </c>
      <c r="P106" s="151">
        <f t="shared" si="100"/>
        <v>0</v>
      </c>
      <c r="Q106" s="151">
        <f t="shared" si="100"/>
        <v>0</v>
      </c>
      <c r="R106" s="151">
        <f t="shared" si="100"/>
        <v>0</v>
      </c>
      <c r="S106" s="151">
        <f t="shared" si="100"/>
        <v>12</v>
      </c>
      <c r="T106" s="151">
        <f t="shared" si="100"/>
        <v>12</v>
      </c>
      <c r="U106" s="151">
        <f t="shared" si="100"/>
        <v>12</v>
      </c>
      <c r="V106" s="151">
        <f t="shared" si="100"/>
        <v>0</v>
      </c>
      <c r="W106" s="151">
        <f t="shared" si="100"/>
        <v>0</v>
      </c>
      <c r="X106" s="151">
        <f t="shared" si="100"/>
        <v>12</v>
      </c>
      <c r="Y106" s="151">
        <f t="shared" si="100"/>
        <v>12</v>
      </c>
      <c r="Z106" s="151">
        <f t="shared" si="100"/>
        <v>12</v>
      </c>
      <c r="AA106" s="151">
        <f t="shared" si="100"/>
        <v>12</v>
      </c>
      <c r="AB106" s="151">
        <f t="shared" si="100"/>
        <v>12</v>
      </c>
      <c r="AC106" s="151">
        <f t="shared" si="100"/>
        <v>12</v>
      </c>
      <c r="AD106" s="151">
        <f t="shared" si="100"/>
        <v>12</v>
      </c>
      <c r="AE106" s="151">
        <f>IF(AE14=$R32,$BC32,IF(AE14=$R33,$BC33,IF(AE14=$R34,$BC34,IF(AE14=$R35,$BC35,IF(AE14=$R36,$BC36,IF(AE14=$R37,$BC37,IF(AE14=$R38,$BC38,IF(AE14=$R39,$BC39,IF(AE14=$R40,$BC40,0)))))))))</f>
        <v>7.9999999999999716</v>
      </c>
      <c r="AF106" s="151">
        <f>IF(AF14=$R32,$BC32,IF(AF14=$R33,$BC33,IF(AF14=$R34,$BC34,IF(AF14=$R35,$BC35,IF(AF14=$R36,$BC36,IF(AF14=$R37,$BC37,IF(AF14=$R38,$BC38,IF(AF14=$R39,$BC39,IF(AF14=$R40,$BC40,0)))))))))</f>
        <v>7.9999999999999716</v>
      </c>
      <c r="AG106" s="151">
        <f>IF(AG14=$R32,$BC32,IF(AG14=$R33,$BC33,IF(AG14=$R34,$BC34,IF(AG14=$R35,$BC35,IF(AG14=$R36,$BC36,IF(AG14=$R37,$BC37,IF(AG14=$R38,$BC38,IF(AG14=$R39,$BC39,IF(AG14=$R40,$BC40,0)))))))))</f>
        <v>0</v>
      </c>
      <c r="AH106" s="226">
        <f>SUM(C106:AG106)</f>
        <v>135.99999999999994</v>
      </c>
      <c r="AI106" s="226"/>
      <c r="AJ106" s="174" t="s">
        <v>62</v>
      </c>
      <c r="AK106" s="133" t="s">
        <v>12</v>
      </c>
      <c r="AL106" s="133"/>
    </row>
    <row r="107" spans="1:57" ht="15.95" hidden="1" customHeight="1" x14ac:dyDescent="0.25">
      <c r="A107" s="153" t="s">
        <v>48</v>
      </c>
      <c r="B107" s="149" t="s">
        <v>63</v>
      </c>
      <c r="C107" s="141" t="b">
        <f t="shared" ref="C107:AG107" si="101">IF(C46=1,IF(C102&lt;C103,C106,0))</f>
        <v>0</v>
      </c>
      <c r="D107" s="141" t="b">
        <f t="shared" si="101"/>
        <v>0</v>
      </c>
      <c r="E107" s="141" t="b">
        <f t="shared" si="101"/>
        <v>0</v>
      </c>
      <c r="F107" s="141">
        <f t="shared" si="101"/>
        <v>0</v>
      </c>
      <c r="G107" s="141">
        <f t="shared" si="101"/>
        <v>0</v>
      </c>
      <c r="H107" s="141" t="b">
        <f t="shared" si="101"/>
        <v>0</v>
      </c>
      <c r="I107" s="141" t="b">
        <f t="shared" si="101"/>
        <v>0</v>
      </c>
      <c r="J107" s="141" t="b">
        <f t="shared" si="101"/>
        <v>0</v>
      </c>
      <c r="K107" s="141" t="b">
        <f t="shared" si="101"/>
        <v>0</v>
      </c>
      <c r="L107" s="141" t="b">
        <f t="shared" si="101"/>
        <v>0</v>
      </c>
      <c r="M107" s="141">
        <f t="shared" si="101"/>
        <v>0</v>
      </c>
      <c r="N107" s="141">
        <f t="shared" si="101"/>
        <v>0</v>
      </c>
      <c r="O107" s="141" t="b">
        <f t="shared" si="101"/>
        <v>0</v>
      </c>
      <c r="P107" s="141" t="b">
        <f t="shared" si="101"/>
        <v>0</v>
      </c>
      <c r="Q107" s="141" t="b">
        <f t="shared" si="101"/>
        <v>0</v>
      </c>
      <c r="R107" s="141" t="b">
        <f t="shared" si="101"/>
        <v>0</v>
      </c>
      <c r="S107" s="141" t="b">
        <f t="shared" si="101"/>
        <v>0</v>
      </c>
      <c r="T107" s="141">
        <f t="shared" si="101"/>
        <v>12</v>
      </c>
      <c r="U107" s="141">
        <f t="shared" si="101"/>
        <v>12</v>
      </c>
      <c r="V107" s="141" t="b">
        <f t="shared" si="101"/>
        <v>0</v>
      </c>
      <c r="W107" s="141" t="b">
        <f t="shared" si="101"/>
        <v>0</v>
      </c>
      <c r="X107" s="141" t="b">
        <f t="shared" si="101"/>
        <v>0</v>
      </c>
      <c r="Y107" s="141" t="b">
        <f t="shared" si="101"/>
        <v>0</v>
      </c>
      <c r="Z107" s="141" t="b">
        <f t="shared" si="101"/>
        <v>0</v>
      </c>
      <c r="AA107" s="141">
        <f t="shared" si="101"/>
        <v>12</v>
      </c>
      <c r="AB107" s="141">
        <f t="shared" si="101"/>
        <v>12</v>
      </c>
      <c r="AC107" s="141" t="b">
        <f t="shared" si="101"/>
        <v>0</v>
      </c>
      <c r="AD107" s="141" t="b">
        <f t="shared" si="101"/>
        <v>0</v>
      </c>
      <c r="AE107" s="141" t="b">
        <f t="shared" si="101"/>
        <v>0</v>
      </c>
      <c r="AF107" s="141" t="b">
        <f t="shared" si="101"/>
        <v>0</v>
      </c>
      <c r="AG107" s="141" t="b">
        <f t="shared" si="101"/>
        <v>0</v>
      </c>
      <c r="AH107" s="154" t="s">
        <v>12</v>
      </c>
      <c r="AI107" s="133"/>
      <c r="AJ107" s="170"/>
      <c r="AK107" s="133"/>
      <c r="AL107" s="133"/>
      <c r="BE107" s="31"/>
    </row>
    <row r="108" spans="1:57" ht="15.95" hidden="1" customHeight="1" x14ac:dyDescent="0.25">
      <c r="A108" s="176"/>
      <c r="B108" s="149" t="s">
        <v>64</v>
      </c>
      <c r="C108" s="141">
        <f>IF(C46=1,IF(C113&gt;C114,24-C113,0),0)</f>
        <v>0</v>
      </c>
      <c r="D108" s="141">
        <f t="shared" ref="D108:AG108" si="102">IF(D46=1,IF(D102&gt;D103,24-D102,0),0)</f>
        <v>0</v>
      </c>
      <c r="E108" s="141">
        <f t="shared" si="102"/>
        <v>0</v>
      </c>
      <c r="F108" s="141">
        <f t="shared" si="102"/>
        <v>0</v>
      </c>
      <c r="G108" s="141">
        <f t="shared" si="102"/>
        <v>0</v>
      </c>
      <c r="H108" s="141">
        <f t="shared" si="102"/>
        <v>0</v>
      </c>
      <c r="I108" s="141">
        <f t="shared" si="102"/>
        <v>0</v>
      </c>
      <c r="J108" s="141">
        <f t="shared" si="102"/>
        <v>0</v>
      </c>
      <c r="K108" s="141">
        <f t="shared" si="102"/>
        <v>0</v>
      </c>
      <c r="L108" s="141">
        <f t="shared" si="102"/>
        <v>0</v>
      </c>
      <c r="M108" s="141">
        <f t="shared" si="102"/>
        <v>0</v>
      </c>
      <c r="N108" s="141">
        <f t="shared" si="102"/>
        <v>0</v>
      </c>
      <c r="O108" s="141">
        <f t="shared" si="102"/>
        <v>0</v>
      </c>
      <c r="P108" s="141">
        <f t="shared" si="102"/>
        <v>0</v>
      </c>
      <c r="Q108" s="141">
        <f t="shared" si="102"/>
        <v>0</v>
      </c>
      <c r="R108" s="141">
        <f t="shared" si="102"/>
        <v>0</v>
      </c>
      <c r="S108" s="141">
        <f t="shared" si="102"/>
        <v>0</v>
      </c>
      <c r="T108" s="141">
        <f t="shared" si="102"/>
        <v>0</v>
      </c>
      <c r="U108" s="141">
        <f t="shared" si="102"/>
        <v>0</v>
      </c>
      <c r="V108" s="141">
        <f t="shared" si="102"/>
        <v>0</v>
      </c>
      <c r="W108" s="141">
        <f t="shared" si="102"/>
        <v>0</v>
      </c>
      <c r="X108" s="141">
        <f t="shared" si="102"/>
        <v>0</v>
      </c>
      <c r="Y108" s="141">
        <f t="shared" si="102"/>
        <v>0</v>
      </c>
      <c r="Z108" s="141">
        <f t="shared" si="102"/>
        <v>0</v>
      </c>
      <c r="AA108" s="141">
        <f t="shared" si="102"/>
        <v>0</v>
      </c>
      <c r="AB108" s="141">
        <f t="shared" si="102"/>
        <v>0</v>
      </c>
      <c r="AC108" s="141">
        <f t="shared" si="102"/>
        <v>0</v>
      </c>
      <c r="AD108" s="141">
        <f t="shared" si="102"/>
        <v>0</v>
      </c>
      <c r="AE108" s="141">
        <f t="shared" si="102"/>
        <v>0</v>
      </c>
      <c r="AF108" s="141">
        <f t="shared" si="102"/>
        <v>0</v>
      </c>
      <c r="AG108" s="141">
        <f t="shared" si="102"/>
        <v>0</v>
      </c>
      <c r="AH108" s="154" t="s">
        <v>12</v>
      </c>
      <c r="AI108" s="133"/>
      <c r="AJ108" s="170"/>
      <c r="AK108" s="133"/>
      <c r="AL108" s="133"/>
    </row>
    <row r="109" spans="1:57" ht="15.95" hidden="1" customHeight="1" x14ac:dyDescent="0.25">
      <c r="A109" s="176"/>
      <c r="B109" s="149" t="s">
        <v>65</v>
      </c>
      <c r="C109" s="141">
        <f t="shared" ref="C109:AG109" si="103">IF(D46=1,IF(C102&gt;C103,C103,0),0)</f>
        <v>0</v>
      </c>
      <c r="D109" s="141">
        <f t="shared" si="103"/>
        <v>0</v>
      </c>
      <c r="E109" s="141">
        <f t="shared" si="103"/>
        <v>0</v>
      </c>
      <c r="F109" s="141">
        <f t="shared" si="103"/>
        <v>0</v>
      </c>
      <c r="G109" s="141">
        <f t="shared" si="103"/>
        <v>0</v>
      </c>
      <c r="H109" s="141">
        <f t="shared" si="103"/>
        <v>0</v>
      </c>
      <c r="I109" s="141">
        <f t="shared" si="103"/>
        <v>0</v>
      </c>
      <c r="J109" s="141">
        <f t="shared" si="103"/>
        <v>0</v>
      </c>
      <c r="K109" s="141">
        <f t="shared" si="103"/>
        <v>0</v>
      </c>
      <c r="L109" s="141">
        <f t="shared" si="103"/>
        <v>0</v>
      </c>
      <c r="M109" s="141">
        <f t="shared" si="103"/>
        <v>0</v>
      </c>
      <c r="N109" s="141">
        <f t="shared" si="103"/>
        <v>0</v>
      </c>
      <c r="O109" s="141">
        <f t="shared" si="103"/>
        <v>0</v>
      </c>
      <c r="P109" s="141">
        <f t="shared" si="103"/>
        <v>0</v>
      </c>
      <c r="Q109" s="141">
        <f t="shared" si="103"/>
        <v>0</v>
      </c>
      <c r="R109" s="141">
        <f t="shared" si="103"/>
        <v>0</v>
      </c>
      <c r="S109" s="141">
        <f t="shared" si="103"/>
        <v>0</v>
      </c>
      <c r="T109" s="141">
        <f t="shared" si="103"/>
        <v>0</v>
      </c>
      <c r="U109" s="141">
        <f t="shared" si="103"/>
        <v>0</v>
      </c>
      <c r="V109" s="141">
        <f t="shared" si="103"/>
        <v>0</v>
      </c>
      <c r="W109" s="141">
        <f t="shared" si="103"/>
        <v>0</v>
      </c>
      <c r="X109" s="141">
        <f>IF(Y46=1,IF(X102&gt;X103,X103,0),0)</f>
        <v>0</v>
      </c>
      <c r="Y109" s="141">
        <f t="shared" si="103"/>
        <v>0</v>
      </c>
      <c r="Z109" s="141">
        <f t="shared" si="103"/>
        <v>0</v>
      </c>
      <c r="AA109" s="141">
        <f t="shared" si="103"/>
        <v>0</v>
      </c>
      <c r="AB109" s="141">
        <f t="shared" si="103"/>
        <v>0</v>
      </c>
      <c r="AC109" s="141">
        <f t="shared" si="103"/>
        <v>0</v>
      </c>
      <c r="AD109" s="141">
        <f t="shared" si="103"/>
        <v>0</v>
      </c>
      <c r="AE109" s="141">
        <f t="shared" si="103"/>
        <v>0</v>
      </c>
      <c r="AF109" s="141">
        <f t="shared" si="103"/>
        <v>0</v>
      </c>
      <c r="AG109" s="141">
        <f t="shared" si="103"/>
        <v>0</v>
      </c>
      <c r="AH109" s="154" t="s">
        <v>12</v>
      </c>
      <c r="AI109" s="133"/>
      <c r="AJ109" s="170"/>
      <c r="AK109" s="133"/>
      <c r="AL109" s="133"/>
    </row>
    <row r="110" spans="1:57" ht="15.95" hidden="1" customHeight="1" x14ac:dyDescent="0.25">
      <c r="A110" s="176"/>
      <c r="B110" s="149" t="s">
        <v>67</v>
      </c>
      <c r="C110" s="171">
        <f t="shared" ref="C110:AG110" si="104">SUM(C107:C109)</f>
        <v>0</v>
      </c>
      <c r="D110" s="171">
        <f t="shared" si="104"/>
        <v>0</v>
      </c>
      <c r="E110" s="171">
        <f t="shared" si="104"/>
        <v>0</v>
      </c>
      <c r="F110" s="171">
        <f t="shared" si="104"/>
        <v>0</v>
      </c>
      <c r="G110" s="171">
        <f t="shared" si="104"/>
        <v>0</v>
      </c>
      <c r="H110" s="171">
        <f t="shared" si="104"/>
        <v>0</v>
      </c>
      <c r="I110" s="171">
        <f t="shared" si="104"/>
        <v>0</v>
      </c>
      <c r="J110" s="171">
        <f t="shared" si="104"/>
        <v>0</v>
      </c>
      <c r="K110" s="171">
        <f t="shared" si="104"/>
        <v>0</v>
      </c>
      <c r="L110" s="171">
        <f t="shared" si="104"/>
        <v>0</v>
      </c>
      <c r="M110" s="171">
        <f t="shared" si="104"/>
        <v>0</v>
      </c>
      <c r="N110" s="171">
        <f t="shared" si="104"/>
        <v>0</v>
      </c>
      <c r="O110" s="171">
        <f t="shared" si="104"/>
        <v>0</v>
      </c>
      <c r="P110" s="171">
        <f t="shared" si="104"/>
        <v>0</v>
      </c>
      <c r="Q110" s="171">
        <f t="shared" si="104"/>
        <v>0</v>
      </c>
      <c r="R110" s="171">
        <f t="shared" si="104"/>
        <v>0</v>
      </c>
      <c r="S110" s="171">
        <f t="shared" si="104"/>
        <v>0</v>
      </c>
      <c r="T110" s="171">
        <f t="shared" si="104"/>
        <v>12</v>
      </c>
      <c r="U110" s="171">
        <f t="shared" si="104"/>
        <v>12</v>
      </c>
      <c r="V110" s="171">
        <f t="shared" si="104"/>
        <v>0</v>
      </c>
      <c r="W110" s="171">
        <f t="shared" si="104"/>
        <v>0</v>
      </c>
      <c r="X110" s="171">
        <f t="shared" si="104"/>
        <v>0</v>
      </c>
      <c r="Y110" s="171">
        <f t="shared" si="104"/>
        <v>0</v>
      </c>
      <c r="Z110" s="171">
        <f t="shared" si="104"/>
        <v>0</v>
      </c>
      <c r="AA110" s="171">
        <f t="shared" si="104"/>
        <v>12</v>
      </c>
      <c r="AB110" s="171">
        <f t="shared" si="104"/>
        <v>12</v>
      </c>
      <c r="AC110" s="171">
        <f t="shared" si="104"/>
        <v>0</v>
      </c>
      <c r="AD110" s="171">
        <f t="shared" si="104"/>
        <v>0</v>
      </c>
      <c r="AE110" s="171">
        <f t="shared" si="104"/>
        <v>0</v>
      </c>
      <c r="AF110" s="171">
        <f t="shared" si="104"/>
        <v>0</v>
      </c>
      <c r="AG110" s="171">
        <f t="shared" si="104"/>
        <v>0</v>
      </c>
      <c r="AH110" s="154" t="s">
        <v>12</v>
      </c>
      <c r="AI110" s="133"/>
      <c r="AJ110" s="170"/>
      <c r="AK110" s="133"/>
      <c r="AL110" s="133"/>
    </row>
    <row r="111" spans="1:57" ht="15.95" hidden="1" customHeight="1" x14ac:dyDescent="0.25">
      <c r="A111" s="177"/>
      <c r="B111" s="160" t="s">
        <v>68</v>
      </c>
      <c r="C111" s="161">
        <f t="shared" ref="C111:AG111" si="105">IF(C14="V",IF(C14="",0,1),0)</f>
        <v>1</v>
      </c>
      <c r="D111" s="161">
        <f t="shared" si="105"/>
        <v>1</v>
      </c>
      <c r="E111" s="161">
        <f t="shared" si="105"/>
        <v>1</v>
      </c>
      <c r="F111" s="161">
        <f t="shared" si="105"/>
        <v>1</v>
      </c>
      <c r="G111" s="161">
        <f t="shared" si="105"/>
        <v>1</v>
      </c>
      <c r="H111" s="161">
        <f t="shared" si="105"/>
        <v>1</v>
      </c>
      <c r="I111" s="161">
        <f t="shared" si="105"/>
        <v>1</v>
      </c>
      <c r="J111" s="161">
        <f t="shared" si="105"/>
        <v>1</v>
      </c>
      <c r="K111" s="161">
        <f t="shared" si="105"/>
        <v>1</v>
      </c>
      <c r="L111" s="161">
        <f t="shared" si="105"/>
        <v>1</v>
      </c>
      <c r="M111" s="161">
        <f t="shared" si="105"/>
        <v>1</v>
      </c>
      <c r="N111" s="161">
        <f t="shared" si="105"/>
        <v>1</v>
      </c>
      <c r="O111" s="161">
        <f t="shared" si="105"/>
        <v>1</v>
      </c>
      <c r="P111" s="161">
        <f t="shared" si="105"/>
        <v>1</v>
      </c>
      <c r="Q111" s="161">
        <f t="shared" si="105"/>
        <v>1</v>
      </c>
      <c r="R111" s="161">
        <f t="shared" si="105"/>
        <v>0</v>
      </c>
      <c r="S111" s="161">
        <f t="shared" si="105"/>
        <v>0</v>
      </c>
      <c r="T111" s="161">
        <f t="shared" si="105"/>
        <v>0</v>
      </c>
      <c r="U111" s="161">
        <f t="shared" si="105"/>
        <v>0</v>
      </c>
      <c r="V111" s="161">
        <f t="shared" si="105"/>
        <v>0</v>
      </c>
      <c r="W111" s="161">
        <f t="shared" si="105"/>
        <v>0</v>
      </c>
      <c r="X111" s="161">
        <f t="shared" si="105"/>
        <v>0</v>
      </c>
      <c r="Y111" s="161">
        <f t="shared" si="105"/>
        <v>0</v>
      </c>
      <c r="Z111" s="161">
        <f t="shared" si="105"/>
        <v>0</v>
      </c>
      <c r="AA111" s="161">
        <f t="shared" si="105"/>
        <v>0</v>
      </c>
      <c r="AB111" s="161">
        <f t="shared" si="105"/>
        <v>0</v>
      </c>
      <c r="AC111" s="161">
        <f t="shared" si="105"/>
        <v>0</v>
      </c>
      <c r="AD111" s="161">
        <f t="shared" si="105"/>
        <v>0</v>
      </c>
      <c r="AE111" s="161">
        <f t="shared" si="105"/>
        <v>0</v>
      </c>
      <c r="AF111" s="161">
        <f t="shared" si="105"/>
        <v>0</v>
      </c>
      <c r="AG111" s="161">
        <f t="shared" si="105"/>
        <v>0</v>
      </c>
      <c r="AH111" s="154" t="s">
        <v>12</v>
      </c>
      <c r="AI111" s="133"/>
      <c r="AJ111" s="170"/>
      <c r="AK111" s="133"/>
      <c r="AL111" s="133"/>
    </row>
    <row r="112" spans="1:57" ht="15.95" hidden="1" customHeight="1" x14ac:dyDescent="0.25">
      <c r="A112" s="180"/>
      <c r="B112" s="181" t="s">
        <v>16</v>
      </c>
      <c r="C112" s="182">
        <f t="shared" ref="C112:AG112" si="106">IF(C14="PR",IF(C14="",0,1),0)</f>
        <v>0</v>
      </c>
      <c r="D112" s="182">
        <f t="shared" si="106"/>
        <v>0</v>
      </c>
      <c r="E112" s="182">
        <f t="shared" si="106"/>
        <v>0</v>
      </c>
      <c r="F112" s="182">
        <f t="shared" si="106"/>
        <v>0</v>
      </c>
      <c r="G112" s="182">
        <f t="shared" si="106"/>
        <v>0</v>
      </c>
      <c r="H112" s="182">
        <f t="shared" si="106"/>
        <v>0</v>
      </c>
      <c r="I112" s="182">
        <f t="shared" si="106"/>
        <v>0</v>
      </c>
      <c r="J112" s="182">
        <f t="shared" si="106"/>
        <v>0</v>
      </c>
      <c r="K112" s="182">
        <f t="shared" si="106"/>
        <v>0</v>
      </c>
      <c r="L112" s="182">
        <f t="shared" si="106"/>
        <v>0</v>
      </c>
      <c r="M112" s="182">
        <f t="shared" si="106"/>
        <v>0</v>
      </c>
      <c r="N112" s="182">
        <f t="shared" si="106"/>
        <v>0</v>
      </c>
      <c r="O112" s="182">
        <f t="shared" si="106"/>
        <v>0</v>
      </c>
      <c r="P112" s="182">
        <f t="shared" si="106"/>
        <v>0</v>
      </c>
      <c r="Q112" s="182">
        <f t="shared" si="106"/>
        <v>0</v>
      </c>
      <c r="R112" s="182">
        <f t="shared" si="106"/>
        <v>0</v>
      </c>
      <c r="S112" s="182">
        <f t="shared" si="106"/>
        <v>0</v>
      </c>
      <c r="T112" s="182">
        <f t="shared" si="106"/>
        <v>0</v>
      </c>
      <c r="U112" s="182">
        <f t="shared" si="106"/>
        <v>0</v>
      </c>
      <c r="V112" s="182">
        <f t="shared" si="106"/>
        <v>0</v>
      </c>
      <c r="W112" s="182">
        <f t="shared" si="106"/>
        <v>0</v>
      </c>
      <c r="X112" s="182">
        <f t="shared" si="106"/>
        <v>0</v>
      </c>
      <c r="Y112" s="182">
        <f t="shared" si="106"/>
        <v>0</v>
      </c>
      <c r="Z112" s="182">
        <f t="shared" si="106"/>
        <v>0</v>
      </c>
      <c r="AA112" s="182">
        <f t="shared" si="106"/>
        <v>0</v>
      </c>
      <c r="AB112" s="182">
        <f t="shared" si="106"/>
        <v>0</v>
      </c>
      <c r="AC112" s="182">
        <f t="shared" si="106"/>
        <v>0</v>
      </c>
      <c r="AD112" s="182">
        <f t="shared" si="106"/>
        <v>0</v>
      </c>
      <c r="AE112" s="182">
        <f t="shared" si="106"/>
        <v>0</v>
      </c>
      <c r="AF112" s="182">
        <f t="shared" si="106"/>
        <v>0</v>
      </c>
      <c r="AG112" s="182">
        <f t="shared" si="106"/>
        <v>0</v>
      </c>
      <c r="AH112" s="227">
        <f>SUM(C112:AG112)</f>
        <v>0</v>
      </c>
      <c r="AI112" s="227"/>
      <c r="AJ112" s="174" t="s">
        <v>69</v>
      </c>
      <c r="AK112" s="133"/>
      <c r="AL112" s="133"/>
    </row>
    <row r="113" spans="1:57" s="31" customFormat="1" ht="15.95" hidden="1" customHeight="1" x14ac:dyDescent="0.25">
      <c r="A113" s="164" t="s">
        <v>81</v>
      </c>
      <c r="B113" s="165" t="s">
        <v>29</v>
      </c>
      <c r="C113" s="141" t="str">
        <f t="shared" ref="C113:AG113" si="107">IF(C15=$R32,$S32*24,IF(C15=$R33,$S33*24,IF(C15=$R34,$S34*24,IF(C15=$R35,$S35*24,IF(C15=$R36,$S36*24,IF(C15=$R37,$S37*24,IF(C15=$R38,$S38*24,IF(C15=$R39,$S39*24,IF(C15=$R40,$S40*24,"")))))))))</f>
        <v/>
      </c>
      <c r="D113" s="141" t="str">
        <f t="shared" si="107"/>
        <v/>
      </c>
      <c r="E113" s="141" t="str">
        <f t="shared" si="107"/>
        <v/>
      </c>
      <c r="F113" s="141" t="str">
        <f t="shared" si="107"/>
        <v/>
      </c>
      <c r="G113" s="141" t="str">
        <f t="shared" si="107"/>
        <v/>
      </c>
      <c r="H113" s="141" t="str">
        <f t="shared" si="107"/>
        <v/>
      </c>
      <c r="I113" s="141" t="str">
        <f t="shared" si="107"/>
        <v/>
      </c>
      <c r="J113" s="141" t="str">
        <f t="shared" si="107"/>
        <v/>
      </c>
      <c r="K113" s="141" t="str">
        <f t="shared" si="107"/>
        <v/>
      </c>
      <c r="L113" s="141" t="str">
        <f t="shared" si="107"/>
        <v/>
      </c>
      <c r="M113" s="141" t="str">
        <f t="shared" si="107"/>
        <v/>
      </c>
      <c r="N113" s="141" t="str">
        <f t="shared" si="107"/>
        <v/>
      </c>
      <c r="O113" s="141" t="str">
        <f t="shared" si="107"/>
        <v/>
      </c>
      <c r="P113" s="141" t="str">
        <f t="shared" si="107"/>
        <v/>
      </c>
      <c r="Q113" s="141" t="str">
        <f t="shared" si="107"/>
        <v/>
      </c>
      <c r="R113" s="141" t="str">
        <f t="shared" si="107"/>
        <v/>
      </c>
      <c r="S113" s="141">
        <f t="shared" si="107"/>
        <v>7</v>
      </c>
      <c r="T113" s="141">
        <f t="shared" si="107"/>
        <v>7</v>
      </c>
      <c r="U113" s="141">
        <f t="shared" si="107"/>
        <v>7</v>
      </c>
      <c r="V113" s="141">
        <f t="shared" si="107"/>
        <v>18</v>
      </c>
      <c r="W113" s="141" t="str">
        <f t="shared" si="107"/>
        <v/>
      </c>
      <c r="X113" s="141">
        <f t="shared" si="107"/>
        <v>7</v>
      </c>
      <c r="Y113" s="141">
        <f t="shared" si="107"/>
        <v>7</v>
      </c>
      <c r="Z113" s="141" t="str">
        <f t="shared" si="107"/>
        <v/>
      </c>
      <c r="AA113" s="141">
        <f t="shared" si="107"/>
        <v>22</v>
      </c>
      <c r="AB113" s="141">
        <f t="shared" si="107"/>
        <v>22</v>
      </c>
      <c r="AC113" s="141">
        <f t="shared" si="107"/>
        <v>7</v>
      </c>
      <c r="AD113" s="141">
        <f t="shared" si="107"/>
        <v>7</v>
      </c>
      <c r="AE113" s="141">
        <f t="shared" si="107"/>
        <v>18</v>
      </c>
      <c r="AF113" s="141">
        <f t="shared" si="107"/>
        <v>18</v>
      </c>
      <c r="AG113" s="141" t="str">
        <f t="shared" si="107"/>
        <v/>
      </c>
      <c r="AH113" s="154" t="s">
        <v>12</v>
      </c>
      <c r="AI113" s="133"/>
      <c r="AJ113" s="170"/>
      <c r="AK113" s="133"/>
      <c r="AL113" s="133"/>
      <c r="BE113" s="1"/>
    </row>
    <row r="114" spans="1:57" ht="15.95" hidden="1" customHeight="1" x14ac:dyDescent="0.25">
      <c r="A114" s="166" t="s">
        <v>82</v>
      </c>
      <c r="B114" s="167" t="s">
        <v>30</v>
      </c>
      <c r="C114" s="141" t="str">
        <f t="shared" ref="C114:AG114" si="108">IF(C15=$R32,$V32*24,IF(C15=$R33,$V33*24,IF(C15=$R34,$V34*24,IF(C15=$R35,$V35*24,IF(C15=$R36,$V36*24,IF(C15=$R37,$V37*24,IF(C15=$R38,$V38*24,IF(C15=$R39,$V39*24,IF(C15=$R40,$V40*24,"")))))))))</f>
        <v/>
      </c>
      <c r="D114" s="141" t="str">
        <f t="shared" si="108"/>
        <v/>
      </c>
      <c r="E114" s="141" t="str">
        <f t="shared" si="108"/>
        <v/>
      </c>
      <c r="F114" s="141" t="str">
        <f t="shared" si="108"/>
        <v/>
      </c>
      <c r="G114" s="141" t="str">
        <f t="shared" si="108"/>
        <v/>
      </c>
      <c r="H114" s="141" t="str">
        <f t="shared" si="108"/>
        <v/>
      </c>
      <c r="I114" s="141" t="str">
        <f t="shared" si="108"/>
        <v/>
      </c>
      <c r="J114" s="141" t="str">
        <f t="shared" si="108"/>
        <v/>
      </c>
      <c r="K114" s="141" t="str">
        <f t="shared" si="108"/>
        <v/>
      </c>
      <c r="L114" s="141" t="str">
        <f t="shared" si="108"/>
        <v/>
      </c>
      <c r="M114" s="141" t="str">
        <f t="shared" si="108"/>
        <v/>
      </c>
      <c r="N114" s="141" t="str">
        <f t="shared" si="108"/>
        <v/>
      </c>
      <c r="O114" s="141" t="str">
        <f t="shared" si="108"/>
        <v/>
      </c>
      <c r="P114" s="141" t="str">
        <f t="shared" si="108"/>
        <v/>
      </c>
      <c r="Q114" s="141" t="str">
        <f t="shared" si="108"/>
        <v/>
      </c>
      <c r="R114" s="141" t="str">
        <f t="shared" si="108"/>
        <v/>
      </c>
      <c r="S114" s="141">
        <f t="shared" si="108"/>
        <v>19</v>
      </c>
      <c r="T114" s="141">
        <f t="shared" si="108"/>
        <v>19</v>
      </c>
      <c r="U114" s="141">
        <f t="shared" si="108"/>
        <v>19</v>
      </c>
      <c r="V114" s="141">
        <f t="shared" si="108"/>
        <v>6</v>
      </c>
      <c r="W114" s="141" t="str">
        <f t="shared" si="108"/>
        <v/>
      </c>
      <c r="X114" s="141">
        <f t="shared" si="108"/>
        <v>19</v>
      </c>
      <c r="Y114" s="141">
        <f t="shared" si="108"/>
        <v>19</v>
      </c>
      <c r="Z114" s="141" t="str">
        <f t="shared" si="108"/>
        <v/>
      </c>
      <c r="AA114" s="141">
        <f t="shared" si="108"/>
        <v>6</v>
      </c>
      <c r="AB114" s="141">
        <f t="shared" si="108"/>
        <v>6</v>
      </c>
      <c r="AC114" s="141">
        <f t="shared" si="108"/>
        <v>19</v>
      </c>
      <c r="AD114" s="141">
        <f t="shared" si="108"/>
        <v>19</v>
      </c>
      <c r="AE114" s="141">
        <f t="shared" si="108"/>
        <v>6</v>
      </c>
      <c r="AF114" s="141">
        <f t="shared" si="108"/>
        <v>6</v>
      </c>
      <c r="AG114" s="141" t="str">
        <f t="shared" si="108"/>
        <v/>
      </c>
      <c r="AH114" s="154" t="s">
        <v>12</v>
      </c>
      <c r="AI114" s="133"/>
      <c r="AJ114" s="170"/>
      <c r="AK114" s="133"/>
      <c r="AL114" s="133"/>
    </row>
    <row r="115" spans="1:57" ht="15.95" hidden="1" customHeight="1" x14ac:dyDescent="0.25">
      <c r="A115" s="153"/>
      <c r="B115" s="168" t="s">
        <v>34</v>
      </c>
      <c r="C115" s="169" t="str">
        <f t="shared" ref="C115:AD115" si="109">IF(C15=$R32,$BD32*24,IF(C15=$R33,$BD33*24,IF(C15=$R34,$BD34*24,IF(C15=$R35,$BD35*24,IF(C15=$R36,$BD36*24,IF(C15=$R37,$BD37*24,IF(C15=$R38,$BD38*24,IF(C15=$R39,$BD39*24,IF(C15=$R40,$BD40*24,"")))))))))</f>
        <v/>
      </c>
      <c r="D115" s="169" t="str">
        <f t="shared" si="109"/>
        <v/>
      </c>
      <c r="E115" s="169" t="str">
        <f t="shared" si="109"/>
        <v/>
      </c>
      <c r="F115" s="169" t="str">
        <f t="shared" si="109"/>
        <v/>
      </c>
      <c r="G115" s="169" t="str">
        <f t="shared" si="109"/>
        <v/>
      </c>
      <c r="H115" s="169" t="str">
        <f t="shared" si="109"/>
        <v/>
      </c>
      <c r="I115" s="169" t="str">
        <f t="shared" si="109"/>
        <v/>
      </c>
      <c r="J115" s="169" t="str">
        <f t="shared" si="109"/>
        <v/>
      </c>
      <c r="K115" s="169" t="str">
        <f t="shared" si="109"/>
        <v/>
      </c>
      <c r="L115" s="169" t="str">
        <f t="shared" si="109"/>
        <v/>
      </c>
      <c r="M115" s="169" t="str">
        <f t="shared" si="109"/>
        <v/>
      </c>
      <c r="N115" s="169" t="str">
        <f t="shared" si="109"/>
        <v/>
      </c>
      <c r="O115" s="169" t="str">
        <f t="shared" si="109"/>
        <v/>
      </c>
      <c r="P115" s="169" t="str">
        <f t="shared" si="109"/>
        <v/>
      </c>
      <c r="Q115" s="169" t="str">
        <f t="shared" si="109"/>
        <v/>
      </c>
      <c r="R115" s="169" t="str">
        <f t="shared" si="109"/>
        <v/>
      </c>
      <c r="S115" s="169">
        <f t="shared" si="109"/>
        <v>0</v>
      </c>
      <c r="T115" s="169">
        <f t="shared" si="109"/>
        <v>0</v>
      </c>
      <c r="U115" s="169">
        <f t="shared" si="109"/>
        <v>0</v>
      </c>
      <c r="V115" s="169">
        <f t="shared" si="109"/>
        <v>8</v>
      </c>
      <c r="W115" s="169" t="str">
        <f t="shared" si="109"/>
        <v/>
      </c>
      <c r="X115" s="169">
        <f t="shared" si="109"/>
        <v>0</v>
      </c>
      <c r="Y115" s="169">
        <f t="shared" si="109"/>
        <v>0</v>
      </c>
      <c r="Z115" s="169" t="str">
        <f t="shared" si="109"/>
        <v/>
      </c>
      <c r="AA115" s="169">
        <f t="shared" si="109"/>
        <v>8</v>
      </c>
      <c r="AB115" s="169">
        <f t="shared" si="109"/>
        <v>8</v>
      </c>
      <c r="AC115" s="169">
        <f t="shared" si="109"/>
        <v>0</v>
      </c>
      <c r="AD115" s="169">
        <f t="shared" si="109"/>
        <v>0</v>
      </c>
      <c r="AE115" s="169">
        <f>IF(AE15=$R32,$BD32*24,IF(AE15=$R33,$BD33*24,IF(AE15=$R34,$BD34*24,IF(AE15=$R35,$BD35*24,IF(AE15=$R36,$BD36*24,IF(AE15=$R37,$BD37*24,IF(AE15=$R38,$BD38*24,IF(AE15=$R39,$BD39*24,IF(AE15=$R40,$BD40*24,"")))))))))</f>
        <v>8</v>
      </c>
      <c r="AF115" s="169">
        <f>IF(AF15=$R32,$BD32*24,IF(AF15=$R33,$BD33*24,IF(AF15=$R34,$BD34*24,IF(AF15=$R35,$BD35*24,IF(AF15=$R36,$BD36*24,IF(AF15=$R37,$BD37*24,IF(AF15=$R38,$BD38*24,IF(AF15=$R39,$BD39*24,IF(AF15=$R40,$BD40*24,"")))))))))</f>
        <v>8</v>
      </c>
      <c r="AG115" s="169" t="str">
        <f>IF(AG15=$R32,$BD32*24,IF(AG15=$R33,$BD33*24,IF(AG15=$R34,$BD34*24,IF(AG15=$R35,$BD35*24,IF(AG15=$R36,$BD36*24,IF(AG15=$R37,$BD37*24,IF(AG15=$R38,$BD38*24,IF(AG15=$R39,$BD39*24,IF(AG15=$R40,$BD40*24,"")))))))))</f>
        <v/>
      </c>
      <c r="AH115" s="148">
        <f>SUM(C115:AG115)</f>
        <v>40</v>
      </c>
      <c r="AI115" s="133"/>
      <c r="AJ115" s="170"/>
      <c r="AK115" s="133"/>
      <c r="AL115" s="133"/>
    </row>
    <row r="116" spans="1:57" ht="15.95" hidden="1" customHeight="1" x14ac:dyDescent="0.25">
      <c r="A116" s="153"/>
      <c r="B116" s="167" t="s">
        <v>59</v>
      </c>
      <c r="C116" s="141">
        <f t="shared" ref="C116:AG116" si="110">IF(C15="V",$C36,IF(C15="PR",$C38,0))</f>
        <v>5.22</v>
      </c>
      <c r="D116" s="141">
        <f t="shared" si="110"/>
        <v>5.22</v>
      </c>
      <c r="E116" s="141">
        <f t="shared" si="110"/>
        <v>5.22</v>
      </c>
      <c r="F116" s="141">
        <f t="shared" si="110"/>
        <v>5.22</v>
      </c>
      <c r="G116" s="141">
        <f t="shared" si="110"/>
        <v>5.22</v>
      </c>
      <c r="H116" s="141">
        <f t="shared" si="110"/>
        <v>5.22</v>
      </c>
      <c r="I116" s="141">
        <f t="shared" si="110"/>
        <v>5.22</v>
      </c>
      <c r="J116" s="141">
        <f t="shared" si="110"/>
        <v>5.22</v>
      </c>
      <c r="K116" s="141">
        <f t="shared" si="110"/>
        <v>5.22</v>
      </c>
      <c r="L116" s="141">
        <f t="shared" si="110"/>
        <v>5.22</v>
      </c>
      <c r="M116" s="141">
        <f t="shared" si="110"/>
        <v>5.22</v>
      </c>
      <c r="N116" s="141">
        <f t="shared" si="110"/>
        <v>5.22</v>
      </c>
      <c r="O116" s="141">
        <f t="shared" si="110"/>
        <v>5.22</v>
      </c>
      <c r="P116" s="141">
        <f t="shared" si="110"/>
        <v>5.22</v>
      </c>
      <c r="Q116" s="141">
        <f t="shared" si="110"/>
        <v>5.22</v>
      </c>
      <c r="R116" s="141">
        <f t="shared" si="110"/>
        <v>0</v>
      </c>
      <c r="S116" s="141">
        <f t="shared" si="110"/>
        <v>0</v>
      </c>
      <c r="T116" s="141">
        <f t="shared" si="110"/>
        <v>0</v>
      </c>
      <c r="U116" s="141">
        <f t="shared" si="110"/>
        <v>0</v>
      </c>
      <c r="V116" s="141">
        <f t="shared" si="110"/>
        <v>0</v>
      </c>
      <c r="W116" s="141">
        <f t="shared" si="110"/>
        <v>0</v>
      </c>
      <c r="X116" s="141">
        <f t="shared" si="110"/>
        <v>0</v>
      </c>
      <c r="Y116" s="141">
        <f t="shared" si="110"/>
        <v>0</v>
      </c>
      <c r="Z116" s="141">
        <f t="shared" si="110"/>
        <v>0</v>
      </c>
      <c r="AA116" s="141">
        <f t="shared" si="110"/>
        <v>0</v>
      </c>
      <c r="AB116" s="141">
        <f t="shared" si="110"/>
        <v>0</v>
      </c>
      <c r="AC116" s="141">
        <f t="shared" si="110"/>
        <v>0</v>
      </c>
      <c r="AD116" s="141">
        <f t="shared" si="110"/>
        <v>0</v>
      </c>
      <c r="AE116" s="141">
        <f t="shared" si="110"/>
        <v>0</v>
      </c>
      <c r="AF116" s="141">
        <f t="shared" si="110"/>
        <v>0</v>
      </c>
      <c r="AG116" s="141">
        <f t="shared" si="110"/>
        <v>0</v>
      </c>
      <c r="AH116" s="226">
        <f>SUM(C116:AG116)</f>
        <v>78.3</v>
      </c>
      <c r="AI116" s="226"/>
      <c r="AJ116" s="230">
        <f>SUM(AH61+AH72+AH83+AH94+AH105+AH116)</f>
        <v>156.6</v>
      </c>
      <c r="AK116" s="230"/>
      <c r="AL116" s="133" t="s">
        <v>56</v>
      </c>
    </row>
    <row r="117" spans="1:57" ht="15.95" hidden="1" customHeight="1" x14ac:dyDescent="0.25">
      <c r="A117" s="150" t="s">
        <v>60</v>
      </c>
      <c r="B117" s="167" t="s">
        <v>61</v>
      </c>
      <c r="C117" s="151">
        <f t="shared" ref="C117:AD117" si="111">IF(C15=$R32,$BC32,IF(C15=$R33,$BC33,IF(C15=$R34,$BC34,IF(C15=$R35,$BC35,IF(C15=$R36,$BC36,IF(C15=$R37,$BC37,IF(C15=$R38,$BC38,IF(C15=$R39,$BC39,IF(C15=$R40,$BC40,0)))))))))</f>
        <v>0</v>
      </c>
      <c r="D117" s="151">
        <f t="shared" si="111"/>
        <v>0</v>
      </c>
      <c r="E117" s="151">
        <f t="shared" si="111"/>
        <v>0</v>
      </c>
      <c r="F117" s="151">
        <f t="shared" si="111"/>
        <v>0</v>
      </c>
      <c r="G117" s="151">
        <f t="shared" si="111"/>
        <v>0</v>
      </c>
      <c r="H117" s="151">
        <f t="shared" si="111"/>
        <v>0</v>
      </c>
      <c r="I117" s="151">
        <f t="shared" si="111"/>
        <v>0</v>
      </c>
      <c r="J117" s="151">
        <f t="shared" si="111"/>
        <v>0</v>
      </c>
      <c r="K117" s="151">
        <f t="shared" si="111"/>
        <v>0</v>
      </c>
      <c r="L117" s="151">
        <f t="shared" si="111"/>
        <v>0</v>
      </c>
      <c r="M117" s="151">
        <f t="shared" si="111"/>
        <v>0</v>
      </c>
      <c r="N117" s="151">
        <f t="shared" si="111"/>
        <v>0</v>
      </c>
      <c r="O117" s="151">
        <f t="shared" si="111"/>
        <v>0</v>
      </c>
      <c r="P117" s="151">
        <f t="shared" si="111"/>
        <v>0</v>
      </c>
      <c r="Q117" s="151">
        <f t="shared" si="111"/>
        <v>0</v>
      </c>
      <c r="R117" s="151">
        <f t="shared" si="111"/>
        <v>0</v>
      </c>
      <c r="S117" s="151">
        <f t="shared" si="111"/>
        <v>11.999999999999998</v>
      </c>
      <c r="T117" s="151">
        <f t="shared" si="111"/>
        <v>11.999999999999998</v>
      </c>
      <c r="U117" s="151">
        <f t="shared" si="111"/>
        <v>11.999999999999998</v>
      </c>
      <c r="V117" s="151">
        <f t="shared" si="111"/>
        <v>12</v>
      </c>
      <c r="W117" s="151">
        <f t="shared" si="111"/>
        <v>0</v>
      </c>
      <c r="X117" s="151">
        <f t="shared" si="111"/>
        <v>11.999999999999998</v>
      </c>
      <c r="Y117" s="151">
        <f t="shared" si="111"/>
        <v>11.999999999999998</v>
      </c>
      <c r="Z117" s="151">
        <f t="shared" si="111"/>
        <v>0</v>
      </c>
      <c r="AA117" s="151">
        <f t="shared" si="111"/>
        <v>7.9999999999999716</v>
      </c>
      <c r="AB117" s="151">
        <f t="shared" si="111"/>
        <v>7.9999999999999716</v>
      </c>
      <c r="AC117" s="151">
        <f t="shared" si="111"/>
        <v>11.999999999999998</v>
      </c>
      <c r="AD117" s="151">
        <f t="shared" si="111"/>
        <v>11.999999999999998</v>
      </c>
      <c r="AE117" s="151">
        <f>IF(AE15=$R32,$BC32,IF(AE15=$R33,$BC33,IF(AE15=$R34,$BC34,IF(AE15=$R35,$BC35,IF(AE15=$R36,$BC36,IF(AE15=$R37,$BC37,IF(AE15=$R38,$BC38,IF(AE15=$R39,$BC39,IF(AE15=$R40,$BC40,0)))))))))</f>
        <v>12</v>
      </c>
      <c r="AF117" s="151">
        <f>IF(AF15=$R32,$BC32,IF(AF15=$R33,$BC33,IF(AF15=$R34,$BC34,IF(AF15=$R35,$BC35,IF(AF15=$R36,$BC36,IF(AF15=$R37,$BC37,IF(AF15=$R38,$BC38,IF(AF15=$R39,$BC39,IF(AF15=$R40,$BC40,0)))))))))</f>
        <v>12</v>
      </c>
      <c r="AG117" s="151">
        <f>IF(AG15=$R32,$BC32,IF(AG15=$R33,$BC33,IF(AG15=$R34,$BC34,IF(AG15=$R35,$BC35,IF(AG15=$R36,$BC36,IF(AG15=$R37,$BC37,IF(AG15=$R38,$BC38,IF(AG15=$R39,$BC39,IF(AG15=$R40,$BC40,0)))))))))</f>
        <v>0</v>
      </c>
      <c r="AH117" s="226">
        <f>SUM(C117:AG117)</f>
        <v>135.99999999999994</v>
      </c>
      <c r="AI117" s="226"/>
      <c r="AJ117" s="174" t="s">
        <v>62</v>
      </c>
      <c r="AK117" s="133" t="s">
        <v>12</v>
      </c>
      <c r="AL117" s="133"/>
    </row>
    <row r="118" spans="1:57" ht="15.95" hidden="1" customHeight="1" x14ac:dyDescent="0.25">
      <c r="A118" s="153" t="s">
        <v>48</v>
      </c>
      <c r="B118" s="149" t="s">
        <v>63</v>
      </c>
      <c r="C118" s="141" t="b">
        <f t="shared" ref="C118:AG118" si="112">IF(C46=1,IF(C113&lt;C114,C117,0))</f>
        <v>0</v>
      </c>
      <c r="D118" s="141" t="b">
        <f t="shared" si="112"/>
        <v>0</v>
      </c>
      <c r="E118" s="141" t="b">
        <f t="shared" si="112"/>
        <v>0</v>
      </c>
      <c r="F118" s="141">
        <f t="shared" si="112"/>
        <v>0</v>
      </c>
      <c r="G118" s="141">
        <f t="shared" si="112"/>
        <v>0</v>
      </c>
      <c r="H118" s="141" t="b">
        <f t="shared" si="112"/>
        <v>0</v>
      </c>
      <c r="I118" s="141" t="b">
        <f t="shared" si="112"/>
        <v>0</v>
      </c>
      <c r="J118" s="141" t="b">
        <f t="shared" si="112"/>
        <v>0</v>
      </c>
      <c r="K118" s="141" t="b">
        <f t="shared" si="112"/>
        <v>0</v>
      </c>
      <c r="L118" s="141" t="b">
        <f t="shared" si="112"/>
        <v>0</v>
      </c>
      <c r="M118" s="141">
        <f t="shared" si="112"/>
        <v>0</v>
      </c>
      <c r="N118" s="141">
        <f t="shared" si="112"/>
        <v>0</v>
      </c>
      <c r="O118" s="141" t="b">
        <f t="shared" si="112"/>
        <v>0</v>
      </c>
      <c r="P118" s="141" t="b">
        <f t="shared" si="112"/>
        <v>0</v>
      </c>
      <c r="Q118" s="141" t="b">
        <f t="shared" si="112"/>
        <v>0</v>
      </c>
      <c r="R118" s="141" t="b">
        <f t="shared" si="112"/>
        <v>0</v>
      </c>
      <c r="S118" s="141" t="b">
        <f t="shared" si="112"/>
        <v>0</v>
      </c>
      <c r="T118" s="141">
        <f t="shared" si="112"/>
        <v>11.999999999999998</v>
      </c>
      <c r="U118" s="141">
        <f t="shared" si="112"/>
        <v>11.999999999999998</v>
      </c>
      <c r="V118" s="141" t="b">
        <f t="shared" si="112"/>
        <v>0</v>
      </c>
      <c r="W118" s="141" t="b">
        <f t="shared" si="112"/>
        <v>0</v>
      </c>
      <c r="X118" s="141" t="b">
        <f t="shared" si="112"/>
        <v>0</v>
      </c>
      <c r="Y118" s="141" t="b">
        <f t="shared" si="112"/>
        <v>0</v>
      </c>
      <c r="Z118" s="141" t="b">
        <f t="shared" si="112"/>
        <v>0</v>
      </c>
      <c r="AA118" s="141">
        <f t="shared" si="112"/>
        <v>0</v>
      </c>
      <c r="AB118" s="141">
        <f t="shared" si="112"/>
        <v>0</v>
      </c>
      <c r="AC118" s="141" t="b">
        <f t="shared" si="112"/>
        <v>0</v>
      </c>
      <c r="AD118" s="141" t="b">
        <f t="shared" si="112"/>
        <v>0</v>
      </c>
      <c r="AE118" s="141" t="b">
        <f t="shared" si="112"/>
        <v>0</v>
      </c>
      <c r="AF118" s="141" t="b">
        <f t="shared" si="112"/>
        <v>0</v>
      </c>
      <c r="AG118" s="141" t="b">
        <f t="shared" si="112"/>
        <v>0</v>
      </c>
      <c r="AH118" s="154" t="s">
        <v>12</v>
      </c>
      <c r="AI118" s="133"/>
      <c r="AJ118" s="170"/>
      <c r="AK118" s="133"/>
      <c r="AL118" s="133"/>
    </row>
    <row r="119" spans="1:57" ht="15.95" hidden="1" customHeight="1" x14ac:dyDescent="0.25">
      <c r="A119" s="176"/>
      <c r="B119" s="149" t="s">
        <v>64</v>
      </c>
      <c r="C119" s="141">
        <f t="shared" ref="C119:AG119" si="113">IF(C46=1,IF(C113&gt;C114,24-C113,0),0)</f>
        <v>0</v>
      </c>
      <c r="D119" s="141">
        <f t="shared" si="113"/>
        <v>0</v>
      </c>
      <c r="E119" s="141">
        <f t="shared" si="113"/>
        <v>0</v>
      </c>
      <c r="F119" s="141">
        <f t="shared" si="113"/>
        <v>0</v>
      </c>
      <c r="G119" s="141">
        <f t="shared" si="113"/>
        <v>0</v>
      </c>
      <c r="H119" s="141">
        <f t="shared" si="113"/>
        <v>0</v>
      </c>
      <c r="I119" s="141">
        <f t="shared" si="113"/>
        <v>0</v>
      </c>
      <c r="J119" s="141">
        <f t="shared" si="113"/>
        <v>0</v>
      </c>
      <c r="K119" s="141">
        <f t="shared" si="113"/>
        <v>0</v>
      </c>
      <c r="L119" s="141">
        <f t="shared" si="113"/>
        <v>0</v>
      </c>
      <c r="M119" s="141">
        <f t="shared" si="113"/>
        <v>0</v>
      </c>
      <c r="N119" s="141">
        <f t="shared" si="113"/>
        <v>0</v>
      </c>
      <c r="O119" s="141">
        <f t="shared" si="113"/>
        <v>0</v>
      </c>
      <c r="P119" s="141">
        <f t="shared" si="113"/>
        <v>0</v>
      </c>
      <c r="Q119" s="141">
        <f t="shared" si="113"/>
        <v>0</v>
      </c>
      <c r="R119" s="141">
        <f t="shared" si="113"/>
        <v>0</v>
      </c>
      <c r="S119" s="141">
        <f t="shared" si="113"/>
        <v>0</v>
      </c>
      <c r="T119" s="141">
        <f t="shared" si="113"/>
        <v>0</v>
      </c>
      <c r="U119" s="141">
        <f t="shared" si="113"/>
        <v>0</v>
      </c>
      <c r="V119" s="141">
        <f t="shared" si="113"/>
        <v>0</v>
      </c>
      <c r="W119" s="141">
        <f t="shared" si="113"/>
        <v>0</v>
      </c>
      <c r="X119" s="141">
        <f t="shared" si="113"/>
        <v>0</v>
      </c>
      <c r="Y119" s="141">
        <f t="shared" si="113"/>
        <v>0</v>
      </c>
      <c r="Z119" s="141">
        <f t="shared" si="113"/>
        <v>0</v>
      </c>
      <c r="AA119" s="141">
        <f t="shared" si="113"/>
        <v>2</v>
      </c>
      <c r="AB119" s="141">
        <f t="shared" si="113"/>
        <v>2</v>
      </c>
      <c r="AC119" s="141">
        <f t="shared" si="113"/>
        <v>0</v>
      </c>
      <c r="AD119" s="141">
        <f t="shared" si="113"/>
        <v>0</v>
      </c>
      <c r="AE119" s="141">
        <f t="shared" si="113"/>
        <v>0</v>
      </c>
      <c r="AF119" s="141">
        <f t="shared" si="113"/>
        <v>0</v>
      </c>
      <c r="AG119" s="141">
        <f t="shared" si="113"/>
        <v>0</v>
      </c>
      <c r="AH119" s="154" t="s">
        <v>12</v>
      </c>
      <c r="AI119" s="133"/>
      <c r="AJ119" s="170"/>
      <c r="AK119" s="133"/>
      <c r="AL119" s="133"/>
    </row>
    <row r="120" spans="1:57" ht="15.95" hidden="1" customHeight="1" x14ac:dyDescent="0.25">
      <c r="A120" s="176"/>
      <c r="B120" s="149" t="s">
        <v>65</v>
      </c>
      <c r="C120" s="141">
        <f t="shared" ref="C120:AG120" si="114">IF(D46=1,IF(C113&gt;C114,C114,0),0)</f>
        <v>0</v>
      </c>
      <c r="D120" s="141">
        <f t="shared" si="114"/>
        <v>0</v>
      </c>
      <c r="E120" s="141">
        <f t="shared" si="114"/>
        <v>0</v>
      </c>
      <c r="F120" s="141">
        <f t="shared" si="114"/>
        <v>0</v>
      </c>
      <c r="G120" s="141">
        <f t="shared" si="114"/>
        <v>0</v>
      </c>
      <c r="H120" s="141">
        <f t="shared" si="114"/>
        <v>0</v>
      </c>
      <c r="I120" s="141">
        <f t="shared" si="114"/>
        <v>0</v>
      </c>
      <c r="J120" s="141">
        <f t="shared" si="114"/>
        <v>0</v>
      </c>
      <c r="K120" s="141">
        <f t="shared" si="114"/>
        <v>0</v>
      </c>
      <c r="L120" s="141">
        <f t="shared" si="114"/>
        <v>0</v>
      </c>
      <c r="M120" s="141">
        <f t="shared" si="114"/>
        <v>0</v>
      </c>
      <c r="N120" s="141">
        <f t="shared" si="114"/>
        <v>0</v>
      </c>
      <c r="O120" s="141">
        <f t="shared" si="114"/>
        <v>0</v>
      </c>
      <c r="P120" s="141">
        <f t="shared" si="114"/>
        <v>0</v>
      </c>
      <c r="Q120" s="141">
        <f t="shared" si="114"/>
        <v>0</v>
      </c>
      <c r="R120" s="141">
        <f t="shared" si="114"/>
        <v>0</v>
      </c>
      <c r="S120" s="141">
        <f t="shared" si="114"/>
        <v>0</v>
      </c>
      <c r="T120" s="141">
        <f t="shared" si="114"/>
        <v>0</v>
      </c>
      <c r="U120" s="141">
        <f t="shared" si="114"/>
        <v>0</v>
      </c>
      <c r="V120" s="141">
        <f t="shared" si="114"/>
        <v>0</v>
      </c>
      <c r="W120" s="141">
        <f t="shared" si="114"/>
        <v>0</v>
      </c>
      <c r="X120" s="141">
        <f>IF(Y46=1,IF(X113&gt;X114,X114,0),0)</f>
        <v>0</v>
      </c>
      <c r="Y120" s="141">
        <f t="shared" si="114"/>
        <v>0</v>
      </c>
      <c r="Z120" s="141">
        <f t="shared" si="114"/>
        <v>0</v>
      </c>
      <c r="AA120" s="141">
        <f t="shared" si="114"/>
        <v>6</v>
      </c>
      <c r="AB120" s="141">
        <f t="shared" si="114"/>
        <v>0</v>
      </c>
      <c r="AC120" s="141">
        <f t="shared" si="114"/>
        <v>0</v>
      </c>
      <c r="AD120" s="141">
        <f t="shared" si="114"/>
        <v>0</v>
      </c>
      <c r="AE120" s="141">
        <f t="shared" si="114"/>
        <v>0</v>
      </c>
      <c r="AF120" s="141">
        <f t="shared" si="114"/>
        <v>0</v>
      </c>
      <c r="AG120" s="141">
        <f t="shared" si="114"/>
        <v>0</v>
      </c>
      <c r="AH120" s="154" t="s">
        <v>12</v>
      </c>
      <c r="AI120" s="133"/>
      <c r="AJ120" s="170"/>
      <c r="AK120" s="133"/>
      <c r="AL120" s="133"/>
    </row>
    <row r="121" spans="1:57" ht="15.95" hidden="1" customHeight="1" x14ac:dyDescent="0.25">
      <c r="A121" s="176"/>
      <c r="B121" s="149" t="s">
        <v>67</v>
      </c>
      <c r="C121" s="171">
        <f t="shared" ref="C121:AG121" si="115">SUM(C118:C120)</f>
        <v>0</v>
      </c>
      <c r="D121" s="171">
        <f t="shared" si="115"/>
        <v>0</v>
      </c>
      <c r="E121" s="171">
        <f t="shared" si="115"/>
        <v>0</v>
      </c>
      <c r="F121" s="171">
        <f t="shared" si="115"/>
        <v>0</v>
      </c>
      <c r="G121" s="171">
        <f t="shared" si="115"/>
        <v>0</v>
      </c>
      <c r="H121" s="171">
        <f t="shared" si="115"/>
        <v>0</v>
      </c>
      <c r="I121" s="171">
        <f t="shared" si="115"/>
        <v>0</v>
      </c>
      <c r="J121" s="171">
        <f t="shared" si="115"/>
        <v>0</v>
      </c>
      <c r="K121" s="171">
        <f t="shared" si="115"/>
        <v>0</v>
      </c>
      <c r="L121" s="171">
        <f t="shared" si="115"/>
        <v>0</v>
      </c>
      <c r="M121" s="171">
        <f t="shared" si="115"/>
        <v>0</v>
      </c>
      <c r="N121" s="171">
        <f t="shared" si="115"/>
        <v>0</v>
      </c>
      <c r="O121" s="171">
        <f t="shared" si="115"/>
        <v>0</v>
      </c>
      <c r="P121" s="171">
        <f t="shared" si="115"/>
        <v>0</v>
      </c>
      <c r="Q121" s="171">
        <f t="shared" si="115"/>
        <v>0</v>
      </c>
      <c r="R121" s="171">
        <f t="shared" si="115"/>
        <v>0</v>
      </c>
      <c r="S121" s="171">
        <f t="shared" si="115"/>
        <v>0</v>
      </c>
      <c r="T121" s="171">
        <f t="shared" si="115"/>
        <v>11.999999999999998</v>
      </c>
      <c r="U121" s="171">
        <f t="shared" si="115"/>
        <v>11.999999999999998</v>
      </c>
      <c r="V121" s="171">
        <f t="shared" si="115"/>
        <v>0</v>
      </c>
      <c r="W121" s="171">
        <f t="shared" si="115"/>
        <v>0</v>
      </c>
      <c r="X121" s="171">
        <f t="shared" si="115"/>
        <v>0</v>
      </c>
      <c r="Y121" s="171">
        <f t="shared" si="115"/>
        <v>0</v>
      </c>
      <c r="Z121" s="171">
        <f t="shared" si="115"/>
        <v>0</v>
      </c>
      <c r="AA121" s="171">
        <f t="shared" si="115"/>
        <v>8</v>
      </c>
      <c r="AB121" s="171">
        <f t="shared" si="115"/>
        <v>2</v>
      </c>
      <c r="AC121" s="171">
        <f t="shared" si="115"/>
        <v>0</v>
      </c>
      <c r="AD121" s="171">
        <f t="shared" si="115"/>
        <v>0</v>
      </c>
      <c r="AE121" s="171">
        <f t="shared" si="115"/>
        <v>0</v>
      </c>
      <c r="AF121" s="171">
        <f t="shared" si="115"/>
        <v>0</v>
      </c>
      <c r="AG121" s="171">
        <f t="shared" si="115"/>
        <v>0</v>
      </c>
      <c r="AH121" s="154" t="s">
        <v>12</v>
      </c>
      <c r="AI121" s="133"/>
      <c r="AJ121" s="170"/>
      <c r="AK121" s="133"/>
      <c r="AL121" s="133"/>
    </row>
    <row r="122" spans="1:57" ht="15.95" hidden="1" customHeight="1" x14ac:dyDescent="0.25">
      <c r="A122" s="177"/>
      <c r="B122" s="160" t="s">
        <v>68</v>
      </c>
      <c r="C122" s="182">
        <f t="shared" ref="C122:AG122" si="116">IF(C15="V",IF(C15="",0,1),0)</f>
        <v>1</v>
      </c>
      <c r="D122" s="182">
        <f t="shared" si="116"/>
        <v>1</v>
      </c>
      <c r="E122" s="182">
        <f t="shared" si="116"/>
        <v>1</v>
      </c>
      <c r="F122" s="182">
        <f t="shared" si="116"/>
        <v>1</v>
      </c>
      <c r="G122" s="182">
        <f t="shared" si="116"/>
        <v>1</v>
      </c>
      <c r="H122" s="182">
        <f t="shared" si="116"/>
        <v>1</v>
      </c>
      <c r="I122" s="182">
        <f t="shared" si="116"/>
        <v>1</v>
      </c>
      <c r="J122" s="182">
        <f t="shared" si="116"/>
        <v>1</v>
      </c>
      <c r="K122" s="182">
        <f t="shared" si="116"/>
        <v>1</v>
      </c>
      <c r="L122" s="182">
        <f t="shared" si="116"/>
        <v>1</v>
      </c>
      <c r="M122" s="182">
        <f t="shared" si="116"/>
        <v>1</v>
      </c>
      <c r="N122" s="182">
        <f t="shared" si="116"/>
        <v>1</v>
      </c>
      <c r="O122" s="182">
        <f t="shared" si="116"/>
        <v>1</v>
      </c>
      <c r="P122" s="182">
        <f t="shared" si="116"/>
        <v>1</v>
      </c>
      <c r="Q122" s="182">
        <f t="shared" si="116"/>
        <v>1</v>
      </c>
      <c r="R122" s="182">
        <f t="shared" si="116"/>
        <v>0</v>
      </c>
      <c r="S122" s="182">
        <f t="shared" si="116"/>
        <v>0</v>
      </c>
      <c r="T122" s="182">
        <f t="shared" si="116"/>
        <v>0</v>
      </c>
      <c r="U122" s="182">
        <f t="shared" si="116"/>
        <v>0</v>
      </c>
      <c r="V122" s="182">
        <f t="shared" si="116"/>
        <v>0</v>
      </c>
      <c r="W122" s="182">
        <f t="shared" si="116"/>
        <v>0</v>
      </c>
      <c r="X122" s="182">
        <f t="shared" si="116"/>
        <v>0</v>
      </c>
      <c r="Y122" s="182">
        <f t="shared" si="116"/>
        <v>0</v>
      </c>
      <c r="Z122" s="182">
        <f t="shared" si="116"/>
        <v>0</v>
      </c>
      <c r="AA122" s="182">
        <f t="shared" si="116"/>
        <v>0</v>
      </c>
      <c r="AB122" s="182">
        <f t="shared" si="116"/>
        <v>0</v>
      </c>
      <c r="AC122" s="182">
        <f t="shared" si="116"/>
        <v>0</v>
      </c>
      <c r="AD122" s="182">
        <f t="shared" si="116"/>
        <v>0</v>
      </c>
      <c r="AE122" s="182">
        <f t="shared" si="116"/>
        <v>0</v>
      </c>
      <c r="AF122" s="182">
        <f t="shared" si="116"/>
        <v>0</v>
      </c>
      <c r="AG122" s="182">
        <f t="shared" si="116"/>
        <v>0</v>
      </c>
      <c r="AH122" s="154" t="s">
        <v>12</v>
      </c>
      <c r="AI122" s="133"/>
      <c r="AJ122" s="170"/>
      <c r="AK122" s="133"/>
      <c r="AL122" s="133"/>
    </row>
    <row r="123" spans="1:57" ht="15.95" hidden="1" customHeight="1" x14ac:dyDescent="0.25">
      <c r="A123" s="180"/>
      <c r="B123" s="181" t="s">
        <v>16</v>
      </c>
      <c r="C123" s="182">
        <f t="shared" ref="C123:AG123" si="117">IF(C15="PR",IF(C15="",0,1),0)</f>
        <v>0</v>
      </c>
      <c r="D123" s="182">
        <f t="shared" si="117"/>
        <v>0</v>
      </c>
      <c r="E123" s="182">
        <f t="shared" si="117"/>
        <v>0</v>
      </c>
      <c r="F123" s="182">
        <f t="shared" si="117"/>
        <v>0</v>
      </c>
      <c r="G123" s="182">
        <f t="shared" si="117"/>
        <v>0</v>
      </c>
      <c r="H123" s="182">
        <f t="shared" si="117"/>
        <v>0</v>
      </c>
      <c r="I123" s="182">
        <f t="shared" si="117"/>
        <v>0</v>
      </c>
      <c r="J123" s="182">
        <f t="shared" si="117"/>
        <v>0</v>
      </c>
      <c r="K123" s="182">
        <f t="shared" si="117"/>
        <v>0</v>
      </c>
      <c r="L123" s="182">
        <f t="shared" si="117"/>
        <v>0</v>
      </c>
      <c r="M123" s="182">
        <f t="shared" si="117"/>
        <v>0</v>
      </c>
      <c r="N123" s="182">
        <f t="shared" si="117"/>
        <v>0</v>
      </c>
      <c r="O123" s="182">
        <f t="shared" si="117"/>
        <v>0</v>
      </c>
      <c r="P123" s="182">
        <f t="shared" si="117"/>
        <v>0</v>
      </c>
      <c r="Q123" s="182">
        <f t="shared" si="117"/>
        <v>0</v>
      </c>
      <c r="R123" s="182">
        <f t="shared" si="117"/>
        <v>0</v>
      </c>
      <c r="S123" s="182">
        <f t="shared" si="117"/>
        <v>0</v>
      </c>
      <c r="T123" s="182">
        <f t="shared" si="117"/>
        <v>0</v>
      </c>
      <c r="U123" s="182">
        <f t="shared" si="117"/>
        <v>0</v>
      </c>
      <c r="V123" s="182">
        <f t="shared" si="117"/>
        <v>0</v>
      </c>
      <c r="W123" s="182">
        <f t="shared" si="117"/>
        <v>0</v>
      </c>
      <c r="X123" s="182">
        <f t="shared" si="117"/>
        <v>0</v>
      </c>
      <c r="Y123" s="182">
        <f t="shared" si="117"/>
        <v>0</v>
      </c>
      <c r="Z123" s="182">
        <f t="shared" si="117"/>
        <v>0</v>
      </c>
      <c r="AA123" s="182">
        <f t="shared" si="117"/>
        <v>0</v>
      </c>
      <c r="AB123" s="182">
        <f t="shared" si="117"/>
        <v>0</v>
      </c>
      <c r="AC123" s="182">
        <f t="shared" si="117"/>
        <v>0</v>
      </c>
      <c r="AD123" s="182">
        <f t="shared" si="117"/>
        <v>0</v>
      </c>
      <c r="AE123" s="182">
        <f t="shared" si="117"/>
        <v>0</v>
      </c>
      <c r="AF123" s="182">
        <f t="shared" si="117"/>
        <v>0</v>
      </c>
      <c r="AG123" s="182">
        <f t="shared" si="117"/>
        <v>0</v>
      </c>
      <c r="AH123" s="227">
        <f>SUM(C123:AG123)</f>
        <v>0</v>
      </c>
      <c r="AI123" s="227"/>
      <c r="AJ123" s="174" t="s">
        <v>69</v>
      </c>
      <c r="AK123" s="133"/>
      <c r="AL123" s="133"/>
    </row>
    <row r="124" spans="1:57" ht="15.95" hidden="1" customHeight="1" x14ac:dyDescent="0.25">
      <c r="A124" s="164" t="s">
        <v>83</v>
      </c>
      <c r="B124" s="165" t="s">
        <v>29</v>
      </c>
      <c r="C124" s="141">
        <f t="shared" ref="C124:AG124" si="118">IF(C16=$R32,$S32*24,IF(C16=$R33,$S33*24,IF(C16=$R34,$S34*24,IF(C16=$R35,$S35*24,IF(C16=$R36,$S36*24,IF(C16=$R37,$S37*24,IF(C16=$R38,$S38*24,IF(C16=$R39,$S39*24,IF(C16=$R40,$S40*24,"")))))))))</f>
        <v>18</v>
      </c>
      <c r="D124" s="141">
        <f t="shared" si="118"/>
        <v>18</v>
      </c>
      <c r="E124" s="141">
        <f t="shared" si="118"/>
        <v>19</v>
      </c>
      <c r="F124" s="141">
        <f t="shared" si="118"/>
        <v>19</v>
      </c>
      <c r="G124" s="141">
        <f t="shared" si="118"/>
        <v>19</v>
      </c>
      <c r="H124" s="141" t="str">
        <f t="shared" si="118"/>
        <v/>
      </c>
      <c r="I124" s="141">
        <f t="shared" si="118"/>
        <v>22</v>
      </c>
      <c r="J124" s="141">
        <f t="shared" si="118"/>
        <v>19</v>
      </c>
      <c r="K124" s="141">
        <f t="shared" si="118"/>
        <v>19</v>
      </c>
      <c r="L124" s="141" t="str">
        <f t="shared" si="118"/>
        <v/>
      </c>
      <c r="M124" s="141" t="str">
        <f t="shared" si="118"/>
        <v/>
      </c>
      <c r="N124" s="141" t="str">
        <f t="shared" si="118"/>
        <v/>
      </c>
      <c r="O124" s="141">
        <f t="shared" si="118"/>
        <v>6</v>
      </c>
      <c r="P124" s="141">
        <f t="shared" si="118"/>
        <v>6</v>
      </c>
      <c r="Q124" s="141" t="str">
        <f t="shared" si="118"/>
        <v/>
      </c>
      <c r="R124" s="141" t="str">
        <f t="shared" si="118"/>
        <v/>
      </c>
      <c r="S124" s="141">
        <f t="shared" si="118"/>
        <v>18</v>
      </c>
      <c r="T124" s="141">
        <f t="shared" si="118"/>
        <v>18</v>
      </c>
      <c r="U124" s="141">
        <f t="shared" si="118"/>
        <v>18</v>
      </c>
      <c r="V124" s="141" t="str">
        <f t="shared" si="118"/>
        <v/>
      </c>
      <c r="W124" s="141">
        <f t="shared" si="118"/>
        <v>18</v>
      </c>
      <c r="X124" s="141">
        <f t="shared" si="118"/>
        <v>18</v>
      </c>
      <c r="Y124" s="141">
        <f t="shared" si="118"/>
        <v>18</v>
      </c>
      <c r="Z124" s="141" t="str">
        <f t="shared" si="118"/>
        <v/>
      </c>
      <c r="AA124" s="141" t="str">
        <f t="shared" si="118"/>
        <v/>
      </c>
      <c r="AB124" s="141" t="str">
        <f t="shared" si="118"/>
        <v/>
      </c>
      <c r="AC124" s="141">
        <f t="shared" si="118"/>
        <v>18</v>
      </c>
      <c r="AD124" s="141">
        <f t="shared" si="118"/>
        <v>18</v>
      </c>
      <c r="AE124" s="141" t="str">
        <f t="shared" si="118"/>
        <v/>
      </c>
      <c r="AF124" s="141" t="str">
        <f t="shared" si="118"/>
        <v/>
      </c>
      <c r="AG124" s="141" t="str">
        <f t="shared" si="118"/>
        <v/>
      </c>
      <c r="AH124" s="154" t="s">
        <v>12</v>
      </c>
      <c r="AI124" s="133"/>
      <c r="AJ124" s="170"/>
      <c r="AK124" s="133"/>
      <c r="AL124" s="133"/>
    </row>
    <row r="125" spans="1:57" ht="15.95" hidden="1" customHeight="1" x14ac:dyDescent="0.25">
      <c r="A125" s="166" t="s">
        <v>84</v>
      </c>
      <c r="B125" s="167" t="s">
        <v>30</v>
      </c>
      <c r="C125" s="141">
        <f t="shared" ref="C125:AG125" si="119">IF(C16=$R32,$V32*24,IF(C16=$R33,$V33*24,IF(C16=$R34,$V34*24,IF(C16=$R35,$V35*24,IF(C16=$R36,$V36*24,IF(C16=$R37,$V37*24,IF(C16=$R38,$V38*24,IF(C16=$R39,$V39*24,IF(C16=$R40,$V40*24,"")))))))))</f>
        <v>6</v>
      </c>
      <c r="D125" s="141">
        <f t="shared" si="119"/>
        <v>6</v>
      </c>
      <c r="E125" s="141">
        <f t="shared" si="119"/>
        <v>7</v>
      </c>
      <c r="F125" s="141">
        <f t="shared" si="119"/>
        <v>7</v>
      </c>
      <c r="G125" s="141">
        <f t="shared" si="119"/>
        <v>7</v>
      </c>
      <c r="H125" s="141" t="str">
        <f t="shared" si="119"/>
        <v/>
      </c>
      <c r="I125" s="141">
        <f t="shared" si="119"/>
        <v>6</v>
      </c>
      <c r="J125" s="141">
        <f t="shared" si="119"/>
        <v>7</v>
      </c>
      <c r="K125" s="141">
        <f t="shared" si="119"/>
        <v>7</v>
      </c>
      <c r="L125" s="141" t="str">
        <f t="shared" si="119"/>
        <v/>
      </c>
      <c r="M125" s="141" t="str">
        <f t="shared" si="119"/>
        <v/>
      </c>
      <c r="N125" s="141" t="str">
        <f t="shared" si="119"/>
        <v/>
      </c>
      <c r="O125" s="141">
        <f t="shared" si="119"/>
        <v>18</v>
      </c>
      <c r="P125" s="141">
        <f t="shared" si="119"/>
        <v>18</v>
      </c>
      <c r="Q125" s="141" t="str">
        <f t="shared" si="119"/>
        <v/>
      </c>
      <c r="R125" s="141" t="str">
        <f t="shared" si="119"/>
        <v/>
      </c>
      <c r="S125" s="141">
        <f t="shared" si="119"/>
        <v>6</v>
      </c>
      <c r="T125" s="141">
        <f t="shared" si="119"/>
        <v>6</v>
      </c>
      <c r="U125" s="141">
        <f t="shared" si="119"/>
        <v>6</v>
      </c>
      <c r="V125" s="141" t="str">
        <f t="shared" si="119"/>
        <v/>
      </c>
      <c r="W125" s="141">
        <f t="shared" si="119"/>
        <v>6</v>
      </c>
      <c r="X125" s="141">
        <f t="shared" si="119"/>
        <v>6</v>
      </c>
      <c r="Y125" s="141">
        <f t="shared" si="119"/>
        <v>6</v>
      </c>
      <c r="Z125" s="141" t="str">
        <f t="shared" si="119"/>
        <v/>
      </c>
      <c r="AA125" s="141" t="str">
        <f t="shared" si="119"/>
        <v/>
      </c>
      <c r="AB125" s="141" t="str">
        <f t="shared" si="119"/>
        <v/>
      </c>
      <c r="AC125" s="141">
        <f t="shared" si="119"/>
        <v>6</v>
      </c>
      <c r="AD125" s="141">
        <f t="shared" si="119"/>
        <v>6</v>
      </c>
      <c r="AE125" s="141" t="str">
        <f t="shared" si="119"/>
        <v/>
      </c>
      <c r="AF125" s="141" t="str">
        <f t="shared" si="119"/>
        <v/>
      </c>
      <c r="AG125" s="141" t="str">
        <f t="shared" si="119"/>
        <v/>
      </c>
      <c r="AH125" s="154" t="s">
        <v>12</v>
      </c>
      <c r="AI125" s="133"/>
      <c r="AJ125" s="170"/>
      <c r="AK125" s="133"/>
      <c r="AL125" s="133"/>
    </row>
    <row r="126" spans="1:57" ht="15.95" hidden="1" customHeight="1" x14ac:dyDescent="0.25">
      <c r="A126" s="153"/>
      <c r="B126" s="168" t="s">
        <v>34</v>
      </c>
      <c r="C126" s="169">
        <f t="shared" ref="C126:AD126" si="120">IF(C16=$R32,$BD32*24,IF(C16=$R33,$BD33*24,IF(C16=$R34,$BD34*24,IF(C16=$R35,$BD35*24,IF(C16=$R36,$BD36*24,IF(C16=$R37,$BD37*24,IF(C16=$R38,$BD38*24,IF(C16=$R39,$BD39*24,IF(C16=$R40,$BD40*24,"")))))))))</f>
        <v>8</v>
      </c>
      <c r="D126" s="169">
        <f t="shared" si="120"/>
        <v>8</v>
      </c>
      <c r="E126" s="169">
        <f t="shared" si="120"/>
        <v>8</v>
      </c>
      <c r="F126" s="169">
        <f t="shared" si="120"/>
        <v>8</v>
      </c>
      <c r="G126" s="169">
        <f t="shared" si="120"/>
        <v>8</v>
      </c>
      <c r="H126" s="169" t="str">
        <f t="shared" si="120"/>
        <v/>
      </c>
      <c r="I126" s="169">
        <f t="shared" si="120"/>
        <v>8</v>
      </c>
      <c r="J126" s="169">
        <f t="shared" si="120"/>
        <v>8</v>
      </c>
      <c r="K126" s="169">
        <f t="shared" si="120"/>
        <v>8</v>
      </c>
      <c r="L126" s="169" t="str">
        <f t="shared" si="120"/>
        <v/>
      </c>
      <c r="M126" s="169" t="str">
        <f t="shared" si="120"/>
        <v/>
      </c>
      <c r="N126" s="169" t="str">
        <f t="shared" si="120"/>
        <v/>
      </c>
      <c r="O126" s="169">
        <f t="shared" si="120"/>
        <v>0</v>
      </c>
      <c r="P126" s="169">
        <f t="shared" si="120"/>
        <v>0</v>
      </c>
      <c r="Q126" s="169" t="str">
        <f t="shared" si="120"/>
        <v/>
      </c>
      <c r="R126" s="169" t="str">
        <f t="shared" si="120"/>
        <v/>
      </c>
      <c r="S126" s="169">
        <f t="shared" si="120"/>
        <v>8</v>
      </c>
      <c r="T126" s="169">
        <f t="shared" si="120"/>
        <v>8</v>
      </c>
      <c r="U126" s="169">
        <f t="shared" si="120"/>
        <v>8</v>
      </c>
      <c r="V126" s="169" t="str">
        <f t="shared" si="120"/>
        <v/>
      </c>
      <c r="W126" s="169">
        <f t="shared" si="120"/>
        <v>8</v>
      </c>
      <c r="X126" s="169">
        <f t="shared" si="120"/>
        <v>8</v>
      </c>
      <c r="Y126" s="169">
        <f t="shared" si="120"/>
        <v>8</v>
      </c>
      <c r="Z126" s="169" t="str">
        <f t="shared" si="120"/>
        <v/>
      </c>
      <c r="AA126" s="169" t="str">
        <f t="shared" si="120"/>
        <v/>
      </c>
      <c r="AB126" s="169" t="str">
        <f t="shared" si="120"/>
        <v/>
      </c>
      <c r="AC126" s="169">
        <f t="shared" si="120"/>
        <v>8</v>
      </c>
      <c r="AD126" s="169">
        <f t="shared" si="120"/>
        <v>8</v>
      </c>
      <c r="AE126" s="169" t="str">
        <f>IF(AE16=$R32,$BD32*24,IF(AE16=$R33,$BD33*24,IF(AE16=$R34,$BD34*24,IF(AE16=$R35,$BD35*24,IF(AE16=$R36,$BD36*24,IF(AE16=$R37,$BD37*24,IF(AE16=$R38,$BD38*24,IF(AE16=$R39,$BD39*24,IF(AE16=$R40,$BD40*24,"")))))))))</f>
        <v/>
      </c>
      <c r="AF126" s="169" t="str">
        <f>IF(AF16=$R32,$BD32*24,IF(AF16=$R33,$BD33*24,IF(AF16=$R34,$BD34*24,IF(AF16=$R35,$BD35*24,IF(AF16=$R36,$BD36*24,IF(AF16=$R37,$BD37*24,IF(AF16=$R38,$BD38*24,IF(AF16=$R39,$BD39*24,IF(AF16=$R40,$BD40*24,"")))))))))</f>
        <v/>
      </c>
      <c r="AG126" s="169" t="str">
        <f>IF(AG16=$R32,$BD32*24,IF(AG16=$R33,$BD33*24,IF(AG16=$R34,$BD34*24,IF(AG16=$R35,$BD35*24,IF(AG16=$R36,$BD36*24,IF(AG16=$R37,$BD37*24,IF(AG16=$R38,$BD38*24,IF(AG16=$R39,$BD39*24,IF(AG16=$R40,$BD40*24,"")))))))))</f>
        <v/>
      </c>
      <c r="AH126" s="148">
        <f>SUM(C126:AG126)</f>
        <v>128</v>
      </c>
      <c r="AI126" s="133"/>
      <c r="AJ126" s="170"/>
      <c r="AK126" s="133"/>
      <c r="AL126" s="133"/>
    </row>
    <row r="127" spans="1:57" ht="15.95" hidden="1" customHeight="1" x14ac:dyDescent="0.25">
      <c r="A127" s="153"/>
      <c r="B127" s="167" t="s">
        <v>59</v>
      </c>
      <c r="C127" s="141">
        <f t="shared" ref="C127:AG127" si="121">IF(C16="V",$C36,IF(C16="PR",$C38,0))</f>
        <v>0</v>
      </c>
      <c r="D127" s="141">
        <f t="shared" si="121"/>
        <v>0</v>
      </c>
      <c r="E127" s="141">
        <f t="shared" si="121"/>
        <v>0</v>
      </c>
      <c r="F127" s="141">
        <f t="shared" si="121"/>
        <v>0</v>
      </c>
      <c r="G127" s="141">
        <f t="shared" si="121"/>
        <v>0</v>
      </c>
      <c r="H127" s="141">
        <f t="shared" si="121"/>
        <v>0</v>
      </c>
      <c r="I127" s="141">
        <f t="shared" si="121"/>
        <v>0</v>
      </c>
      <c r="J127" s="141">
        <f t="shared" si="121"/>
        <v>0</v>
      </c>
      <c r="K127" s="141">
        <f t="shared" si="121"/>
        <v>0</v>
      </c>
      <c r="L127" s="141">
        <f t="shared" si="121"/>
        <v>0</v>
      </c>
      <c r="M127" s="141">
        <f t="shared" si="121"/>
        <v>0</v>
      </c>
      <c r="N127" s="141">
        <f t="shared" si="121"/>
        <v>0</v>
      </c>
      <c r="O127" s="141">
        <f t="shared" si="121"/>
        <v>0</v>
      </c>
      <c r="P127" s="141">
        <f t="shared" si="121"/>
        <v>0</v>
      </c>
      <c r="Q127" s="141">
        <f t="shared" si="121"/>
        <v>0</v>
      </c>
      <c r="R127" s="141">
        <f t="shared" si="121"/>
        <v>0</v>
      </c>
      <c r="S127" s="141">
        <f t="shared" si="121"/>
        <v>0</v>
      </c>
      <c r="T127" s="141">
        <f t="shared" si="121"/>
        <v>0</v>
      </c>
      <c r="U127" s="141">
        <f t="shared" si="121"/>
        <v>0</v>
      </c>
      <c r="V127" s="141">
        <f t="shared" si="121"/>
        <v>0</v>
      </c>
      <c r="W127" s="141">
        <f t="shared" si="121"/>
        <v>0</v>
      </c>
      <c r="X127" s="141">
        <f t="shared" si="121"/>
        <v>0</v>
      </c>
      <c r="Y127" s="141">
        <f t="shared" si="121"/>
        <v>0</v>
      </c>
      <c r="Z127" s="141">
        <f t="shared" si="121"/>
        <v>0</v>
      </c>
      <c r="AA127" s="141">
        <f t="shared" si="121"/>
        <v>0</v>
      </c>
      <c r="AB127" s="141">
        <f t="shared" si="121"/>
        <v>0</v>
      </c>
      <c r="AC127" s="141">
        <f t="shared" si="121"/>
        <v>0</v>
      </c>
      <c r="AD127" s="141">
        <f t="shared" si="121"/>
        <v>0</v>
      </c>
      <c r="AE127" s="141">
        <f t="shared" si="121"/>
        <v>0</v>
      </c>
      <c r="AF127" s="141">
        <f t="shared" si="121"/>
        <v>0</v>
      </c>
      <c r="AG127" s="141">
        <f t="shared" si="121"/>
        <v>0</v>
      </c>
      <c r="AH127" s="226">
        <f>SUM(C127:AG127)</f>
        <v>0</v>
      </c>
      <c r="AI127" s="226"/>
      <c r="AJ127" s="230">
        <f>SUM(AH72+AH83+AH94+AH105+AH116+AH127)</f>
        <v>156.6</v>
      </c>
      <c r="AK127" s="230"/>
      <c r="AL127" s="133" t="s">
        <v>56</v>
      </c>
    </row>
    <row r="128" spans="1:57" ht="15.95" hidden="1" customHeight="1" x14ac:dyDescent="0.25">
      <c r="A128" s="150" t="s">
        <v>60</v>
      </c>
      <c r="B128" s="167" t="s">
        <v>61</v>
      </c>
      <c r="C128" s="151">
        <f t="shared" ref="C128:AD128" si="122">IF(C16=$R32,$BC32,IF(C16=$R33,$BC33,IF(C16=$R34,$BC34,IF(C16=$R35,$BC35,IF(C16=$R36,$BC36,IF(C16=$R37,$BC37,IF(C16=$R38,$BC38,IF(C16=$R39,$BC39,IF(C16=$R40,$BC40,0)))))))))</f>
        <v>12</v>
      </c>
      <c r="D128" s="151">
        <f t="shared" si="122"/>
        <v>12</v>
      </c>
      <c r="E128" s="151">
        <f t="shared" si="122"/>
        <v>12</v>
      </c>
      <c r="F128" s="151">
        <f t="shared" si="122"/>
        <v>12</v>
      </c>
      <c r="G128" s="151">
        <f t="shared" si="122"/>
        <v>12</v>
      </c>
      <c r="H128" s="151">
        <f t="shared" si="122"/>
        <v>0</v>
      </c>
      <c r="I128" s="151">
        <f t="shared" si="122"/>
        <v>7.9999999999999716</v>
      </c>
      <c r="J128" s="151">
        <f t="shared" si="122"/>
        <v>12</v>
      </c>
      <c r="K128" s="151">
        <f t="shared" si="122"/>
        <v>12</v>
      </c>
      <c r="L128" s="151">
        <f t="shared" si="122"/>
        <v>0</v>
      </c>
      <c r="M128" s="151">
        <f t="shared" si="122"/>
        <v>0</v>
      </c>
      <c r="N128" s="151">
        <f t="shared" si="122"/>
        <v>0</v>
      </c>
      <c r="O128" s="151">
        <f t="shared" si="122"/>
        <v>12</v>
      </c>
      <c r="P128" s="151">
        <f t="shared" si="122"/>
        <v>12</v>
      </c>
      <c r="Q128" s="151">
        <f t="shared" si="122"/>
        <v>0</v>
      </c>
      <c r="R128" s="151">
        <f t="shared" si="122"/>
        <v>0</v>
      </c>
      <c r="S128" s="151">
        <f t="shared" si="122"/>
        <v>12</v>
      </c>
      <c r="T128" s="151">
        <f t="shared" si="122"/>
        <v>12</v>
      </c>
      <c r="U128" s="151">
        <f t="shared" si="122"/>
        <v>12</v>
      </c>
      <c r="V128" s="151">
        <f t="shared" si="122"/>
        <v>0</v>
      </c>
      <c r="W128" s="151">
        <f t="shared" si="122"/>
        <v>12</v>
      </c>
      <c r="X128" s="151">
        <f t="shared" si="122"/>
        <v>12</v>
      </c>
      <c r="Y128" s="151">
        <f t="shared" si="122"/>
        <v>12</v>
      </c>
      <c r="Z128" s="151">
        <f t="shared" si="122"/>
        <v>0</v>
      </c>
      <c r="AA128" s="151">
        <f t="shared" si="122"/>
        <v>0</v>
      </c>
      <c r="AB128" s="151">
        <f t="shared" si="122"/>
        <v>0</v>
      </c>
      <c r="AC128" s="151">
        <f t="shared" si="122"/>
        <v>12</v>
      </c>
      <c r="AD128" s="151">
        <f t="shared" si="122"/>
        <v>12</v>
      </c>
      <c r="AE128" s="151">
        <f>IF(AE16=$R32,$BC32,IF(AE16=$R33,$BC33,IF(AE16=$R34,$BC34,IF(AE16=$R35,$BC35,IF(AE16=$R36,$BC36,IF(AE16=$R37,$BC37,IF(AE16=$R38,$BC38,IF(AE16=$R39,$BC39,IF(AE16=$R40,$BC40,0)))))))))</f>
        <v>0</v>
      </c>
      <c r="AF128" s="151">
        <f>IF(AF16=$R32,$BC32,IF(AF16=$R33,$BC33,IF(AF16=$R34,$BC34,IF(AF16=$R35,$BC35,IF(AF16=$R36,$BC36,IF(AF16=$R37,$BC37,IF(AF16=$R38,$BC38,IF(AF16=$R39,$BC39,IF(AF16=$R40,$BC40,0)))))))))</f>
        <v>0</v>
      </c>
      <c r="AG128" s="151">
        <f>IF(AG16=$R32,$BC32,IF(AG16=$R33,$BC33,IF(AG16=$R34,$BC34,IF(AG16=$R35,$BC35,IF(AG16=$R36,$BC36,IF(AG16=$R37,$BC37,IF(AG16=$R38,$BC38,IF(AG16=$R39,$BC39,IF(AG16=$R40,$BC40,0)))))))))</f>
        <v>0</v>
      </c>
      <c r="AH128" s="226">
        <f>SUM(C128:AG128)</f>
        <v>211.99999999999997</v>
      </c>
      <c r="AI128" s="226"/>
      <c r="AJ128" s="174" t="s">
        <v>62</v>
      </c>
      <c r="AK128" s="133" t="s">
        <v>12</v>
      </c>
      <c r="AL128" s="133"/>
    </row>
    <row r="129" spans="1:38" ht="15.95" hidden="1" customHeight="1" x14ac:dyDescent="0.25">
      <c r="A129" s="153" t="s">
        <v>48</v>
      </c>
      <c r="B129" s="149" t="s">
        <v>63</v>
      </c>
      <c r="C129" s="141" t="b">
        <f t="shared" ref="C129:AG129" si="123">IF(C46=1,IF(C124&lt;C125,C128,0))</f>
        <v>0</v>
      </c>
      <c r="D129" s="141" t="b">
        <f t="shared" si="123"/>
        <v>0</v>
      </c>
      <c r="E129" s="141" t="b">
        <f t="shared" si="123"/>
        <v>0</v>
      </c>
      <c r="F129" s="141">
        <f t="shared" si="123"/>
        <v>0</v>
      </c>
      <c r="G129" s="141">
        <f t="shared" si="123"/>
        <v>0</v>
      </c>
      <c r="H129" s="141" t="b">
        <f t="shared" si="123"/>
        <v>0</v>
      </c>
      <c r="I129" s="141" t="b">
        <f t="shared" si="123"/>
        <v>0</v>
      </c>
      <c r="J129" s="141" t="b">
        <f t="shared" si="123"/>
        <v>0</v>
      </c>
      <c r="K129" s="141" t="b">
        <f t="shared" si="123"/>
        <v>0</v>
      </c>
      <c r="L129" s="141" t="b">
        <f t="shared" si="123"/>
        <v>0</v>
      </c>
      <c r="M129" s="141">
        <f t="shared" si="123"/>
        <v>0</v>
      </c>
      <c r="N129" s="141">
        <f t="shared" si="123"/>
        <v>0</v>
      </c>
      <c r="O129" s="141" t="b">
        <f t="shared" si="123"/>
        <v>0</v>
      </c>
      <c r="P129" s="141" t="b">
        <f t="shared" si="123"/>
        <v>0</v>
      </c>
      <c r="Q129" s="141" t="b">
        <f t="shared" si="123"/>
        <v>0</v>
      </c>
      <c r="R129" s="141" t="b">
        <f t="shared" si="123"/>
        <v>0</v>
      </c>
      <c r="S129" s="141" t="b">
        <f t="shared" si="123"/>
        <v>0</v>
      </c>
      <c r="T129" s="141">
        <f t="shared" si="123"/>
        <v>0</v>
      </c>
      <c r="U129" s="141">
        <f t="shared" si="123"/>
        <v>0</v>
      </c>
      <c r="V129" s="141" t="b">
        <f t="shared" si="123"/>
        <v>0</v>
      </c>
      <c r="W129" s="141" t="b">
        <f t="shared" si="123"/>
        <v>0</v>
      </c>
      <c r="X129" s="141" t="b">
        <f t="shared" si="123"/>
        <v>0</v>
      </c>
      <c r="Y129" s="141" t="b">
        <f t="shared" si="123"/>
        <v>0</v>
      </c>
      <c r="Z129" s="141" t="b">
        <f t="shared" si="123"/>
        <v>0</v>
      </c>
      <c r="AA129" s="141">
        <f t="shared" si="123"/>
        <v>0</v>
      </c>
      <c r="AB129" s="141">
        <f t="shared" si="123"/>
        <v>0</v>
      </c>
      <c r="AC129" s="141" t="b">
        <f t="shared" si="123"/>
        <v>0</v>
      </c>
      <c r="AD129" s="141" t="b">
        <f t="shared" si="123"/>
        <v>0</v>
      </c>
      <c r="AE129" s="141" t="b">
        <f t="shared" si="123"/>
        <v>0</v>
      </c>
      <c r="AF129" s="141" t="b">
        <f t="shared" si="123"/>
        <v>0</v>
      </c>
      <c r="AG129" s="141" t="b">
        <f t="shared" si="123"/>
        <v>0</v>
      </c>
      <c r="AH129" s="154" t="s">
        <v>12</v>
      </c>
      <c r="AI129" s="133"/>
      <c r="AJ129" s="170"/>
      <c r="AK129" s="133"/>
      <c r="AL129" s="133"/>
    </row>
    <row r="130" spans="1:38" ht="15.95" hidden="1" customHeight="1" x14ac:dyDescent="0.25">
      <c r="A130" s="176"/>
      <c r="B130" s="149" t="s">
        <v>64</v>
      </c>
      <c r="C130" s="141">
        <f t="shared" ref="C130:AG130" si="124">IF(C46=1,IF(C124&gt;C125,24-C124,0),0)</f>
        <v>0</v>
      </c>
      <c r="D130" s="141">
        <f t="shared" si="124"/>
        <v>0</v>
      </c>
      <c r="E130" s="141">
        <f t="shared" si="124"/>
        <v>0</v>
      </c>
      <c r="F130" s="141">
        <f t="shared" si="124"/>
        <v>5</v>
      </c>
      <c r="G130" s="141">
        <f t="shared" si="124"/>
        <v>5</v>
      </c>
      <c r="H130" s="141">
        <f t="shared" si="124"/>
        <v>0</v>
      </c>
      <c r="I130" s="141">
        <f t="shared" si="124"/>
        <v>0</v>
      </c>
      <c r="J130" s="141">
        <f t="shared" si="124"/>
        <v>0</v>
      </c>
      <c r="K130" s="141">
        <f t="shared" si="124"/>
        <v>0</v>
      </c>
      <c r="L130" s="141">
        <f t="shared" si="124"/>
        <v>0</v>
      </c>
      <c r="M130" s="141">
        <f t="shared" si="124"/>
        <v>0</v>
      </c>
      <c r="N130" s="141">
        <f t="shared" si="124"/>
        <v>0</v>
      </c>
      <c r="O130" s="141">
        <f t="shared" si="124"/>
        <v>0</v>
      </c>
      <c r="P130" s="141">
        <f t="shared" si="124"/>
        <v>0</v>
      </c>
      <c r="Q130" s="141">
        <f t="shared" si="124"/>
        <v>0</v>
      </c>
      <c r="R130" s="141">
        <f t="shared" si="124"/>
        <v>0</v>
      </c>
      <c r="S130" s="141">
        <f t="shared" si="124"/>
        <v>0</v>
      </c>
      <c r="T130" s="141">
        <f t="shared" si="124"/>
        <v>6</v>
      </c>
      <c r="U130" s="141">
        <f t="shared" si="124"/>
        <v>6</v>
      </c>
      <c r="V130" s="141">
        <f t="shared" si="124"/>
        <v>0</v>
      </c>
      <c r="W130" s="141">
        <f t="shared" si="124"/>
        <v>0</v>
      </c>
      <c r="X130" s="141">
        <f t="shared" si="124"/>
        <v>0</v>
      </c>
      <c r="Y130" s="141">
        <f t="shared" si="124"/>
        <v>0</v>
      </c>
      <c r="Z130" s="141">
        <f t="shared" si="124"/>
        <v>0</v>
      </c>
      <c r="AA130" s="141">
        <f t="shared" si="124"/>
        <v>0</v>
      </c>
      <c r="AB130" s="141">
        <f t="shared" si="124"/>
        <v>0</v>
      </c>
      <c r="AC130" s="141">
        <f t="shared" si="124"/>
        <v>0</v>
      </c>
      <c r="AD130" s="141">
        <f t="shared" si="124"/>
        <v>0</v>
      </c>
      <c r="AE130" s="141">
        <f t="shared" si="124"/>
        <v>0</v>
      </c>
      <c r="AF130" s="141">
        <f t="shared" si="124"/>
        <v>0</v>
      </c>
      <c r="AG130" s="141">
        <f t="shared" si="124"/>
        <v>0</v>
      </c>
      <c r="AH130" s="154" t="s">
        <v>12</v>
      </c>
      <c r="AI130" s="133"/>
      <c r="AJ130" s="170"/>
      <c r="AK130" s="133"/>
      <c r="AL130" s="133"/>
    </row>
    <row r="131" spans="1:38" ht="15.95" hidden="1" customHeight="1" x14ac:dyDescent="0.25">
      <c r="A131" s="176"/>
      <c r="B131" s="149" t="s">
        <v>65</v>
      </c>
      <c r="C131" s="141">
        <f t="shared" ref="C131:AG131" si="125">IF(D46=1,IF(C124&gt;C125,C125,0),0)</f>
        <v>0</v>
      </c>
      <c r="D131" s="141">
        <f t="shared" si="125"/>
        <v>0</v>
      </c>
      <c r="E131" s="141">
        <f t="shared" si="125"/>
        <v>7</v>
      </c>
      <c r="F131" s="141">
        <f t="shared" si="125"/>
        <v>7</v>
      </c>
      <c r="G131" s="141">
        <f t="shared" si="125"/>
        <v>0</v>
      </c>
      <c r="H131" s="141">
        <f t="shared" si="125"/>
        <v>0</v>
      </c>
      <c r="I131" s="141">
        <f t="shared" si="125"/>
        <v>0</v>
      </c>
      <c r="J131" s="141">
        <f t="shared" si="125"/>
        <v>0</v>
      </c>
      <c r="K131" s="141">
        <f t="shared" si="125"/>
        <v>0</v>
      </c>
      <c r="L131" s="141">
        <f t="shared" si="125"/>
        <v>0</v>
      </c>
      <c r="M131" s="141">
        <f t="shared" si="125"/>
        <v>0</v>
      </c>
      <c r="N131" s="141">
        <f t="shared" si="125"/>
        <v>0</v>
      </c>
      <c r="O131" s="141">
        <f t="shared" si="125"/>
        <v>0</v>
      </c>
      <c r="P131" s="141">
        <f t="shared" si="125"/>
        <v>0</v>
      </c>
      <c r="Q131" s="141">
        <f t="shared" si="125"/>
        <v>0</v>
      </c>
      <c r="R131" s="141">
        <f t="shared" si="125"/>
        <v>0</v>
      </c>
      <c r="S131" s="141">
        <f t="shared" si="125"/>
        <v>6</v>
      </c>
      <c r="T131" s="141">
        <f t="shared" si="125"/>
        <v>6</v>
      </c>
      <c r="U131" s="141">
        <f t="shared" si="125"/>
        <v>0</v>
      </c>
      <c r="V131" s="141">
        <f t="shared" si="125"/>
        <v>0</v>
      </c>
      <c r="W131" s="141">
        <f t="shared" si="125"/>
        <v>0</v>
      </c>
      <c r="X131" s="141">
        <f>IF(Y46=1,IF(X124&gt;X125,X125,0),0)</f>
        <v>0</v>
      </c>
      <c r="Y131" s="141">
        <f t="shared" si="125"/>
        <v>0</v>
      </c>
      <c r="Z131" s="141">
        <f t="shared" si="125"/>
        <v>0</v>
      </c>
      <c r="AA131" s="141">
        <f t="shared" si="125"/>
        <v>0</v>
      </c>
      <c r="AB131" s="141">
        <f t="shared" si="125"/>
        <v>0</v>
      </c>
      <c r="AC131" s="141">
        <f t="shared" si="125"/>
        <v>0</v>
      </c>
      <c r="AD131" s="141">
        <f t="shared" si="125"/>
        <v>0</v>
      </c>
      <c r="AE131" s="141">
        <f t="shared" si="125"/>
        <v>0</v>
      </c>
      <c r="AF131" s="141">
        <f t="shared" si="125"/>
        <v>0</v>
      </c>
      <c r="AG131" s="141">
        <f t="shared" si="125"/>
        <v>0</v>
      </c>
      <c r="AH131" s="154" t="s">
        <v>12</v>
      </c>
      <c r="AI131" s="133"/>
      <c r="AJ131" s="170"/>
      <c r="AK131" s="133"/>
      <c r="AL131" s="133"/>
    </row>
    <row r="132" spans="1:38" ht="15.95" hidden="1" customHeight="1" x14ac:dyDescent="0.25">
      <c r="A132" s="176"/>
      <c r="B132" s="149" t="s">
        <v>67</v>
      </c>
      <c r="C132" s="171">
        <f t="shared" ref="C132:AG132" si="126">SUM(C129:C131)</f>
        <v>0</v>
      </c>
      <c r="D132" s="171">
        <f t="shared" si="126"/>
        <v>0</v>
      </c>
      <c r="E132" s="171">
        <f t="shared" si="126"/>
        <v>7</v>
      </c>
      <c r="F132" s="171">
        <f t="shared" si="126"/>
        <v>12</v>
      </c>
      <c r="G132" s="171">
        <f t="shared" si="126"/>
        <v>5</v>
      </c>
      <c r="H132" s="171">
        <f t="shared" si="126"/>
        <v>0</v>
      </c>
      <c r="I132" s="171">
        <f t="shared" si="126"/>
        <v>0</v>
      </c>
      <c r="J132" s="171">
        <f t="shared" si="126"/>
        <v>0</v>
      </c>
      <c r="K132" s="171">
        <f t="shared" si="126"/>
        <v>0</v>
      </c>
      <c r="L132" s="171">
        <f t="shared" si="126"/>
        <v>0</v>
      </c>
      <c r="M132" s="171">
        <f t="shared" si="126"/>
        <v>0</v>
      </c>
      <c r="N132" s="171">
        <f t="shared" si="126"/>
        <v>0</v>
      </c>
      <c r="O132" s="171">
        <f t="shared" si="126"/>
        <v>0</v>
      </c>
      <c r="P132" s="171">
        <f t="shared" si="126"/>
        <v>0</v>
      </c>
      <c r="Q132" s="171">
        <f t="shared" si="126"/>
        <v>0</v>
      </c>
      <c r="R132" s="171">
        <f t="shared" si="126"/>
        <v>0</v>
      </c>
      <c r="S132" s="171">
        <f t="shared" si="126"/>
        <v>6</v>
      </c>
      <c r="T132" s="171">
        <f t="shared" si="126"/>
        <v>12</v>
      </c>
      <c r="U132" s="171">
        <f t="shared" si="126"/>
        <v>6</v>
      </c>
      <c r="V132" s="171">
        <f t="shared" si="126"/>
        <v>0</v>
      </c>
      <c r="W132" s="171">
        <f t="shared" si="126"/>
        <v>0</v>
      </c>
      <c r="X132" s="171">
        <f t="shared" si="126"/>
        <v>0</v>
      </c>
      <c r="Y132" s="171">
        <f t="shared" si="126"/>
        <v>0</v>
      </c>
      <c r="Z132" s="171">
        <f t="shared" si="126"/>
        <v>0</v>
      </c>
      <c r="AA132" s="171">
        <f t="shared" si="126"/>
        <v>0</v>
      </c>
      <c r="AB132" s="171">
        <f t="shared" si="126"/>
        <v>0</v>
      </c>
      <c r="AC132" s="171">
        <f t="shared" si="126"/>
        <v>0</v>
      </c>
      <c r="AD132" s="171">
        <f t="shared" si="126"/>
        <v>0</v>
      </c>
      <c r="AE132" s="171">
        <f t="shared" si="126"/>
        <v>0</v>
      </c>
      <c r="AF132" s="171">
        <f t="shared" si="126"/>
        <v>0</v>
      </c>
      <c r="AG132" s="171">
        <f t="shared" si="126"/>
        <v>0</v>
      </c>
      <c r="AH132" s="154" t="s">
        <v>12</v>
      </c>
      <c r="AI132" s="133"/>
      <c r="AJ132" s="170"/>
      <c r="AK132" s="133"/>
      <c r="AL132" s="133"/>
    </row>
    <row r="133" spans="1:38" ht="15.95" hidden="1" customHeight="1" x14ac:dyDescent="0.25">
      <c r="A133" s="177"/>
      <c r="B133" s="160" t="s">
        <v>68</v>
      </c>
      <c r="C133" s="161">
        <f t="shared" ref="C133:AG133" si="127">IF(C16="V",IF(C16="",0,1),0)</f>
        <v>0</v>
      </c>
      <c r="D133" s="161">
        <f t="shared" si="127"/>
        <v>0</v>
      </c>
      <c r="E133" s="161">
        <f t="shared" si="127"/>
        <v>0</v>
      </c>
      <c r="F133" s="161">
        <f t="shared" si="127"/>
        <v>0</v>
      </c>
      <c r="G133" s="161">
        <f t="shared" si="127"/>
        <v>0</v>
      </c>
      <c r="H133" s="161">
        <f t="shared" si="127"/>
        <v>0</v>
      </c>
      <c r="I133" s="161">
        <f t="shared" si="127"/>
        <v>0</v>
      </c>
      <c r="J133" s="161">
        <f t="shared" si="127"/>
        <v>0</v>
      </c>
      <c r="K133" s="161">
        <f t="shared" si="127"/>
        <v>0</v>
      </c>
      <c r="L133" s="161">
        <f t="shared" si="127"/>
        <v>0</v>
      </c>
      <c r="M133" s="161">
        <f t="shared" si="127"/>
        <v>0</v>
      </c>
      <c r="N133" s="161">
        <f t="shared" si="127"/>
        <v>0</v>
      </c>
      <c r="O133" s="161">
        <f t="shared" si="127"/>
        <v>0</v>
      </c>
      <c r="P133" s="161">
        <f t="shared" si="127"/>
        <v>0</v>
      </c>
      <c r="Q133" s="161">
        <f t="shared" si="127"/>
        <v>0</v>
      </c>
      <c r="R133" s="161">
        <f t="shared" si="127"/>
        <v>0</v>
      </c>
      <c r="S133" s="161">
        <f t="shared" si="127"/>
        <v>0</v>
      </c>
      <c r="T133" s="161">
        <f t="shared" si="127"/>
        <v>0</v>
      </c>
      <c r="U133" s="161">
        <f t="shared" si="127"/>
        <v>0</v>
      </c>
      <c r="V133" s="161">
        <f t="shared" si="127"/>
        <v>0</v>
      </c>
      <c r="W133" s="161">
        <f t="shared" si="127"/>
        <v>0</v>
      </c>
      <c r="X133" s="161">
        <f t="shared" si="127"/>
        <v>0</v>
      </c>
      <c r="Y133" s="161">
        <f t="shared" si="127"/>
        <v>0</v>
      </c>
      <c r="Z133" s="161">
        <f t="shared" si="127"/>
        <v>0</v>
      </c>
      <c r="AA133" s="161">
        <f t="shared" si="127"/>
        <v>0</v>
      </c>
      <c r="AB133" s="161">
        <f t="shared" si="127"/>
        <v>0</v>
      </c>
      <c r="AC133" s="161">
        <f t="shared" si="127"/>
        <v>0</v>
      </c>
      <c r="AD133" s="161">
        <f t="shared" si="127"/>
        <v>0</v>
      </c>
      <c r="AE133" s="161">
        <f t="shared" si="127"/>
        <v>0</v>
      </c>
      <c r="AF133" s="161">
        <f t="shared" si="127"/>
        <v>0</v>
      </c>
      <c r="AG133" s="161">
        <f t="shared" si="127"/>
        <v>0</v>
      </c>
      <c r="AH133" s="154" t="s">
        <v>12</v>
      </c>
      <c r="AI133" s="133"/>
      <c r="AJ133" s="170"/>
      <c r="AK133" s="133"/>
      <c r="AL133" s="133"/>
    </row>
    <row r="134" spans="1:38" ht="15.95" hidden="1" customHeight="1" x14ac:dyDescent="0.25">
      <c r="A134" s="180"/>
      <c r="B134" s="181" t="s">
        <v>16</v>
      </c>
      <c r="C134" s="182">
        <f t="shared" ref="C134:AG134" si="128">IF(C16="PR",IF(C16="",0,1),0)</f>
        <v>0</v>
      </c>
      <c r="D134" s="182">
        <f t="shared" si="128"/>
        <v>0</v>
      </c>
      <c r="E134" s="182">
        <f t="shared" si="128"/>
        <v>0</v>
      </c>
      <c r="F134" s="182">
        <f t="shared" si="128"/>
        <v>0</v>
      </c>
      <c r="G134" s="182">
        <f t="shared" si="128"/>
        <v>0</v>
      </c>
      <c r="H134" s="182">
        <f t="shared" si="128"/>
        <v>0</v>
      </c>
      <c r="I134" s="182">
        <f t="shared" si="128"/>
        <v>0</v>
      </c>
      <c r="J134" s="182">
        <f t="shared" si="128"/>
        <v>0</v>
      </c>
      <c r="K134" s="182">
        <f t="shared" si="128"/>
        <v>0</v>
      </c>
      <c r="L134" s="182">
        <f t="shared" si="128"/>
        <v>0</v>
      </c>
      <c r="M134" s="182">
        <f t="shared" si="128"/>
        <v>0</v>
      </c>
      <c r="N134" s="182">
        <f t="shared" si="128"/>
        <v>0</v>
      </c>
      <c r="O134" s="182">
        <f t="shared" si="128"/>
        <v>0</v>
      </c>
      <c r="P134" s="182">
        <f t="shared" si="128"/>
        <v>0</v>
      </c>
      <c r="Q134" s="182">
        <f t="shared" si="128"/>
        <v>0</v>
      </c>
      <c r="R134" s="182">
        <f t="shared" si="128"/>
        <v>0</v>
      </c>
      <c r="S134" s="182">
        <f t="shared" si="128"/>
        <v>0</v>
      </c>
      <c r="T134" s="182">
        <f t="shared" si="128"/>
        <v>0</v>
      </c>
      <c r="U134" s="182">
        <f t="shared" si="128"/>
        <v>0</v>
      </c>
      <c r="V134" s="182">
        <f t="shared" si="128"/>
        <v>0</v>
      </c>
      <c r="W134" s="182">
        <f t="shared" si="128"/>
        <v>0</v>
      </c>
      <c r="X134" s="182">
        <f t="shared" si="128"/>
        <v>0</v>
      </c>
      <c r="Y134" s="182">
        <f t="shared" si="128"/>
        <v>0</v>
      </c>
      <c r="Z134" s="182">
        <f t="shared" si="128"/>
        <v>0</v>
      </c>
      <c r="AA134" s="182">
        <f t="shared" si="128"/>
        <v>0</v>
      </c>
      <c r="AB134" s="182">
        <f t="shared" si="128"/>
        <v>0</v>
      </c>
      <c r="AC134" s="182">
        <f t="shared" si="128"/>
        <v>0</v>
      </c>
      <c r="AD134" s="182">
        <f t="shared" si="128"/>
        <v>0</v>
      </c>
      <c r="AE134" s="182">
        <f t="shared" si="128"/>
        <v>0</v>
      </c>
      <c r="AF134" s="182">
        <f t="shared" si="128"/>
        <v>0</v>
      </c>
      <c r="AG134" s="182">
        <f t="shared" si="128"/>
        <v>0</v>
      </c>
      <c r="AH134" s="227">
        <f>SUM(C134:AG134)</f>
        <v>0</v>
      </c>
      <c r="AI134" s="227"/>
      <c r="AJ134" s="174" t="s">
        <v>69</v>
      </c>
      <c r="AK134" s="133"/>
      <c r="AL134" s="133"/>
    </row>
    <row r="135" spans="1:38" ht="15.95" hidden="1" customHeight="1" x14ac:dyDescent="0.25">
      <c r="A135" s="164" t="s">
        <v>85</v>
      </c>
      <c r="B135" s="165" t="s">
        <v>29</v>
      </c>
      <c r="C135" s="141" t="str">
        <f t="shared" ref="C135:AG135" si="129">IF(C17=$R32,$S32*24,IF(C17=$R33,$S33*24,IF(C17=$R34,$S34*24,IF(C17=$R35,$S35*24,IF(C17=$R36,$S36*24,IF(C17=$R37,$S37*24,IF(C17=$R38,$S38*24,IF(C17=$R39,$S39*24,IF(C17=$R40,$S40*24,"")))))))))</f>
        <v/>
      </c>
      <c r="D135" s="141">
        <f t="shared" si="129"/>
        <v>22</v>
      </c>
      <c r="E135" s="141">
        <f t="shared" si="129"/>
        <v>18</v>
      </c>
      <c r="F135" s="141">
        <f t="shared" si="129"/>
        <v>18</v>
      </c>
      <c r="G135" s="141">
        <f t="shared" si="129"/>
        <v>18</v>
      </c>
      <c r="H135" s="141">
        <f t="shared" si="129"/>
        <v>18</v>
      </c>
      <c r="I135" s="141">
        <f t="shared" si="129"/>
        <v>18</v>
      </c>
      <c r="J135" s="141" t="str">
        <f t="shared" si="129"/>
        <v/>
      </c>
      <c r="K135" s="141">
        <f t="shared" si="129"/>
        <v>18</v>
      </c>
      <c r="L135" s="141">
        <f t="shared" si="129"/>
        <v>18</v>
      </c>
      <c r="M135" s="141">
        <f t="shared" si="129"/>
        <v>18</v>
      </c>
      <c r="N135" s="141">
        <f t="shared" si="129"/>
        <v>18</v>
      </c>
      <c r="O135" s="141">
        <f t="shared" si="129"/>
        <v>18</v>
      </c>
      <c r="P135" s="141">
        <f t="shared" si="129"/>
        <v>18</v>
      </c>
      <c r="Q135" s="141">
        <f t="shared" si="129"/>
        <v>18</v>
      </c>
      <c r="R135" s="141">
        <f t="shared" si="129"/>
        <v>18</v>
      </c>
      <c r="S135" s="141" t="str">
        <f t="shared" si="129"/>
        <v/>
      </c>
      <c r="T135" s="141" t="str">
        <f t="shared" si="129"/>
        <v/>
      </c>
      <c r="U135" s="141" t="str">
        <f t="shared" si="129"/>
        <v/>
      </c>
      <c r="V135" s="141" t="str">
        <f t="shared" si="129"/>
        <v/>
      </c>
      <c r="W135" s="141">
        <f t="shared" si="129"/>
        <v>6</v>
      </c>
      <c r="X135" s="141" t="str">
        <f t="shared" si="129"/>
        <v/>
      </c>
      <c r="Y135" s="141" t="str">
        <f t="shared" si="129"/>
        <v/>
      </c>
      <c r="Z135" s="141">
        <f t="shared" si="129"/>
        <v>18</v>
      </c>
      <c r="AA135" s="141">
        <f t="shared" si="129"/>
        <v>18</v>
      </c>
      <c r="AB135" s="141">
        <f t="shared" si="129"/>
        <v>18</v>
      </c>
      <c r="AC135" s="141" t="str">
        <f t="shared" si="129"/>
        <v/>
      </c>
      <c r="AD135" s="141" t="str">
        <f t="shared" si="129"/>
        <v/>
      </c>
      <c r="AE135" s="141" t="str">
        <f t="shared" si="129"/>
        <v/>
      </c>
      <c r="AF135" s="141" t="str">
        <f t="shared" si="129"/>
        <v/>
      </c>
      <c r="AG135" s="141" t="str">
        <f t="shared" si="129"/>
        <v/>
      </c>
      <c r="AH135" s="154" t="s">
        <v>12</v>
      </c>
      <c r="AI135" s="133"/>
      <c r="AJ135" s="170"/>
      <c r="AK135" s="133"/>
      <c r="AL135" s="133"/>
    </row>
    <row r="136" spans="1:38" ht="15.95" hidden="1" customHeight="1" x14ac:dyDescent="0.25">
      <c r="A136" s="166" t="s">
        <v>86</v>
      </c>
      <c r="B136" s="167" t="s">
        <v>30</v>
      </c>
      <c r="C136" s="141" t="str">
        <f t="shared" ref="C136:AG136" si="130">IF(C17=$R32,$V32*24,IF(C17=$R33,$V33*24,IF(C17=$R34,$V34*24,IF(C17=$R35,$V35*24,IF(C17=$R36,$V36*24,IF(C17=$R37,$V37*24,IF(C17=$R38,$V38*24,IF(C17=$R39,$V39*24,IF(C17=$R40,$V40*24,"")))))))))</f>
        <v/>
      </c>
      <c r="D136" s="141">
        <f t="shared" si="130"/>
        <v>6</v>
      </c>
      <c r="E136" s="141">
        <f t="shared" si="130"/>
        <v>6</v>
      </c>
      <c r="F136" s="141">
        <f t="shared" si="130"/>
        <v>6</v>
      </c>
      <c r="G136" s="141">
        <f t="shared" si="130"/>
        <v>6</v>
      </c>
      <c r="H136" s="141">
        <f t="shared" si="130"/>
        <v>6</v>
      </c>
      <c r="I136" s="141">
        <f t="shared" si="130"/>
        <v>6</v>
      </c>
      <c r="J136" s="141" t="str">
        <f t="shared" si="130"/>
        <v/>
      </c>
      <c r="K136" s="141">
        <f t="shared" si="130"/>
        <v>6</v>
      </c>
      <c r="L136" s="141">
        <f t="shared" si="130"/>
        <v>6</v>
      </c>
      <c r="M136" s="141">
        <f t="shared" si="130"/>
        <v>6</v>
      </c>
      <c r="N136" s="141">
        <f t="shared" si="130"/>
        <v>6</v>
      </c>
      <c r="O136" s="141">
        <f t="shared" si="130"/>
        <v>6</v>
      </c>
      <c r="P136" s="141">
        <f t="shared" si="130"/>
        <v>6</v>
      </c>
      <c r="Q136" s="141">
        <f t="shared" si="130"/>
        <v>6</v>
      </c>
      <c r="R136" s="141">
        <f t="shared" si="130"/>
        <v>6</v>
      </c>
      <c r="S136" s="141" t="str">
        <f t="shared" si="130"/>
        <v/>
      </c>
      <c r="T136" s="141" t="str">
        <f t="shared" si="130"/>
        <v/>
      </c>
      <c r="U136" s="141" t="str">
        <f t="shared" si="130"/>
        <v/>
      </c>
      <c r="V136" s="141" t="str">
        <f t="shared" si="130"/>
        <v/>
      </c>
      <c r="W136" s="141">
        <f t="shared" si="130"/>
        <v>18</v>
      </c>
      <c r="X136" s="141" t="str">
        <f t="shared" si="130"/>
        <v/>
      </c>
      <c r="Y136" s="141" t="str">
        <f t="shared" si="130"/>
        <v/>
      </c>
      <c r="Z136" s="141">
        <f t="shared" si="130"/>
        <v>6</v>
      </c>
      <c r="AA136" s="141">
        <f t="shared" si="130"/>
        <v>6</v>
      </c>
      <c r="AB136" s="141">
        <f t="shared" si="130"/>
        <v>6</v>
      </c>
      <c r="AC136" s="141" t="str">
        <f t="shared" si="130"/>
        <v/>
      </c>
      <c r="AD136" s="141" t="str">
        <f t="shared" si="130"/>
        <v/>
      </c>
      <c r="AE136" s="141" t="str">
        <f t="shared" si="130"/>
        <v/>
      </c>
      <c r="AF136" s="141" t="str">
        <f t="shared" si="130"/>
        <v/>
      </c>
      <c r="AG136" s="141" t="str">
        <f t="shared" si="130"/>
        <v/>
      </c>
      <c r="AH136" s="154" t="s">
        <v>12</v>
      </c>
      <c r="AI136" s="133"/>
      <c r="AJ136" s="170"/>
      <c r="AK136" s="133"/>
      <c r="AL136" s="133"/>
    </row>
    <row r="137" spans="1:38" ht="15.95" hidden="1" customHeight="1" x14ac:dyDescent="0.25">
      <c r="A137" s="153"/>
      <c r="B137" s="168" t="s">
        <v>34</v>
      </c>
      <c r="C137" s="169" t="str">
        <f t="shared" ref="C137:AD137" si="131">IF(C17=$R32,$BD32*24,IF(C17=$R33,$BD33*24,IF(C17=$R34,$BD34*24,IF(C17=$R35,$BD35*24,IF(C17=$R36,$BD36*24,IF(C17=$R37,$BD37*24,IF(C17=$R38,$BD38*24,IF(C17=$R39,$BD39*24,IF(C17=$R40,$BD40*24,"")))))))))</f>
        <v/>
      </c>
      <c r="D137" s="169">
        <f t="shared" si="131"/>
        <v>8</v>
      </c>
      <c r="E137" s="169">
        <f t="shared" si="131"/>
        <v>8</v>
      </c>
      <c r="F137" s="169">
        <f t="shared" si="131"/>
        <v>8</v>
      </c>
      <c r="G137" s="169">
        <f t="shared" si="131"/>
        <v>8</v>
      </c>
      <c r="H137" s="169">
        <f t="shared" si="131"/>
        <v>8</v>
      </c>
      <c r="I137" s="169">
        <f t="shared" si="131"/>
        <v>8</v>
      </c>
      <c r="J137" s="169" t="str">
        <f t="shared" si="131"/>
        <v/>
      </c>
      <c r="K137" s="169">
        <f t="shared" si="131"/>
        <v>8</v>
      </c>
      <c r="L137" s="169">
        <f t="shared" si="131"/>
        <v>8</v>
      </c>
      <c r="M137" s="169">
        <f t="shared" si="131"/>
        <v>8</v>
      </c>
      <c r="N137" s="169">
        <f t="shared" si="131"/>
        <v>8</v>
      </c>
      <c r="O137" s="169">
        <f t="shared" si="131"/>
        <v>8</v>
      </c>
      <c r="P137" s="169">
        <f t="shared" si="131"/>
        <v>8</v>
      </c>
      <c r="Q137" s="169">
        <f t="shared" si="131"/>
        <v>8</v>
      </c>
      <c r="R137" s="169">
        <f t="shared" si="131"/>
        <v>8</v>
      </c>
      <c r="S137" s="169" t="str">
        <f t="shared" si="131"/>
        <v/>
      </c>
      <c r="T137" s="169" t="str">
        <f t="shared" si="131"/>
        <v/>
      </c>
      <c r="U137" s="169" t="str">
        <f t="shared" si="131"/>
        <v/>
      </c>
      <c r="V137" s="169" t="str">
        <f t="shared" si="131"/>
        <v/>
      </c>
      <c r="W137" s="169">
        <f t="shared" si="131"/>
        <v>0</v>
      </c>
      <c r="X137" s="169" t="str">
        <f t="shared" si="131"/>
        <v/>
      </c>
      <c r="Y137" s="169" t="str">
        <f t="shared" si="131"/>
        <v/>
      </c>
      <c r="Z137" s="169">
        <f t="shared" si="131"/>
        <v>8</v>
      </c>
      <c r="AA137" s="169">
        <f t="shared" si="131"/>
        <v>8</v>
      </c>
      <c r="AB137" s="169">
        <f t="shared" si="131"/>
        <v>8</v>
      </c>
      <c r="AC137" s="169" t="str">
        <f t="shared" si="131"/>
        <v/>
      </c>
      <c r="AD137" s="169" t="str">
        <f t="shared" si="131"/>
        <v/>
      </c>
      <c r="AE137" s="169" t="str">
        <f>IF(AE17=$R32,$BD32*24,IF(AE17=$R33,$BD33*24,IF(AE17=$R34,$BD34*24,IF(AE17=$R35,$BD35*24,IF(AE17=$R36,$BD36*24,IF(AE17=$R37,$BD37*24,IF(AE17=$R38,$BD38*24,IF(AE17=$R39,$BD39*24,IF(AE17=$R40,$BD40*24,"")))))))))</f>
        <v/>
      </c>
      <c r="AF137" s="169" t="str">
        <f>IF(AF17=$R32,$BD32*24,IF(AF17=$R33,$BD33*24,IF(AF17=$R34,$BD34*24,IF(AF17=$R35,$BD35*24,IF(AF17=$R36,$BD36*24,IF(AF17=$R37,$BD37*24,IF(AF17=$R38,$BD38*24,IF(AF17=$R39,$BD39*24,IF(AF17=$R40,$BD40*24,"")))))))))</f>
        <v/>
      </c>
      <c r="AG137" s="169" t="str">
        <f>IF(AG17=$R32,$BD32*24,IF(AG17=$R33,$BD33*24,IF(AG17=$R34,$BD34*24,IF(AG17=$R35,$BD35*24,IF(AG17=$R36,$BD36*24,IF(AG17=$R37,$BD37*24,IF(AG17=$R38,$BD38*24,IF(AG17=$R39,$BD39*24,IF(AG17=$R40,$BD40*24,"")))))))))</f>
        <v/>
      </c>
      <c r="AH137" s="148">
        <f>SUM(C137:AG137)</f>
        <v>136</v>
      </c>
      <c r="AI137" s="133"/>
      <c r="AJ137" s="170"/>
      <c r="AK137" s="133"/>
      <c r="AL137" s="133"/>
    </row>
    <row r="138" spans="1:38" ht="15.95" hidden="1" customHeight="1" x14ac:dyDescent="0.25">
      <c r="A138" s="153"/>
      <c r="B138" s="167" t="s">
        <v>59</v>
      </c>
      <c r="C138" s="141">
        <f t="shared" ref="C138:AG138" si="132">IF(C17="V",$C36,IF(C17="PR",$C38,0))</f>
        <v>0</v>
      </c>
      <c r="D138" s="141">
        <f t="shared" si="132"/>
        <v>0</v>
      </c>
      <c r="E138" s="141">
        <f t="shared" si="132"/>
        <v>0</v>
      </c>
      <c r="F138" s="141">
        <f t="shared" si="132"/>
        <v>0</v>
      </c>
      <c r="G138" s="141">
        <f t="shared" si="132"/>
        <v>0</v>
      </c>
      <c r="H138" s="141">
        <f t="shared" si="132"/>
        <v>0</v>
      </c>
      <c r="I138" s="141">
        <f t="shared" si="132"/>
        <v>0</v>
      </c>
      <c r="J138" s="141">
        <f t="shared" si="132"/>
        <v>0</v>
      </c>
      <c r="K138" s="141">
        <f t="shared" si="132"/>
        <v>0</v>
      </c>
      <c r="L138" s="141">
        <f t="shared" si="132"/>
        <v>0</v>
      </c>
      <c r="M138" s="141">
        <f t="shared" si="132"/>
        <v>0</v>
      </c>
      <c r="N138" s="141">
        <f t="shared" si="132"/>
        <v>0</v>
      </c>
      <c r="O138" s="141">
        <f t="shared" si="132"/>
        <v>0</v>
      </c>
      <c r="P138" s="141">
        <f t="shared" si="132"/>
        <v>0</v>
      </c>
      <c r="Q138" s="141">
        <f t="shared" si="132"/>
        <v>0</v>
      </c>
      <c r="R138" s="141">
        <f t="shared" si="132"/>
        <v>0</v>
      </c>
      <c r="S138" s="141">
        <f t="shared" si="132"/>
        <v>0</v>
      </c>
      <c r="T138" s="141">
        <f t="shared" si="132"/>
        <v>0</v>
      </c>
      <c r="U138" s="141">
        <f t="shared" si="132"/>
        <v>0</v>
      </c>
      <c r="V138" s="141">
        <f t="shared" si="132"/>
        <v>0</v>
      </c>
      <c r="W138" s="141">
        <f t="shared" si="132"/>
        <v>0</v>
      </c>
      <c r="X138" s="141">
        <f t="shared" si="132"/>
        <v>0</v>
      </c>
      <c r="Y138" s="141">
        <f t="shared" si="132"/>
        <v>0</v>
      </c>
      <c r="Z138" s="141">
        <f t="shared" si="132"/>
        <v>0</v>
      </c>
      <c r="AA138" s="141">
        <f t="shared" si="132"/>
        <v>0</v>
      </c>
      <c r="AB138" s="141">
        <f t="shared" si="132"/>
        <v>0</v>
      </c>
      <c r="AC138" s="141">
        <f t="shared" si="132"/>
        <v>0</v>
      </c>
      <c r="AD138" s="141">
        <f t="shared" si="132"/>
        <v>0</v>
      </c>
      <c r="AE138" s="141">
        <f t="shared" si="132"/>
        <v>0</v>
      </c>
      <c r="AF138" s="141">
        <f t="shared" si="132"/>
        <v>0</v>
      </c>
      <c r="AG138" s="141">
        <f t="shared" si="132"/>
        <v>0</v>
      </c>
      <c r="AH138" s="226">
        <f>SUM(C138:AG138)</f>
        <v>0</v>
      </c>
      <c r="AI138" s="226"/>
      <c r="AJ138" s="230">
        <f>SUM(AH83+AH94+AH105+AH116+AH127+AH138)</f>
        <v>156.6</v>
      </c>
      <c r="AK138" s="230"/>
      <c r="AL138" s="133" t="s">
        <v>56</v>
      </c>
    </row>
    <row r="139" spans="1:38" ht="15.95" hidden="1" customHeight="1" x14ac:dyDescent="0.25">
      <c r="A139" s="150" t="s">
        <v>60</v>
      </c>
      <c r="B139" s="167" t="s">
        <v>61</v>
      </c>
      <c r="C139" s="151">
        <f t="shared" ref="C139:AD139" si="133">IF(C17=$R32,$BC32,IF(C17=$R33,$BC33,IF(C17=$R34,$BC34,IF(C17=$R35,$BC35,IF(C17=$R36,$BC36,IF(C17=$R37,$BC37,IF(C17=$R38,$BC38,IF(C17=$R39,$BC39,IF(C17=$R40,$BC40,0)))))))))</f>
        <v>0</v>
      </c>
      <c r="D139" s="151">
        <f t="shared" si="133"/>
        <v>7.9999999999999716</v>
      </c>
      <c r="E139" s="151">
        <f t="shared" si="133"/>
        <v>12</v>
      </c>
      <c r="F139" s="151">
        <f t="shared" si="133"/>
        <v>12</v>
      </c>
      <c r="G139" s="151">
        <f t="shared" si="133"/>
        <v>12</v>
      </c>
      <c r="H139" s="151">
        <f t="shared" si="133"/>
        <v>12</v>
      </c>
      <c r="I139" s="151">
        <f t="shared" si="133"/>
        <v>12</v>
      </c>
      <c r="J139" s="151">
        <f t="shared" si="133"/>
        <v>0</v>
      </c>
      <c r="K139" s="151">
        <f t="shared" si="133"/>
        <v>12</v>
      </c>
      <c r="L139" s="151">
        <f t="shared" si="133"/>
        <v>12</v>
      </c>
      <c r="M139" s="151">
        <f t="shared" si="133"/>
        <v>12</v>
      </c>
      <c r="N139" s="151">
        <f t="shared" si="133"/>
        <v>12</v>
      </c>
      <c r="O139" s="151">
        <f t="shared" si="133"/>
        <v>12</v>
      </c>
      <c r="P139" s="151">
        <f t="shared" si="133"/>
        <v>12</v>
      </c>
      <c r="Q139" s="151">
        <f t="shared" si="133"/>
        <v>12</v>
      </c>
      <c r="R139" s="151">
        <f t="shared" si="133"/>
        <v>12</v>
      </c>
      <c r="S139" s="151">
        <f t="shared" si="133"/>
        <v>0</v>
      </c>
      <c r="T139" s="151">
        <f t="shared" si="133"/>
        <v>0</v>
      </c>
      <c r="U139" s="151">
        <f t="shared" si="133"/>
        <v>0</v>
      </c>
      <c r="V139" s="151">
        <f t="shared" si="133"/>
        <v>0</v>
      </c>
      <c r="W139" s="151">
        <f t="shared" si="133"/>
        <v>12</v>
      </c>
      <c r="X139" s="151">
        <f t="shared" si="133"/>
        <v>0</v>
      </c>
      <c r="Y139" s="151">
        <f t="shared" si="133"/>
        <v>0</v>
      </c>
      <c r="Z139" s="151">
        <f t="shared" si="133"/>
        <v>12</v>
      </c>
      <c r="AA139" s="151">
        <f t="shared" si="133"/>
        <v>12</v>
      </c>
      <c r="AB139" s="151">
        <f t="shared" si="133"/>
        <v>12</v>
      </c>
      <c r="AC139" s="151">
        <f t="shared" si="133"/>
        <v>0</v>
      </c>
      <c r="AD139" s="151">
        <f t="shared" si="133"/>
        <v>0</v>
      </c>
      <c r="AE139" s="151">
        <f>IF(AE17=$R32,$BC32,IF(AE17=$R33,$BC33,IF(AE17=$R34,$BC34,IF(AE17=$R35,$BC35,IF(AE17=$R36,$BC36,IF(AE17=$R37,$BC37,IF(AE17=$R38,$BC38,IF(AE17=$R39,$BC39,IF(AE17=$R40,$BC40,0)))))))))</f>
        <v>0</v>
      </c>
      <c r="AF139" s="151">
        <f>IF(AF17=$R32,$BC32,IF(AF17=$R33,$BC33,IF(AF17=$R34,$BC34,IF(AF17=$R35,$BC35,IF(AF17=$R36,$BC36,IF(AF17=$R37,$BC37,IF(AF17=$R38,$BC38,IF(AF17=$R39,$BC39,IF(AF17=$R40,$BC40,0)))))))))</f>
        <v>0</v>
      </c>
      <c r="AG139" s="151">
        <f>IF(AG17=$R32,$BC32,IF(AG17=$R33,$BC33,IF(AG17=$R34,$BC34,IF(AG17=$R35,$BC35,IF(AG17=$R36,$BC36,IF(AG17=$R37,$BC37,IF(AG17=$R38,$BC38,IF(AG17=$R39,$BC39,IF(AG17=$R40,$BC40,0)))))))))</f>
        <v>0</v>
      </c>
      <c r="AH139" s="226">
        <f>SUM(C139:AG139)</f>
        <v>211.99999999999997</v>
      </c>
      <c r="AI139" s="226"/>
      <c r="AJ139" s="174" t="s">
        <v>62</v>
      </c>
      <c r="AK139" s="133" t="s">
        <v>12</v>
      </c>
      <c r="AL139" s="133"/>
    </row>
    <row r="140" spans="1:38" ht="15.95" hidden="1" customHeight="1" x14ac:dyDescent="0.25">
      <c r="A140" s="153" t="s">
        <v>48</v>
      </c>
      <c r="B140" s="149" t="s">
        <v>63</v>
      </c>
      <c r="C140" s="141" t="b">
        <f t="shared" ref="C140:AG140" si="134">IF(C46=1,IF(C135&lt;C136,C139,0))</f>
        <v>0</v>
      </c>
      <c r="D140" s="141" t="b">
        <f t="shared" si="134"/>
        <v>0</v>
      </c>
      <c r="E140" s="141" t="b">
        <f t="shared" si="134"/>
        <v>0</v>
      </c>
      <c r="F140" s="141">
        <f t="shared" si="134"/>
        <v>0</v>
      </c>
      <c r="G140" s="141">
        <f t="shared" si="134"/>
        <v>0</v>
      </c>
      <c r="H140" s="141" t="b">
        <f t="shared" si="134"/>
        <v>0</v>
      </c>
      <c r="I140" s="141" t="b">
        <f t="shared" si="134"/>
        <v>0</v>
      </c>
      <c r="J140" s="141" t="b">
        <f t="shared" si="134"/>
        <v>0</v>
      </c>
      <c r="K140" s="141" t="b">
        <f t="shared" si="134"/>
        <v>0</v>
      </c>
      <c r="L140" s="141" t="b">
        <f t="shared" si="134"/>
        <v>0</v>
      </c>
      <c r="M140" s="141">
        <f t="shared" si="134"/>
        <v>0</v>
      </c>
      <c r="N140" s="141">
        <f t="shared" si="134"/>
        <v>0</v>
      </c>
      <c r="O140" s="141" t="b">
        <f t="shared" si="134"/>
        <v>0</v>
      </c>
      <c r="P140" s="141" t="b">
        <f t="shared" si="134"/>
        <v>0</v>
      </c>
      <c r="Q140" s="141" t="b">
        <f t="shared" si="134"/>
        <v>0</v>
      </c>
      <c r="R140" s="141" t="b">
        <f t="shared" si="134"/>
        <v>0</v>
      </c>
      <c r="S140" s="141" t="b">
        <f t="shared" si="134"/>
        <v>0</v>
      </c>
      <c r="T140" s="141">
        <f t="shared" si="134"/>
        <v>0</v>
      </c>
      <c r="U140" s="141">
        <f t="shared" si="134"/>
        <v>0</v>
      </c>
      <c r="V140" s="141" t="b">
        <f t="shared" si="134"/>
        <v>0</v>
      </c>
      <c r="W140" s="141" t="b">
        <f t="shared" si="134"/>
        <v>0</v>
      </c>
      <c r="X140" s="141" t="b">
        <f t="shared" si="134"/>
        <v>0</v>
      </c>
      <c r="Y140" s="141" t="b">
        <f t="shared" si="134"/>
        <v>0</v>
      </c>
      <c r="Z140" s="141" t="b">
        <f t="shared" si="134"/>
        <v>0</v>
      </c>
      <c r="AA140" s="141">
        <f t="shared" si="134"/>
        <v>0</v>
      </c>
      <c r="AB140" s="141">
        <f t="shared" si="134"/>
        <v>0</v>
      </c>
      <c r="AC140" s="141" t="b">
        <f t="shared" si="134"/>
        <v>0</v>
      </c>
      <c r="AD140" s="141" t="b">
        <f t="shared" si="134"/>
        <v>0</v>
      </c>
      <c r="AE140" s="141" t="b">
        <f t="shared" si="134"/>
        <v>0</v>
      </c>
      <c r="AF140" s="141" t="b">
        <f t="shared" si="134"/>
        <v>0</v>
      </c>
      <c r="AG140" s="141" t="b">
        <f t="shared" si="134"/>
        <v>0</v>
      </c>
      <c r="AH140" s="154" t="s">
        <v>12</v>
      </c>
      <c r="AI140" s="133"/>
      <c r="AJ140" s="170"/>
      <c r="AK140" s="133"/>
      <c r="AL140" s="133"/>
    </row>
    <row r="141" spans="1:38" ht="15.95" hidden="1" customHeight="1" x14ac:dyDescent="0.25">
      <c r="A141" s="176"/>
      <c r="B141" s="149" t="s">
        <v>64</v>
      </c>
      <c r="C141" s="141">
        <f t="shared" ref="C141:AG141" si="135">IF(C46=1,IF(C135&gt;C136,24-C135,0),0)</f>
        <v>0</v>
      </c>
      <c r="D141" s="141">
        <f t="shared" si="135"/>
        <v>0</v>
      </c>
      <c r="E141" s="141">
        <f t="shared" si="135"/>
        <v>0</v>
      </c>
      <c r="F141" s="141">
        <f t="shared" si="135"/>
        <v>6</v>
      </c>
      <c r="G141" s="141">
        <f t="shared" si="135"/>
        <v>6</v>
      </c>
      <c r="H141" s="141">
        <f t="shared" si="135"/>
        <v>0</v>
      </c>
      <c r="I141" s="141">
        <f t="shared" si="135"/>
        <v>0</v>
      </c>
      <c r="J141" s="141">
        <f t="shared" si="135"/>
        <v>0</v>
      </c>
      <c r="K141" s="141">
        <f t="shared" si="135"/>
        <v>0</v>
      </c>
      <c r="L141" s="141">
        <f t="shared" si="135"/>
        <v>0</v>
      </c>
      <c r="M141" s="141">
        <f t="shared" si="135"/>
        <v>6</v>
      </c>
      <c r="N141" s="141">
        <f t="shared" si="135"/>
        <v>6</v>
      </c>
      <c r="O141" s="141">
        <f t="shared" si="135"/>
        <v>0</v>
      </c>
      <c r="P141" s="141">
        <f t="shared" si="135"/>
        <v>0</v>
      </c>
      <c r="Q141" s="141">
        <f t="shared" si="135"/>
        <v>0</v>
      </c>
      <c r="R141" s="141">
        <f t="shared" si="135"/>
        <v>0</v>
      </c>
      <c r="S141" s="141">
        <f t="shared" si="135"/>
        <v>0</v>
      </c>
      <c r="T141" s="141">
        <f t="shared" si="135"/>
        <v>0</v>
      </c>
      <c r="U141" s="141">
        <f t="shared" si="135"/>
        <v>0</v>
      </c>
      <c r="V141" s="141">
        <f t="shared" si="135"/>
        <v>0</v>
      </c>
      <c r="W141" s="141">
        <f t="shared" si="135"/>
        <v>0</v>
      </c>
      <c r="X141" s="141">
        <f t="shared" si="135"/>
        <v>0</v>
      </c>
      <c r="Y141" s="141">
        <f t="shared" si="135"/>
        <v>0</v>
      </c>
      <c r="Z141" s="141">
        <f t="shared" si="135"/>
        <v>0</v>
      </c>
      <c r="AA141" s="141">
        <f t="shared" si="135"/>
        <v>6</v>
      </c>
      <c r="AB141" s="141">
        <f t="shared" si="135"/>
        <v>6</v>
      </c>
      <c r="AC141" s="141">
        <f t="shared" si="135"/>
        <v>0</v>
      </c>
      <c r="AD141" s="141">
        <f t="shared" si="135"/>
        <v>0</v>
      </c>
      <c r="AE141" s="141">
        <f t="shared" si="135"/>
        <v>0</v>
      </c>
      <c r="AF141" s="141">
        <f t="shared" si="135"/>
        <v>0</v>
      </c>
      <c r="AG141" s="141">
        <f t="shared" si="135"/>
        <v>0</v>
      </c>
      <c r="AH141" s="154" t="s">
        <v>12</v>
      </c>
      <c r="AI141" s="133"/>
      <c r="AJ141" s="170"/>
      <c r="AK141" s="133"/>
      <c r="AL141" s="133"/>
    </row>
    <row r="142" spans="1:38" ht="15.95" hidden="1" customHeight="1" x14ac:dyDescent="0.25">
      <c r="A142" s="176"/>
      <c r="B142" s="149" t="s">
        <v>65</v>
      </c>
      <c r="C142" s="141">
        <f t="shared" ref="C142:AG142" si="136">IF(D46=1,IF(C135&gt;C136,C136,0),0)</f>
        <v>0</v>
      </c>
      <c r="D142" s="141">
        <f t="shared" si="136"/>
        <v>0</v>
      </c>
      <c r="E142" s="141">
        <f t="shared" si="136"/>
        <v>6</v>
      </c>
      <c r="F142" s="141">
        <f t="shared" si="136"/>
        <v>6</v>
      </c>
      <c r="G142" s="141">
        <f t="shared" si="136"/>
        <v>0</v>
      </c>
      <c r="H142" s="141">
        <f t="shared" si="136"/>
        <v>0</v>
      </c>
      <c r="I142" s="141">
        <f t="shared" si="136"/>
        <v>0</v>
      </c>
      <c r="J142" s="141">
        <f t="shared" si="136"/>
        <v>0</v>
      </c>
      <c r="K142" s="141">
        <f t="shared" si="136"/>
        <v>0</v>
      </c>
      <c r="L142" s="141">
        <f t="shared" si="136"/>
        <v>6</v>
      </c>
      <c r="M142" s="141">
        <f t="shared" si="136"/>
        <v>6</v>
      </c>
      <c r="N142" s="141">
        <f t="shared" si="136"/>
        <v>0</v>
      </c>
      <c r="O142" s="141">
        <f t="shared" si="136"/>
        <v>0</v>
      </c>
      <c r="P142" s="141">
        <f t="shared" si="136"/>
        <v>0</v>
      </c>
      <c r="Q142" s="141">
        <f t="shared" si="136"/>
        <v>0</v>
      </c>
      <c r="R142" s="141">
        <f t="shared" si="136"/>
        <v>0</v>
      </c>
      <c r="S142" s="141">
        <f t="shared" si="136"/>
        <v>0</v>
      </c>
      <c r="T142" s="141">
        <f t="shared" si="136"/>
        <v>0</v>
      </c>
      <c r="U142" s="141">
        <f t="shared" si="136"/>
        <v>0</v>
      </c>
      <c r="V142" s="141">
        <f t="shared" si="136"/>
        <v>0</v>
      </c>
      <c r="W142" s="141">
        <f t="shared" si="136"/>
        <v>0</v>
      </c>
      <c r="X142" s="141">
        <f>IF(Y46=1,IF(X135&gt;X136,X136,0),0)</f>
        <v>0</v>
      </c>
      <c r="Y142" s="141">
        <f t="shared" si="136"/>
        <v>0</v>
      </c>
      <c r="Z142" s="141">
        <f t="shared" si="136"/>
        <v>6</v>
      </c>
      <c r="AA142" s="141">
        <f t="shared" si="136"/>
        <v>6</v>
      </c>
      <c r="AB142" s="141">
        <f t="shared" si="136"/>
        <v>0</v>
      </c>
      <c r="AC142" s="141">
        <f t="shared" si="136"/>
        <v>0</v>
      </c>
      <c r="AD142" s="141">
        <f t="shared" si="136"/>
        <v>0</v>
      </c>
      <c r="AE142" s="141">
        <f t="shared" si="136"/>
        <v>0</v>
      </c>
      <c r="AF142" s="141">
        <f t="shared" si="136"/>
        <v>0</v>
      </c>
      <c r="AG142" s="141">
        <f t="shared" si="136"/>
        <v>0</v>
      </c>
      <c r="AH142" s="154" t="s">
        <v>12</v>
      </c>
      <c r="AI142" s="133"/>
      <c r="AJ142" s="170"/>
      <c r="AK142" s="133"/>
      <c r="AL142" s="133"/>
    </row>
    <row r="143" spans="1:38" ht="15.95" hidden="1" customHeight="1" x14ac:dyDescent="0.25">
      <c r="A143" s="176"/>
      <c r="B143" s="149" t="s">
        <v>67</v>
      </c>
      <c r="C143" s="171">
        <f>SUM(C140:C142)</f>
        <v>0</v>
      </c>
      <c r="D143" s="171">
        <f t="shared" ref="D143:AG143" si="137">SUM(D140:D142)</f>
        <v>0</v>
      </c>
      <c r="E143" s="171">
        <f t="shared" si="137"/>
        <v>6</v>
      </c>
      <c r="F143" s="171">
        <f t="shared" si="137"/>
        <v>12</v>
      </c>
      <c r="G143" s="171">
        <f t="shared" si="137"/>
        <v>6</v>
      </c>
      <c r="H143" s="171">
        <f t="shared" si="137"/>
        <v>0</v>
      </c>
      <c r="I143" s="171">
        <f t="shared" si="137"/>
        <v>0</v>
      </c>
      <c r="J143" s="171">
        <f t="shared" si="137"/>
        <v>0</v>
      </c>
      <c r="K143" s="171">
        <f t="shared" si="137"/>
        <v>0</v>
      </c>
      <c r="L143" s="171">
        <f t="shared" si="137"/>
        <v>6</v>
      </c>
      <c r="M143" s="171">
        <f t="shared" si="137"/>
        <v>12</v>
      </c>
      <c r="N143" s="171">
        <f t="shared" si="137"/>
        <v>6</v>
      </c>
      <c r="O143" s="171">
        <f t="shared" si="137"/>
        <v>0</v>
      </c>
      <c r="P143" s="171">
        <f t="shared" si="137"/>
        <v>0</v>
      </c>
      <c r="Q143" s="171">
        <f t="shared" si="137"/>
        <v>0</v>
      </c>
      <c r="R143" s="171">
        <f t="shared" si="137"/>
        <v>0</v>
      </c>
      <c r="S143" s="171">
        <f t="shared" si="137"/>
        <v>0</v>
      </c>
      <c r="T143" s="171">
        <f t="shared" si="137"/>
        <v>0</v>
      </c>
      <c r="U143" s="171">
        <f t="shared" si="137"/>
        <v>0</v>
      </c>
      <c r="V143" s="171">
        <f t="shared" si="137"/>
        <v>0</v>
      </c>
      <c r="W143" s="171">
        <f t="shared" si="137"/>
        <v>0</v>
      </c>
      <c r="X143" s="171">
        <f t="shared" si="137"/>
        <v>0</v>
      </c>
      <c r="Y143" s="171">
        <f t="shared" si="137"/>
        <v>0</v>
      </c>
      <c r="Z143" s="171">
        <f t="shared" si="137"/>
        <v>6</v>
      </c>
      <c r="AA143" s="171">
        <f t="shared" si="137"/>
        <v>12</v>
      </c>
      <c r="AB143" s="171">
        <f t="shared" si="137"/>
        <v>6</v>
      </c>
      <c r="AC143" s="171">
        <f t="shared" si="137"/>
        <v>0</v>
      </c>
      <c r="AD143" s="171">
        <f t="shared" si="137"/>
        <v>0</v>
      </c>
      <c r="AE143" s="171">
        <f t="shared" si="137"/>
        <v>0</v>
      </c>
      <c r="AF143" s="171">
        <f t="shared" si="137"/>
        <v>0</v>
      </c>
      <c r="AG143" s="171">
        <f t="shared" si="137"/>
        <v>0</v>
      </c>
      <c r="AH143" s="154" t="s">
        <v>12</v>
      </c>
      <c r="AI143" s="133"/>
      <c r="AJ143" s="170"/>
      <c r="AK143" s="133"/>
      <c r="AL143" s="133"/>
    </row>
    <row r="144" spans="1:38" ht="15.95" hidden="1" customHeight="1" x14ac:dyDescent="0.25">
      <c r="A144" s="177"/>
      <c r="B144" s="160" t="s">
        <v>68</v>
      </c>
      <c r="C144" s="161">
        <f t="shared" ref="C144:AG144" si="138">IF(C17="V",IF(C17="",0,1),0)</f>
        <v>0</v>
      </c>
      <c r="D144" s="161">
        <f t="shared" si="138"/>
        <v>0</v>
      </c>
      <c r="E144" s="161">
        <f t="shared" si="138"/>
        <v>0</v>
      </c>
      <c r="F144" s="161">
        <f t="shared" si="138"/>
        <v>0</v>
      </c>
      <c r="G144" s="161">
        <f t="shared" si="138"/>
        <v>0</v>
      </c>
      <c r="H144" s="161">
        <f t="shared" si="138"/>
        <v>0</v>
      </c>
      <c r="I144" s="161">
        <f t="shared" si="138"/>
        <v>0</v>
      </c>
      <c r="J144" s="161">
        <f t="shared" si="138"/>
        <v>0</v>
      </c>
      <c r="K144" s="161">
        <f t="shared" si="138"/>
        <v>0</v>
      </c>
      <c r="L144" s="161">
        <f t="shared" si="138"/>
        <v>0</v>
      </c>
      <c r="M144" s="161">
        <f t="shared" si="138"/>
        <v>0</v>
      </c>
      <c r="N144" s="161">
        <f t="shared" si="138"/>
        <v>0</v>
      </c>
      <c r="O144" s="161">
        <f t="shared" si="138"/>
        <v>0</v>
      </c>
      <c r="P144" s="161">
        <f t="shared" si="138"/>
        <v>0</v>
      </c>
      <c r="Q144" s="161">
        <f t="shared" si="138"/>
        <v>0</v>
      </c>
      <c r="R144" s="161">
        <f t="shared" si="138"/>
        <v>0</v>
      </c>
      <c r="S144" s="161">
        <f t="shared" si="138"/>
        <v>0</v>
      </c>
      <c r="T144" s="161">
        <f t="shared" si="138"/>
        <v>0</v>
      </c>
      <c r="U144" s="161">
        <f t="shared" si="138"/>
        <v>0</v>
      </c>
      <c r="V144" s="161">
        <f t="shared" si="138"/>
        <v>0</v>
      </c>
      <c r="W144" s="161">
        <f t="shared" si="138"/>
        <v>0</v>
      </c>
      <c r="X144" s="161">
        <f t="shared" si="138"/>
        <v>0</v>
      </c>
      <c r="Y144" s="161">
        <f t="shared" si="138"/>
        <v>0</v>
      </c>
      <c r="Z144" s="161">
        <f t="shared" si="138"/>
        <v>0</v>
      </c>
      <c r="AA144" s="161">
        <f t="shared" si="138"/>
        <v>0</v>
      </c>
      <c r="AB144" s="161">
        <f t="shared" si="138"/>
        <v>0</v>
      </c>
      <c r="AC144" s="161">
        <f t="shared" si="138"/>
        <v>0</v>
      </c>
      <c r="AD144" s="161">
        <f t="shared" si="138"/>
        <v>0</v>
      </c>
      <c r="AE144" s="161">
        <f t="shared" si="138"/>
        <v>0</v>
      </c>
      <c r="AF144" s="161">
        <f t="shared" si="138"/>
        <v>0</v>
      </c>
      <c r="AG144" s="161">
        <f t="shared" si="138"/>
        <v>0</v>
      </c>
      <c r="AH144" s="154" t="s">
        <v>12</v>
      </c>
      <c r="AI144" s="133"/>
      <c r="AJ144" s="170"/>
      <c r="AK144" s="133"/>
      <c r="AL144" s="133"/>
    </row>
    <row r="145" spans="1:38" ht="15.95" hidden="1" customHeight="1" x14ac:dyDescent="0.25">
      <c r="A145" s="180"/>
      <c r="B145" s="181" t="s">
        <v>16</v>
      </c>
      <c r="C145" s="182">
        <f t="shared" ref="C145:AG145" si="139">IF(C17="PR",IF(C17="",0,1),0)</f>
        <v>0</v>
      </c>
      <c r="D145" s="182">
        <f t="shared" si="139"/>
        <v>0</v>
      </c>
      <c r="E145" s="182">
        <f t="shared" si="139"/>
        <v>0</v>
      </c>
      <c r="F145" s="182">
        <f t="shared" si="139"/>
        <v>0</v>
      </c>
      <c r="G145" s="182">
        <f t="shared" si="139"/>
        <v>0</v>
      </c>
      <c r="H145" s="182">
        <f t="shared" si="139"/>
        <v>0</v>
      </c>
      <c r="I145" s="182">
        <f t="shared" si="139"/>
        <v>0</v>
      </c>
      <c r="J145" s="182">
        <f t="shared" si="139"/>
        <v>0</v>
      </c>
      <c r="K145" s="182">
        <f t="shared" si="139"/>
        <v>0</v>
      </c>
      <c r="L145" s="182">
        <f t="shared" si="139"/>
        <v>0</v>
      </c>
      <c r="M145" s="182">
        <f t="shared" si="139"/>
        <v>0</v>
      </c>
      <c r="N145" s="182">
        <f t="shared" si="139"/>
        <v>0</v>
      </c>
      <c r="O145" s="182">
        <f t="shared" si="139"/>
        <v>0</v>
      </c>
      <c r="P145" s="182">
        <f t="shared" si="139"/>
        <v>0</v>
      </c>
      <c r="Q145" s="182">
        <f t="shared" si="139"/>
        <v>0</v>
      </c>
      <c r="R145" s="182">
        <f t="shared" si="139"/>
        <v>0</v>
      </c>
      <c r="S145" s="182">
        <f t="shared" si="139"/>
        <v>0</v>
      </c>
      <c r="T145" s="182">
        <f t="shared" si="139"/>
        <v>0</v>
      </c>
      <c r="U145" s="182">
        <f t="shared" si="139"/>
        <v>0</v>
      </c>
      <c r="V145" s="182">
        <f t="shared" si="139"/>
        <v>0</v>
      </c>
      <c r="W145" s="182">
        <f t="shared" si="139"/>
        <v>0</v>
      </c>
      <c r="X145" s="182">
        <f t="shared" si="139"/>
        <v>0</v>
      </c>
      <c r="Y145" s="182">
        <f t="shared" si="139"/>
        <v>0</v>
      </c>
      <c r="Z145" s="182">
        <f t="shared" si="139"/>
        <v>0</v>
      </c>
      <c r="AA145" s="182">
        <f t="shared" si="139"/>
        <v>0</v>
      </c>
      <c r="AB145" s="182">
        <f t="shared" si="139"/>
        <v>0</v>
      </c>
      <c r="AC145" s="182">
        <f t="shared" si="139"/>
        <v>0</v>
      </c>
      <c r="AD145" s="182">
        <f t="shared" si="139"/>
        <v>0</v>
      </c>
      <c r="AE145" s="182">
        <f t="shared" si="139"/>
        <v>0</v>
      </c>
      <c r="AF145" s="182">
        <f t="shared" si="139"/>
        <v>0</v>
      </c>
      <c r="AG145" s="182">
        <f t="shared" si="139"/>
        <v>0</v>
      </c>
      <c r="AH145" s="227">
        <f>SUM(C145:AG145)</f>
        <v>0</v>
      </c>
      <c r="AI145" s="227"/>
      <c r="AJ145" s="174" t="s">
        <v>69</v>
      </c>
      <c r="AK145" s="133"/>
      <c r="AL145" s="133"/>
    </row>
    <row r="146" spans="1:38" ht="15.95" hidden="1" customHeight="1" x14ac:dyDescent="0.25">
      <c r="A146" s="164" t="s">
        <v>87</v>
      </c>
      <c r="B146" s="165" t="s">
        <v>29</v>
      </c>
      <c r="C146" s="141">
        <f t="shared" ref="C146:AG146" si="140">IF(C18=$R32,$S32*24,IF(C18=$R33,$S33*24,IF(C18=$R34,$S34*24,IF(C18=$R35,$S35*24,IF(C18=$R36,$S36*24,IF(C18=$R37,$S37*24,IF(C18=$R38,$S38*24,IF(C18=$R39,$S39*24,IF(C18=$R40,$S40*24,"")))))))))</f>
        <v>22</v>
      </c>
      <c r="D146" s="141" t="str">
        <f t="shared" si="140"/>
        <v/>
      </c>
      <c r="E146" s="141">
        <f t="shared" si="140"/>
        <v>22</v>
      </c>
      <c r="F146" s="141">
        <f t="shared" si="140"/>
        <v>22</v>
      </c>
      <c r="G146" s="141">
        <f t="shared" si="140"/>
        <v>22</v>
      </c>
      <c r="H146" s="141">
        <f t="shared" si="140"/>
        <v>22</v>
      </c>
      <c r="I146" s="141" t="str">
        <f t="shared" si="140"/>
        <v/>
      </c>
      <c r="J146" s="141">
        <f t="shared" si="140"/>
        <v>22</v>
      </c>
      <c r="K146" s="141">
        <f t="shared" si="140"/>
        <v>22</v>
      </c>
      <c r="L146" s="141">
        <f t="shared" si="140"/>
        <v>22</v>
      </c>
      <c r="M146" s="141">
        <f t="shared" si="140"/>
        <v>22</v>
      </c>
      <c r="N146" s="141">
        <f t="shared" si="140"/>
        <v>22</v>
      </c>
      <c r="O146" s="141">
        <f t="shared" si="140"/>
        <v>22</v>
      </c>
      <c r="P146" s="141">
        <f t="shared" si="140"/>
        <v>22</v>
      </c>
      <c r="Q146" s="141">
        <f t="shared" si="140"/>
        <v>22</v>
      </c>
      <c r="R146" s="141" t="str">
        <f t="shared" si="140"/>
        <v/>
      </c>
      <c r="S146" s="141">
        <f t="shared" si="140"/>
        <v>22</v>
      </c>
      <c r="T146" s="141">
        <f t="shared" si="140"/>
        <v>22</v>
      </c>
      <c r="U146" s="141">
        <f t="shared" si="140"/>
        <v>22</v>
      </c>
      <c r="V146" s="141">
        <f t="shared" si="140"/>
        <v>22</v>
      </c>
      <c r="W146" s="141">
        <f t="shared" si="140"/>
        <v>22</v>
      </c>
      <c r="X146" s="141">
        <f t="shared" si="140"/>
        <v>22</v>
      </c>
      <c r="Y146" s="141">
        <f t="shared" si="140"/>
        <v>22</v>
      </c>
      <c r="Z146" s="141" t="str">
        <f t="shared" si="140"/>
        <v/>
      </c>
      <c r="AA146" s="141" t="str">
        <f t="shared" si="140"/>
        <v/>
      </c>
      <c r="AB146" s="141" t="str">
        <f t="shared" si="140"/>
        <v/>
      </c>
      <c r="AC146" s="141">
        <f t="shared" si="140"/>
        <v>22</v>
      </c>
      <c r="AD146" s="141">
        <f t="shared" si="140"/>
        <v>22</v>
      </c>
      <c r="AE146" s="141" t="str">
        <f t="shared" si="140"/>
        <v/>
      </c>
      <c r="AF146" s="141" t="str">
        <f t="shared" si="140"/>
        <v/>
      </c>
      <c r="AG146" s="141" t="str">
        <f t="shared" si="140"/>
        <v/>
      </c>
      <c r="AH146" s="154" t="s">
        <v>12</v>
      </c>
      <c r="AI146" s="133"/>
      <c r="AJ146" s="170"/>
      <c r="AK146" s="133"/>
      <c r="AL146" s="133"/>
    </row>
    <row r="147" spans="1:38" ht="15.95" hidden="1" customHeight="1" x14ac:dyDescent="0.25">
      <c r="A147" s="166" t="s">
        <v>88</v>
      </c>
      <c r="B147" s="167" t="s">
        <v>30</v>
      </c>
      <c r="C147" s="141">
        <f t="shared" ref="C147:AG147" si="141">IF(C18=$R32,$V32*24,IF(C18=$R33,$V33*24,IF(C18=$R34,$V34*24,IF(C18=$R35,$V35*24,IF(C18=$R36,$V36*24,IF(C18=$R37,$V37*24,IF(C18=$R38,$V38*24,IF(C18=$R39,$V39*24,IF(C18=$R40,$V40*24,"")))))))))</f>
        <v>6</v>
      </c>
      <c r="D147" s="141" t="str">
        <f t="shared" si="141"/>
        <v/>
      </c>
      <c r="E147" s="141">
        <f t="shared" si="141"/>
        <v>6</v>
      </c>
      <c r="F147" s="141">
        <f t="shared" si="141"/>
        <v>6</v>
      </c>
      <c r="G147" s="141">
        <f t="shared" si="141"/>
        <v>6</v>
      </c>
      <c r="H147" s="141">
        <f t="shared" si="141"/>
        <v>6</v>
      </c>
      <c r="I147" s="141" t="str">
        <f t="shared" si="141"/>
        <v/>
      </c>
      <c r="J147" s="141">
        <f t="shared" si="141"/>
        <v>6</v>
      </c>
      <c r="K147" s="141">
        <f t="shared" si="141"/>
        <v>6</v>
      </c>
      <c r="L147" s="141">
        <f t="shared" si="141"/>
        <v>6</v>
      </c>
      <c r="M147" s="141">
        <f t="shared" si="141"/>
        <v>6</v>
      </c>
      <c r="N147" s="141">
        <f t="shared" si="141"/>
        <v>6</v>
      </c>
      <c r="O147" s="141">
        <f t="shared" si="141"/>
        <v>6</v>
      </c>
      <c r="P147" s="141">
        <f t="shared" si="141"/>
        <v>6</v>
      </c>
      <c r="Q147" s="141">
        <f t="shared" si="141"/>
        <v>6</v>
      </c>
      <c r="R147" s="141" t="str">
        <f t="shared" si="141"/>
        <v/>
      </c>
      <c r="S147" s="141">
        <f t="shared" si="141"/>
        <v>6</v>
      </c>
      <c r="T147" s="141">
        <f t="shared" si="141"/>
        <v>6</v>
      </c>
      <c r="U147" s="141">
        <f t="shared" si="141"/>
        <v>6</v>
      </c>
      <c r="V147" s="141">
        <f t="shared" si="141"/>
        <v>6</v>
      </c>
      <c r="W147" s="141">
        <f t="shared" si="141"/>
        <v>6</v>
      </c>
      <c r="X147" s="141">
        <f t="shared" si="141"/>
        <v>6</v>
      </c>
      <c r="Y147" s="141">
        <f t="shared" si="141"/>
        <v>6</v>
      </c>
      <c r="Z147" s="141" t="str">
        <f t="shared" si="141"/>
        <v/>
      </c>
      <c r="AA147" s="141" t="str">
        <f t="shared" si="141"/>
        <v/>
      </c>
      <c r="AB147" s="141" t="str">
        <f t="shared" si="141"/>
        <v/>
      </c>
      <c r="AC147" s="141">
        <f t="shared" si="141"/>
        <v>6</v>
      </c>
      <c r="AD147" s="141">
        <f t="shared" si="141"/>
        <v>6</v>
      </c>
      <c r="AE147" s="141" t="str">
        <f t="shared" si="141"/>
        <v/>
      </c>
      <c r="AF147" s="141" t="str">
        <f t="shared" si="141"/>
        <v/>
      </c>
      <c r="AG147" s="141" t="str">
        <f t="shared" si="141"/>
        <v/>
      </c>
      <c r="AH147" s="154" t="s">
        <v>12</v>
      </c>
      <c r="AI147" s="133"/>
      <c r="AJ147" s="170"/>
      <c r="AK147" s="133"/>
      <c r="AL147" s="133"/>
    </row>
    <row r="148" spans="1:38" ht="15.95" hidden="1" customHeight="1" x14ac:dyDescent="0.25">
      <c r="A148" s="153"/>
      <c r="B148" s="168" t="s">
        <v>34</v>
      </c>
      <c r="C148" s="169">
        <f t="shared" ref="C148:AD148" si="142">IF(C18=$R32,$BD32*24,IF(C18=$R33,$BD33*24,IF(C18=$R34,$BD34*24,IF(C18=$R35,$BD35*24,IF(C18=$R36,$BD36*24,IF(C18=$R37,$BD37*24,IF(C18=$R38,$BD38*24,IF(C18=$R39,$BD39*24,IF(C18=$R40,$BD40*24,"")))))))))</f>
        <v>8</v>
      </c>
      <c r="D148" s="169" t="str">
        <f t="shared" si="142"/>
        <v/>
      </c>
      <c r="E148" s="169">
        <f t="shared" si="142"/>
        <v>8</v>
      </c>
      <c r="F148" s="169">
        <f t="shared" si="142"/>
        <v>8</v>
      </c>
      <c r="G148" s="169">
        <f t="shared" si="142"/>
        <v>8</v>
      </c>
      <c r="H148" s="169">
        <f t="shared" si="142"/>
        <v>8</v>
      </c>
      <c r="I148" s="169" t="str">
        <f t="shared" si="142"/>
        <v/>
      </c>
      <c r="J148" s="169">
        <f t="shared" si="142"/>
        <v>8</v>
      </c>
      <c r="K148" s="169">
        <f t="shared" si="142"/>
        <v>8</v>
      </c>
      <c r="L148" s="169">
        <f t="shared" si="142"/>
        <v>8</v>
      </c>
      <c r="M148" s="169">
        <f t="shared" si="142"/>
        <v>8</v>
      </c>
      <c r="N148" s="169">
        <f t="shared" si="142"/>
        <v>8</v>
      </c>
      <c r="O148" s="169">
        <f t="shared" si="142"/>
        <v>8</v>
      </c>
      <c r="P148" s="169">
        <f t="shared" si="142"/>
        <v>8</v>
      </c>
      <c r="Q148" s="169">
        <f t="shared" si="142"/>
        <v>8</v>
      </c>
      <c r="R148" s="169" t="str">
        <f t="shared" si="142"/>
        <v/>
      </c>
      <c r="S148" s="169">
        <f t="shared" si="142"/>
        <v>8</v>
      </c>
      <c r="T148" s="169">
        <f t="shared" si="142"/>
        <v>8</v>
      </c>
      <c r="U148" s="169">
        <f t="shared" si="142"/>
        <v>8</v>
      </c>
      <c r="V148" s="169">
        <f t="shared" si="142"/>
        <v>8</v>
      </c>
      <c r="W148" s="169">
        <f t="shared" si="142"/>
        <v>8</v>
      </c>
      <c r="X148" s="169">
        <f t="shared" si="142"/>
        <v>8</v>
      </c>
      <c r="Y148" s="169">
        <f t="shared" si="142"/>
        <v>8</v>
      </c>
      <c r="Z148" s="169" t="str">
        <f t="shared" si="142"/>
        <v/>
      </c>
      <c r="AA148" s="169" t="str">
        <f t="shared" si="142"/>
        <v/>
      </c>
      <c r="AB148" s="169" t="str">
        <f t="shared" si="142"/>
        <v/>
      </c>
      <c r="AC148" s="169">
        <f t="shared" si="142"/>
        <v>8</v>
      </c>
      <c r="AD148" s="169">
        <f t="shared" si="142"/>
        <v>8</v>
      </c>
      <c r="AE148" s="169" t="str">
        <f>IF(AE18=$R32,$BD32*24,IF(AE18=$R33,$BD33*24,IF(AE18=$R34,$BD34*24,IF(AE18=$R35,$BD35*24,IF(AE18=$R36,$BD36*24,IF(AE18=$R37,$BD37*24,IF(AE18=$R38,$BD38*24,IF(AE18=$R39,$BD39*24,IF(AE18=$R40,$BD40*24,"")))))))))</f>
        <v/>
      </c>
      <c r="AF148" s="169" t="str">
        <f>IF(AF18=$R32,$BD32*24,IF(AF18=$R33,$BD33*24,IF(AF18=$R34,$BD34*24,IF(AF18=$R35,$BD35*24,IF(AF18=$R36,$BD36*24,IF(AF18=$R37,$BD37*24,IF(AF18=$R38,$BD38*24,IF(AF18=$R39,$BD39*24,IF(AF18=$R40,$BD40*24,"")))))))))</f>
        <v/>
      </c>
      <c r="AG148" s="169" t="str">
        <f>IF(AG18=$R32,$BD32*24,IF(AG18=$R33,$BD33*24,IF(AG18=$R34,$BD34*24,IF(AG18=$R35,$BD35*24,IF(AG18=$R36,$BD36*24,IF(AG18=$R37,$BD37*24,IF(AG18=$R38,$BD38*24,IF(AG18=$R39,$BD39*24,IF(AG18=$R40,$BD40*24,"")))))))))</f>
        <v/>
      </c>
      <c r="AH148" s="148">
        <f>SUM(C148:AG148)</f>
        <v>176</v>
      </c>
      <c r="AI148" s="133"/>
      <c r="AJ148" s="170"/>
      <c r="AK148" s="133"/>
      <c r="AL148" s="133"/>
    </row>
    <row r="149" spans="1:38" ht="15.95" hidden="1" customHeight="1" x14ac:dyDescent="0.25">
      <c r="A149" s="153"/>
      <c r="B149" s="167" t="s">
        <v>59</v>
      </c>
      <c r="C149" s="141">
        <f t="shared" ref="C149:AG149" si="143">IF(C18="V",$C36,IF(C18="PR",$C38,0))</f>
        <v>0</v>
      </c>
      <c r="D149" s="141">
        <f t="shared" si="143"/>
        <v>0</v>
      </c>
      <c r="E149" s="141">
        <f t="shared" si="143"/>
        <v>0</v>
      </c>
      <c r="F149" s="141">
        <f t="shared" si="143"/>
        <v>0</v>
      </c>
      <c r="G149" s="141">
        <f t="shared" si="143"/>
        <v>0</v>
      </c>
      <c r="H149" s="141">
        <f t="shared" si="143"/>
        <v>0</v>
      </c>
      <c r="I149" s="141">
        <f t="shared" si="143"/>
        <v>0</v>
      </c>
      <c r="J149" s="141">
        <f t="shared" si="143"/>
        <v>0</v>
      </c>
      <c r="K149" s="141">
        <f t="shared" si="143"/>
        <v>0</v>
      </c>
      <c r="L149" s="141">
        <f t="shared" si="143"/>
        <v>0</v>
      </c>
      <c r="M149" s="141">
        <f t="shared" si="143"/>
        <v>0</v>
      </c>
      <c r="N149" s="141">
        <f t="shared" si="143"/>
        <v>0</v>
      </c>
      <c r="O149" s="141">
        <f t="shared" si="143"/>
        <v>0</v>
      </c>
      <c r="P149" s="141">
        <f t="shared" si="143"/>
        <v>0</v>
      </c>
      <c r="Q149" s="141">
        <f t="shared" si="143"/>
        <v>0</v>
      </c>
      <c r="R149" s="141">
        <f t="shared" si="143"/>
        <v>0</v>
      </c>
      <c r="S149" s="141">
        <f t="shared" si="143"/>
        <v>0</v>
      </c>
      <c r="T149" s="141">
        <f t="shared" si="143"/>
        <v>0</v>
      </c>
      <c r="U149" s="141">
        <f t="shared" si="143"/>
        <v>0</v>
      </c>
      <c r="V149" s="141">
        <f t="shared" si="143"/>
        <v>0</v>
      </c>
      <c r="W149" s="141">
        <f t="shared" si="143"/>
        <v>0</v>
      </c>
      <c r="X149" s="141">
        <f t="shared" si="143"/>
        <v>0</v>
      </c>
      <c r="Y149" s="141">
        <f t="shared" si="143"/>
        <v>0</v>
      </c>
      <c r="Z149" s="141">
        <f t="shared" si="143"/>
        <v>0</v>
      </c>
      <c r="AA149" s="141">
        <f t="shared" si="143"/>
        <v>0</v>
      </c>
      <c r="AB149" s="141">
        <f t="shared" si="143"/>
        <v>0</v>
      </c>
      <c r="AC149" s="141">
        <f t="shared" si="143"/>
        <v>0</v>
      </c>
      <c r="AD149" s="141">
        <f t="shared" si="143"/>
        <v>0</v>
      </c>
      <c r="AE149" s="141">
        <f t="shared" si="143"/>
        <v>0</v>
      </c>
      <c r="AF149" s="141">
        <f t="shared" si="143"/>
        <v>0</v>
      </c>
      <c r="AG149" s="141">
        <f t="shared" si="143"/>
        <v>0</v>
      </c>
      <c r="AH149" s="226">
        <f>SUM(C149:AG149)</f>
        <v>0</v>
      </c>
      <c r="AI149" s="226"/>
      <c r="AJ149" s="230">
        <f>SUM(AH94+AH105+AH116+AH127+AH138+AH149)</f>
        <v>156.6</v>
      </c>
      <c r="AK149" s="230"/>
      <c r="AL149" s="133" t="s">
        <v>56</v>
      </c>
    </row>
    <row r="150" spans="1:38" ht="15.95" hidden="1" customHeight="1" x14ac:dyDescent="0.25">
      <c r="A150" s="150" t="s">
        <v>60</v>
      </c>
      <c r="B150" s="167" t="s">
        <v>61</v>
      </c>
      <c r="C150" s="151">
        <f t="shared" ref="C150:AD150" si="144">IF(C18=$R32,$BC32,IF(C18=$R33,$BC33,IF(C18=$R34,$BC34,IF(C18=$R35,$BC35,IF(C18=$R36,$BC36,IF(C18=$R37,$BC37,IF(C18=$R38,$BC38,IF(C18=$R39,$BC39,IF(C18=$R40,$BC40,0)))))))))</f>
        <v>7.9999999999999716</v>
      </c>
      <c r="D150" s="151">
        <f t="shared" si="144"/>
        <v>0</v>
      </c>
      <c r="E150" s="151">
        <f t="shared" si="144"/>
        <v>7.9999999999999716</v>
      </c>
      <c r="F150" s="151">
        <f t="shared" si="144"/>
        <v>7.9999999999999716</v>
      </c>
      <c r="G150" s="151">
        <f t="shared" si="144"/>
        <v>7.9999999999999716</v>
      </c>
      <c r="H150" s="151">
        <f t="shared" si="144"/>
        <v>7.9999999999999716</v>
      </c>
      <c r="I150" s="151">
        <f t="shared" si="144"/>
        <v>0</v>
      </c>
      <c r="J150" s="151">
        <f t="shared" si="144"/>
        <v>7.9999999999999716</v>
      </c>
      <c r="K150" s="151">
        <f t="shared" si="144"/>
        <v>7.9999999999999716</v>
      </c>
      <c r="L150" s="151">
        <f t="shared" si="144"/>
        <v>7.9999999999999716</v>
      </c>
      <c r="M150" s="151">
        <f t="shared" si="144"/>
        <v>7.9999999999999716</v>
      </c>
      <c r="N150" s="151">
        <f t="shared" si="144"/>
        <v>7.9999999999999716</v>
      </c>
      <c r="O150" s="151">
        <f t="shared" si="144"/>
        <v>7.9999999999999716</v>
      </c>
      <c r="P150" s="151">
        <f t="shared" si="144"/>
        <v>7.9999999999999716</v>
      </c>
      <c r="Q150" s="151">
        <f t="shared" si="144"/>
        <v>7.9999999999999716</v>
      </c>
      <c r="R150" s="151">
        <f t="shared" si="144"/>
        <v>0</v>
      </c>
      <c r="S150" s="151">
        <f t="shared" si="144"/>
        <v>7.9999999999999716</v>
      </c>
      <c r="T150" s="151">
        <f t="shared" si="144"/>
        <v>7.9999999999999716</v>
      </c>
      <c r="U150" s="151">
        <f t="shared" si="144"/>
        <v>7.9999999999999716</v>
      </c>
      <c r="V150" s="151">
        <f t="shared" si="144"/>
        <v>7.9999999999999716</v>
      </c>
      <c r="W150" s="151">
        <f t="shared" si="144"/>
        <v>7.9999999999999716</v>
      </c>
      <c r="X150" s="151">
        <f t="shared" si="144"/>
        <v>7.9999999999999716</v>
      </c>
      <c r="Y150" s="151">
        <f t="shared" si="144"/>
        <v>7.9999999999999716</v>
      </c>
      <c r="Z150" s="151">
        <f t="shared" si="144"/>
        <v>0</v>
      </c>
      <c r="AA150" s="151">
        <f t="shared" si="144"/>
        <v>0</v>
      </c>
      <c r="AB150" s="151">
        <f t="shared" si="144"/>
        <v>0</v>
      </c>
      <c r="AC150" s="151">
        <f t="shared" si="144"/>
        <v>7.9999999999999716</v>
      </c>
      <c r="AD150" s="151">
        <f t="shared" si="144"/>
        <v>7.9999999999999716</v>
      </c>
      <c r="AE150" s="151">
        <f>IF(AE18=$R32,$BC32,IF(AE18=$R33,$BC33,IF(AE18=$R34,$BC34,IF(AE18=$R35,$BC35,IF(AE18=$R36,$BC36,IF(AE18=$R37,$BC37,IF(AE18=$R38,$BC38,IF(AE18=$R39,$BC39,IF(AE18=$R40,$BC40,0)))))))))</f>
        <v>0</v>
      </c>
      <c r="AF150" s="151">
        <f>IF(AF18=$R32,$BC32,IF(AF18=$R33,$BC33,IF(AF18=$R34,$BC34,IF(AF18=$R35,$BC35,IF(AF18=$R36,$BC36,IF(AF18=$R37,$BC37,IF(AF18=$R38,$BC38,IF(AF18=$R39,$BC39,IF(AF18=$R40,$BC40,0)))))))))</f>
        <v>0</v>
      </c>
      <c r="AG150" s="151">
        <f>IF(AG18=$R32,$BC32,IF(AG18=$R33,$BC33,IF(AG18=$R34,$BC34,IF(AG18=$R35,$BC35,IF(AG18=$R36,$BC36,IF(AG18=$R37,$BC37,IF(AG18=$R38,$BC38,IF(AG18=$R39,$BC39,IF(AG18=$R40,$BC40,0)))))))))</f>
        <v>0</v>
      </c>
      <c r="AH150" s="226">
        <f>SUM(C150:AG150)</f>
        <v>175.99999999999937</v>
      </c>
      <c r="AI150" s="226"/>
      <c r="AJ150" s="174" t="s">
        <v>62</v>
      </c>
      <c r="AK150" s="133" t="s">
        <v>12</v>
      </c>
      <c r="AL150" s="133"/>
    </row>
    <row r="151" spans="1:38" ht="15.95" hidden="1" customHeight="1" x14ac:dyDescent="0.25">
      <c r="A151" s="153" t="s">
        <v>48</v>
      </c>
      <c r="B151" s="149" t="s">
        <v>63</v>
      </c>
      <c r="C151" s="141" t="b">
        <f>IF(C46=1,IF(C146&lt;C147,C150,0))</f>
        <v>0</v>
      </c>
      <c r="D151" s="141" t="b">
        <f t="shared" ref="D151:AG151" si="145">IF(D46=1,IF(D146&lt;D147,D150,0))</f>
        <v>0</v>
      </c>
      <c r="E151" s="141" t="b">
        <f t="shared" si="145"/>
        <v>0</v>
      </c>
      <c r="F151" s="141">
        <f t="shared" si="145"/>
        <v>0</v>
      </c>
      <c r="G151" s="141">
        <f t="shared" si="145"/>
        <v>0</v>
      </c>
      <c r="H151" s="141" t="b">
        <f t="shared" si="145"/>
        <v>0</v>
      </c>
      <c r="I151" s="141" t="b">
        <f t="shared" si="145"/>
        <v>0</v>
      </c>
      <c r="J151" s="141" t="b">
        <f t="shared" si="145"/>
        <v>0</v>
      </c>
      <c r="K151" s="141" t="b">
        <f t="shared" si="145"/>
        <v>0</v>
      </c>
      <c r="L151" s="141" t="b">
        <f t="shared" si="145"/>
        <v>0</v>
      </c>
      <c r="M151" s="141">
        <f t="shared" si="145"/>
        <v>0</v>
      </c>
      <c r="N151" s="141">
        <f t="shared" si="145"/>
        <v>0</v>
      </c>
      <c r="O151" s="141" t="b">
        <f t="shared" si="145"/>
        <v>0</v>
      </c>
      <c r="P151" s="141" t="b">
        <f t="shared" si="145"/>
        <v>0</v>
      </c>
      <c r="Q151" s="141" t="b">
        <f t="shared" si="145"/>
        <v>0</v>
      </c>
      <c r="R151" s="141" t="b">
        <f t="shared" si="145"/>
        <v>0</v>
      </c>
      <c r="S151" s="141" t="b">
        <f t="shared" si="145"/>
        <v>0</v>
      </c>
      <c r="T151" s="141">
        <f t="shared" si="145"/>
        <v>0</v>
      </c>
      <c r="U151" s="141">
        <f t="shared" si="145"/>
        <v>0</v>
      </c>
      <c r="V151" s="141" t="b">
        <f t="shared" si="145"/>
        <v>0</v>
      </c>
      <c r="W151" s="141" t="b">
        <f t="shared" si="145"/>
        <v>0</v>
      </c>
      <c r="X151" s="141" t="b">
        <f t="shared" si="145"/>
        <v>0</v>
      </c>
      <c r="Y151" s="141" t="b">
        <f t="shared" si="145"/>
        <v>0</v>
      </c>
      <c r="Z151" s="141" t="b">
        <f t="shared" si="145"/>
        <v>0</v>
      </c>
      <c r="AA151" s="141">
        <f t="shared" si="145"/>
        <v>0</v>
      </c>
      <c r="AB151" s="141">
        <f t="shared" si="145"/>
        <v>0</v>
      </c>
      <c r="AC151" s="141" t="b">
        <f t="shared" si="145"/>
        <v>0</v>
      </c>
      <c r="AD151" s="141" t="b">
        <f t="shared" si="145"/>
        <v>0</v>
      </c>
      <c r="AE151" s="141" t="b">
        <f t="shared" si="145"/>
        <v>0</v>
      </c>
      <c r="AF151" s="141" t="b">
        <f t="shared" si="145"/>
        <v>0</v>
      </c>
      <c r="AG151" s="141" t="b">
        <f t="shared" si="145"/>
        <v>0</v>
      </c>
      <c r="AH151" s="154" t="s">
        <v>12</v>
      </c>
      <c r="AI151" s="133"/>
      <c r="AJ151" s="170"/>
      <c r="AK151" s="133"/>
      <c r="AL151" s="133"/>
    </row>
    <row r="152" spans="1:38" ht="15.95" hidden="1" customHeight="1" x14ac:dyDescent="0.25">
      <c r="A152" s="176"/>
      <c r="B152" s="149" t="s">
        <v>64</v>
      </c>
      <c r="C152" s="141">
        <f t="shared" ref="C152:AG152" si="146">IF(C46=1,IF(C146&gt;C147,24-C146,0),0)</f>
        <v>0</v>
      </c>
      <c r="D152" s="141">
        <f t="shared" si="146"/>
        <v>0</v>
      </c>
      <c r="E152" s="141">
        <f t="shared" si="146"/>
        <v>0</v>
      </c>
      <c r="F152" s="141">
        <f t="shared" si="146"/>
        <v>2</v>
      </c>
      <c r="G152" s="141">
        <f t="shared" si="146"/>
        <v>2</v>
      </c>
      <c r="H152" s="141">
        <f t="shared" si="146"/>
        <v>0</v>
      </c>
      <c r="I152" s="141">
        <f t="shared" si="146"/>
        <v>0</v>
      </c>
      <c r="J152" s="141">
        <f t="shared" si="146"/>
        <v>0</v>
      </c>
      <c r="K152" s="141">
        <f t="shared" si="146"/>
        <v>0</v>
      </c>
      <c r="L152" s="141">
        <f t="shared" si="146"/>
        <v>0</v>
      </c>
      <c r="M152" s="141">
        <f t="shared" si="146"/>
        <v>2</v>
      </c>
      <c r="N152" s="141">
        <f t="shared" si="146"/>
        <v>2</v>
      </c>
      <c r="O152" s="141">
        <f t="shared" si="146"/>
        <v>0</v>
      </c>
      <c r="P152" s="141">
        <f t="shared" si="146"/>
        <v>0</v>
      </c>
      <c r="Q152" s="141">
        <f t="shared" si="146"/>
        <v>0</v>
      </c>
      <c r="R152" s="141">
        <f t="shared" si="146"/>
        <v>0</v>
      </c>
      <c r="S152" s="141">
        <f t="shared" si="146"/>
        <v>0</v>
      </c>
      <c r="T152" s="141">
        <f t="shared" si="146"/>
        <v>2</v>
      </c>
      <c r="U152" s="141">
        <f t="shared" si="146"/>
        <v>2</v>
      </c>
      <c r="V152" s="141">
        <f t="shared" si="146"/>
        <v>0</v>
      </c>
      <c r="W152" s="141">
        <f t="shared" si="146"/>
        <v>0</v>
      </c>
      <c r="X152" s="141">
        <f t="shared" si="146"/>
        <v>0</v>
      </c>
      <c r="Y152" s="141">
        <f t="shared" si="146"/>
        <v>0</v>
      </c>
      <c r="Z152" s="141">
        <f t="shared" si="146"/>
        <v>0</v>
      </c>
      <c r="AA152" s="141">
        <f t="shared" si="146"/>
        <v>0</v>
      </c>
      <c r="AB152" s="141">
        <f t="shared" si="146"/>
        <v>0</v>
      </c>
      <c r="AC152" s="141">
        <f t="shared" si="146"/>
        <v>0</v>
      </c>
      <c r="AD152" s="141">
        <f t="shared" si="146"/>
        <v>0</v>
      </c>
      <c r="AE152" s="141">
        <f t="shared" si="146"/>
        <v>0</v>
      </c>
      <c r="AF152" s="141">
        <f t="shared" si="146"/>
        <v>0</v>
      </c>
      <c r="AG152" s="141">
        <f t="shared" si="146"/>
        <v>0</v>
      </c>
      <c r="AH152" s="154" t="s">
        <v>12</v>
      </c>
      <c r="AI152" s="133"/>
      <c r="AJ152" s="170"/>
      <c r="AK152" s="133"/>
      <c r="AL152" s="133"/>
    </row>
    <row r="153" spans="1:38" ht="15.95" hidden="1" customHeight="1" x14ac:dyDescent="0.25">
      <c r="A153" s="176"/>
      <c r="B153" s="149" t="s">
        <v>65</v>
      </c>
      <c r="C153" s="141">
        <f t="shared" ref="C153:AG153" si="147">IF(D46=1,IF(C146&gt;C147,C147,0),0)</f>
        <v>0</v>
      </c>
      <c r="D153" s="141">
        <f t="shared" si="147"/>
        <v>0</v>
      </c>
      <c r="E153" s="141">
        <f t="shared" si="147"/>
        <v>6</v>
      </c>
      <c r="F153" s="141">
        <f t="shared" si="147"/>
        <v>6</v>
      </c>
      <c r="G153" s="141">
        <f t="shared" si="147"/>
        <v>0</v>
      </c>
      <c r="H153" s="141">
        <f t="shared" si="147"/>
        <v>0</v>
      </c>
      <c r="I153" s="141">
        <f t="shared" si="147"/>
        <v>0</v>
      </c>
      <c r="J153" s="141">
        <f t="shared" si="147"/>
        <v>0</v>
      </c>
      <c r="K153" s="141">
        <f t="shared" si="147"/>
        <v>0</v>
      </c>
      <c r="L153" s="141">
        <f t="shared" si="147"/>
        <v>6</v>
      </c>
      <c r="M153" s="141">
        <f t="shared" si="147"/>
        <v>6</v>
      </c>
      <c r="N153" s="141">
        <f t="shared" si="147"/>
        <v>0</v>
      </c>
      <c r="O153" s="141">
        <f t="shared" si="147"/>
        <v>0</v>
      </c>
      <c r="P153" s="141">
        <f t="shared" si="147"/>
        <v>0</v>
      </c>
      <c r="Q153" s="141">
        <f t="shared" si="147"/>
        <v>0</v>
      </c>
      <c r="R153" s="141">
        <f t="shared" si="147"/>
        <v>0</v>
      </c>
      <c r="S153" s="141">
        <f t="shared" si="147"/>
        <v>6</v>
      </c>
      <c r="T153" s="141">
        <f t="shared" si="147"/>
        <v>6</v>
      </c>
      <c r="U153" s="141">
        <f t="shared" si="147"/>
        <v>0</v>
      </c>
      <c r="V153" s="141">
        <f t="shared" si="147"/>
        <v>0</v>
      </c>
      <c r="W153" s="141">
        <f t="shared" si="147"/>
        <v>0</v>
      </c>
      <c r="X153" s="141">
        <f>IF(Y46=1,IF(X146&gt;X147,X147,0),0)</f>
        <v>0</v>
      </c>
      <c r="Y153" s="141">
        <f t="shared" si="147"/>
        <v>0</v>
      </c>
      <c r="Z153" s="141">
        <f t="shared" si="147"/>
        <v>0</v>
      </c>
      <c r="AA153" s="141">
        <f t="shared" si="147"/>
        <v>0</v>
      </c>
      <c r="AB153" s="141">
        <f t="shared" si="147"/>
        <v>0</v>
      </c>
      <c r="AC153" s="141">
        <f t="shared" si="147"/>
        <v>0</v>
      </c>
      <c r="AD153" s="141">
        <f t="shared" si="147"/>
        <v>0</v>
      </c>
      <c r="AE153" s="141">
        <f t="shared" si="147"/>
        <v>0</v>
      </c>
      <c r="AF153" s="141">
        <f t="shared" si="147"/>
        <v>0</v>
      </c>
      <c r="AG153" s="141">
        <f t="shared" si="147"/>
        <v>0</v>
      </c>
      <c r="AH153" s="154" t="s">
        <v>12</v>
      </c>
      <c r="AI153" s="133"/>
      <c r="AJ153" s="170"/>
      <c r="AK153" s="133"/>
      <c r="AL153" s="133"/>
    </row>
    <row r="154" spans="1:38" ht="15.95" hidden="1" customHeight="1" x14ac:dyDescent="0.25">
      <c r="A154" s="176"/>
      <c r="B154" s="149" t="s">
        <v>67</v>
      </c>
      <c r="C154" s="171">
        <f>SUM(C151:C153)</f>
        <v>0</v>
      </c>
      <c r="D154" s="171">
        <f t="shared" ref="D154:AG154" si="148">SUM(D151:D153)</f>
        <v>0</v>
      </c>
      <c r="E154" s="171">
        <f t="shared" si="148"/>
        <v>6</v>
      </c>
      <c r="F154" s="171">
        <f t="shared" si="148"/>
        <v>8</v>
      </c>
      <c r="G154" s="171">
        <f t="shared" si="148"/>
        <v>2</v>
      </c>
      <c r="H154" s="171">
        <f t="shared" si="148"/>
        <v>0</v>
      </c>
      <c r="I154" s="171">
        <f t="shared" si="148"/>
        <v>0</v>
      </c>
      <c r="J154" s="171">
        <f t="shared" si="148"/>
        <v>0</v>
      </c>
      <c r="K154" s="171">
        <f t="shared" si="148"/>
        <v>0</v>
      </c>
      <c r="L154" s="171">
        <f t="shared" si="148"/>
        <v>6</v>
      </c>
      <c r="M154" s="171">
        <f t="shared" si="148"/>
        <v>8</v>
      </c>
      <c r="N154" s="171">
        <f t="shared" si="148"/>
        <v>2</v>
      </c>
      <c r="O154" s="171">
        <f t="shared" si="148"/>
        <v>0</v>
      </c>
      <c r="P154" s="171">
        <f t="shared" si="148"/>
        <v>0</v>
      </c>
      <c r="Q154" s="171">
        <f t="shared" si="148"/>
        <v>0</v>
      </c>
      <c r="R154" s="171">
        <f t="shared" si="148"/>
        <v>0</v>
      </c>
      <c r="S154" s="171">
        <f t="shared" si="148"/>
        <v>6</v>
      </c>
      <c r="T154" s="171">
        <f t="shared" si="148"/>
        <v>8</v>
      </c>
      <c r="U154" s="171">
        <f t="shared" si="148"/>
        <v>2</v>
      </c>
      <c r="V154" s="171">
        <f t="shared" si="148"/>
        <v>0</v>
      </c>
      <c r="W154" s="171">
        <f t="shared" si="148"/>
        <v>0</v>
      </c>
      <c r="X154" s="171">
        <f t="shared" si="148"/>
        <v>0</v>
      </c>
      <c r="Y154" s="171">
        <f t="shared" si="148"/>
        <v>0</v>
      </c>
      <c r="Z154" s="171">
        <f t="shared" si="148"/>
        <v>0</v>
      </c>
      <c r="AA154" s="171">
        <f t="shared" si="148"/>
        <v>0</v>
      </c>
      <c r="AB154" s="171">
        <f t="shared" si="148"/>
        <v>0</v>
      </c>
      <c r="AC154" s="171">
        <f t="shared" si="148"/>
        <v>0</v>
      </c>
      <c r="AD154" s="171">
        <f t="shared" si="148"/>
        <v>0</v>
      </c>
      <c r="AE154" s="171">
        <f t="shared" si="148"/>
        <v>0</v>
      </c>
      <c r="AF154" s="171">
        <f t="shared" si="148"/>
        <v>0</v>
      </c>
      <c r="AG154" s="171">
        <f t="shared" si="148"/>
        <v>0</v>
      </c>
      <c r="AH154" s="154" t="s">
        <v>12</v>
      </c>
      <c r="AI154" s="133"/>
      <c r="AJ154" s="170"/>
      <c r="AK154" s="133"/>
      <c r="AL154" s="133"/>
    </row>
    <row r="155" spans="1:38" ht="15.95" hidden="1" customHeight="1" x14ac:dyDescent="0.25">
      <c r="A155" s="177"/>
      <c r="B155" s="160" t="s">
        <v>68</v>
      </c>
      <c r="C155" s="161">
        <f t="shared" ref="C155:AG155" si="149">IF(C18="V",IF(C18="",0,1),0)</f>
        <v>0</v>
      </c>
      <c r="D155" s="161">
        <f t="shared" si="149"/>
        <v>0</v>
      </c>
      <c r="E155" s="161">
        <f t="shared" si="149"/>
        <v>0</v>
      </c>
      <c r="F155" s="161">
        <f t="shared" si="149"/>
        <v>0</v>
      </c>
      <c r="G155" s="161">
        <f t="shared" si="149"/>
        <v>0</v>
      </c>
      <c r="H155" s="161">
        <f t="shared" si="149"/>
        <v>0</v>
      </c>
      <c r="I155" s="161">
        <f t="shared" si="149"/>
        <v>0</v>
      </c>
      <c r="J155" s="161">
        <f t="shared" si="149"/>
        <v>0</v>
      </c>
      <c r="K155" s="161">
        <f t="shared" si="149"/>
        <v>0</v>
      </c>
      <c r="L155" s="161">
        <f t="shared" si="149"/>
        <v>0</v>
      </c>
      <c r="M155" s="161">
        <f t="shared" si="149"/>
        <v>0</v>
      </c>
      <c r="N155" s="161">
        <f t="shared" si="149"/>
        <v>0</v>
      </c>
      <c r="O155" s="161">
        <f t="shared" si="149"/>
        <v>0</v>
      </c>
      <c r="P155" s="161">
        <f t="shared" si="149"/>
        <v>0</v>
      </c>
      <c r="Q155" s="161">
        <f t="shared" si="149"/>
        <v>0</v>
      </c>
      <c r="R155" s="161">
        <f t="shared" si="149"/>
        <v>0</v>
      </c>
      <c r="S155" s="161">
        <f t="shared" si="149"/>
        <v>0</v>
      </c>
      <c r="T155" s="161">
        <f t="shared" si="149"/>
        <v>0</v>
      </c>
      <c r="U155" s="161">
        <f t="shared" si="149"/>
        <v>0</v>
      </c>
      <c r="V155" s="161">
        <f t="shared" si="149"/>
        <v>0</v>
      </c>
      <c r="W155" s="161">
        <f t="shared" si="149"/>
        <v>0</v>
      </c>
      <c r="X155" s="161">
        <f t="shared" si="149"/>
        <v>0</v>
      </c>
      <c r="Y155" s="161">
        <f t="shared" si="149"/>
        <v>0</v>
      </c>
      <c r="Z155" s="161">
        <f t="shared" si="149"/>
        <v>0</v>
      </c>
      <c r="AA155" s="161">
        <f t="shared" si="149"/>
        <v>0</v>
      </c>
      <c r="AB155" s="161">
        <f t="shared" si="149"/>
        <v>0</v>
      </c>
      <c r="AC155" s="161">
        <f t="shared" si="149"/>
        <v>0</v>
      </c>
      <c r="AD155" s="161">
        <f t="shared" si="149"/>
        <v>0</v>
      </c>
      <c r="AE155" s="161">
        <f t="shared" si="149"/>
        <v>0</v>
      </c>
      <c r="AF155" s="161">
        <f t="shared" si="149"/>
        <v>0</v>
      </c>
      <c r="AG155" s="161">
        <f t="shared" si="149"/>
        <v>0</v>
      </c>
      <c r="AH155" s="154" t="s">
        <v>12</v>
      </c>
      <c r="AI155" s="133"/>
      <c r="AJ155" s="170"/>
      <c r="AK155" s="133"/>
      <c r="AL155" s="133"/>
    </row>
    <row r="156" spans="1:38" ht="15.95" hidden="1" customHeight="1" x14ac:dyDescent="0.25">
      <c r="A156" s="180"/>
      <c r="B156" s="181" t="s">
        <v>16</v>
      </c>
      <c r="C156" s="182">
        <f t="shared" ref="C156:AG156" si="150">IF(C18="PR",IF(C18="",0,1),0)</f>
        <v>0</v>
      </c>
      <c r="D156" s="182">
        <f t="shared" si="150"/>
        <v>0</v>
      </c>
      <c r="E156" s="182">
        <f t="shared" si="150"/>
        <v>0</v>
      </c>
      <c r="F156" s="182">
        <f t="shared" si="150"/>
        <v>0</v>
      </c>
      <c r="G156" s="182">
        <f t="shared" si="150"/>
        <v>0</v>
      </c>
      <c r="H156" s="182">
        <f t="shared" si="150"/>
        <v>0</v>
      </c>
      <c r="I156" s="182">
        <f t="shared" si="150"/>
        <v>0</v>
      </c>
      <c r="J156" s="182">
        <f t="shared" si="150"/>
        <v>0</v>
      </c>
      <c r="K156" s="182">
        <f t="shared" si="150"/>
        <v>0</v>
      </c>
      <c r="L156" s="182">
        <f t="shared" si="150"/>
        <v>0</v>
      </c>
      <c r="M156" s="182">
        <f t="shared" si="150"/>
        <v>0</v>
      </c>
      <c r="N156" s="182">
        <f t="shared" si="150"/>
        <v>0</v>
      </c>
      <c r="O156" s="182">
        <f t="shared" si="150"/>
        <v>0</v>
      </c>
      <c r="P156" s="182">
        <f t="shared" si="150"/>
        <v>0</v>
      </c>
      <c r="Q156" s="182">
        <f t="shared" si="150"/>
        <v>0</v>
      </c>
      <c r="R156" s="182">
        <f t="shared" si="150"/>
        <v>0</v>
      </c>
      <c r="S156" s="182">
        <f t="shared" si="150"/>
        <v>0</v>
      </c>
      <c r="T156" s="182">
        <f t="shared" si="150"/>
        <v>0</v>
      </c>
      <c r="U156" s="182">
        <f t="shared" si="150"/>
        <v>0</v>
      </c>
      <c r="V156" s="182">
        <f t="shared" si="150"/>
        <v>0</v>
      </c>
      <c r="W156" s="182">
        <f t="shared" si="150"/>
        <v>0</v>
      </c>
      <c r="X156" s="182">
        <f t="shared" si="150"/>
        <v>0</v>
      </c>
      <c r="Y156" s="182">
        <f t="shared" si="150"/>
        <v>0</v>
      </c>
      <c r="Z156" s="182">
        <f t="shared" si="150"/>
        <v>0</v>
      </c>
      <c r="AA156" s="182">
        <f t="shared" si="150"/>
        <v>0</v>
      </c>
      <c r="AB156" s="182">
        <f t="shared" si="150"/>
        <v>0</v>
      </c>
      <c r="AC156" s="182">
        <f t="shared" si="150"/>
        <v>0</v>
      </c>
      <c r="AD156" s="182">
        <f t="shared" si="150"/>
        <v>0</v>
      </c>
      <c r="AE156" s="182">
        <f t="shared" si="150"/>
        <v>0</v>
      </c>
      <c r="AF156" s="182">
        <f t="shared" si="150"/>
        <v>0</v>
      </c>
      <c r="AG156" s="182">
        <f t="shared" si="150"/>
        <v>0</v>
      </c>
      <c r="AH156" s="227">
        <f>SUM(C156:AG156)</f>
        <v>0</v>
      </c>
      <c r="AI156" s="227"/>
      <c r="AJ156" s="174" t="s">
        <v>69</v>
      </c>
      <c r="AK156" s="133"/>
      <c r="AL156" s="133"/>
    </row>
    <row r="157" spans="1:38" ht="15.95" hidden="1" customHeight="1" x14ac:dyDescent="0.25">
      <c r="A157" s="164" t="s">
        <v>126</v>
      </c>
      <c r="B157" s="165" t="s">
        <v>29</v>
      </c>
      <c r="C157" s="141" t="str">
        <f>IF(C19=$R32,$S32*24,IF(C19=$R33,$S33*24,IF(C19=$R34,$S34*24,IF(C19=$R35,$S35*24,IF(C19=$R36,$S36*24,IF(C19=$R37,$S37*24,IF(C19=$R38,$S38*24,IF(C19=$R39,$S39*24,IF(C19=$R40,$S40*24,"")))))))))</f>
        <v/>
      </c>
      <c r="D157" s="141" t="str">
        <f t="shared" ref="D157:AG157" si="151">IF(D19=$R32,$S32*24,IF(D19=$R33,$S33*24,IF(D19=$R34,$S34*24,IF(D19=$R35,$S35*24,IF(D19=$R36,$S36*24,IF(D19=$R37,$S37*24,IF(D19=$R38,$S38*24,IF(D19=$R39,$S39*24,IF(D19=$R40,$S40*24,"")))))))))</f>
        <v/>
      </c>
      <c r="E157" s="141" t="str">
        <f t="shared" si="151"/>
        <v/>
      </c>
      <c r="F157" s="141" t="str">
        <f t="shared" si="151"/>
        <v/>
      </c>
      <c r="G157" s="141" t="str">
        <f t="shared" si="151"/>
        <v/>
      </c>
      <c r="H157" s="141" t="str">
        <f t="shared" si="151"/>
        <v/>
      </c>
      <c r="I157" s="141" t="str">
        <f t="shared" si="151"/>
        <v/>
      </c>
      <c r="J157" s="141" t="str">
        <f t="shared" si="151"/>
        <v/>
      </c>
      <c r="K157" s="141" t="str">
        <f t="shared" si="151"/>
        <v/>
      </c>
      <c r="L157" s="141" t="str">
        <f t="shared" si="151"/>
        <v/>
      </c>
      <c r="M157" s="141" t="str">
        <f t="shared" si="151"/>
        <v/>
      </c>
      <c r="N157" s="141" t="str">
        <f t="shared" si="151"/>
        <v/>
      </c>
      <c r="O157" s="141" t="str">
        <f t="shared" si="151"/>
        <v/>
      </c>
      <c r="P157" s="141" t="str">
        <f t="shared" si="151"/>
        <v/>
      </c>
      <c r="Q157" s="141" t="str">
        <f t="shared" si="151"/>
        <v/>
      </c>
      <c r="R157" s="141" t="str">
        <f t="shared" si="151"/>
        <v/>
      </c>
      <c r="S157" s="141" t="str">
        <f t="shared" si="151"/>
        <v/>
      </c>
      <c r="T157" s="141" t="str">
        <f t="shared" si="151"/>
        <v/>
      </c>
      <c r="U157" s="141" t="str">
        <f t="shared" si="151"/>
        <v/>
      </c>
      <c r="V157" s="141" t="str">
        <f t="shared" si="151"/>
        <v/>
      </c>
      <c r="W157" s="141" t="str">
        <f t="shared" si="151"/>
        <v/>
      </c>
      <c r="X157" s="141" t="str">
        <f t="shared" si="151"/>
        <v/>
      </c>
      <c r="Y157" s="141" t="str">
        <f t="shared" si="151"/>
        <v/>
      </c>
      <c r="Z157" s="141" t="str">
        <f t="shared" si="151"/>
        <v/>
      </c>
      <c r="AA157" s="141" t="str">
        <f t="shared" si="151"/>
        <v/>
      </c>
      <c r="AB157" s="141" t="str">
        <f t="shared" si="151"/>
        <v/>
      </c>
      <c r="AC157" s="141" t="str">
        <f t="shared" si="151"/>
        <v/>
      </c>
      <c r="AD157" s="141" t="str">
        <f t="shared" si="151"/>
        <v/>
      </c>
      <c r="AE157" s="141" t="str">
        <f t="shared" si="151"/>
        <v/>
      </c>
      <c r="AF157" s="141" t="str">
        <f t="shared" si="151"/>
        <v/>
      </c>
      <c r="AG157" s="141" t="str">
        <f t="shared" si="151"/>
        <v/>
      </c>
      <c r="AH157" s="154" t="s">
        <v>12</v>
      </c>
      <c r="AI157" s="133"/>
      <c r="AJ157" s="170"/>
      <c r="AK157" s="133"/>
      <c r="AL157" s="133"/>
    </row>
    <row r="158" spans="1:38" ht="15.95" hidden="1" customHeight="1" x14ac:dyDescent="0.25">
      <c r="A158" s="166" t="s">
        <v>128</v>
      </c>
      <c r="B158" s="167" t="s">
        <v>30</v>
      </c>
      <c r="C158" s="141" t="str">
        <f>IF(C19=$R32,$V32*24,IF(C19=$R33,$V33*24,IF(C19=$R34,$V34*24,IF(C19=$R35,$V35*24,IF(C19=$R36,$V36*24,IF(C19=$R37,$V37*24,IF(C19=$R38,$V38*24,IF(C19=$R39,$V39*24,IF(C19=$R40,$V40*24,"")))))))))</f>
        <v/>
      </c>
      <c r="D158" s="141" t="str">
        <f t="shared" ref="D158:AG158" si="152">IF(D19=$R32,$V32*24,IF(D19=$R33,$V33*24,IF(D19=$R34,$V34*24,IF(D19=$R35,$V35*24,IF(D19=$R36,$V36*24,IF(D19=$R37,$V37*24,IF(D19=$R38,$V38*24,IF(D19=$R39,$V39*24,IF(D19=$R40,$V40*24,"")))))))))</f>
        <v/>
      </c>
      <c r="E158" s="141" t="str">
        <f t="shared" si="152"/>
        <v/>
      </c>
      <c r="F158" s="141" t="str">
        <f t="shared" si="152"/>
        <v/>
      </c>
      <c r="G158" s="141" t="str">
        <f t="shared" si="152"/>
        <v/>
      </c>
      <c r="H158" s="141" t="str">
        <f t="shared" si="152"/>
        <v/>
      </c>
      <c r="I158" s="141" t="str">
        <f t="shared" si="152"/>
        <v/>
      </c>
      <c r="J158" s="141" t="str">
        <f t="shared" si="152"/>
        <v/>
      </c>
      <c r="K158" s="141" t="str">
        <f t="shared" si="152"/>
        <v/>
      </c>
      <c r="L158" s="141" t="str">
        <f t="shared" si="152"/>
        <v/>
      </c>
      <c r="M158" s="141" t="str">
        <f t="shared" si="152"/>
        <v/>
      </c>
      <c r="N158" s="141" t="str">
        <f t="shared" si="152"/>
        <v/>
      </c>
      <c r="O158" s="141" t="str">
        <f t="shared" si="152"/>
        <v/>
      </c>
      <c r="P158" s="141" t="str">
        <f t="shared" si="152"/>
        <v/>
      </c>
      <c r="Q158" s="141" t="str">
        <f t="shared" si="152"/>
        <v/>
      </c>
      <c r="R158" s="141" t="str">
        <f t="shared" si="152"/>
        <v/>
      </c>
      <c r="S158" s="141" t="str">
        <f t="shared" si="152"/>
        <v/>
      </c>
      <c r="T158" s="141" t="str">
        <f t="shared" si="152"/>
        <v/>
      </c>
      <c r="U158" s="141" t="str">
        <f t="shared" si="152"/>
        <v/>
      </c>
      <c r="V158" s="141" t="str">
        <f t="shared" si="152"/>
        <v/>
      </c>
      <c r="W158" s="141" t="str">
        <f t="shared" si="152"/>
        <v/>
      </c>
      <c r="X158" s="141" t="str">
        <f t="shared" si="152"/>
        <v/>
      </c>
      <c r="Y158" s="141" t="str">
        <f t="shared" si="152"/>
        <v/>
      </c>
      <c r="Z158" s="141" t="str">
        <f t="shared" si="152"/>
        <v/>
      </c>
      <c r="AA158" s="141" t="str">
        <f t="shared" si="152"/>
        <v/>
      </c>
      <c r="AB158" s="141" t="str">
        <f t="shared" si="152"/>
        <v/>
      </c>
      <c r="AC158" s="141" t="str">
        <f t="shared" si="152"/>
        <v/>
      </c>
      <c r="AD158" s="141" t="str">
        <f t="shared" si="152"/>
        <v/>
      </c>
      <c r="AE158" s="141" t="str">
        <f t="shared" si="152"/>
        <v/>
      </c>
      <c r="AF158" s="141" t="str">
        <f t="shared" si="152"/>
        <v/>
      </c>
      <c r="AG158" s="141" t="str">
        <f t="shared" si="152"/>
        <v/>
      </c>
      <c r="AH158" s="154" t="s">
        <v>12</v>
      </c>
      <c r="AI158" s="133"/>
      <c r="AJ158" s="170"/>
      <c r="AK158" s="133"/>
      <c r="AL158" s="133"/>
    </row>
    <row r="159" spans="1:38" ht="15.95" hidden="1" customHeight="1" x14ac:dyDescent="0.25">
      <c r="A159" s="153"/>
      <c r="B159" s="183" t="s">
        <v>34</v>
      </c>
      <c r="C159" s="169" t="str">
        <f t="shared" ref="C159:AD159" si="153">IF(C19=$R32,$BD32*24,IF(C19=$R33,$BD33*24,IF(C19=$R34,$BD34*24,IF(C19=$R35,$BD35*24,IF(C19=$R36,$BD36*24,IF(C19=$R37,$BD37*24,IF(C19=$R38,$BD38*24,IF(C19=$R39,$BD39*24,IF(C19=$R40,$BD40*24,"")))))))))</f>
        <v/>
      </c>
      <c r="D159" s="169" t="str">
        <f t="shared" si="153"/>
        <v/>
      </c>
      <c r="E159" s="169" t="str">
        <f t="shared" si="153"/>
        <v/>
      </c>
      <c r="F159" s="169" t="str">
        <f t="shared" si="153"/>
        <v/>
      </c>
      <c r="G159" s="169" t="str">
        <f t="shared" si="153"/>
        <v/>
      </c>
      <c r="H159" s="169" t="str">
        <f t="shared" si="153"/>
        <v/>
      </c>
      <c r="I159" s="169" t="str">
        <f t="shared" si="153"/>
        <v/>
      </c>
      <c r="J159" s="169" t="str">
        <f t="shared" si="153"/>
        <v/>
      </c>
      <c r="K159" s="169" t="str">
        <f t="shared" si="153"/>
        <v/>
      </c>
      <c r="L159" s="169" t="str">
        <f t="shared" si="153"/>
        <v/>
      </c>
      <c r="M159" s="169" t="str">
        <f t="shared" si="153"/>
        <v/>
      </c>
      <c r="N159" s="169" t="str">
        <f t="shared" si="153"/>
        <v/>
      </c>
      <c r="O159" s="169" t="str">
        <f t="shared" si="153"/>
        <v/>
      </c>
      <c r="P159" s="169" t="str">
        <f t="shared" si="153"/>
        <v/>
      </c>
      <c r="Q159" s="169" t="str">
        <f t="shared" si="153"/>
        <v/>
      </c>
      <c r="R159" s="169" t="str">
        <f t="shared" si="153"/>
        <v/>
      </c>
      <c r="S159" s="169" t="str">
        <f t="shared" si="153"/>
        <v/>
      </c>
      <c r="T159" s="169" t="str">
        <f t="shared" si="153"/>
        <v/>
      </c>
      <c r="U159" s="169" t="str">
        <f t="shared" si="153"/>
        <v/>
      </c>
      <c r="V159" s="169" t="str">
        <f t="shared" si="153"/>
        <v/>
      </c>
      <c r="W159" s="169" t="str">
        <f t="shared" si="153"/>
        <v/>
      </c>
      <c r="X159" s="169" t="str">
        <f t="shared" si="153"/>
        <v/>
      </c>
      <c r="Y159" s="169" t="str">
        <f t="shared" si="153"/>
        <v/>
      </c>
      <c r="Z159" s="169" t="str">
        <f t="shared" si="153"/>
        <v/>
      </c>
      <c r="AA159" s="169" t="str">
        <f t="shared" si="153"/>
        <v/>
      </c>
      <c r="AB159" s="169" t="str">
        <f t="shared" si="153"/>
        <v/>
      </c>
      <c r="AC159" s="169" t="str">
        <f t="shared" si="153"/>
        <v/>
      </c>
      <c r="AD159" s="169" t="str">
        <f t="shared" si="153"/>
        <v/>
      </c>
      <c r="AE159" s="169" t="str">
        <f>IF(AE19=$R32,$BD32*24,IF(AE19=$R33,$BD33*24,IF(AE19=$R34,$BD34*24,IF(AE19=$R35,$BD35*24,IF(AE19=$R36,$BD36*24,IF(AE19=$R37,$BD37*24,IF(AE19=$R38,$BD38*24,IF(AE19=$R39,$BD39*24,IF(AE19=$R40,$BD40*24,"")))))))))</f>
        <v/>
      </c>
      <c r="AF159" s="169" t="str">
        <f>IF(AF19=$R32,$BD32*24,IF(AF19=$R33,$BD33*24,IF(AF19=$R34,$BD34*24,IF(AF19=$R35,$BD35*24,IF(AF19=$R36,$BD36*24,IF(AF19=$R37,$BD37*24,IF(AF19=$R38,$BD38*24,IF(AF19=$R39,$BD39*24,IF(AF19=$R40,$BD40*24,"")))))))))</f>
        <v/>
      </c>
      <c r="AG159" s="169" t="str">
        <f>IF(AG19=$R32,$BD32*24,IF(AG19=$R33,$BD33*24,IF(AG19=$R34,$BD34*24,IF(AG19=$R35,$BD35*24,IF(AG19=$R36,$BD36*24,IF(AG19=$R37,$BD37*24,IF(AG19=$R38,$BD38*24,IF(AG19=$R39,$BD39*24,IF(AG19=$R40,$BD40*24,"")))))))))</f>
        <v/>
      </c>
      <c r="AH159" s="148">
        <f>SUM(C159:AG159)</f>
        <v>0</v>
      </c>
      <c r="AI159" s="133"/>
      <c r="AJ159" s="170"/>
      <c r="AK159" s="133"/>
      <c r="AL159" s="133"/>
    </row>
    <row r="160" spans="1:38" ht="15.95" hidden="1" customHeight="1" x14ac:dyDescent="0.25">
      <c r="A160" s="153"/>
      <c r="B160" s="167" t="s">
        <v>59</v>
      </c>
      <c r="C160" s="141">
        <f>IF(C19="V",$C36,IF(C19="PR",$C38,0))</f>
        <v>0</v>
      </c>
      <c r="D160" s="141">
        <f t="shared" ref="D160:AG160" si="154">IF(D19="V",$C36,IF(D19="PR",$C38,0))</f>
        <v>0</v>
      </c>
      <c r="E160" s="141">
        <f t="shared" si="154"/>
        <v>0</v>
      </c>
      <c r="F160" s="141">
        <f t="shared" si="154"/>
        <v>0</v>
      </c>
      <c r="G160" s="141">
        <f t="shared" si="154"/>
        <v>0</v>
      </c>
      <c r="H160" s="141">
        <f t="shared" si="154"/>
        <v>0</v>
      </c>
      <c r="I160" s="141">
        <f t="shared" si="154"/>
        <v>0</v>
      </c>
      <c r="J160" s="141">
        <f t="shared" si="154"/>
        <v>0</v>
      </c>
      <c r="K160" s="141">
        <f t="shared" si="154"/>
        <v>0</v>
      </c>
      <c r="L160" s="141">
        <f t="shared" si="154"/>
        <v>0</v>
      </c>
      <c r="M160" s="141">
        <f t="shared" si="154"/>
        <v>0</v>
      </c>
      <c r="N160" s="141">
        <f t="shared" si="154"/>
        <v>0</v>
      </c>
      <c r="O160" s="141">
        <f t="shared" si="154"/>
        <v>0</v>
      </c>
      <c r="P160" s="141">
        <f t="shared" si="154"/>
        <v>0</v>
      </c>
      <c r="Q160" s="141">
        <f t="shared" si="154"/>
        <v>0</v>
      </c>
      <c r="R160" s="141">
        <f t="shared" si="154"/>
        <v>0</v>
      </c>
      <c r="S160" s="141">
        <f t="shared" si="154"/>
        <v>0</v>
      </c>
      <c r="T160" s="141">
        <f t="shared" si="154"/>
        <v>0</v>
      </c>
      <c r="U160" s="141">
        <f t="shared" si="154"/>
        <v>0</v>
      </c>
      <c r="V160" s="141">
        <f t="shared" si="154"/>
        <v>0</v>
      </c>
      <c r="W160" s="141">
        <f t="shared" si="154"/>
        <v>0</v>
      </c>
      <c r="X160" s="141">
        <f t="shared" si="154"/>
        <v>0</v>
      </c>
      <c r="Y160" s="141">
        <f t="shared" si="154"/>
        <v>0</v>
      </c>
      <c r="Z160" s="141">
        <f t="shared" si="154"/>
        <v>0</v>
      </c>
      <c r="AA160" s="141">
        <f t="shared" si="154"/>
        <v>0</v>
      </c>
      <c r="AB160" s="141">
        <f t="shared" si="154"/>
        <v>0</v>
      </c>
      <c r="AC160" s="141">
        <f t="shared" si="154"/>
        <v>0</v>
      </c>
      <c r="AD160" s="141">
        <f t="shared" si="154"/>
        <v>0</v>
      </c>
      <c r="AE160" s="141">
        <f t="shared" si="154"/>
        <v>0</v>
      </c>
      <c r="AF160" s="141">
        <f t="shared" si="154"/>
        <v>0</v>
      </c>
      <c r="AG160" s="141">
        <f t="shared" si="154"/>
        <v>0</v>
      </c>
      <c r="AH160" s="226">
        <f>SUM(C160:AG160)</f>
        <v>0</v>
      </c>
      <c r="AI160" s="226"/>
      <c r="AJ160" s="230">
        <f>SUM(AH105+AH116+AH127+AH138+AH149+AH160)</f>
        <v>156.6</v>
      </c>
      <c r="AK160" s="230"/>
      <c r="AL160" s="133" t="s">
        <v>56</v>
      </c>
    </row>
    <row r="161" spans="1:38" ht="15.95" hidden="1" customHeight="1" x14ac:dyDescent="0.25">
      <c r="A161" s="150" t="s">
        <v>60</v>
      </c>
      <c r="B161" s="167" t="s">
        <v>61</v>
      </c>
      <c r="C161" s="151">
        <f t="shared" ref="C161:AD161" si="155">IF(C19=$R32,$BC32,IF(C19=$R33,$BC33,IF(C19=$R34,$BC34,IF(C19=$R35,$BC35,IF(C19=$R36,$BC36,IF(C19=$R37,$BC37,IF(C19=$R38,$BC38,IF(C19=$R39,$BC39,IF(C19=$R40,$BC40,0)))))))))</f>
        <v>0</v>
      </c>
      <c r="D161" s="151">
        <f t="shared" si="155"/>
        <v>0</v>
      </c>
      <c r="E161" s="151">
        <f t="shared" si="155"/>
        <v>0</v>
      </c>
      <c r="F161" s="151">
        <f t="shared" si="155"/>
        <v>0</v>
      </c>
      <c r="G161" s="151">
        <f t="shared" si="155"/>
        <v>0</v>
      </c>
      <c r="H161" s="151">
        <f t="shared" si="155"/>
        <v>0</v>
      </c>
      <c r="I161" s="151">
        <f t="shared" si="155"/>
        <v>0</v>
      </c>
      <c r="J161" s="151">
        <f t="shared" si="155"/>
        <v>0</v>
      </c>
      <c r="K161" s="151">
        <f t="shared" si="155"/>
        <v>0</v>
      </c>
      <c r="L161" s="151">
        <f t="shared" si="155"/>
        <v>0</v>
      </c>
      <c r="M161" s="151">
        <f t="shared" si="155"/>
        <v>0</v>
      </c>
      <c r="N161" s="151">
        <f t="shared" si="155"/>
        <v>0</v>
      </c>
      <c r="O161" s="151">
        <f t="shared" si="155"/>
        <v>0</v>
      </c>
      <c r="P161" s="151">
        <f t="shared" si="155"/>
        <v>0</v>
      </c>
      <c r="Q161" s="151">
        <f t="shared" si="155"/>
        <v>0</v>
      </c>
      <c r="R161" s="151">
        <f t="shared" si="155"/>
        <v>0</v>
      </c>
      <c r="S161" s="151">
        <f t="shared" si="155"/>
        <v>0</v>
      </c>
      <c r="T161" s="151">
        <f t="shared" si="155"/>
        <v>0</v>
      </c>
      <c r="U161" s="151">
        <f t="shared" si="155"/>
        <v>0</v>
      </c>
      <c r="V161" s="151">
        <f t="shared" si="155"/>
        <v>0</v>
      </c>
      <c r="W161" s="151">
        <f t="shared" si="155"/>
        <v>0</v>
      </c>
      <c r="X161" s="151">
        <f t="shared" si="155"/>
        <v>0</v>
      </c>
      <c r="Y161" s="151">
        <f t="shared" si="155"/>
        <v>0</v>
      </c>
      <c r="Z161" s="151">
        <f t="shared" si="155"/>
        <v>0</v>
      </c>
      <c r="AA161" s="151">
        <f t="shared" si="155"/>
        <v>0</v>
      </c>
      <c r="AB161" s="151">
        <f t="shared" si="155"/>
        <v>0</v>
      </c>
      <c r="AC161" s="151">
        <f t="shared" si="155"/>
        <v>0</v>
      </c>
      <c r="AD161" s="151">
        <f t="shared" si="155"/>
        <v>0</v>
      </c>
      <c r="AE161" s="151">
        <f>IF(AE19=$R32,$BC32,IF(AE19=$R33,$BC33,IF(AE19=$R34,$BC34,IF(AE19=$R35,$BC35,IF(AE19=$R36,$BC36,IF(AE19=$R37,$BC37,IF(AE19=$R38,$BC38,IF(AE19=$R39,$BC39,IF(AE19=$R40,$BC40,0)))))))))</f>
        <v>0</v>
      </c>
      <c r="AF161" s="151">
        <f>IF(AF19=$R32,$BC32,IF(AF19=$R33,$BC33,IF(AF19=$R34,$BC34,IF(AF19=$R35,$BC35,IF(AF19=$R36,$BC36,IF(AF19=$R37,$BC37,IF(AF19=$R38,$BC38,IF(AF19=$R39,$BC39,IF(AF19=$R40,$BC40,0)))))))))</f>
        <v>0</v>
      </c>
      <c r="AG161" s="151">
        <f>IF(AG19=$R32,$BC32,IF(AG19=$R33,$BC33,IF(AG19=$R34,$BC34,IF(AG19=$R35,$BC35,IF(AG19=$R36,$BC36,IF(AG19=$R37,$BC37,IF(AG19=$R38,$BC38,IF(AG19=$R39,$BC39,IF(AG19=$R40,$BC40,0)))))))))</f>
        <v>0</v>
      </c>
      <c r="AH161" s="226">
        <f>SUM(C161:AG161)</f>
        <v>0</v>
      </c>
      <c r="AI161" s="226"/>
      <c r="AJ161" s="174" t="s">
        <v>62</v>
      </c>
      <c r="AK161" s="133" t="s">
        <v>12</v>
      </c>
      <c r="AL161" s="133"/>
    </row>
    <row r="162" spans="1:38" ht="15.95" hidden="1" customHeight="1" x14ac:dyDescent="0.25">
      <c r="A162" s="153" t="s">
        <v>48</v>
      </c>
      <c r="B162" s="149" t="s">
        <v>63</v>
      </c>
      <c r="C162" s="141" t="b">
        <f>IF(C46=1,IF(C157&lt;C158,C161,0))</f>
        <v>0</v>
      </c>
      <c r="D162" s="141" t="b">
        <f t="shared" ref="D162:AG162" si="156">IF(D46=1,IF(D157&lt;D158,D161,0))</f>
        <v>0</v>
      </c>
      <c r="E162" s="141" t="b">
        <f t="shared" si="156"/>
        <v>0</v>
      </c>
      <c r="F162" s="141">
        <f t="shared" si="156"/>
        <v>0</v>
      </c>
      <c r="G162" s="141">
        <f t="shared" si="156"/>
        <v>0</v>
      </c>
      <c r="H162" s="141" t="b">
        <f t="shared" si="156"/>
        <v>0</v>
      </c>
      <c r="I162" s="141" t="b">
        <f t="shared" si="156"/>
        <v>0</v>
      </c>
      <c r="J162" s="141" t="b">
        <f t="shared" si="156"/>
        <v>0</v>
      </c>
      <c r="K162" s="141" t="b">
        <f t="shared" si="156"/>
        <v>0</v>
      </c>
      <c r="L162" s="141" t="b">
        <f t="shared" si="156"/>
        <v>0</v>
      </c>
      <c r="M162" s="141">
        <f t="shared" si="156"/>
        <v>0</v>
      </c>
      <c r="N162" s="141">
        <f t="shared" si="156"/>
        <v>0</v>
      </c>
      <c r="O162" s="141" t="b">
        <f t="shared" si="156"/>
        <v>0</v>
      </c>
      <c r="P162" s="141" t="b">
        <f t="shared" si="156"/>
        <v>0</v>
      </c>
      <c r="Q162" s="141" t="b">
        <f t="shared" si="156"/>
        <v>0</v>
      </c>
      <c r="R162" s="141" t="b">
        <f t="shared" si="156"/>
        <v>0</v>
      </c>
      <c r="S162" s="141" t="b">
        <f t="shared" si="156"/>
        <v>0</v>
      </c>
      <c r="T162" s="141">
        <f t="shared" si="156"/>
        <v>0</v>
      </c>
      <c r="U162" s="141">
        <f t="shared" si="156"/>
        <v>0</v>
      </c>
      <c r="V162" s="141" t="b">
        <f t="shared" si="156"/>
        <v>0</v>
      </c>
      <c r="W162" s="141" t="b">
        <f t="shared" si="156"/>
        <v>0</v>
      </c>
      <c r="X162" s="141" t="b">
        <f t="shared" si="156"/>
        <v>0</v>
      </c>
      <c r="Y162" s="141" t="b">
        <f t="shared" si="156"/>
        <v>0</v>
      </c>
      <c r="Z162" s="141" t="b">
        <f t="shared" si="156"/>
        <v>0</v>
      </c>
      <c r="AA162" s="141">
        <f t="shared" si="156"/>
        <v>0</v>
      </c>
      <c r="AB162" s="141">
        <f t="shared" si="156"/>
        <v>0</v>
      </c>
      <c r="AC162" s="141" t="b">
        <f t="shared" si="156"/>
        <v>0</v>
      </c>
      <c r="AD162" s="141" t="b">
        <f t="shared" si="156"/>
        <v>0</v>
      </c>
      <c r="AE162" s="141" t="b">
        <f t="shared" si="156"/>
        <v>0</v>
      </c>
      <c r="AF162" s="141" t="b">
        <f t="shared" si="156"/>
        <v>0</v>
      </c>
      <c r="AG162" s="141" t="b">
        <f t="shared" si="156"/>
        <v>0</v>
      </c>
      <c r="AH162" s="154" t="s">
        <v>12</v>
      </c>
      <c r="AI162" s="133"/>
      <c r="AJ162" s="170"/>
      <c r="AK162" s="133"/>
      <c r="AL162" s="133"/>
    </row>
    <row r="163" spans="1:38" ht="15.95" hidden="1" customHeight="1" x14ac:dyDescent="0.25">
      <c r="A163" s="176"/>
      <c r="B163" s="149" t="s">
        <v>64</v>
      </c>
      <c r="C163" s="141">
        <f>IF(C46=1,IF(C157&gt;C158,24-C157,0),0)</f>
        <v>0</v>
      </c>
      <c r="D163" s="141">
        <f t="shared" ref="D163:AG163" si="157">IF(D46=1,IF(D157&gt;D158,24-D157,0),0)</f>
        <v>0</v>
      </c>
      <c r="E163" s="141">
        <f t="shared" si="157"/>
        <v>0</v>
      </c>
      <c r="F163" s="141">
        <f t="shared" si="157"/>
        <v>0</v>
      </c>
      <c r="G163" s="141">
        <f t="shared" si="157"/>
        <v>0</v>
      </c>
      <c r="H163" s="141">
        <f t="shared" si="157"/>
        <v>0</v>
      </c>
      <c r="I163" s="141">
        <f t="shared" si="157"/>
        <v>0</v>
      </c>
      <c r="J163" s="141">
        <f t="shared" si="157"/>
        <v>0</v>
      </c>
      <c r="K163" s="141">
        <f t="shared" si="157"/>
        <v>0</v>
      </c>
      <c r="L163" s="141">
        <f t="shared" si="157"/>
        <v>0</v>
      </c>
      <c r="M163" s="141">
        <f t="shared" si="157"/>
        <v>0</v>
      </c>
      <c r="N163" s="141">
        <f t="shared" si="157"/>
        <v>0</v>
      </c>
      <c r="O163" s="141">
        <f t="shared" si="157"/>
        <v>0</v>
      </c>
      <c r="P163" s="141">
        <f t="shared" si="157"/>
        <v>0</v>
      </c>
      <c r="Q163" s="141">
        <f t="shared" si="157"/>
        <v>0</v>
      </c>
      <c r="R163" s="141">
        <f t="shared" si="157"/>
        <v>0</v>
      </c>
      <c r="S163" s="141">
        <f t="shared" si="157"/>
        <v>0</v>
      </c>
      <c r="T163" s="141">
        <f t="shared" si="157"/>
        <v>0</v>
      </c>
      <c r="U163" s="141">
        <f t="shared" si="157"/>
        <v>0</v>
      </c>
      <c r="V163" s="141">
        <f t="shared" si="157"/>
        <v>0</v>
      </c>
      <c r="W163" s="141">
        <f t="shared" si="157"/>
        <v>0</v>
      </c>
      <c r="X163" s="141">
        <f t="shared" si="157"/>
        <v>0</v>
      </c>
      <c r="Y163" s="141">
        <f t="shared" si="157"/>
        <v>0</v>
      </c>
      <c r="Z163" s="141">
        <f t="shared" si="157"/>
        <v>0</v>
      </c>
      <c r="AA163" s="141">
        <f t="shared" si="157"/>
        <v>0</v>
      </c>
      <c r="AB163" s="141">
        <f t="shared" si="157"/>
        <v>0</v>
      </c>
      <c r="AC163" s="141">
        <f t="shared" si="157"/>
        <v>0</v>
      </c>
      <c r="AD163" s="141">
        <f t="shared" si="157"/>
        <v>0</v>
      </c>
      <c r="AE163" s="141">
        <f t="shared" si="157"/>
        <v>0</v>
      </c>
      <c r="AF163" s="141">
        <f t="shared" si="157"/>
        <v>0</v>
      </c>
      <c r="AG163" s="141">
        <f t="shared" si="157"/>
        <v>0</v>
      </c>
      <c r="AH163" s="154" t="s">
        <v>12</v>
      </c>
      <c r="AI163" s="133"/>
      <c r="AJ163" s="170"/>
      <c r="AK163" s="133"/>
      <c r="AL163" s="133"/>
    </row>
    <row r="164" spans="1:38" ht="15.95" hidden="1" customHeight="1" x14ac:dyDescent="0.25">
      <c r="A164" s="176"/>
      <c r="B164" s="149" t="s">
        <v>65</v>
      </c>
      <c r="C164" s="141">
        <f>IF(C46=1,IF(C157&gt;C158,C158,0),0)</f>
        <v>0</v>
      </c>
      <c r="D164" s="141">
        <f t="shared" ref="D164:AG164" si="158">IF(D46=1,IF(D157&gt;D158,D158,0),0)</f>
        <v>0</v>
      </c>
      <c r="E164" s="141">
        <f t="shared" si="158"/>
        <v>0</v>
      </c>
      <c r="F164" s="141">
        <f t="shared" si="158"/>
        <v>0</v>
      </c>
      <c r="G164" s="141">
        <f t="shared" si="158"/>
        <v>0</v>
      </c>
      <c r="H164" s="141">
        <f t="shared" si="158"/>
        <v>0</v>
      </c>
      <c r="I164" s="141">
        <f t="shared" si="158"/>
        <v>0</v>
      </c>
      <c r="J164" s="141">
        <f t="shared" si="158"/>
        <v>0</v>
      </c>
      <c r="K164" s="141">
        <f t="shared" si="158"/>
        <v>0</v>
      </c>
      <c r="L164" s="141">
        <f t="shared" si="158"/>
        <v>0</v>
      </c>
      <c r="M164" s="141">
        <f t="shared" si="158"/>
        <v>0</v>
      </c>
      <c r="N164" s="141">
        <f t="shared" si="158"/>
        <v>0</v>
      </c>
      <c r="O164" s="141">
        <f t="shared" si="158"/>
        <v>0</v>
      </c>
      <c r="P164" s="141">
        <f t="shared" si="158"/>
        <v>0</v>
      </c>
      <c r="Q164" s="141">
        <f t="shared" si="158"/>
        <v>0</v>
      </c>
      <c r="R164" s="141">
        <f t="shared" si="158"/>
        <v>0</v>
      </c>
      <c r="S164" s="141">
        <f t="shared" si="158"/>
        <v>0</v>
      </c>
      <c r="T164" s="141">
        <f t="shared" si="158"/>
        <v>0</v>
      </c>
      <c r="U164" s="141">
        <f t="shared" si="158"/>
        <v>0</v>
      </c>
      <c r="V164" s="141">
        <f t="shared" si="158"/>
        <v>0</v>
      </c>
      <c r="W164" s="141">
        <f t="shared" si="158"/>
        <v>0</v>
      </c>
      <c r="X164" s="141">
        <f t="shared" si="158"/>
        <v>0</v>
      </c>
      <c r="Y164" s="141">
        <f t="shared" si="158"/>
        <v>0</v>
      </c>
      <c r="Z164" s="141">
        <f t="shared" si="158"/>
        <v>0</v>
      </c>
      <c r="AA164" s="141">
        <f t="shared" si="158"/>
        <v>0</v>
      </c>
      <c r="AB164" s="141">
        <f t="shared" si="158"/>
        <v>0</v>
      </c>
      <c r="AC164" s="141">
        <f t="shared" si="158"/>
        <v>0</v>
      </c>
      <c r="AD164" s="141">
        <f t="shared" si="158"/>
        <v>0</v>
      </c>
      <c r="AE164" s="141">
        <f t="shared" si="158"/>
        <v>0</v>
      </c>
      <c r="AF164" s="141">
        <f t="shared" si="158"/>
        <v>0</v>
      </c>
      <c r="AG164" s="141">
        <f t="shared" si="158"/>
        <v>0</v>
      </c>
      <c r="AH164" s="154" t="s">
        <v>12</v>
      </c>
      <c r="AI164" s="133"/>
      <c r="AJ164" s="170"/>
      <c r="AK164" s="133"/>
      <c r="AL164" s="133"/>
    </row>
    <row r="165" spans="1:38" ht="15.95" hidden="1" customHeight="1" x14ac:dyDescent="0.25">
      <c r="A165" s="176"/>
      <c r="B165" s="149" t="s">
        <v>67</v>
      </c>
      <c r="C165" s="171">
        <f t="shared" ref="C165:AG165" si="159">SUM(C162:C164)</f>
        <v>0</v>
      </c>
      <c r="D165" s="171">
        <f t="shared" si="159"/>
        <v>0</v>
      </c>
      <c r="E165" s="171">
        <f t="shared" si="159"/>
        <v>0</v>
      </c>
      <c r="F165" s="171">
        <f t="shared" si="159"/>
        <v>0</v>
      </c>
      <c r="G165" s="171">
        <f t="shared" si="159"/>
        <v>0</v>
      </c>
      <c r="H165" s="171">
        <f t="shared" si="159"/>
        <v>0</v>
      </c>
      <c r="I165" s="171">
        <f t="shared" si="159"/>
        <v>0</v>
      </c>
      <c r="J165" s="171">
        <f t="shared" si="159"/>
        <v>0</v>
      </c>
      <c r="K165" s="171">
        <f t="shared" si="159"/>
        <v>0</v>
      </c>
      <c r="L165" s="171">
        <f t="shared" si="159"/>
        <v>0</v>
      </c>
      <c r="M165" s="171">
        <f t="shared" si="159"/>
        <v>0</v>
      </c>
      <c r="N165" s="171">
        <f t="shared" si="159"/>
        <v>0</v>
      </c>
      <c r="O165" s="171">
        <f t="shared" si="159"/>
        <v>0</v>
      </c>
      <c r="P165" s="171">
        <f t="shared" si="159"/>
        <v>0</v>
      </c>
      <c r="Q165" s="171">
        <f t="shared" si="159"/>
        <v>0</v>
      </c>
      <c r="R165" s="171">
        <f t="shared" si="159"/>
        <v>0</v>
      </c>
      <c r="S165" s="171">
        <f t="shared" si="159"/>
        <v>0</v>
      </c>
      <c r="T165" s="171">
        <f t="shared" si="159"/>
        <v>0</v>
      </c>
      <c r="U165" s="171">
        <f t="shared" si="159"/>
        <v>0</v>
      </c>
      <c r="V165" s="171">
        <f t="shared" si="159"/>
        <v>0</v>
      </c>
      <c r="W165" s="171">
        <f t="shared" si="159"/>
        <v>0</v>
      </c>
      <c r="X165" s="171">
        <f t="shared" si="159"/>
        <v>0</v>
      </c>
      <c r="Y165" s="171">
        <f t="shared" si="159"/>
        <v>0</v>
      </c>
      <c r="Z165" s="171">
        <f t="shared" si="159"/>
        <v>0</v>
      </c>
      <c r="AA165" s="171">
        <f t="shared" si="159"/>
        <v>0</v>
      </c>
      <c r="AB165" s="171">
        <f t="shared" si="159"/>
        <v>0</v>
      </c>
      <c r="AC165" s="171">
        <f t="shared" si="159"/>
        <v>0</v>
      </c>
      <c r="AD165" s="171">
        <f t="shared" si="159"/>
        <v>0</v>
      </c>
      <c r="AE165" s="171">
        <f t="shared" si="159"/>
        <v>0</v>
      </c>
      <c r="AF165" s="171">
        <f t="shared" si="159"/>
        <v>0</v>
      </c>
      <c r="AG165" s="171">
        <f t="shared" si="159"/>
        <v>0</v>
      </c>
      <c r="AH165" s="154" t="s">
        <v>12</v>
      </c>
      <c r="AI165" s="133"/>
      <c r="AJ165" s="170"/>
      <c r="AK165" s="133"/>
      <c r="AL165" s="133"/>
    </row>
    <row r="166" spans="1:38" ht="15.95" hidden="1" customHeight="1" x14ac:dyDescent="0.25">
      <c r="A166" s="177"/>
      <c r="B166" s="160" t="s">
        <v>68</v>
      </c>
      <c r="C166" s="161">
        <f>IF(C19="V",IF(C19="",0,1),0)</f>
        <v>0</v>
      </c>
      <c r="D166" s="161">
        <f t="shared" ref="D166:AG166" si="160">IF(D19="V",IF(D19="",0,1),0)</f>
        <v>0</v>
      </c>
      <c r="E166" s="161">
        <f t="shared" si="160"/>
        <v>0</v>
      </c>
      <c r="F166" s="161">
        <f t="shared" si="160"/>
        <v>0</v>
      </c>
      <c r="G166" s="161">
        <f t="shared" si="160"/>
        <v>0</v>
      </c>
      <c r="H166" s="161">
        <f t="shared" si="160"/>
        <v>0</v>
      </c>
      <c r="I166" s="161">
        <f t="shared" si="160"/>
        <v>0</v>
      </c>
      <c r="J166" s="161">
        <f t="shared" si="160"/>
        <v>0</v>
      </c>
      <c r="K166" s="161">
        <f t="shared" si="160"/>
        <v>0</v>
      </c>
      <c r="L166" s="161">
        <f t="shared" si="160"/>
        <v>0</v>
      </c>
      <c r="M166" s="161">
        <f t="shared" si="160"/>
        <v>0</v>
      </c>
      <c r="N166" s="161">
        <f t="shared" si="160"/>
        <v>0</v>
      </c>
      <c r="O166" s="161">
        <f t="shared" si="160"/>
        <v>0</v>
      </c>
      <c r="P166" s="161">
        <f t="shared" si="160"/>
        <v>0</v>
      </c>
      <c r="Q166" s="161">
        <f t="shared" si="160"/>
        <v>0</v>
      </c>
      <c r="R166" s="161">
        <f t="shared" si="160"/>
        <v>0</v>
      </c>
      <c r="S166" s="161">
        <f t="shared" si="160"/>
        <v>0</v>
      </c>
      <c r="T166" s="161">
        <f t="shared" si="160"/>
        <v>0</v>
      </c>
      <c r="U166" s="161">
        <f t="shared" si="160"/>
        <v>0</v>
      </c>
      <c r="V166" s="161">
        <f t="shared" si="160"/>
        <v>0</v>
      </c>
      <c r="W166" s="161">
        <f t="shared" si="160"/>
        <v>0</v>
      </c>
      <c r="X166" s="161">
        <f t="shared" si="160"/>
        <v>0</v>
      </c>
      <c r="Y166" s="161">
        <f t="shared" si="160"/>
        <v>0</v>
      </c>
      <c r="Z166" s="161">
        <f t="shared" si="160"/>
        <v>0</v>
      </c>
      <c r="AA166" s="161">
        <f t="shared" si="160"/>
        <v>0</v>
      </c>
      <c r="AB166" s="161">
        <f t="shared" si="160"/>
        <v>0</v>
      </c>
      <c r="AC166" s="161">
        <f t="shared" si="160"/>
        <v>0</v>
      </c>
      <c r="AD166" s="161">
        <f t="shared" si="160"/>
        <v>0</v>
      </c>
      <c r="AE166" s="161">
        <f t="shared" si="160"/>
        <v>0</v>
      </c>
      <c r="AF166" s="161">
        <f t="shared" si="160"/>
        <v>0</v>
      </c>
      <c r="AG166" s="161">
        <f t="shared" si="160"/>
        <v>0</v>
      </c>
      <c r="AH166" s="154" t="s">
        <v>12</v>
      </c>
      <c r="AI166" s="133"/>
      <c r="AJ166" s="170"/>
      <c r="AK166" s="133"/>
      <c r="AL166" s="133"/>
    </row>
    <row r="167" spans="1:38" ht="15.95" hidden="1" customHeight="1" x14ac:dyDescent="0.25">
      <c r="A167" s="180"/>
      <c r="B167" s="181" t="s">
        <v>16</v>
      </c>
      <c r="C167" s="182">
        <f>IF(C19="PR",IF(C19="",0,1),0)</f>
        <v>0</v>
      </c>
      <c r="D167" s="182">
        <f t="shared" ref="D167:AG167" si="161">IF(D19="PR",IF(D19="",0,1),0)</f>
        <v>0</v>
      </c>
      <c r="E167" s="182">
        <f t="shared" si="161"/>
        <v>0</v>
      </c>
      <c r="F167" s="182">
        <f t="shared" si="161"/>
        <v>0</v>
      </c>
      <c r="G167" s="182">
        <f t="shared" si="161"/>
        <v>0</v>
      </c>
      <c r="H167" s="182">
        <f t="shared" si="161"/>
        <v>0</v>
      </c>
      <c r="I167" s="182">
        <f t="shared" si="161"/>
        <v>0</v>
      </c>
      <c r="J167" s="182">
        <f t="shared" si="161"/>
        <v>0</v>
      </c>
      <c r="K167" s="182">
        <f t="shared" si="161"/>
        <v>0</v>
      </c>
      <c r="L167" s="182">
        <f t="shared" si="161"/>
        <v>0</v>
      </c>
      <c r="M167" s="182">
        <f t="shared" si="161"/>
        <v>0</v>
      </c>
      <c r="N167" s="182">
        <f t="shared" si="161"/>
        <v>0</v>
      </c>
      <c r="O167" s="182">
        <f t="shared" si="161"/>
        <v>0</v>
      </c>
      <c r="P167" s="182">
        <f t="shared" si="161"/>
        <v>0</v>
      </c>
      <c r="Q167" s="182">
        <f t="shared" si="161"/>
        <v>0</v>
      </c>
      <c r="R167" s="182">
        <f t="shared" si="161"/>
        <v>0</v>
      </c>
      <c r="S167" s="182">
        <f t="shared" si="161"/>
        <v>0</v>
      </c>
      <c r="T167" s="182">
        <f t="shared" si="161"/>
        <v>0</v>
      </c>
      <c r="U167" s="182">
        <f t="shared" si="161"/>
        <v>0</v>
      </c>
      <c r="V167" s="182">
        <f t="shared" si="161"/>
        <v>0</v>
      </c>
      <c r="W167" s="182">
        <f t="shared" si="161"/>
        <v>0</v>
      </c>
      <c r="X167" s="182">
        <f t="shared" si="161"/>
        <v>0</v>
      </c>
      <c r="Y167" s="182">
        <f t="shared" si="161"/>
        <v>0</v>
      </c>
      <c r="Z167" s="182">
        <f t="shared" si="161"/>
        <v>0</v>
      </c>
      <c r="AA167" s="182">
        <f t="shared" si="161"/>
        <v>0</v>
      </c>
      <c r="AB167" s="182">
        <f t="shared" si="161"/>
        <v>0</v>
      </c>
      <c r="AC167" s="182">
        <f t="shared" si="161"/>
        <v>0</v>
      </c>
      <c r="AD167" s="182">
        <f t="shared" si="161"/>
        <v>0</v>
      </c>
      <c r="AE167" s="182">
        <f t="shared" si="161"/>
        <v>0</v>
      </c>
      <c r="AF167" s="182">
        <f t="shared" si="161"/>
        <v>0</v>
      </c>
      <c r="AG167" s="182">
        <f t="shared" si="161"/>
        <v>0</v>
      </c>
      <c r="AH167" s="227">
        <f>SUM(C167:AG167)</f>
        <v>0</v>
      </c>
      <c r="AI167" s="227"/>
      <c r="AJ167" s="174" t="s">
        <v>69</v>
      </c>
      <c r="AK167" s="133"/>
      <c r="AL167" s="133"/>
    </row>
    <row r="168" spans="1:38" ht="15.95" hidden="1" customHeight="1" x14ac:dyDescent="0.25">
      <c r="A168" s="164" t="s">
        <v>127</v>
      </c>
      <c r="B168" s="165" t="s">
        <v>29</v>
      </c>
      <c r="C168" s="141" t="str">
        <f>IF(C20=$R32,$S32*24,IF(C20=$R33,$S33*24,IF(C20=$R34,$S34*24,IF(C20=$R35,$S35*24,IF(C20=$R36,$S36*24,IF(C20=$R37,$S37*24,IF(C20=$R38,$S38*24,IF(C20=$R39,$S39*24,IF(C20=$R40,$S40*24,"")))))))))</f>
        <v/>
      </c>
      <c r="D168" s="141" t="str">
        <f t="shared" ref="D168:AG168" si="162">IF(D20=$R32,$S32*24,IF(D20=$R33,$S33*24,IF(D20=$R34,$S34*24,IF(D20=$R35,$S35*24,IF(D20=$R36,$S36*24,IF(D20=$R37,$S37*24,IF(D20=$R38,$S38*24,IF(D20=$R39,$S39*24,IF(D20=$R40,$S40*24,"")))))))))</f>
        <v/>
      </c>
      <c r="E168" s="141" t="str">
        <f t="shared" si="162"/>
        <v/>
      </c>
      <c r="F168" s="141" t="str">
        <f t="shared" si="162"/>
        <v/>
      </c>
      <c r="G168" s="141" t="str">
        <f t="shared" si="162"/>
        <v/>
      </c>
      <c r="H168" s="141" t="str">
        <f t="shared" si="162"/>
        <v/>
      </c>
      <c r="I168" s="141" t="str">
        <f t="shared" si="162"/>
        <v/>
      </c>
      <c r="J168" s="141" t="str">
        <f t="shared" si="162"/>
        <v/>
      </c>
      <c r="K168" s="141" t="str">
        <f t="shared" si="162"/>
        <v/>
      </c>
      <c r="L168" s="141" t="str">
        <f t="shared" si="162"/>
        <v/>
      </c>
      <c r="M168" s="141" t="str">
        <f t="shared" si="162"/>
        <v/>
      </c>
      <c r="N168" s="141" t="str">
        <f t="shared" si="162"/>
        <v/>
      </c>
      <c r="O168" s="141" t="str">
        <f t="shared" si="162"/>
        <v/>
      </c>
      <c r="P168" s="141" t="str">
        <f t="shared" si="162"/>
        <v/>
      </c>
      <c r="Q168" s="141" t="str">
        <f t="shared" si="162"/>
        <v/>
      </c>
      <c r="R168" s="141" t="str">
        <f t="shared" si="162"/>
        <v/>
      </c>
      <c r="S168" s="141" t="str">
        <f t="shared" si="162"/>
        <v/>
      </c>
      <c r="T168" s="141" t="str">
        <f t="shared" si="162"/>
        <v/>
      </c>
      <c r="U168" s="141" t="str">
        <f t="shared" si="162"/>
        <v/>
      </c>
      <c r="V168" s="141" t="str">
        <f t="shared" si="162"/>
        <v/>
      </c>
      <c r="W168" s="141" t="str">
        <f t="shared" si="162"/>
        <v/>
      </c>
      <c r="X168" s="141" t="str">
        <f t="shared" si="162"/>
        <v/>
      </c>
      <c r="Y168" s="141" t="str">
        <f t="shared" si="162"/>
        <v/>
      </c>
      <c r="Z168" s="141" t="str">
        <f t="shared" si="162"/>
        <v/>
      </c>
      <c r="AA168" s="141" t="str">
        <f t="shared" si="162"/>
        <v/>
      </c>
      <c r="AB168" s="141" t="str">
        <f t="shared" si="162"/>
        <v/>
      </c>
      <c r="AC168" s="141" t="str">
        <f t="shared" si="162"/>
        <v/>
      </c>
      <c r="AD168" s="141" t="str">
        <f t="shared" si="162"/>
        <v/>
      </c>
      <c r="AE168" s="141" t="str">
        <f t="shared" si="162"/>
        <v/>
      </c>
      <c r="AF168" s="141" t="str">
        <f t="shared" si="162"/>
        <v/>
      </c>
      <c r="AG168" s="141" t="str">
        <f t="shared" si="162"/>
        <v/>
      </c>
      <c r="AH168" s="154" t="s">
        <v>12</v>
      </c>
      <c r="AI168" s="133"/>
      <c r="AJ168" s="170"/>
      <c r="AK168" s="133"/>
      <c r="AL168" s="133"/>
    </row>
    <row r="169" spans="1:38" ht="15.95" hidden="1" customHeight="1" x14ac:dyDescent="0.25">
      <c r="A169" s="166" t="s">
        <v>129</v>
      </c>
      <c r="B169" s="167" t="s">
        <v>30</v>
      </c>
      <c r="C169" s="141" t="str">
        <f>IF(C20=$R32,$V32*24,IF(C20=$R33,$V33*24,IF(C20=$R34,$V34*24,IF(C20=$R35,$V35*24,IF(C20=$R36,$V36*24,IF(C20=$R37,$V37*24,IF(C20=$R38,$V38*24,IF(C20=$R39,$V39*24,IF(C20=$R40,$V40*24,"")))))))))</f>
        <v/>
      </c>
      <c r="D169" s="141" t="str">
        <f t="shared" ref="D169:AG169" si="163">IF(D20=$R32,$V32*24,IF(D20=$R33,$V33*24,IF(D20=$R34,$V34*24,IF(D20=$R35,$V35*24,IF(D20=$R36,$V36*24,IF(D20=$R37,$V37*24,IF(D20=$R38,$V38*24,IF(D20=$R39,$V39*24,IF(D20=$R40,$V40*24,"")))))))))</f>
        <v/>
      </c>
      <c r="E169" s="141" t="str">
        <f t="shared" si="163"/>
        <v/>
      </c>
      <c r="F169" s="141" t="str">
        <f t="shared" si="163"/>
        <v/>
      </c>
      <c r="G169" s="141" t="str">
        <f t="shared" si="163"/>
        <v/>
      </c>
      <c r="H169" s="141" t="str">
        <f t="shared" si="163"/>
        <v/>
      </c>
      <c r="I169" s="141" t="str">
        <f t="shared" si="163"/>
        <v/>
      </c>
      <c r="J169" s="141" t="str">
        <f t="shared" si="163"/>
        <v/>
      </c>
      <c r="K169" s="141" t="str">
        <f t="shared" si="163"/>
        <v/>
      </c>
      <c r="L169" s="141" t="str">
        <f t="shared" si="163"/>
        <v/>
      </c>
      <c r="M169" s="141" t="str">
        <f t="shared" si="163"/>
        <v/>
      </c>
      <c r="N169" s="141" t="str">
        <f t="shared" si="163"/>
        <v/>
      </c>
      <c r="O169" s="141" t="str">
        <f t="shared" si="163"/>
        <v/>
      </c>
      <c r="P169" s="141" t="str">
        <f t="shared" si="163"/>
        <v/>
      </c>
      <c r="Q169" s="141" t="str">
        <f t="shared" si="163"/>
        <v/>
      </c>
      <c r="R169" s="141" t="str">
        <f t="shared" si="163"/>
        <v/>
      </c>
      <c r="S169" s="141" t="str">
        <f t="shared" si="163"/>
        <v/>
      </c>
      <c r="T169" s="141" t="str">
        <f t="shared" si="163"/>
        <v/>
      </c>
      <c r="U169" s="141" t="str">
        <f t="shared" si="163"/>
        <v/>
      </c>
      <c r="V169" s="141" t="str">
        <f t="shared" si="163"/>
        <v/>
      </c>
      <c r="W169" s="141" t="str">
        <f t="shared" si="163"/>
        <v/>
      </c>
      <c r="X169" s="141" t="str">
        <f t="shared" si="163"/>
        <v/>
      </c>
      <c r="Y169" s="141" t="str">
        <f t="shared" si="163"/>
        <v/>
      </c>
      <c r="Z169" s="141" t="str">
        <f t="shared" si="163"/>
        <v/>
      </c>
      <c r="AA169" s="141" t="str">
        <f t="shared" si="163"/>
        <v/>
      </c>
      <c r="AB169" s="141" t="str">
        <f t="shared" si="163"/>
        <v/>
      </c>
      <c r="AC169" s="141" t="str">
        <f t="shared" si="163"/>
        <v/>
      </c>
      <c r="AD169" s="141" t="str">
        <f t="shared" si="163"/>
        <v/>
      </c>
      <c r="AE169" s="141" t="str">
        <f t="shared" si="163"/>
        <v/>
      </c>
      <c r="AF169" s="141" t="str">
        <f t="shared" si="163"/>
        <v/>
      </c>
      <c r="AG169" s="141" t="str">
        <f t="shared" si="163"/>
        <v/>
      </c>
      <c r="AH169" s="154" t="s">
        <v>12</v>
      </c>
      <c r="AI169" s="133"/>
      <c r="AJ169" s="170"/>
      <c r="AK169" s="133"/>
      <c r="AL169" s="133"/>
    </row>
    <row r="170" spans="1:38" ht="15.95" hidden="1" customHeight="1" x14ac:dyDescent="0.25">
      <c r="A170" s="153"/>
      <c r="B170" s="183" t="s">
        <v>34</v>
      </c>
      <c r="C170" s="169" t="str">
        <f t="shared" ref="C170:AD170" si="164">IF(C20=$R32,$BD32*24,IF(C20=$R33,$BD33*24,IF(C20=$R34,$BD34*24,IF(C20=$R35,$BD35*24,IF(C20=$R36,$BD36*24,IF(C20=$R37,$BD37*24,IF(C20=$R38,$BD38*24,IF(C20=$R39,$BD39*24,IF(C20=$R40,$BD40*24,"")))))))))</f>
        <v/>
      </c>
      <c r="D170" s="169" t="str">
        <f t="shared" si="164"/>
        <v/>
      </c>
      <c r="E170" s="169" t="str">
        <f t="shared" si="164"/>
        <v/>
      </c>
      <c r="F170" s="169" t="str">
        <f t="shared" si="164"/>
        <v/>
      </c>
      <c r="G170" s="169" t="str">
        <f t="shared" si="164"/>
        <v/>
      </c>
      <c r="H170" s="169" t="str">
        <f t="shared" si="164"/>
        <v/>
      </c>
      <c r="I170" s="169" t="str">
        <f t="shared" si="164"/>
        <v/>
      </c>
      <c r="J170" s="169" t="str">
        <f t="shared" si="164"/>
        <v/>
      </c>
      <c r="K170" s="169" t="str">
        <f t="shared" si="164"/>
        <v/>
      </c>
      <c r="L170" s="169" t="str">
        <f t="shared" si="164"/>
        <v/>
      </c>
      <c r="M170" s="169" t="str">
        <f t="shared" si="164"/>
        <v/>
      </c>
      <c r="N170" s="169" t="str">
        <f t="shared" si="164"/>
        <v/>
      </c>
      <c r="O170" s="169" t="str">
        <f t="shared" si="164"/>
        <v/>
      </c>
      <c r="P170" s="169" t="str">
        <f t="shared" si="164"/>
        <v/>
      </c>
      <c r="Q170" s="169" t="str">
        <f t="shared" si="164"/>
        <v/>
      </c>
      <c r="R170" s="169" t="str">
        <f t="shared" si="164"/>
        <v/>
      </c>
      <c r="S170" s="169" t="str">
        <f t="shared" si="164"/>
        <v/>
      </c>
      <c r="T170" s="169" t="str">
        <f t="shared" si="164"/>
        <v/>
      </c>
      <c r="U170" s="169" t="str">
        <f t="shared" si="164"/>
        <v/>
      </c>
      <c r="V170" s="169" t="str">
        <f t="shared" si="164"/>
        <v/>
      </c>
      <c r="W170" s="169" t="str">
        <f t="shared" si="164"/>
        <v/>
      </c>
      <c r="X170" s="169" t="str">
        <f t="shared" si="164"/>
        <v/>
      </c>
      <c r="Y170" s="169" t="str">
        <f t="shared" si="164"/>
        <v/>
      </c>
      <c r="Z170" s="169" t="str">
        <f t="shared" si="164"/>
        <v/>
      </c>
      <c r="AA170" s="169" t="str">
        <f t="shared" si="164"/>
        <v/>
      </c>
      <c r="AB170" s="169" t="str">
        <f t="shared" si="164"/>
        <v/>
      </c>
      <c r="AC170" s="169" t="str">
        <f t="shared" si="164"/>
        <v/>
      </c>
      <c r="AD170" s="169" t="str">
        <f t="shared" si="164"/>
        <v/>
      </c>
      <c r="AE170" s="169" t="str">
        <f>IF(AE20=$R32,$BD32*24,IF(AE20=$R33,$BD33*24,IF(AE20=$R34,$BD34*24,IF(AE20=$R35,$BD35*24,IF(AE20=$R36,$BD36*24,IF(AE20=$R37,$BD37*24,IF(AE20=$R38,$BD38*24,IF(AE20=$R39,$BD39*24,IF(AE20=$R40,$BD40*24,"")))))))))</f>
        <v/>
      </c>
      <c r="AF170" s="169" t="str">
        <f>IF(AF20=$R32,$BD32*24,IF(AF20=$R33,$BD33*24,IF(AF20=$R34,$BD34*24,IF(AF20=$R35,$BD35*24,IF(AF20=$R36,$BD36*24,IF(AF20=$R37,$BD37*24,IF(AF20=$R38,$BD38*24,IF(AF20=$R39,$BD39*24,IF(AF20=$R40,$BD40*24,"")))))))))</f>
        <v/>
      </c>
      <c r="AG170" s="169" t="str">
        <f>IF(AG20=$R32,$BD32*24,IF(AG20=$R33,$BD33*24,IF(AG20=$R34,$BD34*24,IF(AG20=$R35,$BD35*24,IF(AG20=$R36,$BD36*24,IF(AG20=$R37,$BD37*24,IF(AG20=$R38,$BD38*24,IF(AG20=$R39,$BD39*24,IF(AG20=$R40,$BD40*24,"")))))))))</f>
        <v/>
      </c>
      <c r="AH170" s="148">
        <f>SUM(C170:AG170)</f>
        <v>0</v>
      </c>
      <c r="AI170" s="133"/>
      <c r="AJ170" s="170"/>
      <c r="AK170" s="133"/>
      <c r="AL170" s="133"/>
    </row>
    <row r="171" spans="1:38" ht="15.95" hidden="1" customHeight="1" x14ac:dyDescent="0.25">
      <c r="A171" s="153"/>
      <c r="B171" s="167" t="s">
        <v>59</v>
      </c>
      <c r="C171" s="141">
        <f>IF(C20="V",$C36,IF(C20="PR",$C38,0))</f>
        <v>0</v>
      </c>
      <c r="D171" s="141">
        <f t="shared" ref="D171:AG171" si="165">IF(D20="V",$C36,IF(D20="PR",$C38,0))</f>
        <v>0</v>
      </c>
      <c r="E171" s="141">
        <f t="shared" si="165"/>
        <v>0</v>
      </c>
      <c r="F171" s="141">
        <f t="shared" si="165"/>
        <v>0</v>
      </c>
      <c r="G171" s="141">
        <f t="shared" si="165"/>
        <v>0</v>
      </c>
      <c r="H171" s="141">
        <f t="shared" si="165"/>
        <v>0</v>
      </c>
      <c r="I171" s="141">
        <f t="shared" si="165"/>
        <v>0</v>
      </c>
      <c r="J171" s="141">
        <f t="shared" si="165"/>
        <v>0</v>
      </c>
      <c r="K171" s="141">
        <f t="shared" si="165"/>
        <v>0</v>
      </c>
      <c r="L171" s="141">
        <f t="shared" si="165"/>
        <v>0</v>
      </c>
      <c r="M171" s="141">
        <f t="shared" si="165"/>
        <v>0</v>
      </c>
      <c r="N171" s="141">
        <f t="shared" si="165"/>
        <v>0</v>
      </c>
      <c r="O171" s="141">
        <f t="shared" si="165"/>
        <v>0</v>
      </c>
      <c r="P171" s="141">
        <f t="shared" si="165"/>
        <v>0</v>
      </c>
      <c r="Q171" s="141">
        <f t="shared" si="165"/>
        <v>0</v>
      </c>
      <c r="R171" s="141">
        <f t="shared" si="165"/>
        <v>0</v>
      </c>
      <c r="S171" s="141">
        <f t="shared" si="165"/>
        <v>0</v>
      </c>
      <c r="T171" s="141">
        <f t="shared" si="165"/>
        <v>0</v>
      </c>
      <c r="U171" s="141">
        <f t="shared" si="165"/>
        <v>0</v>
      </c>
      <c r="V171" s="141">
        <f t="shared" si="165"/>
        <v>0</v>
      </c>
      <c r="W171" s="141">
        <f t="shared" si="165"/>
        <v>0</v>
      </c>
      <c r="X171" s="141">
        <f t="shared" si="165"/>
        <v>0</v>
      </c>
      <c r="Y171" s="141">
        <f t="shared" si="165"/>
        <v>0</v>
      </c>
      <c r="Z171" s="141">
        <f t="shared" si="165"/>
        <v>0</v>
      </c>
      <c r="AA171" s="141">
        <f t="shared" si="165"/>
        <v>0</v>
      </c>
      <c r="AB171" s="141">
        <f t="shared" si="165"/>
        <v>0</v>
      </c>
      <c r="AC171" s="141">
        <f t="shared" si="165"/>
        <v>0</v>
      </c>
      <c r="AD171" s="141">
        <f t="shared" si="165"/>
        <v>0</v>
      </c>
      <c r="AE171" s="141">
        <f t="shared" si="165"/>
        <v>0</v>
      </c>
      <c r="AF171" s="141">
        <f t="shared" si="165"/>
        <v>0</v>
      </c>
      <c r="AG171" s="141">
        <f t="shared" si="165"/>
        <v>0</v>
      </c>
      <c r="AH171" s="226">
        <f>SUM(C171:AG171)</f>
        <v>0</v>
      </c>
      <c r="AI171" s="226"/>
      <c r="AJ171" s="230">
        <f>SUM(AH116+AH127+AH138+AH149+AH160+AH171)</f>
        <v>78.3</v>
      </c>
      <c r="AK171" s="230"/>
      <c r="AL171" s="133" t="s">
        <v>56</v>
      </c>
    </row>
    <row r="172" spans="1:38" ht="15.95" hidden="1" customHeight="1" x14ac:dyDescent="0.25">
      <c r="A172" s="150" t="s">
        <v>60</v>
      </c>
      <c r="B172" s="167" t="s">
        <v>61</v>
      </c>
      <c r="C172" s="151">
        <f t="shared" ref="C172:AD172" si="166">IF(C20=$R32,$BC32,IF(C20=$R33,$BC33,IF(C20=$R34,$BC34,IF(C20=$R35,$BC35,IF(C20=$R36,$BC36,IF(C20=$R37,$BC37,IF(C20=$R38,$BC38,IF(C20=$R39,$BC39,IF(C20=$R40,$BC40,0)))))))))</f>
        <v>0</v>
      </c>
      <c r="D172" s="151">
        <f t="shared" si="166"/>
        <v>0</v>
      </c>
      <c r="E172" s="151">
        <f t="shared" si="166"/>
        <v>0</v>
      </c>
      <c r="F172" s="151">
        <f t="shared" si="166"/>
        <v>0</v>
      </c>
      <c r="G172" s="151">
        <f t="shared" si="166"/>
        <v>0</v>
      </c>
      <c r="H172" s="151">
        <f t="shared" si="166"/>
        <v>0</v>
      </c>
      <c r="I172" s="151">
        <f t="shared" si="166"/>
        <v>0</v>
      </c>
      <c r="J172" s="151">
        <f t="shared" si="166"/>
        <v>0</v>
      </c>
      <c r="K172" s="151">
        <f t="shared" si="166"/>
        <v>0</v>
      </c>
      <c r="L172" s="151">
        <f t="shared" si="166"/>
        <v>0</v>
      </c>
      <c r="M172" s="151">
        <f t="shared" si="166"/>
        <v>0</v>
      </c>
      <c r="N172" s="151">
        <f t="shared" si="166"/>
        <v>0</v>
      </c>
      <c r="O172" s="151">
        <f t="shared" si="166"/>
        <v>0</v>
      </c>
      <c r="P172" s="151">
        <f t="shared" si="166"/>
        <v>0</v>
      </c>
      <c r="Q172" s="151">
        <f t="shared" si="166"/>
        <v>0</v>
      </c>
      <c r="R172" s="151">
        <f t="shared" si="166"/>
        <v>0</v>
      </c>
      <c r="S172" s="151">
        <f t="shared" si="166"/>
        <v>0</v>
      </c>
      <c r="T172" s="151">
        <f t="shared" si="166"/>
        <v>0</v>
      </c>
      <c r="U172" s="151">
        <f t="shared" si="166"/>
        <v>0</v>
      </c>
      <c r="V172" s="151">
        <f t="shared" si="166"/>
        <v>0</v>
      </c>
      <c r="W172" s="151">
        <f t="shared" si="166"/>
        <v>0</v>
      </c>
      <c r="X172" s="151">
        <f t="shared" si="166"/>
        <v>0</v>
      </c>
      <c r="Y172" s="151">
        <f t="shared" si="166"/>
        <v>0</v>
      </c>
      <c r="Z172" s="151">
        <f t="shared" si="166"/>
        <v>0</v>
      </c>
      <c r="AA172" s="151">
        <f t="shared" si="166"/>
        <v>0</v>
      </c>
      <c r="AB172" s="151">
        <f t="shared" si="166"/>
        <v>0</v>
      </c>
      <c r="AC172" s="151">
        <f t="shared" si="166"/>
        <v>0</v>
      </c>
      <c r="AD172" s="151">
        <f t="shared" si="166"/>
        <v>0</v>
      </c>
      <c r="AE172" s="151">
        <f>IF(AE20=$R32,$BC32,IF(AE20=$R33,$BC33,IF(AE20=$R34,$BC34,IF(AE20=$R35,$BC35,IF(AE20=$R36,$BC36,IF(AE20=$R37,$BC37,IF(AE20=$R38,$BC38,IF(AE20=$R39,$BC39,IF(AE20=$R40,$BC40,0)))))))))</f>
        <v>0</v>
      </c>
      <c r="AF172" s="151">
        <f>IF(AF20=$R32,$BC32,IF(AF20=$R33,$BC33,IF(AF20=$R34,$BC34,IF(AF20=$R35,$BC35,IF(AF20=$R36,$BC36,IF(AF20=$R37,$BC37,IF(AF20=$R38,$BC38,IF(AF20=$R39,$BC39,IF(AF20=$R40,$BC40,0)))))))))</f>
        <v>0</v>
      </c>
      <c r="AG172" s="151">
        <f>IF(AG20=$R32,$BC32,IF(AG20=$R33,$BC33,IF(AG20=$R34,$BC34,IF(AG20=$R35,$BC35,IF(AG20=$R36,$BC36,IF(AG20=$R37,$BC37,IF(AG20=$R38,$BC38,IF(AG20=$R39,$BC39,IF(AG20=$R40,$BC40,0)))))))))</f>
        <v>0</v>
      </c>
      <c r="AH172" s="226">
        <f>SUM(C172:AG172)</f>
        <v>0</v>
      </c>
      <c r="AI172" s="226"/>
      <c r="AJ172" s="174" t="s">
        <v>62</v>
      </c>
      <c r="AK172" s="133" t="s">
        <v>12</v>
      </c>
      <c r="AL172" s="133"/>
    </row>
    <row r="173" spans="1:38" ht="15.95" hidden="1" customHeight="1" x14ac:dyDescent="0.25">
      <c r="A173" s="153" t="s">
        <v>48</v>
      </c>
      <c r="B173" s="149" t="s">
        <v>63</v>
      </c>
      <c r="C173" s="141" t="b">
        <f>IF(C46=1,IF(C168&lt;C169,C172,0))</f>
        <v>0</v>
      </c>
      <c r="D173" s="141" t="b">
        <f t="shared" ref="D173:AG173" si="167">IF(D46=1,IF(D168&lt;D169,D172,0))</f>
        <v>0</v>
      </c>
      <c r="E173" s="141" t="b">
        <f t="shared" si="167"/>
        <v>0</v>
      </c>
      <c r="F173" s="141">
        <f t="shared" si="167"/>
        <v>0</v>
      </c>
      <c r="G173" s="141">
        <f t="shared" si="167"/>
        <v>0</v>
      </c>
      <c r="H173" s="141" t="b">
        <f t="shared" si="167"/>
        <v>0</v>
      </c>
      <c r="I173" s="141" t="b">
        <f t="shared" si="167"/>
        <v>0</v>
      </c>
      <c r="J173" s="141" t="b">
        <f t="shared" si="167"/>
        <v>0</v>
      </c>
      <c r="K173" s="141" t="b">
        <f t="shared" si="167"/>
        <v>0</v>
      </c>
      <c r="L173" s="141" t="b">
        <f t="shared" si="167"/>
        <v>0</v>
      </c>
      <c r="M173" s="141">
        <f t="shared" si="167"/>
        <v>0</v>
      </c>
      <c r="N173" s="141">
        <f t="shared" si="167"/>
        <v>0</v>
      </c>
      <c r="O173" s="141" t="b">
        <f t="shared" si="167"/>
        <v>0</v>
      </c>
      <c r="P173" s="141" t="b">
        <f t="shared" si="167"/>
        <v>0</v>
      </c>
      <c r="Q173" s="141" t="b">
        <f t="shared" si="167"/>
        <v>0</v>
      </c>
      <c r="R173" s="141" t="b">
        <f t="shared" si="167"/>
        <v>0</v>
      </c>
      <c r="S173" s="141" t="b">
        <f t="shared" si="167"/>
        <v>0</v>
      </c>
      <c r="T173" s="141">
        <f t="shared" si="167"/>
        <v>0</v>
      </c>
      <c r="U173" s="141">
        <f t="shared" si="167"/>
        <v>0</v>
      </c>
      <c r="V173" s="141" t="b">
        <f t="shared" si="167"/>
        <v>0</v>
      </c>
      <c r="W173" s="141" t="b">
        <f t="shared" si="167"/>
        <v>0</v>
      </c>
      <c r="X173" s="141" t="b">
        <f t="shared" si="167"/>
        <v>0</v>
      </c>
      <c r="Y173" s="141" t="b">
        <f t="shared" si="167"/>
        <v>0</v>
      </c>
      <c r="Z173" s="141" t="b">
        <f t="shared" si="167"/>
        <v>0</v>
      </c>
      <c r="AA173" s="141">
        <f t="shared" si="167"/>
        <v>0</v>
      </c>
      <c r="AB173" s="141">
        <f t="shared" si="167"/>
        <v>0</v>
      </c>
      <c r="AC173" s="141" t="b">
        <f t="shared" si="167"/>
        <v>0</v>
      </c>
      <c r="AD173" s="141" t="b">
        <f t="shared" si="167"/>
        <v>0</v>
      </c>
      <c r="AE173" s="141" t="b">
        <f t="shared" si="167"/>
        <v>0</v>
      </c>
      <c r="AF173" s="141" t="b">
        <f t="shared" si="167"/>
        <v>0</v>
      </c>
      <c r="AG173" s="141" t="b">
        <f t="shared" si="167"/>
        <v>0</v>
      </c>
      <c r="AH173" s="154" t="s">
        <v>12</v>
      </c>
      <c r="AI173" s="133"/>
      <c r="AJ173" s="170"/>
      <c r="AK173" s="133"/>
      <c r="AL173" s="133"/>
    </row>
    <row r="174" spans="1:38" ht="15.95" hidden="1" customHeight="1" x14ac:dyDescent="0.25">
      <c r="A174" s="176"/>
      <c r="B174" s="149" t="s">
        <v>64</v>
      </c>
      <c r="C174" s="141">
        <f>IF(C46=1,IF(C168&gt;C169,24-C168,0),0)</f>
        <v>0</v>
      </c>
      <c r="D174" s="141">
        <f t="shared" ref="D174:AG174" si="168">IF(D46=1,IF(D168&gt;D169,24-D168,0),0)</f>
        <v>0</v>
      </c>
      <c r="E174" s="141">
        <f t="shared" si="168"/>
        <v>0</v>
      </c>
      <c r="F174" s="141">
        <f t="shared" si="168"/>
        <v>0</v>
      </c>
      <c r="G174" s="141">
        <f t="shared" si="168"/>
        <v>0</v>
      </c>
      <c r="H174" s="141">
        <f t="shared" si="168"/>
        <v>0</v>
      </c>
      <c r="I174" s="141">
        <f t="shared" si="168"/>
        <v>0</v>
      </c>
      <c r="J174" s="141">
        <f t="shared" si="168"/>
        <v>0</v>
      </c>
      <c r="K174" s="141">
        <f t="shared" si="168"/>
        <v>0</v>
      </c>
      <c r="L174" s="141">
        <f t="shared" si="168"/>
        <v>0</v>
      </c>
      <c r="M174" s="141">
        <f t="shared" si="168"/>
        <v>0</v>
      </c>
      <c r="N174" s="141">
        <f t="shared" si="168"/>
        <v>0</v>
      </c>
      <c r="O174" s="141">
        <f t="shared" si="168"/>
        <v>0</v>
      </c>
      <c r="P174" s="141">
        <f t="shared" si="168"/>
        <v>0</v>
      </c>
      <c r="Q174" s="141">
        <f t="shared" si="168"/>
        <v>0</v>
      </c>
      <c r="R174" s="141">
        <f t="shared" si="168"/>
        <v>0</v>
      </c>
      <c r="S174" s="141">
        <f t="shared" si="168"/>
        <v>0</v>
      </c>
      <c r="T174" s="141">
        <f t="shared" si="168"/>
        <v>0</v>
      </c>
      <c r="U174" s="141">
        <f t="shared" si="168"/>
        <v>0</v>
      </c>
      <c r="V174" s="141">
        <f t="shared" si="168"/>
        <v>0</v>
      </c>
      <c r="W174" s="141">
        <f t="shared" si="168"/>
        <v>0</v>
      </c>
      <c r="X174" s="141">
        <f t="shared" si="168"/>
        <v>0</v>
      </c>
      <c r="Y174" s="141">
        <f t="shared" si="168"/>
        <v>0</v>
      </c>
      <c r="Z174" s="141">
        <f t="shared" si="168"/>
        <v>0</v>
      </c>
      <c r="AA174" s="141">
        <f t="shared" si="168"/>
        <v>0</v>
      </c>
      <c r="AB174" s="141">
        <f t="shared" si="168"/>
        <v>0</v>
      </c>
      <c r="AC174" s="141">
        <f t="shared" si="168"/>
        <v>0</v>
      </c>
      <c r="AD174" s="141">
        <f t="shared" si="168"/>
        <v>0</v>
      </c>
      <c r="AE174" s="141">
        <f t="shared" si="168"/>
        <v>0</v>
      </c>
      <c r="AF174" s="141">
        <f t="shared" si="168"/>
        <v>0</v>
      </c>
      <c r="AG174" s="141">
        <f t="shared" si="168"/>
        <v>0</v>
      </c>
      <c r="AH174" s="154" t="s">
        <v>12</v>
      </c>
      <c r="AI174" s="133"/>
      <c r="AJ174" s="170"/>
      <c r="AK174" s="133"/>
      <c r="AL174" s="133"/>
    </row>
    <row r="175" spans="1:38" ht="15.95" hidden="1" customHeight="1" x14ac:dyDescent="0.25">
      <c r="A175" s="176"/>
      <c r="B175" s="149" t="s">
        <v>65</v>
      </c>
      <c r="C175" s="141">
        <f>IF(C46=1,IF(C168&gt;C169,C169,0),0)</f>
        <v>0</v>
      </c>
      <c r="D175" s="141">
        <f t="shared" ref="D175:AG175" si="169">IF(D46=1,IF(D168&gt;D169,D169,0),0)</f>
        <v>0</v>
      </c>
      <c r="E175" s="141">
        <f t="shared" si="169"/>
        <v>0</v>
      </c>
      <c r="F175" s="141">
        <f t="shared" si="169"/>
        <v>0</v>
      </c>
      <c r="G175" s="141">
        <f t="shared" si="169"/>
        <v>0</v>
      </c>
      <c r="H175" s="141">
        <f t="shared" si="169"/>
        <v>0</v>
      </c>
      <c r="I175" s="141">
        <f t="shared" si="169"/>
        <v>0</v>
      </c>
      <c r="J175" s="141">
        <f t="shared" si="169"/>
        <v>0</v>
      </c>
      <c r="K175" s="141">
        <f t="shared" si="169"/>
        <v>0</v>
      </c>
      <c r="L175" s="141">
        <f t="shared" si="169"/>
        <v>0</v>
      </c>
      <c r="M175" s="141">
        <f t="shared" si="169"/>
        <v>0</v>
      </c>
      <c r="N175" s="141">
        <f t="shared" si="169"/>
        <v>0</v>
      </c>
      <c r="O175" s="141">
        <f t="shared" si="169"/>
        <v>0</v>
      </c>
      <c r="P175" s="141">
        <f t="shared" si="169"/>
        <v>0</v>
      </c>
      <c r="Q175" s="141">
        <f t="shared" si="169"/>
        <v>0</v>
      </c>
      <c r="R175" s="141">
        <f t="shared" si="169"/>
        <v>0</v>
      </c>
      <c r="S175" s="141">
        <f t="shared" si="169"/>
        <v>0</v>
      </c>
      <c r="T175" s="141">
        <f t="shared" si="169"/>
        <v>0</v>
      </c>
      <c r="U175" s="141">
        <f t="shared" si="169"/>
        <v>0</v>
      </c>
      <c r="V175" s="141">
        <f t="shared" si="169"/>
        <v>0</v>
      </c>
      <c r="W175" s="141">
        <f t="shared" si="169"/>
        <v>0</v>
      </c>
      <c r="X175" s="141">
        <f t="shared" si="169"/>
        <v>0</v>
      </c>
      <c r="Y175" s="141">
        <f t="shared" si="169"/>
        <v>0</v>
      </c>
      <c r="Z175" s="141">
        <f t="shared" si="169"/>
        <v>0</v>
      </c>
      <c r="AA175" s="141">
        <f t="shared" si="169"/>
        <v>0</v>
      </c>
      <c r="AB175" s="141">
        <f t="shared" si="169"/>
        <v>0</v>
      </c>
      <c r="AC175" s="141">
        <f t="shared" si="169"/>
        <v>0</v>
      </c>
      <c r="AD175" s="141">
        <f t="shared" si="169"/>
        <v>0</v>
      </c>
      <c r="AE175" s="141">
        <f t="shared" si="169"/>
        <v>0</v>
      </c>
      <c r="AF175" s="141">
        <f t="shared" si="169"/>
        <v>0</v>
      </c>
      <c r="AG175" s="141">
        <f t="shared" si="169"/>
        <v>0</v>
      </c>
      <c r="AH175" s="154" t="s">
        <v>12</v>
      </c>
      <c r="AI175" s="133"/>
      <c r="AJ175" s="170"/>
      <c r="AK175" s="133"/>
      <c r="AL175" s="133"/>
    </row>
    <row r="176" spans="1:38" ht="15.95" hidden="1" customHeight="1" x14ac:dyDescent="0.25">
      <c r="A176" s="176"/>
      <c r="B176" s="149" t="s">
        <v>67</v>
      </c>
      <c r="C176" s="171">
        <f>SUM(C173:C175)</f>
        <v>0</v>
      </c>
      <c r="D176" s="171">
        <f t="shared" ref="D176:AG176" si="170">SUM(D173:D175)</f>
        <v>0</v>
      </c>
      <c r="E176" s="171">
        <f t="shared" si="170"/>
        <v>0</v>
      </c>
      <c r="F176" s="171">
        <f t="shared" si="170"/>
        <v>0</v>
      </c>
      <c r="G176" s="171">
        <f t="shared" si="170"/>
        <v>0</v>
      </c>
      <c r="H176" s="171">
        <f t="shared" si="170"/>
        <v>0</v>
      </c>
      <c r="I176" s="171">
        <f t="shared" si="170"/>
        <v>0</v>
      </c>
      <c r="J176" s="171">
        <f t="shared" si="170"/>
        <v>0</v>
      </c>
      <c r="K176" s="171">
        <f t="shared" si="170"/>
        <v>0</v>
      </c>
      <c r="L176" s="171">
        <f t="shared" si="170"/>
        <v>0</v>
      </c>
      <c r="M176" s="171">
        <f t="shared" si="170"/>
        <v>0</v>
      </c>
      <c r="N176" s="171">
        <f t="shared" si="170"/>
        <v>0</v>
      </c>
      <c r="O176" s="171">
        <f t="shared" si="170"/>
        <v>0</v>
      </c>
      <c r="P176" s="171">
        <f t="shared" si="170"/>
        <v>0</v>
      </c>
      <c r="Q176" s="171">
        <f t="shared" si="170"/>
        <v>0</v>
      </c>
      <c r="R176" s="171">
        <f t="shared" si="170"/>
        <v>0</v>
      </c>
      <c r="S176" s="171">
        <f t="shared" si="170"/>
        <v>0</v>
      </c>
      <c r="T176" s="171">
        <f t="shared" si="170"/>
        <v>0</v>
      </c>
      <c r="U176" s="171">
        <f t="shared" si="170"/>
        <v>0</v>
      </c>
      <c r="V176" s="171">
        <f t="shared" si="170"/>
        <v>0</v>
      </c>
      <c r="W176" s="171">
        <f t="shared" si="170"/>
        <v>0</v>
      </c>
      <c r="X176" s="171">
        <f t="shared" si="170"/>
        <v>0</v>
      </c>
      <c r="Y176" s="171">
        <f t="shared" si="170"/>
        <v>0</v>
      </c>
      <c r="Z176" s="171">
        <f t="shared" si="170"/>
        <v>0</v>
      </c>
      <c r="AA176" s="171">
        <f t="shared" si="170"/>
        <v>0</v>
      </c>
      <c r="AB176" s="171">
        <f t="shared" si="170"/>
        <v>0</v>
      </c>
      <c r="AC176" s="171">
        <f t="shared" si="170"/>
        <v>0</v>
      </c>
      <c r="AD176" s="171">
        <f t="shared" si="170"/>
        <v>0</v>
      </c>
      <c r="AE176" s="171">
        <f t="shared" si="170"/>
        <v>0</v>
      </c>
      <c r="AF176" s="171">
        <f t="shared" si="170"/>
        <v>0</v>
      </c>
      <c r="AG176" s="171">
        <f t="shared" si="170"/>
        <v>0</v>
      </c>
      <c r="AH176" s="154" t="s">
        <v>12</v>
      </c>
      <c r="AI176" s="133"/>
      <c r="AJ176" s="170"/>
      <c r="AK176" s="133"/>
      <c r="AL176" s="133"/>
    </row>
    <row r="177" spans="1:38" ht="15.95" hidden="1" customHeight="1" x14ac:dyDescent="0.25">
      <c r="A177" s="177"/>
      <c r="B177" s="160" t="s">
        <v>68</v>
      </c>
      <c r="C177" s="161">
        <f>IF(C20="V",IF(C20="",0,1),0)</f>
        <v>0</v>
      </c>
      <c r="D177" s="161">
        <f t="shared" ref="D177:AG177" si="171">IF(D20="V",IF(D20="",0,1),0)</f>
        <v>0</v>
      </c>
      <c r="E177" s="161">
        <f t="shared" si="171"/>
        <v>0</v>
      </c>
      <c r="F177" s="161">
        <f t="shared" si="171"/>
        <v>0</v>
      </c>
      <c r="G177" s="161">
        <f t="shared" si="171"/>
        <v>0</v>
      </c>
      <c r="H177" s="161">
        <f t="shared" si="171"/>
        <v>0</v>
      </c>
      <c r="I177" s="161">
        <f t="shared" si="171"/>
        <v>0</v>
      </c>
      <c r="J177" s="161">
        <f t="shared" si="171"/>
        <v>0</v>
      </c>
      <c r="K177" s="161">
        <f t="shared" si="171"/>
        <v>0</v>
      </c>
      <c r="L177" s="161">
        <f t="shared" si="171"/>
        <v>0</v>
      </c>
      <c r="M177" s="161">
        <f t="shared" si="171"/>
        <v>0</v>
      </c>
      <c r="N177" s="161">
        <f t="shared" si="171"/>
        <v>0</v>
      </c>
      <c r="O177" s="161">
        <f t="shared" si="171"/>
        <v>0</v>
      </c>
      <c r="P177" s="161">
        <f t="shared" si="171"/>
        <v>0</v>
      </c>
      <c r="Q177" s="161">
        <f t="shared" si="171"/>
        <v>0</v>
      </c>
      <c r="R177" s="161">
        <f t="shared" si="171"/>
        <v>0</v>
      </c>
      <c r="S177" s="161">
        <f t="shared" si="171"/>
        <v>0</v>
      </c>
      <c r="T177" s="161">
        <f t="shared" si="171"/>
        <v>0</v>
      </c>
      <c r="U177" s="161">
        <f t="shared" si="171"/>
        <v>0</v>
      </c>
      <c r="V177" s="161">
        <f t="shared" si="171"/>
        <v>0</v>
      </c>
      <c r="W177" s="161">
        <f t="shared" si="171"/>
        <v>0</v>
      </c>
      <c r="X177" s="161">
        <f t="shared" si="171"/>
        <v>0</v>
      </c>
      <c r="Y177" s="161">
        <f t="shared" si="171"/>
        <v>0</v>
      </c>
      <c r="Z177" s="161">
        <f t="shared" si="171"/>
        <v>0</v>
      </c>
      <c r="AA177" s="161">
        <f t="shared" si="171"/>
        <v>0</v>
      </c>
      <c r="AB177" s="161">
        <f t="shared" si="171"/>
        <v>0</v>
      </c>
      <c r="AC177" s="161">
        <f t="shared" si="171"/>
        <v>0</v>
      </c>
      <c r="AD177" s="161">
        <f t="shared" si="171"/>
        <v>0</v>
      </c>
      <c r="AE177" s="161">
        <f t="shared" si="171"/>
        <v>0</v>
      </c>
      <c r="AF177" s="161">
        <f t="shared" si="171"/>
        <v>0</v>
      </c>
      <c r="AG177" s="161">
        <f t="shared" si="171"/>
        <v>0</v>
      </c>
      <c r="AH177" s="154" t="s">
        <v>12</v>
      </c>
      <c r="AI177" s="133"/>
      <c r="AJ177" s="170"/>
      <c r="AK177" s="133"/>
      <c r="AL177" s="133"/>
    </row>
    <row r="178" spans="1:38" ht="15.95" hidden="1" customHeight="1" x14ac:dyDescent="0.25">
      <c r="A178" s="180"/>
      <c r="B178" s="181" t="s">
        <v>16</v>
      </c>
      <c r="C178" s="182">
        <f>IF(C20="PR",IF(C20="",0,1),0)</f>
        <v>0</v>
      </c>
      <c r="D178" s="182">
        <f t="shared" ref="D178:AG178" si="172">IF(D20="PR",IF(D20="",0,1),0)</f>
        <v>0</v>
      </c>
      <c r="E178" s="182">
        <f t="shared" si="172"/>
        <v>0</v>
      </c>
      <c r="F178" s="182">
        <f t="shared" si="172"/>
        <v>0</v>
      </c>
      <c r="G178" s="182">
        <f t="shared" si="172"/>
        <v>0</v>
      </c>
      <c r="H178" s="182">
        <f t="shared" si="172"/>
        <v>0</v>
      </c>
      <c r="I178" s="182">
        <f t="shared" si="172"/>
        <v>0</v>
      </c>
      <c r="J178" s="182">
        <f t="shared" si="172"/>
        <v>0</v>
      </c>
      <c r="K178" s="182">
        <f t="shared" si="172"/>
        <v>0</v>
      </c>
      <c r="L178" s="182">
        <f t="shared" si="172"/>
        <v>0</v>
      </c>
      <c r="M178" s="182">
        <f t="shared" si="172"/>
        <v>0</v>
      </c>
      <c r="N178" s="182">
        <f t="shared" si="172"/>
        <v>0</v>
      </c>
      <c r="O178" s="182">
        <f t="shared" si="172"/>
        <v>0</v>
      </c>
      <c r="P178" s="182">
        <f t="shared" si="172"/>
        <v>0</v>
      </c>
      <c r="Q178" s="182">
        <f t="shared" si="172"/>
        <v>0</v>
      </c>
      <c r="R178" s="182">
        <f t="shared" si="172"/>
        <v>0</v>
      </c>
      <c r="S178" s="182">
        <f t="shared" si="172"/>
        <v>0</v>
      </c>
      <c r="T178" s="182">
        <f t="shared" si="172"/>
        <v>0</v>
      </c>
      <c r="U178" s="182">
        <f t="shared" si="172"/>
        <v>0</v>
      </c>
      <c r="V178" s="182">
        <f t="shared" si="172"/>
        <v>0</v>
      </c>
      <c r="W178" s="182">
        <f t="shared" si="172"/>
        <v>0</v>
      </c>
      <c r="X178" s="182">
        <f t="shared" si="172"/>
        <v>0</v>
      </c>
      <c r="Y178" s="182">
        <f t="shared" si="172"/>
        <v>0</v>
      </c>
      <c r="Z178" s="182">
        <f t="shared" si="172"/>
        <v>0</v>
      </c>
      <c r="AA178" s="182">
        <f t="shared" si="172"/>
        <v>0</v>
      </c>
      <c r="AB178" s="182">
        <f t="shared" si="172"/>
        <v>0</v>
      </c>
      <c r="AC178" s="182">
        <f t="shared" si="172"/>
        <v>0</v>
      </c>
      <c r="AD178" s="182">
        <f t="shared" si="172"/>
        <v>0</v>
      </c>
      <c r="AE178" s="182">
        <f t="shared" si="172"/>
        <v>0</v>
      </c>
      <c r="AF178" s="182">
        <f t="shared" si="172"/>
        <v>0</v>
      </c>
      <c r="AG178" s="182">
        <f t="shared" si="172"/>
        <v>0</v>
      </c>
      <c r="AH178" s="227">
        <f>SUM(C178:AG178)</f>
        <v>0</v>
      </c>
      <c r="AI178" s="227"/>
      <c r="AJ178" s="174" t="s">
        <v>69</v>
      </c>
      <c r="AK178" s="133"/>
      <c r="AL178" s="133"/>
    </row>
    <row r="179" spans="1:38" ht="15.95" hidden="1" customHeight="1" x14ac:dyDescent="0.25">
      <c r="A179" s="116"/>
      <c r="B179" s="184"/>
      <c r="C179" s="185"/>
      <c r="D179" s="185"/>
      <c r="E179" s="185"/>
      <c r="F179" s="185"/>
      <c r="G179" s="186"/>
      <c r="H179" s="185"/>
      <c r="I179" s="185"/>
      <c r="J179" s="185"/>
      <c r="K179" s="185"/>
      <c r="L179" s="185"/>
      <c r="M179" s="185"/>
      <c r="N179" s="186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185"/>
      <c r="AF179" s="185"/>
      <c r="AG179" s="185"/>
      <c r="AH179" s="133"/>
      <c r="AI179" s="133"/>
      <c r="AJ179" s="133"/>
      <c r="AK179" s="133"/>
      <c r="AL179" s="133"/>
    </row>
    <row r="180" spans="1:38" ht="15.95" hidden="1" customHeight="1" x14ac:dyDescent="0.25">
      <c r="A180" s="116"/>
      <c r="B180" s="184"/>
      <c r="C180" s="185"/>
      <c r="D180" s="185"/>
      <c r="E180" s="185"/>
      <c r="F180" s="185"/>
      <c r="G180" s="186"/>
      <c r="H180" s="185"/>
      <c r="I180" s="185"/>
      <c r="J180" s="185"/>
      <c r="K180" s="185"/>
      <c r="L180" s="185"/>
      <c r="M180" s="185"/>
      <c r="N180" s="186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185"/>
      <c r="AF180" s="185"/>
      <c r="AG180" s="185"/>
      <c r="AH180" s="116"/>
      <c r="AI180" s="116"/>
      <c r="AJ180" s="116"/>
      <c r="AK180" s="116"/>
      <c r="AL180" s="116"/>
    </row>
    <row r="181" spans="1:38" ht="15.95" hidden="1" customHeight="1" x14ac:dyDescent="0.25">
      <c r="A181" s="116"/>
      <c r="B181" s="184"/>
      <c r="C181" s="185"/>
      <c r="D181" s="185"/>
      <c r="E181" s="185"/>
      <c r="F181" s="185"/>
      <c r="G181" s="186"/>
      <c r="H181" s="185"/>
      <c r="I181" s="185"/>
      <c r="J181" s="185"/>
      <c r="K181" s="185"/>
      <c r="L181" s="185"/>
      <c r="M181" s="185"/>
      <c r="N181" s="186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/>
      <c r="AH181" s="116"/>
      <c r="AI181" s="116"/>
      <c r="AJ181" s="116"/>
      <c r="AK181" s="116"/>
      <c r="AL181" s="116"/>
    </row>
    <row r="182" spans="1:38" ht="15.95" hidden="1" customHeight="1" x14ac:dyDescent="0.25">
      <c r="A182" s="116"/>
      <c r="B182" s="126"/>
      <c r="C182" s="116"/>
      <c r="D182" s="116"/>
      <c r="E182" s="116"/>
      <c r="F182" s="116"/>
      <c r="G182" s="114"/>
      <c r="H182" s="116"/>
      <c r="I182" s="116"/>
      <c r="J182" s="116"/>
      <c r="K182" s="116"/>
      <c r="L182" s="116"/>
      <c r="M182" s="116"/>
      <c r="N182" s="114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  <c r="AH182" s="116"/>
      <c r="AI182" s="116"/>
      <c r="AJ182" s="116"/>
      <c r="AK182" s="116"/>
      <c r="AL182" s="116"/>
    </row>
    <row r="183" spans="1:38" ht="15.95" hidden="1" customHeight="1" x14ac:dyDescent="0.25">
      <c r="A183" s="116"/>
      <c r="B183" s="126"/>
      <c r="C183" s="116"/>
      <c r="D183" s="116"/>
      <c r="E183" s="116"/>
      <c r="F183" s="116"/>
      <c r="G183" s="114"/>
      <c r="H183" s="116"/>
      <c r="I183" s="116"/>
      <c r="J183" s="116"/>
      <c r="K183" s="116"/>
      <c r="L183" s="116"/>
      <c r="M183" s="116"/>
      <c r="N183" s="114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  <c r="AI183" s="116"/>
      <c r="AJ183" s="116"/>
      <c r="AK183" s="116"/>
      <c r="AL183" s="116"/>
    </row>
    <row r="184" spans="1:38" ht="15.95" hidden="1" customHeight="1" x14ac:dyDescent="0.25">
      <c r="A184" s="116"/>
      <c r="B184" s="126"/>
      <c r="C184" s="116"/>
      <c r="D184" s="116"/>
      <c r="E184" s="116"/>
      <c r="F184" s="116"/>
      <c r="G184" s="114"/>
      <c r="H184" s="116"/>
      <c r="I184" s="116"/>
      <c r="J184" s="116"/>
      <c r="K184" s="116"/>
      <c r="L184" s="116"/>
      <c r="M184" s="116"/>
      <c r="N184" s="114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  <c r="AI184" s="116"/>
      <c r="AJ184" s="116"/>
      <c r="AK184" s="116"/>
      <c r="AL184" s="116"/>
    </row>
    <row r="185" spans="1:38" ht="15.95" hidden="1" customHeight="1" x14ac:dyDescent="0.25">
      <c r="A185" s="116"/>
      <c r="B185" s="116"/>
      <c r="C185" s="116"/>
      <c r="D185" s="116"/>
      <c r="E185" s="116"/>
      <c r="F185" s="116"/>
      <c r="G185" s="114"/>
      <c r="H185" s="116"/>
      <c r="I185" s="116"/>
      <c r="J185" s="116"/>
      <c r="K185" s="116"/>
      <c r="L185" s="116"/>
      <c r="M185" s="116"/>
      <c r="N185" s="114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  <c r="AI185" s="116"/>
      <c r="AJ185" s="116"/>
      <c r="AK185" s="116"/>
      <c r="AL185" s="116"/>
    </row>
    <row r="186" spans="1:38" ht="15.95" hidden="1" customHeight="1" x14ac:dyDescent="0.25">
      <c r="A186" s="116"/>
      <c r="B186" s="116"/>
      <c r="C186" s="228" t="s">
        <v>89</v>
      </c>
      <c r="D186" s="228"/>
      <c r="E186" s="228"/>
      <c r="F186" s="228"/>
      <c r="G186" s="228"/>
      <c r="H186" s="228"/>
      <c r="I186" s="228"/>
      <c r="J186" s="228"/>
      <c r="K186" s="228"/>
      <c r="L186" s="228"/>
      <c r="M186" s="116"/>
      <c r="N186" s="114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  <c r="AH186" s="116"/>
      <c r="AI186" s="116"/>
      <c r="AJ186" s="116"/>
      <c r="AK186" s="116"/>
      <c r="AL186" s="116"/>
    </row>
    <row r="187" spans="1:38" ht="15.95" hidden="1" customHeight="1" x14ac:dyDescent="0.25">
      <c r="A187" s="180"/>
      <c r="B187" s="181" t="s">
        <v>90</v>
      </c>
      <c r="C187" s="187" t="str">
        <f t="shared" ref="C187:AG187" si="173">IF(C49&gt;=4,IF(C49="",0,8),IF(C49&gt;=0.1,IF(C49="",0,C49),""))</f>
        <v/>
      </c>
      <c r="D187" s="187">
        <f t="shared" si="173"/>
        <v>0</v>
      </c>
      <c r="E187" s="187" t="str">
        <f t="shared" si="173"/>
        <v/>
      </c>
      <c r="F187" s="187" t="str">
        <f t="shared" si="173"/>
        <v/>
      </c>
      <c r="G187" s="187" t="str">
        <f t="shared" si="173"/>
        <v/>
      </c>
      <c r="H187" s="187">
        <f t="shared" si="173"/>
        <v>0</v>
      </c>
      <c r="I187" s="187" t="str">
        <f t="shared" si="173"/>
        <v/>
      </c>
      <c r="J187" s="187" t="str">
        <f t="shared" si="173"/>
        <v/>
      </c>
      <c r="K187" s="187" t="str">
        <f t="shared" si="173"/>
        <v/>
      </c>
      <c r="L187" s="187">
        <f t="shared" si="173"/>
        <v>0</v>
      </c>
      <c r="M187" s="187">
        <f t="shared" si="173"/>
        <v>0</v>
      </c>
      <c r="N187" s="187">
        <f t="shared" si="173"/>
        <v>0</v>
      </c>
      <c r="O187" s="187">
        <f t="shared" si="173"/>
        <v>8</v>
      </c>
      <c r="P187" s="187">
        <f t="shared" si="173"/>
        <v>8</v>
      </c>
      <c r="Q187" s="187">
        <f t="shared" si="173"/>
        <v>0</v>
      </c>
      <c r="R187" s="187">
        <f t="shared" si="173"/>
        <v>8</v>
      </c>
      <c r="S187" s="187">
        <f t="shared" si="173"/>
        <v>8</v>
      </c>
      <c r="T187" s="187">
        <f t="shared" si="173"/>
        <v>8</v>
      </c>
      <c r="U187" s="187">
        <f t="shared" si="173"/>
        <v>8</v>
      </c>
      <c r="V187" s="187">
        <f t="shared" si="173"/>
        <v>0</v>
      </c>
      <c r="W187" s="187">
        <f t="shared" si="173"/>
        <v>0</v>
      </c>
      <c r="X187" s="187">
        <f t="shared" si="173"/>
        <v>8</v>
      </c>
      <c r="Y187" s="187">
        <f t="shared" si="173"/>
        <v>8</v>
      </c>
      <c r="Z187" s="187">
        <f t="shared" si="173"/>
        <v>8</v>
      </c>
      <c r="AA187" s="187">
        <f t="shared" si="173"/>
        <v>0</v>
      </c>
      <c r="AB187" s="187">
        <f t="shared" si="173"/>
        <v>0</v>
      </c>
      <c r="AC187" s="187">
        <f t="shared" si="173"/>
        <v>8</v>
      </c>
      <c r="AD187" s="187">
        <f t="shared" si="173"/>
        <v>8</v>
      </c>
      <c r="AE187" s="187">
        <f t="shared" si="173"/>
        <v>0</v>
      </c>
      <c r="AF187" s="187">
        <f t="shared" si="173"/>
        <v>0</v>
      </c>
      <c r="AG187" s="187">
        <f t="shared" si="173"/>
        <v>0</v>
      </c>
      <c r="AH187" s="188">
        <f t="shared" ref="AH187" si="174">SUM(C187:AG187)</f>
        <v>88</v>
      </c>
      <c r="AI187" s="116" t="s">
        <v>91</v>
      </c>
      <c r="AJ187" s="116"/>
      <c r="AK187" s="116"/>
      <c r="AL187" s="116"/>
    </row>
    <row r="188" spans="1:38" ht="15.95" hidden="1" customHeight="1" x14ac:dyDescent="0.25">
      <c r="A188" s="116"/>
      <c r="B188" s="181" t="s">
        <v>92</v>
      </c>
      <c r="C188" s="189">
        <v>1</v>
      </c>
      <c r="D188" s="189">
        <v>2</v>
      </c>
      <c r="E188" s="189">
        <v>3</v>
      </c>
      <c r="F188" s="189">
        <v>4</v>
      </c>
      <c r="G188" s="189">
        <v>5</v>
      </c>
      <c r="H188" s="189">
        <v>6</v>
      </c>
      <c r="I188" s="189">
        <v>7</v>
      </c>
      <c r="J188" s="189">
        <v>8</v>
      </c>
      <c r="K188" s="189">
        <v>9</v>
      </c>
      <c r="L188" s="189">
        <v>10</v>
      </c>
      <c r="M188" s="189">
        <v>11</v>
      </c>
      <c r="N188" s="189">
        <v>12</v>
      </c>
      <c r="O188" s="189">
        <v>13</v>
      </c>
      <c r="P188" s="189">
        <v>14</v>
      </c>
      <c r="Q188" s="189">
        <v>15</v>
      </c>
      <c r="R188" s="189">
        <v>16</v>
      </c>
      <c r="S188" s="189">
        <v>17</v>
      </c>
      <c r="T188" s="189">
        <v>18</v>
      </c>
      <c r="U188" s="189">
        <v>19</v>
      </c>
      <c r="V188" s="189">
        <v>20</v>
      </c>
      <c r="W188" s="189">
        <v>21</v>
      </c>
      <c r="X188" s="189">
        <v>22</v>
      </c>
      <c r="Y188" s="189">
        <v>23</v>
      </c>
      <c r="Z188" s="189">
        <v>24</v>
      </c>
      <c r="AA188" s="189">
        <v>25</v>
      </c>
      <c r="AB188" s="189">
        <v>26</v>
      </c>
      <c r="AC188" s="189">
        <v>27</v>
      </c>
      <c r="AD188" s="189">
        <v>28</v>
      </c>
      <c r="AE188" s="189">
        <v>29</v>
      </c>
      <c r="AF188" s="189">
        <v>30</v>
      </c>
      <c r="AG188" s="189">
        <v>31</v>
      </c>
      <c r="AH188" s="116"/>
      <c r="AI188" s="116"/>
      <c r="AJ188" s="116"/>
      <c r="AK188" s="116"/>
      <c r="AL188" s="116"/>
    </row>
    <row r="189" spans="1:38" ht="15.95" hidden="1" customHeight="1" x14ac:dyDescent="0.25">
      <c r="A189" s="116"/>
      <c r="B189" s="116"/>
      <c r="C189" s="116"/>
      <c r="D189" s="116"/>
      <c r="E189" s="116"/>
      <c r="F189" s="116"/>
      <c r="G189" s="114"/>
      <c r="H189" s="116"/>
      <c r="I189" s="116"/>
      <c r="J189" s="116"/>
      <c r="K189" s="116"/>
      <c r="L189" s="116"/>
      <c r="M189" s="116"/>
      <c r="N189" s="114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  <c r="AH189" s="116"/>
      <c r="AI189" s="116"/>
      <c r="AJ189" s="116"/>
      <c r="AK189" s="116"/>
      <c r="AL189" s="116"/>
    </row>
    <row r="190" spans="1:38" ht="15.95" hidden="1" customHeight="1" x14ac:dyDescent="0.25">
      <c r="A190" s="116"/>
      <c r="B190" s="116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  <c r="AB190" s="221"/>
      <c r="AC190" s="221"/>
      <c r="AD190" s="221"/>
      <c r="AE190" s="221"/>
      <c r="AF190" s="221"/>
      <c r="AG190" s="221"/>
      <c r="AH190" s="116"/>
      <c r="AI190" s="116"/>
      <c r="AJ190" s="116"/>
      <c r="AK190" s="116"/>
      <c r="AL190" s="116"/>
    </row>
    <row r="191" spans="1:38" ht="15.95" hidden="1" customHeight="1" x14ac:dyDescent="0.25">
      <c r="A191" s="116"/>
      <c r="B191" s="181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  <c r="AA191" s="190"/>
      <c r="AB191" s="190"/>
      <c r="AC191" s="190"/>
      <c r="AD191" s="190"/>
      <c r="AE191" s="190"/>
      <c r="AF191" s="190"/>
      <c r="AG191" s="190"/>
      <c r="AH191" s="116"/>
      <c r="AI191" s="116"/>
      <c r="AJ191" s="116"/>
      <c r="AK191" s="116"/>
      <c r="AL191" s="116"/>
    </row>
    <row r="192" spans="1:38" ht="15.95" hidden="1" customHeight="1" x14ac:dyDescent="0.25">
      <c r="A192" s="116"/>
      <c r="B192" s="191"/>
      <c r="C192" s="192"/>
      <c r="D192" s="192"/>
      <c r="E192" s="192"/>
      <c r="F192" s="192"/>
      <c r="G192" s="193"/>
      <c r="H192" s="192"/>
      <c r="I192" s="192"/>
      <c r="J192" s="192"/>
      <c r="K192" s="192"/>
      <c r="L192" s="192"/>
      <c r="M192" s="192"/>
      <c r="N192" s="193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  <c r="AA192" s="192"/>
      <c r="AB192" s="192"/>
      <c r="AC192" s="192"/>
      <c r="AD192" s="192"/>
      <c r="AE192" s="192"/>
      <c r="AF192" s="192"/>
      <c r="AG192" s="192"/>
      <c r="AH192" s="116"/>
      <c r="AI192" s="116"/>
      <c r="AJ192" s="116"/>
      <c r="AK192" s="116"/>
      <c r="AL192" s="116"/>
    </row>
    <row r="193" spans="1:38" ht="15.95" hidden="1" customHeight="1" x14ac:dyDescent="0.25">
      <c r="A193" s="116"/>
      <c r="B193" s="116"/>
      <c r="C193" s="116"/>
      <c r="D193" s="116"/>
      <c r="E193" s="116"/>
      <c r="F193" s="116"/>
      <c r="G193" s="114"/>
      <c r="H193" s="116"/>
      <c r="I193" s="116"/>
      <c r="J193" s="116"/>
      <c r="K193" s="116"/>
      <c r="L193" s="116"/>
      <c r="M193" s="116"/>
      <c r="N193" s="114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  <c r="AH193" s="116"/>
      <c r="AI193" s="116"/>
      <c r="AJ193" s="116"/>
      <c r="AK193" s="116"/>
      <c r="AL193" s="116"/>
    </row>
    <row r="194" spans="1:38" ht="15.95" hidden="1" customHeight="1" x14ac:dyDescent="0.25">
      <c r="A194" s="116"/>
      <c r="B194" s="116"/>
      <c r="C194" s="116"/>
      <c r="D194" s="116"/>
      <c r="E194" s="116"/>
      <c r="F194" s="116"/>
      <c r="G194" s="114"/>
      <c r="H194" s="116"/>
      <c r="I194" s="116"/>
      <c r="J194" s="116"/>
      <c r="K194" s="116"/>
      <c r="L194" s="116"/>
      <c r="M194" s="116"/>
      <c r="N194" s="114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  <c r="AK194" s="116"/>
      <c r="AL194" s="116"/>
    </row>
    <row r="195" spans="1:38" ht="15.95" hidden="1" customHeight="1" x14ac:dyDescent="0.25">
      <c r="A195" s="116"/>
      <c r="B195" s="116"/>
      <c r="C195" s="116"/>
      <c r="D195" s="116"/>
      <c r="E195" s="116"/>
      <c r="F195" s="116"/>
      <c r="G195" s="114"/>
      <c r="H195" s="116"/>
      <c r="I195" s="116"/>
      <c r="J195" s="116"/>
      <c r="K195" s="116"/>
      <c r="L195" s="116"/>
      <c r="M195" s="116"/>
      <c r="N195" s="114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  <c r="AJ195" s="116"/>
      <c r="AK195" s="116"/>
      <c r="AL195" s="116"/>
    </row>
    <row r="196" spans="1:38" ht="15.95" hidden="1" customHeight="1" x14ac:dyDescent="0.25">
      <c r="A196" s="116"/>
      <c r="B196" s="116"/>
      <c r="C196" s="116"/>
      <c r="D196" s="116"/>
      <c r="E196" s="116"/>
      <c r="F196" s="116"/>
      <c r="G196" s="114"/>
      <c r="H196" s="116"/>
      <c r="I196" s="116"/>
      <c r="J196" s="116"/>
      <c r="K196" s="116"/>
      <c r="L196" s="116"/>
      <c r="M196" s="116"/>
      <c r="N196" s="114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  <c r="AJ196" s="116"/>
      <c r="AK196" s="116"/>
      <c r="AL196" s="116"/>
    </row>
    <row r="197" spans="1:38" ht="15.95" hidden="1" customHeight="1" x14ac:dyDescent="0.25">
      <c r="A197" s="116"/>
      <c r="B197" s="116"/>
      <c r="C197" s="116"/>
      <c r="D197" s="116"/>
      <c r="E197" s="116"/>
      <c r="F197" s="116"/>
      <c r="G197" s="114"/>
      <c r="H197" s="116"/>
      <c r="I197" s="116"/>
      <c r="J197" s="116"/>
      <c r="K197" s="116"/>
      <c r="L197" s="116"/>
      <c r="M197" s="116"/>
      <c r="N197" s="114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  <c r="AI197" s="116"/>
      <c r="AJ197" s="116"/>
      <c r="AK197" s="116"/>
      <c r="AL197" s="116"/>
    </row>
    <row r="198" spans="1:38" ht="15.95" hidden="1" customHeight="1" x14ac:dyDescent="0.25">
      <c r="A198" s="116"/>
      <c r="B198" s="116"/>
      <c r="C198" s="116"/>
      <c r="D198" s="116"/>
      <c r="E198" s="116"/>
      <c r="F198" s="116"/>
      <c r="G198" s="114"/>
      <c r="H198" s="116"/>
      <c r="I198" s="116"/>
      <c r="J198" s="116"/>
      <c r="K198" s="116"/>
      <c r="L198" s="116"/>
      <c r="M198" s="116"/>
      <c r="N198" s="114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  <c r="AL198" s="116"/>
    </row>
    <row r="199" spans="1:38" ht="15.95" hidden="1" customHeight="1" x14ac:dyDescent="0.25">
      <c r="A199" s="116"/>
      <c r="B199" s="116"/>
      <c r="C199" s="116"/>
      <c r="D199" s="116"/>
      <c r="E199" s="116"/>
      <c r="F199" s="116"/>
      <c r="G199" s="114"/>
      <c r="H199" s="116"/>
      <c r="I199" s="116"/>
      <c r="J199" s="116"/>
      <c r="K199" s="116"/>
      <c r="L199" s="116"/>
      <c r="M199" s="116"/>
      <c r="N199" s="114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  <c r="AJ199" s="116"/>
      <c r="AK199" s="116"/>
      <c r="AL199" s="116"/>
    </row>
    <row r="200" spans="1:38" ht="15.95" hidden="1" customHeight="1" x14ac:dyDescent="0.25">
      <c r="A200" s="116"/>
      <c r="B200" s="116"/>
      <c r="C200" s="116"/>
      <c r="D200" s="116"/>
      <c r="E200" s="116"/>
      <c r="F200" s="116"/>
      <c r="G200" s="114"/>
      <c r="H200" s="116"/>
      <c r="I200" s="116"/>
      <c r="J200" s="116"/>
      <c r="K200" s="116"/>
      <c r="L200" s="116"/>
      <c r="M200" s="116"/>
      <c r="N200" s="114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  <c r="AI200" s="116"/>
      <c r="AJ200" s="116"/>
      <c r="AK200" s="116"/>
      <c r="AL200" s="116"/>
    </row>
    <row r="201" spans="1:38" ht="20.25" customHeight="1" x14ac:dyDescent="0.25">
      <c r="A201" s="116"/>
      <c r="B201" s="116"/>
      <c r="C201" s="116"/>
      <c r="D201" s="116"/>
      <c r="E201" s="116"/>
      <c r="F201" s="116"/>
      <c r="G201" s="114"/>
      <c r="H201" s="116"/>
      <c r="I201" s="116"/>
      <c r="J201" s="116"/>
      <c r="K201" s="116"/>
      <c r="L201" s="116"/>
      <c r="M201" s="116"/>
      <c r="N201" s="114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  <c r="AK201" s="116"/>
      <c r="AL201" s="116"/>
    </row>
  </sheetData>
  <sheetProtection algorithmName="SHA-512" hashValue="ih68Z+aJAfetNhDqEqEXA+UDWxoiEyoQGkvlzFx4hFMLiE2FLe7yXfbAhNpJR4icfVKB4VBMGOdHg/s46zHyLA==" saltValue="FsQ+yQjZ/47Kzvaw6LkR9A==" spinCount="100000" sheet="1" objects="1" scenarios="1" formatCells="0"/>
  <mergeCells count="148">
    <mergeCell ref="AH171:AI171"/>
    <mergeCell ref="AJ171:AK171"/>
    <mergeCell ref="AH172:AI172"/>
    <mergeCell ref="AH178:AI178"/>
    <mergeCell ref="C186:L186"/>
    <mergeCell ref="C190:AG190"/>
    <mergeCell ref="AH150:AI150"/>
    <mergeCell ref="AH156:AI156"/>
    <mergeCell ref="AH160:AI160"/>
    <mergeCell ref="AJ160:AK160"/>
    <mergeCell ref="AH161:AI161"/>
    <mergeCell ref="AH167:AI167"/>
    <mergeCell ref="AH138:AI138"/>
    <mergeCell ref="AJ138:AK138"/>
    <mergeCell ref="AH139:AI139"/>
    <mergeCell ref="AH145:AI145"/>
    <mergeCell ref="AH149:AI149"/>
    <mergeCell ref="AJ149:AK149"/>
    <mergeCell ref="AH117:AI117"/>
    <mergeCell ref="AH123:AI123"/>
    <mergeCell ref="AH127:AI127"/>
    <mergeCell ref="AJ127:AK127"/>
    <mergeCell ref="AH128:AI128"/>
    <mergeCell ref="AH134:AI134"/>
    <mergeCell ref="AH105:AI105"/>
    <mergeCell ref="AJ105:AK105"/>
    <mergeCell ref="AH106:AI106"/>
    <mergeCell ref="AH112:AI112"/>
    <mergeCell ref="AH116:AI116"/>
    <mergeCell ref="AJ116:AK116"/>
    <mergeCell ref="AH83:AI83"/>
    <mergeCell ref="AH84:AI84"/>
    <mergeCell ref="AH90:AI90"/>
    <mergeCell ref="AH94:AI94"/>
    <mergeCell ref="AH95:AI95"/>
    <mergeCell ref="AH101:AI101"/>
    <mergeCell ref="AH61:AI61"/>
    <mergeCell ref="AH62:AI62"/>
    <mergeCell ref="AH68:AI68"/>
    <mergeCell ref="AH72:AI72"/>
    <mergeCell ref="AH73:AI73"/>
    <mergeCell ref="AH79:AI79"/>
    <mergeCell ref="AI48:AJ48"/>
    <mergeCell ref="AI49:AJ49"/>
    <mergeCell ref="AN49:AO49"/>
    <mergeCell ref="AH50:AI50"/>
    <mergeCell ref="AH51:AI51"/>
    <mergeCell ref="AH57:AI57"/>
    <mergeCell ref="C43:D43"/>
    <mergeCell ref="E43:AI43"/>
    <mergeCell ref="AI45:AJ45"/>
    <mergeCell ref="AI46:AJ46"/>
    <mergeCell ref="AI47:AJ47"/>
    <mergeCell ref="AN47:AO47"/>
    <mergeCell ref="S39:T39"/>
    <mergeCell ref="V39:W39"/>
    <mergeCell ref="S40:T40"/>
    <mergeCell ref="V40:W40"/>
    <mergeCell ref="C42:V42"/>
    <mergeCell ref="W42:AH42"/>
    <mergeCell ref="A37:B37"/>
    <mergeCell ref="C37:N37"/>
    <mergeCell ref="S37:T37"/>
    <mergeCell ref="V37:W37"/>
    <mergeCell ref="A38:B38"/>
    <mergeCell ref="C38:N38"/>
    <mergeCell ref="S38:T38"/>
    <mergeCell ref="V38:W38"/>
    <mergeCell ref="A35:B35"/>
    <mergeCell ref="C35:N35"/>
    <mergeCell ref="S35:T35"/>
    <mergeCell ref="V35:W35"/>
    <mergeCell ref="A36:B36"/>
    <mergeCell ref="C36:N36"/>
    <mergeCell ref="S36:T36"/>
    <mergeCell ref="V36:W36"/>
    <mergeCell ref="A33:B33"/>
    <mergeCell ref="C33:N33"/>
    <mergeCell ref="S33:T33"/>
    <mergeCell ref="V33:W33"/>
    <mergeCell ref="A34:B34"/>
    <mergeCell ref="C34:N34"/>
    <mergeCell ref="S34:T34"/>
    <mergeCell ref="V34:W34"/>
    <mergeCell ref="AR31:AZ31"/>
    <mergeCell ref="D26:E26"/>
    <mergeCell ref="G26:H26"/>
    <mergeCell ref="K26:L26"/>
    <mergeCell ref="N26:O26"/>
    <mergeCell ref="R26:S26"/>
    <mergeCell ref="U26:V26"/>
    <mergeCell ref="W26:X26"/>
    <mergeCell ref="BB31:BC31"/>
    <mergeCell ref="A32:B32"/>
    <mergeCell ref="C32:N32"/>
    <mergeCell ref="S32:T32"/>
    <mergeCell ref="V32:W32"/>
    <mergeCell ref="AD32:AG32"/>
    <mergeCell ref="AI32:AJ32"/>
    <mergeCell ref="Z26:AA26"/>
    <mergeCell ref="AH26:AI26"/>
    <mergeCell ref="AJ26:AL26"/>
    <mergeCell ref="AE27:AF27"/>
    <mergeCell ref="C29:AJ29"/>
    <mergeCell ref="A31:N31"/>
    <mergeCell ref="R31:W31"/>
    <mergeCell ref="AD31:AI31"/>
    <mergeCell ref="AH24:AI24"/>
    <mergeCell ref="AJ24:AL24"/>
    <mergeCell ref="D25:E25"/>
    <mergeCell ref="G25:H25"/>
    <mergeCell ref="K25:L25"/>
    <mergeCell ref="N25:O25"/>
    <mergeCell ref="R25:S25"/>
    <mergeCell ref="U25:V25"/>
    <mergeCell ref="W25:X25"/>
    <mergeCell ref="Z25:AA25"/>
    <mergeCell ref="AH25:AI25"/>
    <mergeCell ref="AJ25:AL25"/>
    <mergeCell ref="C23:H23"/>
    <mergeCell ref="J23:O23"/>
    <mergeCell ref="Q23:AA23"/>
    <mergeCell ref="D24:E24"/>
    <mergeCell ref="G24:H24"/>
    <mergeCell ref="K24:L24"/>
    <mergeCell ref="N24:O24"/>
    <mergeCell ref="R24:S24"/>
    <mergeCell ref="U24:V24"/>
    <mergeCell ref="W24:X24"/>
    <mergeCell ref="Z24:AA24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B3:J3"/>
    <mergeCell ref="B4:O4"/>
    <mergeCell ref="Q4:X4"/>
    <mergeCell ref="Z4:AB4"/>
    <mergeCell ref="AC4:AH4"/>
    <mergeCell ref="A8:B8"/>
    <mergeCell ref="A15:B15"/>
    <mergeCell ref="A16:B16"/>
    <mergeCell ref="A17:B17"/>
  </mergeCells>
  <conditionalFormatting sqref="C7:AG20">
    <cfRule type="expression" dxfId="8" priority="1" stopIfTrue="1">
      <formula>C$46=1</formula>
    </cfRule>
  </conditionalFormatting>
  <hyperlinks>
    <hyperlink ref="C42" r:id="rId1" xr:uid="{00000000-0004-0000-0300-000000000000}"/>
  </hyperlinks>
  <printOptions horizontalCentered="1"/>
  <pageMargins left="7.874015748031496E-2" right="7.874015748031496E-2" top="0.31496062992125984" bottom="0" header="0.51181102362204722" footer="0.51181102362204722"/>
  <pageSetup paperSize="9" scale="97" orientation="landscape" useFirstPageNumber="1" r:id="rId2"/>
  <headerFooter alignWithMargins="0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I201"/>
  <sheetViews>
    <sheetView showGridLines="0" showRowColHeaders="0" topLeftCell="A7" zoomScale="120" zoomScaleNormal="120" zoomScaleSheetLayoutView="75" workbookViewId="0">
      <selection activeCell="CR3" sqref="CR3"/>
    </sheetView>
  </sheetViews>
  <sheetFormatPr baseColWidth="10" defaultColWidth="11.140625" defaultRowHeight="20.25" customHeight="1" x14ac:dyDescent="0.25"/>
  <cols>
    <col min="1" max="2" width="9.7109375" style="1" customWidth="1"/>
    <col min="3" max="6" width="3.28515625" style="1" customWidth="1"/>
    <col min="7" max="7" width="3.28515625" style="2" customWidth="1"/>
    <col min="8" max="13" width="3.28515625" style="1" customWidth="1"/>
    <col min="14" max="14" width="3.28515625" style="2" customWidth="1"/>
    <col min="15" max="33" width="3.28515625" style="1" customWidth="1"/>
    <col min="34" max="34" width="7.7109375" style="1" customWidth="1"/>
    <col min="35" max="38" width="4.7109375" style="1" customWidth="1"/>
    <col min="39" max="59" width="6.7109375" style="1" hidden="1" customWidth="1"/>
    <col min="60" max="83" width="4.7109375" style="1" hidden="1" customWidth="1"/>
    <col min="84" max="95" width="0" style="1" hidden="1" customWidth="1"/>
    <col min="96" max="16384" width="11.140625" style="1"/>
  </cols>
  <sheetData>
    <row r="1" spans="1:84" s="2" customFormat="1" ht="19.5" customHeight="1" x14ac:dyDescent="0.35">
      <c r="B1" s="3"/>
      <c r="M1" s="4"/>
      <c r="U1" s="5"/>
      <c r="V1" s="6"/>
      <c r="Z1" s="7"/>
      <c r="AA1" s="7"/>
      <c r="AB1" s="7"/>
      <c r="AC1" s="7"/>
      <c r="AD1" s="7"/>
      <c r="AE1" s="7"/>
      <c r="AF1" s="7"/>
      <c r="AG1" s="1"/>
      <c r="AH1" s="1"/>
      <c r="AI1" s="1"/>
      <c r="AJ1" s="1"/>
    </row>
    <row r="2" spans="1:84" s="2" customFormat="1" ht="19.5" customHeight="1" x14ac:dyDescent="0.35">
      <c r="B2" s="3"/>
      <c r="M2" s="4"/>
      <c r="U2" s="5"/>
      <c r="V2" s="6"/>
      <c r="Z2" s="7"/>
      <c r="AA2" s="7"/>
      <c r="AB2" s="7"/>
      <c r="AC2" s="7"/>
      <c r="AD2" s="7"/>
      <c r="AE2" s="7"/>
      <c r="AF2" s="7"/>
      <c r="AG2" s="1"/>
      <c r="AH2" s="1"/>
      <c r="AI2" s="1"/>
      <c r="AJ2" s="1"/>
    </row>
    <row r="3" spans="1:84" s="2" customFormat="1" ht="19.5" customHeight="1" x14ac:dyDescent="0.35">
      <c r="B3" s="271" t="str">
        <f t="shared" ref="B3:B4" si="0">C32</f>
        <v>EMPRESA</v>
      </c>
      <c r="C3" s="271"/>
      <c r="D3" s="271"/>
      <c r="E3" s="271"/>
      <c r="F3" s="271"/>
      <c r="G3" s="271"/>
      <c r="H3" s="271"/>
      <c r="I3" s="271"/>
      <c r="J3" s="271"/>
      <c r="M3" s="4"/>
      <c r="U3" s="5"/>
      <c r="V3" s="6"/>
      <c r="Z3" s="7"/>
      <c r="AA3" s="7"/>
      <c r="AB3" s="7"/>
      <c r="AC3" s="7"/>
      <c r="AD3" s="7"/>
      <c r="AE3" s="7"/>
      <c r="AF3" s="7"/>
      <c r="AG3" s="1"/>
      <c r="AH3" s="1"/>
      <c r="AI3" s="1"/>
      <c r="AJ3" s="1"/>
    </row>
    <row r="4" spans="1:84" s="9" customFormat="1" ht="17.25" customHeight="1" x14ac:dyDescent="0.25">
      <c r="A4" s="8"/>
      <c r="B4" s="272" t="str">
        <f t="shared" si="0"/>
        <v>CENTRO</v>
      </c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1"/>
      <c r="Q4" s="232">
        <f>DATE($C$34,$C$35,1)</f>
        <v>45778</v>
      </c>
      <c r="R4" s="232"/>
      <c r="S4" s="232"/>
      <c r="T4" s="232"/>
      <c r="U4" s="232"/>
      <c r="V4" s="232"/>
      <c r="W4" s="232"/>
      <c r="X4" s="232"/>
      <c r="Y4" s="1"/>
      <c r="Z4" s="259">
        <f>SUM(AH51+AH62+AH73+AH84+AH95+AH106+AH117+AH128+AH139+AH150+AH161+AH172)</f>
        <v>1735.9999999999991</v>
      </c>
      <c r="AA4" s="259"/>
      <c r="AB4" s="259"/>
      <c r="AC4" s="267" t="s">
        <v>0</v>
      </c>
      <c r="AD4" s="267"/>
      <c r="AE4" s="267"/>
      <c r="AF4" s="267"/>
      <c r="AG4" s="267"/>
      <c r="AH4" s="267"/>
      <c r="AI4" s="1"/>
      <c r="AJ4" s="1"/>
    </row>
    <row r="5" spans="1:84" s="2" customFormat="1" ht="17.25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/>
      <c r="AD5" s="12"/>
      <c r="AE5" s="12" t="str">
        <f>IF(CA59=28,IF(CA59="",0,1),IF(CA59=1,IF(CA59="",0,1),""))</f>
        <v/>
      </c>
      <c r="AF5" s="12" t="str">
        <f>IF(CA59=29,IF(CA59="",0,1),IF(CA59=1,IF(CA59="",0,1),""))</f>
        <v/>
      </c>
      <c r="AG5" s="12" t="str">
        <f>IF(CA59=30,IF(CA59="",0,1),IF(CA59=1,IF(CA59="",0,1),""))</f>
        <v/>
      </c>
      <c r="AH5" s="12">
        <f>IF(CA59=31,IF(CA59="",0,1),IF(CA59=1,IF(CA59="",0,1),""))</f>
        <v>1</v>
      </c>
      <c r="AI5" s="1"/>
      <c r="AJ5" s="1"/>
    </row>
    <row r="6" spans="1:84" s="13" customFormat="1" ht="17.25" customHeight="1" x14ac:dyDescent="0.25">
      <c r="B6" s="14" t="s">
        <v>1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"/>
      <c r="AJ6" s="1"/>
    </row>
    <row r="7" spans="1:84" s="11" customFormat="1" ht="19.5" customHeight="1" x14ac:dyDescent="0.25">
      <c r="A7" s="16"/>
      <c r="B7" s="17" t="s">
        <v>2</v>
      </c>
      <c r="C7" s="18" t="str">
        <f>IF(AV47="LUNES","lu",IF(AV47="MARTES","ma",IF(AV47="MIERCOLES","mi",IF(AV47="JUEVES","ju",IF(AV47="VIERNES","vi",IF(AV47="SABADO","S",IF(AV47="DOMINGO","D","")))))))</f>
        <v>ju</v>
      </c>
      <c r="D7" s="18" t="str">
        <f t="shared" ref="D7:AD7" si="1">IF(C7="lu","ma",IF(C7="ma","mi",IF(C7="mi","ju",IF(C7="ju","vi",IF(C7="vi","S",IF(C7="S","D",IF(C7="D","lu","")))))))</f>
        <v>vi</v>
      </c>
      <c r="E7" s="18" t="str">
        <f t="shared" si="1"/>
        <v>S</v>
      </c>
      <c r="F7" s="18" t="str">
        <f t="shared" si="1"/>
        <v>D</v>
      </c>
      <c r="G7" s="18" t="str">
        <f t="shared" si="1"/>
        <v>lu</v>
      </c>
      <c r="H7" s="18" t="str">
        <f t="shared" si="1"/>
        <v>ma</v>
      </c>
      <c r="I7" s="18" t="str">
        <f t="shared" si="1"/>
        <v>mi</v>
      </c>
      <c r="J7" s="18" t="str">
        <f t="shared" si="1"/>
        <v>ju</v>
      </c>
      <c r="K7" s="18" t="str">
        <f t="shared" si="1"/>
        <v>vi</v>
      </c>
      <c r="L7" s="18" t="str">
        <f t="shared" si="1"/>
        <v>S</v>
      </c>
      <c r="M7" s="18" t="str">
        <f t="shared" si="1"/>
        <v>D</v>
      </c>
      <c r="N7" s="18" t="str">
        <f t="shared" si="1"/>
        <v>lu</v>
      </c>
      <c r="O7" s="18" t="str">
        <f t="shared" si="1"/>
        <v>ma</v>
      </c>
      <c r="P7" s="18" t="str">
        <f t="shared" si="1"/>
        <v>mi</v>
      </c>
      <c r="Q7" s="18" t="str">
        <f t="shared" si="1"/>
        <v>ju</v>
      </c>
      <c r="R7" s="18" t="str">
        <f t="shared" si="1"/>
        <v>vi</v>
      </c>
      <c r="S7" s="18" t="str">
        <f t="shared" si="1"/>
        <v>S</v>
      </c>
      <c r="T7" s="18" t="str">
        <f t="shared" si="1"/>
        <v>D</v>
      </c>
      <c r="U7" s="18" t="str">
        <f t="shared" si="1"/>
        <v>lu</v>
      </c>
      <c r="V7" s="18" t="str">
        <f t="shared" si="1"/>
        <v>ma</v>
      </c>
      <c r="W7" s="18" t="str">
        <f t="shared" si="1"/>
        <v>mi</v>
      </c>
      <c r="X7" s="18" t="str">
        <f t="shared" si="1"/>
        <v>ju</v>
      </c>
      <c r="Y7" s="18" t="str">
        <f t="shared" si="1"/>
        <v>vi</v>
      </c>
      <c r="Z7" s="18" t="str">
        <f t="shared" si="1"/>
        <v>S</v>
      </c>
      <c r="AA7" s="18" t="str">
        <f t="shared" si="1"/>
        <v>D</v>
      </c>
      <c r="AB7" s="18" t="str">
        <f t="shared" si="1"/>
        <v>lu</v>
      </c>
      <c r="AC7" s="18" t="str">
        <f t="shared" si="1"/>
        <v>ma</v>
      </c>
      <c r="AD7" s="18" t="str">
        <f t="shared" si="1"/>
        <v>mi</v>
      </c>
      <c r="AE7" s="18" t="str">
        <f>IF(AE8="","",IF(AD7="lu","ma",IF(AD7="ma","mi",IF(AD7="mi","ju",IF(AD7="ju","vi",IF(AD7="vi","S",IF(AD7="S","D",IF(AD7="D","lu",""))))))))</f>
        <v>ju</v>
      </c>
      <c r="AF7" s="18" t="str">
        <f>IF(AF8="","",IF(AE7="lu","ma",IF(AE7="ma","mi",IF(AE7="mi","ju",IF(AE7="ju","vi",IF(AE7="vi","S",IF(AE7="S","D",IF(AE7="D","lu",""))))))))</f>
        <v>vi</v>
      </c>
      <c r="AG7" s="18" t="str">
        <f>IF(AG8="","",IF(AF7="lu","ma",IF(AF7="ma","mi",IF(AF7="mi","ju",IF(AF7="ju","vi",IF(AF7="vi","S",IF(AF7="S","D",IF(AF7="D","lu",""))))))))</f>
        <v>S</v>
      </c>
      <c r="AH7" s="16"/>
    </row>
    <row r="8" spans="1:84" s="22" customFormat="1" ht="19.5" customHeight="1" x14ac:dyDescent="0.2">
      <c r="A8" s="270" t="s">
        <v>3</v>
      </c>
      <c r="B8" s="270"/>
      <c r="C8" s="18">
        <v>1</v>
      </c>
      <c r="D8" s="18">
        <v>2</v>
      </c>
      <c r="E8" s="18">
        <v>3</v>
      </c>
      <c r="F8" s="18">
        <v>4</v>
      </c>
      <c r="G8" s="18">
        <v>5</v>
      </c>
      <c r="H8" s="18">
        <v>6</v>
      </c>
      <c r="I8" s="18">
        <v>7</v>
      </c>
      <c r="J8" s="18">
        <v>8</v>
      </c>
      <c r="K8" s="18">
        <v>9</v>
      </c>
      <c r="L8" s="18">
        <v>10</v>
      </c>
      <c r="M8" s="18">
        <v>11</v>
      </c>
      <c r="N8" s="18">
        <v>12</v>
      </c>
      <c r="O8" s="18">
        <v>13</v>
      </c>
      <c r="P8" s="18">
        <v>14</v>
      </c>
      <c r="Q8" s="18">
        <v>15</v>
      </c>
      <c r="R8" s="18">
        <v>16</v>
      </c>
      <c r="S8" s="18">
        <v>17</v>
      </c>
      <c r="T8" s="18">
        <v>18</v>
      </c>
      <c r="U8" s="18">
        <v>19</v>
      </c>
      <c r="V8" s="18">
        <v>20</v>
      </c>
      <c r="W8" s="18">
        <v>21</v>
      </c>
      <c r="X8" s="18">
        <v>22</v>
      </c>
      <c r="Y8" s="18">
        <v>23</v>
      </c>
      <c r="Z8" s="18">
        <v>24</v>
      </c>
      <c r="AA8" s="18">
        <v>25</v>
      </c>
      <c r="AB8" s="18">
        <v>26</v>
      </c>
      <c r="AC8" s="18">
        <v>27</v>
      </c>
      <c r="AD8" s="18">
        <v>28</v>
      </c>
      <c r="AE8" s="18">
        <f>IF(CA59=28,"",IF(CA59=29,29,IF(CA59=30,29,IF(CA59=31,29,""))))</f>
        <v>29</v>
      </c>
      <c r="AF8" s="18">
        <f>IF(CA59=28,"",IF(CA59=29,"",IF(CA59=30,30,IF(CA59=31,30,""))))</f>
        <v>30</v>
      </c>
      <c r="AG8" s="18">
        <f>IF(CA59=28,"",IF(CA59=29,"",IF(CA59=30,"",IF(CA59=31,31,""))))</f>
        <v>31</v>
      </c>
      <c r="AH8" s="19" t="s">
        <v>60</v>
      </c>
      <c r="AI8" s="20" t="s">
        <v>4</v>
      </c>
      <c r="AJ8" s="20" t="s">
        <v>5</v>
      </c>
      <c r="AK8" s="21" t="s">
        <v>6</v>
      </c>
      <c r="AL8" s="21" t="s">
        <v>7</v>
      </c>
    </row>
    <row r="9" spans="1:84" s="2" customFormat="1" ht="20.100000000000001" customHeight="1" x14ac:dyDescent="0.25">
      <c r="A9" s="268" t="s">
        <v>155</v>
      </c>
      <c r="B9" s="268"/>
      <c r="C9" s="23" t="s">
        <v>14</v>
      </c>
      <c r="D9" s="23" t="s">
        <v>14</v>
      </c>
      <c r="E9" s="23" t="s">
        <v>14</v>
      </c>
      <c r="F9" s="23" t="s">
        <v>14</v>
      </c>
      <c r="G9" s="23" t="s">
        <v>14</v>
      </c>
      <c r="H9" s="23" t="s">
        <v>14</v>
      </c>
      <c r="I9" s="23" t="s">
        <v>14</v>
      </c>
      <c r="J9" s="23" t="s">
        <v>14</v>
      </c>
      <c r="K9" s="23" t="s">
        <v>14</v>
      </c>
      <c r="L9" s="23" t="s">
        <v>14</v>
      </c>
      <c r="M9" s="23" t="s">
        <v>14</v>
      </c>
      <c r="N9" s="23" t="s">
        <v>14</v>
      </c>
      <c r="O9" s="23" t="s">
        <v>14</v>
      </c>
      <c r="P9" s="23" t="s">
        <v>14</v>
      </c>
      <c r="Q9" s="23" t="s">
        <v>14</v>
      </c>
      <c r="R9" s="23" t="s">
        <v>151</v>
      </c>
      <c r="S9" s="23" t="s">
        <v>151</v>
      </c>
      <c r="T9" s="24" t="s">
        <v>151</v>
      </c>
      <c r="U9" s="23" t="s">
        <v>150</v>
      </c>
      <c r="V9" s="23" t="s">
        <v>150</v>
      </c>
      <c r="W9" s="23" t="s">
        <v>151</v>
      </c>
      <c r="X9" s="23" t="s">
        <v>151</v>
      </c>
      <c r="Y9" s="23"/>
      <c r="Z9" s="23"/>
      <c r="AA9" s="23"/>
      <c r="AB9" s="23" t="s">
        <v>151</v>
      </c>
      <c r="AC9" s="23" t="s">
        <v>151</v>
      </c>
      <c r="AD9" s="23" t="s">
        <v>150</v>
      </c>
      <c r="AE9" s="23" t="s">
        <v>150</v>
      </c>
      <c r="AF9" s="23" t="s">
        <v>151</v>
      </c>
      <c r="AG9" s="23" t="s">
        <v>151</v>
      </c>
      <c r="AH9" s="83">
        <f>SUM(AH50:AH51)</f>
        <v>234.3</v>
      </c>
      <c r="AI9" s="84">
        <f>AH9-C37</f>
        <v>72.300000000000011</v>
      </c>
      <c r="AJ9" s="84">
        <f>SUM(C55:AG55)</f>
        <v>35.999999999999993</v>
      </c>
      <c r="AK9" s="84">
        <f>AK32</f>
        <v>0</v>
      </c>
      <c r="AL9" s="18">
        <f>SUM(C56:AG56)</f>
        <v>15</v>
      </c>
      <c r="CB9" s="25">
        <f>ROUNDDOWN(AH9,0)</f>
        <v>234</v>
      </c>
      <c r="CC9" s="26">
        <f>AH9-INT(AH9)</f>
        <v>0.30000000000001137</v>
      </c>
      <c r="CD9" s="27">
        <f>CC9/24</f>
        <v>1.2500000000000474E-2</v>
      </c>
      <c r="CE9"/>
      <c r="CF9"/>
    </row>
    <row r="10" spans="1:84" s="2" customFormat="1" ht="20.100000000000001" customHeight="1" x14ac:dyDescent="0.25">
      <c r="A10" s="268" t="s">
        <v>156</v>
      </c>
      <c r="B10" s="268"/>
      <c r="C10" s="23"/>
      <c r="D10" s="23" t="s">
        <v>153</v>
      </c>
      <c r="E10" s="23" t="s">
        <v>153</v>
      </c>
      <c r="F10" s="23" t="s">
        <v>153</v>
      </c>
      <c r="G10" s="23"/>
      <c r="H10" s="23"/>
      <c r="I10" s="23" t="s">
        <v>153</v>
      </c>
      <c r="J10" s="23" t="s">
        <v>153</v>
      </c>
      <c r="K10" s="23"/>
      <c r="L10" s="23"/>
      <c r="M10" s="23"/>
      <c r="N10" s="23" t="s">
        <v>153</v>
      </c>
      <c r="O10" s="23" t="s">
        <v>153</v>
      </c>
      <c r="P10" s="23"/>
      <c r="Q10" s="23"/>
      <c r="R10" s="23" t="s">
        <v>153</v>
      </c>
      <c r="S10" s="23" t="s">
        <v>153</v>
      </c>
      <c r="T10" s="23" t="s">
        <v>153</v>
      </c>
      <c r="U10" s="23"/>
      <c r="V10" s="23"/>
      <c r="W10" s="23" t="s">
        <v>153</v>
      </c>
      <c r="X10" s="23" t="s">
        <v>153</v>
      </c>
      <c r="Y10" s="23"/>
      <c r="Z10" s="23"/>
      <c r="AA10" s="23"/>
      <c r="AB10" s="23" t="s">
        <v>153</v>
      </c>
      <c r="AC10" s="23" t="s">
        <v>153</v>
      </c>
      <c r="AD10" s="23"/>
      <c r="AE10" s="23"/>
      <c r="AF10" s="23" t="s">
        <v>153</v>
      </c>
      <c r="AG10" s="23" t="s">
        <v>153</v>
      </c>
      <c r="AH10" s="83">
        <f>SUM(AH61:AH62)</f>
        <v>192</v>
      </c>
      <c r="AI10" s="84">
        <f>AH10-C37</f>
        <v>30</v>
      </c>
      <c r="AJ10" s="84">
        <f>SUM(C66:AG66)</f>
        <v>60</v>
      </c>
      <c r="AK10" s="84">
        <f t="shared" ref="AK10:AK20" si="2">AK33</f>
        <v>128</v>
      </c>
      <c r="AL10" s="18">
        <f>SUM(C67:AG67)</f>
        <v>0</v>
      </c>
      <c r="CF10"/>
    </row>
    <row r="11" spans="1:84" s="2" customFormat="1" ht="20.100000000000001" customHeight="1" x14ac:dyDescent="0.25">
      <c r="A11" s="268" t="s">
        <v>157</v>
      </c>
      <c r="B11" s="268"/>
      <c r="C11" s="23" t="s">
        <v>151</v>
      </c>
      <c r="D11" s="23"/>
      <c r="E11" s="23"/>
      <c r="F11" s="23"/>
      <c r="G11" s="23" t="s">
        <v>151</v>
      </c>
      <c r="H11" s="23" t="s">
        <v>151</v>
      </c>
      <c r="I11" s="23" t="s">
        <v>151</v>
      </c>
      <c r="J11" s="23"/>
      <c r="K11" s="23" t="s">
        <v>151</v>
      </c>
      <c r="L11" s="23" t="s">
        <v>151</v>
      </c>
      <c r="M11" s="23" t="s">
        <v>151</v>
      </c>
      <c r="N11" s="23" t="s">
        <v>151</v>
      </c>
      <c r="O11" s="23" t="s">
        <v>151</v>
      </c>
      <c r="P11" s="23" t="s">
        <v>151</v>
      </c>
      <c r="Q11" s="23" t="s">
        <v>151</v>
      </c>
      <c r="R11" s="23"/>
      <c r="S11" s="23"/>
      <c r="T11" s="23"/>
      <c r="U11" s="23" t="s">
        <v>151</v>
      </c>
      <c r="V11" s="23" t="s">
        <v>151</v>
      </c>
      <c r="W11" s="23"/>
      <c r="X11" s="23"/>
      <c r="Y11" s="23" t="s">
        <v>151</v>
      </c>
      <c r="Z11" s="23" t="s">
        <v>151</v>
      </c>
      <c r="AA11" s="23" t="s">
        <v>151</v>
      </c>
      <c r="AB11" s="23"/>
      <c r="AC11" s="23"/>
      <c r="AD11" s="23" t="s">
        <v>151</v>
      </c>
      <c r="AE11" s="23" t="s">
        <v>151</v>
      </c>
      <c r="AF11" s="23"/>
      <c r="AG11" s="23"/>
      <c r="AH11" s="83">
        <f>SUM(AH72:AH73)</f>
        <v>215.99999999999997</v>
      </c>
      <c r="AI11" s="84">
        <f>AH11-C37</f>
        <v>53.999999999999972</v>
      </c>
      <c r="AJ11" s="84">
        <f>SUM(C77:AG77)</f>
        <v>47.999999999999993</v>
      </c>
      <c r="AK11" s="84">
        <f t="shared" si="2"/>
        <v>0</v>
      </c>
      <c r="AL11" s="18">
        <f>SUM(C78:AG78)</f>
        <v>0</v>
      </c>
      <c r="CF11"/>
    </row>
    <row r="12" spans="1:84" s="2" customFormat="1" ht="20.100000000000001" customHeight="1" x14ac:dyDescent="0.25">
      <c r="A12" s="268" t="s">
        <v>174</v>
      </c>
      <c r="B12" s="268"/>
      <c r="C12" s="23" t="s">
        <v>153</v>
      </c>
      <c r="D12" s="23"/>
      <c r="E12" s="23"/>
      <c r="F12" s="23"/>
      <c r="G12" s="23" t="s">
        <v>153</v>
      </c>
      <c r="H12" s="23" t="s">
        <v>153</v>
      </c>
      <c r="I12" s="23" t="s">
        <v>154</v>
      </c>
      <c r="J12" s="23"/>
      <c r="K12" s="23" t="s">
        <v>154</v>
      </c>
      <c r="L12" s="23" t="s">
        <v>154</v>
      </c>
      <c r="M12" s="23" t="s">
        <v>154</v>
      </c>
      <c r="N12" s="23"/>
      <c r="O12" s="23"/>
      <c r="P12" s="23" t="s">
        <v>153</v>
      </c>
      <c r="Q12" s="23" t="s">
        <v>153</v>
      </c>
      <c r="R12" s="23"/>
      <c r="S12" s="23"/>
      <c r="T12" s="23"/>
      <c r="U12" s="23" t="s">
        <v>153</v>
      </c>
      <c r="V12" s="23" t="s">
        <v>153</v>
      </c>
      <c r="W12" s="23"/>
      <c r="X12" s="23"/>
      <c r="Y12" s="23" t="s">
        <v>154</v>
      </c>
      <c r="Z12" s="23" t="s">
        <v>154</v>
      </c>
      <c r="AA12" s="23" t="s">
        <v>154</v>
      </c>
      <c r="AB12" s="23" t="s">
        <v>154</v>
      </c>
      <c r="AC12" s="23"/>
      <c r="AD12" s="23" t="s">
        <v>153</v>
      </c>
      <c r="AE12" s="23" t="s">
        <v>153</v>
      </c>
      <c r="AF12" s="23"/>
      <c r="AG12" s="23"/>
      <c r="AH12" s="83">
        <f>SUM(AH83:AH84)</f>
        <v>171.99999999999977</v>
      </c>
      <c r="AI12" s="84">
        <f>AH12-C37</f>
        <v>9.9999999999997726</v>
      </c>
      <c r="AJ12" s="84">
        <f>SUM(C88:AG88)</f>
        <v>32</v>
      </c>
      <c r="AK12" s="84">
        <f t="shared" si="2"/>
        <v>136</v>
      </c>
      <c r="AL12" s="18">
        <f>SUM(C89:AG89)</f>
        <v>0</v>
      </c>
      <c r="CF12"/>
    </row>
    <row r="13" spans="1:84" s="2" customFormat="1" ht="20.100000000000001" customHeight="1" x14ac:dyDescent="0.25">
      <c r="A13" s="268" t="s">
        <v>158</v>
      </c>
      <c r="B13" s="268"/>
      <c r="C13" s="23" t="s">
        <v>150</v>
      </c>
      <c r="D13" s="23"/>
      <c r="E13" s="23"/>
      <c r="F13" s="23"/>
      <c r="G13" s="23" t="s">
        <v>150</v>
      </c>
      <c r="H13" s="23" t="s">
        <v>150</v>
      </c>
      <c r="I13" s="23"/>
      <c r="J13" s="23" t="s">
        <v>151</v>
      </c>
      <c r="K13" s="23" t="s">
        <v>150</v>
      </c>
      <c r="L13" s="23" t="s">
        <v>150</v>
      </c>
      <c r="M13" s="23" t="s">
        <v>150</v>
      </c>
      <c r="N13" s="23"/>
      <c r="O13" s="23"/>
      <c r="P13" s="23" t="s">
        <v>150</v>
      </c>
      <c r="Q13" s="23" t="s">
        <v>150</v>
      </c>
      <c r="R13" s="23"/>
      <c r="S13" s="23" t="s">
        <v>14</v>
      </c>
      <c r="T13" s="23" t="s">
        <v>14</v>
      </c>
      <c r="U13" s="23" t="s">
        <v>14</v>
      </c>
      <c r="V13" s="23" t="s">
        <v>14</v>
      </c>
      <c r="W13" s="23" t="s">
        <v>14</v>
      </c>
      <c r="X13" s="23" t="s">
        <v>14</v>
      </c>
      <c r="Y13" s="23" t="s">
        <v>14</v>
      </c>
      <c r="Z13" s="23" t="s">
        <v>14</v>
      </c>
      <c r="AA13" s="23" t="s">
        <v>14</v>
      </c>
      <c r="AB13" s="23" t="s">
        <v>14</v>
      </c>
      <c r="AC13" s="23" t="s">
        <v>14</v>
      </c>
      <c r="AD13" s="23" t="s">
        <v>14</v>
      </c>
      <c r="AE13" s="23" t="s">
        <v>14</v>
      </c>
      <c r="AF13" s="23" t="s">
        <v>14</v>
      </c>
      <c r="AG13" s="23" t="s">
        <v>14</v>
      </c>
      <c r="AH13" s="83">
        <f>SUM(AH94:AH95)</f>
        <v>186.3</v>
      </c>
      <c r="AI13" s="84">
        <f>AH13-C37</f>
        <v>24.300000000000011</v>
      </c>
      <c r="AJ13" s="84">
        <f>SUM(C99:AG99)</f>
        <v>24</v>
      </c>
      <c r="AK13" s="84">
        <f t="shared" si="2"/>
        <v>0</v>
      </c>
      <c r="AL13" s="18">
        <f>SUM(C100:AG100)</f>
        <v>15</v>
      </c>
      <c r="CB13" s="28"/>
      <c r="CF13"/>
    </row>
    <row r="14" spans="1:84" s="2" customFormat="1" ht="19.5" customHeight="1" x14ac:dyDescent="0.25">
      <c r="A14" s="268" t="s">
        <v>160</v>
      </c>
      <c r="B14" s="268"/>
      <c r="C14" s="23"/>
      <c r="D14" s="23" t="s">
        <v>150</v>
      </c>
      <c r="E14" s="23" t="s">
        <v>150</v>
      </c>
      <c r="F14" s="23" t="s">
        <v>150</v>
      </c>
      <c r="G14" s="23"/>
      <c r="H14" s="23"/>
      <c r="I14" s="23" t="s">
        <v>150</v>
      </c>
      <c r="J14" s="23" t="s">
        <v>150</v>
      </c>
      <c r="K14" s="23"/>
      <c r="L14" s="23"/>
      <c r="M14" s="23"/>
      <c r="N14" s="23" t="s">
        <v>150</v>
      </c>
      <c r="O14" s="23" t="s">
        <v>150</v>
      </c>
      <c r="P14" s="23" t="s">
        <v>154</v>
      </c>
      <c r="Q14" s="23"/>
      <c r="R14" s="23" t="s">
        <v>150</v>
      </c>
      <c r="S14" s="23" t="s">
        <v>150</v>
      </c>
      <c r="T14" s="23" t="s">
        <v>150</v>
      </c>
      <c r="U14" s="23"/>
      <c r="V14" s="23"/>
      <c r="W14" s="23" t="s">
        <v>150</v>
      </c>
      <c r="X14" s="23" t="s">
        <v>150</v>
      </c>
      <c r="Y14" s="23" t="s">
        <v>150</v>
      </c>
      <c r="Z14" s="23"/>
      <c r="AA14" s="23"/>
      <c r="AB14" s="23" t="s">
        <v>150</v>
      </c>
      <c r="AC14" s="23" t="s">
        <v>150</v>
      </c>
      <c r="AD14" s="23" t="s">
        <v>152</v>
      </c>
      <c r="AE14" s="23"/>
      <c r="AF14" s="23" t="s">
        <v>150</v>
      </c>
      <c r="AG14" s="23" t="s">
        <v>150</v>
      </c>
      <c r="AH14" s="83">
        <f>SUM(AH105:AH106)</f>
        <v>223.99999999999997</v>
      </c>
      <c r="AI14" s="84">
        <f>AH14-C37</f>
        <v>61.999999999999972</v>
      </c>
      <c r="AJ14" s="84">
        <f>SUM(C110:AG110)</f>
        <v>60</v>
      </c>
      <c r="AK14" s="84">
        <f t="shared" si="2"/>
        <v>16</v>
      </c>
      <c r="AL14" s="18">
        <f>SUM(C111:AG111)</f>
        <v>0</v>
      </c>
      <c r="CF14"/>
    </row>
    <row r="15" spans="1:84" s="2" customFormat="1" ht="19.5" customHeight="1" x14ac:dyDescent="0.25">
      <c r="A15" s="268" t="s">
        <v>161</v>
      </c>
      <c r="B15" s="268"/>
      <c r="C15" s="23"/>
      <c r="D15" s="23" t="s">
        <v>151</v>
      </c>
      <c r="E15" s="23" t="s">
        <v>151</v>
      </c>
      <c r="F15" s="23" t="s">
        <v>151</v>
      </c>
      <c r="G15" s="23"/>
      <c r="H15" s="23"/>
      <c r="I15" s="23" t="s">
        <v>152</v>
      </c>
      <c r="J15" s="23" t="s">
        <v>152</v>
      </c>
      <c r="K15" s="23"/>
      <c r="L15" s="23"/>
      <c r="M15" s="23"/>
      <c r="N15" s="23" t="s">
        <v>152</v>
      </c>
      <c r="O15" s="23" t="s">
        <v>152</v>
      </c>
      <c r="P15" s="23"/>
      <c r="Q15" s="23" t="s">
        <v>154</v>
      </c>
      <c r="R15" s="23" t="s">
        <v>152</v>
      </c>
      <c r="S15" s="23" t="s">
        <v>152</v>
      </c>
      <c r="T15" s="23" t="s">
        <v>152</v>
      </c>
      <c r="U15" s="23"/>
      <c r="V15" s="23"/>
      <c r="W15" s="23" t="s">
        <v>152</v>
      </c>
      <c r="X15" s="23" t="s">
        <v>152</v>
      </c>
      <c r="Y15" s="23"/>
      <c r="Z15" s="23" t="s">
        <v>150</v>
      </c>
      <c r="AA15" s="23" t="s">
        <v>150</v>
      </c>
      <c r="AB15" s="23" t="s">
        <v>152</v>
      </c>
      <c r="AC15" s="23" t="s">
        <v>152</v>
      </c>
      <c r="AD15" s="23"/>
      <c r="AE15" s="23"/>
      <c r="AF15" s="23" t="s">
        <v>152</v>
      </c>
      <c r="AG15" s="23" t="s">
        <v>152</v>
      </c>
      <c r="AH15" s="83">
        <f>SUM(AH116:AH117)</f>
        <v>223.99999999999997</v>
      </c>
      <c r="AI15" s="84">
        <f>AH15-C37</f>
        <v>61.999999999999972</v>
      </c>
      <c r="AJ15" s="84">
        <f>SUM(C121:AG121)</f>
        <v>84</v>
      </c>
      <c r="AK15" s="84">
        <f t="shared" si="2"/>
        <v>112</v>
      </c>
      <c r="AL15" s="18">
        <f>SUM(C122:AG122)</f>
        <v>0</v>
      </c>
      <c r="CF15"/>
    </row>
    <row r="16" spans="1:84" s="2" customFormat="1" ht="19.5" customHeight="1" x14ac:dyDescent="0.25">
      <c r="A16" s="268" t="s">
        <v>162</v>
      </c>
      <c r="B16" s="268"/>
      <c r="C16" s="23" t="s">
        <v>167</v>
      </c>
      <c r="D16" s="23" t="s">
        <v>167</v>
      </c>
      <c r="E16" s="23" t="s">
        <v>167</v>
      </c>
      <c r="F16" s="23" t="s">
        <v>167</v>
      </c>
      <c r="G16" s="23" t="s">
        <v>167</v>
      </c>
      <c r="H16" s="23" t="s">
        <v>167</v>
      </c>
      <c r="I16" s="23" t="s">
        <v>167</v>
      </c>
      <c r="J16" s="23" t="s">
        <v>167</v>
      </c>
      <c r="K16" s="23" t="s">
        <v>167</v>
      </c>
      <c r="L16" s="23" t="s">
        <v>167</v>
      </c>
      <c r="M16" s="23" t="s">
        <v>167</v>
      </c>
      <c r="N16" s="23" t="s">
        <v>167</v>
      </c>
      <c r="O16" s="23" t="s">
        <v>167</v>
      </c>
      <c r="P16" s="23" t="s">
        <v>167</v>
      </c>
      <c r="Q16" s="23" t="s">
        <v>167</v>
      </c>
      <c r="R16" s="23" t="s">
        <v>167</v>
      </c>
      <c r="S16" s="23" t="s">
        <v>167</v>
      </c>
      <c r="T16" s="23" t="s">
        <v>167</v>
      </c>
      <c r="U16" s="23" t="s">
        <v>167</v>
      </c>
      <c r="V16" s="23" t="s">
        <v>167</v>
      </c>
      <c r="W16" s="23" t="s">
        <v>167</v>
      </c>
      <c r="X16" s="23" t="s">
        <v>167</v>
      </c>
      <c r="Y16" s="23" t="s">
        <v>167</v>
      </c>
      <c r="Z16" s="23" t="s">
        <v>167</v>
      </c>
      <c r="AA16" s="23" t="s">
        <v>167</v>
      </c>
      <c r="AB16" s="23" t="s">
        <v>167</v>
      </c>
      <c r="AC16" s="23" t="s">
        <v>167</v>
      </c>
      <c r="AD16" s="23" t="s">
        <v>167</v>
      </c>
      <c r="AE16" s="23" t="s">
        <v>167</v>
      </c>
      <c r="AF16" s="23" t="s">
        <v>167</v>
      </c>
      <c r="AG16" s="23" t="s">
        <v>167</v>
      </c>
      <c r="AH16" s="83">
        <f>SUM(AH127:AH128)</f>
        <v>0</v>
      </c>
      <c r="AI16" s="84">
        <f>AH16-C37</f>
        <v>-162</v>
      </c>
      <c r="AJ16" s="84">
        <f>SUM(C132:AG132)</f>
        <v>0</v>
      </c>
      <c r="AK16" s="84">
        <f t="shared" si="2"/>
        <v>0</v>
      </c>
      <c r="AL16" s="18">
        <f>SUM(C133:AG133)</f>
        <v>0</v>
      </c>
      <c r="CF16"/>
    </row>
    <row r="17" spans="1:87" s="2" customFormat="1" ht="19.5" customHeight="1" x14ac:dyDescent="0.25">
      <c r="A17" s="268" t="s">
        <v>163</v>
      </c>
      <c r="B17" s="268"/>
      <c r="C17" s="23" t="s">
        <v>152</v>
      </c>
      <c r="D17" s="23" t="s">
        <v>154</v>
      </c>
      <c r="E17" s="23" t="s">
        <v>154</v>
      </c>
      <c r="F17" s="23" t="s">
        <v>154</v>
      </c>
      <c r="G17" s="23" t="s">
        <v>152</v>
      </c>
      <c r="H17" s="23" t="s">
        <v>152</v>
      </c>
      <c r="I17" s="23"/>
      <c r="J17" s="23"/>
      <c r="K17" s="23" t="s">
        <v>152</v>
      </c>
      <c r="L17" s="23" t="s">
        <v>152</v>
      </c>
      <c r="M17" s="23" t="s">
        <v>152</v>
      </c>
      <c r="N17" s="23" t="s">
        <v>154</v>
      </c>
      <c r="O17" s="23" t="s">
        <v>154</v>
      </c>
      <c r="P17" s="23"/>
      <c r="Q17" s="23"/>
      <c r="R17" s="23" t="s">
        <v>154</v>
      </c>
      <c r="S17" s="23" t="s">
        <v>154</v>
      </c>
      <c r="T17" s="23" t="s">
        <v>154</v>
      </c>
      <c r="U17" s="23" t="s">
        <v>152</v>
      </c>
      <c r="V17" s="23" t="s">
        <v>152</v>
      </c>
      <c r="W17" s="23"/>
      <c r="X17" s="23"/>
      <c r="Y17" s="23" t="s">
        <v>152</v>
      </c>
      <c r="Z17" s="23" t="s">
        <v>152</v>
      </c>
      <c r="AA17" s="23" t="s">
        <v>152</v>
      </c>
      <c r="AB17" s="23"/>
      <c r="AC17" s="23" t="s">
        <v>154</v>
      </c>
      <c r="AD17" s="23"/>
      <c r="AE17" s="23" t="s">
        <v>152</v>
      </c>
      <c r="AF17" s="23"/>
      <c r="AG17" s="23"/>
      <c r="AH17" s="83">
        <f>SUM(AH138:AH139)</f>
        <v>215.99999999999974</v>
      </c>
      <c r="AI17" s="84">
        <f>AH17-C37</f>
        <v>53.999999999999744</v>
      </c>
      <c r="AJ17" s="84">
        <f>SUM(C143:AG143)</f>
        <v>80</v>
      </c>
      <c r="AK17" s="84">
        <f t="shared" si="2"/>
        <v>168</v>
      </c>
      <c r="AL17" s="18">
        <f>SUM(C144:AG144)</f>
        <v>0</v>
      </c>
      <c r="CF17"/>
    </row>
    <row r="18" spans="1:87" s="2" customFormat="1" ht="19.5" customHeight="1" x14ac:dyDescent="0.25">
      <c r="A18" s="268" t="s">
        <v>169</v>
      </c>
      <c r="B18" s="268"/>
      <c r="C18" s="23" t="s">
        <v>154</v>
      </c>
      <c r="D18" s="23" t="s">
        <v>152</v>
      </c>
      <c r="E18" s="23" t="s">
        <v>152</v>
      </c>
      <c r="F18" s="23" t="s">
        <v>152</v>
      </c>
      <c r="G18" s="23" t="s">
        <v>154</v>
      </c>
      <c r="H18" s="23" t="s">
        <v>154</v>
      </c>
      <c r="I18" s="23"/>
      <c r="J18" s="23" t="s">
        <v>154</v>
      </c>
      <c r="K18" s="23" t="s">
        <v>153</v>
      </c>
      <c r="L18" s="23" t="s">
        <v>153</v>
      </c>
      <c r="M18" s="23" t="s">
        <v>153</v>
      </c>
      <c r="N18" s="23"/>
      <c r="O18" s="23"/>
      <c r="P18" s="23" t="s">
        <v>152</v>
      </c>
      <c r="Q18" s="23" t="s">
        <v>152</v>
      </c>
      <c r="R18" s="23"/>
      <c r="S18" s="23"/>
      <c r="T18" s="23"/>
      <c r="U18" s="23" t="s">
        <v>154</v>
      </c>
      <c r="V18" s="23" t="s">
        <v>154</v>
      </c>
      <c r="W18" s="23" t="s">
        <v>154</v>
      </c>
      <c r="X18" s="23" t="s">
        <v>154</v>
      </c>
      <c r="Y18" s="23" t="s">
        <v>153</v>
      </c>
      <c r="Z18" s="23" t="s">
        <v>153</v>
      </c>
      <c r="AA18" s="23" t="s">
        <v>153</v>
      </c>
      <c r="AB18" s="23"/>
      <c r="AC18" s="23"/>
      <c r="AD18" s="23" t="s">
        <v>154</v>
      </c>
      <c r="AE18" s="23" t="s">
        <v>154</v>
      </c>
      <c r="AF18" s="23" t="s">
        <v>154</v>
      </c>
      <c r="AG18" s="23" t="s">
        <v>154</v>
      </c>
      <c r="AH18" s="83">
        <f>SUM(AH149:AH150)</f>
        <v>227.99999999999966</v>
      </c>
      <c r="AI18" s="84">
        <f>AH18-C37</f>
        <v>65.999999999999659</v>
      </c>
      <c r="AJ18" s="84">
        <f>SUM(C154:AG154)</f>
        <v>80</v>
      </c>
      <c r="AK18" s="84">
        <f t="shared" si="2"/>
        <v>184</v>
      </c>
      <c r="AL18" s="18">
        <f>SUM(C155:AG155)</f>
        <v>0</v>
      </c>
      <c r="CF18"/>
    </row>
    <row r="19" spans="1:87" s="2" customFormat="1" ht="19.5" customHeight="1" x14ac:dyDescent="0.25">
      <c r="A19" s="268" t="s">
        <v>170</v>
      </c>
      <c r="B19" s="268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83">
        <f>SUM(AH160:AH161)</f>
        <v>0</v>
      </c>
      <c r="AI19" s="84">
        <f>AH19-C37</f>
        <v>-162</v>
      </c>
      <c r="AJ19" s="84">
        <f>SUM(C165:AG165)</f>
        <v>0</v>
      </c>
      <c r="AK19" s="84">
        <f t="shared" si="2"/>
        <v>0</v>
      </c>
      <c r="AL19" s="18">
        <f>SUM(C166:AG166)</f>
        <v>0</v>
      </c>
      <c r="CF19"/>
    </row>
    <row r="20" spans="1:87" s="2" customFormat="1" ht="19.5" customHeight="1" x14ac:dyDescent="0.25">
      <c r="A20" s="268" t="s">
        <v>171</v>
      </c>
      <c r="B20" s="268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83">
        <f>SUM(AH171:AH172)</f>
        <v>0</v>
      </c>
      <c r="AI20" s="84">
        <f>AH20-C37</f>
        <v>-162</v>
      </c>
      <c r="AJ20" s="84">
        <f>SUM(C176:AG176)</f>
        <v>0</v>
      </c>
      <c r="AK20" s="84">
        <f t="shared" si="2"/>
        <v>0</v>
      </c>
      <c r="AL20" s="18">
        <f>SUM(C177:AG177)</f>
        <v>0</v>
      </c>
      <c r="CF20"/>
    </row>
    <row r="21" spans="1:87" s="2" customFormat="1" ht="19.5" customHeight="1" x14ac:dyDescent="0.25">
      <c r="A21" s="10"/>
      <c r="B21" s="29" t="s">
        <v>8</v>
      </c>
      <c r="C21" s="113">
        <f>SUM(C51+C62+C73+C84+C95+C106+C117+C128+C139+C150+C161+C172)</f>
        <v>55.999999999999972</v>
      </c>
      <c r="D21" s="113">
        <f t="shared" ref="D21:AG21" si="3">SUM(D51+D62+D73+D84+D95+D106+D117+D128+D139+D150+D161+D172)</f>
        <v>55.999999999999972</v>
      </c>
      <c r="E21" s="113">
        <f t="shared" si="3"/>
        <v>55.999999999999972</v>
      </c>
      <c r="F21" s="113">
        <f t="shared" si="3"/>
        <v>55.999999999999972</v>
      </c>
      <c r="G21" s="113">
        <f t="shared" si="3"/>
        <v>55.999999999999972</v>
      </c>
      <c r="H21" s="113">
        <f t="shared" si="3"/>
        <v>55.999999999999972</v>
      </c>
      <c r="I21" s="113">
        <f t="shared" si="3"/>
        <v>55.999999999999972</v>
      </c>
      <c r="J21" s="113">
        <f t="shared" si="3"/>
        <v>55.999999999999972</v>
      </c>
      <c r="K21" s="113">
        <f t="shared" si="3"/>
        <v>55.999999999999972</v>
      </c>
      <c r="L21" s="113">
        <f t="shared" si="3"/>
        <v>55.999999999999972</v>
      </c>
      <c r="M21" s="113">
        <f t="shared" si="3"/>
        <v>55.999999999999972</v>
      </c>
      <c r="N21" s="113">
        <f t="shared" si="3"/>
        <v>55.999999999999972</v>
      </c>
      <c r="O21" s="113">
        <f t="shared" si="3"/>
        <v>55.999999999999972</v>
      </c>
      <c r="P21" s="113">
        <f t="shared" si="3"/>
        <v>55.999999999999972</v>
      </c>
      <c r="Q21" s="113">
        <f t="shared" si="3"/>
        <v>55.999999999999972</v>
      </c>
      <c r="R21" s="113">
        <f t="shared" si="3"/>
        <v>55.999999999999972</v>
      </c>
      <c r="S21" s="113">
        <f t="shared" si="3"/>
        <v>55.999999999999972</v>
      </c>
      <c r="T21" s="113">
        <f t="shared" si="3"/>
        <v>55.999999999999972</v>
      </c>
      <c r="U21" s="113">
        <f t="shared" si="3"/>
        <v>55.999999999999972</v>
      </c>
      <c r="V21" s="113">
        <f t="shared" si="3"/>
        <v>55.999999999999972</v>
      </c>
      <c r="W21" s="113">
        <f t="shared" si="3"/>
        <v>55.999999999999972</v>
      </c>
      <c r="X21" s="113">
        <f t="shared" si="3"/>
        <v>55.999999999999972</v>
      </c>
      <c r="Y21" s="113">
        <f t="shared" si="3"/>
        <v>55.999999999999972</v>
      </c>
      <c r="Z21" s="113">
        <f t="shared" si="3"/>
        <v>55.999999999999972</v>
      </c>
      <c r="AA21" s="113">
        <f t="shared" si="3"/>
        <v>55.999999999999972</v>
      </c>
      <c r="AB21" s="113">
        <f t="shared" si="3"/>
        <v>55.999999999999972</v>
      </c>
      <c r="AC21" s="113">
        <f t="shared" si="3"/>
        <v>55.999999999999972</v>
      </c>
      <c r="AD21" s="113">
        <f t="shared" si="3"/>
        <v>55.999999999999972</v>
      </c>
      <c r="AE21" s="113">
        <f t="shared" si="3"/>
        <v>55.999999999999972</v>
      </c>
      <c r="AF21" s="113">
        <f t="shared" si="3"/>
        <v>55.999999999999972</v>
      </c>
      <c r="AG21" s="113">
        <f t="shared" si="3"/>
        <v>55.999999999999972</v>
      </c>
      <c r="AH21" s="30"/>
      <c r="AI21" s="30"/>
      <c r="AJ21" s="30"/>
      <c r="AK21" s="30"/>
      <c r="AL21" s="30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</row>
    <row r="22" spans="1:87" s="2" customFormat="1" ht="19.5" customHeight="1" x14ac:dyDescent="0.25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</row>
    <row r="23" spans="1:87" s="2" customFormat="1" ht="19.5" customHeight="1" x14ac:dyDescent="0.25">
      <c r="A23" s="80"/>
      <c r="B23" s="80"/>
      <c r="C23" s="273" t="s">
        <v>9</v>
      </c>
      <c r="D23" s="273"/>
      <c r="E23" s="273"/>
      <c r="F23" s="273"/>
      <c r="G23" s="273"/>
      <c r="H23" s="273"/>
      <c r="I23" s="82"/>
      <c r="J23" s="274" t="s">
        <v>9</v>
      </c>
      <c r="K23" s="274"/>
      <c r="L23" s="274"/>
      <c r="M23" s="274"/>
      <c r="N23" s="274"/>
      <c r="O23" s="274"/>
      <c r="P23" s="32"/>
      <c r="Q23" s="274" t="s">
        <v>136</v>
      </c>
      <c r="R23" s="274"/>
      <c r="S23" s="274"/>
      <c r="T23" s="274"/>
      <c r="U23" s="274"/>
      <c r="V23" s="274"/>
      <c r="W23" s="274"/>
      <c r="X23" s="274"/>
      <c r="Y23" s="274"/>
      <c r="Z23" s="274"/>
      <c r="AA23" s="274"/>
      <c r="AB23" s="82"/>
      <c r="AC23" s="82"/>
      <c r="AD23" s="82"/>
      <c r="AE23" s="82"/>
      <c r="AF23" s="80"/>
      <c r="AG23" s="80"/>
      <c r="AH23" s="80"/>
      <c r="AI23" s="80"/>
      <c r="AJ23" s="80"/>
      <c r="AK23" s="80"/>
      <c r="AL23" s="80"/>
      <c r="AM23"/>
      <c r="AN23"/>
      <c r="AO23"/>
      <c r="AP23"/>
      <c r="AQ23" s="1" t="s">
        <v>10</v>
      </c>
      <c r="AR23" s="1"/>
      <c r="AS23" s="1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</row>
    <row r="24" spans="1:87" ht="14.45" customHeight="1" x14ac:dyDescent="0.25">
      <c r="A24" s="82"/>
      <c r="B24" s="82"/>
      <c r="C24" s="108" t="str">
        <f t="shared" ref="C24:D26" si="4">R32</f>
        <v>D1</v>
      </c>
      <c r="D24" s="275">
        <f t="shared" si="4"/>
        <v>0.25</v>
      </c>
      <c r="E24" s="275"/>
      <c r="F24" s="33" t="s">
        <v>11</v>
      </c>
      <c r="G24" s="276">
        <f t="shared" ref="G24:G26" si="5">V32</f>
        <v>0.75</v>
      </c>
      <c r="H24" s="276"/>
      <c r="I24" s="105"/>
      <c r="J24" s="107" t="str">
        <f t="shared" ref="J24:K26" si="6">R35</f>
        <v>N2</v>
      </c>
      <c r="K24" s="277">
        <f t="shared" si="6"/>
        <v>0.79166666666666663</v>
      </c>
      <c r="L24" s="278"/>
      <c r="M24" s="110" t="s">
        <v>11</v>
      </c>
      <c r="N24" s="277">
        <f>V35</f>
        <v>0.29166666666666669</v>
      </c>
      <c r="O24" s="279"/>
      <c r="P24" s="32"/>
      <c r="Q24" s="107" t="str">
        <f>R38</f>
        <v>G</v>
      </c>
      <c r="R24" s="280"/>
      <c r="S24" s="280"/>
      <c r="T24" s="109" t="s">
        <v>11</v>
      </c>
      <c r="U24" s="280"/>
      <c r="V24" s="280"/>
      <c r="W24" s="281"/>
      <c r="X24" s="280"/>
      <c r="Y24" s="109" t="s">
        <v>11</v>
      </c>
      <c r="Z24" s="282"/>
      <c r="AA24" s="283"/>
      <c r="AB24" s="106"/>
      <c r="AC24" s="80"/>
      <c r="AD24" s="104"/>
      <c r="AE24" s="104"/>
      <c r="AF24" s="104"/>
      <c r="AG24" s="107" t="s">
        <v>12</v>
      </c>
      <c r="AH24" s="256" t="s">
        <v>1</v>
      </c>
      <c r="AI24" s="257"/>
      <c r="AJ24" s="245"/>
      <c r="AK24" s="245"/>
      <c r="AL24" s="245"/>
      <c r="AM24"/>
      <c r="AN24"/>
      <c r="AO24"/>
      <c r="AP24"/>
      <c r="AQ24" s="1" t="s">
        <v>13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</row>
    <row r="25" spans="1:87" s="2" customFormat="1" ht="14.45" customHeight="1" x14ac:dyDescent="0.25">
      <c r="A25" s="82"/>
      <c r="B25" s="82"/>
      <c r="C25" s="108" t="str">
        <f t="shared" si="4"/>
        <v>N1</v>
      </c>
      <c r="D25" s="275">
        <f t="shared" si="4"/>
        <v>0.75</v>
      </c>
      <c r="E25" s="275"/>
      <c r="F25" s="33" t="s">
        <v>11</v>
      </c>
      <c r="G25" s="276">
        <f t="shared" si="5"/>
        <v>0.25</v>
      </c>
      <c r="H25" s="276"/>
      <c r="I25" s="105"/>
      <c r="J25" s="107" t="str">
        <f t="shared" si="6"/>
        <v>N3</v>
      </c>
      <c r="K25" s="280">
        <f t="shared" si="6"/>
        <v>0.91666666666666663</v>
      </c>
      <c r="L25" s="278"/>
      <c r="M25" s="110" t="s">
        <v>11</v>
      </c>
      <c r="N25" s="280">
        <f>V36</f>
        <v>0.25</v>
      </c>
      <c r="O25" s="279"/>
      <c r="P25" s="32"/>
      <c r="Q25" s="107" t="str">
        <f>R39</f>
        <v>H</v>
      </c>
      <c r="R25" s="280"/>
      <c r="S25" s="280"/>
      <c r="T25" s="109" t="s">
        <v>11</v>
      </c>
      <c r="U25" s="280"/>
      <c r="V25" s="280"/>
      <c r="W25" s="281"/>
      <c r="X25" s="280"/>
      <c r="Y25" s="109" t="s">
        <v>11</v>
      </c>
      <c r="Z25" s="284"/>
      <c r="AA25" s="283"/>
      <c r="AB25" s="106"/>
      <c r="AC25" s="80"/>
      <c r="AD25" s="104"/>
      <c r="AE25" s="104"/>
      <c r="AF25" s="104"/>
      <c r="AG25" s="107" t="s">
        <v>14</v>
      </c>
      <c r="AH25" s="256" t="s">
        <v>59</v>
      </c>
      <c r="AI25" s="257"/>
      <c r="AJ25" s="245"/>
      <c r="AK25" s="245"/>
      <c r="AL25" s="245"/>
      <c r="AM25"/>
      <c r="AN25"/>
      <c r="AO25"/>
      <c r="AP25"/>
      <c r="AQ25" s="1" t="s">
        <v>15</v>
      </c>
      <c r="AR25" s="1"/>
      <c r="AS25" s="1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</row>
    <row r="26" spans="1:87" s="2" customFormat="1" ht="14.45" customHeight="1" x14ac:dyDescent="0.25">
      <c r="A26" s="82"/>
      <c r="B26" s="82"/>
      <c r="C26" s="108" t="str">
        <f t="shared" si="4"/>
        <v>D2</v>
      </c>
      <c r="D26" s="275">
        <f t="shared" si="4"/>
        <v>0.29166666666666669</v>
      </c>
      <c r="E26" s="275"/>
      <c r="F26" s="33" t="s">
        <v>11</v>
      </c>
      <c r="G26" s="276">
        <f t="shared" si="5"/>
        <v>0.79166666666666663</v>
      </c>
      <c r="H26" s="276"/>
      <c r="I26" s="105"/>
      <c r="J26" s="107" t="str">
        <f t="shared" si="6"/>
        <v>F</v>
      </c>
      <c r="K26" s="280">
        <f t="shared" si="6"/>
        <v>0.20833333333333334</v>
      </c>
      <c r="L26" s="278"/>
      <c r="M26" s="110" t="s">
        <v>11</v>
      </c>
      <c r="N26" s="280">
        <f>V37</f>
        <v>0.25</v>
      </c>
      <c r="O26" s="279"/>
      <c r="P26" s="32"/>
      <c r="Q26" s="107" t="str">
        <f>R40</f>
        <v>I</v>
      </c>
      <c r="R26" s="280"/>
      <c r="S26" s="280"/>
      <c r="T26" s="109" t="s">
        <v>11</v>
      </c>
      <c r="U26" s="280"/>
      <c r="V26" s="280"/>
      <c r="W26" s="281"/>
      <c r="X26" s="280"/>
      <c r="Y26" s="109" t="s">
        <v>11</v>
      </c>
      <c r="Z26" s="284"/>
      <c r="AA26" s="283"/>
      <c r="AB26" s="106"/>
      <c r="AC26" s="80"/>
      <c r="AD26" s="104"/>
      <c r="AE26" s="104"/>
      <c r="AF26" s="104"/>
      <c r="AG26" s="107" t="s">
        <v>16</v>
      </c>
      <c r="AH26" s="256" t="s">
        <v>42</v>
      </c>
      <c r="AI26" s="257"/>
      <c r="AJ26" s="245"/>
      <c r="AK26" s="245"/>
      <c r="AL26" s="245"/>
      <c r="AM26"/>
      <c r="AN26"/>
      <c r="AO26"/>
      <c r="AP26"/>
      <c r="AQ26" s="1" t="s">
        <v>17</v>
      </c>
      <c r="AR26" s="1"/>
      <c r="AS26" s="1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</row>
    <row r="27" spans="1:87" s="2" customFormat="1" ht="14.45" customHeight="1" x14ac:dyDescent="0.25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82"/>
      <c r="Z27" s="82"/>
      <c r="AA27" s="82"/>
      <c r="AB27" s="82"/>
      <c r="AC27" s="82"/>
      <c r="AD27" s="82"/>
      <c r="AE27" s="262"/>
      <c r="AF27" s="262"/>
      <c r="AG27" s="82"/>
      <c r="AH27" s="82"/>
      <c r="AI27" s="82"/>
      <c r="AJ27" s="32"/>
      <c r="AK27" s="32"/>
      <c r="AL27" s="32"/>
    </row>
    <row r="28" spans="1:87" s="2" customFormat="1" ht="14.45" customHeight="1" x14ac:dyDescent="0.25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32"/>
      <c r="AK28" s="32"/>
      <c r="AL28" s="32"/>
    </row>
    <row r="29" spans="1:87" s="2" customFormat="1" ht="14.45" customHeight="1" x14ac:dyDescent="0.25">
      <c r="A29" s="82"/>
      <c r="B29" s="81" t="s">
        <v>18</v>
      </c>
      <c r="C29" s="251" t="str">
        <f>E43</f>
        <v xml:space="preserve">*Aquí notas que se vean en el cuadrante... </v>
      </c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  <c r="AA29" s="251"/>
      <c r="AB29" s="251"/>
      <c r="AC29" s="251"/>
      <c r="AD29" s="251"/>
      <c r="AE29" s="251"/>
      <c r="AF29" s="251"/>
      <c r="AG29" s="251"/>
      <c r="AH29" s="251"/>
      <c r="AI29" s="251"/>
      <c r="AJ29" s="251"/>
      <c r="AK29" s="32"/>
      <c r="AL29" s="32"/>
    </row>
    <row r="30" spans="1:87" s="2" customFormat="1" ht="19.5" customHeight="1" x14ac:dyDescent="0.35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32"/>
      <c r="AK30" s="32"/>
      <c r="AL30" s="32"/>
      <c r="AN30" s="5" t="s">
        <v>19</v>
      </c>
      <c r="AO30" s="5"/>
      <c r="AP30" s="5" t="s">
        <v>20</v>
      </c>
      <c r="AQ30" s="5" t="s">
        <v>21</v>
      </c>
      <c r="AR30" s="5"/>
      <c r="AS30" s="5"/>
      <c r="AT30" s="5"/>
      <c r="AU30" s="5"/>
      <c r="AV30" s="5"/>
      <c r="AW30" s="5"/>
      <c r="AX30" s="5" t="s">
        <v>22</v>
      </c>
      <c r="AY30" s="5"/>
      <c r="AZ30" s="5" t="s">
        <v>23</v>
      </c>
      <c r="BA30" s="5"/>
      <c r="BB30" s="5"/>
      <c r="BC30" s="5"/>
      <c r="BD30" s="5" t="s">
        <v>24</v>
      </c>
    </row>
    <row r="31" spans="1:87" s="2" customFormat="1" ht="19.5" customHeight="1" x14ac:dyDescent="0.25">
      <c r="A31" s="252" t="s">
        <v>25</v>
      </c>
      <c r="B31" s="252"/>
      <c r="C31" s="252"/>
      <c r="D31" s="252"/>
      <c r="E31" s="252"/>
      <c r="F31" s="252"/>
      <c r="G31" s="252"/>
      <c r="H31" s="252"/>
      <c r="I31" s="252"/>
      <c r="J31" s="252"/>
      <c r="K31" s="252"/>
      <c r="L31" s="252"/>
      <c r="M31" s="252"/>
      <c r="N31" s="252"/>
      <c r="O31" s="211"/>
      <c r="P31" s="211"/>
      <c r="Q31" s="211"/>
      <c r="R31" s="252" t="s">
        <v>9</v>
      </c>
      <c r="S31" s="252"/>
      <c r="T31" s="252"/>
      <c r="U31" s="252"/>
      <c r="V31" s="252"/>
      <c r="W31" s="252"/>
      <c r="X31" s="213"/>
      <c r="Y31" s="213"/>
      <c r="Z31" s="213"/>
      <c r="AA31" s="213"/>
      <c r="AB31" s="213"/>
      <c r="AC31" s="126"/>
      <c r="AD31" s="253" t="s">
        <v>26</v>
      </c>
      <c r="AE31" s="253"/>
      <c r="AF31" s="253"/>
      <c r="AG31" s="253"/>
      <c r="AH31" s="253"/>
      <c r="AI31" s="253"/>
      <c r="AJ31" s="211"/>
      <c r="AK31" s="212" t="s">
        <v>6</v>
      </c>
      <c r="AL31" s="114"/>
      <c r="AN31" s="97" t="s">
        <v>27</v>
      </c>
      <c r="AO31" s="97" t="s">
        <v>28</v>
      </c>
      <c r="AP31" s="97" t="s">
        <v>29</v>
      </c>
      <c r="AQ31" s="97" t="s">
        <v>30</v>
      </c>
      <c r="AR31" s="261" t="s">
        <v>31</v>
      </c>
      <c r="AS31" s="261"/>
      <c r="AT31" s="261"/>
      <c r="AU31" s="261"/>
      <c r="AV31" s="261"/>
      <c r="AW31" s="261"/>
      <c r="AX31" s="261"/>
      <c r="AY31" s="261"/>
      <c r="AZ31" s="261"/>
      <c r="BA31" s="97" t="s">
        <v>32</v>
      </c>
      <c r="BB31" s="260" t="s">
        <v>33</v>
      </c>
      <c r="BC31" s="260"/>
      <c r="BD31" s="103" t="s">
        <v>34</v>
      </c>
      <c r="BE31" s="56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</row>
    <row r="32" spans="1:87" s="2" customFormat="1" ht="19.5" customHeight="1" x14ac:dyDescent="0.25">
      <c r="A32" s="238" t="s">
        <v>35</v>
      </c>
      <c r="B32" s="238"/>
      <c r="C32" s="242" t="str">
        <f>CONTROL!B34</f>
        <v>EMPRESA</v>
      </c>
      <c r="D32" s="242"/>
      <c r="E32" s="242"/>
      <c r="F32" s="242"/>
      <c r="G32" s="242"/>
      <c r="H32" s="242"/>
      <c r="I32" s="242"/>
      <c r="J32" s="242"/>
      <c r="K32" s="242"/>
      <c r="L32" s="242"/>
      <c r="M32" s="242"/>
      <c r="N32" s="242"/>
      <c r="O32" s="114"/>
      <c r="P32" s="114"/>
      <c r="Q32" s="117"/>
      <c r="R32" s="85" t="s">
        <v>150</v>
      </c>
      <c r="S32" s="240">
        <v>0.25</v>
      </c>
      <c r="T32" s="240"/>
      <c r="U32" s="118" t="s">
        <v>11</v>
      </c>
      <c r="V32" s="241">
        <v>0.75</v>
      </c>
      <c r="W32" s="241"/>
      <c r="X32" s="115"/>
      <c r="Y32" s="115"/>
      <c r="Z32" s="115"/>
      <c r="AA32" s="115"/>
      <c r="AB32" s="115"/>
      <c r="AC32" s="116"/>
      <c r="AD32" s="250" t="s">
        <v>36</v>
      </c>
      <c r="AE32" s="250"/>
      <c r="AF32" s="250"/>
      <c r="AG32" s="250"/>
      <c r="AH32" s="86">
        <v>0.5</v>
      </c>
      <c r="AI32" s="254">
        <f>AH32/24</f>
        <v>2.0833333333333332E-2</v>
      </c>
      <c r="AJ32" s="255"/>
      <c r="AK32" s="217">
        <f>AH49</f>
        <v>0</v>
      </c>
      <c r="AL32" s="214" t="s">
        <v>90</v>
      </c>
      <c r="AM32" s="9"/>
      <c r="AN32" s="34">
        <f t="shared" ref="AN32:AN40" si="7">IF(AS32/24=0,0,AS32/24)</f>
        <v>0</v>
      </c>
      <c r="AO32" s="35">
        <f t="shared" ref="AO32:AO40" si="8">IF(BA32=0,"",BA32)</f>
        <v>0.5</v>
      </c>
      <c r="AP32" s="36">
        <f t="shared" ref="AP32:AP39" si="9">S32*24</f>
        <v>6</v>
      </c>
      <c r="AQ32" s="36">
        <f t="shared" ref="AQ32:AQ40" si="10">V32*24</f>
        <v>18</v>
      </c>
      <c r="AR32" s="36">
        <f t="shared" ref="AR32:AR40" si="11">AS32</f>
        <v>0</v>
      </c>
      <c r="AS32" s="37">
        <f t="shared" ref="AS32:AS40" si="12">IF(AV32&gt;=4,AT32,AT32)</f>
        <v>0</v>
      </c>
      <c r="AT32" s="38">
        <f t="shared" ref="AT32:AT40" si="13">IF(AV32&gt;8,8,AU32)</f>
        <v>0</v>
      </c>
      <c r="AU32" s="39">
        <f t="shared" ref="AU32:AU40" si="14">IF(AV32&lt;0,0,AV32)</f>
        <v>0</v>
      </c>
      <c r="AV32" s="40">
        <f t="shared" ref="AV32:AV40" si="15">IF(AP32=AQ32,0,IF(AP32&gt;AQ32,AW32,IF(AP32&gt;=6,AX32,AQ32-AP32)))</f>
        <v>-12</v>
      </c>
      <c r="AW32" s="36">
        <f t="shared" ref="AW32:AW40" si="16">IF(AP32&lt;6,(AQ32-22+24)+(6-AP32),IF(AP32&gt;=22,AY32,IF(AV2&lt;=6,(AQ32-22)+24,8)))</f>
        <v>20</v>
      </c>
      <c r="AX32" s="41">
        <f t="shared" ref="AX32:AX40" si="17">IF(AQ32&gt;22,AZ32,IF(AP32&lt;AQ32,AP32-AQ32,IF(AP32&gt;6,0,(6-AP32))))</f>
        <v>-12</v>
      </c>
      <c r="AY32" s="36">
        <f t="shared" ref="AY32:AY40" si="18">IF(AQ32&lt;=6,(AQ32-AP32)+24,IF(AQ32&gt;22,8,(6-AP32)+24))</f>
        <v>24</v>
      </c>
      <c r="AZ32" s="42">
        <f t="shared" ref="AZ32:AZ40" si="19">IF(AP32&lt;=6,(6-AP32)+(AQ32-22),IF(AP32&gt;22,(AQ32-AP32),(AQ32-22)))</f>
        <v>-4</v>
      </c>
      <c r="BA32" s="36">
        <f t="shared" ref="BA32:BA40" si="20">IF(V32-S32&gt;=0,V32-S32,V32-S32+24)</f>
        <v>0.5</v>
      </c>
      <c r="BB32" s="36">
        <f t="shared" ref="BB32:BB40" si="21">IF(AO32&lt;1,AO32*24,(AO32-24)*24)</f>
        <v>12</v>
      </c>
      <c r="BC32" s="36">
        <f t="shared" ref="BC32:BC40" si="22">IF(BB32&gt;=0,BB32,BB32+24)</f>
        <v>12</v>
      </c>
      <c r="BD32" s="43">
        <f t="shared" ref="BD32:BD40" si="23">IF(AX32&lt;=0,AN32,IF(AX32&gt;=0.1,AX32/24))</f>
        <v>0</v>
      </c>
      <c r="BE32" s="44" t="str">
        <f t="shared" ref="BE32:BE34" si="24">IF(BD38&gt;=4,IF(BD38="",0,8),IF(BD38&gt;=0.1,IF(BD38="",0,BD38),""))</f>
        <v/>
      </c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</row>
    <row r="33" spans="1:80" s="2" customFormat="1" ht="19.5" customHeight="1" x14ac:dyDescent="0.25">
      <c r="A33" s="238" t="s">
        <v>37</v>
      </c>
      <c r="B33" s="238"/>
      <c r="C33" s="242" t="str">
        <f>CONTROL!B35</f>
        <v>CENTRO</v>
      </c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114"/>
      <c r="P33" s="114"/>
      <c r="Q33" s="117"/>
      <c r="R33" s="85" t="s">
        <v>152</v>
      </c>
      <c r="S33" s="240">
        <v>0.75</v>
      </c>
      <c r="T33" s="240"/>
      <c r="U33" s="118" t="s">
        <v>11</v>
      </c>
      <c r="V33" s="241">
        <v>0.25</v>
      </c>
      <c r="W33" s="241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4"/>
      <c r="AK33" s="217">
        <f>AH60</f>
        <v>128</v>
      </c>
      <c r="AL33" s="214" t="s">
        <v>138</v>
      </c>
      <c r="AM33" s="9"/>
      <c r="AN33" s="35">
        <f t="shared" si="7"/>
        <v>0.33333333333333331</v>
      </c>
      <c r="AO33" s="35">
        <f t="shared" si="8"/>
        <v>23.5</v>
      </c>
      <c r="AP33" s="36">
        <f t="shared" si="9"/>
        <v>18</v>
      </c>
      <c r="AQ33" s="36">
        <f t="shared" si="10"/>
        <v>6</v>
      </c>
      <c r="AR33" s="36">
        <f t="shared" si="11"/>
        <v>8</v>
      </c>
      <c r="AS33" s="37">
        <f t="shared" si="12"/>
        <v>8</v>
      </c>
      <c r="AT33" s="38">
        <f t="shared" si="13"/>
        <v>8</v>
      </c>
      <c r="AU33" s="39">
        <f t="shared" si="14"/>
        <v>8</v>
      </c>
      <c r="AV33" s="36">
        <f t="shared" si="15"/>
        <v>8</v>
      </c>
      <c r="AW33" s="36">
        <f t="shared" si="16"/>
        <v>8</v>
      </c>
      <c r="AX33" s="41">
        <f t="shared" si="17"/>
        <v>0</v>
      </c>
      <c r="AY33" s="36">
        <f t="shared" si="18"/>
        <v>12</v>
      </c>
      <c r="AZ33" s="36">
        <f t="shared" si="19"/>
        <v>-16</v>
      </c>
      <c r="BA33" s="36">
        <f t="shared" si="20"/>
        <v>23.5</v>
      </c>
      <c r="BB33" s="36">
        <f t="shared" si="21"/>
        <v>-12</v>
      </c>
      <c r="BC33" s="36">
        <f t="shared" si="22"/>
        <v>12</v>
      </c>
      <c r="BD33" s="43">
        <f t="shared" si="23"/>
        <v>0.33333333333333331</v>
      </c>
      <c r="BE33" s="44" t="str">
        <f t="shared" si="24"/>
        <v/>
      </c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</row>
    <row r="34" spans="1:80" s="2" customFormat="1" ht="19.5" customHeight="1" x14ac:dyDescent="0.35">
      <c r="A34" s="238" t="s">
        <v>38</v>
      </c>
      <c r="B34" s="238"/>
      <c r="C34" s="242">
        <v>2025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114"/>
      <c r="P34" s="114"/>
      <c r="Q34" s="117"/>
      <c r="R34" s="85" t="s">
        <v>151</v>
      </c>
      <c r="S34" s="240">
        <v>0.29166666666666669</v>
      </c>
      <c r="T34" s="240"/>
      <c r="U34" s="118" t="s">
        <v>11</v>
      </c>
      <c r="V34" s="241">
        <v>0.79166666666666663</v>
      </c>
      <c r="W34" s="241"/>
      <c r="X34" s="115"/>
      <c r="Y34" s="119"/>
      <c r="Z34" s="119"/>
      <c r="AA34" s="119"/>
      <c r="AB34" s="119"/>
      <c r="AC34" s="119"/>
      <c r="AD34" s="119"/>
      <c r="AE34" s="115"/>
      <c r="AF34" s="115"/>
      <c r="AG34" s="115"/>
      <c r="AH34" s="115"/>
      <c r="AI34" s="115"/>
      <c r="AJ34" s="115"/>
      <c r="AK34" s="217">
        <v>0</v>
      </c>
      <c r="AL34" s="214" t="s">
        <v>139</v>
      </c>
      <c r="AM34" s="9"/>
      <c r="AN34" s="35">
        <f t="shared" si="7"/>
        <v>0</v>
      </c>
      <c r="AO34" s="35">
        <f t="shared" si="8"/>
        <v>0.49999999999999994</v>
      </c>
      <c r="AP34" s="36">
        <f t="shared" si="9"/>
        <v>7</v>
      </c>
      <c r="AQ34" s="36">
        <f t="shared" si="10"/>
        <v>19</v>
      </c>
      <c r="AR34" s="36">
        <f t="shared" si="11"/>
        <v>0</v>
      </c>
      <c r="AS34" s="37">
        <f t="shared" si="12"/>
        <v>0</v>
      </c>
      <c r="AT34" s="38">
        <f t="shared" si="13"/>
        <v>0</v>
      </c>
      <c r="AU34" s="39">
        <f t="shared" si="14"/>
        <v>0</v>
      </c>
      <c r="AV34" s="36">
        <f t="shared" si="15"/>
        <v>-12</v>
      </c>
      <c r="AW34" s="36">
        <f t="shared" si="16"/>
        <v>21</v>
      </c>
      <c r="AX34" s="41">
        <f t="shared" si="17"/>
        <v>-12</v>
      </c>
      <c r="AY34" s="36">
        <f t="shared" si="18"/>
        <v>23</v>
      </c>
      <c r="AZ34" s="36">
        <f t="shared" si="19"/>
        <v>-3</v>
      </c>
      <c r="BA34" s="36">
        <f t="shared" si="20"/>
        <v>0.49999999999999994</v>
      </c>
      <c r="BB34" s="36">
        <f t="shared" si="21"/>
        <v>11.999999999999998</v>
      </c>
      <c r="BC34" s="36">
        <f t="shared" si="22"/>
        <v>11.999999999999998</v>
      </c>
      <c r="BD34" s="43">
        <f t="shared" si="23"/>
        <v>0</v>
      </c>
      <c r="BE34" s="44" t="str">
        <f t="shared" si="24"/>
        <v/>
      </c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</row>
    <row r="35" spans="1:80" s="2" customFormat="1" ht="19.5" customHeight="1" x14ac:dyDescent="0.25">
      <c r="A35" s="238" t="s">
        <v>39</v>
      </c>
      <c r="B35" s="238"/>
      <c r="C35" s="242">
        <v>5</v>
      </c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114"/>
      <c r="P35" s="114"/>
      <c r="Q35" s="117"/>
      <c r="R35" s="85" t="s">
        <v>153</v>
      </c>
      <c r="S35" s="240">
        <v>0.79166666666666663</v>
      </c>
      <c r="T35" s="240"/>
      <c r="U35" s="118" t="s">
        <v>11</v>
      </c>
      <c r="V35" s="241">
        <v>0.29166666666666669</v>
      </c>
      <c r="W35" s="241"/>
      <c r="X35" s="115"/>
      <c r="Y35" s="120"/>
      <c r="Z35" s="121"/>
      <c r="AA35" s="121"/>
      <c r="AB35" s="120"/>
      <c r="AC35" s="121"/>
      <c r="AD35" s="121"/>
      <c r="AE35" s="115"/>
      <c r="AF35" s="115"/>
      <c r="AG35" s="115"/>
      <c r="AH35" s="115"/>
      <c r="AI35" s="115"/>
      <c r="AJ35" s="115"/>
      <c r="AK35" s="217">
        <f>AH82</f>
        <v>136</v>
      </c>
      <c r="AL35" s="214" t="s">
        <v>140</v>
      </c>
      <c r="AM35" s="9"/>
      <c r="AN35" s="35">
        <f t="shared" si="7"/>
        <v>0.33333333333333331</v>
      </c>
      <c r="AO35" s="35">
        <f t="shared" si="8"/>
        <v>23.5</v>
      </c>
      <c r="AP35" s="36">
        <f t="shared" si="9"/>
        <v>19</v>
      </c>
      <c r="AQ35" s="36">
        <f t="shared" si="10"/>
        <v>7</v>
      </c>
      <c r="AR35" s="36">
        <f t="shared" si="11"/>
        <v>8</v>
      </c>
      <c r="AS35" s="37">
        <f t="shared" si="12"/>
        <v>8</v>
      </c>
      <c r="AT35" s="38">
        <f t="shared" si="13"/>
        <v>8</v>
      </c>
      <c r="AU35" s="39">
        <f t="shared" si="14"/>
        <v>9</v>
      </c>
      <c r="AV35" s="36">
        <f t="shared" si="15"/>
        <v>9</v>
      </c>
      <c r="AW35" s="36">
        <f t="shared" si="16"/>
        <v>9</v>
      </c>
      <c r="AX35" s="41">
        <f t="shared" si="17"/>
        <v>0</v>
      </c>
      <c r="AY35" s="36">
        <f t="shared" si="18"/>
        <v>11</v>
      </c>
      <c r="AZ35" s="36">
        <f t="shared" si="19"/>
        <v>-15</v>
      </c>
      <c r="BA35" s="36">
        <f t="shared" si="20"/>
        <v>23.5</v>
      </c>
      <c r="BB35" s="36">
        <f t="shared" si="21"/>
        <v>-12</v>
      </c>
      <c r="BC35" s="36">
        <f t="shared" si="22"/>
        <v>12</v>
      </c>
      <c r="BD35" s="43">
        <f t="shared" si="23"/>
        <v>0.33333333333333331</v>
      </c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</row>
    <row r="36" spans="1:80" s="2" customFormat="1" ht="19.5" customHeight="1" x14ac:dyDescent="0.25">
      <c r="A36" s="238" t="s">
        <v>40</v>
      </c>
      <c r="B36" s="238"/>
      <c r="C36" s="239">
        <v>5.22</v>
      </c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114"/>
      <c r="P36" s="114"/>
      <c r="Q36" s="117"/>
      <c r="R36" s="85" t="s">
        <v>154</v>
      </c>
      <c r="S36" s="240">
        <v>0.91666666666666663</v>
      </c>
      <c r="T36" s="240"/>
      <c r="U36" s="118" t="s">
        <v>11</v>
      </c>
      <c r="V36" s="241">
        <v>0.25</v>
      </c>
      <c r="W36" s="241"/>
      <c r="X36" s="115"/>
      <c r="Y36" s="120"/>
      <c r="Z36" s="121"/>
      <c r="AA36" s="121"/>
      <c r="AB36" s="120"/>
      <c r="AC36" s="121"/>
      <c r="AD36" s="121"/>
      <c r="AE36" s="115"/>
      <c r="AF36" s="115"/>
      <c r="AG36" s="115"/>
      <c r="AH36" s="115"/>
      <c r="AI36" s="115"/>
      <c r="AJ36" s="115"/>
      <c r="AK36" s="217">
        <f>AH93</f>
        <v>0</v>
      </c>
      <c r="AL36" s="214" t="s">
        <v>141</v>
      </c>
      <c r="AM36" s="9"/>
      <c r="AN36" s="35">
        <f t="shared" si="7"/>
        <v>0.33333333333333331</v>
      </c>
      <c r="AO36" s="35">
        <f t="shared" si="8"/>
        <v>23.333333333333332</v>
      </c>
      <c r="AP36" s="36">
        <f t="shared" si="9"/>
        <v>22</v>
      </c>
      <c r="AQ36" s="36">
        <f t="shared" si="10"/>
        <v>6</v>
      </c>
      <c r="AR36" s="36">
        <f t="shared" si="11"/>
        <v>8</v>
      </c>
      <c r="AS36" s="37">
        <f t="shared" si="12"/>
        <v>8</v>
      </c>
      <c r="AT36" s="38">
        <f t="shared" si="13"/>
        <v>8</v>
      </c>
      <c r="AU36" s="39">
        <f t="shared" si="14"/>
        <v>8</v>
      </c>
      <c r="AV36" s="36">
        <f t="shared" si="15"/>
        <v>8</v>
      </c>
      <c r="AW36" s="36">
        <f t="shared" si="16"/>
        <v>8</v>
      </c>
      <c r="AX36" s="41">
        <f t="shared" si="17"/>
        <v>0</v>
      </c>
      <c r="AY36" s="36">
        <f t="shared" si="18"/>
        <v>8</v>
      </c>
      <c r="AZ36" s="36">
        <f t="shared" si="19"/>
        <v>-16</v>
      </c>
      <c r="BA36" s="36">
        <f t="shared" si="20"/>
        <v>23.333333333333332</v>
      </c>
      <c r="BB36" s="36">
        <f t="shared" si="21"/>
        <v>-16.000000000000028</v>
      </c>
      <c r="BC36" s="36">
        <f t="shared" si="22"/>
        <v>7.9999999999999716</v>
      </c>
      <c r="BD36" s="43">
        <f t="shared" si="23"/>
        <v>0.33333333333333331</v>
      </c>
      <c r="BE36" s="1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</row>
    <row r="37" spans="1:80" s="2" customFormat="1" ht="19.5" customHeight="1" x14ac:dyDescent="0.25">
      <c r="A37" s="238" t="s">
        <v>41</v>
      </c>
      <c r="B37" s="238"/>
      <c r="C37" s="239">
        <v>162</v>
      </c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116"/>
      <c r="P37" s="116"/>
      <c r="Q37" s="117"/>
      <c r="R37" s="85" t="str">
        <f>CONTROL!F40</f>
        <v>F</v>
      </c>
      <c r="S37" s="240">
        <f>CONTROL!G40</f>
        <v>0.20833333333333334</v>
      </c>
      <c r="T37" s="240"/>
      <c r="U37" s="118" t="s">
        <v>11</v>
      </c>
      <c r="V37" s="241">
        <f>CONTROL!H40</f>
        <v>0.25</v>
      </c>
      <c r="W37" s="241"/>
      <c r="X37" s="115"/>
      <c r="Y37" s="120"/>
      <c r="Z37" s="121"/>
      <c r="AA37" s="121"/>
      <c r="AB37" s="120"/>
      <c r="AC37" s="121"/>
      <c r="AD37" s="121"/>
      <c r="AE37" s="115"/>
      <c r="AF37" s="115"/>
      <c r="AG37" s="115"/>
      <c r="AH37" s="115"/>
      <c r="AI37" s="115"/>
      <c r="AJ37" s="116"/>
      <c r="AK37" s="217">
        <f>AH104</f>
        <v>16</v>
      </c>
      <c r="AL37" s="214" t="s">
        <v>142</v>
      </c>
      <c r="AM37" s="9"/>
      <c r="AN37" s="35">
        <f t="shared" si="7"/>
        <v>4.1666666666666664E-2</v>
      </c>
      <c r="AO37" s="35">
        <f t="shared" si="8"/>
        <v>4.1666666666666657E-2</v>
      </c>
      <c r="AP37" s="36">
        <f t="shared" si="9"/>
        <v>5</v>
      </c>
      <c r="AQ37" s="36">
        <f t="shared" si="10"/>
        <v>6</v>
      </c>
      <c r="AR37" s="36">
        <f t="shared" si="11"/>
        <v>1</v>
      </c>
      <c r="AS37" s="37">
        <f t="shared" si="12"/>
        <v>1</v>
      </c>
      <c r="AT37" s="38">
        <f t="shared" si="13"/>
        <v>1</v>
      </c>
      <c r="AU37" s="39">
        <f t="shared" si="14"/>
        <v>1</v>
      </c>
      <c r="AV37" s="36">
        <f t="shared" si="15"/>
        <v>1</v>
      </c>
      <c r="AW37" s="36">
        <f t="shared" si="16"/>
        <v>9</v>
      </c>
      <c r="AX37" s="41">
        <f t="shared" si="17"/>
        <v>-1</v>
      </c>
      <c r="AY37" s="36">
        <f t="shared" si="18"/>
        <v>25</v>
      </c>
      <c r="AZ37" s="36">
        <f t="shared" si="19"/>
        <v>-15</v>
      </c>
      <c r="BA37" s="36">
        <f t="shared" si="20"/>
        <v>4.1666666666666657E-2</v>
      </c>
      <c r="BB37" s="36">
        <f t="shared" si="21"/>
        <v>0.99999999999999978</v>
      </c>
      <c r="BC37" s="36">
        <f t="shared" si="22"/>
        <v>0.99999999999999978</v>
      </c>
      <c r="BD37" s="43">
        <f t="shared" si="23"/>
        <v>4.1666666666666664E-2</v>
      </c>
      <c r="BE37" s="1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</row>
    <row r="38" spans="1:80" s="2" customFormat="1" ht="20.100000000000001" customHeight="1" x14ac:dyDescent="0.25">
      <c r="A38" s="238" t="s">
        <v>42</v>
      </c>
      <c r="B38" s="238"/>
      <c r="C38" s="239">
        <v>0</v>
      </c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122"/>
      <c r="P38" s="122"/>
      <c r="Q38" s="115"/>
      <c r="R38" s="197" t="str">
        <f>CONTROL!F41</f>
        <v>G</v>
      </c>
      <c r="S38" s="222">
        <f>CONTROL!G41</f>
        <v>0.29166666666666669</v>
      </c>
      <c r="T38" s="222"/>
      <c r="U38" s="118" t="s">
        <v>11</v>
      </c>
      <c r="V38" s="223">
        <f>CONTROL!H41</f>
        <v>0.33333333333333331</v>
      </c>
      <c r="W38" s="223"/>
      <c r="X38" s="115"/>
      <c r="Y38" s="120"/>
      <c r="Z38" s="121"/>
      <c r="AA38" s="121"/>
      <c r="AB38" s="120"/>
      <c r="AC38" s="121"/>
      <c r="AD38" s="121"/>
      <c r="AE38" s="116"/>
      <c r="AF38" s="116"/>
      <c r="AG38" s="116"/>
      <c r="AH38" s="116"/>
      <c r="AI38" s="116"/>
      <c r="AJ38" s="114"/>
      <c r="AK38" s="217">
        <f>AH115</f>
        <v>112</v>
      </c>
      <c r="AL38" s="214" t="s">
        <v>143</v>
      </c>
      <c r="AN38" s="35">
        <f t="shared" si="7"/>
        <v>0</v>
      </c>
      <c r="AO38" s="35">
        <f t="shared" si="8"/>
        <v>4.166666666666663E-2</v>
      </c>
      <c r="AP38" s="36">
        <f t="shared" si="9"/>
        <v>7</v>
      </c>
      <c r="AQ38" s="36">
        <f t="shared" si="10"/>
        <v>8</v>
      </c>
      <c r="AR38" s="36">
        <f t="shared" si="11"/>
        <v>0</v>
      </c>
      <c r="AS38" s="37">
        <f t="shared" si="12"/>
        <v>0</v>
      </c>
      <c r="AT38" s="38">
        <f t="shared" si="13"/>
        <v>0</v>
      </c>
      <c r="AU38" s="39">
        <f t="shared" si="14"/>
        <v>0</v>
      </c>
      <c r="AV38" s="36">
        <f t="shared" si="15"/>
        <v>-1</v>
      </c>
      <c r="AW38" s="36">
        <f t="shared" si="16"/>
        <v>10</v>
      </c>
      <c r="AX38" s="41">
        <f t="shared" si="17"/>
        <v>-1</v>
      </c>
      <c r="AY38" s="36">
        <f t="shared" si="18"/>
        <v>23</v>
      </c>
      <c r="AZ38" s="36">
        <f t="shared" si="19"/>
        <v>-14</v>
      </c>
      <c r="BA38" s="36">
        <f t="shared" si="20"/>
        <v>4.166666666666663E-2</v>
      </c>
      <c r="BB38" s="36">
        <f t="shared" si="21"/>
        <v>0.99999999999999911</v>
      </c>
      <c r="BC38" s="36">
        <f t="shared" si="22"/>
        <v>0.99999999999999911</v>
      </c>
      <c r="BD38" s="43">
        <f t="shared" si="23"/>
        <v>0</v>
      </c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</row>
    <row r="39" spans="1:80" s="2" customFormat="1" ht="20.100000000000001" customHeight="1" x14ac:dyDescent="0.25">
      <c r="A39" s="123"/>
      <c r="B39" s="116"/>
      <c r="C39" s="124"/>
      <c r="D39" s="116"/>
      <c r="E39" s="116"/>
      <c r="F39" s="116"/>
      <c r="G39" s="116"/>
      <c r="H39" s="116"/>
      <c r="I39" s="116"/>
      <c r="J39" s="116"/>
      <c r="K39" s="116"/>
      <c r="L39" s="122"/>
      <c r="M39" s="122"/>
      <c r="N39" s="125"/>
      <c r="O39" s="122"/>
      <c r="P39" s="122"/>
      <c r="Q39" s="115"/>
      <c r="R39" s="197" t="str">
        <f>CONTROL!F42</f>
        <v>H</v>
      </c>
      <c r="S39" s="222">
        <f>CONTROL!G42</f>
        <v>0.33333333333333331</v>
      </c>
      <c r="T39" s="222"/>
      <c r="U39" s="118" t="s">
        <v>11</v>
      </c>
      <c r="V39" s="223">
        <f>CONTROL!H42</f>
        <v>0.375</v>
      </c>
      <c r="W39" s="223"/>
      <c r="X39" s="115"/>
      <c r="Y39" s="120"/>
      <c r="Z39" s="121"/>
      <c r="AA39" s="121"/>
      <c r="AB39" s="120"/>
      <c r="AC39" s="121"/>
      <c r="AD39" s="121"/>
      <c r="AE39" s="116"/>
      <c r="AF39" s="116"/>
      <c r="AG39" s="116"/>
      <c r="AH39" s="116"/>
      <c r="AI39" s="116"/>
      <c r="AJ39" s="114"/>
      <c r="AK39" s="217">
        <f>AH126</f>
        <v>0</v>
      </c>
      <c r="AL39" s="214" t="s">
        <v>144</v>
      </c>
      <c r="AN39" s="35">
        <f t="shared" si="7"/>
        <v>0</v>
      </c>
      <c r="AO39" s="35">
        <f t="shared" si="8"/>
        <v>4.1666666666666685E-2</v>
      </c>
      <c r="AP39" s="36">
        <f t="shared" si="9"/>
        <v>8</v>
      </c>
      <c r="AQ39" s="36">
        <f t="shared" si="10"/>
        <v>9</v>
      </c>
      <c r="AR39" s="36">
        <f t="shared" si="11"/>
        <v>0</v>
      </c>
      <c r="AS39" s="37">
        <f t="shared" si="12"/>
        <v>0</v>
      </c>
      <c r="AT39" s="38">
        <f t="shared" si="13"/>
        <v>0</v>
      </c>
      <c r="AU39" s="39">
        <f t="shared" si="14"/>
        <v>0</v>
      </c>
      <c r="AV39" s="36">
        <f t="shared" si="15"/>
        <v>-1</v>
      </c>
      <c r="AW39" s="36">
        <f t="shared" si="16"/>
        <v>11</v>
      </c>
      <c r="AX39" s="41">
        <f t="shared" si="17"/>
        <v>-1</v>
      </c>
      <c r="AY39" s="36">
        <f t="shared" si="18"/>
        <v>22</v>
      </c>
      <c r="AZ39" s="36">
        <f t="shared" si="19"/>
        <v>-13</v>
      </c>
      <c r="BA39" s="36">
        <f t="shared" si="20"/>
        <v>4.1666666666666685E-2</v>
      </c>
      <c r="BB39" s="36">
        <f t="shared" si="21"/>
        <v>1.0000000000000004</v>
      </c>
      <c r="BC39" s="36">
        <f t="shared" si="22"/>
        <v>1.0000000000000004</v>
      </c>
      <c r="BD39" s="43">
        <f t="shared" si="23"/>
        <v>0</v>
      </c>
      <c r="BE39" s="31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</row>
    <row r="40" spans="1:80" s="2" customFormat="1" ht="20.100000000000001" customHeight="1" x14ac:dyDescent="0.25">
      <c r="A40" s="123"/>
      <c r="B40" s="116"/>
      <c r="C40" s="124"/>
      <c r="D40" s="116"/>
      <c r="E40" s="116"/>
      <c r="F40" s="116"/>
      <c r="G40" s="116"/>
      <c r="H40" s="116"/>
      <c r="I40" s="116"/>
      <c r="J40" s="116"/>
      <c r="K40" s="116"/>
      <c r="L40" s="122"/>
      <c r="M40" s="122"/>
      <c r="N40" s="125"/>
      <c r="O40" s="122"/>
      <c r="P40" s="122"/>
      <c r="Q40" s="115"/>
      <c r="R40" s="197" t="str">
        <f>CONTROL!F43</f>
        <v>I</v>
      </c>
      <c r="S40" s="222">
        <f>CONTROL!G43</f>
        <v>0.41666666666666669</v>
      </c>
      <c r="T40" s="222"/>
      <c r="U40" s="118" t="s">
        <v>11</v>
      </c>
      <c r="V40" s="223">
        <f>CONTROL!H43</f>
        <v>0.45833333333333331</v>
      </c>
      <c r="W40" s="223"/>
      <c r="X40" s="115"/>
      <c r="Y40" s="120"/>
      <c r="Z40" s="121"/>
      <c r="AA40" s="121"/>
      <c r="AB40" s="120"/>
      <c r="AC40" s="121"/>
      <c r="AD40" s="121"/>
      <c r="AE40" s="116"/>
      <c r="AF40" s="116"/>
      <c r="AG40" s="116"/>
      <c r="AH40" s="116"/>
      <c r="AI40" s="116"/>
      <c r="AJ40" s="114"/>
      <c r="AK40" s="217">
        <f>AH137</f>
        <v>168</v>
      </c>
      <c r="AL40" s="214" t="s">
        <v>145</v>
      </c>
      <c r="AN40" s="35">
        <f t="shared" si="7"/>
        <v>0</v>
      </c>
      <c r="AO40" s="35">
        <f t="shared" si="8"/>
        <v>4.166666666666663E-2</v>
      </c>
      <c r="AP40" s="36">
        <f>S40*24+24</f>
        <v>34</v>
      </c>
      <c r="AQ40" s="36">
        <f t="shared" si="10"/>
        <v>11</v>
      </c>
      <c r="AR40" s="36">
        <f t="shared" si="11"/>
        <v>0</v>
      </c>
      <c r="AS40" s="37">
        <f t="shared" si="12"/>
        <v>0</v>
      </c>
      <c r="AT40" s="38">
        <f t="shared" si="13"/>
        <v>0</v>
      </c>
      <c r="AU40" s="39">
        <f t="shared" si="14"/>
        <v>0</v>
      </c>
      <c r="AV40" s="36">
        <f t="shared" si="15"/>
        <v>-4</v>
      </c>
      <c r="AW40" s="36">
        <f t="shared" si="16"/>
        <v>-4</v>
      </c>
      <c r="AX40" s="41">
        <f t="shared" si="17"/>
        <v>0</v>
      </c>
      <c r="AY40" s="36">
        <f t="shared" si="18"/>
        <v>-4</v>
      </c>
      <c r="AZ40" s="36">
        <f t="shared" si="19"/>
        <v>-23</v>
      </c>
      <c r="BA40" s="36">
        <f t="shared" si="20"/>
        <v>4.166666666666663E-2</v>
      </c>
      <c r="BB40" s="36">
        <f t="shared" si="21"/>
        <v>0.99999999999999911</v>
      </c>
      <c r="BC40" s="36">
        <f t="shared" si="22"/>
        <v>0.99999999999999911</v>
      </c>
      <c r="BD40" s="43">
        <f t="shared" si="23"/>
        <v>0</v>
      </c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</row>
    <row r="41" spans="1:80" s="2" customFormat="1" ht="20.100000000000001" customHeight="1" x14ac:dyDescent="0.25">
      <c r="A41" s="123"/>
      <c r="B41" s="116"/>
      <c r="C41" s="124"/>
      <c r="D41" s="116"/>
      <c r="E41" s="116"/>
      <c r="F41" s="116"/>
      <c r="G41" s="116"/>
      <c r="H41" s="116"/>
      <c r="I41" s="116"/>
      <c r="J41" s="116"/>
      <c r="K41" s="116"/>
      <c r="L41" s="122"/>
      <c r="M41" s="122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6"/>
      <c r="AB41" s="116"/>
      <c r="AC41" s="116"/>
      <c r="AD41" s="116"/>
      <c r="AE41" s="116"/>
      <c r="AF41" s="116"/>
      <c r="AG41" s="116"/>
      <c r="AH41" s="116"/>
      <c r="AI41" s="116"/>
      <c r="AJ41" s="114"/>
      <c r="AK41" s="217">
        <f>AH148</f>
        <v>184</v>
      </c>
      <c r="AL41" s="214" t="s">
        <v>146</v>
      </c>
      <c r="AN41" s="10"/>
      <c r="AO41" s="10"/>
      <c r="AP41" s="46">
        <f>S41*24</f>
        <v>0</v>
      </c>
      <c r="AQ41" s="10"/>
      <c r="AR41" s="47">
        <v>1</v>
      </c>
      <c r="AS41" s="47">
        <v>2</v>
      </c>
      <c r="AT41" s="47">
        <v>3</v>
      </c>
      <c r="AU41" s="47">
        <v>4</v>
      </c>
      <c r="AV41" s="47">
        <v>5</v>
      </c>
      <c r="AW41" s="47">
        <v>6</v>
      </c>
      <c r="AX41" s="47">
        <v>7</v>
      </c>
      <c r="AY41" s="47">
        <v>8</v>
      </c>
      <c r="AZ41" s="47">
        <v>9</v>
      </c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</row>
    <row r="42" spans="1:80" ht="20.100000000000001" customHeight="1" x14ac:dyDescent="0.25">
      <c r="A42" s="116"/>
      <c r="B42" s="126"/>
      <c r="C42" s="224" t="s">
        <v>43</v>
      </c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5" t="str">
        <f>CONTROL!B38</f>
        <v>OSCAR ORGEIRA © 20.03.00 EXCEL</v>
      </c>
      <c r="X42" s="225"/>
      <c r="Y42" s="225"/>
      <c r="Z42" s="225"/>
      <c r="AA42" s="225"/>
      <c r="AB42" s="225"/>
      <c r="AC42" s="225"/>
      <c r="AD42" s="225"/>
      <c r="AE42" s="225"/>
      <c r="AF42" s="225"/>
      <c r="AG42" s="225"/>
      <c r="AH42" s="225"/>
      <c r="AI42" s="127"/>
      <c r="AJ42" s="116"/>
      <c r="AK42" s="218">
        <f>AH159</f>
        <v>0</v>
      </c>
      <c r="AL42" s="215" t="s">
        <v>147</v>
      </c>
      <c r="BE42" s="10"/>
    </row>
    <row r="43" spans="1:80" ht="20.100000000000001" customHeight="1" x14ac:dyDescent="0.25">
      <c r="A43" s="116"/>
      <c r="B43" s="116"/>
      <c r="C43" s="234" t="s">
        <v>44</v>
      </c>
      <c r="D43" s="234"/>
      <c r="E43" s="235" t="s">
        <v>45</v>
      </c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  <c r="AA43" s="235"/>
      <c r="AB43" s="235"/>
      <c r="AC43" s="235"/>
      <c r="AD43" s="235"/>
      <c r="AE43" s="235"/>
      <c r="AF43" s="235"/>
      <c r="AG43" s="235"/>
      <c r="AH43" s="235"/>
      <c r="AI43" s="235"/>
      <c r="AJ43" s="116"/>
      <c r="AK43" s="218">
        <f>AH170</f>
        <v>0</v>
      </c>
      <c r="AL43" s="215" t="s">
        <v>148</v>
      </c>
      <c r="BE43" s="10"/>
    </row>
    <row r="44" spans="1:80" s="2" customFormat="1" ht="15.95" hidden="1" customHeight="1" x14ac:dyDescent="0.25">
      <c r="A44" s="123"/>
      <c r="B44" s="114"/>
      <c r="C44" s="128"/>
      <c r="D44" s="114"/>
      <c r="E44" s="114"/>
      <c r="F44" s="114"/>
      <c r="G44" s="114"/>
      <c r="H44" s="114"/>
      <c r="I44" s="114"/>
      <c r="J44" s="114"/>
      <c r="K44" s="114"/>
      <c r="L44" s="125"/>
      <c r="M44" s="125"/>
      <c r="N44" s="125"/>
      <c r="O44" s="125"/>
      <c r="P44" s="125"/>
      <c r="Q44" s="125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N44" s="10"/>
      <c r="AO44" s="10"/>
      <c r="AP44" s="10"/>
      <c r="AQ44" s="10"/>
      <c r="AR44" s="47"/>
      <c r="AS44" s="47"/>
      <c r="AT44" s="47"/>
      <c r="AU44" s="47"/>
      <c r="AV44" s="47"/>
      <c r="AW44" s="47"/>
      <c r="AX44" s="47"/>
      <c r="AY44" s="47"/>
      <c r="AZ44" s="47"/>
      <c r="BA44" s="10"/>
      <c r="BB44" s="10"/>
      <c r="BC44" s="10"/>
      <c r="BD44" s="10"/>
      <c r="BE44" s="48" t="str">
        <f>INDEX({"do";"lu";"ma";"mi";"ju";"vi";"sa"},1+MOD($AR$47+4-2,7))</f>
        <v>ju</v>
      </c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</row>
    <row r="45" spans="1:80" ht="15.95" hidden="1" customHeight="1" x14ac:dyDescent="0.25">
      <c r="A45" s="129"/>
      <c r="B45" s="130" t="s">
        <v>46</v>
      </c>
      <c r="C45" s="131" t="str">
        <f t="shared" ref="C45:AH45" si="25">IF(C7="S",IF(C7="",0,1),IF(C7="D",IF(C7="",0,1),""))</f>
        <v/>
      </c>
      <c r="D45" s="131" t="str">
        <f t="shared" si="25"/>
        <v/>
      </c>
      <c r="E45" s="131">
        <f t="shared" si="25"/>
        <v>1</v>
      </c>
      <c r="F45" s="131">
        <f t="shared" si="25"/>
        <v>1</v>
      </c>
      <c r="G45" s="131" t="str">
        <f t="shared" si="25"/>
        <v/>
      </c>
      <c r="H45" s="131" t="str">
        <f t="shared" si="25"/>
        <v/>
      </c>
      <c r="I45" s="131" t="str">
        <f t="shared" si="25"/>
        <v/>
      </c>
      <c r="J45" s="131" t="str">
        <f t="shared" si="25"/>
        <v/>
      </c>
      <c r="K45" s="131" t="str">
        <f t="shared" si="25"/>
        <v/>
      </c>
      <c r="L45" s="131">
        <f t="shared" si="25"/>
        <v>1</v>
      </c>
      <c r="M45" s="131">
        <f t="shared" si="25"/>
        <v>1</v>
      </c>
      <c r="N45" s="131" t="str">
        <f t="shared" si="25"/>
        <v/>
      </c>
      <c r="O45" s="131" t="str">
        <f t="shared" si="25"/>
        <v/>
      </c>
      <c r="P45" s="131" t="str">
        <f t="shared" si="25"/>
        <v/>
      </c>
      <c r="Q45" s="131" t="str">
        <f t="shared" si="25"/>
        <v/>
      </c>
      <c r="R45" s="131" t="str">
        <f t="shared" si="25"/>
        <v/>
      </c>
      <c r="S45" s="131">
        <f t="shared" si="25"/>
        <v>1</v>
      </c>
      <c r="T45" s="131">
        <f t="shared" si="25"/>
        <v>1</v>
      </c>
      <c r="U45" s="131" t="str">
        <f t="shared" si="25"/>
        <v/>
      </c>
      <c r="V45" s="131" t="str">
        <f t="shared" si="25"/>
        <v/>
      </c>
      <c r="W45" s="131" t="str">
        <f t="shared" si="25"/>
        <v/>
      </c>
      <c r="X45" s="131" t="str">
        <f t="shared" si="25"/>
        <v/>
      </c>
      <c r="Y45" s="131" t="str">
        <f t="shared" si="25"/>
        <v/>
      </c>
      <c r="Z45" s="131">
        <f t="shared" si="25"/>
        <v>1</v>
      </c>
      <c r="AA45" s="131">
        <f t="shared" si="25"/>
        <v>1</v>
      </c>
      <c r="AB45" s="131" t="str">
        <f t="shared" si="25"/>
        <v/>
      </c>
      <c r="AC45" s="131" t="str">
        <f t="shared" si="25"/>
        <v/>
      </c>
      <c r="AD45" s="131" t="str">
        <f t="shared" si="25"/>
        <v/>
      </c>
      <c r="AE45" s="131" t="str">
        <f t="shared" si="25"/>
        <v/>
      </c>
      <c r="AF45" s="131" t="str">
        <f t="shared" si="25"/>
        <v/>
      </c>
      <c r="AG45" s="131">
        <f t="shared" si="25"/>
        <v>1</v>
      </c>
      <c r="AH45" s="132" t="str">
        <f t="shared" si="25"/>
        <v/>
      </c>
      <c r="AI45" s="236" t="s">
        <v>8</v>
      </c>
      <c r="AJ45" s="236"/>
      <c r="AK45" s="133"/>
      <c r="AL45" s="133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49" t="str">
        <f>IF(MONTH($Q$4)&lt;&gt;MONTH($Q$4-(WEEKDAY($Q$4,1)-($AR$47-1))-IF((WEEKDAY($Q$4,1)-($AR$47-1))&lt;=0,7,0)+(ROW(BE45)-ROW($AN$51))*7+(COLUMN(BE45)-COLUMN($AN$51)+1)),"",$Q$4-(WEEKDAY($Q$4,1)-($AR$47-1))-IF((WEEKDAY($Q$4,1)-($AR$47-1))&lt;=0,7,0)+(ROW(BE45)-ROW($AN$51))*7+(COLUMN(BE45)-COLUMN($AN$51)+1))</f>
        <v/>
      </c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</row>
    <row r="46" spans="1:80" s="2" customFormat="1" ht="15.95" hidden="1" customHeight="1" x14ac:dyDescent="0.25">
      <c r="A46" s="134" t="s">
        <v>47</v>
      </c>
      <c r="B46" s="134" t="s">
        <v>48</v>
      </c>
      <c r="C46" s="135" t="str">
        <f t="shared" ref="C46:AG46" si="26">IF(C6="X",IF(C6="",0,1),IF(C45=1,IF(C45="",0,1),""))</f>
        <v/>
      </c>
      <c r="D46" s="135" t="str">
        <f t="shared" si="26"/>
        <v/>
      </c>
      <c r="E46" s="135">
        <f t="shared" si="26"/>
        <v>1</v>
      </c>
      <c r="F46" s="135">
        <f t="shared" si="26"/>
        <v>1</v>
      </c>
      <c r="G46" s="135" t="str">
        <f t="shared" si="26"/>
        <v/>
      </c>
      <c r="H46" s="135" t="str">
        <f t="shared" si="26"/>
        <v/>
      </c>
      <c r="I46" s="135" t="str">
        <f t="shared" si="26"/>
        <v/>
      </c>
      <c r="J46" s="135" t="str">
        <f t="shared" si="26"/>
        <v/>
      </c>
      <c r="K46" s="135" t="str">
        <f t="shared" si="26"/>
        <v/>
      </c>
      <c r="L46" s="135">
        <f t="shared" si="26"/>
        <v>1</v>
      </c>
      <c r="M46" s="135">
        <f t="shared" si="26"/>
        <v>1</v>
      </c>
      <c r="N46" s="135" t="str">
        <f t="shared" si="26"/>
        <v/>
      </c>
      <c r="O46" s="135" t="str">
        <f t="shared" si="26"/>
        <v/>
      </c>
      <c r="P46" s="135" t="str">
        <f t="shared" si="26"/>
        <v/>
      </c>
      <c r="Q46" s="135" t="str">
        <f t="shared" si="26"/>
        <v/>
      </c>
      <c r="R46" s="135" t="str">
        <f t="shared" si="26"/>
        <v/>
      </c>
      <c r="S46" s="135">
        <f t="shared" si="26"/>
        <v>1</v>
      </c>
      <c r="T46" s="135">
        <f t="shared" si="26"/>
        <v>1</v>
      </c>
      <c r="U46" s="135" t="str">
        <f t="shared" si="26"/>
        <v/>
      </c>
      <c r="V46" s="135" t="str">
        <f t="shared" si="26"/>
        <v/>
      </c>
      <c r="W46" s="135" t="str">
        <f t="shared" si="26"/>
        <v/>
      </c>
      <c r="X46" s="135" t="str">
        <f t="shared" si="26"/>
        <v/>
      </c>
      <c r="Y46" s="135" t="str">
        <f t="shared" si="26"/>
        <v/>
      </c>
      <c r="Z46" s="135">
        <f t="shared" si="26"/>
        <v>1</v>
      </c>
      <c r="AA46" s="135">
        <f t="shared" si="26"/>
        <v>1</v>
      </c>
      <c r="AB46" s="135" t="str">
        <f t="shared" si="26"/>
        <v/>
      </c>
      <c r="AC46" s="135" t="str">
        <f t="shared" si="26"/>
        <v/>
      </c>
      <c r="AD46" s="135" t="str">
        <f t="shared" si="26"/>
        <v/>
      </c>
      <c r="AE46" s="132" t="str">
        <f t="shared" si="26"/>
        <v/>
      </c>
      <c r="AF46" s="132" t="str">
        <f t="shared" si="26"/>
        <v/>
      </c>
      <c r="AG46" s="132">
        <f t="shared" si="26"/>
        <v>1</v>
      </c>
      <c r="AH46" s="136" t="b">
        <f>IF(AH6="X",IF(AH6="",0,1))</f>
        <v>0</v>
      </c>
      <c r="AI46" s="231">
        <f>(AH32-AH33)*AL46</f>
        <v>4.5</v>
      </c>
      <c r="AJ46" s="231"/>
      <c r="AK46" s="137" t="s">
        <v>49</v>
      </c>
      <c r="AL46" s="138">
        <f>SUM(C46:AG46)</f>
        <v>9</v>
      </c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</row>
    <row r="47" spans="1:80" s="2" customFormat="1" ht="15.95" hidden="1" customHeight="1" x14ac:dyDescent="0.3">
      <c r="A47" s="139" t="s">
        <v>50</v>
      </c>
      <c r="B47" s="140" t="s">
        <v>29</v>
      </c>
      <c r="C47" s="141" t="str">
        <f t="shared" ref="C47:AG47" si="27">IF(C9=$R32,$S32*24,IF(C9=$R33,$S33*24,IF(C9=$R34,$S34*24,IF(C9=$R35,$S35*24,IF(C9=$R36,$S36*24,IF(C9=$R37,$S37*24,IF(C9=$R38,$S38*24,IF(C9=$R39,$S39*24,IF(C9=$R40,$S40*24,"")))))))))</f>
        <v/>
      </c>
      <c r="D47" s="141" t="str">
        <f t="shared" si="27"/>
        <v/>
      </c>
      <c r="E47" s="141" t="str">
        <f t="shared" si="27"/>
        <v/>
      </c>
      <c r="F47" s="141" t="str">
        <f t="shared" si="27"/>
        <v/>
      </c>
      <c r="G47" s="141" t="str">
        <f t="shared" si="27"/>
        <v/>
      </c>
      <c r="H47" s="141" t="str">
        <f t="shared" si="27"/>
        <v/>
      </c>
      <c r="I47" s="141" t="str">
        <f t="shared" si="27"/>
        <v/>
      </c>
      <c r="J47" s="141" t="str">
        <f t="shared" si="27"/>
        <v/>
      </c>
      <c r="K47" s="141" t="str">
        <f t="shared" si="27"/>
        <v/>
      </c>
      <c r="L47" s="141" t="str">
        <f t="shared" si="27"/>
        <v/>
      </c>
      <c r="M47" s="141" t="str">
        <f t="shared" si="27"/>
        <v/>
      </c>
      <c r="N47" s="141" t="str">
        <f t="shared" si="27"/>
        <v/>
      </c>
      <c r="O47" s="141" t="str">
        <f t="shared" si="27"/>
        <v/>
      </c>
      <c r="P47" s="141" t="str">
        <f t="shared" si="27"/>
        <v/>
      </c>
      <c r="Q47" s="141" t="str">
        <f t="shared" si="27"/>
        <v/>
      </c>
      <c r="R47" s="141">
        <f t="shared" si="27"/>
        <v>7</v>
      </c>
      <c r="S47" s="141">
        <f t="shared" si="27"/>
        <v>7</v>
      </c>
      <c r="T47" s="141">
        <f t="shared" si="27"/>
        <v>7</v>
      </c>
      <c r="U47" s="141">
        <f t="shared" si="27"/>
        <v>6</v>
      </c>
      <c r="V47" s="141">
        <f t="shared" si="27"/>
        <v>6</v>
      </c>
      <c r="W47" s="141">
        <f t="shared" si="27"/>
        <v>7</v>
      </c>
      <c r="X47" s="141">
        <f t="shared" si="27"/>
        <v>7</v>
      </c>
      <c r="Y47" s="141" t="str">
        <f t="shared" si="27"/>
        <v/>
      </c>
      <c r="Z47" s="141" t="str">
        <f t="shared" si="27"/>
        <v/>
      </c>
      <c r="AA47" s="141" t="str">
        <f t="shared" si="27"/>
        <v/>
      </c>
      <c r="AB47" s="141">
        <f t="shared" si="27"/>
        <v>7</v>
      </c>
      <c r="AC47" s="141">
        <f t="shared" si="27"/>
        <v>7</v>
      </c>
      <c r="AD47" s="141">
        <f t="shared" si="27"/>
        <v>6</v>
      </c>
      <c r="AE47" s="141">
        <f t="shared" si="27"/>
        <v>6</v>
      </c>
      <c r="AF47" s="141">
        <f t="shared" si="27"/>
        <v>7</v>
      </c>
      <c r="AG47" s="141">
        <f t="shared" si="27"/>
        <v>7</v>
      </c>
      <c r="AH47" s="142" t="s">
        <v>12</v>
      </c>
      <c r="AI47" s="231">
        <f>(CA59-AH46)*AH33</f>
        <v>0</v>
      </c>
      <c r="AJ47" s="231"/>
      <c r="AK47" s="137" t="s">
        <v>51</v>
      </c>
      <c r="AL47" s="137"/>
      <c r="AN47" s="237" t="s">
        <v>52</v>
      </c>
      <c r="AO47" s="237"/>
      <c r="AP47" s="10"/>
      <c r="AQ47" s="50" t="s">
        <v>53</v>
      </c>
      <c r="AR47" s="46">
        <v>2</v>
      </c>
      <c r="AS47" s="51">
        <v>1</v>
      </c>
      <c r="AT47" s="52" t="str">
        <f>IF(AN53="lu","LUNES",IF(AN53="ma","MARTES",IF(AN53="mi","MIERCOLES",IF(AN53="ju","JUEVES",IF(AN53="vi","VIERNES",IF(AN53="sa","SABADO",IF(AN53="do","DOMINGO",IF(AO53="lu","LUNES",IF(AO53="ma","MARTES",IF(AO53="mi","MIERCOLES",IF(AO53="ju","JUEVES",IF(AO53="vi","VIERNES",IF(AO53="sa","SABADO",IF(AO53="do","DOMINGO",IF(AP53="lu","LUNES",IF(AP53="ma","MARTES",IF(AP53="mi","MIERCOLES",IF(AP53="ju","JUEVES",IF(AP53="vi","VIERNES",IF(AP53="sa","SABADO",IF(AP53="do","DOMINGO",IF(AQ53="lu","LUNES",IF(AQ53="ma","MARTES",IF(AQ53="mi","MIERCOLES",IF(AQ53="ju","JUEVES",IF(AQ53="vi","VIERNES",IF(AQ53="sa","SABADO",IF(AQ53="do","DOMINGO",IF(AR53="lu","LUNES",IF(AR53="ma","MARTES",IF(AR53="mi","MIERCOLES",IF(AR53="ju","JUEVES",IF(AR53="vi","VIERNES",IF(AR53="sa","SABADO",IF(AR53="do","DOMINGO","")))))))))))))))))))))))))))))))))))</f>
        <v>JUEVES</v>
      </c>
      <c r="AU47" s="50" t="s">
        <v>54</v>
      </c>
      <c r="AV47" s="53" t="str">
        <f>IF(AT47="LUNES","LUNES",IF(AT47="MARTES","MARTES",IF(AT47="MIERCOLES","MIERCOLES",IF(AT47="JUEVES","JUEVES",IF(AT47="VIERNES","VIERNES",IF(AT47="SABADO","SABADO",IF(AT47="DOMINGO","DOMINGO",IF(AT48="LUNES","LUNES",IF(AT48="MARTES","MARTES",IF(AT48="MIERCOLES","MIERCOLES",IF(AT48="JUEVES","JUEVES",IF(AT48="VIERNES","VIERNES",IF(AT48="SABADO","SABADO",IF(AT48="DOMINGO","DOMINGO",""))))))))))))))</f>
        <v>JUEVES</v>
      </c>
      <c r="AW47" s="51">
        <v>28</v>
      </c>
      <c r="AX47" s="46">
        <f>$AR$48+27</f>
        <v>45805</v>
      </c>
      <c r="AY47" s="51">
        <v>30</v>
      </c>
      <c r="AZ47" s="46">
        <f>$AR$48+29</f>
        <v>45807</v>
      </c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</row>
    <row r="48" spans="1:80" s="2" customFormat="1" ht="15.95" hidden="1" customHeight="1" x14ac:dyDescent="0.35">
      <c r="A48" s="143" t="s">
        <v>55</v>
      </c>
      <c r="B48" s="144" t="s">
        <v>30</v>
      </c>
      <c r="C48" s="141" t="str">
        <f t="shared" ref="C48:AG48" si="28">IF(C9=$R32,$V32*24,IF(C9=$R33,$V33*24,IF(C9=$R34,$V34*24,IF(C9=$R35,$V35*24,IF(C9=$R36,$V36*24,IF(C9=$R37,$V37*24,IF(C9=$R38,$V38*24,IF(C9=$R39,$V39*24,IF(C9=$R40,$V40*24,"")))))))))</f>
        <v/>
      </c>
      <c r="D48" s="141" t="str">
        <f t="shared" si="28"/>
        <v/>
      </c>
      <c r="E48" s="141" t="str">
        <f t="shared" si="28"/>
        <v/>
      </c>
      <c r="F48" s="141" t="str">
        <f t="shared" si="28"/>
        <v/>
      </c>
      <c r="G48" s="141" t="str">
        <f t="shared" si="28"/>
        <v/>
      </c>
      <c r="H48" s="141" t="str">
        <f t="shared" si="28"/>
        <v/>
      </c>
      <c r="I48" s="141" t="str">
        <f t="shared" si="28"/>
        <v/>
      </c>
      <c r="J48" s="141" t="str">
        <f t="shared" si="28"/>
        <v/>
      </c>
      <c r="K48" s="141" t="str">
        <f t="shared" si="28"/>
        <v/>
      </c>
      <c r="L48" s="141" t="str">
        <f t="shared" si="28"/>
        <v/>
      </c>
      <c r="M48" s="141" t="str">
        <f t="shared" si="28"/>
        <v/>
      </c>
      <c r="N48" s="141" t="str">
        <f t="shared" si="28"/>
        <v/>
      </c>
      <c r="O48" s="141" t="str">
        <f t="shared" si="28"/>
        <v/>
      </c>
      <c r="P48" s="141" t="str">
        <f t="shared" si="28"/>
        <v/>
      </c>
      <c r="Q48" s="141" t="str">
        <f t="shared" si="28"/>
        <v/>
      </c>
      <c r="R48" s="141">
        <f t="shared" si="28"/>
        <v>19</v>
      </c>
      <c r="S48" s="141">
        <f t="shared" si="28"/>
        <v>19</v>
      </c>
      <c r="T48" s="141">
        <f t="shared" si="28"/>
        <v>19</v>
      </c>
      <c r="U48" s="141">
        <f t="shared" si="28"/>
        <v>18</v>
      </c>
      <c r="V48" s="141">
        <f t="shared" si="28"/>
        <v>18</v>
      </c>
      <c r="W48" s="141">
        <f t="shared" si="28"/>
        <v>19</v>
      </c>
      <c r="X48" s="141">
        <f t="shared" si="28"/>
        <v>19</v>
      </c>
      <c r="Y48" s="141" t="str">
        <f t="shared" si="28"/>
        <v/>
      </c>
      <c r="Z48" s="141" t="str">
        <f t="shared" si="28"/>
        <v/>
      </c>
      <c r="AA48" s="141" t="str">
        <f t="shared" si="28"/>
        <v/>
      </c>
      <c r="AB48" s="141">
        <f t="shared" si="28"/>
        <v>19</v>
      </c>
      <c r="AC48" s="141">
        <f t="shared" si="28"/>
        <v>19</v>
      </c>
      <c r="AD48" s="141">
        <f t="shared" si="28"/>
        <v>18</v>
      </c>
      <c r="AE48" s="141">
        <f t="shared" si="28"/>
        <v>18</v>
      </c>
      <c r="AF48" s="141">
        <f t="shared" si="28"/>
        <v>19</v>
      </c>
      <c r="AG48" s="141">
        <f t="shared" si="28"/>
        <v>19</v>
      </c>
      <c r="AH48" s="142" t="s">
        <v>12</v>
      </c>
      <c r="AI48" s="230">
        <f>SUM(AI46:AI47)</f>
        <v>4.5</v>
      </c>
      <c r="AJ48" s="230"/>
      <c r="AK48" s="137" t="s">
        <v>56</v>
      </c>
      <c r="AL48" s="137"/>
      <c r="AN48" s="10"/>
      <c r="AO48" s="10"/>
      <c r="AP48" s="10"/>
      <c r="AQ48" s="50" t="s">
        <v>57</v>
      </c>
      <c r="AR48" s="54">
        <f>DATE($C$34,$C$35,1)</f>
        <v>45778</v>
      </c>
      <c r="AS48" s="51">
        <v>2</v>
      </c>
      <c r="AT48" s="52" t="str">
        <f>IF(AS53="lu","LUNES",IF(AS53="ma","MARTES",IF(AS53="mi","MIERCOLES",IF(AS53="ju","JUEVES",IF(AS53="vi","VIERNES",IF(AS53="sa","SABADO",IF(AS53="do","DOMINGO",IF(AT53="lu","LUNES",IF(AT53="ma","MARTES",IF(AT53="mi","MIERCOLES",IF(AT53="ju","JUEVES",IF(AT53="vi","VIERNES",IF(AT53="sa","SABADO",IF(AT53="do","DOMINGO",""))))))))))))))</f>
        <v/>
      </c>
      <c r="AU48" s="10"/>
      <c r="AV48" s="51"/>
      <c r="AW48" s="51">
        <v>29</v>
      </c>
      <c r="AX48" s="46">
        <f>$AR$48+28</f>
        <v>45806</v>
      </c>
      <c r="AY48" s="51">
        <v>31</v>
      </c>
      <c r="AZ48" s="46">
        <f>$AR$48+30</f>
        <v>45808</v>
      </c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</row>
    <row r="49" spans="1:80" s="2" customFormat="1" ht="15.95" hidden="1" customHeight="1" x14ac:dyDescent="0.25">
      <c r="A49" s="145"/>
      <c r="B49" s="146" t="s">
        <v>34</v>
      </c>
      <c r="C49" s="147" t="str">
        <f t="shared" ref="C49:AD49" si="29">IF(C9=$R32,$BD32*24,IF(C9=$R33,$BD33*24,IF(C9=$R34,$BD34*24,IF(C9=$R35,$BD35*24,IF(C9=$R36,$BD36*24,IF(C9=$R37,$BD37*24,IF(C9=$R38,$BD38*24,IF(C9=$R39,$BD39*24,IF(C9=$R40,$BD40*24,"")))))))))</f>
        <v/>
      </c>
      <c r="D49" s="147" t="str">
        <f t="shared" si="29"/>
        <v/>
      </c>
      <c r="E49" s="147" t="str">
        <f t="shared" si="29"/>
        <v/>
      </c>
      <c r="F49" s="147" t="str">
        <f t="shared" si="29"/>
        <v/>
      </c>
      <c r="G49" s="147" t="str">
        <f t="shared" si="29"/>
        <v/>
      </c>
      <c r="H49" s="147" t="str">
        <f t="shared" si="29"/>
        <v/>
      </c>
      <c r="I49" s="147" t="str">
        <f t="shared" si="29"/>
        <v/>
      </c>
      <c r="J49" s="147" t="str">
        <f t="shared" si="29"/>
        <v/>
      </c>
      <c r="K49" s="147" t="str">
        <f t="shared" si="29"/>
        <v/>
      </c>
      <c r="L49" s="147" t="str">
        <f t="shared" si="29"/>
        <v/>
      </c>
      <c r="M49" s="147" t="str">
        <f t="shared" si="29"/>
        <v/>
      </c>
      <c r="N49" s="147" t="str">
        <f t="shared" si="29"/>
        <v/>
      </c>
      <c r="O49" s="147" t="str">
        <f t="shared" si="29"/>
        <v/>
      </c>
      <c r="P49" s="147" t="str">
        <f t="shared" si="29"/>
        <v/>
      </c>
      <c r="Q49" s="147" t="str">
        <f t="shared" si="29"/>
        <v/>
      </c>
      <c r="R49" s="147">
        <f t="shared" si="29"/>
        <v>0</v>
      </c>
      <c r="S49" s="147">
        <f t="shared" si="29"/>
        <v>0</v>
      </c>
      <c r="T49" s="147">
        <f t="shared" si="29"/>
        <v>0</v>
      </c>
      <c r="U49" s="147">
        <f t="shared" si="29"/>
        <v>0</v>
      </c>
      <c r="V49" s="147">
        <f t="shared" si="29"/>
        <v>0</v>
      </c>
      <c r="W49" s="147">
        <f t="shared" si="29"/>
        <v>0</v>
      </c>
      <c r="X49" s="147">
        <f t="shared" si="29"/>
        <v>0</v>
      </c>
      <c r="Y49" s="147" t="str">
        <f t="shared" si="29"/>
        <v/>
      </c>
      <c r="Z49" s="147" t="str">
        <f t="shared" si="29"/>
        <v/>
      </c>
      <c r="AA49" s="147" t="str">
        <f t="shared" si="29"/>
        <v/>
      </c>
      <c r="AB49" s="147">
        <f t="shared" si="29"/>
        <v>0</v>
      </c>
      <c r="AC49" s="147">
        <f t="shared" si="29"/>
        <v>0</v>
      </c>
      <c r="AD49" s="147">
        <f t="shared" si="29"/>
        <v>0</v>
      </c>
      <c r="AE49" s="147">
        <f>IF(AE9=$R32,$BD32*24,IF(AE9=$R33,$BD33*24,IF(AE9=$R34,$BD34*24,IF(AE9=$R35,$BD35*24,IF(AE9=$R36,$BD36*24,IF(AE9=$R37,$BD37*24,IF(AE9=$R38,$BD38*24,IF(AE9=$R39,$BD39*24,IF(AE9=$R40,$BD40*24,"")))))))))</f>
        <v>0</v>
      </c>
      <c r="AF49" s="147">
        <f>IF(AF9=$R32,$BD32*24,IF(AF9=$R33,$BD33*24,IF(AF9=$R34,$BD34*24,IF(AF9=$R35,$BD35*24,IF(AF9=$R36,$BD36*24,IF(AF9=$R37,$BD37*24,IF(AF9=$R38,$BD38*24,IF(AF9=$R39,$BD39*24,IF(AF9=$R40,$BD40*24,"")))))))))</f>
        <v>0</v>
      </c>
      <c r="AG49" s="147">
        <f>IF(AG9=$R32,$BD32*24,IF(AG9=$R33,$BD33*24,IF(AG9=$R34,$BD34*24,IF(AG9=$R35,$BD35*24,IF(AG9=$R36,$BD36*24,IF(AG9=$R37,$BD37*24,IF(AG9=$R38,$BD38*24,IF(AG9=$R39,$BD39*24,IF(AG9=$R40,$BD40*24,"")))))))))</f>
        <v>0</v>
      </c>
      <c r="AH49" s="148">
        <f>SUM(C49:AG49)</f>
        <v>0</v>
      </c>
      <c r="AI49" s="231">
        <f>C37*AF36</f>
        <v>0</v>
      </c>
      <c r="AJ49" s="231"/>
      <c r="AK49" s="137" t="s">
        <v>58</v>
      </c>
      <c r="AL49" s="137"/>
      <c r="AN49" s="232">
        <f>Q4</f>
        <v>45778</v>
      </c>
      <c r="AO49" s="232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</row>
    <row r="50" spans="1:80" s="2" customFormat="1" ht="15.95" hidden="1" customHeight="1" x14ac:dyDescent="0.25">
      <c r="A50" s="145"/>
      <c r="B50" s="149" t="s">
        <v>59</v>
      </c>
      <c r="C50" s="141">
        <f t="shared" ref="C50:AG50" si="30">IF(C9="V",$C36,IF(C9="PR",$C38,0))</f>
        <v>5.22</v>
      </c>
      <c r="D50" s="141">
        <f t="shared" si="30"/>
        <v>5.22</v>
      </c>
      <c r="E50" s="141">
        <f t="shared" si="30"/>
        <v>5.22</v>
      </c>
      <c r="F50" s="141">
        <f t="shared" si="30"/>
        <v>5.22</v>
      </c>
      <c r="G50" s="141">
        <f t="shared" si="30"/>
        <v>5.22</v>
      </c>
      <c r="H50" s="141">
        <f t="shared" si="30"/>
        <v>5.22</v>
      </c>
      <c r="I50" s="141">
        <f t="shared" si="30"/>
        <v>5.22</v>
      </c>
      <c r="J50" s="141">
        <f t="shared" si="30"/>
        <v>5.22</v>
      </c>
      <c r="K50" s="141">
        <f t="shared" si="30"/>
        <v>5.22</v>
      </c>
      <c r="L50" s="141">
        <f t="shared" si="30"/>
        <v>5.22</v>
      </c>
      <c r="M50" s="141">
        <f t="shared" si="30"/>
        <v>5.22</v>
      </c>
      <c r="N50" s="141">
        <f t="shared" si="30"/>
        <v>5.22</v>
      </c>
      <c r="O50" s="141">
        <f t="shared" si="30"/>
        <v>5.22</v>
      </c>
      <c r="P50" s="141">
        <f t="shared" si="30"/>
        <v>5.22</v>
      </c>
      <c r="Q50" s="141">
        <f t="shared" si="30"/>
        <v>5.22</v>
      </c>
      <c r="R50" s="141">
        <f t="shared" si="30"/>
        <v>0</v>
      </c>
      <c r="S50" s="141">
        <f t="shared" si="30"/>
        <v>0</v>
      </c>
      <c r="T50" s="141">
        <f t="shared" si="30"/>
        <v>0</v>
      </c>
      <c r="U50" s="141">
        <f t="shared" si="30"/>
        <v>0</v>
      </c>
      <c r="V50" s="141">
        <f t="shared" si="30"/>
        <v>0</v>
      </c>
      <c r="W50" s="141">
        <f t="shared" si="30"/>
        <v>0</v>
      </c>
      <c r="X50" s="141">
        <f t="shared" si="30"/>
        <v>0</v>
      </c>
      <c r="Y50" s="141">
        <f t="shared" si="30"/>
        <v>0</v>
      </c>
      <c r="Z50" s="141">
        <f t="shared" si="30"/>
        <v>0</v>
      </c>
      <c r="AA50" s="141">
        <f t="shared" si="30"/>
        <v>0</v>
      </c>
      <c r="AB50" s="141">
        <f t="shared" si="30"/>
        <v>0</v>
      </c>
      <c r="AC50" s="141">
        <f t="shared" si="30"/>
        <v>0</v>
      </c>
      <c r="AD50" s="141">
        <f t="shared" si="30"/>
        <v>0</v>
      </c>
      <c r="AE50" s="141">
        <f t="shared" si="30"/>
        <v>0</v>
      </c>
      <c r="AF50" s="141">
        <f t="shared" si="30"/>
        <v>0</v>
      </c>
      <c r="AG50" s="141">
        <f t="shared" si="30"/>
        <v>0</v>
      </c>
      <c r="AH50" s="226">
        <f>SUM(C50:AG50)</f>
        <v>78.3</v>
      </c>
      <c r="AI50" s="226"/>
      <c r="AJ50" s="137" t="s">
        <v>12</v>
      </c>
      <c r="AK50" s="137"/>
      <c r="AL50" s="137"/>
      <c r="AN50" s="48" t="str">
        <f>INDEX({"do";"lu";"ma";"mi";"ju";"vi";"sa"},1+MOD($AR$47+1-2,7))</f>
        <v>lu</v>
      </c>
      <c r="AO50" s="48" t="str">
        <f>INDEX({"do";"lu";"ma";"mi";"ju";"vi";"sa"},1+MOD($AR$47+2-2,7))</f>
        <v>ma</v>
      </c>
      <c r="AP50" s="48" t="str">
        <f>INDEX({"do";"lu";"ma";"mi";"ju";"vi";"sa"},1+MOD($AR$47+3-2,7))</f>
        <v>mi</v>
      </c>
      <c r="AQ50" s="48" t="str">
        <f>INDEX({"do";"lu";"ma";"mi";"ju";"vi";"sa"},1+MOD($AR$47+4-2,7))</f>
        <v>ju</v>
      </c>
      <c r="AR50" s="48" t="str">
        <f>INDEX({"do";"lu";"ma";"mi";"ju";"vi";"sa"},1+MOD($AR$47+5-2,7))</f>
        <v>vi</v>
      </c>
      <c r="AS50" s="48" t="str">
        <f>INDEX({"do";"lu";"ma";"mi";"ju";"vi";"sa"},1+MOD($AR$47+6-2,7))</f>
        <v>sa</v>
      </c>
      <c r="AT50" s="48" t="str">
        <f>INDEX({"do";"lu";"ma";"mi";"ju";"vi";"sa"},1+MOD($AR$47+7-2,7))</f>
        <v>do</v>
      </c>
      <c r="AU50" s="48" t="str">
        <f>INDEX({"do";"lu";"ma";"mi";"ju";"vi";"sa"},1+MOD($AR$47+1-2,7))</f>
        <v>lu</v>
      </c>
      <c r="AV50" s="48" t="str">
        <f>INDEX({"do";"lu";"ma";"mi";"ju";"vi";"sa"},1+MOD($AR$47+2-2,7))</f>
        <v>ma</v>
      </c>
      <c r="AW50" s="48" t="str">
        <f>INDEX({"do";"lu";"ma";"mi";"ju";"vi";"sa"},1+MOD($AR$47+3-2,7))</f>
        <v>mi</v>
      </c>
      <c r="AX50" s="48" t="str">
        <f>INDEX({"do";"lu";"ma";"mi";"ju";"vi";"sa"},1+MOD($AR$47+4-2,7))</f>
        <v>ju</v>
      </c>
      <c r="AY50" s="48" t="str">
        <f>INDEX({"do";"lu";"ma";"mi";"ju";"vi";"sa"},1+MOD($AR$47+5-2,7))</f>
        <v>vi</v>
      </c>
      <c r="AZ50" s="48" t="str">
        <f>INDEX({"do";"lu";"ma";"mi";"ju";"vi";"sa"},1+MOD($AR$47+6-2,7))</f>
        <v>sa</v>
      </c>
      <c r="BA50" s="48" t="str">
        <f>INDEX({"do";"lu";"ma";"mi";"ju";"vi";"sa"},1+MOD($AR$47+7-2,7))</f>
        <v>do</v>
      </c>
      <c r="BB50" s="48" t="str">
        <f>INDEX({"do";"lu";"ma";"mi";"ju";"vi";"sa"},1+MOD($AR$47+1-2,7))</f>
        <v>lu</v>
      </c>
      <c r="BC50" s="48" t="str">
        <f>INDEX({"do";"lu";"ma";"mi";"ju";"vi";"sa"},1+MOD($AR$47+2-2,7))</f>
        <v>ma</v>
      </c>
      <c r="BD50" s="48" t="str">
        <f>INDEX({"do";"lu";"ma";"mi";"ju";"vi";"sa"},1+MOD($AR$47+3-2,7))</f>
        <v>mi</v>
      </c>
      <c r="BE50" s="10"/>
      <c r="BF50" s="48" t="str">
        <f>INDEX({"do";"lu";"ma";"mi";"ju";"vi";"sa"},1+MOD($AR$47+5-2,7))</f>
        <v>vi</v>
      </c>
      <c r="BG50" s="48" t="str">
        <f>INDEX({"do";"lu";"ma";"mi";"ju";"vi";"sa"},1+MOD($AR$47+6-2,7))</f>
        <v>sa</v>
      </c>
      <c r="BH50" s="48" t="str">
        <f>INDEX({"do";"lu";"ma";"mi";"ju";"vi";"sa"},1+MOD($AR$47+7-2,7))</f>
        <v>do</v>
      </c>
      <c r="BI50" s="48" t="str">
        <f>INDEX({"do";"lu";"ma";"mi";"ju";"vi";"sa"},1+MOD($AR$47+1-2,7))</f>
        <v>lu</v>
      </c>
      <c r="BJ50" s="48" t="str">
        <f>INDEX({"do";"lu";"ma";"mi";"ju";"vi";"sa"},1+MOD($AR$47+2-2,7))</f>
        <v>ma</v>
      </c>
      <c r="BK50" s="48" t="str">
        <f>INDEX({"do";"lu";"ma";"mi";"ju";"vi";"sa"},1+MOD($AR$47+3-2,7))</f>
        <v>mi</v>
      </c>
      <c r="BL50" s="48" t="str">
        <f>INDEX({"do";"lu";"ma";"mi";"ju";"vi";"sa"},1+MOD($AR$47+4-2,7))</f>
        <v>ju</v>
      </c>
      <c r="BM50" s="48" t="str">
        <f>INDEX({"do";"lu";"ma";"mi";"ju";"vi";"sa"},1+MOD($AR$47+5-2,7))</f>
        <v>vi</v>
      </c>
      <c r="BN50" s="48" t="str">
        <f>INDEX({"do";"lu";"ma";"mi";"ju";"vi";"sa"},1+MOD($AR$47+6-2,7))</f>
        <v>sa</v>
      </c>
      <c r="BO50" s="48" t="str">
        <f>INDEX({"do";"lu";"ma";"mi";"ju";"vi";"sa"},1+MOD($AR$47+7-2,7))</f>
        <v>do</v>
      </c>
      <c r="BP50" s="48" t="str">
        <f>INDEX({"do";"lu";"ma";"mi";"ju";"vi";"sa"},1+MOD($AR$47+1-2,7))</f>
        <v>lu</v>
      </c>
      <c r="BQ50" s="48" t="str">
        <f>INDEX({"do";"lu";"ma";"mi";"ju";"vi";"sa"},1+MOD($AR$47+2-2,7))</f>
        <v>ma</v>
      </c>
      <c r="BR50" s="48" t="str">
        <f>INDEX({"do";"lu";"ma";"mi";"ju";"vi";"sa"},1+MOD($AR$47+3-2,7))</f>
        <v>mi</v>
      </c>
      <c r="BS50" s="48" t="str">
        <f>INDEX({"do";"lu";"ma";"mi";"ju";"vi";"sa"},1+MOD($AR$47+4-2,7))</f>
        <v>ju</v>
      </c>
      <c r="BT50" s="48" t="str">
        <f>INDEX({"do";"lu";"ma";"mi";"ju";"vi";"sa"},1+MOD($AR$47+5-2,7))</f>
        <v>vi</v>
      </c>
      <c r="BU50" s="48" t="str">
        <f>INDEX({"do";"lu";"ma";"mi";"ju";"vi";"sa"},1+MOD($AR$47+6-2,7))</f>
        <v>sa</v>
      </c>
      <c r="BV50" s="48" t="str">
        <f>INDEX({"do";"lu";"ma";"mi";"ju";"vi";"sa"},1+MOD($AR$47+7-2,7))</f>
        <v>do</v>
      </c>
      <c r="BW50" s="48" t="str">
        <f>INDEX({"do";"lu";"ma";"mi";"ju";"vi";"sa"},1+MOD($AR$47+1-2,7))</f>
        <v>lu</v>
      </c>
      <c r="BX50" s="48" t="str">
        <f>INDEX({"do";"lu";"ma";"mi";"ju";"vi";"sa"},1+MOD($AR$47+2-2,7))</f>
        <v>ma</v>
      </c>
      <c r="BY50" s="10"/>
      <c r="BZ50" s="10"/>
      <c r="CA50" s="10"/>
      <c r="CB50" s="10"/>
    </row>
    <row r="51" spans="1:80" s="2" customFormat="1" ht="15.95" hidden="1" customHeight="1" x14ac:dyDescent="0.25">
      <c r="A51" s="150" t="s">
        <v>60</v>
      </c>
      <c r="B51" s="144" t="s">
        <v>61</v>
      </c>
      <c r="C51" s="151">
        <f t="shared" ref="C51:AD51" si="31">IF(C9=$R32,$BC32,IF(C9=$R33,$BC33,IF(C9=$R34,$BC34,IF(C9=$R35,$BC35,IF(C9=$R36,$BC36,IF(C9=$R37,$BC37,IF(C9=$R38,$BC38,IF(C9=$R39,$BC39,IF(C9=$R40,$BC40,0)))))))))</f>
        <v>0</v>
      </c>
      <c r="D51" s="151">
        <f t="shared" si="31"/>
        <v>0</v>
      </c>
      <c r="E51" s="151">
        <f t="shared" si="31"/>
        <v>0</v>
      </c>
      <c r="F51" s="151">
        <f t="shared" si="31"/>
        <v>0</v>
      </c>
      <c r="G51" s="151">
        <f t="shared" si="31"/>
        <v>0</v>
      </c>
      <c r="H51" s="151">
        <f t="shared" si="31"/>
        <v>0</v>
      </c>
      <c r="I51" s="151">
        <f t="shared" si="31"/>
        <v>0</v>
      </c>
      <c r="J51" s="151">
        <f t="shared" si="31"/>
        <v>0</v>
      </c>
      <c r="K51" s="151">
        <f t="shared" si="31"/>
        <v>0</v>
      </c>
      <c r="L51" s="151">
        <f t="shared" si="31"/>
        <v>0</v>
      </c>
      <c r="M51" s="151">
        <f t="shared" si="31"/>
        <v>0</v>
      </c>
      <c r="N51" s="151">
        <f t="shared" si="31"/>
        <v>0</v>
      </c>
      <c r="O51" s="151">
        <f t="shared" si="31"/>
        <v>0</v>
      </c>
      <c r="P51" s="151">
        <f t="shared" si="31"/>
        <v>0</v>
      </c>
      <c r="Q51" s="151">
        <f t="shared" si="31"/>
        <v>0</v>
      </c>
      <c r="R51" s="151">
        <f t="shared" si="31"/>
        <v>11.999999999999998</v>
      </c>
      <c r="S51" s="151">
        <f t="shared" si="31"/>
        <v>11.999999999999998</v>
      </c>
      <c r="T51" s="151">
        <f t="shared" si="31"/>
        <v>11.999999999999998</v>
      </c>
      <c r="U51" s="151">
        <f t="shared" si="31"/>
        <v>12</v>
      </c>
      <c r="V51" s="151">
        <f t="shared" si="31"/>
        <v>12</v>
      </c>
      <c r="W51" s="151">
        <f t="shared" si="31"/>
        <v>11.999999999999998</v>
      </c>
      <c r="X51" s="151">
        <f t="shared" si="31"/>
        <v>11.999999999999998</v>
      </c>
      <c r="Y51" s="151">
        <f t="shared" si="31"/>
        <v>0</v>
      </c>
      <c r="Z51" s="151">
        <f t="shared" si="31"/>
        <v>0</v>
      </c>
      <c r="AA51" s="151">
        <f t="shared" si="31"/>
        <v>0</v>
      </c>
      <c r="AB51" s="151">
        <f t="shared" si="31"/>
        <v>11.999999999999998</v>
      </c>
      <c r="AC51" s="151">
        <f t="shared" si="31"/>
        <v>11.999999999999998</v>
      </c>
      <c r="AD51" s="151">
        <f t="shared" si="31"/>
        <v>12</v>
      </c>
      <c r="AE51" s="151">
        <f>IF(AE9=$R32,$BC32,IF(AE9=$R33,$BC33,IF(AE9=$R34,$BC34,IF(AE9=$R35,$BC35,IF(AE9=$R36,$BC36,IF(AE9=$R37,$BC37,IF(AE9=$R38,$BC38,IF(AE9=$R39,$BC39,IF(AE9=$R40,$BC40,0)))))))))</f>
        <v>12</v>
      </c>
      <c r="AF51" s="151">
        <f>IF(AF9=$R32,$BC32,IF(AF9=$R33,$BC33,IF(AF9=$R34,$BC34,IF(AF9=$R35,$BC35,IF(AF9=$R36,$BC36,IF(AF9=$R37,$BC37,IF(AF9=$R38,$BC38,IF(AF9=$R39,$BC39,IF(AF9=$R40,$BC40,0)))))))))</f>
        <v>11.999999999999998</v>
      </c>
      <c r="AG51" s="151">
        <f>IF(AG9=$R32,$BC32,IF(AG9=$R33,$BC33,IF(AG9=$R34,$BC34,IF(AG9=$R35,$BC35,IF(AG9=$R36,$BC36,IF(AG9=$R37,$BC37,IF(AG9=$R38,$BC38,IF(AG9=$R39,$BC39,IF(AG9=$R40,$BC40,0)))))))))</f>
        <v>11.999999999999998</v>
      </c>
      <c r="AH51" s="226">
        <f>SUM(C51:AG51)</f>
        <v>156</v>
      </c>
      <c r="AI51" s="226"/>
      <c r="AJ51" s="152" t="s">
        <v>62</v>
      </c>
      <c r="AK51" s="137" t="s">
        <v>12</v>
      </c>
      <c r="AL51" s="137"/>
      <c r="AN51" s="49" t="str">
        <f t="shared" ref="AN51:BD51" si="32">IF(MONTH($Q$4)&lt;&gt;MONTH($Q$4-(WEEKDAY($Q$4,1)-($AR$47-1))-IF((WEEKDAY($Q$4,1)-($AR$47-1))&lt;=0,7,0)+(ROW(AN51)-ROW($AN$51))*7+(COLUMN(AN51)-COLUMN($AN$51)+1)),"",$Q$4-(WEEKDAY($Q$4,1)-($AR$47-1))-IF((WEEKDAY($Q$4,1)-($AR$47-1))&lt;=0,7,0)+(ROW(AN51)-ROW($AN$51))*7+(COLUMN(AN51)-COLUMN($AN$51)+1))</f>
        <v/>
      </c>
      <c r="AO51" s="49" t="str">
        <f t="shared" si="32"/>
        <v/>
      </c>
      <c r="AP51" s="49" t="str">
        <f t="shared" si="32"/>
        <v/>
      </c>
      <c r="AQ51" s="49">
        <f t="shared" si="32"/>
        <v>45778</v>
      </c>
      <c r="AR51" s="49">
        <f t="shared" si="32"/>
        <v>45779</v>
      </c>
      <c r="AS51" s="49">
        <f t="shared" si="32"/>
        <v>45780</v>
      </c>
      <c r="AT51" s="49">
        <f t="shared" si="32"/>
        <v>45781</v>
      </c>
      <c r="AU51" s="49">
        <f t="shared" si="32"/>
        <v>45782</v>
      </c>
      <c r="AV51" s="49">
        <f t="shared" si="32"/>
        <v>45783</v>
      </c>
      <c r="AW51" s="49">
        <f t="shared" si="32"/>
        <v>45784</v>
      </c>
      <c r="AX51" s="49">
        <f t="shared" si="32"/>
        <v>45785</v>
      </c>
      <c r="AY51" s="49">
        <f t="shared" si="32"/>
        <v>45786</v>
      </c>
      <c r="AZ51" s="49">
        <f t="shared" si="32"/>
        <v>45787</v>
      </c>
      <c r="BA51" s="49">
        <f t="shared" si="32"/>
        <v>45788</v>
      </c>
      <c r="BB51" s="49">
        <f t="shared" si="32"/>
        <v>45789</v>
      </c>
      <c r="BC51" s="49">
        <f t="shared" si="32"/>
        <v>45790</v>
      </c>
      <c r="BD51" s="49">
        <f t="shared" si="32"/>
        <v>45791</v>
      </c>
      <c r="BE51" s="31"/>
      <c r="BF51" s="49">
        <f t="shared" ref="BF51:BX51" si="33">IF(MONTH($Q$4)&lt;&gt;MONTH($Q$4-(WEEKDAY($Q$4,1)-($AR$47-1))-IF((WEEKDAY($Q$4,1)-($AR$47-1))&lt;=0,7,0)+(ROW(BF51)-ROW($AN$51))*7+(COLUMN(BF51)-COLUMN($AN$51)+1)),"",$Q$4-(WEEKDAY($Q$4,1)-($AR$47-1))-IF((WEEKDAY($Q$4,1)-($AR$47-1))&lt;=0,7,0)+(ROW(BF51)-ROW($AN$51))*7+(COLUMN(BF51)-COLUMN($AN$51)+1))</f>
        <v>45793</v>
      </c>
      <c r="BG51" s="49">
        <f t="shared" si="33"/>
        <v>45794</v>
      </c>
      <c r="BH51" s="49">
        <f t="shared" si="33"/>
        <v>45795</v>
      </c>
      <c r="BI51" s="49">
        <f t="shared" si="33"/>
        <v>45796</v>
      </c>
      <c r="BJ51" s="49">
        <f t="shared" si="33"/>
        <v>45797</v>
      </c>
      <c r="BK51" s="49">
        <f t="shared" si="33"/>
        <v>45798</v>
      </c>
      <c r="BL51" s="49">
        <f t="shared" si="33"/>
        <v>45799</v>
      </c>
      <c r="BM51" s="49">
        <f t="shared" si="33"/>
        <v>45800</v>
      </c>
      <c r="BN51" s="49">
        <f t="shared" si="33"/>
        <v>45801</v>
      </c>
      <c r="BO51" s="49">
        <f t="shared" si="33"/>
        <v>45802</v>
      </c>
      <c r="BP51" s="49">
        <f t="shared" si="33"/>
        <v>45803</v>
      </c>
      <c r="BQ51" s="49">
        <f t="shared" si="33"/>
        <v>45804</v>
      </c>
      <c r="BR51" s="49">
        <f t="shared" si="33"/>
        <v>45805</v>
      </c>
      <c r="BS51" s="49">
        <f t="shared" si="33"/>
        <v>45806</v>
      </c>
      <c r="BT51" s="49">
        <f t="shared" si="33"/>
        <v>45807</v>
      </c>
      <c r="BU51" s="49">
        <f t="shared" si="33"/>
        <v>45808</v>
      </c>
      <c r="BV51" s="49" t="str">
        <f t="shared" si="33"/>
        <v/>
      </c>
      <c r="BW51" s="49" t="str">
        <f t="shared" si="33"/>
        <v/>
      </c>
      <c r="BX51" s="49" t="str">
        <f t="shared" si="33"/>
        <v/>
      </c>
      <c r="BY51" s="10"/>
      <c r="BZ51" s="10"/>
      <c r="CA51" s="10"/>
      <c r="CB51" s="10"/>
    </row>
    <row r="52" spans="1:80" s="2" customFormat="1" ht="15.95" hidden="1" customHeight="1" x14ac:dyDescent="0.25">
      <c r="A52" s="153" t="s">
        <v>48</v>
      </c>
      <c r="B52" s="149" t="s">
        <v>63</v>
      </c>
      <c r="C52" s="141" t="b">
        <f t="shared" ref="C52:AG52" si="34">IF(C46=1,IF(C47&lt;C48,C51,0))</f>
        <v>0</v>
      </c>
      <c r="D52" s="141" t="b">
        <f t="shared" si="34"/>
        <v>0</v>
      </c>
      <c r="E52" s="141">
        <f t="shared" si="34"/>
        <v>0</v>
      </c>
      <c r="F52" s="141">
        <f t="shared" si="34"/>
        <v>0</v>
      </c>
      <c r="G52" s="141" t="b">
        <f t="shared" si="34"/>
        <v>0</v>
      </c>
      <c r="H52" s="141" t="b">
        <f t="shared" si="34"/>
        <v>0</v>
      </c>
      <c r="I52" s="141" t="b">
        <f t="shared" si="34"/>
        <v>0</v>
      </c>
      <c r="J52" s="141" t="b">
        <f t="shared" si="34"/>
        <v>0</v>
      </c>
      <c r="K52" s="141" t="b">
        <f t="shared" si="34"/>
        <v>0</v>
      </c>
      <c r="L52" s="141">
        <f t="shared" si="34"/>
        <v>0</v>
      </c>
      <c r="M52" s="141">
        <f t="shared" si="34"/>
        <v>0</v>
      </c>
      <c r="N52" s="141" t="b">
        <f t="shared" si="34"/>
        <v>0</v>
      </c>
      <c r="O52" s="141" t="b">
        <f t="shared" si="34"/>
        <v>0</v>
      </c>
      <c r="P52" s="141" t="b">
        <f t="shared" si="34"/>
        <v>0</v>
      </c>
      <c r="Q52" s="141" t="b">
        <f t="shared" si="34"/>
        <v>0</v>
      </c>
      <c r="R52" s="141" t="b">
        <f t="shared" si="34"/>
        <v>0</v>
      </c>
      <c r="S52" s="141">
        <f t="shared" si="34"/>
        <v>11.999999999999998</v>
      </c>
      <c r="T52" s="141">
        <f t="shared" si="34"/>
        <v>11.999999999999998</v>
      </c>
      <c r="U52" s="141" t="b">
        <f t="shared" si="34"/>
        <v>0</v>
      </c>
      <c r="V52" s="141" t="b">
        <f t="shared" si="34"/>
        <v>0</v>
      </c>
      <c r="W52" s="141" t="b">
        <f t="shared" si="34"/>
        <v>0</v>
      </c>
      <c r="X52" s="141" t="b">
        <f t="shared" si="34"/>
        <v>0</v>
      </c>
      <c r="Y52" s="141" t="b">
        <f t="shared" si="34"/>
        <v>0</v>
      </c>
      <c r="Z52" s="141">
        <f t="shared" si="34"/>
        <v>0</v>
      </c>
      <c r="AA52" s="141">
        <f t="shared" si="34"/>
        <v>0</v>
      </c>
      <c r="AB52" s="141" t="b">
        <f t="shared" si="34"/>
        <v>0</v>
      </c>
      <c r="AC52" s="141" t="b">
        <f t="shared" si="34"/>
        <v>0</v>
      </c>
      <c r="AD52" s="141" t="b">
        <f t="shared" si="34"/>
        <v>0</v>
      </c>
      <c r="AE52" s="141" t="b">
        <f t="shared" si="34"/>
        <v>0</v>
      </c>
      <c r="AF52" s="141" t="b">
        <f t="shared" si="34"/>
        <v>0</v>
      </c>
      <c r="AG52" s="141">
        <f t="shared" si="34"/>
        <v>11.999999999999998</v>
      </c>
      <c r="AH52" s="154" t="s">
        <v>12</v>
      </c>
      <c r="AI52" s="133"/>
      <c r="AJ52" s="155"/>
      <c r="AK52" s="156"/>
      <c r="AL52" s="137"/>
      <c r="AN52" s="55" t="str">
        <f t="shared" ref="AN52:AT52" si="35">IF(AN51=$AR$48,IF(AN51="",0,1),"")</f>
        <v/>
      </c>
      <c r="AO52" s="55" t="str">
        <f t="shared" si="35"/>
        <v/>
      </c>
      <c r="AP52" s="55" t="str">
        <f t="shared" si="35"/>
        <v/>
      </c>
      <c r="AQ52" s="55">
        <f t="shared" si="35"/>
        <v>1</v>
      </c>
      <c r="AR52" s="55" t="str">
        <f t="shared" si="35"/>
        <v/>
      </c>
      <c r="AS52" s="55" t="str">
        <f t="shared" si="35"/>
        <v/>
      </c>
      <c r="AT52" s="55" t="str">
        <f t="shared" si="35"/>
        <v/>
      </c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56"/>
      <c r="BF52" s="10"/>
      <c r="BG52" s="10"/>
      <c r="BH52" s="10"/>
      <c r="BI52" s="10"/>
      <c r="BJ52" s="10"/>
      <c r="BK52" s="10"/>
      <c r="BL52" s="10"/>
      <c r="BM52" s="10"/>
      <c r="BN52" s="10"/>
      <c r="BO52" s="96">
        <f t="shared" ref="BO52:BX52" si="36">BO51</f>
        <v>45802</v>
      </c>
      <c r="BP52" s="96">
        <f t="shared" si="36"/>
        <v>45803</v>
      </c>
      <c r="BQ52" s="96">
        <f t="shared" si="36"/>
        <v>45804</v>
      </c>
      <c r="BR52" s="96">
        <f t="shared" si="36"/>
        <v>45805</v>
      </c>
      <c r="BS52" s="96">
        <f t="shared" si="36"/>
        <v>45806</v>
      </c>
      <c r="BT52" s="96">
        <f t="shared" si="36"/>
        <v>45807</v>
      </c>
      <c r="BU52" s="96">
        <f t="shared" si="36"/>
        <v>45808</v>
      </c>
      <c r="BV52" s="96" t="str">
        <f t="shared" si="36"/>
        <v/>
      </c>
      <c r="BW52" s="96" t="str">
        <f t="shared" si="36"/>
        <v/>
      </c>
      <c r="BX52" s="96" t="str">
        <f t="shared" si="36"/>
        <v/>
      </c>
      <c r="BY52" s="10"/>
      <c r="BZ52" s="10"/>
      <c r="CA52" s="10"/>
      <c r="CB52" s="10"/>
    </row>
    <row r="53" spans="1:80" s="2" customFormat="1" ht="15.95" hidden="1" customHeight="1" x14ac:dyDescent="0.25">
      <c r="A53" s="153"/>
      <c r="B53" s="149" t="s">
        <v>64</v>
      </c>
      <c r="C53" s="141">
        <f t="shared" ref="C53:AG53" si="37">IF(C46=1,IF(C47&gt;C48,24-C47,0),0)</f>
        <v>0</v>
      </c>
      <c r="D53" s="141">
        <f t="shared" si="37"/>
        <v>0</v>
      </c>
      <c r="E53" s="141">
        <f t="shared" si="37"/>
        <v>0</v>
      </c>
      <c r="F53" s="141">
        <f t="shared" si="37"/>
        <v>0</v>
      </c>
      <c r="G53" s="141">
        <f t="shared" si="37"/>
        <v>0</v>
      </c>
      <c r="H53" s="141">
        <f t="shared" si="37"/>
        <v>0</v>
      </c>
      <c r="I53" s="141">
        <f t="shared" si="37"/>
        <v>0</v>
      </c>
      <c r="J53" s="141">
        <f t="shared" si="37"/>
        <v>0</v>
      </c>
      <c r="K53" s="141">
        <f t="shared" si="37"/>
        <v>0</v>
      </c>
      <c r="L53" s="141">
        <f t="shared" si="37"/>
        <v>0</v>
      </c>
      <c r="M53" s="141">
        <f t="shared" si="37"/>
        <v>0</v>
      </c>
      <c r="N53" s="141">
        <f t="shared" si="37"/>
        <v>0</v>
      </c>
      <c r="O53" s="141">
        <f t="shared" si="37"/>
        <v>0</v>
      </c>
      <c r="P53" s="141">
        <f t="shared" si="37"/>
        <v>0</v>
      </c>
      <c r="Q53" s="141">
        <f t="shared" si="37"/>
        <v>0</v>
      </c>
      <c r="R53" s="141">
        <f t="shared" si="37"/>
        <v>0</v>
      </c>
      <c r="S53" s="141">
        <f t="shared" si="37"/>
        <v>0</v>
      </c>
      <c r="T53" s="141">
        <f t="shared" si="37"/>
        <v>0</v>
      </c>
      <c r="U53" s="141">
        <f t="shared" si="37"/>
        <v>0</v>
      </c>
      <c r="V53" s="141">
        <f t="shared" si="37"/>
        <v>0</v>
      </c>
      <c r="W53" s="141">
        <f t="shared" si="37"/>
        <v>0</v>
      </c>
      <c r="X53" s="141">
        <f t="shared" si="37"/>
        <v>0</v>
      </c>
      <c r="Y53" s="141">
        <f t="shared" si="37"/>
        <v>0</v>
      </c>
      <c r="Z53" s="141">
        <f t="shared" si="37"/>
        <v>0</v>
      </c>
      <c r="AA53" s="141">
        <f t="shared" si="37"/>
        <v>0</v>
      </c>
      <c r="AB53" s="141">
        <f t="shared" si="37"/>
        <v>0</v>
      </c>
      <c r="AC53" s="141">
        <f t="shared" si="37"/>
        <v>0</v>
      </c>
      <c r="AD53" s="141">
        <f t="shared" si="37"/>
        <v>0</v>
      </c>
      <c r="AE53" s="141">
        <f t="shared" si="37"/>
        <v>0</v>
      </c>
      <c r="AF53" s="141">
        <f t="shared" si="37"/>
        <v>0</v>
      </c>
      <c r="AG53" s="141">
        <f t="shared" si="37"/>
        <v>0</v>
      </c>
      <c r="AH53" s="154" t="s">
        <v>12</v>
      </c>
      <c r="AI53" s="133"/>
      <c r="AJ53" s="155"/>
      <c r="AK53" s="137"/>
      <c r="AL53" s="137"/>
      <c r="AN53" s="57" t="str">
        <f t="shared" ref="AN53:AT53" si="38">IF(AN52=1,IF(AN52="",0,AN50),"")</f>
        <v/>
      </c>
      <c r="AO53" s="57" t="str">
        <f t="shared" si="38"/>
        <v/>
      </c>
      <c r="AP53" s="57" t="str">
        <f t="shared" si="38"/>
        <v/>
      </c>
      <c r="AQ53" s="57" t="str">
        <f t="shared" si="38"/>
        <v>ju</v>
      </c>
      <c r="AR53" s="57" t="str">
        <f t="shared" si="38"/>
        <v/>
      </c>
      <c r="AS53" s="57" t="str">
        <f t="shared" si="38"/>
        <v/>
      </c>
      <c r="AT53" s="57" t="str">
        <f t="shared" si="38"/>
        <v/>
      </c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56"/>
      <c r="BF53" s="10"/>
      <c r="BG53" s="10"/>
      <c r="BH53" s="10"/>
      <c r="BI53" s="10"/>
      <c r="BJ53" s="10"/>
      <c r="BK53" s="10"/>
      <c r="BL53" s="10"/>
      <c r="BM53" s="10"/>
      <c r="BN53" s="10"/>
      <c r="BO53" s="58" t="str">
        <f t="shared" ref="BO53:BX53" si="39">IF(BO52=$AR$48+30,IF(BO52="",0,1),IF(BO52=$AR$48+29,IF(BO52="",0,1),IF(BO52=$AR$48+28,IF(BO52="",0,1),IF(BO52=$AR$48+27,IF(BO52="",0,1),""))))</f>
        <v/>
      </c>
      <c r="BP53" s="58" t="str">
        <f t="shared" si="39"/>
        <v/>
      </c>
      <c r="BQ53" s="58" t="str">
        <f t="shared" si="39"/>
        <v/>
      </c>
      <c r="BR53" s="58">
        <f t="shared" si="39"/>
        <v>1</v>
      </c>
      <c r="BS53" s="58">
        <f t="shared" si="39"/>
        <v>1</v>
      </c>
      <c r="BT53" s="58">
        <f t="shared" si="39"/>
        <v>1</v>
      </c>
      <c r="BU53" s="58">
        <f t="shared" si="39"/>
        <v>1</v>
      </c>
      <c r="BV53" s="58" t="str">
        <f t="shared" si="39"/>
        <v/>
      </c>
      <c r="BW53" s="58" t="str">
        <f t="shared" si="39"/>
        <v/>
      </c>
      <c r="BX53" s="58" t="str">
        <f t="shared" si="39"/>
        <v/>
      </c>
      <c r="BY53" s="10"/>
      <c r="BZ53" s="10"/>
      <c r="CA53" s="10"/>
      <c r="CB53" s="10"/>
    </row>
    <row r="54" spans="1:80" s="2" customFormat="1" ht="15.95" hidden="1" customHeight="1" x14ac:dyDescent="0.25">
      <c r="A54" s="157"/>
      <c r="B54" s="149" t="s">
        <v>65</v>
      </c>
      <c r="C54" s="141">
        <f t="shared" ref="C54:AG54" si="40">IF(D46=1,IF(C47&gt;C48,C48,0),0)</f>
        <v>0</v>
      </c>
      <c r="D54" s="141">
        <f t="shared" si="40"/>
        <v>0</v>
      </c>
      <c r="E54" s="141">
        <f t="shared" si="40"/>
        <v>0</v>
      </c>
      <c r="F54" s="141">
        <f t="shared" si="40"/>
        <v>0</v>
      </c>
      <c r="G54" s="141">
        <f t="shared" si="40"/>
        <v>0</v>
      </c>
      <c r="H54" s="141">
        <f t="shared" si="40"/>
        <v>0</v>
      </c>
      <c r="I54" s="141">
        <f t="shared" si="40"/>
        <v>0</v>
      </c>
      <c r="J54" s="141">
        <f t="shared" si="40"/>
        <v>0</v>
      </c>
      <c r="K54" s="141">
        <f t="shared" si="40"/>
        <v>0</v>
      </c>
      <c r="L54" s="141">
        <f t="shared" si="40"/>
        <v>0</v>
      </c>
      <c r="M54" s="141">
        <f t="shared" si="40"/>
        <v>0</v>
      </c>
      <c r="N54" s="141">
        <f t="shared" si="40"/>
        <v>0</v>
      </c>
      <c r="O54" s="141">
        <f t="shared" si="40"/>
        <v>0</v>
      </c>
      <c r="P54" s="141">
        <f t="shared" si="40"/>
        <v>0</v>
      </c>
      <c r="Q54" s="141">
        <f t="shared" si="40"/>
        <v>0</v>
      </c>
      <c r="R54" s="141">
        <f t="shared" si="40"/>
        <v>0</v>
      </c>
      <c r="S54" s="141">
        <f t="shared" si="40"/>
        <v>0</v>
      </c>
      <c r="T54" s="141">
        <f t="shared" si="40"/>
        <v>0</v>
      </c>
      <c r="U54" s="141">
        <f t="shared" si="40"/>
        <v>0</v>
      </c>
      <c r="V54" s="141">
        <f t="shared" si="40"/>
        <v>0</v>
      </c>
      <c r="W54" s="141">
        <f t="shared" si="40"/>
        <v>0</v>
      </c>
      <c r="X54" s="141">
        <f>IF(Y46=1,IF(X47&gt;X48,X48,0),0)</f>
        <v>0</v>
      </c>
      <c r="Y54" s="141">
        <f t="shared" si="40"/>
        <v>0</v>
      </c>
      <c r="Z54" s="141">
        <f t="shared" si="40"/>
        <v>0</v>
      </c>
      <c r="AA54" s="141">
        <f t="shared" si="40"/>
        <v>0</v>
      </c>
      <c r="AB54" s="141">
        <f t="shared" si="40"/>
        <v>0</v>
      </c>
      <c r="AC54" s="141">
        <f t="shared" si="40"/>
        <v>0</v>
      </c>
      <c r="AD54" s="141">
        <f t="shared" si="40"/>
        <v>0</v>
      </c>
      <c r="AE54" s="141">
        <f t="shared" si="40"/>
        <v>0</v>
      </c>
      <c r="AF54" s="141">
        <f t="shared" si="40"/>
        <v>0</v>
      </c>
      <c r="AG54" s="141">
        <f t="shared" si="40"/>
        <v>0</v>
      </c>
      <c r="AH54" s="154" t="s">
        <v>12</v>
      </c>
      <c r="AI54" s="133"/>
      <c r="AJ54" s="155"/>
      <c r="AK54" s="137"/>
      <c r="AL54" s="137"/>
      <c r="AN54" s="10"/>
      <c r="AO54" s="10"/>
      <c r="AP54" s="10"/>
      <c r="AQ54" s="10"/>
      <c r="AR54" s="47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56"/>
      <c r="BF54" s="10"/>
      <c r="BG54" s="10"/>
      <c r="BH54" s="10"/>
      <c r="BI54" s="10"/>
      <c r="BJ54" s="10"/>
      <c r="BK54" s="10"/>
      <c r="BL54" s="10"/>
      <c r="BM54" s="10"/>
      <c r="BN54" s="10"/>
      <c r="BO54" s="52" t="str">
        <f t="shared" ref="BO54:BX54" si="41">IF(BO53=1,IF(BO53="",0,BO52),"")</f>
        <v/>
      </c>
      <c r="BP54" s="52" t="str">
        <f t="shared" si="41"/>
        <v/>
      </c>
      <c r="BQ54" s="52" t="str">
        <f t="shared" si="41"/>
        <v/>
      </c>
      <c r="BR54" s="52">
        <f t="shared" si="41"/>
        <v>45805</v>
      </c>
      <c r="BS54" s="52">
        <f t="shared" si="41"/>
        <v>45806</v>
      </c>
      <c r="BT54" s="52">
        <f t="shared" si="41"/>
        <v>45807</v>
      </c>
      <c r="BU54" s="52">
        <f t="shared" si="41"/>
        <v>45808</v>
      </c>
      <c r="BV54" s="52" t="str">
        <f t="shared" si="41"/>
        <v/>
      </c>
      <c r="BW54" s="52" t="str">
        <f t="shared" si="41"/>
        <v/>
      </c>
      <c r="BX54" s="52" t="str">
        <f t="shared" si="41"/>
        <v/>
      </c>
      <c r="BY54" s="56"/>
      <c r="BZ54" s="97" t="s">
        <v>66</v>
      </c>
      <c r="CA54" s="56"/>
      <c r="CB54" s="10"/>
    </row>
    <row r="55" spans="1:80" s="2" customFormat="1" ht="15.95" hidden="1" customHeight="1" x14ac:dyDescent="0.25">
      <c r="A55" s="157"/>
      <c r="B55" s="149" t="s">
        <v>67</v>
      </c>
      <c r="C55" s="158">
        <f t="shared" ref="C55:AG55" si="42">SUM(C52:C54)</f>
        <v>0</v>
      </c>
      <c r="D55" s="158">
        <f t="shared" si="42"/>
        <v>0</v>
      </c>
      <c r="E55" s="158">
        <f t="shared" si="42"/>
        <v>0</v>
      </c>
      <c r="F55" s="158">
        <f t="shared" si="42"/>
        <v>0</v>
      </c>
      <c r="G55" s="158">
        <f t="shared" si="42"/>
        <v>0</v>
      </c>
      <c r="H55" s="158">
        <f t="shared" si="42"/>
        <v>0</v>
      </c>
      <c r="I55" s="158">
        <f t="shared" si="42"/>
        <v>0</v>
      </c>
      <c r="J55" s="158">
        <f t="shared" si="42"/>
        <v>0</v>
      </c>
      <c r="K55" s="158">
        <f t="shared" si="42"/>
        <v>0</v>
      </c>
      <c r="L55" s="158">
        <f t="shared" si="42"/>
        <v>0</v>
      </c>
      <c r="M55" s="158">
        <f t="shared" si="42"/>
        <v>0</v>
      </c>
      <c r="N55" s="158">
        <f t="shared" si="42"/>
        <v>0</v>
      </c>
      <c r="O55" s="158">
        <f t="shared" si="42"/>
        <v>0</v>
      </c>
      <c r="P55" s="158">
        <f t="shared" si="42"/>
        <v>0</v>
      </c>
      <c r="Q55" s="158">
        <f t="shared" si="42"/>
        <v>0</v>
      </c>
      <c r="R55" s="158">
        <f t="shared" si="42"/>
        <v>0</v>
      </c>
      <c r="S55" s="158">
        <f t="shared" si="42"/>
        <v>11.999999999999998</v>
      </c>
      <c r="T55" s="158">
        <f t="shared" si="42"/>
        <v>11.999999999999998</v>
      </c>
      <c r="U55" s="158">
        <f t="shared" si="42"/>
        <v>0</v>
      </c>
      <c r="V55" s="158">
        <f t="shared" si="42"/>
        <v>0</v>
      </c>
      <c r="W55" s="158">
        <f t="shared" si="42"/>
        <v>0</v>
      </c>
      <c r="X55" s="158">
        <f t="shared" si="42"/>
        <v>0</v>
      </c>
      <c r="Y55" s="158">
        <f t="shared" si="42"/>
        <v>0</v>
      </c>
      <c r="Z55" s="158">
        <f t="shared" si="42"/>
        <v>0</v>
      </c>
      <c r="AA55" s="158">
        <f t="shared" si="42"/>
        <v>0</v>
      </c>
      <c r="AB55" s="158">
        <f t="shared" si="42"/>
        <v>0</v>
      </c>
      <c r="AC55" s="158">
        <f t="shared" si="42"/>
        <v>0</v>
      </c>
      <c r="AD55" s="158">
        <f t="shared" si="42"/>
        <v>0</v>
      </c>
      <c r="AE55" s="158">
        <f t="shared" si="42"/>
        <v>0</v>
      </c>
      <c r="AF55" s="158">
        <f t="shared" si="42"/>
        <v>0</v>
      </c>
      <c r="AG55" s="158">
        <f t="shared" si="42"/>
        <v>11.999999999999998</v>
      </c>
      <c r="AH55" s="154" t="s">
        <v>12</v>
      </c>
      <c r="AI55" s="133"/>
      <c r="AJ55" s="155"/>
      <c r="AK55" s="137"/>
      <c r="AL55" s="137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59"/>
      <c r="BF55" s="10"/>
      <c r="BG55" s="10"/>
      <c r="BH55" s="10"/>
      <c r="BI55" s="10"/>
      <c r="BJ55" s="10"/>
      <c r="BK55" s="10"/>
      <c r="BL55" s="10"/>
      <c r="BM55" s="10"/>
      <c r="BN55" s="10"/>
      <c r="BO55" s="52" t="str">
        <f t="shared" ref="BO55:BX55" si="43">IF(BO54=$AZ48,IF(BO54="",0,$AZ48),"")</f>
        <v/>
      </c>
      <c r="BP55" s="52" t="str">
        <f t="shared" si="43"/>
        <v/>
      </c>
      <c r="BQ55" s="52" t="str">
        <f t="shared" si="43"/>
        <v/>
      </c>
      <c r="BR55" s="52" t="str">
        <f t="shared" si="43"/>
        <v/>
      </c>
      <c r="BS55" s="52" t="str">
        <f t="shared" si="43"/>
        <v/>
      </c>
      <c r="BT55" s="52" t="str">
        <f t="shared" si="43"/>
        <v/>
      </c>
      <c r="BU55" s="52">
        <f t="shared" si="43"/>
        <v>45808</v>
      </c>
      <c r="BV55" s="52" t="str">
        <f t="shared" si="43"/>
        <v/>
      </c>
      <c r="BW55" s="52" t="str">
        <f t="shared" si="43"/>
        <v/>
      </c>
      <c r="BX55" s="52" t="str">
        <f t="shared" si="43"/>
        <v/>
      </c>
      <c r="BY55" s="52">
        <f t="shared" ref="BY55:BY58" si="44">SUM(BO55:BX55)</f>
        <v>45808</v>
      </c>
      <c r="BZ55" s="98">
        <f t="shared" ref="BZ55:BZ58" si="45">IF(BY55=$AZ$48,IF(BY55="",0,31),IF(BY55=$AZ$47,IF(BY55="",0,30),IF(BY55=$AX$48,IF(BY55="",0,29),IF(BY55=$AX$47,IF(BY55="",0,28)))))</f>
        <v>31</v>
      </c>
      <c r="CA55" s="99">
        <v>31</v>
      </c>
      <c r="CB55" s="10"/>
    </row>
    <row r="56" spans="1:80" s="2" customFormat="1" ht="15.95" hidden="1" customHeight="1" x14ac:dyDescent="0.25">
      <c r="A56" s="159"/>
      <c r="B56" s="160" t="s">
        <v>68</v>
      </c>
      <c r="C56" s="161">
        <f t="shared" ref="C56:AG56" si="46">IF(C9="V",IF(C9="",0,1),0)</f>
        <v>1</v>
      </c>
      <c r="D56" s="161">
        <f t="shared" si="46"/>
        <v>1</v>
      </c>
      <c r="E56" s="161">
        <f t="shared" si="46"/>
        <v>1</v>
      </c>
      <c r="F56" s="161">
        <f t="shared" si="46"/>
        <v>1</v>
      </c>
      <c r="G56" s="161">
        <f t="shared" si="46"/>
        <v>1</v>
      </c>
      <c r="H56" s="161">
        <f t="shared" si="46"/>
        <v>1</v>
      </c>
      <c r="I56" s="161">
        <f t="shared" si="46"/>
        <v>1</v>
      </c>
      <c r="J56" s="161">
        <f t="shared" si="46"/>
        <v>1</v>
      </c>
      <c r="K56" s="161">
        <f t="shared" si="46"/>
        <v>1</v>
      </c>
      <c r="L56" s="161">
        <f t="shared" si="46"/>
        <v>1</v>
      </c>
      <c r="M56" s="161">
        <f t="shared" si="46"/>
        <v>1</v>
      </c>
      <c r="N56" s="161">
        <f t="shared" si="46"/>
        <v>1</v>
      </c>
      <c r="O56" s="161">
        <f t="shared" si="46"/>
        <v>1</v>
      </c>
      <c r="P56" s="161">
        <f t="shared" si="46"/>
        <v>1</v>
      </c>
      <c r="Q56" s="161">
        <f t="shared" si="46"/>
        <v>1</v>
      </c>
      <c r="R56" s="161">
        <f t="shared" si="46"/>
        <v>0</v>
      </c>
      <c r="S56" s="161">
        <f t="shared" si="46"/>
        <v>0</v>
      </c>
      <c r="T56" s="161">
        <f t="shared" si="46"/>
        <v>0</v>
      </c>
      <c r="U56" s="161">
        <f t="shared" si="46"/>
        <v>0</v>
      </c>
      <c r="V56" s="161">
        <f t="shared" si="46"/>
        <v>0</v>
      </c>
      <c r="W56" s="161">
        <f t="shared" si="46"/>
        <v>0</v>
      </c>
      <c r="X56" s="161">
        <f t="shared" si="46"/>
        <v>0</v>
      </c>
      <c r="Y56" s="161">
        <f t="shared" si="46"/>
        <v>0</v>
      </c>
      <c r="Z56" s="161">
        <f t="shared" si="46"/>
        <v>0</v>
      </c>
      <c r="AA56" s="161">
        <f t="shared" si="46"/>
        <v>0</v>
      </c>
      <c r="AB56" s="161">
        <f t="shared" si="46"/>
        <v>0</v>
      </c>
      <c r="AC56" s="161">
        <f t="shared" si="46"/>
        <v>0</v>
      </c>
      <c r="AD56" s="161">
        <f t="shared" si="46"/>
        <v>0</v>
      </c>
      <c r="AE56" s="161">
        <f t="shared" si="46"/>
        <v>0</v>
      </c>
      <c r="AF56" s="161">
        <f t="shared" si="46"/>
        <v>0</v>
      </c>
      <c r="AG56" s="161">
        <f t="shared" si="46"/>
        <v>0</v>
      </c>
      <c r="AH56" s="154" t="s">
        <v>12</v>
      </c>
      <c r="AI56" s="133"/>
      <c r="AJ56" s="155"/>
      <c r="AK56" s="137"/>
      <c r="AL56" s="137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59"/>
      <c r="BF56" s="10"/>
      <c r="BG56" s="10"/>
      <c r="BH56" s="10"/>
      <c r="BI56" s="10"/>
      <c r="BJ56" s="10"/>
      <c r="BK56" s="10"/>
      <c r="BL56" s="10"/>
      <c r="BM56" s="10"/>
      <c r="BN56" s="10"/>
      <c r="BO56" s="52" t="str">
        <f t="shared" ref="BO56:BX56" si="47">IF(BO54=$AZ47,IF(BO54="",0,$AZ47),"")</f>
        <v/>
      </c>
      <c r="BP56" s="52" t="str">
        <f t="shared" si="47"/>
        <v/>
      </c>
      <c r="BQ56" s="52" t="str">
        <f t="shared" si="47"/>
        <v/>
      </c>
      <c r="BR56" s="52" t="str">
        <f t="shared" si="47"/>
        <v/>
      </c>
      <c r="BS56" s="52" t="str">
        <f t="shared" si="47"/>
        <v/>
      </c>
      <c r="BT56" s="52">
        <f t="shared" si="47"/>
        <v>45807</v>
      </c>
      <c r="BU56" s="52" t="str">
        <f t="shared" si="47"/>
        <v/>
      </c>
      <c r="BV56" s="52" t="str">
        <f t="shared" si="47"/>
        <v/>
      </c>
      <c r="BW56" s="52" t="str">
        <f t="shared" si="47"/>
        <v/>
      </c>
      <c r="BX56" s="52" t="str">
        <f t="shared" si="47"/>
        <v/>
      </c>
      <c r="BY56" s="52">
        <f t="shared" si="44"/>
        <v>45807</v>
      </c>
      <c r="BZ56" s="98">
        <f t="shared" si="45"/>
        <v>30</v>
      </c>
      <c r="CA56" s="99">
        <v>30</v>
      </c>
      <c r="CB56" s="10"/>
    </row>
    <row r="57" spans="1:80" ht="15.95" hidden="1" customHeight="1" x14ac:dyDescent="0.25">
      <c r="A57" s="129"/>
      <c r="B57" s="162" t="s">
        <v>16</v>
      </c>
      <c r="C57" s="163">
        <f t="shared" ref="C57:AG57" si="48">IF(C9="PR",IF(C9="",0,1),0)</f>
        <v>0</v>
      </c>
      <c r="D57" s="163">
        <f t="shared" si="48"/>
        <v>0</v>
      </c>
      <c r="E57" s="163">
        <f t="shared" si="48"/>
        <v>0</v>
      </c>
      <c r="F57" s="163">
        <f t="shared" si="48"/>
        <v>0</v>
      </c>
      <c r="G57" s="163">
        <f t="shared" si="48"/>
        <v>0</v>
      </c>
      <c r="H57" s="163">
        <f t="shared" si="48"/>
        <v>0</v>
      </c>
      <c r="I57" s="163">
        <f t="shared" si="48"/>
        <v>0</v>
      </c>
      <c r="J57" s="163">
        <f t="shared" si="48"/>
        <v>0</v>
      </c>
      <c r="K57" s="163">
        <f t="shared" si="48"/>
        <v>0</v>
      </c>
      <c r="L57" s="163">
        <f t="shared" si="48"/>
        <v>0</v>
      </c>
      <c r="M57" s="163">
        <f t="shared" si="48"/>
        <v>0</v>
      </c>
      <c r="N57" s="163">
        <f t="shared" si="48"/>
        <v>0</v>
      </c>
      <c r="O57" s="163">
        <f t="shared" si="48"/>
        <v>0</v>
      </c>
      <c r="P57" s="163">
        <f t="shared" si="48"/>
        <v>0</v>
      </c>
      <c r="Q57" s="163">
        <f t="shared" si="48"/>
        <v>0</v>
      </c>
      <c r="R57" s="163">
        <f t="shared" si="48"/>
        <v>0</v>
      </c>
      <c r="S57" s="163">
        <f t="shared" si="48"/>
        <v>0</v>
      </c>
      <c r="T57" s="163">
        <f t="shared" si="48"/>
        <v>0</v>
      </c>
      <c r="U57" s="163">
        <f t="shared" si="48"/>
        <v>0</v>
      </c>
      <c r="V57" s="163">
        <f t="shared" si="48"/>
        <v>0</v>
      </c>
      <c r="W57" s="163">
        <f t="shared" si="48"/>
        <v>0</v>
      </c>
      <c r="X57" s="163">
        <f t="shared" si="48"/>
        <v>0</v>
      </c>
      <c r="Y57" s="163">
        <f t="shared" si="48"/>
        <v>0</v>
      </c>
      <c r="Z57" s="163">
        <f t="shared" si="48"/>
        <v>0</v>
      </c>
      <c r="AA57" s="163">
        <f t="shared" si="48"/>
        <v>0</v>
      </c>
      <c r="AB57" s="163">
        <f t="shared" si="48"/>
        <v>0</v>
      </c>
      <c r="AC57" s="163">
        <f t="shared" si="48"/>
        <v>0</v>
      </c>
      <c r="AD57" s="163">
        <f t="shared" si="48"/>
        <v>0</v>
      </c>
      <c r="AE57" s="163">
        <f t="shared" si="48"/>
        <v>0</v>
      </c>
      <c r="AF57" s="163">
        <f t="shared" si="48"/>
        <v>0</v>
      </c>
      <c r="AG57" s="163">
        <f t="shared" si="48"/>
        <v>0</v>
      </c>
      <c r="AH57" s="233">
        <f>SUM(C57:AG57)</f>
        <v>0</v>
      </c>
      <c r="AI57" s="233"/>
      <c r="AJ57" s="137" t="s">
        <v>69</v>
      </c>
      <c r="AK57" s="133"/>
      <c r="AL57" s="133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59"/>
      <c r="BF57" s="31"/>
      <c r="BG57" s="31"/>
      <c r="BH57" s="31"/>
      <c r="BI57" s="31"/>
      <c r="BJ57" s="31"/>
      <c r="BK57" s="31"/>
      <c r="BL57" s="31"/>
      <c r="BM57" s="31"/>
      <c r="BN57" s="31"/>
      <c r="BO57" s="52" t="str">
        <f t="shared" ref="BO57:BX57" si="49">IF(BO54=$AX48,IF(BO54="",0,$AX48),"")</f>
        <v/>
      </c>
      <c r="BP57" s="52" t="str">
        <f t="shared" si="49"/>
        <v/>
      </c>
      <c r="BQ57" s="52" t="str">
        <f t="shared" si="49"/>
        <v/>
      </c>
      <c r="BR57" s="52" t="str">
        <f t="shared" si="49"/>
        <v/>
      </c>
      <c r="BS57" s="52">
        <f t="shared" si="49"/>
        <v>45806</v>
      </c>
      <c r="BT57" s="52" t="str">
        <f t="shared" si="49"/>
        <v/>
      </c>
      <c r="BU57" s="52" t="str">
        <f t="shared" si="49"/>
        <v/>
      </c>
      <c r="BV57" s="52" t="str">
        <f t="shared" si="49"/>
        <v/>
      </c>
      <c r="BW57" s="52" t="str">
        <f t="shared" si="49"/>
        <v/>
      </c>
      <c r="BX57" s="52" t="str">
        <f t="shared" si="49"/>
        <v/>
      </c>
      <c r="BY57" s="52">
        <f t="shared" si="44"/>
        <v>45806</v>
      </c>
      <c r="BZ57" s="98">
        <f t="shared" si="45"/>
        <v>29</v>
      </c>
      <c r="CA57" s="99">
        <v>29</v>
      </c>
      <c r="CB57" s="31"/>
    </row>
    <row r="58" spans="1:80" s="59" customFormat="1" ht="15.95" hidden="1" customHeight="1" x14ac:dyDescent="0.25">
      <c r="A58" s="164" t="s">
        <v>70</v>
      </c>
      <c r="B58" s="165" t="s">
        <v>29</v>
      </c>
      <c r="C58" s="141" t="str">
        <f t="shared" ref="C58:AG58" si="50">IF(C10=$R32,$S32*24,IF(C10=$R33,$S33*24,IF(C10=$R34,$S34*24,IF(C10=$R35,$S35*24,IF(C10=$R36,$S36*24,IF(C10=$R37,$S37*24,IF(C10=$R38,$S38*24,IF(C10=$R39,$S39*24,IF(C10=$R40,$S40*24,"")))))))))</f>
        <v/>
      </c>
      <c r="D58" s="141">
        <f t="shared" si="50"/>
        <v>19</v>
      </c>
      <c r="E58" s="141">
        <f t="shared" si="50"/>
        <v>19</v>
      </c>
      <c r="F58" s="141">
        <f t="shared" si="50"/>
        <v>19</v>
      </c>
      <c r="G58" s="141" t="str">
        <f t="shared" si="50"/>
        <v/>
      </c>
      <c r="H58" s="141" t="str">
        <f t="shared" si="50"/>
        <v/>
      </c>
      <c r="I58" s="141">
        <f t="shared" si="50"/>
        <v>19</v>
      </c>
      <c r="J58" s="141">
        <f t="shared" si="50"/>
        <v>19</v>
      </c>
      <c r="K58" s="141" t="str">
        <f t="shared" si="50"/>
        <v/>
      </c>
      <c r="L58" s="141" t="str">
        <f t="shared" si="50"/>
        <v/>
      </c>
      <c r="M58" s="141" t="str">
        <f t="shared" si="50"/>
        <v/>
      </c>
      <c r="N58" s="141">
        <f t="shared" si="50"/>
        <v>19</v>
      </c>
      <c r="O58" s="141">
        <f t="shared" si="50"/>
        <v>19</v>
      </c>
      <c r="P58" s="141" t="str">
        <f t="shared" si="50"/>
        <v/>
      </c>
      <c r="Q58" s="141" t="str">
        <f t="shared" si="50"/>
        <v/>
      </c>
      <c r="R58" s="141">
        <f t="shared" si="50"/>
        <v>19</v>
      </c>
      <c r="S58" s="141">
        <f t="shared" si="50"/>
        <v>19</v>
      </c>
      <c r="T58" s="141">
        <f t="shared" si="50"/>
        <v>19</v>
      </c>
      <c r="U58" s="141" t="str">
        <f t="shared" si="50"/>
        <v/>
      </c>
      <c r="V58" s="141" t="str">
        <f t="shared" si="50"/>
        <v/>
      </c>
      <c r="W58" s="141">
        <f t="shared" si="50"/>
        <v>19</v>
      </c>
      <c r="X58" s="141">
        <f t="shared" si="50"/>
        <v>19</v>
      </c>
      <c r="Y58" s="141" t="str">
        <f t="shared" si="50"/>
        <v/>
      </c>
      <c r="Z58" s="141" t="str">
        <f t="shared" si="50"/>
        <v/>
      </c>
      <c r="AA58" s="141" t="str">
        <f t="shared" si="50"/>
        <v/>
      </c>
      <c r="AB58" s="141">
        <f t="shared" si="50"/>
        <v>19</v>
      </c>
      <c r="AC58" s="141">
        <f t="shared" si="50"/>
        <v>19</v>
      </c>
      <c r="AD58" s="141" t="str">
        <f t="shared" si="50"/>
        <v/>
      </c>
      <c r="AE58" s="141" t="str">
        <f t="shared" si="50"/>
        <v/>
      </c>
      <c r="AF58" s="141">
        <f t="shared" si="50"/>
        <v>19</v>
      </c>
      <c r="AG58" s="141">
        <f t="shared" si="50"/>
        <v>19</v>
      </c>
      <c r="AH58" s="154" t="s">
        <v>12</v>
      </c>
      <c r="AI58" s="133"/>
      <c r="AJ58" s="137"/>
      <c r="AK58" s="137"/>
      <c r="AL58" s="137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1"/>
      <c r="BF58" s="56"/>
      <c r="BG58" s="56"/>
      <c r="BH58" s="56"/>
      <c r="BI58" s="56"/>
      <c r="BJ58" s="56"/>
      <c r="BK58" s="56"/>
      <c r="BL58" s="56"/>
      <c r="BM58" s="56"/>
      <c r="BN58" s="56"/>
      <c r="BO58" s="52" t="str">
        <f t="shared" ref="BO58:BX58" si="51">IF(BO54=$AX47,IF(BO54="",0,$AX47),"")</f>
        <v/>
      </c>
      <c r="BP58" s="52" t="str">
        <f t="shared" si="51"/>
        <v/>
      </c>
      <c r="BQ58" s="52" t="str">
        <f t="shared" si="51"/>
        <v/>
      </c>
      <c r="BR58" s="52">
        <f t="shared" si="51"/>
        <v>45805</v>
      </c>
      <c r="BS58" s="52" t="str">
        <f t="shared" si="51"/>
        <v/>
      </c>
      <c r="BT58" s="52" t="str">
        <f t="shared" si="51"/>
        <v/>
      </c>
      <c r="BU58" s="52" t="str">
        <f t="shared" si="51"/>
        <v/>
      </c>
      <c r="BV58" s="52" t="str">
        <f t="shared" si="51"/>
        <v/>
      </c>
      <c r="BW58" s="52" t="str">
        <f t="shared" si="51"/>
        <v/>
      </c>
      <c r="BX58" s="52" t="str">
        <f t="shared" si="51"/>
        <v/>
      </c>
      <c r="BY58" s="52">
        <f t="shared" si="44"/>
        <v>45805</v>
      </c>
      <c r="BZ58" s="52">
        <f t="shared" si="45"/>
        <v>28</v>
      </c>
      <c r="CA58" s="99">
        <v>28</v>
      </c>
      <c r="CB58" s="56"/>
    </row>
    <row r="59" spans="1:80" s="59" customFormat="1" ht="15.95" hidden="1" customHeight="1" x14ac:dyDescent="0.25">
      <c r="A59" s="166" t="s">
        <v>71</v>
      </c>
      <c r="B59" s="167" t="s">
        <v>30</v>
      </c>
      <c r="C59" s="141" t="str">
        <f t="shared" ref="C59:AG59" si="52">IF(C10=$R32,$V32*24,IF(C10=$R33,$V33*24,IF(C10=$R34,$V34*24,IF(C10=$R35,$V35*24,IF(C10=$R36,$V36*24,IF(C10=$R37,$V37*24,IF(C10=$R38,$V38*24,IF(C10=$R39,$V39*24,IF(C10=$R40,$V40*24,"")))))))))</f>
        <v/>
      </c>
      <c r="D59" s="141">
        <f t="shared" si="52"/>
        <v>7</v>
      </c>
      <c r="E59" s="141">
        <f t="shared" si="52"/>
        <v>7</v>
      </c>
      <c r="F59" s="141">
        <f t="shared" si="52"/>
        <v>7</v>
      </c>
      <c r="G59" s="141" t="str">
        <f t="shared" si="52"/>
        <v/>
      </c>
      <c r="H59" s="141" t="str">
        <f t="shared" si="52"/>
        <v/>
      </c>
      <c r="I59" s="141">
        <f t="shared" si="52"/>
        <v>7</v>
      </c>
      <c r="J59" s="141">
        <f t="shared" si="52"/>
        <v>7</v>
      </c>
      <c r="K59" s="141" t="str">
        <f t="shared" si="52"/>
        <v/>
      </c>
      <c r="L59" s="141" t="str">
        <f t="shared" si="52"/>
        <v/>
      </c>
      <c r="M59" s="141" t="str">
        <f t="shared" si="52"/>
        <v/>
      </c>
      <c r="N59" s="141">
        <f t="shared" si="52"/>
        <v>7</v>
      </c>
      <c r="O59" s="141">
        <f t="shared" si="52"/>
        <v>7</v>
      </c>
      <c r="P59" s="141" t="str">
        <f t="shared" si="52"/>
        <v/>
      </c>
      <c r="Q59" s="141" t="str">
        <f t="shared" si="52"/>
        <v/>
      </c>
      <c r="R59" s="141">
        <f t="shared" si="52"/>
        <v>7</v>
      </c>
      <c r="S59" s="141">
        <f t="shared" si="52"/>
        <v>7</v>
      </c>
      <c r="T59" s="141">
        <f t="shared" si="52"/>
        <v>7</v>
      </c>
      <c r="U59" s="141" t="str">
        <f t="shared" si="52"/>
        <v/>
      </c>
      <c r="V59" s="141" t="str">
        <f t="shared" si="52"/>
        <v/>
      </c>
      <c r="W59" s="141">
        <f t="shared" si="52"/>
        <v>7</v>
      </c>
      <c r="X59" s="141">
        <f t="shared" si="52"/>
        <v>7</v>
      </c>
      <c r="Y59" s="141" t="str">
        <f t="shared" si="52"/>
        <v/>
      </c>
      <c r="Z59" s="141" t="str">
        <f t="shared" si="52"/>
        <v/>
      </c>
      <c r="AA59" s="141" t="str">
        <f t="shared" si="52"/>
        <v/>
      </c>
      <c r="AB59" s="141">
        <f t="shared" si="52"/>
        <v>7</v>
      </c>
      <c r="AC59" s="141">
        <f t="shared" si="52"/>
        <v>7</v>
      </c>
      <c r="AD59" s="141" t="str">
        <f t="shared" si="52"/>
        <v/>
      </c>
      <c r="AE59" s="141" t="str">
        <f t="shared" si="52"/>
        <v/>
      </c>
      <c r="AF59" s="141">
        <f t="shared" si="52"/>
        <v>7</v>
      </c>
      <c r="AG59" s="141">
        <f t="shared" si="52"/>
        <v>7</v>
      </c>
      <c r="AH59" s="154" t="s">
        <v>12</v>
      </c>
      <c r="AI59" s="133"/>
      <c r="AJ59" s="137"/>
      <c r="AK59" s="137"/>
      <c r="AL59" s="137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1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100" t="s">
        <v>56</v>
      </c>
      <c r="BZ59" s="52">
        <f>SUM(BZ55:BZ58)</f>
        <v>118</v>
      </c>
      <c r="CA59" s="53">
        <f>IF(BZ59=118,31,IF(BZ59=90,31,IF(BZ59=61,31,IF(BZ59=31,31,IF(BZ59=87,30,IF(BZ59=59,30,IF(BZ59=30,30,IF(BZ59=57,29,IF(BZ59=29,29,IF(BZ59=28,28,""))))))))))</f>
        <v>31</v>
      </c>
      <c r="CB59" s="10"/>
    </row>
    <row r="60" spans="1:80" s="59" customFormat="1" ht="15.95" hidden="1" customHeight="1" x14ac:dyDescent="0.25">
      <c r="A60" s="153"/>
      <c r="B60" s="168" t="s">
        <v>34</v>
      </c>
      <c r="C60" s="169" t="str">
        <f t="shared" ref="C60:AD60" si="53">IF(C10=$R32,$BD32*24,IF(C10=$R33,$BD33*24,IF(C10=$R34,$BD34*24,IF(C10=$R35,$BD35*24,IF(C10=$R36,$BD36*24,IF(C10=$R37,$BD37*24,IF(C10=$R38,$BD38*24,IF(C10=$R39,$BD39*24,IF(C10=$R40,$BD40*24,"")))))))))</f>
        <v/>
      </c>
      <c r="D60" s="169">
        <f t="shared" si="53"/>
        <v>8</v>
      </c>
      <c r="E60" s="169">
        <f t="shared" si="53"/>
        <v>8</v>
      </c>
      <c r="F60" s="169">
        <f t="shared" si="53"/>
        <v>8</v>
      </c>
      <c r="G60" s="169" t="str">
        <f t="shared" si="53"/>
        <v/>
      </c>
      <c r="H60" s="169" t="str">
        <f t="shared" si="53"/>
        <v/>
      </c>
      <c r="I60" s="169">
        <f t="shared" si="53"/>
        <v>8</v>
      </c>
      <c r="J60" s="169">
        <f t="shared" si="53"/>
        <v>8</v>
      </c>
      <c r="K60" s="169" t="str">
        <f t="shared" si="53"/>
        <v/>
      </c>
      <c r="L60" s="169" t="str">
        <f t="shared" si="53"/>
        <v/>
      </c>
      <c r="M60" s="169" t="str">
        <f t="shared" si="53"/>
        <v/>
      </c>
      <c r="N60" s="169">
        <f t="shared" si="53"/>
        <v>8</v>
      </c>
      <c r="O60" s="169">
        <f t="shared" si="53"/>
        <v>8</v>
      </c>
      <c r="P60" s="169" t="str">
        <f t="shared" si="53"/>
        <v/>
      </c>
      <c r="Q60" s="169" t="str">
        <f t="shared" si="53"/>
        <v/>
      </c>
      <c r="R60" s="169">
        <f t="shared" si="53"/>
        <v>8</v>
      </c>
      <c r="S60" s="169">
        <f t="shared" si="53"/>
        <v>8</v>
      </c>
      <c r="T60" s="169">
        <f t="shared" si="53"/>
        <v>8</v>
      </c>
      <c r="U60" s="169" t="str">
        <f t="shared" si="53"/>
        <v/>
      </c>
      <c r="V60" s="169" t="str">
        <f t="shared" si="53"/>
        <v/>
      </c>
      <c r="W60" s="169">
        <f t="shared" si="53"/>
        <v>8</v>
      </c>
      <c r="X60" s="169">
        <f t="shared" si="53"/>
        <v>8</v>
      </c>
      <c r="Y60" s="169" t="str">
        <f t="shared" si="53"/>
        <v/>
      </c>
      <c r="Z60" s="169" t="str">
        <f t="shared" si="53"/>
        <v/>
      </c>
      <c r="AA60" s="169" t="str">
        <f t="shared" si="53"/>
        <v/>
      </c>
      <c r="AB60" s="169">
        <f t="shared" si="53"/>
        <v>8</v>
      </c>
      <c r="AC60" s="169">
        <f t="shared" si="53"/>
        <v>8</v>
      </c>
      <c r="AD60" s="169" t="str">
        <f t="shared" si="53"/>
        <v/>
      </c>
      <c r="AE60" s="169" t="str">
        <f>IF(AE10=$R32,$BD32*24,IF(AE10=$R33,$BD33*24,IF(AE10=$R34,$BD34*24,IF(AE10=$R35,$BD35*24,IF(AE10=$R36,$BD36*24,IF(AE10=$R37,$BD37*24,IF(AE10=$R38,$BD38*24,IF(AE10=$R39,$BD39*24,IF(AE10=$R40,$BD40*24,"")))))))))</f>
        <v/>
      </c>
      <c r="AF60" s="169">
        <f>IF(AF10=$R32,$BD32*24,IF(AF10=$R33,$BD33*24,IF(AF10=$R34,$BD34*24,IF(AF10=$R35,$BD35*24,IF(AF10=$R36,$BD36*24,IF(AF10=$R37,$BD37*24,IF(AF10=$R38,$BD38*24,IF(AF10=$R39,$BD39*24,IF(AF10=$R40,$BD40*24,"")))))))))</f>
        <v>8</v>
      </c>
      <c r="AG60" s="169">
        <f>IF(AG10=$R32,$BD32*24,IF(AG10=$R33,$BD33*24,IF(AG10=$R34,$BD34*24,IF(AG10=$R35,$BD35*24,IF(AG10=$R36,$BD36*24,IF(AG10=$R37,$BD37*24,IF(AG10=$R38,$BD38*24,IF(AG10=$R39,$BD39*24,IF(AG10=$R40,$BD40*24,"")))))))))</f>
        <v>8</v>
      </c>
      <c r="AH60" s="148">
        <f>SUM(C60:AG60)</f>
        <v>128</v>
      </c>
      <c r="AI60" s="133"/>
      <c r="AJ60" s="137"/>
      <c r="AK60" s="137"/>
      <c r="AL60" s="137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1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101">
        <f>CA59</f>
        <v>31</v>
      </c>
      <c r="CB60" s="56"/>
    </row>
    <row r="61" spans="1:80" s="59" customFormat="1" ht="15.95" hidden="1" customHeight="1" x14ac:dyDescent="0.25">
      <c r="A61" s="153"/>
      <c r="B61" s="167" t="s">
        <v>59</v>
      </c>
      <c r="C61" s="141">
        <f t="shared" ref="C61:AG61" si="54">IF(C10="V",$C36,IF(C10="PR",$C38,0))</f>
        <v>0</v>
      </c>
      <c r="D61" s="141">
        <f t="shared" si="54"/>
        <v>0</v>
      </c>
      <c r="E61" s="141">
        <f t="shared" si="54"/>
        <v>0</v>
      </c>
      <c r="F61" s="141">
        <f t="shared" si="54"/>
        <v>0</v>
      </c>
      <c r="G61" s="141">
        <f t="shared" si="54"/>
        <v>0</v>
      </c>
      <c r="H61" s="141">
        <f t="shared" si="54"/>
        <v>0</v>
      </c>
      <c r="I61" s="141">
        <f t="shared" si="54"/>
        <v>0</v>
      </c>
      <c r="J61" s="141">
        <f t="shared" si="54"/>
        <v>0</v>
      </c>
      <c r="K61" s="141">
        <f t="shared" si="54"/>
        <v>0</v>
      </c>
      <c r="L61" s="141">
        <f t="shared" si="54"/>
        <v>0</v>
      </c>
      <c r="M61" s="141">
        <f t="shared" si="54"/>
        <v>0</v>
      </c>
      <c r="N61" s="141">
        <f t="shared" si="54"/>
        <v>0</v>
      </c>
      <c r="O61" s="141">
        <f t="shared" si="54"/>
        <v>0</v>
      </c>
      <c r="P61" s="141">
        <f t="shared" si="54"/>
        <v>0</v>
      </c>
      <c r="Q61" s="141">
        <f t="shared" si="54"/>
        <v>0</v>
      </c>
      <c r="R61" s="141">
        <f t="shared" si="54"/>
        <v>0</v>
      </c>
      <c r="S61" s="141">
        <f t="shared" si="54"/>
        <v>0</v>
      </c>
      <c r="T61" s="141">
        <f t="shared" si="54"/>
        <v>0</v>
      </c>
      <c r="U61" s="141">
        <f t="shared" si="54"/>
        <v>0</v>
      </c>
      <c r="V61" s="141">
        <f t="shared" si="54"/>
        <v>0</v>
      </c>
      <c r="W61" s="141">
        <f t="shared" si="54"/>
        <v>0</v>
      </c>
      <c r="X61" s="141">
        <f t="shared" si="54"/>
        <v>0</v>
      </c>
      <c r="Y61" s="141">
        <f t="shared" si="54"/>
        <v>0</v>
      </c>
      <c r="Z61" s="141">
        <f t="shared" si="54"/>
        <v>0</v>
      </c>
      <c r="AA61" s="141">
        <f t="shared" si="54"/>
        <v>0</v>
      </c>
      <c r="AB61" s="141">
        <f t="shared" si="54"/>
        <v>0</v>
      </c>
      <c r="AC61" s="141">
        <f t="shared" si="54"/>
        <v>0</v>
      </c>
      <c r="AD61" s="141">
        <f t="shared" si="54"/>
        <v>0</v>
      </c>
      <c r="AE61" s="141">
        <f t="shared" si="54"/>
        <v>0</v>
      </c>
      <c r="AF61" s="141">
        <f t="shared" si="54"/>
        <v>0</v>
      </c>
      <c r="AG61" s="141">
        <f t="shared" si="54"/>
        <v>0</v>
      </c>
      <c r="AH61" s="226">
        <f>SUM(C61:AG61)</f>
        <v>0</v>
      </c>
      <c r="AI61" s="226"/>
      <c r="AJ61" s="137" t="s">
        <v>12</v>
      </c>
      <c r="AK61" s="137"/>
      <c r="AL61" s="137"/>
      <c r="BE61" s="1"/>
      <c r="BU61" s="60" t="str">
        <f>BS50</f>
        <v>ju</v>
      </c>
      <c r="BV61" s="60" t="str">
        <f>BT50</f>
        <v>vi</v>
      </c>
      <c r="BW61" s="60" t="str">
        <f>BU50</f>
        <v>sa</v>
      </c>
      <c r="BX61" s="60" t="str">
        <f>BV50</f>
        <v>do</v>
      </c>
      <c r="BY61" s="60" t="str">
        <f>BW50</f>
        <v>lu</v>
      </c>
    </row>
    <row r="62" spans="1:80" s="59" customFormat="1" ht="15.95" hidden="1" customHeight="1" x14ac:dyDescent="0.25">
      <c r="A62" s="150" t="s">
        <v>60</v>
      </c>
      <c r="B62" s="167" t="s">
        <v>61</v>
      </c>
      <c r="C62" s="151">
        <f t="shared" ref="C62:AD62" si="55">IF(C10=$R32,$BC32,IF(C10=$R33,$BC33,IF(C10=$R34,$BC34,IF(C10=$R35,$BC35,IF(C10=$R36,$BC36,IF(C10=$R37,$BC37,IF(C10=$R38,$BC38,IF(C10=$R39,$BC39,IF(C10=$R40,$BC40,0)))))))))</f>
        <v>0</v>
      </c>
      <c r="D62" s="151">
        <f t="shared" si="55"/>
        <v>12</v>
      </c>
      <c r="E62" s="151">
        <f t="shared" si="55"/>
        <v>12</v>
      </c>
      <c r="F62" s="151">
        <f t="shared" si="55"/>
        <v>12</v>
      </c>
      <c r="G62" s="151">
        <f t="shared" si="55"/>
        <v>0</v>
      </c>
      <c r="H62" s="151">
        <f t="shared" si="55"/>
        <v>0</v>
      </c>
      <c r="I62" s="151">
        <f t="shared" si="55"/>
        <v>12</v>
      </c>
      <c r="J62" s="151">
        <f t="shared" si="55"/>
        <v>12</v>
      </c>
      <c r="K62" s="151">
        <f t="shared" si="55"/>
        <v>0</v>
      </c>
      <c r="L62" s="151">
        <f t="shared" si="55"/>
        <v>0</v>
      </c>
      <c r="M62" s="151">
        <f t="shared" si="55"/>
        <v>0</v>
      </c>
      <c r="N62" s="151">
        <f t="shared" si="55"/>
        <v>12</v>
      </c>
      <c r="O62" s="151">
        <f t="shared" si="55"/>
        <v>12</v>
      </c>
      <c r="P62" s="151">
        <f t="shared" si="55"/>
        <v>0</v>
      </c>
      <c r="Q62" s="151">
        <f t="shared" si="55"/>
        <v>0</v>
      </c>
      <c r="R62" s="151">
        <f t="shared" si="55"/>
        <v>12</v>
      </c>
      <c r="S62" s="151">
        <f t="shared" si="55"/>
        <v>12</v>
      </c>
      <c r="T62" s="151">
        <f t="shared" si="55"/>
        <v>12</v>
      </c>
      <c r="U62" s="151">
        <f t="shared" si="55"/>
        <v>0</v>
      </c>
      <c r="V62" s="151">
        <f t="shared" si="55"/>
        <v>0</v>
      </c>
      <c r="W62" s="151">
        <f t="shared" si="55"/>
        <v>12</v>
      </c>
      <c r="X62" s="151">
        <f t="shared" si="55"/>
        <v>12</v>
      </c>
      <c r="Y62" s="151">
        <f t="shared" si="55"/>
        <v>0</v>
      </c>
      <c r="Z62" s="151">
        <f t="shared" si="55"/>
        <v>0</v>
      </c>
      <c r="AA62" s="151">
        <f t="shared" si="55"/>
        <v>0</v>
      </c>
      <c r="AB62" s="151">
        <f t="shared" si="55"/>
        <v>12</v>
      </c>
      <c r="AC62" s="151">
        <f t="shared" si="55"/>
        <v>12</v>
      </c>
      <c r="AD62" s="151">
        <f t="shared" si="55"/>
        <v>0</v>
      </c>
      <c r="AE62" s="151">
        <f>IF(AE10=$R32,$BC32,IF(AE10=$R33,$BC33,IF(AE10=$R34,$BC34,IF(AE10=$R35,$BC35,IF(AE10=$R36,$BC36,IF(AE10=$R37,$BC37,IF(AE10=$R38,$BC38,IF(AE10=$R39,$BC39,IF(AE10=$R40,$BC40,0)))))))))</f>
        <v>0</v>
      </c>
      <c r="AF62" s="151">
        <f>IF(AF10=$R32,$BC32,IF(AF10=$R33,$BC33,IF(AF10=$R34,$BC34,IF(AF10=$R35,$BC35,IF(AF10=$R36,$BC36,IF(AF10=$R37,$BC37,IF(AF10=$R38,$BC38,IF(AF10=$R39,$BC39,IF(AF10=$R40,$BC40,0)))))))))</f>
        <v>12</v>
      </c>
      <c r="AG62" s="151">
        <f>IF(AG10=$R32,$BC32,IF(AG10=$R33,$BC33,IF(AG10=$R34,$BC34,IF(AG10=$R35,$BC35,IF(AG10=$R36,$BC36,IF(AG10=$R37,$BC37,IF(AG10=$R38,$BC38,IF(AG10=$R39,$BC39,IF(AG10=$R40,$BC40,0)))))))))</f>
        <v>12</v>
      </c>
      <c r="AH62" s="226">
        <f>SUM(C62:AG62)</f>
        <v>192</v>
      </c>
      <c r="AI62" s="226"/>
      <c r="AJ62" s="137" t="s">
        <v>62</v>
      </c>
      <c r="AK62" s="137" t="s">
        <v>12</v>
      </c>
      <c r="AL62" s="137"/>
      <c r="BE62" s="1"/>
      <c r="BU62" s="61">
        <v>28</v>
      </c>
      <c r="BV62" s="61">
        <v>29</v>
      </c>
      <c r="BW62" s="61">
        <v>30</v>
      </c>
      <c r="BX62" s="61">
        <v>31</v>
      </c>
      <c r="BY62" s="61">
        <v>1</v>
      </c>
    </row>
    <row r="63" spans="1:80" s="59" customFormat="1" ht="15.95" hidden="1" customHeight="1" x14ac:dyDescent="0.25">
      <c r="A63" s="153" t="s">
        <v>48</v>
      </c>
      <c r="B63" s="149" t="s">
        <v>63</v>
      </c>
      <c r="C63" s="141" t="b">
        <f t="shared" ref="C63:AG63" si="56">IF(C46=1,IF(C58&lt;C59,C62,0))</f>
        <v>0</v>
      </c>
      <c r="D63" s="141" t="b">
        <f t="shared" si="56"/>
        <v>0</v>
      </c>
      <c r="E63" s="141">
        <f t="shared" si="56"/>
        <v>0</v>
      </c>
      <c r="F63" s="141">
        <f t="shared" si="56"/>
        <v>0</v>
      </c>
      <c r="G63" s="141" t="b">
        <f t="shared" si="56"/>
        <v>0</v>
      </c>
      <c r="H63" s="141" t="b">
        <f t="shared" si="56"/>
        <v>0</v>
      </c>
      <c r="I63" s="141" t="b">
        <f t="shared" si="56"/>
        <v>0</v>
      </c>
      <c r="J63" s="141" t="b">
        <f t="shared" si="56"/>
        <v>0</v>
      </c>
      <c r="K63" s="141" t="b">
        <f t="shared" si="56"/>
        <v>0</v>
      </c>
      <c r="L63" s="141">
        <f t="shared" si="56"/>
        <v>0</v>
      </c>
      <c r="M63" s="141">
        <f t="shared" si="56"/>
        <v>0</v>
      </c>
      <c r="N63" s="141" t="b">
        <f t="shared" si="56"/>
        <v>0</v>
      </c>
      <c r="O63" s="141" t="b">
        <f t="shared" si="56"/>
        <v>0</v>
      </c>
      <c r="P63" s="141" t="b">
        <f t="shared" si="56"/>
        <v>0</v>
      </c>
      <c r="Q63" s="141" t="b">
        <f t="shared" si="56"/>
        <v>0</v>
      </c>
      <c r="R63" s="141" t="b">
        <f t="shared" si="56"/>
        <v>0</v>
      </c>
      <c r="S63" s="141">
        <f t="shared" si="56"/>
        <v>0</v>
      </c>
      <c r="T63" s="141">
        <f t="shared" si="56"/>
        <v>0</v>
      </c>
      <c r="U63" s="141" t="b">
        <f t="shared" si="56"/>
        <v>0</v>
      </c>
      <c r="V63" s="141" t="b">
        <f t="shared" si="56"/>
        <v>0</v>
      </c>
      <c r="W63" s="141" t="b">
        <f t="shared" si="56"/>
        <v>0</v>
      </c>
      <c r="X63" s="141" t="b">
        <f t="shared" si="56"/>
        <v>0</v>
      </c>
      <c r="Y63" s="141" t="b">
        <f t="shared" si="56"/>
        <v>0</v>
      </c>
      <c r="Z63" s="141">
        <f t="shared" si="56"/>
        <v>0</v>
      </c>
      <c r="AA63" s="141">
        <f t="shared" si="56"/>
        <v>0</v>
      </c>
      <c r="AB63" s="141" t="b">
        <f t="shared" si="56"/>
        <v>0</v>
      </c>
      <c r="AC63" s="141" t="b">
        <f t="shared" si="56"/>
        <v>0</v>
      </c>
      <c r="AD63" s="141" t="b">
        <f t="shared" si="56"/>
        <v>0</v>
      </c>
      <c r="AE63" s="141" t="b">
        <f t="shared" si="56"/>
        <v>0</v>
      </c>
      <c r="AF63" s="141" t="b">
        <f t="shared" si="56"/>
        <v>0</v>
      </c>
      <c r="AG63" s="141">
        <f t="shared" si="56"/>
        <v>0</v>
      </c>
      <c r="AH63" s="142" t="s">
        <v>12</v>
      </c>
      <c r="AI63" s="133"/>
      <c r="AJ63" s="137"/>
      <c r="AK63" s="137"/>
      <c r="AL63" s="137"/>
      <c r="BE63" s="1"/>
      <c r="BV63" s="102" t="str">
        <f>IF(CA59=28,IF(CA59="",0,1),IF(CA59=1,IF(CA59="",0,1),""))</f>
        <v/>
      </c>
      <c r="BW63" s="102" t="str">
        <f>IF(CA59=29,IF(CA59="",0,1),IF(CA59=1,IF(CA59="",0,1),""))</f>
        <v/>
      </c>
      <c r="BX63" s="102" t="str">
        <f>IF(CA59=30,IF(CA59="",0,1),IF(CA59=1,IF(CA59="",0,1),""))</f>
        <v/>
      </c>
      <c r="BY63" s="102">
        <f>IF(CA59=31,IF(CA59="",0,1),IF(CA59=1,IF(CA59="",0,1),""))</f>
        <v>1</v>
      </c>
    </row>
    <row r="64" spans="1:80" ht="15.95" hidden="1" customHeight="1" x14ac:dyDescent="0.25">
      <c r="A64" s="153"/>
      <c r="B64" s="149" t="s">
        <v>64</v>
      </c>
      <c r="C64" s="141">
        <f t="shared" ref="C64:AG64" si="57">IF(C46=1,IF(C58&gt;C59,24-C58,0),0)</f>
        <v>0</v>
      </c>
      <c r="D64" s="141">
        <f t="shared" si="57"/>
        <v>0</v>
      </c>
      <c r="E64" s="141">
        <f t="shared" si="57"/>
        <v>5</v>
      </c>
      <c r="F64" s="141">
        <f t="shared" si="57"/>
        <v>5</v>
      </c>
      <c r="G64" s="141">
        <f t="shared" si="57"/>
        <v>0</v>
      </c>
      <c r="H64" s="141">
        <f t="shared" si="57"/>
        <v>0</v>
      </c>
      <c r="I64" s="141">
        <f t="shared" si="57"/>
        <v>0</v>
      </c>
      <c r="J64" s="141">
        <f t="shared" si="57"/>
        <v>0</v>
      </c>
      <c r="K64" s="141">
        <f t="shared" si="57"/>
        <v>0</v>
      </c>
      <c r="L64" s="141">
        <f t="shared" si="57"/>
        <v>0</v>
      </c>
      <c r="M64" s="141">
        <f t="shared" si="57"/>
        <v>0</v>
      </c>
      <c r="N64" s="141">
        <f t="shared" si="57"/>
        <v>0</v>
      </c>
      <c r="O64" s="141">
        <f t="shared" si="57"/>
        <v>0</v>
      </c>
      <c r="P64" s="141">
        <f t="shared" si="57"/>
        <v>0</v>
      </c>
      <c r="Q64" s="141">
        <f t="shared" si="57"/>
        <v>0</v>
      </c>
      <c r="R64" s="141">
        <f t="shared" si="57"/>
        <v>0</v>
      </c>
      <c r="S64" s="141">
        <f t="shared" si="57"/>
        <v>5</v>
      </c>
      <c r="T64" s="141">
        <f t="shared" si="57"/>
        <v>5</v>
      </c>
      <c r="U64" s="141">
        <f t="shared" si="57"/>
        <v>0</v>
      </c>
      <c r="V64" s="141">
        <f t="shared" si="57"/>
        <v>0</v>
      </c>
      <c r="W64" s="141">
        <f t="shared" si="57"/>
        <v>0</v>
      </c>
      <c r="X64" s="141">
        <f t="shared" si="57"/>
        <v>0</v>
      </c>
      <c r="Y64" s="141">
        <f t="shared" si="57"/>
        <v>0</v>
      </c>
      <c r="Z64" s="141">
        <f t="shared" si="57"/>
        <v>0</v>
      </c>
      <c r="AA64" s="141">
        <f t="shared" si="57"/>
        <v>0</v>
      </c>
      <c r="AB64" s="141">
        <f t="shared" si="57"/>
        <v>0</v>
      </c>
      <c r="AC64" s="141">
        <f t="shared" si="57"/>
        <v>0</v>
      </c>
      <c r="AD64" s="141">
        <f t="shared" si="57"/>
        <v>0</v>
      </c>
      <c r="AE64" s="141">
        <f t="shared" si="57"/>
        <v>0</v>
      </c>
      <c r="AF64" s="141">
        <f t="shared" si="57"/>
        <v>0</v>
      </c>
      <c r="AG64" s="141">
        <f t="shared" si="57"/>
        <v>5</v>
      </c>
      <c r="AH64" s="142" t="s">
        <v>12</v>
      </c>
      <c r="AI64" s="133"/>
      <c r="AJ64" s="170"/>
      <c r="AK64" s="133"/>
      <c r="AL64" s="133"/>
      <c r="BU64" s="45" t="s">
        <v>72</v>
      </c>
      <c r="BV64" s="102" t="b">
        <f>IF(BV61="sa",IF(BV61="",0,"1"),IF(BV61="do",IF(BV61="",0,"1")))</f>
        <v>0</v>
      </c>
      <c r="BW64" s="102" t="str">
        <f>IF(BW61="sa",IF(BW61="",0,"1"),IF(BW61="do",IF(BW61="",0,"1")))</f>
        <v>1</v>
      </c>
      <c r="BX64" s="102" t="str">
        <f>IF(BX61="sa",IF(BX61="",0,"1"),IF(BX61="do",IF(BX61="",0,"1")))</f>
        <v>1</v>
      </c>
      <c r="BY64" s="102" t="b">
        <f>IF(BY61="sa",IF(BY61="",0,"1"),IF(BY61="do",IF(BY61="",0,"1")))</f>
        <v>0</v>
      </c>
    </row>
    <row r="65" spans="1:77" ht="15.95" hidden="1" customHeight="1" x14ac:dyDescent="0.25">
      <c r="A65" s="153"/>
      <c r="B65" s="149" t="s">
        <v>65</v>
      </c>
      <c r="C65" s="141">
        <f t="shared" ref="C65:AG65" si="58">IF(D46=1,IF(C58&gt;C59,C59,0),0)</f>
        <v>0</v>
      </c>
      <c r="D65" s="141">
        <f t="shared" si="58"/>
        <v>7</v>
      </c>
      <c r="E65" s="141">
        <f t="shared" si="58"/>
        <v>7</v>
      </c>
      <c r="F65" s="141">
        <f t="shared" si="58"/>
        <v>0</v>
      </c>
      <c r="G65" s="141">
        <f t="shared" si="58"/>
        <v>0</v>
      </c>
      <c r="H65" s="141">
        <f t="shared" si="58"/>
        <v>0</v>
      </c>
      <c r="I65" s="141">
        <f t="shared" si="58"/>
        <v>0</v>
      </c>
      <c r="J65" s="141">
        <f t="shared" si="58"/>
        <v>0</v>
      </c>
      <c r="K65" s="141">
        <f t="shared" si="58"/>
        <v>0</v>
      </c>
      <c r="L65" s="141">
        <f t="shared" si="58"/>
        <v>0</v>
      </c>
      <c r="M65" s="141">
        <f t="shared" si="58"/>
        <v>0</v>
      </c>
      <c r="N65" s="141">
        <f t="shared" si="58"/>
        <v>0</v>
      </c>
      <c r="O65" s="141">
        <f t="shared" si="58"/>
        <v>0</v>
      </c>
      <c r="P65" s="141">
        <f t="shared" si="58"/>
        <v>0</v>
      </c>
      <c r="Q65" s="141">
        <f t="shared" si="58"/>
        <v>0</v>
      </c>
      <c r="R65" s="141">
        <f t="shared" si="58"/>
        <v>7</v>
      </c>
      <c r="S65" s="141">
        <f t="shared" si="58"/>
        <v>7</v>
      </c>
      <c r="T65" s="141">
        <f t="shared" si="58"/>
        <v>0</v>
      </c>
      <c r="U65" s="141">
        <f t="shared" si="58"/>
        <v>0</v>
      </c>
      <c r="V65" s="141">
        <f t="shared" si="58"/>
        <v>0</v>
      </c>
      <c r="W65" s="141">
        <f t="shared" si="58"/>
        <v>0</v>
      </c>
      <c r="X65" s="141">
        <f>IF(Y46=1,IF(X58&gt;X59,X59,0),0)</f>
        <v>0</v>
      </c>
      <c r="Y65" s="141">
        <f t="shared" si="58"/>
        <v>0</v>
      </c>
      <c r="Z65" s="141">
        <f t="shared" si="58"/>
        <v>0</v>
      </c>
      <c r="AA65" s="141">
        <f t="shared" si="58"/>
        <v>0</v>
      </c>
      <c r="AB65" s="141">
        <f t="shared" si="58"/>
        <v>0</v>
      </c>
      <c r="AC65" s="141">
        <f t="shared" si="58"/>
        <v>0</v>
      </c>
      <c r="AD65" s="141">
        <f t="shared" si="58"/>
        <v>0</v>
      </c>
      <c r="AE65" s="141">
        <f t="shared" si="58"/>
        <v>0</v>
      </c>
      <c r="AF65" s="141">
        <f t="shared" si="58"/>
        <v>7</v>
      </c>
      <c r="AG65" s="141">
        <f t="shared" si="58"/>
        <v>0</v>
      </c>
      <c r="AH65" s="142" t="s">
        <v>12</v>
      </c>
      <c r="AI65" s="133"/>
      <c r="AJ65" s="170"/>
      <c r="AK65" s="133"/>
      <c r="AL65" s="133"/>
    </row>
    <row r="66" spans="1:77" ht="15.95" hidden="1" customHeight="1" x14ac:dyDescent="0.25">
      <c r="A66" s="153"/>
      <c r="B66" s="149" t="s">
        <v>67</v>
      </c>
      <c r="C66" s="171">
        <f t="shared" ref="C66:AG66" si="59">SUM(C63:C65)</f>
        <v>0</v>
      </c>
      <c r="D66" s="171">
        <f t="shared" si="59"/>
        <v>7</v>
      </c>
      <c r="E66" s="171">
        <f t="shared" si="59"/>
        <v>12</v>
      </c>
      <c r="F66" s="171">
        <f t="shared" si="59"/>
        <v>5</v>
      </c>
      <c r="G66" s="171">
        <f t="shared" si="59"/>
        <v>0</v>
      </c>
      <c r="H66" s="171">
        <f t="shared" si="59"/>
        <v>0</v>
      </c>
      <c r="I66" s="171">
        <f t="shared" si="59"/>
        <v>0</v>
      </c>
      <c r="J66" s="171">
        <f t="shared" si="59"/>
        <v>0</v>
      </c>
      <c r="K66" s="171">
        <f t="shared" si="59"/>
        <v>0</v>
      </c>
      <c r="L66" s="171">
        <f t="shared" si="59"/>
        <v>0</v>
      </c>
      <c r="M66" s="171">
        <f t="shared" si="59"/>
        <v>0</v>
      </c>
      <c r="N66" s="171">
        <f t="shared" si="59"/>
        <v>0</v>
      </c>
      <c r="O66" s="171">
        <f t="shared" si="59"/>
        <v>0</v>
      </c>
      <c r="P66" s="171">
        <f t="shared" si="59"/>
        <v>0</v>
      </c>
      <c r="Q66" s="171">
        <f t="shared" si="59"/>
        <v>0</v>
      </c>
      <c r="R66" s="171">
        <f t="shared" si="59"/>
        <v>7</v>
      </c>
      <c r="S66" s="171">
        <f t="shared" si="59"/>
        <v>12</v>
      </c>
      <c r="T66" s="171">
        <f t="shared" si="59"/>
        <v>5</v>
      </c>
      <c r="U66" s="171">
        <f t="shared" si="59"/>
        <v>0</v>
      </c>
      <c r="V66" s="171">
        <f t="shared" si="59"/>
        <v>0</v>
      </c>
      <c r="W66" s="171">
        <f t="shared" si="59"/>
        <v>0</v>
      </c>
      <c r="X66" s="171">
        <f t="shared" si="59"/>
        <v>0</v>
      </c>
      <c r="Y66" s="171">
        <f t="shared" si="59"/>
        <v>0</v>
      </c>
      <c r="Z66" s="171">
        <f t="shared" si="59"/>
        <v>0</v>
      </c>
      <c r="AA66" s="171">
        <f t="shared" si="59"/>
        <v>0</v>
      </c>
      <c r="AB66" s="171">
        <f t="shared" si="59"/>
        <v>0</v>
      </c>
      <c r="AC66" s="171">
        <f t="shared" si="59"/>
        <v>0</v>
      </c>
      <c r="AD66" s="171">
        <f t="shared" si="59"/>
        <v>0</v>
      </c>
      <c r="AE66" s="171">
        <f t="shared" si="59"/>
        <v>0</v>
      </c>
      <c r="AF66" s="171">
        <f t="shared" si="59"/>
        <v>7</v>
      </c>
      <c r="AG66" s="171">
        <f t="shared" si="59"/>
        <v>5</v>
      </c>
      <c r="AH66" s="142" t="s">
        <v>12</v>
      </c>
      <c r="AI66" s="133"/>
      <c r="AJ66" s="170"/>
      <c r="AK66" s="133"/>
      <c r="AL66" s="133"/>
      <c r="BU66" s="62"/>
      <c r="BV66" s="63" t="str">
        <f t="shared" ref="BV66:BY67" si="60">IF(BV65=2,IF(BV65="",0,"X"),IF(BV65=2,IF(BV65="",0,2),""))</f>
        <v/>
      </c>
      <c r="BW66" s="63" t="str">
        <f t="shared" si="60"/>
        <v/>
      </c>
      <c r="BX66" s="63" t="str">
        <f t="shared" si="60"/>
        <v/>
      </c>
      <c r="BY66" s="63" t="str">
        <f t="shared" si="60"/>
        <v/>
      </c>
    </row>
    <row r="67" spans="1:77" ht="15.95" hidden="1" customHeight="1" x14ac:dyDescent="0.25">
      <c r="A67" s="172"/>
      <c r="B67" s="160" t="s">
        <v>68</v>
      </c>
      <c r="C67" s="161">
        <f t="shared" ref="C67:AG67" si="61">IF(C10="V",IF(C10="",0,1),0)</f>
        <v>0</v>
      </c>
      <c r="D67" s="161">
        <f t="shared" si="61"/>
        <v>0</v>
      </c>
      <c r="E67" s="161">
        <f t="shared" si="61"/>
        <v>0</v>
      </c>
      <c r="F67" s="161">
        <f t="shared" si="61"/>
        <v>0</v>
      </c>
      <c r="G67" s="161">
        <f t="shared" si="61"/>
        <v>0</v>
      </c>
      <c r="H67" s="161">
        <f t="shared" si="61"/>
        <v>0</v>
      </c>
      <c r="I67" s="161">
        <f t="shared" si="61"/>
        <v>0</v>
      </c>
      <c r="J67" s="161">
        <f t="shared" si="61"/>
        <v>0</v>
      </c>
      <c r="K67" s="161">
        <f t="shared" si="61"/>
        <v>0</v>
      </c>
      <c r="L67" s="161">
        <f t="shared" si="61"/>
        <v>0</v>
      </c>
      <c r="M67" s="161">
        <f t="shared" si="61"/>
        <v>0</v>
      </c>
      <c r="N67" s="161">
        <f t="shared" si="61"/>
        <v>0</v>
      </c>
      <c r="O67" s="161">
        <f t="shared" si="61"/>
        <v>0</v>
      </c>
      <c r="P67" s="161">
        <f t="shared" si="61"/>
        <v>0</v>
      </c>
      <c r="Q67" s="161">
        <f t="shared" si="61"/>
        <v>0</v>
      </c>
      <c r="R67" s="161">
        <f t="shared" si="61"/>
        <v>0</v>
      </c>
      <c r="S67" s="161">
        <f t="shared" si="61"/>
        <v>0</v>
      </c>
      <c r="T67" s="161">
        <f t="shared" si="61"/>
        <v>0</v>
      </c>
      <c r="U67" s="161">
        <f t="shared" si="61"/>
        <v>0</v>
      </c>
      <c r="V67" s="161">
        <f t="shared" si="61"/>
        <v>0</v>
      </c>
      <c r="W67" s="161">
        <f t="shared" si="61"/>
        <v>0</v>
      </c>
      <c r="X67" s="161">
        <f t="shared" si="61"/>
        <v>0</v>
      </c>
      <c r="Y67" s="161">
        <f t="shared" si="61"/>
        <v>0</v>
      </c>
      <c r="Z67" s="161">
        <f t="shared" si="61"/>
        <v>0</v>
      </c>
      <c r="AA67" s="161">
        <f t="shared" si="61"/>
        <v>0</v>
      </c>
      <c r="AB67" s="161">
        <f t="shared" si="61"/>
        <v>0</v>
      </c>
      <c r="AC67" s="161">
        <f t="shared" si="61"/>
        <v>0</v>
      </c>
      <c r="AD67" s="161">
        <f t="shared" si="61"/>
        <v>0</v>
      </c>
      <c r="AE67" s="161">
        <f t="shared" si="61"/>
        <v>0</v>
      </c>
      <c r="AF67" s="161">
        <f t="shared" si="61"/>
        <v>0</v>
      </c>
      <c r="AG67" s="161">
        <f t="shared" si="61"/>
        <v>0</v>
      </c>
      <c r="AH67" s="142" t="s">
        <v>12</v>
      </c>
      <c r="AI67" s="133"/>
      <c r="AJ67" s="170"/>
      <c r="AK67" s="133"/>
      <c r="AL67" s="133"/>
      <c r="BU67" s="64"/>
      <c r="BV67" s="63" t="str">
        <f t="shared" si="60"/>
        <v/>
      </c>
      <c r="BW67" s="63" t="str">
        <f t="shared" si="60"/>
        <v/>
      </c>
      <c r="BX67" s="63" t="str">
        <f t="shared" si="60"/>
        <v/>
      </c>
      <c r="BY67" s="63" t="str">
        <f t="shared" si="60"/>
        <v/>
      </c>
    </row>
    <row r="68" spans="1:77" ht="15.95" hidden="1" customHeight="1" x14ac:dyDescent="0.25">
      <c r="A68" s="173"/>
      <c r="B68" s="130" t="s">
        <v>16</v>
      </c>
      <c r="C68" s="163">
        <f t="shared" ref="C68:AG68" si="62">IF(C10="PR",IF(C10="",0,1),0)</f>
        <v>0</v>
      </c>
      <c r="D68" s="163">
        <f t="shared" si="62"/>
        <v>0</v>
      </c>
      <c r="E68" s="163">
        <f t="shared" si="62"/>
        <v>0</v>
      </c>
      <c r="F68" s="163">
        <f t="shared" si="62"/>
        <v>0</v>
      </c>
      <c r="G68" s="163">
        <f t="shared" si="62"/>
        <v>0</v>
      </c>
      <c r="H68" s="163">
        <f t="shared" si="62"/>
        <v>0</v>
      </c>
      <c r="I68" s="163">
        <f t="shared" si="62"/>
        <v>0</v>
      </c>
      <c r="J68" s="163">
        <f t="shared" si="62"/>
        <v>0</v>
      </c>
      <c r="K68" s="163">
        <f t="shared" si="62"/>
        <v>0</v>
      </c>
      <c r="L68" s="163">
        <f t="shared" si="62"/>
        <v>0</v>
      </c>
      <c r="M68" s="163">
        <f t="shared" si="62"/>
        <v>0</v>
      </c>
      <c r="N68" s="163">
        <f t="shared" si="62"/>
        <v>0</v>
      </c>
      <c r="O68" s="163">
        <f t="shared" si="62"/>
        <v>0</v>
      </c>
      <c r="P68" s="163">
        <f t="shared" si="62"/>
        <v>0</v>
      </c>
      <c r="Q68" s="163">
        <f t="shared" si="62"/>
        <v>0</v>
      </c>
      <c r="R68" s="163">
        <f t="shared" si="62"/>
        <v>0</v>
      </c>
      <c r="S68" s="163">
        <f t="shared" si="62"/>
        <v>0</v>
      </c>
      <c r="T68" s="163">
        <f t="shared" si="62"/>
        <v>0</v>
      </c>
      <c r="U68" s="163">
        <f t="shared" si="62"/>
        <v>0</v>
      </c>
      <c r="V68" s="163">
        <f t="shared" si="62"/>
        <v>0</v>
      </c>
      <c r="W68" s="163">
        <f t="shared" si="62"/>
        <v>0</v>
      </c>
      <c r="X68" s="163">
        <f t="shared" si="62"/>
        <v>0</v>
      </c>
      <c r="Y68" s="163">
        <f t="shared" si="62"/>
        <v>0</v>
      </c>
      <c r="Z68" s="163">
        <f t="shared" si="62"/>
        <v>0</v>
      </c>
      <c r="AA68" s="163">
        <f t="shared" si="62"/>
        <v>0</v>
      </c>
      <c r="AB68" s="163">
        <f t="shared" si="62"/>
        <v>0</v>
      </c>
      <c r="AC68" s="163">
        <f t="shared" si="62"/>
        <v>0</v>
      </c>
      <c r="AD68" s="163">
        <f t="shared" si="62"/>
        <v>0</v>
      </c>
      <c r="AE68" s="163">
        <f t="shared" si="62"/>
        <v>0</v>
      </c>
      <c r="AF68" s="163">
        <f t="shared" si="62"/>
        <v>0</v>
      </c>
      <c r="AG68" s="163">
        <f t="shared" si="62"/>
        <v>0</v>
      </c>
      <c r="AH68" s="229">
        <f>SUM(C68:AG68)</f>
        <v>0</v>
      </c>
      <c r="AI68" s="229"/>
      <c r="AJ68" s="174" t="s">
        <v>69</v>
      </c>
      <c r="AK68" s="133"/>
      <c r="AL68" s="133"/>
    </row>
    <row r="69" spans="1:77" ht="15.95" hidden="1" customHeight="1" x14ac:dyDescent="0.25">
      <c r="A69" s="164" t="s">
        <v>73</v>
      </c>
      <c r="B69" s="165" t="s">
        <v>29</v>
      </c>
      <c r="C69" s="141">
        <f t="shared" ref="C69:AG69" si="63">IF(C11=$R32,$S32*24,IF(C11=$R33,$S33*24,IF(C11=$R34,$S34*24,IF(C11=$R35,$S35*24,IF(C11=$R36,$S36*24,IF(C11=$R37,$S37*24,IF(C11=$R38,$S38*24,IF(C11=$R39,$S39*24,IF(C11=$R40,$S40*24,"")))))))))</f>
        <v>7</v>
      </c>
      <c r="D69" s="141" t="str">
        <f t="shared" si="63"/>
        <v/>
      </c>
      <c r="E69" s="141" t="str">
        <f t="shared" si="63"/>
        <v/>
      </c>
      <c r="F69" s="141" t="str">
        <f t="shared" si="63"/>
        <v/>
      </c>
      <c r="G69" s="141">
        <f t="shared" si="63"/>
        <v>7</v>
      </c>
      <c r="H69" s="141">
        <f t="shared" si="63"/>
        <v>7</v>
      </c>
      <c r="I69" s="141">
        <f t="shared" si="63"/>
        <v>7</v>
      </c>
      <c r="J69" s="141" t="str">
        <f t="shared" si="63"/>
        <v/>
      </c>
      <c r="K69" s="141">
        <f t="shared" si="63"/>
        <v>7</v>
      </c>
      <c r="L69" s="141">
        <f t="shared" si="63"/>
        <v>7</v>
      </c>
      <c r="M69" s="141">
        <f t="shared" si="63"/>
        <v>7</v>
      </c>
      <c r="N69" s="141">
        <f t="shared" si="63"/>
        <v>7</v>
      </c>
      <c r="O69" s="141">
        <f t="shared" si="63"/>
        <v>7</v>
      </c>
      <c r="P69" s="141">
        <f t="shared" si="63"/>
        <v>7</v>
      </c>
      <c r="Q69" s="141">
        <f t="shared" si="63"/>
        <v>7</v>
      </c>
      <c r="R69" s="141" t="str">
        <f t="shared" si="63"/>
        <v/>
      </c>
      <c r="S69" s="141" t="str">
        <f t="shared" si="63"/>
        <v/>
      </c>
      <c r="T69" s="141" t="str">
        <f t="shared" si="63"/>
        <v/>
      </c>
      <c r="U69" s="141">
        <f t="shared" si="63"/>
        <v>7</v>
      </c>
      <c r="V69" s="141">
        <f t="shared" si="63"/>
        <v>7</v>
      </c>
      <c r="W69" s="141" t="str">
        <f t="shared" si="63"/>
        <v/>
      </c>
      <c r="X69" s="141" t="str">
        <f t="shared" si="63"/>
        <v/>
      </c>
      <c r="Y69" s="141">
        <f t="shared" si="63"/>
        <v>7</v>
      </c>
      <c r="Z69" s="141">
        <f t="shared" si="63"/>
        <v>7</v>
      </c>
      <c r="AA69" s="141">
        <f t="shared" si="63"/>
        <v>7</v>
      </c>
      <c r="AB69" s="141" t="str">
        <f t="shared" si="63"/>
        <v/>
      </c>
      <c r="AC69" s="141" t="str">
        <f t="shared" si="63"/>
        <v/>
      </c>
      <c r="AD69" s="141">
        <f t="shared" si="63"/>
        <v>7</v>
      </c>
      <c r="AE69" s="141">
        <f t="shared" si="63"/>
        <v>7</v>
      </c>
      <c r="AF69" s="141" t="str">
        <f t="shared" si="63"/>
        <v/>
      </c>
      <c r="AG69" s="141" t="str">
        <f t="shared" si="63"/>
        <v/>
      </c>
      <c r="AH69" s="154" t="s">
        <v>12</v>
      </c>
      <c r="AI69" s="133"/>
      <c r="AJ69" s="170"/>
      <c r="AK69" s="133"/>
      <c r="AL69" s="133"/>
    </row>
    <row r="70" spans="1:77" ht="15.95" hidden="1" customHeight="1" x14ac:dyDescent="0.25">
      <c r="A70" s="166" t="s">
        <v>74</v>
      </c>
      <c r="B70" s="167" t="s">
        <v>30</v>
      </c>
      <c r="C70" s="141">
        <f t="shared" ref="C70:AG70" si="64">IF(C11=$R32,$V32*24,IF(C11=$R33,$V33*24,IF(C11=$R34,$V34*24,IF(C11=$R35,$V35*24,IF(C11=$R36,$V36*24,IF(C11=$R37,$V37*24,IF(C11=$R38,$V38*24,IF(C11=$R39,$V39*24,IF(C11=$R40,$V40*24,"")))))))))</f>
        <v>19</v>
      </c>
      <c r="D70" s="141" t="str">
        <f t="shared" si="64"/>
        <v/>
      </c>
      <c r="E70" s="141" t="str">
        <f t="shared" si="64"/>
        <v/>
      </c>
      <c r="F70" s="141" t="str">
        <f t="shared" si="64"/>
        <v/>
      </c>
      <c r="G70" s="141">
        <f t="shared" si="64"/>
        <v>19</v>
      </c>
      <c r="H70" s="141">
        <f t="shared" si="64"/>
        <v>19</v>
      </c>
      <c r="I70" s="141">
        <f t="shared" si="64"/>
        <v>19</v>
      </c>
      <c r="J70" s="141" t="str">
        <f t="shared" si="64"/>
        <v/>
      </c>
      <c r="K70" s="141">
        <f t="shared" si="64"/>
        <v>19</v>
      </c>
      <c r="L70" s="141">
        <f t="shared" si="64"/>
        <v>19</v>
      </c>
      <c r="M70" s="141">
        <f t="shared" si="64"/>
        <v>19</v>
      </c>
      <c r="N70" s="141">
        <f t="shared" si="64"/>
        <v>19</v>
      </c>
      <c r="O70" s="141">
        <f t="shared" si="64"/>
        <v>19</v>
      </c>
      <c r="P70" s="141">
        <f t="shared" si="64"/>
        <v>19</v>
      </c>
      <c r="Q70" s="141">
        <f t="shared" si="64"/>
        <v>19</v>
      </c>
      <c r="R70" s="141" t="str">
        <f t="shared" si="64"/>
        <v/>
      </c>
      <c r="S70" s="141" t="str">
        <f t="shared" si="64"/>
        <v/>
      </c>
      <c r="T70" s="141" t="str">
        <f t="shared" si="64"/>
        <v/>
      </c>
      <c r="U70" s="141">
        <f t="shared" si="64"/>
        <v>19</v>
      </c>
      <c r="V70" s="141">
        <f t="shared" si="64"/>
        <v>19</v>
      </c>
      <c r="W70" s="141" t="str">
        <f t="shared" si="64"/>
        <v/>
      </c>
      <c r="X70" s="141" t="str">
        <f t="shared" si="64"/>
        <v/>
      </c>
      <c r="Y70" s="141">
        <f t="shared" si="64"/>
        <v>19</v>
      </c>
      <c r="Z70" s="141">
        <f t="shared" si="64"/>
        <v>19</v>
      </c>
      <c r="AA70" s="141">
        <f t="shared" si="64"/>
        <v>19</v>
      </c>
      <c r="AB70" s="141" t="str">
        <f t="shared" si="64"/>
        <v/>
      </c>
      <c r="AC70" s="141" t="str">
        <f t="shared" si="64"/>
        <v/>
      </c>
      <c r="AD70" s="141">
        <f t="shared" si="64"/>
        <v>19</v>
      </c>
      <c r="AE70" s="141">
        <f t="shared" si="64"/>
        <v>19</v>
      </c>
      <c r="AF70" s="141" t="str">
        <f t="shared" si="64"/>
        <v/>
      </c>
      <c r="AG70" s="141" t="str">
        <f t="shared" si="64"/>
        <v/>
      </c>
      <c r="AH70" s="154" t="s">
        <v>12</v>
      </c>
      <c r="AI70" s="133"/>
      <c r="AJ70" s="170"/>
      <c r="AK70" s="133"/>
      <c r="AL70" s="133"/>
    </row>
    <row r="71" spans="1:77" ht="15.95" hidden="1" customHeight="1" x14ac:dyDescent="0.25">
      <c r="A71" s="153"/>
      <c r="B71" s="168" t="s">
        <v>34</v>
      </c>
      <c r="C71" s="169">
        <f t="shared" ref="C71:AD71" si="65">IF(C11=$R32,$BD32*24,IF(C11=$R33,$BD33*24,IF(C11=$R34,$BD34*24,IF(C11=$R35,$BD35*24,IF(C11=$R36,$BD36*24,IF(C11=$R37,$BD37*24,IF(C11=$R38,$BD38*24,IF(C11=$R39,$BD39*24,IF(C11=$R40,$BD40*24,"")))))))))</f>
        <v>0</v>
      </c>
      <c r="D71" s="169" t="str">
        <f t="shared" si="65"/>
        <v/>
      </c>
      <c r="E71" s="169" t="str">
        <f t="shared" si="65"/>
        <v/>
      </c>
      <c r="F71" s="169" t="str">
        <f t="shared" si="65"/>
        <v/>
      </c>
      <c r="G71" s="169">
        <f t="shared" si="65"/>
        <v>0</v>
      </c>
      <c r="H71" s="169">
        <f t="shared" si="65"/>
        <v>0</v>
      </c>
      <c r="I71" s="169">
        <f t="shared" si="65"/>
        <v>0</v>
      </c>
      <c r="J71" s="169" t="str">
        <f t="shared" si="65"/>
        <v/>
      </c>
      <c r="K71" s="169">
        <f t="shared" si="65"/>
        <v>0</v>
      </c>
      <c r="L71" s="169">
        <f t="shared" si="65"/>
        <v>0</v>
      </c>
      <c r="M71" s="169">
        <f t="shared" si="65"/>
        <v>0</v>
      </c>
      <c r="N71" s="169">
        <f t="shared" si="65"/>
        <v>0</v>
      </c>
      <c r="O71" s="169">
        <f t="shared" si="65"/>
        <v>0</v>
      </c>
      <c r="P71" s="169">
        <f t="shared" si="65"/>
        <v>0</v>
      </c>
      <c r="Q71" s="169">
        <f t="shared" si="65"/>
        <v>0</v>
      </c>
      <c r="R71" s="169" t="str">
        <f t="shared" si="65"/>
        <v/>
      </c>
      <c r="S71" s="169" t="str">
        <f t="shared" si="65"/>
        <v/>
      </c>
      <c r="T71" s="169" t="str">
        <f t="shared" si="65"/>
        <v/>
      </c>
      <c r="U71" s="169">
        <f t="shared" si="65"/>
        <v>0</v>
      </c>
      <c r="V71" s="169">
        <f t="shared" si="65"/>
        <v>0</v>
      </c>
      <c r="W71" s="169" t="str">
        <f t="shared" si="65"/>
        <v/>
      </c>
      <c r="X71" s="169" t="str">
        <f t="shared" si="65"/>
        <v/>
      </c>
      <c r="Y71" s="169">
        <f t="shared" si="65"/>
        <v>0</v>
      </c>
      <c r="Z71" s="169">
        <f t="shared" si="65"/>
        <v>0</v>
      </c>
      <c r="AA71" s="169">
        <f t="shared" si="65"/>
        <v>0</v>
      </c>
      <c r="AB71" s="169" t="str">
        <f t="shared" si="65"/>
        <v/>
      </c>
      <c r="AC71" s="169" t="str">
        <f t="shared" si="65"/>
        <v/>
      </c>
      <c r="AD71" s="169">
        <f t="shared" si="65"/>
        <v>0</v>
      </c>
      <c r="AE71" s="169">
        <f>IF(AE11=$R32,$BD32*24,IF(AE11=$R33,$BD33*24,IF(AE11=$R34,$BD34*24,IF(AE11=$R35,$BD35*24,IF(AE11=$R36,$BD36*24,IF(AE11=$R37,$BD37*24,IF(AE11=$R38,$BD38*24,IF(AE11=$R39,$BD39*24,IF(AE11=$R40,$BD40*24,"")))))))))</f>
        <v>0</v>
      </c>
      <c r="AF71" s="169" t="str">
        <f>IF(AF11=$R32,$BD32*24,IF(AF11=$R33,$BD33*24,IF(AF11=$R34,$BD34*24,IF(AF11=$R35,$BD35*24,IF(AF11=$R36,$BD36*24,IF(AF11=$R37,$BD37*24,IF(AF11=$R38,$BD38*24,IF(AF11=$R39,$BD39*24,IF(AF11=$R40,$BD40*24,"")))))))))</f>
        <v/>
      </c>
      <c r="AG71" s="169" t="str">
        <f>IF(AG11=$R32,$BD32*24,IF(AG11=$R33,$BD33*24,IF(AG11=$R34,$BD34*24,IF(AG11=$R35,$BD35*24,IF(AG11=$R36,$BD36*24,IF(AG11=$R37,$BD37*24,IF(AG11=$R38,$BD38*24,IF(AG11=$R39,$BD39*24,IF(AG11=$R40,$BD40*24,"")))))))))</f>
        <v/>
      </c>
      <c r="AH71" s="148">
        <f>SUM(C71:AG71)</f>
        <v>0</v>
      </c>
      <c r="AI71" s="133"/>
      <c r="AJ71" s="170"/>
      <c r="AK71" s="133"/>
      <c r="AL71" s="133"/>
    </row>
    <row r="72" spans="1:77" ht="15.95" hidden="1" customHeight="1" x14ac:dyDescent="0.25">
      <c r="A72" s="153"/>
      <c r="B72" s="167" t="s">
        <v>59</v>
      </c>
      <c r="C72" s="141">
        <f t="shared" ref="C72:AG72" si="66">IF(C11="V",$C36,IF(C11="PR",$C38,0))</f>
        <v>0</v>
      </c>
      <c r="D72" s="141">
        <f t="shared" si="66"/>
        <v>0</v>
      </c>
      <c r="E72" s="141">
        <f t="shared" si="66"/>
        <v>0</v>
      </c>
      <c r="F72" s="141">
        <f t="shared" si="66"/>
        <v>0</v>
      </c>
      <c r="G72" s="141">
        <f t="shared" si="66"/>
        <v>0</v>
      </c>
      <c r="H72" s="141">
        <f t="shared" si="66"/>
        <v>0</v>
      </c>
      <c r="I72" s="141">
        <f t="shared" si="66"/>
        <v>0</v>
      </c>
      <c r="J72" s="141">
        <f t="shared" si="66"/>
        <v>0</v>
      </c>
      <c r="K72" s="141">
        <f t="shared" si="66"/>
        <v>0</v>
      </c>
      <c r="L72" s="141">
        <f t="shared" si="66"/>
        <v>0</v>
      </c>
      <c r="M72" s="141">
        <f t="shared" si="66"/>
        <v>0</v>
      </c>
      <c r="N72" s="141">
        <f t="shared" si="66"/>
        <v>0</v>
      </c>
      <c r="O72" s="141">
        <f t="shared" si="66"/>
        <v>0</v>
      </c>
      <c r="P72" s="141">
        <f t="shared" si="66"/>
        <v>0</v>
      </c>
      <c r="Q72" s="141">
        <f t="shared" si="66"/>
        <v>0</v>
      </c>
      <c r="R72" s="141">
        <f t="shared" si="66"/>
        <v>0</v>
      </c>
      <c r="S72" s="141">
        <f t="shared" si="66"/>
        <v>0</v>
      </c>
      <c r="T72" s="141">
        <f t="shared" si="66"/>
        <v>0</v>
      </c>
      <c r="U72" s="141">
        <f t="shared" si="66"/>
        <v>0</v>
      </c>
      <c r="V72" s="141">
        <f t="shared" si="66"/>
        <v>0</v>
      </c>
      <c r="W72" s="141">
        <f t="shared" si="66"/>
        <v>0</v>
      </c>
      <c r="X72" s="141">
        <f t="shared" si="66"/>
        <v>0</v>
      </c>
      <c r="Y72" s="141">
        <f t="shared" si="66"/>
        <v>0</v>
      </c>
      <c r="Z72" s="141">
        <f t="shared" si="66"/>
        <v>0</v>
      </c>
      <c r="AA72" s="141">
        <f t="shared" si="66"/>
        <v>0</v>
      </c>
      <c r="AB72" s="141">
        <f t="shared" si="66"/>
        <v>0</v>
      </c>
      <c r="AC72" s="141">
        <f t="shared" si="66"/>
        <v>0</v>
      </c>
      <c r="AD72" s="141">
        <f t="shared" si="66"/>
        <v>0</v>
      </c>
      <c r="AE72" s="141">
        <f t="shared" si="66"/>
        <v>0</v>
      </c>
      <c r="AF72" s="141">
        <f t="shared" si="66"/>
        <v>0</v>
      </c>
      <c r="AG72" s="141">
        <f t="shared" si="66"/>
        <v>0</v>
      </c>
      <c r="AH72" s="226">
        <f>SUM(C72:AG72)</f>
        <v>0</v>
      </c>
      <c r="AI72" s="226"/>
      <c r="AJ72" s="170" t="s">
        <v>12</v>
      </c>
      <c r="AK72" s="133"/>
      <c r="AL72" s="133"/>
    </row>
    <row r="73" spans="1:77" ht="15.95" hidden="1" customHeight="1" x14ac:dyDescent="0.25">
      <c r="A73" s="150" t="s">
        <v>60</v>
      </c>
      <c r="B73" s="167" t="s">
        <v>61</v>
      </c>
      <c r="C73" s="151">
        <f t="shared" ref="C73:AD73" si="67">IF(C11=$R32,$BC32,IF(C11=$R33,$BC33,IF(C11=$R34,$BC34,IF(C11=$R35,$BC35,IF(C11=$R36,$BC36,IF(C11=$R37,$BC37,IF(C11=$R38,$BC38,IF(C11=$R39,$BC39,IF(C11=$R40,$BC40,0)))))))))</f>
        <v>11.999999999999998</v>
      </c>
      <c r="D73" s="151">
        <f t="shared" si="67"/>
        <v>0</v>
      </c>
      <c r="E73" s="151">
        <f t="shared" si="67"/>
        <v>0</v>
      </c>
      <c r="F73" s="151">
        <f t="shared" si="67"/>
        <v>0</v>
      </c>
      <c r="G73" s="151">
        <f t="shared" si="67"/>
        <v>11.999999999999998</v>
      </c>
      <c r="H73" s="151">
        <f t="shared" si="67"/>
        <v>11.999999999999998</v>
      </c>
      <c r="I73" s="151">
        <f t="shared" si="67"/>
        <v>11.999999999999998</v>
      </c>
      <c r="J73" s="151">
        <f t="shared" si="67"/>
        <v>0</v>
      </c>
      <c r="K73" s="151">
        <f t="shared" si="67"/>
        <v>11.999999999999998</v>
      </c>
      <c r="L73" s="151">
        <f t="shared" si="67"/>
        <v>11.999999999999998</v>
      </c>
      <c r="M73" s="151">
        <f t="shared" si="67"/>
        <v>11.999999999999998</v>
      </c>
      <c r="N73" s="151">
        <f t="shared" si="67"/>
        <v>11.999999999999998</v>
      </c>
      <c r="O73" s="151">
        <f t="shared" si="67"/>
        <v>11.999999999999998</v>
      </c>
      <c r="P73" s="151">
        <f t="shared" si="67"/>
        <v>11.999999999999998</v>
      </c>
      <c r="Q73" s="151">
        <f t="shared" si="67"/>
        <v>11.999999999999998</v>
      </c>
      <c r="R73" s="151">
        <f t="shared" si="67"/>
        <v>0</v>
      </c>
      <c r="S73" s="151">
        <f t="shared" si="67"/>
        <v>0</v>
      </c>
      <c r="T73" s="151">
        <f t="shared" si="67"/>
        <v>0</v>
      </c>
      <c r="U73" s="151">
        <f t="shared" si="67"/>
        <v>11.999999999999998</v>
      </c>
      <c r="V73" s="151">
        <f t="shared" si="67"/>
        <v>11.999999999999998</v>
      </c>
      <c r="W73" s="151">
        <f t="shared" si="67"/>
        <v>0</v>
      </c>
      <c r="X73" s="151">
        <f t="shared" si="67"/>
        <v>0</v>
      </c>
      <c r="Y73" s="151">
        <f t="shared" si="67"/>
        <v>11.999999999999998</v>
      </c>
      <c r="Z73" s="151">
        <f t="shared" si="67"/>
        <v>11.999999999999998</v>
      </c>
      <c r="AA73" s="151">
        <f t="shared" si="67"/>
        <v>11.999999999999998</v>
      </c>
      <c r="AB73" s="151">
        <f t="shared" si="67"/>
        <v>0</v>
      </c>
      <c r="AC73" s="151">
        <f t="shared" si="67"/>
        <v>0</v>
      </c>
      <c r="AD73" s="151">
        <f t="shared" si="67"/>
        <v>11.999999999999998</v>
      </c>
      <c r="AE73" s="151">
        <f>IF(AE11=$R32,$BC32,IF(AE11=$R33,$BC33,IF(AE11=$R34,$BC34,IF(AE11=$R35,$BC35,IF(AE11=$R36,$BC36,IF(AE11=$R37,$BC37,IF(AE11=$R38,$BC38,IF(AE11=$R39,$BC39,IF(AE11=$R40,$BC40,0)))))))))</f>
        <v>11.999999999999998</v>
      </c>
      <c r="AF73" s="151">
        <f>IF(AF11=$R32,$BC32,IF(AF11=$R33,$BC33,IF(AF11=$R34,$BC34,IF(AF11=$R35,$BC35,IF(AF11=$R36,$BC36,IF(AF11=$R37,$BC37,IF(AF11=$R38,$BC38,IF(AF11=$R39,$BC39,IF(AF11=$R40,$BC40,0)))))))))</f>
        <v>0</v>
      </c>
      <c r="AG73" s="151">
        <f>IF(AG11=$R32,$BC32,IF(AG11=$R33,$BC33,IF(AG11=$R34,$BC34,IF(AG11=$R35,$BC35,IF(AG11=$R36,$BC36,IF(AG11=$R37,$BC37,IF(AG11=$R38,$BC38,IF(AG11=$R39,$BC39,IF(AG11=$R40,$BC40,0)))))))))</f>
        <v>0</v>
      </c>
      <c r="AH73" s="226">
        <f>SUM(C73:AG73)</f>
        <v>215.99999999999997</v>
      </c>
      <c r="AI73" s="226"/>
      <c r="AJ73" s="175" t="s">
        <v>62</v>
      </c>
      <c r="AK73" s="133" t="s">
        <v>12</v>
      </c>
      <c r="AL73" s="133"/>
    </row>
    <row r="74" spans="1:77" ht="15.95" hidden="1" customHeight="1" x14ac:dyDescent="0.25">
      <c r="A74" s="153" t="s">
        <v>48</v>
      </c>
      <c r="B74" s="149" t="s">
        <v>63</v>
      </c>
      <c r="C74" s="141" t="b">
        <f t="shared" ref="C74:AG74" si="68">IF(C46=1,IF(C69&lt;C70,C73,0))</f>
        <v>0</v>
      </c>
      <c r="D74" s="141" t="b">
        <f t="shared" si="68"/>
        <v>0</v>
      </c>
      <c r="E74" s="141">
        <f t="shared" si="68"/>
        <v>0</v>
      </c>
      <c r="F74" s="141">
        <f t="shared" si="68"/>
        <v>0</v>
      </c>
      <c r="G74" s="141" t="b">
        <f t="shared" si="68"/>
        <v>0</v>
      </c>
      <c r="H74" s="141" t="b">
        <f t="shared" si="68"/>
        <v>0</v>
      </c>
      <c r="I74" s="141" t="b">
        <f t="shared" si="68"/>
        <v>0</v>
      </c>
      <c r="J74" s="141" t="b">
        <f t="shared" si="68"/>
        <v>0</v>
      </c>
      <c r="K74" s="141" t="b">
        <f t="shared" si="68"/>
        <v>0</v>
      </c>
      <c r="L74" s="141">
        <f t="shared" si="68"/>
        <v>11.999999999999998</v>
      </c>
      <c r="M74" s="141">
        <f t="shared" si="68"/>
        <v>11.999999999999998</v>
      </c>
      <c r="N74" s="141" t="b">
        <f t="shared" si="68"/>
        <v>0</v>
      </c>
      <c r="O74" s="141" t="b">
        <f t="shared" si="68"/>
        <v>0</v>
      </c>
      <c r="P74" s="141" t="b">
        <f t="shared" si="68"/>
        <v>0</v>
      </c>
      <c r="Q74" s="141" t="b">
        <f t="shared" si="68"/>
        <v>0</v>
      </c>
      <c r="R74" s="141" t="b">
        <f t="shared" si="68"/>
        <v>0</v>
      </c>
      <c r="S74" s="141">
        <f t="shared" si="68"/>
        <v>0</v>
      </c>
      <c r="T74" s="141">
        <f t="shared" si="68"/>
        <v>0</v>
      </c>
      <c r="U74" s="141" t="b">
        <f t="shared" si="68"/>
        <v>0</v>
      </c>
      <c r="V74" s="141" t="b">
        <f t="shared" si="68"/>
        <v>0</v>
      </c>
      <c r="W74" s="141" t="b">
        <f t="shared" si="68"/>
        <v>0</v>
      </c>
      <c r="X74" s="141" t="b">
        <f t="shared" si="68"/>
        <v>0</v>
      </c>
      <c r="Y74" s="141" t="b">
        <f t="shared" si="68"/>
        <v>0</v>
      </c>
      <c r="Z74" s="141">
        <f t="shared" si="68"/>
        <v>11.999999999999998</v>
      </c>
      <c r="AA74" s="141">
        <f t="shared" si="68"/>
        <v>11.999999999999998</v>
      </c>
      <c r="AB74" s="141" t="b">
        <f t="shared" si="68"/>
        <v>0</v>
      </c>
      <c r="AC74" s="141" t="b">
        <f t="shared" si="68"/>
        <v>0</v>
      </c>
      <c r="AD74" s="141" t="b">
        <f t="shared" si="68"/>
        <v>0</v>
      </c>
      <c r="AE74" s="141" t="b">
        <f t="shared" si="68"/>
        <v>0</v>
      </c>
      <c r="AF74" s="141" t="b">
        <f t="shared" si="68"/>
        <v>0</v>
      </c>
      <c r="AG74" s="141">
        <f t="shared" si="68"/>
        <v>0</v>
      </c>
      <c r="AH74" s="154" t="s">
        <v>12</v>
      </c>
      <c r="AI74" s="133"/>
      <c r="AJ74" s="170"/>
      <c r="AK74" s="133"/>
      <c r="AL74" s="133"/>
    </row>
    <row r="75" spans="1:77" ht="15.95" hidden="1" customHeight="1" x14ac:dyDescent="0.25">
      <c r="A75" s="176"/>
      <c r="B75" s="149" t="s">
        <v>64</v>
      </c>
      <c r="C75" s="141">
        <f t="shared" ref="C75:AG75" si="69">IF(C46=1,IF(C69&gt;C70,24-C69,0),0)</f>
        <v>0</v>
      </c>
      <c r="D75" s="141">
        <f t="shared" si="69"/>
        <v>0</v>
      </c>
      <c r="E75" s="141">
        <f t="shared" si="69"/>
        <v>0</v>
      </c>
      <c r="F75" s="141">
        <f t="shared" si="69"/>
        <v>0</v>
      </c>
      <c r="G75" s="141">
        <f t="shared" si="69"/>
        <v>0</v>
      </c>
      <c r="H75" s="141">
        <f t="shared" si="69"/>
        <v>0</v>
      </c>
      <c r="I75" s="141">
        <f t="shared" si="69"/>
        <v>0</v>
      </c>
      <c r="J75" s="141">
        <f t="shared" si="69"/>
        <v>0</v>
      </c>
      <c r="K75" s="141">
        <f t="shared" si="69"/>
        <v>0</v>
      </c>
      <c r="L75" s="141">
        <f t="shared" si="69"/>
        <v>0</v>
      </c>
      <c r="M75" s="141">
        <f t="shared" si="69"/>
        <v>0</v>
      </c>
      <c r="N75" s="141">
        <f t="shared" si="69"/>
        <v>0</v>
      </c>
      <c r="O75" s="141">
        <f t="shared" si="69"/>
        <v>0</v>
      </c>
      <c r="P75" s="141">
        <f t="shared" si="69"/>
        <v>0</v>
      </c>
      <c r="Q75" s="141">
        <f t="shared" si="69"/>
        <v>0</v>
      </c>
      <c r="R75" s="141">
        <f t="shared" si="69"/>
        <v>0</v>
      </c>
      <c r="S75" s="141">
        <f t="shared" si="69"/>
        <v>0</v>
      </c>
      <c r="T75" s="141">
        <f t="shared" si="69"/>
        <v>0</v>
      </c>
      <c r="U75" s="141">
        <f t="shared" si="69"/>
        <v>0</v>
      </c>
      <c r="V75" s="141">
        <f t="shared" si="69"/>
        <v>0</v>
      </c>
      <c r="W75" s="141">
        <f t="shared" si="69"/>
        <v>0</v>
      </c>
      <c r="X75" s="141">
        <f t="shared" si="69"/>
        <v>0</v>
      </c>
      <c r="Y75" s="141">
        <f t="shared" si="69"/>
        <v>0</v>
      </c>
      <c r="Z75" s="141">
        <f t="shared" si="69"/>
        <v>0</v>
      </c>
      <c r="AA75" s="141">
        <f t="shared" si="69"/>
        <v>0</v>
      </c>
      <c r="AB75" s="141">
        <f t="shared" si="69"/>
        <v>0</v>
      </c>
      <c r="AC75" s="141">
        <f t="shared" si="69"/>
        <v>0</v>
      </c>
      <c r="AD75" s="141">
        <f t="shared" si="69"/>
        <v>0</v>
      </c>
      <c r="AE75" s="141">
        <f t="shared" si="69"/>
        <v>0</v>
      </c>
      <c r="AF75" s="141">
        <f t="shared" si="69"/>
        <v>0</v>
      </c>
      <c r="AG75" s="141">
        <f t="shared" si="69"/>
        <v>0</v>
      </c>
      <c r="AH75" s="154" t="s">
        <v>12</v>
      </c>
      <c r="AI75" s="133"/>
      <c r="AJ75" s="170"/>
      <c r="AK75" s="133"/>
      <c r="AL75" s="133"/>
    </row>
    <row r="76" spans="1:77" ht="15.95" hidden="1" customHeight="1" x14ac:dyDescent="0.25">
      <c r="A76" s="176"/>
      <c r="B76" s="149" t="s">
        <v>65</v>
      </c>
      <c r="C76" s="141">
        <f t="shared" ref="C76:AG76" si="70">IF(D46=1,IF(C69&gt;C70,C70,0),0)</f>
        <v>0</v>
      </c>
      <c r="D76" s="141">
        <f t="shared" si="70"/>
        <v>0</v>
      </c>
      <c r="E76" s="141">
        <f t="shared" si="70"/>
        <v>0</v>
      </c>
      <c r="F76" s="141">
        <f t="shared" si="70"/>
        <v>0</v>
      </c>
      <c r="G76" s="141">
        <f t="shared" si="70"/>
        <v>0</v>
      </c>
      <c r="H76" s="141">
        <f t="shared" si="70"/>
        <v>0</v>
      </c>
      <c r="I76" s="141">
        <f t="shared" si="70"/>
        <v>0</v>
      </c>
      <c r="J76" s="141">
        <f t="shared" si="70"/>
        <v>0</v>
      </c>
      <c r="K76" s="141">
        <f t="shared" si="70"/>
        <v>0</v>
      </c>
      <c r="L76" s="141">
        <f t="shared" si="70"/>
        <v>0</v>
      </c>
      <c r="M76" s="141">
        <f t="shared" si="70"/>
        <v>0</v>
      </c>
      <c r="N76" s="141">
        <f t="shared" si="70"/>
        <v>0</v>
      </c>
      <c r="O76" s="141">
        <f t="shared" si="70"/>
        <v>0</v>
      </c>
      <c r="P76" s="141">
        <f t="shared" si="70"/>
        <v>0</v>
      </c>
      <c r="Q76" s="141">
        <f t="shared" si="70"/>
        <v>0</v>
      </c>
      <c r="R76" s="141">
        <f t="shared" si="70"/>
        <v>0</v>
      </c>
      <c r="S76" s="141">
        <f t="shared" si="70"/>
        <v>0</v>
      </c>
      <c r="T76" s="141">
        <f t="shared" si="70"/>
        <v>0</v>
      </c>
      <c r="U76" s="141">
        <f t="shared" si="70"/>
        <v>0</v>
      </c>
      <c r="V76" s="141">
        <f t="shared" si="70"/>
        <v>0</v>
      </c>
      <c r="W76" s="141">
        <f t="shared" si="70"/>
        <v>0</v>
      </c>
      <c r="X76" s="141">
        <f>IF(Y46=1,IF(X69&gt;X70,X70,0),0)</f>
        <v>0</v>
      </c>
      <c r="Y76" s="141">
        <f t="shared" si="70"/>
        <v>0</v>
      </c>
      <c r="Z76" s="141">
        <f t="shared" si="70"/>
        <v>0</v>
      </c>
      <c r="AA76" s="141">
        <f t="shared" si="70"/>
        <v>0</v>
      </c>
      <c r="AB76" s="141">
        <f t="shared" si="70"/>
        <v>0</v>
      </c>
      <c r="AC76" s="141">
        <f t="shared" si="70"/>
        <v>0</v>
      </c>
      <c r="AD76" s="141">
        <f t="shared" si="70"/>
        <v>0</v>
      </c>
      <c r="AE76" s="141">
        <f t="shared" si="70"/>
        <v>0</v>
      </c>
      <c r="AF76" s="141">
        <f t="shared" si="70"/>
        <v>0</v>
      </c>
      <c r="AG76" s="141">
        <f t="shared" si="70"/>
        <v>0</v>
      </c>
      <c r="AH76" s="154" t="s">
        <v>12</v>
      </c>
      <c r="AI76" s="133"/>
      <c r="AJ76" s="170"/>
      <c r="AK76" s="133"/>
      <c r="AL76" s="133"/>
    </row>
    <row r="77" spans="1:77" ht="15.95" hidden="1" customHeight="1" x14ac:dyDescent="0.25">
      <c r="A77" s="176"/>
      <c r="B77" s="149" t="s">
        <v>67</v>
      </c>
      <c r="C77" s="171">
        <f t="shared" ref="C77:AG77" si="71">SUM(C74:C76)</f>
        <v>0</v>
      </c>
      <c r="D77" s="171">
        <f t="shared" si="71"/>
        <v>0</v>
      </c>
      <c r="E77" s="171">
        <f t="shared" si="71"/>
        <v>0</v>
      </c>
      <c r="F77" s="171">
        <f t="shared" si="71"/>
        <v>0</v>
      </c>
      <c r="G77" s="171">
        <f t="shared" si="71"/>
        <v>0</v>
      </c>
      <c r="H77" s="171">
        <f t="shared" si="71"/>
        <v>0</v>
      </c>
      <c r="I77" s="171">
        <f t="shared" si="71"/>
        <v>0</v>
      </c>
      <c r="J77" s="171">
        <f t="shared" si="71"/>
        <v>0</v>
      </c>
      <c r="K77" s="171">
        <f t="shared" si="71"/>
        <v>0</v>
      </c>
      <c r="L77" s="171">
        <f t="shared" si="71"/>
        <v>11.999999999999998</v>
      </c>
      <c r="M77" s="171">
        <f t="shared" si="71"/>
        <v>11.999999999999998</v>
      </c>
      <c r="N77" s="171">
        <f t="shared" si="71"/>
        <v>0</v>
      </c>
      <c r="O77" s="171">
        <f t="shared" si="71"/>
        <v>0</v>
      </c>
      <c r="P77" s="171">
        <f t="shared" si="71"/>
        <v>0</v>
      </c>
      <c r="Q77" s="171">
        <f t="shared" si="71"/>
        <v>0</v>
      </c>
      <c r="R77" s="171">
        <f t="shared" si="71"/>
        <v>0</v>
      </c>
      <c r="S77" s="171">
        <f t="shared" si="71"/>
        <v>0</v>
      </c>
      <c r="T77" s="171">
        <f t="shared" si="71"/>
        <v>0</v>
      </c>
      <c r="U77" s="171">
        <f t="shared" si="71"/>
        <v>0</v>
      </c>
      <c r="V77" s="171">
        <f t="shared" si="71"/>
        <v>0</v>
      </c>
      <c r="W77" s="171">
        <f t="shared" si="71"/>
        <v>0</v>
      </c>
      <c r="X77" s="171">
        <f t="shared" si="71"/>
        <v>0</v>
      </c>
      <c r="Y77" s="171">
        <f t="shared" si="71"/>
        <v>0</v>
      </c>
      <c r="Z77" s="171">
        <f t="shared" si="71"/>
        <v>11.999999999999998</v>
      </c>
      <c r="AA77" s="171">
        <f t="shared" si="71"/>
        <v>11.999999999999998</v>
      </c>
      <c r="AB77" s="171">
        <f t="shared" si="71"/>
        <v>0</v>
      </c>
      <c r="AC77" s="171">
        <f t="shared" si="71"/>
        <v>0</v>
      </c>
      <c r="AD77" s="171">
        <f t="shared" si="71"/>
        <v>0</v>
      </c>
      <c r="AE77" s="171">
        <f t="shared" si="71"/>
        <v>0</v>
      </c>
      <c r="AF77" s="171">
        <f t="shared" si="71"/>
        <v>0</v>
      </c>
      <c r="AG77" s="171">
        <f t="shared" si="71"/>
        <v>0</v>
      </c>
      <c r="AH77" s="154" t="s">
        <v>12</v>
      </c>
      <c r="AI77" s="133"/>
      <c r="AJ77" s="170"/>
      <c r="AK77" s="133"/>
      <c r="AL77" s="133"/>
    </row>
    <row r="78" spans="1:77" ht="15.95" hidden="1" customHeight="1" x14ac:dyDescent="0.25">
      <c r="A78" s="177"/>
      <c r="B78" s="160" t="s">
        <v>68</v>
      </c>
      <c r="C78" s="161">
        <f t="shared" ref="C78:AG78" si="72">IF(C11="V",IF(C11="",0,1),0)</f>
        <v>0</v>
      </c>
      <c r="D78" s="161">
        <f t="shared" si="72"/>
        <v>0</v>
      </c>
      <c r="E78" s="161">
        <f t="shared" si="72"/>
        <v>0</v>
      </c>
      <c r="F78" s="161">
        <f t="shared" si="72"/>
        <v>0</v>
      </c>
      <c r="G78" s="161">
        <f t="shared" si="72"/>
        <v>0</v>
      </c>
      <c r="H78" s="161">
        <f t="shared" si="72"/>
        <v>0</v>
      </c>
      <c r="I78" s="161">
        <f t="shared" si="72"/>
        <v>0</v>
      </c>
      <c r="J78" s="161">
        <f t="shared" si="72"/>
        <v>0</v>
      </c>
      <c r="K78" s="161">
        <f t="shared" si="72"/>
        <v>0</v>
      </c>
      <c r="L78" s="161">
        <f t="shared" si="72"/>
        <v>0</v>
      </c>
      <c r="M78" s="161">
        <f t="shared" si="72"/>
        <v>0</v>
      </c>
      <c r="N78" s="161">
        <f t="shared" si="72"/>
        <v>0</v>
      </c>
      <c r="O78" s="161">
        <f t="shared" si="72"/>
        <v>0</v>
      </c>
      <c r="P78" s="161">
        <f t="shared" si="72"/>
        <v>0</v>
      </c>
      <c r="Q78" s="161">
        <f t="shared" si="72"/>
        <v>0</v>
      </c>
      <c r="R78" s="161">
        <f t="shared" si="72"/>
        <v>0</v>
      </c>
      <c r="S78" s="161">
        <f t="shared" si="72"/>
        <v>0</v>
      </c>
      <c r="T78" s="161">
        <f t="shared" si="72"/>
        <v>0</v>
      </c>
      <c r="U78" s="161">
        <f t="shared" si="72"/>
        <v>0</v>
      </c>
      <c r="V78" s="161">
        <f t="shared" si="72"/>
        <v>0</v>
      </c>
      <c r="W78" s="161">
        <f t="shared" si="72"/>
        <v>0</v>
      </c>
      <c r="X78" s="161">
        <f t="shared" si="72"/>
        <v>0</v>
      </c>
      <c r="Y78" s="161">
        <f t="shared" si="72"/>
        <v>0</v>
      </c>
      <c r="Z78" s="161">
        <f t="shared" si="72"/>
        <v>0</v>
      </c>
      <c r="AA78" s="161">
        <f t="shared" si="72"/>
        <v>0</v>
      </c>
      <c r="AB78" s="161">
        <f t="shared" si="72"/>
        <v>0</v>
      </c>
      <c r="AC78" s="161">
        <f t="shared" si="72"/>
        <v>0</v>
      </c>
      <c r="AD78" s="161">
        <f t="shared" si="72"/>
        <v>0</v>
      </c>
      <c r="AE78" s="161">
        <f t="shared" si="72"/>
        <v>0</v>
      </c>
      <c r="AF78" s="161">
        <f t="shared" si="72"/>
        <v>0</v>
      </c>
      <c r="AG78" s="161">
        <f t="shared" si="72"/>
        <v>0</v>
      </c>
      <c r="AH78" s="154" t="s">
        <v>12</v>
      </c>
      <c r="AI78" s="133"/>
      <c r="AJ78" s="170"/>
      <c r="AK78" s="133"/>
      <c r="AL78" s="133"/>
    </row>
    <row r="79" spans="1:77" ht="15.95" hidden="1" customHeight="1" x14ac:dyDescent="0.25">
      <c r="A79" s="173"/>
      <c r="B79" s="130" t="s">
        <v>16</v>
      </c>
      <c r="C79" s="163">
        <f t="shared" ref="C79:AG79" si="73">IF(C11="PR",IF(C11="",0,1),0)</f>
        <v>0</v>
      </c>
      <c r="D79" s="163">
        <f t="shared" si="73"/>
        <v>0</v>
      </c>
      <c r="E79" s="163">
        <f t="shared" si="73"/>
        <v>0</v>
      </c>
      <c r="F79" s="163">
        <f t="shared" si="73"/>
        <v>0</v>
      </c>
      <c r="G79" s="163">
        <f t="shared" si="73"/>
        <v>0</v>
      </c>
      <c r="H79" s="163">
        <f t="shared" si="73"/>
        <v>0</v>
      </c>
      <c r="I79" s="163">
        <f t="shared" si="73"/>
        <v>0</v>
      </c>
      <c r="J79" s="163">
        <f t="shared" si="73"/>
        <v>0</v>
      </c>
      <c r="K79" s="163">
        <f t="shared" si="73"/>
        <v>0</v>
      </c>
      <c r="L79" s="163">
        <f t="shared" si="73"/>
        <v>0</v>
      </c>
      <c r="M79" s="163">
        <f t="shared" si="73"/>
        <v>0</v>
      </c>
      <c r="N79" s="163">
        <f t="shared" si="73"/>
        <v>0</v>
      </c>
      <c r="O79" s="163">
        <f t="shared" si="73"/>
        <v>0</v>
      </c>
      <c r="P79" s="163">
        <f t="shared" si="73"/>
        <v>0</v>
      </c>
      <c r="Q79" s="163">
        <f t="shared" si="73"/>
        <v>0</v>
      </c>
      <c r="R79" s="163">
        <f t="shared" si="73"/>
        <v>0</v>
      </c>
      <c r="S79" s="163">
        <f t="shared" si="73"/>
        <v>0</v>
      </c>
      <c r="T79" s="163">
        <f t="shared" si="73"/>
        <v>0</v>
      </c>
      <c r="U79" s="163">
        <f t="shared" si="73"/>
        <v>0</v>
      </c>
      <c r="V79" s="163">
        <f t="shared" si="73"/>
        <v>0</v>
      </c>
      <c r="W79" s="163">
        <f t="shared" si="73"/>
        <v>0</v>
      </c>
      <c r="X79" s="163">
        <f t="shared" si="73"/>
        <v>0</v>
      </c>
      <c r="Y79" s="163">
        <f t="shared" si="73"/>
        <v>0</v>
      </c>
      <c r="Z79" s="163">
        <f t="shared" si="73"/>
        <v>0</v>
      </c>
      <c r="AA79" s="163">
        <f t="shared" si="73"/>
        <v>0</v>
      </c>
      <c r="AB79" s="163">
        <f t="shared" si="73"/>
        <v>0</v>
      </c>
      <c r="AC79" s="163">
        <f t="shared" si="73"/>
        <v>0</v>
      </c>
      <c r="AD79" s="163">
        <f t="shared" si="73"/>
        <v>0</v>
      </c>
      <c r="AE79" s="163">
        <f t="shared" si="73"/>
        <v>0</v>
      </c>
      <c r="AF79" s="163">
        <f t="shared" si="73"/>
        <v>0</v>
      </c>
      <c r="AG79" s="163">
        <f t="shared" si="73"/>
        <v>0</v>
      </c>
      <c r="AH79" s="229">
        <f>SUM(C79:AG79)</f>
        <v>0</v>
      </c>
      <c r="AI79" s="229"/>
      <c r="AJ79" s="174" t="s">
        <v>69</v>
      </c>
      <c r="AK79" s="133"/>
      <c r="AL79" s="133"/>
    </row>
    <row r="80" spans="1:77" ht="15.95" hidden="1" customHeight="1" x14ac:dyDescent="0.25">
      <c r="A80" s="164" t="s">
        <v>75</v>
      </c>
      <c r="B80" s="165" t="s">
        <v>29</v>
      </c>
      <c r="C80" s="141">
        <f t="shared" ref="C80:AG80" si="74">IF(C12=$R32,$S32*24,IF(C12=$R33,$S33*24,IF(C12=$R34,$S34*24,IF(C12=$R35,$S35*24,IF(C12=$R36,$S36*24,IF(C12=$R37,$S37*24,IF(C12=$R38,$S38*24,IF(C12=$R39,$S39*24,IF(C12=$R40,$S40*24,"")))))))))</f>
        <v>19</v>
      </c>
      <c r="D80" s="141" t="str">
        <f t="shared" si="74"/>
        <v/>
      </c>
      <c r="E80" s="141" t="str">
        <f t="shared" si="74"/>
        <v/>
      </c>
      <c r="F80" s="141" t="str">
        <f t="shared" si="74"/>
        <v/>
      </c>
      <c r="G80" s="141">
        <f t="shared" si="74"/>
        <v>19</v>
      </c>
      <c r="H80" s="141">
        <f t="shared" si="74"/>
        <v>19</v>
      </c>
      <c r="I80" s="141">
        <f t="shared" si="74"/>
        <v>22</v>
      </c>
      <c r="J80" s="141" t="str">
        <f t="shared" si="74"/>
        <v/>
      </c>
      <c r="K80" s="141">
        <f t="shared" si="74"/>
        <v>22</v>
      </c>
      <c r="L80" s="141">
        <f t="shared" si="74"/>
        <v>22</v>
      </c>
      <c r="M80" s="141">
        <f t="shared" si="74"/>
        <v>22</v>
      </c>
      <c r="N80" s="141" t="str">
        <f t="shared" si="74"/>
        <v/>
      </c>
      <c r="O80" s="141" t="str">
        <f t="shared" si="74"/>
        <v/>
      </c>
      <c r="P80" s="141">
        <f t="shared" si="74"/>
        <v>19</v>
      </c>
      <c r="Q80" s="141">
        <f t="shared" si="74"/>
        <v>19</v>
      </c>
      <c r="R80" s="141" t="str">
        <f t="shared" si="74"/>
        <v/>
      </c>
      <c r="S80" s="141" t="str">
        <f t="shared" si="74"/>
        <v/>
      </c>
      <c r="T80" s="141" t="str">
        <f t="shared" si="74"/>
        <v/>
      </c>
      <c r="U80" s="141">
        <f t="shared" si="74"/>
        <v>19</v>
      </c>
      <c r="V80" s="141">
        <f t="shared" si="74"/>
        <v>19</v>
      </c>
      <c r="W80" s="141" t="str">
        <f t="shared" si="74"/>
        <v/>
      </c>
      <c r="X80" s="141" t="str">
        <f t="shared" si="74"/>
        <v/>
      </c>
      <c r="Y80" s="141">
        <f t="shared" si="74"/>
        <v>22</v>
      </c>
      <c r="Z80" s="141">
        <f t="shared" si="74"/>
        <v>22</v>
      </c>
      <c r="AA80" s="141">
        <f t="shared" si="74"/>
        <v>22</v>
      </c>
      <c r="AB80" s="141">
        <f t="shared" si="74"/>
        <v>22</v>
      </c>
      <c r="AC80" s="141" t="str">
        <f t="shared" si="74"/>
        <v/>
      </c>
      <c r="AD80" s="141">
        <f t="shared" si="74"/>
        <v>19</v>
      </c>
      <c r="AE80" s="141">
        <f t="shared" si="74"/>
        <v>19</v>
      </c>
      <c r="AF80" s="141" t="str">
        <f t="shared" si="74"/>
        <v/>
      </c>
      <c r="AG80" s="141" t="str">
        <f t="shared" si="74"/>
        <v/>
      </c>
      <c r="AH80" s="154" t="s">
        <v>12</v>
      </c>
      <c r="AI80" s="133"/>
      <c r="AJ80" s="170"/>
      <c r="AK80" s="133"/>
      <c r="AL80" s="133"/>
    </row>
    <row r="81" spans="1:38" ht="15.95" hidden="1" customHeight="1" x14ac:dyDescent="0.25">
      <c r="A81" s="166" t="s">
        <v>76</v>
      </c>
      <c r="B81" s="167" t="s">
        <v>30</v>
      </c>
      <c r="C81" s="141">
        <f t="shared" ref="C81:AG81" si="75">IF(C12=$R32,$V32*24,IF(C12=$R33,$V33*24,IF(C12=$R34,$V34*24,IF(C12=$R35,$V35*24,IF(C12=$R36,$V36*24,IF(C12=$R37,$V37*24,IF(C12=$R38,$V38*24,IF(C12=$R39,$V39*24,IF(C12=$R40,$V40*24,"")))))))))</f>
        <v>7</v>
      </c>
      <c r="D81" s="141" t="str">
        <f t="shared" si="75"/>
        <v/>
      </c>
      <c r="E81" s="141" t="str">
        <f t="shared" si="75"/>
        <v/>
      </c>
      <c r="F81" s="141" t="str">
        <f t="shared" si="75"/>
        <v/>
      </c>
      <c r="G81" s="141">
        <f t="shared" si="75"/>
        <v>7</v>
      </c>
      <c r="H81" s="141">
        <f t="shared" si="75"/>
        <v>7</v>
      </c>
      <c r="I81" s="141">
        <f t="shared" si="75"/>
        <v>6</v>
      </c>
      <c r="J81" s="141" t="str">
        <f t="shared" si="75"/>
        <v/>
      </c>
      <c r="K81" s="141">
        <f t="shared" si="75"/>
        <v>6</v>
      </c>
      <c r="L81" s="141">
        <f t="shared" si="75"/>
        <v>6</v>
      </c>
      <c r="M81" s="141">
        <f t="shared" si="75"/>
        <v>6</v>
      </c>
      <c r="N81" s="141" t="str">
        <f t="shared" si="75"/>
        <v/>
      </c>
      <c r="O81" s="141" t="str">
        <f t="shared" si="75"/>
        <v/>
      </c>
      <c r="P81" s="141">
        <f t="shared" si="75"/>
        <v>7</v>
      </c>
      <c r="Q81" s="141">
        <f t="shared" si="75"/>
        <v>7</v>
      </c>
      <c r="R81" s="141" t="str">
        <f t="shared" si="75"/>
        <v/>
      </c>
      <c r="S81" s="141" t="str">
        <f t="shared" si="75"/>
        <v/>
      </c>
      <c r="T81" s="141" t="str">
        <f t="shared" si="75"/>
        <v/>
      </c>
      <c r="U81" s="141">
        <f t="shared" si="75"/>
        <v>7</v>
      </c>
      <c r="V81" s="141">
        <f t="shared" si="75"/>
        <v>7</v>
      </c>
      <c r="W81" s="141" t="str">
        <f t="shared" si="75"/>
        <v/>
      </c>
      <c r="X81" s="141" t="str">
        <f t="shared" si="75"/>
        <v/>
      </c>
      <c r="Y81" s="141">
        <f t="shared" si="75"/>
        <v>6</v>
      </c>
      <c r="Z81" s="141">
        <f t="shared" si="75"/>
        <v>6</v>
      </c>
      <c r="AA81" s="141">
        <f t="shared" si="75"/>
        <v>6</v>
      </c>
      <c r="AB81" s="141">
        <f t="shared" si="75"/>
        <v>6</v>
      </c>
      <c r="AC81" s="141" t="str">
        <f t="shared" si="75"/>
        <v/>
      </c>
      <c r="AD81" s="141">
        <f t="shared" si="75"/>
        <v>7</v>
      </c>
      <c r="AE81" s="141">
        <f t="shared" si="75"/>
        <v>7</v>
      </c>
      <c r="AF81" s="141" t="str">
        <f t="shared" si="75"/>
        <v/>
      </c>
      <c r="AG81" s="141" t="str">
        <f t="shared" si="75"/>
        <v/>
      </c>
      <c r="AH81" s="154" t="s">
        <v>12</v>
      </c>
      <c r="AI81" s="133"/>
      <c r="AJ81" s="170"/>
      <c r="AK81" s="133"/>
      <c r="AL81" s="133"/>
    </row>
    <row r="82" spans="1:38" ht="15.95" hidden="1" customHeight="1" x14ac:dyDescent="0.25">
      <c r="A82" s="153"/>
      <c r="B82" s="168" t="s">
        <v>34</v>
      </c>
      <c r="C82" s="169">
        <f t="shared" ref="C82:AD82" si="76">IF(C12=$R32,$BD32*24,IF(C12=$R33,$BD33*24,IF(C12=$R34,$BD34*24,IF(C12=$R35,$BD35*24,IF(C12=$R36,$BD36*24,IF(C12=$R37,$BD37*24,IF(C12=$R38,$BD38*24,IF(C12=$R39,$BD39*24,IF(C12=$R40,$BD40*24,"")))))))))</f>
        <v>8</v>
      </c>
      <c r="D82" s="169" t="str">
        <f t="shared" si="76"/>
        <v/>
      </c>
      <c r="E82" s="169" t="str">
        <f t="shared" si="76"/>
        <v/>
      </c>
      <c r="F82" s="169" t="str">
        <f t="shared" si="76"/>
        <v/>
      </c>
      <c r="G82" s="169">
        <f t="shared" si="76"/>
        <v>8</v>
      </c>
      <c r="H82" s="169">
        <f t="shared" si="76"/>
        <v>8</v>
      </c>
      <c r="I82" s="169">
        <f t="shared" si="76"/>
        <v>8</v>
      </c>
      <c r="J82" s="169" t="str">
        <f t="shared" si="76"/>
        <v/>
      </c>
      <c r="K82" s="169">
        <f t="shared" si="76"/>
        <v>8</v>
      </c>
      <c r="L82" s="169">
        <f t="shared" si="76"/>
        <v>8</v>
      </c>
      <c r="M82" s="169">
        <f t="shared" si="76"/>
        <v>8</v>
      </c>
      <c r="N82" s="169" t="str">
        <f t="shared" si="76"/>
        <v/>
      </c>
      <c r="O82" s="169" t="str">
        <f t="shared" si="76"/>
        <v/>
      </c>
      <c r="P82" s="169">
        <f t="shared" si="76"/>
        <v>8</v>
      </c>
      <c r="Q82" s="169">
        <f t="shared" si="76"/>
        <v>8</v>
      </c>
      <c r="R82" s="169" t="str">
        <f t="shared" si="76"/>
        <v/>
      </c>
      <c r="S82" s="169" t="str">
        <f t="shared" si="76"/>
        <v/>
      </c>
      <c r="T82" s="169" t="str">
        <f t="shared" si="76"/>
        <v/>
      </c>
      <c r="U82" s="169">
        <f t="shared" si="76"/>
        <v>8</v>
      </c>
      <c r="V82" s="169">
        <f t="shared" si="76"/>
        <v>8</v>
      </c>
      <c r="W82" s="169" t="str">
        <f t="shared" si="76"/>
        <v/>
      </c>
      <c r="X82" s="169" t="str">
        <f t="shared" si="76"/>
        <v/>
      </c>
      <c r="Y82" s="169">
        <f t="shared" si="76"/>
        <v>8</v>
      </c>
      <c r="Z82" s="169">
        <f t="shared" si="76"/>
        <v>8</v>
      </c>
      <c r="AA82" s="169">
        <f t="shared" si="76"/>
        <v>8</v>
      </c>
      <c r="AB82" s="169">
        <f t="shared" si="76"/>
        <v>8</v>
      </c>
      <c r="AC82" s="169" t="str">
        <f t="shared" si="76"/>
        <v/>
      </c>
      <c r="AD82" s="169">
        <f t="shared" si="76"/>
        <v>8</v>
      </c>
      <c r="AE82" s="169">
        <f>IF(AE12=$R32,$BD32*24,IF(AE12=$R33,$BD33*24,IF(AE12=$R34,$BD34*24,IF(AE12=$R35,$BD35*24,IF(AE12=$R36,$BD36*24,IF(AE12=$R37,$BD37*24,IF(AE12=$R38,$BD38*24,IF(AE12=$R39,$BD39*24,IF(AE12=$R40,$BD40*24,"")))))))))</f>
        <v>8</v>
      </c>
      <c r="AF82" s="169" t="str">
        <f>IF(AF12=$R32,$BD32*24,IF(AF12=$R33,$BD33*24,IF(AF12=$R34,$BD34*24,IF(AF12=$R35,$BD35*24,IF(AF12=$R36,$BD36*24,IF(AF12=$R37,$BD37*24,IF(AF12=$R38,$BD38*24,IF(AF12=$R39,$BD39*24,IF(AF12=$R40,$BD40*24,"")))))))))</f>
        <v/>
      </c>
      <c r="AG82" s="169" t="str">
        <f>IF(AG12=$R32,$BD32*24,IF(AG12=$R33,$BD33*24,IF(AG12=$R34,$BD34*24,IF(AG12=$R35,$BD35*24,IF(AG12=$R36,$BD36*24,IF(AG12=$R37,$BD37*24,IF(AG12=$R38,$BD38*24,IF(AG12=$R39,$BD39*24,IF(AG12=$R40,$BD40*24,"")))))))))</f>
        <v/>
      </c>
      <c r="AH82" s="148">
        <f>SUM(C82:AG82)</f>
        <v>136</v>
      </c>
      <c r="AI82" s="133"/>
      <c r="AJ82" s="170"/>
      <c r="AK82" s="133"/>
      <c r="AL82" s="133"/>
    </row>
    <row r="83" spans="1:38" ht="15.95" hidden="1" customHeight="1" x14ac:dyDescent="0.25">
      <c r="A83" s="153"/>
      <c r="B83" s="167" t="s">
        <v>59</v>
      </c>
      <c r="C83" s="141">
        <f t="shared" ref="C83:AG83" si="77">IF(C12="V",$C36,IF(C12="PR",$C38,0))</f>
        <v>0</v>
      </c>
      <c r="D83" s="141">
        <f t="shared" si="77"/>
        <v>0</v>
      </c>
      <c r="E83" s="141">
        <f t="shared" si="77"/>
        <v>0</v>
      </c>
      <c r="F83" s="141">
        <f t="shared" si="77"/>
        <v>0</v>
      </c>
      <c r="G83" s="141">
        <f t="shared" si="77"/>
        <v>0</v>
      </c>
      <c r="H83" s="141">
        <f t="shared" si="77"/>
        <v>0</v>
      </c>
      <c r="I83" s="141">
        <f t="shared" si="77"/>
        <v>0</v>
      </c>
      <c r="J83" s="141">
        <f t="shared" si="77"/>
        <v>0</v>
      </c>
      <c r="K83" s="141">
        <f t="shared" si="77"/>
        <v>0</v>
      </c>
      <c r="L83" s="141">
        <f t="shared" si="77"/>
        <v>0</v>
      </c>
      <c r="M83" s="141">
        <f t="shared" si="77"/>
        <v>0</v>
      </c>
      <c r="N83" s="141">
        <f t="shared" si="77"/>
        <v>0</v>
      </c>
      <c r="O83" s="141">
        <f t="shared" si="77"/>
        <v>0</v>
      </c>
      <c r="P83" s="141">
        <f t="shared" si="77"/>
        <v>0</v>
      </c>
      <c r="Q83" s="141">
        <f t="shared" si="77"/>
        <v>0</v>
      </c>
      <c r="R83" s="141">
        <f t="shared" si="77"/>
        <v>0</v>
      </c>
      <c r="S83" s="141">
        <f t="shared" si="77"/>
        <v>0</v>
      </c>
      <c r="T83" s="141">
        <f t="shared" si="77"/>
        <v>0</v>
      </c>
      <c r="U83" s="141">
        <f t="shared" si="77"/>
        <v>0</v>
      </c>
      <c r="V83" s="141">
        <f t="shared" si="77"/>
        <v>0</v>
      </c>
      <c r="W83" s="141">
        <f t="shared" si="77"/>
        <v>0</v>
      </c>
      <c r="X83" s="141">
        <f t="shared" si="77"/>
        <v>0</v>
      </c>
      <c r="Y83" s="141">
        <f t="shared" si="77"/>
        <v>0</v>
      </c>
      <c r="Z83" s="141">
        <f t="shared" si="77"/>
        <v>0</v>
      </c>
      <c r="AA83" s="141">
        <f t="shared" si="77"/>
        <v>0</v>
      </c>
      <c r="AB83" s="141">
        <f t="shared" si="77"/>
        <v>0</v>
      </c>
      <c r="AC83" s="141">
        <f t="shared" si="77"/>
        <v>0</v>
      </c>
      <c r="AD83" s="141">
        <f t="shared" si="77"/>
        <v>0</v>
      </c>
      <c r="AE83" s="141">
        <f t="shared" si="77"/>
        <v>0</v>
      </c>
      <c r="AF83" s="141">
        <f t="shared" si="77"/>
        <v>0</v>
      </c>
      <c r="AG83" s="141">
        <f t="shared" si="77"/>
        <v>0</v>
      </c>
      <c r="AH83" s="226">
        <f>SUM(C83:AG83)</f>
        <v>0</v>
      </c>
      <c r="AI83" s="226"/>
      <c r="AJ83" s="170" t="s">
        <v>12</v>
      </c>
      <c r="AK83" s="133"/>
      <c r="AL83" s="133"/>
    </row>
    <row r="84" spans="1:38" ht="15.95" hidden="1" customHeight="1" x14ac:dyDescent="0.25">
      <c r="A84" s="150" t="s">
        <v>60</v>
      </c>
      <c r="B84" s="167" t="s">
        <v>61</v>
      </c>
      <c r="C84" s="151">
        <f t="shared" ref="C84:AD84" si="78">IF(C12=$R32,$BC32,IF(C12=$R33,$BC33,IF(C12=$R34,$BC34,IF(C12=$R35,$BC35,IF(C12=$R36,$BC36,IF(C12=$R37,$BC37,IF(C12=$R38,$BC38,IF(C12=$R39,$BC39,IF(C12=$R40,$BC40,0)))))))))</f>
        <v>12</v>
      </c>
      <c r="D84" s="151">
        <f t="shared" si="78"/>
        <v>0</v>
      </c>
      <c r="E84" s="151">
        <f t="shared" si="78"/>
        <v>0</v>
      </c>
      <c r="F84" s="151">
        <f t="shared" si="78"/>
        <v>0</v>
      </c>
      <c r="G84" s="151">
        <f t="shared" si="78"/>
        <v>12</v>
      </c>
      <c r="H84" s="151">
        <f t="shared" si="78"/>
        <v>12</v>
      </c>
      <c r="I84" s="151">
        <f t="shared" si="78"/>
        <v>7.9999999999999716</v>
      </c>
      <c r="J84" s="151">
        <f t="shared" si="78"/>
        <v>0</v>
      </c>
      <c r="K84" s="151">
        <f t="shared" si="78"/>
        <v>7.9999999999999716</v>
      </c>
      <c r="L84" s="151">
        <f t="shared" si="78"/>
        <v>7.9999999999999716</v>
      </c>
      <c r="M84" s="151">
        <f t="shared" si="78"/>
        <v>7.9999999999999716</v>
      </c>
      <c r="N84" s="151">
        <f t="shared" si="78"/>
        <v>0</v>
      </c>
      <c r="O84" s="151">
        <f t="shared" si="78"/>
        <v>0</v>
      </c>
      <c r="P84" s="151">
        <f t="shared" si="78"/>
        <v>12</v>
      </c>
      <c r="Q84" s="151">
        <f t="shared" si="78"/>
        <v>12</v>
      </c>
      <c r="R84" s="151">
        <f t="shared" si="78"/>
        <v>0</v>
      </c>
      <c r="S84" s="151">
        <f t="shared" si="78"/>
        <v>0</v>
      </c>
      <c r="T84" s="151">
        <f t="shared" si="78"/>
        <v>0</v>
      </c>
      <c r="U84" s="151">
        <f t="shared" si="78"/>
        <v>12</v>
      </c>
      <c r="V84" s="151">
        <f t="shared" si="78"/>
        <v>12</v>
      </c>
      <c r="W84" s="151">
        <f t="shared" si="78"/>
        <v>0</v>
      </c>
      <c r="X84" s="151">
        <f t="shared" si="78"/>
        <v>0</v>
      </c>
      <c r="Y84" s="151">
        <f t="shared" si="78"/>
        <v>7.9999999999999716</v>
      </c>
      <c r="Z84" s="151">
        <f t="shared" si="78"/>
        <v>7.9999999999999716</v>
      </c>
      <c r="AA84" s="151">
        <f t="shared" si="78"/>
        <v>7.9999999999999716</v>
      </c>
      <c r="AB84" s="151">
        <f t="shared" si="78"/>
        <v>7.9999999999999716</v>
      </c>
      <c r="AC84" s="151">
        <f t="shared" si="78"/>
        <v>0</v>
      </c>
      <c r="AD84" s="151">
        <f t="shared" si="78"/>
        <v>12</v>
      </c>
      <c r="AE84" s="151">
        <f>IF(AE12=$R32,$BC32,IF(AE12=$R33,$BC33,IF(AE12=$R34,$BC34,IF(AE12=$R35,$BC35,IF(AE12=$R36,$BC36,IF(AE12=$R37,$BC37,IF(AE12=$R38,$BC38,IF(AE12=$R39,$BC39,IF(AE12=$R40,$BC40,0)))))))))</f>
        <v>12</v>
      </c>
      <c r="AF84" s="151">
        <f>IF(AF12=$R32,$BC32,IF(AF12=$R33,$BC33,IF(AF12=$R34,$BC34,IF(AF12=$R35,$BC35,IF(AF12=$R36,$BC36,IF(AF12=$R37,$BC37,IF(AF12=$R38,$BC38,IF(AF12=$R39,$BC39,IF(AF12=$R40,$BC40,0)))))))))</f>
        <v>0</v>
      </c>
      <c r="AG84" s="151">
        <f>IF(AG12=$R32,$BC32,IF(AG12=$R33,$BC33,IF(AG12=$R34,$BC34,IF(AG12=$R35,$BC35,IF(AG12=$R36,$BC36,IF(AG12=$R37,$BC37,IF(AG12=$R38,$BC38,IF(AG12=$R39,$BC39,IF(AG12=$R40,$BC40,0)))))))))</f>
        <v>0</v>
      </c>
      <c r="AH84" s="226">
        <f>SUM(C84:AG84)</f>
        <v>171.99999999999977</v>
      </c>
      <c r="AI84" s="226"/>
      <c r="AJ84" s="175" t="s">
        <v>62</v>
      </c>
      <c r="AK84" s="133" t="s">
        <v>12</v>
      </c>
      <c r="AL84" s="133"/>
    </row>
    <row r="85" spans="1:38" ht="15.95" hidden="1" customHeight="1" x14ac:dyDescent="0.25">
      <c r="A85" s="153" t="s">
        <v>48</v>
      </c>
      <c r="B85" s="149" t="s">
        <v>63</v>
      </c>
      <c r="C85" s="141" t="b">
        <f t="shared" ref="C85:AG85" si="79">IF(C46=1,IF(C80&lt;C81,C84,0))</f>
        <v>0</v>
      </c>
      <c r="D85" s="141" t="b">
        <f t="shared" si="79"/>
        <v>0</v>
      </c>
      <c r="E85" s="141">
        <f t="shared" si="79"/>
        <v>0</v>
      </c>
      <c r="F85" s="141">
        <f t="shared" si="79"/>
        <v>0</v>
      </c>
      <c r="G85" s="141" t="b">
        <f t="shared" si="79"/>
        <v>0</v>
      </c>
      <c r="H85" s="141" t="b">
        <f t="shared" si="79"/>
        <v>0</v>
      </c>
      <c r="I85" s="141" t="b">
        <f t="shared" si="79"/>
        <v>0</v>
      </c>
      <c r="J85" s="141" t="b">
        <f t="shared" si="79"/>
        <v>0</v>
      </c>
      <c r="K85" s="141" t="b">
        <f t="shared" si="79"/>
        <v>0</v>
      </c>
      <c r="L85" s="141">
        <f t="shared" si="79"/>
        <v>0</v>
      </c>
      <c r="M85" s="141">
        <f t="shared" si="79"/>
        <v>0</v>
      </c>
      <c r="N85" s="141" t="b">
        <f t="shared" si="79"/>
        <v>0</v>
      </c>
      <c r="O85" s="141" t="b">
        <f t="shared" si="79"/>
        <v>0</v>
      </c>
      <c r="P85" s="141" t="b">
        <f t="shared" si="79"/>
        <v>0</v>
      </c>
      <c r="Q85" s="141" t="b">
        <f t="shared" si="79"/>
        <v>0</v>
      </c>
      <c r="R85" s="141" t="b">
        <f t="shared" si="79"/>
        <v>0</v>
      </c>
      <c r="S85" s="141">
        <f t="shared" si="79"/>
        <v>0</v>
      </c>
      <c r="T85" s="141">
        <f t="shared" si="79"/>
        <v>0</v>
      </c>
      <c r="U85" s="141" t="b">
        <f t="shared" si="79"/>
        <v>0</v>
      </c>
      <c r="V85" s="141" t="b">
        <f t="shared" si="79"/>
        <v>0</v>
      </c>
      <c r="W85" s="141" t="b">
        <f t="shared" si="79"/>
        <v>0</v>
      </c>
      <c r="X85" s="141" t="b">
        <f t="shared" si="79"/>
        <v>0</v>
      </c>
      <c r="Y85" s="141" t="b">
        <f t="shared" si="79"/>
        <v>0</v>
      </c>
      <c r="Z85" s="141">
        <f t="shared" si="79"/>
        <v>0</v>
      </c>
      <c r="AA85" s="141">
        <f t="shared" si="79"/>
        <v>0</v>
      </c>
      <c r="AB85" s="141" t="b">
        <f t="shared" si="79"/>
        <v>0</v>
      </c>
      <c r="AC85" s="141" t="b">
        <f t="shared" si="79"/>
        <v>0</v>
      </c>
      <c r="AD85" s="141" t="b">
        <f t="shared" si="79"/>
        <v>0</v>
      </c>
      <c r="AE85" s="141" t="b">
        <f t="shared" si="79"/>
        <v>0</v>
      </c>
      <c r="AF85" s="141" t="b">
        <f t="shared" si="79"/>
        <v>0</v>
      </c>
      <c r="AG85" s="141">
        <f t="shared" si="79"/>
        <v>0</v>
      </c>
      <c r="AH85" s="154" t="s">
        <v>12</v>
      </c>
      <c r="AI85" s="133"/>
      <c r="AJ85" s="170"/>
      <c r="AK85" s="133"/>
      <c r="AL85" s="133"/>
    </row>
    <row r="86" spans="1:38" ht="15.95" hidden="1" customHeight="1" x14ac:dyDescent="0.25">
      <c r="A86" s="176"/>
      <c r="B86" s="149" t="s">
        <v>64</v>
      </c>
      <c r="C86" s="141">
        <f t="shared" ref="C86:AG86" si="80">IF(C46=1,IF(C80&gt;C81,24-C80,0),0)</f>
        <v>0</v>
      </c>
      <c r="D86" s="141">
        <f t="shared" si="80"/>
        <v>0</v>
      </c>
      <c r="E86" s="141">
        <f t="shared" si="80"/>
        <v>0</v>
      </c>
      <c r="F86" s="141">
        <f t="shared" si="80"/>
        <v>0</v>
      </c>
      <c r="G86" s="141">
        <f t="shared" si="80"/>
        <v>0</v>
      </c>
      <c r="H86" s="141">
        <f t="shared" si="80"/>
        <v>0</v>
      </c>
      <c r="I86" s="141">
        <f t="shared" si="80"/>
        <v>0</v>
      </c>
      <c r="J86" s="141">
        <f t="shared" si="80"/>
        <v>0</v>
      </c>
      <c r="K86" s="141">
        <f t="shared" si="80"/>
        <v>0</v>
      </c>
      <c r="L86" s="141">
        <f t="shared" si="80"/>
        <v>2</v>
      </c>
      <c r="M86" s="141">
        <f t="shared" si="80"/>
        <v>2</v>
      </c>
      <c r="N86" s="141">
        <f t="shared" si="80"/>
        <v>0</v>
      </c>
      <c r="O86" s="141">
        <f t="shared" si="80"/>
        <v>0</v>
      </c>
      <c r="P86" s="141">
        <f t="shared" si="80"/>
        <v>0</v>
      </c>
      <c r="Q86" s="141">
        <f t="shared" si="80"/>
        <v>0</v>
      </c>
      <c r="R86" s="141">
        <f t="shared" si="80"/>
        <v>0</v>
      </c>
      <c r="S86" s="141">
        <f t="shared" si="80"/>
        <v>0</v>
      </c>
      <c r="T86" s="141">
        <f t="shared" si="80"/>
        <v>0</v>
      </c>
      <c r="U86" s="141">
        <f t="shared" si="80"/>
        <v>0</v>
      </c>
      <c r="V86" s="141">
        <f t="shared" si="80"/>
        <v>0</v>
      </c>
      <c r="W86" s="141">
        <f t="shared" si="80"/>
        <v>0</v>
      </c>
      <c r="X86" s="141">
        <f t="shared" si="80"/>
        <v>0</v>
      </c>
      <c r="Y86" s="141">
        <f t="shared" si="80"/>
        <v>0</v>
      </c>
      <c r="Z86" s="141">
        <f t="shared" si="80"/>
        <v>2</v>
      </c>
      <c r="AA86" s="141">
        <f t="shared" si="80"/>
        <v>2</v>
      </c>
      <c r="AB86" s="141">
        <f t="shared" si="80"/>
        <v>0</v>
      </c>
      <c r="AC86" s="141">
        <f t="shared" si="80"/>
        <v>0</v>
      </c>
      <c r="AD86" s="141">
        <f t="shared" si="80"/>
        <v>0</v>
      </c>
      <c r="AE86" s="141">
        <f t="shared" si="80"/>
        <v>0</v>
      </c>
      <c r="AF86" s="141">
        <f t="shared" si="80"/>
        <v>0</v>
      </c>
      <c r="AG86" s="141">
        <f t="shared" si="80"/>
        <v>0</v>
      </c>
      <c r="AH86" s="154" t="s">
        <v>12</v>
      </c>
      <c r="AI86" s="133"/>
      <c r="AJ86" s="170"/>
      <c r="AK86" s="133"/>
      <c r="AL86" s="133"/>
    </row>
    <row r="87" spans="1:38" ht="15.95" hidden="1" customHeight="1" x14ac:dyDescent="0.25">
      <c r="A87" s="176"/>
      <c r="B87" s="149" t="s">
        <v>65</v>
      </c>
      <c r="C87" s="141">
        <f t="shared" ref="C87:AG87" si="81">IF(D46=1,IF(C80&gt;C81,C81,0),0)</f>
        <v>0</v>
      </c>
      <c r="D87" s="141">
        <f t="shared" si="81"/>
        <v>0</v>
      </c>
      <c r="E87" s="141">
        <f t="shared" si="81"/>
        <v>0</v>
      </c>
      <c r="F87" s="141">
        <f t="shared" si="81"/>
        <v>0</v>
      </c>
      <c r="G87" s="141">
        <f t="shared" si="81"/>
        <v>0</v>
      </c>
      <c r="H87" s="141">
        <f t="shared" si="81"/>
        <v>0</v>
      </c>
      <c r="I87" s="141">
        <f t="shared" si="81"/>
        <v>0</v>
      </c>
      <c r="J87" s="141">
        <f t="shared" si="81"/>
        <v>0</v>
      </c>
      <c r="K87" s="141">
        <f t="shared" si="81"/>
        <v>6</v>
      </c>
      <c r="L87" s="141">
        <f t="shared" si="81"/>
        <v>6</v>
      </c>
      <c r="M87" s="141">
        <f t="shared" si="81"/>
        <v>0</v>
      </c>
      <c r="N87" s="141">
        <f t="shared" si="81"/>
        <v>0</v>
      </c>
      <c r="O87" s="141">
        <f t="shared" si="81"/>
        <v>0</v>
      </c>
      <c r="P87" s="141">
        <f t="shared" si="81"/>
        <v>0</v>
      </c>
      <c r="Q87" s="141">
        <f t="shared" si="81"/>
        <v>0</v>
      </c>
      <c r="R87" s="141">
        <f t="shared" si="81"/>
        <v>0</v>
      </c>
      <c r="S87" s="141">
        <f t="shared" si="81"/>
        <v>0</v>
      </c>
      <c r="T87" s="141">
        <f t="shared" si="81"/>
        <v>0</v>
      </c>
      <c r="U87" s="141">
        <f t="shared" si="81"/>
        <v>0</v>
      </c>
      <c r="V87" s="141">
        <f t="shared" si="81"/>
        <v>0</v>
      </c>
      <c r="W87" s="141">
        <f t="shared" si="81"/>
        <v>0</v>
      </c>
      <c r="X87" s="141">
        <f>IF(Y46=1,IF(X80&gt;X81,X81,0),0)</f>
        <v>0</v>
      </c>
      <c r="Y87" s="141">
        <f t="shared" si="81"/>
        <v>6</v>
      </c>
      <c r="Z87" s="141">
        <f t="shared" si="81"/>
        <v>6</v>
      </c>
      <c r="AA87" s="141">
        <f t="shared" si="81"/>
        <v>0</v>
      </c>
      <c r="AB87" s="141">
        <f t="shared" si="81"/>
        <v>0</v>
      </c>
      <c r="AC87" s="141">
        <f t="shared" si="81"/>
        <v>0</v>
      </c>
      <c r="AD87" s="141">
        <f t="shared" si="81"/>
        <v>0</v>
      </c>
      <c r="AE87" s="141">
        <f t="shared" si="81"/>
        <v>0</v>
      </c>
      <c r="AF87" s="141">
        <f t="shared" si="81"/>
        <v>0</v>
      </c>
      <c r="AG87" s="141">
        <f t="shared" si="81"/>
        <v>0</v>
      </c>
      <c r="AH87" s="154" t="s">
        <v>12</v>
      </c>
      <c r="AI87" s="133"/>
      <c r="AJ87" s="170"/>
      <c r="AK87" s="133"/>
      <c r="AL87" s="133"/>
    </row>
    <row r="88" spans="1:38" ht="15.95" hidden="1" customHeight="1" x14ac:dyDescent="0.25">
      <c r="A88" s="176"/>
      <c r="B88" s="149" t="s">
        <v>67</v>
      </c>
      <c r="C88" s="171">
        <f t="shared" ref="C88:AG88" si="82">SUM(C85:C87)</f>
        <v>0</v>
      </c>
      <c r="D88" s="171">
        <f t="shared" si="82"/>
        <v>0</v>
      </c>
      <c r="E88" s="171">
        <f t="shared" si="82"/>
        <v>0</v>
      </c>
      <c r="F88" s="171">
        <f t="shared" si="82"/>
        <v>0</v>
      </c>
      <c r="G88" s="171">
        <f t="shared" si="82"/>
        <v>0</v>
      </c>
      <c r="H88" s="171">
        <f t="shared" si="82"/>
        <v>0</v>
      </c>
      <c r="I88" s="171">
        <f t="shared" si="82"/>
        <v>0</v>
      </c>
      <c r="J88" s="171">
        <f t="shared" si="82"/>
        <v>0</v>
      </c>
      <c r="K88" s="171">
        <f t="shared" si="82"/>
        <v>6</v>
      </c>
      <c r="L88" s="171">
        <f t="shared" si="82"/>
        <v>8</v>
      </c>
      <c r="M88" s="171">
        <f t="shared" si="82"/>
        <v>2</v>
      </c>
      <c r="N88" s="171">
        <f t="shared" si="82"/>
        <v>0</v>
      </c>
      <c r="O88" s="171">
        <f t="shared" si="82"/>
        <v>0</v>
      </c>
      <c r="P88" s="171">
        <f t="shared" si="82"/>
        <v>0</v>
      </c>
      <c r="Q88" s="171">
        <f t="shared" si="82"/>
        <v>0</v>
      </c>
      <c r="R88" s="171">
        <f t="shared" si="82"/>
        <v>0</v>
      </c>
      <c r="S88" s="171">
        <f t="shared" si="82"/>
        <v>0</v>
      </c>
      <c r="T88" s="171">
        <f t="shared" si="82"/>
        <v>0</v>
      </c>
      <c r="U88" s="171">
        <f t="shared" si="82"/>
        <v>0</v>
      </c>
      <c r="V88" s="171">
        <f t="shared" si="82"/>
        <v>0</v>
      </c>
      <c r="W88" s="171">
        <f t="shared" si="82"/>
        <v>0</v>
      </c>
      <c r="X88" s="171">
        <f t="shared" si="82"/>
        <v>0</v>
      </c>
      <c r="Y88" s="171">
        <f t="shared" si="82"/>
        <v>6</v>
      </c>
      <c r="Z88" s="171">
        <f t="shared" si="82"/>
        <v>8</v>
      </c>
      <c r="AA88" s="171">
        <f t="shared" si="82"/>
        <v>2</v>
      </c>
      <c r="AB88" s="171">
        <f t="shared" si="82"/>
        <v>0</v>
      </c>
      <c r="AC88" s="171">
        <f t="shared" si="82"/>
        <v>0</v>
      </c>
      <c r="AD88" s="171">
        <f t="shared" si="82"/>
        <v>0</v>
      </c>
      <c r="AE88" s="171">
        <f t="shared" si="82"/>
        <v>0</v>
      </c>
      <c r="AF88" s="171">
        <f t="shared" si="82"/>
        <v>0</v>
      </c>
      <c r="AG88" s="171">
        <f t="shared" si="82"/>
        <v>0</v>
      </c>
      <c r="AH88" s="154" t="s">
        <v>12</v>
      </c>
      <c r="AI88" s="133"/>
      <c r="AJ88" s="170"/>
      <c r="AK88" s="133"/>
      <c r="AL88" s="133"/>
    </row>
    <row r="89" spans="1:38" ht="15.95" hidden="1" customHeight="1" x14ac:dyDescent="0.25">
      <c r="A89" s="177"/>
      <c r="B89" s="160" t="s">
        <v>68</v>
      </c>
      <c r="C89" s="161">
        <f t="shared" ref="C89:AG89" si="83">IF(C12="V",IF(C12="",0,1),0)</f>
        <v>0</v>
      </c>
      <c r="D89" s="161">
        <f t="shared" si="83"/>
        <v>0</v>
      </c>
      <c r="E89" s="161">
        <f t="shared" si="83"/>
        <v>0</v>
      </c>
      <c r="F89" s="161">
        <f t="shared" si="83"/>
        <v>0</v>
      </c>
      <c r="G89" s="161">
        <f t="shared" si="83"/>
        <v>0</v>
      </c>
      <c r="H89" s="161">
        <f t="shared" si="83"/>
        <v>0</v>
      </c>
      <c r="I89" s="161">
        <f t="shared" si="83"/>
        <v>0</v>
      </c>
      <c r="J89" s="161">
        <f t="shared" si="83"/>
        <v>0</v>
      </c>
      <c r="K89" s="161">
        <f t="shared" si="83"/>
        <v>0</v>
      </c>
      <c r="L89" s="161">
        <f t="shared" si="83"/>
        <v>0</v>
      </c>
      <c r="M89" s="161">
        <f t="shared" si="83"/>
        <v>0</v>
      </c>
      <c r="N89" s="161">
        <f t="shared" si="83"/>
        <v>0</v>
      </c>
      <c r="O89" s="161">
        <f t="shared" si="83"/>
        <v>0</v>
      </c>
      <c r="P89" s="161">
        <f t="shared" si="83"/>
        <v>0</v>
      </c>
      <c r="Q89" s="161">
        <f t="shared" si="83"/>
        <v>0</v>
      </c>
      <c r="R89" s="161">
        <f t="shared" si="83"/>
        <v>0</v>
      </c>
      <c r="S89" s="161">
        <f t="shared" si="83"/>
        <v>0</v>
      </c>
      <c r="T89" s="161">
        <f t="shared" si="83"/>
        <v>0</v>
      </c>
      <c r="U89" s="161">
        <f t="shared" si="83"/>
        <v>0</v>
      </c>
      <c r="V89" s="161">
        <f t="shared" si="83"/>
        <v>0</v>
      </c>
      <c r="W89" s="161">
        <f t="shared" si="83"/>
        <v>0</v>
      </c>
      <c r="X89" s="161">
        <f t="shared" si="83"/>
        <v>0</v>
      </c>
      <c r="Y89" s="161">
        <f t="shared" si="83"/>
        <v>0</v>
      </c>
      <c r="Z89" s="161">
        <f t="shared" si="83"/>
        <v>0</v>
      </c>
      <c r="AA89" s="161">
        <f t="shared" si="83"/>
        <v>0</v>
      </c>
      <c r="AB89" s="161">
        <f t="shared" si="83"/>
        <v>0</v>
      </c>
      <c r="AC89" s="161">
        <f t="shared" si="83"/>
        <v>0</v>
      </c>
      <c r="AD89" s="161">
        <f t="shared" si="83"/>
        <v>0</v>
      </c>
      <c r="AE89" s="161">
        <f t="shared" si="83"/>
        <v>0</v>
      </c>
      <c r="AF89" s="161">
        <f t="shared" si="83"/>
        <v>0</v>
      </c>
      <c r="AG89" s="161">
        <f t="shared" si="83"/>
        <v>0</v>
      </c>
      <c r="AH89" s="154"/>
      <c r="AI89" s="133"/>
      <c r="AJ89" s="170"/>
      <c r="AK89" s="133"/>
      <c r="AL89" s="133"/>
    </row>
    <row r="90" spans="1:38" ht="15.95" hidden="1" customHeight="1" x14ac:dyDescent="0.25">
      <c r="A90" s="173"/>
      <c r="B90" s="130" t="s">
        <v>16</v>
      </c>
      <c r="C90" s="163">
        <f t="shared" ref="C90:AG90" si="84">IF(C12="PR",IF(C12="",0,1),0)</f>
        <v>0</v>
      </c>
      <c r="D90" s="163">
        <f t="shared" si="84"/>
        <v>0</v>
      </c>
      <c r="E90" s="163">
        <f t="shared" si="84"/>
        <v>0</v>
      </c>
      <c r="F90" s="163">
        <f t="shared" si="84"/>
        <v>0</v>
      </c>
      <c r="G90" s="163">
        <f t="shared" si="84"/>
        <v>0</v>
      </c>
      <c r="H90" s="163">
        <f t="shared" si="84"/>
        <v>0</v>
      </c>
      <c r="I90" s="163">
        <f t="shared" si="84"/>
        <v>0</v>
      </c>
      <c r="J90" s="163">
        <f t="shared" si="84"/>
        <v>0</v>
      </c>
      <c r="K90" s="163">
        <f t="shared" si="84"/>
        <v>0</v>
      </c>
      <c r="L90" s="163">
        <f t="shared" si="84"/>
        <v>0</v>
      </c>
      <c r="M90" s="163">
        <f t="shared" si="84"/>
        <v>0</v>
      </c>
      <c r="N90" s="163">
        <f t="shared" si="84"/>
        <v>0</v>
      </c>
      <c r="O90" s="163">
        <f t="shared" si="84"/>
        <v>0</v>
      </c>
      <c r="P90" s="163">
        <f t="shared" si="84"/>
        <v>0</v>
      </c>
      <c r="Q90" s="163">
        <f t="shared" si="84"/>
        <v>0</v>
      </c>
      <c r="R90" s="163">
        <f t="shared" si="84"/>
        <v>0</v>
      </c>
      <c r="S90" s="163">
        <f t="shared" si="84"/>
        <v>0</v>
      </c>
      <c r="T90" s="163">
        <f t="shared" si="84"/>
        <v>0</v>
      </c>
      <c r="U90" s="163">
        <f t="shared" si="84"/>
        <v>0</v>
      </c>
      <c r="V90" s="163">
        <f t="shared" si="84"/>
        <v>0</v>
      </c>
      <c r="W90" s="163">
        <f t="shared" si="84"/>
        <v>0</v>
      </c>
      <c r="X90" s="163">
        <f t="shared" si="84"/>
        <v>0</v>
      </c>
      <c r="Y90" s="163">
        <f t="shared" si="84"/>
        <v>0</v>
      </c>
      <c r="Z90" s="163">
        <f t="shared" si="84"/>
        <v>0</v>
      </c>
      <c r="AA90" s="163">
        <f t="shared" si="84"/>
        <v>0</v>
      </c>
      <c r="AB90" s="163">
        <f t="shared" si="84"/>
        <v>0</v>
      </c>
      <c r="AC90" s="163">
        <f t="shared" si="84"/>
        <v>0</v>
      </c>
      <c r="AD90" s="163">
        <f t="shared" si="84"/>
        <v>0</v>
      </c>
      <c r="AE90" s="163">
        <f t="shared" si="84"/>
        <v>0</v>
      </c>
      <c r="AF90" s="163">
        <f t="shared" si="84"/>
        <v>0</v>
      </c>
      <c r="AG90" s="163">
        <f t="shared" si="84"/>
        <v>0</v>
      </c>
      <c r="AH90" s="229">
        <f>SUM(C90:AG90)</f>
        <v>0</v>
      </c>
      <c r="AI90" s="229"/>
      <c r="AJ90" s="174" t="s">
        <v>69</v>
      </c>
      <c r="AK90" s="133"/>
      <c r="AL90" s="133"/>
    </row>
    <row r="91" spans="1:38" ht="15.95" hidden="1" customHeight="1" x14ac:dyDescent="0.25">
      <c r="A91" s="164" t="s">
        <v>77</v>
      </c>
      <c r="B91" s="165" t="s">
        <v>29</v>
      </c>
      <c r="C91" s="141">
        <f t="shared" ref="C91:AG91" si="85">IF(C13=$R32,$S32*24,IF(C13=$R33,$S33*24,IF(C13=$R34,$S34*24,IF(C13=$R35,$S35*24,IF(C13=$R36,$S36*24,IF(C13=$R37,$S37*24,IF(C13=$R38,$S38*24,IF(C13=$R39,$S39*24,IF(C13=$R40,$S40*24,"")))))))))</f>
        <v>6</v>
      </c>
      <c r="D91" s="141" t="str">
        <f t="shared" si="85"/>
        <v/>
      </c>
      <c r="E91" s="141" t="str">
        <f t="shared" si="85"/>
        <v/>
      </c>
      <c r="F91" s="141" t="str">
        <f t="shared" si="85"/>
        <v/>
      </c>
      <c r="G91" s="141">
        <f t="shared" si="85"/>
        <v>6</v>
      </c>
      <c r="H91" s="141">
        <f t="shared" si="85"/>
        <v>6</v>
      </c>
      <c r="I91" s="141" t="str">
        <f t="shared" si="85"/>
        <v/>
      </c>
      <c r="J91" s="141">
        <f t="shared" si="85"/>
        <v>7</v>
      </c>
      <c r="K91" s="141">
        <f t="shared" si="85"/>
        <v>6</v>
      </c>
      <c r="L91" s="141">
        <f t="shared" si="85"/>
        <v>6</v>
      </c>
      <c r="M91" s="141">
        <f t="shared" si="85"/>
        <v>6</v>
      </c>
      <c r="N91" s="141" t="str">
        <f t="shared" si="85"/>
        <v/>
      </c>
      <c r="O91" s="141" t="str">
        <f t="shared" si="85"/>
        <v/>
      </c>
      <c r="P91" s="141">
        <f t="shared" si="85"/>
        <v>6</v>
      </c>
      <c r="Q91" s="141">
        <f t="shared" si="85"/>
        <v>6</v>
      </c>
      <c r="R91" s="141" t="str">
        <f t="shared" si="85"/>
        <v/>
      </c>
      <c r="S91" s="141" t="str">
        <f t="shared" si="85"/>
        <v/>
      </c>
      <c r="T91" s="141" t="str">
        <f t="shared" si="85"/>
        <v/>
      </c>
      <c r="U91" s="141" t="str">
        <f t="shared" si="85"/>
        <v/>
      </c>
      <c r="V91" s="141" t="str">
        <f t="shared" si="85"/>
        <v/>
      </c>
      <c r="W91" s="141" t="str">
        <f t="shared" si="85"/>
        <v/>
      </c>
      <c r="X91" s="141" t="str">
        <f t="shared" si="85"/>
        <v/>
      </c>
      <c r="Y91" s="141" t="str">
        <f t="shared" si="85"/>
        <v/>
      </c>
      <c r="Z91" s="141" t="str">
        <f t="shared" si="85"/>
        <v/>
      </c>
      <c r="AA91" s="141" t="str">
        <f t="shared" si="85"/>
        <v/>
      </c>
      <c r="AB91" s="141" t="str">
        <f t="shared" si="85"/>
        <v/>
      </c>
      <c r="AC91" s="141" t="str">
        <f t="shared" si="85"/>
        <v/>
      </c>
      <c r="AD91" s="141" t="str">
        <f t="shared" si="85"/>
        <v/>
      </c>
      <c r="AE91" s="141" t="str">
        <f t="shared" si="85"/>
        <v/>
      </c>
      <c r="AF91" s="141" t="str">
        <f t="shared" si="85"/>
        <v/>
      </c>
      <c r="AG91" s="141" t="str">
        <f t="shared" si="85"/>
        <v/>
      </c>
      <c r="AH91" s="154" t="s">
        <v>12</v>
      </c>
      <c r="AI91" s="133"/>
      <c r="AJ91" s="170"/>
      <c r="AK91" s="133"/>
      <c r="AL91" s="133"/>
    </row>
    <row r="92" spans="1:38" ht="15.95" hidden="1" customHeight="1" x14ac:dyDescent="0.25">
      <c r="A92" s="166" t="s">
        <v>78</v>
      </c>
      <c r="B92" s="167" t="s">
        <v>30</v>
      </c>
      <c r="C92" s="141">
        <f t="shared" ref="C92:AG92" si="86">IF(C13=$R32,$V32*24,IF(C13=$R33,$V33*24,IF(C13=$R34,$V34*24,IF(C13=$R35,$V35*24,IF(C13=$R36,$V36*24,IF(C13=$R37,$V37*24,IF(C13=$R38,$V38*24,IF(C13=$R39,$V39*24,IF(C13=$R40,$V40*24,"")))))))))</f>
        <v>18</v>
      </c>
      <c r="D92" s="141" t="str">
        <f t="shared" si="86"/>
        <v/>
      </c>
      <c r="E92" s="141" t="str">
        <f t="shared" si="86"/>
        <v/>
      </c>
      <c r="F92" s="141" t="str">
        <f t="shared" si="86"/>
        <v/>
      </c>
      <c r="G92" s="141">
        <f t="shared" si="86"/>
        <v>18</v>
      </c>
      <c r="H92" s="141">
        <f t="shared" si="86"/>
        <v>18</v>
      </c>
      <c r="I92" s="141" t="str">
        <f t="shared" si="86"/>
        <v/>
      </c>
      <c r="J92" s="141">
        <f t="shared" si="86"/>
        <v>19</v>
      </c>
      <c r="K92" s="141">
        <f t="shared" si="86"/>
        <v>18</v>
      </c>
      <c r="L92" s="141">
        <f t="shared" si="86"/>
        <v>18</v>
      </c>
      <c r="M92" s="141">
        <f t="shared" si="86"/>
        <v>18</v>
      </c>
      <c r="N92" s="141" t="str">
        <f t="shared" si="86"/>
        <v/>
      </c>
      <c r="O92" s="141" t="str">
        <f t="shared" si="86"/>
        <v/>
      </c>
      <c r="P92" s="141">
        <f t="shared" si="86"/>
        <v>18</v>
      </c>
      <c r="Q92" s="141">
        <f t="shared" si="86"/>
        <v>18</v>
      </c>
      <c r="R92" s="141" t="str">
        <f t="shared" si="86"/>
        <v/>
      </c>
      <c r="S92" s="141" t="str">
        <f t="shared" si="86"/>
        <v/>
      </c>
      <c r="T92" s="141" t="str">
        <f t="shared" si="86"/>
        <v/>
      </c>
      <c r="U92" s="141" t="str">
        <f t="shared" si="86"/>
        <v/>
      </c>
      <c r="V92" s="141" t="str">
        <f t="shared" si="86"/>
        <v/>
      </c>
      <c r="W92" s="141" t="str">
        <f t="shared" si="86"/>
        <v/>
      </c>
      <c r="X92" s="141" t="str">
        <f t="shared" si="86"/>
        <v/>
      </c>
      <c r="Y92" s="141" t="str">
        <f t="shared" si="86"/>
        <v/>
      </c>
      <c r="Z92" s="141" t="str">
        <f t="shared" si="86"/>
        <v/>
      </c>
      <c r="AA92" s="141" t="str">
        <f t="shared" si="86"/>
        <v/>
      </c>
      <c r="AB92" s="141" t="str">
        <f t="shared" si="86"/>
        <v/>
      </c>
      <c r="AC92" s="141" t="str">
        <f t="shared" si="86"/>
        <v/>
      </c>
      <c r="AD92" s="141" t="str">
        <f t="shared" si="86"/>
        <v/>
      </c>
      <c r="AE92" s="141" t="str">
        <f t="shared" si="86"/>
        <v/>
      </c>
      <c r="AF92" s="141" t="str">
        <f t="shared" si="86"/>
        <v/>
      </c>
      <c r="AG92" s="141" t="str">
        <f t="shared" si="86"/>
        <v/>
      </c>
      <c r="AH92" s="154" t="s">
        <v>12</v>
      </c>
      <c r="AI92" s="133"/>
      <c r="AJ92" s="170"/>
      <c r="AK92" s="133"/>
      <c r="AL92" s="133"/>
    </row>
    <row r="93" spans="1:38" ht="15.95" hidden="1" customHeight="1" x14ac:dyDescent="0.25">
      <c r="A93" s="153"/>
      <c r="B93" s="168" t="s">
        <v>34</v>
      </c>
      <c r="C93" s="169">
        <f t="shared" ref="C93:AD93" si="87">IF(C13=$R32,$BD32*24,IF(C13=$R33,$BD33*24,IF(C13=$R34,$BD34*24,IF(C13=$R35,$BD35*24,IF(C13=$R36,$BD36*24,IF(C13=$R37,$BD37*24,IF(C13=$R38,$BD38*24,IF(C13=$R39,$BD39*24,IF(C13=$R40,$BD40*24,"")))))))))</f>
        <v>0</v>
      </c>
      <c r="D93" s="169" t="str">
        <f t="shared" si="87"/>
        <v/>
      </c>
      <c r="E93" s="169" t="str">
        <f t="shared" si="87"/>
        <v/>
      </c>
      <c r="F93" s="169" t="str">
        <f t="shared" si="87"/>
        <v/>
      </c>
      <c r="G93" s="169">
        <f t="shared" si="87"/>
        <v>0</v>
      </c>
      <c r="H93" s="169">
        <f t="shared" si="87"/>
        <v>0</v>
      </c>
      <c r="I93" s="169" t="str">
        <f t="shared" si="87"/>
        <v/>
      </c>
      <c r="J93" s="169">
        <f t="shared" si="87"/>
        <v>0</v>
      </c>
      <c r="K93" s="169">
        <f t="shared" si="87"/>
        <v>0</v>
      </c>
      <c r="L93" s="169">
        <f t="shared" si="87"/>
        <v>0</v>
      </c>
      <c r="M93" s="169">
        <f t="shared" si="87"/>
        <v>0</v>
      </c>
      <c r="N93" s="169" t="str">
        <f t="shared" si="87"/>
        <v/>
      </c>
      <c r="O93" s="169" t="str">
        <f t="shared" si="87"/>
        <v/>
      </c>
      <c r="P93" s="169">
        <f t="shared" si="87"/>
        <v>0</v>
      </c>
      <c r="Q93" s="169">
        <f t="shared" si="87"/>
        <v>0</v>
      </c>
      <c r="R93" s="169" t="str">
        <f t="shared" si="87"/>
        <v/>
      </c>
      <c r="S93" s="169" t="str">
        <f t="shared" si="87"/>
        <v/>
      </c>
      <c r="T93" s="169" t="str">
        <f t="shared" si="87"/>
        <v/>
      </c>
      <c r="U93" s="169" t="str">
        <f t="shared" si="87"/>
        <v/>
      </c>
      <c r="V93" s="169" t="str">
        <f t="shared" si="87"/>
        <v/>
      </c>
      <c r="W93" s="169" t="str">
        <f t="shared" si="87"/>
        <v/>
      </c>
      <c r="X93" s="169" t="str">
        <f t="shared" si="87"/>
        <v/>
      </c>
      <c r="Y93" s="169" t="str">
        <f t="shared" si="87"/>
        <v/>
      </c>
      <c r="Z93" s="169" t="str">
        <f t="shared" si="87"/>
        <v/>
      </c>
      <c r="AA93" s="169" t="str">
        <f t="shared" si="87"/>
        <v/>
      </c>
      <c r="AB93" s="169" t="str">
        <f t="shared" si="87"/>
        <v/>
      </c>
      <c r="AC93" s="169" t="str">
        <f t="shared" si="87"/>
        <v/>
      </c>
      <c r="AD93" s="169" t="str">
        <f t="shared" si="87"/>
        <v/>
      </c>
      <c r="AE93" s="169" t="str">
        <f>IF(AE13=$R32,$BD32*24,IF(AE13=$R33,$BD33*24,IF(AE13=$R34,$BD34*24,IF(AE13=$R35,$BD35*24,IF(AE13=$R36,$BD36*24,IF(AE13=$R37,$BD37*24,IF(AE13=$R38,$BD38*24,IF(AE13=$R39,$BD39*24,IF(AE13=$R40,$BD40*24,"")))))))))</f>
        <v/>
      </c>
      <c r="AF93" s="169" t="str">
        <f>IF(AF13=$R32,$BD32*24,IF(AF13=$R33,$BD33*24,IF(AF13=$R34,$BD34*24,IF(AF13=$R35,$BD35*24,IF(AF13=$R36,$BD36*24,IF(AF13=$R37,$BD37*24,IF(AF13=$R38,$BD38*24,IF(AF13=$R39,$BD39*24,IF(AF13=$R40,$BD40*24,"")))))))))</f>
        <v/>
      </c>
      <c r="AG93" s="169" t="str">
        <f>IF(AG13=$R32,$BD32*24,IF(AG13=$R33,$BD33*24,IF(AG13=$R34,$BD34*24,IF(AG13=$R35,$BD35*24,IF(AG13=$R36,$BD36*24,IF(AG13=$R37,$BD37*24,IF(AG13=$R38,$BD38*24,IF(AG13=$R39,$BD39*24,IF(AG13=$R40,$BD40*24,"")))))))))</f>
        <v/>
      </c>
      <c r="AH93" s="148">
        <f>SUM(C93:AG93)</f>
        <v>0</v>
      </c>
      <c r="AI93" s="133"/>
      <c r="AJ93" s="170"/>
      <c r="AK93" s="133"/>
      <c r="AL93" s="133"/>
    </row>
    <row r="94" spans="1:38" ht="15.95" hidden="1" customHeight="1" x14ac:dyDescent="0.25">
      <c r="A94" s="153"/>
      <c r="B94" s="167" t="s">
        <v>59</v>
      </c>
      <c r="C94" s="141">
        <f t="shared" ref="C94:AG94" si="88">IF(C13="V",$C36,IF(C13="PR",$C38,0))</f>
        <v>0</v>
      </c>
      <c r="D94" s="141">
        <f t="shared" si="88"/>
        <v>0</v>
      </c>
      <c r="E94" s="141">
        <f t="shared" si="88"/>
        <v>0</v>
      </c>
      <c r="F94" s="141">
        <f t="shared" si="88"/>
        <v>0</v>
      </c>
      <c r="G94" s="141">
        <f t="shared" si="88"/>
        <v>0</v>
      </c>
      <c r="H94" s="141">
        <f t="shared" si="88"/>
        <v>0</v>
      </c>
      <c r="I94" s="141">
        <f t="shared" si="88"/>
        <v>0</v>
      </c>
      <c r="J94" s="141">
        <f t="shared" si="88"/>
        <v>0</v>
      </c>
      <c r="K94" s="141">
        <f t="shared" si="88"/>
        <v>0</v>
      </c>
      <c r="L94" s="141">
        <f t="shared" si="88"/>
        <v>0</v>
      </c>
      <c r="M94" s="141">
        <f t="shared" si="88"/>
        <v>0</v>
      </c>
      <c r="N94" s="141">
        <f t="shared" si="88"/>
        <v>0</v>
      </c>
      <c r="O94" s="141">
        <f t="shared" si="88"/>
        <v>0</v>
      </c>
      <c r="P94" s="141">
        <f t="shared" si="88"/>
        <v>0</v>
      </c>
      <c r="Q94" s="141">
        <f t="shared" si="88"/>
        <v>0</v>
      </c>
      <c r="R94" s="141">
        <f t="shared" si="88"/>
        <v>0</v>
      </c>
      <c r="S94" s="141">
        <f t="shared" si="88"/>
        <v>5.22</v>
      </c>
      <c r="T94" s="141">
        <f t="shared" si="88"/>
        <v>5.22</v>
      </c>
      <c r="U94" s="141">
        <f t="shared" si="88"/>
        <v>5.22</v>
      </c>
      <c r="V94" s="141">
        <f t="shared" si="88"/>
        <v>5.22</v>
      </c>
      <c r="W94" s="141">
        <f t="shared" si="88"/>
        <v>5.22</v>
      </c>
      <c r="X94" s="141">
        <f t="shared" si="88"/>
        <v>5.22</v>
      </c>
      <c r="Y94" s="141">
        <f t="shared" si="88"/>
        <v>5.22</v>
      </c>
      <c r="Z94" s="141">
        <f t="shared" si="88"/>
        <v>5.22</v>
      </c>
      <c r="AA94" s="141">
        <f t="shared" si="88"/>
        <v>5.22</v>
      </c>
      <c r="AB94" s="141">
        <f t="shared" si="88"/>
        <v>5.22</v>
      </c>
      <c r="AC94" s="141">
        <f t="shared" si="88"/>
        <v>5.22</v>
      </c>
      <c r="AD94" s="141">
        <f t="shared" si="88"/>
        <v>5.22</v>
      </c>
      <c r="AE94" s="141">
        <f t="shared" si="88"/>
        <v>5.22</v>
      </c>
      <c r="AF94" s="141">
        <f t="shared" si="88"/>
        <v>5.22</v>
      </c>
      <c r="AG94" s="141">
        <f t="shared" si="88"/>
        <v>5.22</v>
      </c>
      <c r="AH94" s="231">
        <f>SUM(C94:AG94)</f>
        <v>78.3</v>
      </c>
      <c r="AI94" s="231"/>
      <c r="AJ94" s="170" t="s">
        <v>12</v>
      </c>
      <c r="AK94" s="133"/>
      <c r="AL94" s="133"/>
    </row>
    <row r="95" spans="1:38" ht="15.95" hidden="1" customHeight="1" x14ac:dyDescent="0.25">
      <c r="A95" s="150" t="s">
        <v>60</v>
      </c>
      <c r="B95" s="167" t="s">
        <v>61</v>
      </c>
      <c r="C95" s="151">
        <f t="shared" ref="C95:AD95" si="89">IF(C13=$R32,$BC32,IF(C13=$R33,$BC33,IF(C13=$R34,$BC34,IF(C13=$R35,$BC35,IF(C13=$R36,$BC36,IF(C13=$R37,$BC37,IF(C13=$R38,$BC38,IF(C13=$R39,$BC39,IF(C13=$R40,$BC40,0)))))))))</f>
        <v>12</v>
      </c>
      <c r="D95" s="151">
        <f t="shared" si="89"/>
        <v>0</v>
      </c>
      <c r="E95" s="151">
        <f t="shared" si="89"/>
        <v>0</v>
      </c>
      <c r="F95" s="151">
        <f t="shared" si="89"/>
        <v>0</v>
      </c>
      <c r="G95" s="151">
        <f t="shared" si="89"/>
        <v>12</v>
      </c>
      <c r="H95" s="151">
        <f t="shared" si="89"/>
        <v>12</v>
      </c>
      <c r="I95" s="151">
        <f t="shared" si="89"/>
        <v>0</v>
      </c>
      <c r="J95" s="151">
        <f t="shared" si="89"/>
        <v>11.999999999999998</v>
      </c>
      <c r="K95" s="151">
        <f t="shared" si="89"/>
        <v>12</v>
      </c>
      <c r="L95" s="151">
        <f t="shared" si="89"/>
        <v>12</v>
      </c>
      <c r="M95" s="151">
        <f t="shared" si="89"/>
        <v>12</v>
      </c>
      <c r="N95" s="151">
        <f t="shared" si="89"/>
        <v>0</v>
      </c>
      <c r="O95" s="151">
        <f t="shared" si="89"/>
        <v>0</v>
      </c>
      <c r="P95" s="151">
        <f t="shared" si="89"/>
        <v>12</v>
      </c>
      <c r="Q95" s="151">
        <f t="shared" si="89"/>
        <v>12</v>
      </c>
      <c r="R95" s="151">
        <f t="shared" si="89"/>
        <v>0</v>
      </c>
      <c r="S95" s="151">
        <f t="shared" si="89"/>
        <v>0</v>
      </c>
      <c r="T95" s="151">
        <f t="shared" si="89"/>
        <v>0</v>
      </c>
      <c r="U95" s="151">
        <f t="shared" si="89"/>
        <v>0</v>
      </c>
      <c r="V95" s="151">
        <f t="shared" si="89"/>
        <v>0</v>
      </c>
      <c r="W95" s="151">
        <f t="shared" si="89"/>
        <v>0</v>
      </c>
      <c r="X95" s="151">
        <f t="shared" si="89"/>
        <v>0</v>
      </c>
      <c r="Y95" s="151">
        <f t="shared" si="89"/>
        <v>0</v>
      </c>
      <c r="Z95" s="151">
        <f t="shared" si="89"/>
        <v>0</v>
      </c>
      <c r="AA95" s="151">
        <f t="shared" si="89"/>
        <v>0</v>
      </c>
      <c r="AB95" s="151">
        <f t="shared" si="89"/>
        <v>0</v>
      </c>
      <c r="AC95" s="151">
        <f t="shared" si="89"/>
        <v>0</v>
      </c>
      <c r="AD95" s="151">
        <f t="shared" si="89"/>
        <v>0</v>
      </c>
      <c r="AE95" s="151">
        <f>IF(AE13=$R32,$BC32,IF(AE13=$R33,$BC33,IF(AE13=$R34,$BC34,IF(AE13=$R35,$BC35,IF(AE13=$R36,$BC36,IF(AE13=$R37,$BC37,IF(AE13=$R38,$BC38,IF(AE13=$R39,$BC39,IF(AE13=$R40,$BC40,0)))))))))</f>
        <v>0</v>
      </c>
      <c r="AF95" s="151">
        <f>IF(AF13=$R32,$BC32,IF(AF13=$R33,$BC33,IF(AF13=$R34,$BC34,IF(AF13=$R35,$BC35,IF(AF13=$R36,$BC36,IF(AF13=$R37,$BC37,IF(AF13=$R38,$BC38,IF(AF13=$R39,$BC39,IF(AF13=$R40,$BC40,0)))))))))</f>
        <v>0</v>
      </c>
      <c r="AG95" s="151">
        <f>IF(AG13=$R32,$BC32,IF(AG13=$R33,$BC33,IF(AG13=$R34,$BC34,IF(AG13=$R35,$BC35,IF(AG13=$R36,$BC36,IF(AG13=$R37,$BC37,IF(AG13=$R38,$BC38,IF(AG13=$R39,$BC39,IF(AG13=$R40,$BC40,0)))))))))</f>
        <v>0</v>
      </c>
      <c r="AH95" s="226">
        <f>SUM(C95:AG95)</f>
        <v>108</v>
      </c>
      <c r="AI95" s="226"/>
      <c r="AJ95" s="175" t="s">
        <v>62</v>
      </c>
      <c r="AK95" s="133" t="s">
        <v>12</v>
      </c>
      <c r="AL95" s="133"/>
    </row>
    <row r="96" spans="1:38" ht="15.95" hidden="1" customHeight="1" x14ac:dyDescent="0.25">
      <c r="A96" s="153" t="s">
        <v>48</v>
      </c>
      <c r="B96" s="149" t="s">
        <v>63</v>
      </c>
      <c r="C96" s="141" t="b">
        <f t="shared" ref="C96:AG96" si="90">IF(C46=1,IF(C91&lt;C92,C95,0))</f>
        <v>0</v>
      </c>
      <c r="D96" s="141" t="b">
        <f t="shared" si="90"/>
        <v>0</v>
      </c>
      <c r="E96" s="141">
        <f t="shared" si="90"/>
        <v>0</v>
      </c>
      <c r="F96" s="141">
        <f t="shared" si="90"/>
        <v>0</v>
      </c>
      <c r="G96" s="141" t="b">
        <f t="shared" si="90"/>
        <v>0</v>
      </c>
      <c r="H96" s="141" t="b">
        <f t="shared" si="90"/>
        <v>0</v>
      </c>
      <c r="I96" s="141" t="b">
        <f t="shared" si="90"/>
        <v>0</v>
      </c>
      <c r="J96" s="141" t="b">
        <f t="shared" si="90"/>
        <v>0</v>
      </c>
      <c r="K96" s="141" t="b">
        <f t="shared" si="90"/>
        <v>0</v>
      </c>
      <c r="L96" s="141">
        <f t="shared" si="90"/>
        <v>12</v>
      </c>
      <c r="M96" s="141">
        <f t="shared" si="90"/>
        <v>12</v>
      </c>
      <c r="N96" s="141" t="b">
        <f t="shared" si="90"/>
        <v>0</v>
      </c>
      <c r="O96" s="141" t="b">
        <f t="shared" si="90"/>
        <v>0</v>
      </c>
      <c r="P96" s="141" t="b">
        <f t="shared" si="90"/>
        <v>0</v>
      </c>
      <c r="Q96" s="141" t="b">
        <f t="shared" si="90"/>
        <v>0</v>
      </c>
      <c r="R96" s="141" t="b">
        <f t="shared" si="90"/>
        <v>0</v>
      </c>
      <c r="S96" s="141">
        <f t="shared" si="90"/>
        <v>0</v>
      </c>
      <c r="T96" s="141">
        <f t="shared" si="90"/>
        <v>0</v>
      </c>
      <c r="U96" s="141" t="b">
        <f t="shared" si="90"/>
        <v>0</v>
      </c>
      <c r="V96" s="141" t="b">
        <f t="shared" si="90"/>
        <v>0</v>
      </c>
      <c r="W96" s="141" t="b">
        <f t="shared" si="90"/>
        <v>0</v>
      </c>
      <c r="X96" s="141" t="b">
        <f t="shared" si="90"/>
        <v>0</v>
      </c>
      <c r="Y96" s="141" t="b">
        <f t="shared" si="90"/>
        <v>0</v>
      </c>
      <c r="Z96" s="141">
        <f t="shared" si="90"/>
        <v>0</v>
      </c>
      <c r="AA96" s="141">
        <f t="shared" si="90"/>
        <v>0</v>
      </c>
      <c r="AB96" s="141" t="b">
        <f t="shared" si="90"/>
        <v>0</v>
      </c>
      <c r="AC96" s="141" t="b">
        <f t="shared" si="90"/>
        <v>0</v>
      </c>
      <c r="AD96" s="141" t="b">
        <f t="shared" si="90"/>
        <v>0</v>
      </c>
      <c r="AE96" s="141" t="b">
        <f t="shared" si="90"/>
        <v>0</v>
      </c>
      <c r="AF96" s="141" t="b">
        <f t="shared" si="90"/>
        <v>0</v>
      </c>
      <c r="AG96" s="141">
        <f t="shared" si="90"/>
        <v>0</v>
      </c>
      <c r="AH96" s="154" t="s">
        <v>12</v>
      </c>
      <c r="AI96" s="133"/>
      <c r="AJ96" s="170"/>
      <c r="AK96" s="133"/>
      <c r="AL96" s="133"/>
    </row>
    <row r="97" spans="1:57" ht="15.95" hidden="1" customHeight="1" x14ac:dyDescent="0.25">
      <c r="A97" s="176"/>
      <c r="B97" s="149" t="s">
        <v>64</v>
      </c>
      <c r="C97" s="141">
        <f t="shared" ref="C97:AG97" si="91">IF(C46=1,IF(C91&gt;C92,24-C91,0),0)</f>
        <v>0</v>
      </c>
      <c r="D97" s="141">
        <f t="shared" si="91"/>
        <v>0</v>
      </c>
      <c r="E97" s="141">
        <f t="shared" si="91"/>
        <v>0</v>
      </c>
      <c r="F97" s="141">
        <f t="shared" si="91"/>
        <v>0</v>
      </c>
      <c r="G97" s="141">
        <f t="shared" si="91"/>
        <v>0</v>
      </c>
      <c r="H97" s="141">
        <f t="shared" si="91"/>
        <v>0</v>
      </c>
      <c r="I97" s="141">
        <f t="shared" si="91"/>
        <v>0</v>
      </c>
      <c r="J97" s="141">
        <f t="shared" si="91"/>
        <v>0</v>
      </c>
      <c r="K97" s="141">
        <f t="shared" si="91"/>
        <v>0</v>
      </c>
      <c r="L97" s="141">
        <f t="shared" si="91"/>
        <v>0</v>
      </c>
      <c r="M97" s="141">
        <f t="shared" si="91"/>
        <v>0</v>
      </c>
      <c r="N97" s="141">
        <f t="shared" si="91"/>
        <v>0</v>
      </c>
      <c r="O97" s="141">
        <f t="shared" si="91"/>
        <v>0</v>
      </c>
      <c r="P97" s="141">
        <f t="shared" si="91"/>
        <v>0</v>
      </c>
      <c r="Q97" s="141">
        <f t="shared" si="91"/>
        <v>0</v>
      </c>
      <c r="R97" s="141">
        <f t="shared" si="91"/>
        <v>0</v>
      </c>
      <c r="S97" s="141">
        <f t="shared" si="91"/>
        <v>0</v>
      </c>
      <c r="T97" s="141">
        <f t="shared" si="91"/>
        <v>0</v>
      </c>
      <c r="U97" s="141">
        <f t="shared" si="91"/>
        <v>0</v>
      </c>
      <c r="V97" s="141">
        <f t="shared" si="91"/>
        <v>0</v>
      </c>
      <c r="W97" s="141">
        <f t="shared" si="91"/>
        <v>0</v>
      </c>
      <c r="X97" s="141">
        <f t="shared" si="91"/>
        <v>0</v>
      </c>
      <c r="Y97" s="141">
        <f t="shared" si="91"/>
        <v>0</v>
      </c>
      <c r="Z97" s="141">
        <f t="shared" si="91"/>
        <v>0</v>
      </c>
      <c r="AA97" s="141">
        <f t="shared" si="91"/>
        <v>0</v>
      </c>
      <c r="AB97" s="141">
        <f t="shared" si="91"/>
        <v>0</v>
      </c>
      <c r="AC97" s="141">
        <f t="shared" si="91"/>
        <v>0</v>
      </c>
      <c r="AD97" s="141">
        <f t="shared" si="91"/>
        <v>0</v>
      </c>
      <c r="AE97" s="141">
        <f t="shared" si="91"/>
        <v>0</v>
      </c>
      <c r="AF97" s="141">
        <f t="shared" si="91"/>
        <v>0</v>
      </c>
      <c r="AG97" s="141">
        <f t="shared" si="91"/>
        <v>0</v>
      </c>
      <c r="AH97" s="154" t="s">
        <v>12</v>
      </c>
      <c r="AI97" s="133"/>
      <c r="AJ97" s="170"/>
      <c r="AK97" s="133"/>
      <c r="AL97" s="133"/>
    </row>
    <row r="98" spans="1:57" ht="15.95" hidden="1" customHeight="1" x14ac:dyDescent="0.25">
      <c r="A98" s="176"/>
      <c r="B98" s="149" t="s">
        <v>65</v>
      </c>
      <c r="C98" s="141">
        <f t="shared" ref="C98:AG98" si="92">IF(D46=1,IF(C91&gt;C92,C92,0),0)</f>
        <v>0</v>
      </c>
      <c r="D98" s="141">
        <f t="shared" si="92"/>
        <v>0</v>
      </c>
      <c r="E98" s="141">
        <f t="shared" si="92"/>
        <v>0</v>
      </c>
      <c r="F98" s="141">
        <f t="shared" si="92"/>
        <v>0</v>
      </c>
      <c r="G98" s="141">
        <f t="shared" si="92"/>
        <v>0</v>
      </c>
      <c r="H98" s="141">
        <f t="shared" si="92"/>
        <v>0</v>
      </c>
      <c r="I98" s="141">
        <f t="shared" si="92"/>
        <v>0</v>
      </c>
      <c r="J98" s="141">
        <f t="shared" si="92"/>
        <v>0</v>
      </c>
      <c r="K98" s="141">
        <f t="shared" si="92"/>
        <v>0</v>
      </c>
      <c r="L98" s="141">
        <f t="shared" si="92"/>
        <v>0</v>
      </c>
      <c r="M98" s="141">
        <f t="shared" si="92"/>
        <v>0</v>
      </c>
      <c r="N98" s="141">
        <f t="shared" si="92"/>
        <v>0</v>
      </c>
      <c r="O98" s="141">
        <f t="shared" si="92"/>
        <v>0</v>
      </c>
      <c r="P98" s="141">
        <f t="shared" si="92"/>
        <v>0</v>
      </c>
      <c r="Q98" s="141">
        <f t="shared" si="92"/>
        <v>0</v>
      </c>
      <c r="R98" s="141">
        <f t="shared" si="92"/>
        <v>0</v>
      </c>
      <c r="S98" s="141">
        <f t="shared" si="92"/>
        <v>0</v>
      </c>
      <c r="T98" s="141">
        <f t="shared" si="92"/>
        <v>0</v>
      </c>
      <c r="U98" s="141">
        <f t="shared" si="92"/>
        <v>0</v>
      </c>
      <c r="V98" s="141">
        <f t="shared" si="92"/>
        <v>0</v>
      </c>
      <c r="W98" s="141">
        <f t="shared" si="92"/>
        <v>0</v>
      </c>
      <c r="X98" s="141">
        <f>IF(Y46=1,IF(X91&gt;X92,X92,0),0)</f>
        <v>0</v>
      </c>
      <c r="Y98" s="141">
        <f t="shared" si="92"/>
        <v>0</v>
      </c>
      <c r="Z98" s="141">
        <f t="shared" si="92"/>
        <v>0</v>
      </c>
      <c r="AA98" s="141">
        <f t="shared" si="92"/>
        <v>0</v>
      </c>
      <c r="AB98" s="141">
        <f t="shared" si="92"/>
        <v>0</v>
      </c>
      <c r="AC98" s="141">
        <f t="shared" si="92"/>
        <v>0</v>
      </c>
      <c r="AD98" s="141">
        <f t="shared" si="92"/>
        <v>0</v>
      </c>
      <c r="AE98" s="141">
        <f t="shared" si="92"/>
        <v>0</v>
      </c>
      <c r="AF98" s="141">
        <f t="shared" si="92"/>
        <v>0</v>
      </c>
      <c r="AG98" s="141">
        <f t="shared" si="92"/>
        <v>0</v>
      </c>
      <c r="AH98" s="154" t="s">
        <v>12</v>
      </c>
      <c r="AI98" s="133"/>
      <c r="AJ98" s="170"/>
      <c r="AK98" s="133"/>
      <c r="AL98" s="133"/>
    </row>
    <row r="99" spans="1:57" ht="15.95" hidden="1" customHeight="1" x14ac:dyDescent="0.25">
      <c r="A99" s="176"/>
      <c r="B99" s="149" t="s">
        <v>67</v>
      </c>
      <c r="C99" s="178">
        <f t="shared" ref="C99:AG99" si="93">SUM(C96:C98)</f>
        <v>0</v>
      </c>
      <c r="D99" s="178">
        <f t="shared" si="93"/>
        <v>0</v>
      </c>
      <c r="E99" s="178">
        <f t="shared" si="93"/>
        <v>0</v>
      </c>
      <c r="F99" s="178">
        <f t="shared" si="93"/>
        <v>0</v>
      </c>
      <c r="G99" s="178">
        <f t="shared" si="93"/>
        <v>0</v>
      </c>
      <c r="H99" s="178">
        <f t="shared" si="93"/>
        <v>0</v>
      </c>
      <c r="I99" s="178">
        <f t="shared" si="93"/>
        <v>0</v>
      </c>
      <c r="J99" s="178">
        <f t="shared" si="93"/>
        <v>0</v>
      </c>
      <c r="K99" s="178">
        <f t="shared" si="93"/>
        <v>0</v>
      </c>
      <c r="L99" s="178">
        <f t="shared" si="93"/>
        <v>12</v>
      </c>
      <c r="M99" s="178">
        <f t="shared" si="93"/>
        <v>12</v>
      </c>
      <c r="N99" s="178">
        <f t="shared" si="93"/>
        <v>0</v>
      </c>
      <c r="O99" s="178">
        <f t="shared" si="93"/>
        <v>0</v>
      </c>
      <c r="P99" s="178">
        <f t="shared" si="93"/>
        <v>0</v>
      </c>
      <c r="Q99" s="178">
        <f t="shared" si="93"/>
        <v>0</v>
      </c>
      <c r="R99" s="178">
        <f t="shared" si="93"/>
        <v>0</v>
      </c>
      <c r="S99" s="178">
        <f t="shared" si="93"/>
        <v>0</v>
      </c>
      <c r="T99" s="178">
        <f t="shared" si="93"/>
        <v>0</v>
      </c>
      <c r="U99" s="178">
        <f t="shared" si="93"/>
        <v>0</v>
      </c>
      <c r="V99" s="178">
        <f t="shared" si="93"/>
        <v>0</v>
      </c>
      <c r="W99" s="178">
        <f t="shared" si="93"/>
        <v>0</v>
      </c>
      <c r="X99" s="178">
        <f t="shared" si="93"/>
        <v>0</v>
      </c>
      <c r="Y99" s="178">
        <f t="shared" si="93"/>
        <v>0</v>
      </c>
      <c r="Z99" s="178">
        <f t="shared" si="93"/>
        <v>0</v>
      </c>
      <c r="AA99" s="178">
        <f t="shared" si="93"/>
        <v>0</v>
      </c>
      <c r="AB99" s="178">
        <f t="shared" si="93"/>
        <v>0</v>
      </c>
      <c r="AC99" s="178">
        <f t="shared" si="93"/>
        <v>0</v>
      </c>
      <c r="AD99" s="178">
        <f t="shared" si="93"/>
        <v>0</v>
      </c>
      <c r="AE99" s="178">
        <f t="shared" si="93"/>
        <v>0</v>
      </c>
      <c r="AF99" s="178">
        <f t="shared" si="93"/>
        <v>0</v>
      </c>
      <c r="AG99" s="178">
        <f t="shared" si="93"/>
        <v>0</v>
      </c>
      <c r="AH99" s="154" t="s">
        <v>12</v>
      </c>
      <c r="AI99" s="133"/>
      <c r="AJ99" s="170"/>
      <c r="AK99" s="133"/>
      <c r="AL99" s="133"/>
    </row>
    <row r="100" spans="1:57" ht="15.95" hidden="1" customHeight="1" x14ac:dyDescent="0.25">
      <c r="A100" s="177"/>
      <c r="B100" s="160" t="s">
        <v>68</v>
      </c>
      <c r="C100" s="161">
        <f t="shared" ref="C100:AG100" si="94">IF(C13="V",IF(C13="",0,1),0)</f>
        <v>0</v>
      </c>
      <c r="D100" s="161">
        <f t="shared" si="94"/>
        <v>0</v>
      </c>
      <c r="E100" s="161">
        <f t="shared" si="94"/>
        <v>0</v>
      </c>
      <c r="F100" s="161">
        <f t="shared" si="94"/>
        <v>0</v>
      </c>
      <c r="G100" s="161">
        <f t="shared" si="94"/>
        <v>0</v>
      </c>
      <c r="H100" s="161">
        <f t="shared" si="94"/>
        <v>0</v>
      </c>
      <c r="I100" s="161">
        <f t="shared" si="94"/>
        <v>0</v>
      </c>
      <c r="J100" s="161">
        <f t="shared" si="94"/>
        <v>0</v>
      </c>
      <c r="K100" s="161">
        <f t="shared" si="94"/>
        <v>0</v>
      </c>
      <c r="L100" s="161">
        <f t="shared" si="94"/>
        <v>0</v>
      </c>
      <c r="M100" s="161">
        <f t="shared" si="94"/>
        <v>0</v>
      </c>
      <c r="N100" s="161">
        <f t="shared" si="94"/>
        <v>0</v>
      </c>
      <c r="O100" s="161">
        <f t="shared" si="94"/>
        <v>0</v>
      </c>
      <c r="P100" s="161">
        <f t="shared" si="94"/>
        <v>0</v>
      </c>
      <c r="Q100" s="161">
        <f t="shared" si="94"/>
        <v>0</v>
      </c>
      <c r="R100" s="161">
        <f t="shared" si="94"/>
        <v>0</v>
      </c>
      <c r="S100" s="161">
        <f t="shared" si="94"/>
        <v>1</v>
      </c>
      <c r="T100" s="161">
        <f t="shared" si="94"/>
        <v>1</v>
      </c>
      <c r="U100" s="161">
        <f t="shared" si="94"/>
        <v>1</v>
      </c>
      <c r="V100" s="161">
        <f t="shared" si="94"/>
        <v>1</v>
      </c>
      <c r="W100" s="161">
        <f t="shared" si="94"/>
        <v>1</v>
      </c>
      <c r="X100" s="161">
        <f t="shared" si="94"/>
        <v>1</v>
      </c>
      <c r="Y100" s="161">
        <f t="shared" si="94"/>
        <v>1</v>
      </c>
      <c r="Z100" s="161">
        <f t="shared" si="94"/>
        <v>1</v>
      </c>
      <c r="AA100" s="161">
        <f t="shared" si="94"/>
        <v>1</v>
      </c>
      <c r="AB100" s="161">
        <f t="shared" si="94"/>
        <v>1</v>
      </c>
      <c r="AC100" s="161">
        <f t="shared" si="94"/>
        <v>1</v>
      </c>
      <c r="AD100" s="161">
        <f t="shared" si="94"/>
        <v>1</v>
      </c>
      <c r="AE100" s="161">
        <f t="shared" si="94"/>
        <v>1</v>
      </c>
      <c r="AF100" s="161">
        <f t="shared" si="94"/>
        <v>1</v>
      </c>
      <c r="AG100" s="161">
        <f t="shared" si="94"/>
        <v>1</v>
      </c>
      <c r="AH100" s="154" t="s">
        <v>12</v>
      </c>
      <c r="AI100" s="133"/>
      <c r="AJ100" s="170"/>
      <c r="AK100" s="133"/>
      <c r="AL100" s="133"/>
    </row>
    <row r="101" spans="1:57" ht="15.95" hidden="1" customHeight="1" x14ac:dyDescent="0.25">
      <c r="A101" s="173"/>
      <c r="B101" s="130" t="s">
        <v>16</v>
      </c>
      <c r="C101" s="179">
        <f t="shared" ref="C101:AG101" si="95">IF(C13="PR",IF(C13="",0,1),0)</f>
        <v>0</v>
      </c>
      <c r="D101" s="179">
        <f t="shared" si="95"/>
        <v>0</v>
      </c>
      <c r="E101" s="179">
        <f t="shared" si="95"/>
        <v>0</v>
      </c>
      <c r="F101" s="179">
        <f t="shared" si="95"/>
        <v>0</v>
      </c>
      <c r="G101" s="179">
        <f t="shared" si="95"/>
        <v>0</v>
      </c>
      <c r="H101" s="179">
        <f t="shared" si="95"/>
        <v>0</v>
      </c>
      <c r="I101" s="179">
        <f t="shared" si="95"/>
        <v>0</v>
      </c>
      <c r="J101" s="179">
        <f t="shared" si="95"/>
        <v>0</v>
      </c>
      <c r="K101" s="179">
        <f t="shared" si="95"/>
        <v>0</v>
      </c>
      <c r="L101" s="179">
        <f t="shared" si="95"/>
        <v>0</v>
      </c>
      <c r="M101" s="179">
        <f t="shared" si="95"/>
        <v>0</v>
      </c>
      <c r="N101" s="179">
        <f t="shared" si="95"/>
        <v>0</v>
      </c>
      <c r="O101" s="179">
        <f t="shared" si="95"/>
        <v>0</v>
      </c>
      <c r="P101" s="179">
        <f t="shared" si="95"/>
        <v>0</v>
      </c>
      <c r="Q101" s="179">
        <f t="shared" si="95"/>
        <v>0</v>
      </c>
      <c r="R101" s="179">
        <f t="shared" si="95"/>
        <v>0</v>
      </c>
      <c r="S101" s="179">
        <f t="shared" si="95"/>
        <v>0</v>
      </c>
      <c r="T101" s="179">
        <f t="shared" si="95"/>
        <v>0</v>
      </c>
      <c r="U101" s="179">
        <f t="shared" si="95"/>
        <v>0</v>
      </c>
      <c r="V101" s="179">
        <f t="shared" si="95"/>
        <v>0</v>
      </c>
      <c r="W101" s="179">
        <f t="shared" si="95"/>
        <v>0</v>
      </c>
      <c r="X101" s="179">
        <f t="shared" si="95"/>
        <v>0</v>
      </c>
      <c r="Y101" s="179">
        <f t="shared" si="95"/>
        <v>0</v>
      </c>
      <c r="Z101" s="179">
        <f t="shared" si="95"/>
        <v>0</v>
      </c>
      <c r="AA101" s="179">
        <f t="shared" si="95"/>
        <v>0</v>
      </c>
      <c r="AB101" s="179">
        <f t="shared" si="95"/>
        <v>0</v>
      </c>
      <c r="AC101" s="179">
        <f t="shared" si="95"/>
        <v>0</v>
      </c>
      <c r="AD101" s="179">
        <f t="shared" si="95"/>
        <v>0</v>
      </c>
      <c r="AE101" s="179">
        <f t="shared" si="95"/>
        <v>0</v>
      </c>
      <c r="AF101" s="179">
        <f t="shared" si="95"/>
        <v>0</v>
      </c>
      <c r="AG101" s="179">
        <f t="shared" si="95"/>
        <v>0</v>
      </c>
      <c r="AH101" s="229">
        <f>SUM(C101:AG101)</f>
        <v>0</v>
      </c>
      <c r="AI101" s="229"/>
      <c r="AJ101" s="174" t="s">
        <v>69</v>
      </c>
      <c r="AK101" s="133"/>
      <c r="AL101" s="133"/>
    </row>
    <row r="102" spans="1:57" ht="15.95" hidden="1" customHeight="1" x14ac:dyDescent="0.25">
      <c r="A102" s="164" t="s">
        <v>79</v>
      </c>
      <c r="B102" s="165" t="s">
        <v>29</v>
      </c>
      <c r="C102" s="141" t="str">
        <f t="shared" ref="C102:AG102" si="96">IF(C14=$R32,$S32*24,IF(C14=$R33,$S33*24,IF(C14=$R34,$S34*24,IF(C14=$R35,$S35*24,IF(C14=$R36,$S36*24,IF(C14=$R37,$S37*24,IF(C14=$R38,$S38*24,IF(C14=$R39,$S39*24,IF(C14=$R40,$S40*24,"")))))))))</f>
        <v/>
      </c>
      <c r="D102" s="141">
        <f t="shared" si="96"/>
        <v>6</v>
      </c>
      <c r="E102" s="141">
        <f t="shared" si="96"/>
        <v>6</v>
      </c>
      <c r="F102" s="141">
        <f t="shared" si="96"/>
        <v>6</v>
      </c>
      <c r="G102" s="141" t="str">
        <f t="shared" si="96"/>
        <v/>
      </c>
      <c r="H102" s="141" t="str">
        <f t="shared" si="96"/>
        <v/>
      </c>
      <c r="I102" s="141">
        <f t="shared" si="96"/>
        <v>6</v>
      </c>
      <c r="J102" s="141">
        <f t="shared" si="96"/>
        <v>6</v>
      </c>
      <c r="K102" s="141" t="str">
        <f t="shared" si="96"/>
        <v/>
      </c>
      <c r="L102" s="141" t="str">
        <f t="shared" si="96"/>
        <v/>
      </c>
      <c r="M102" s="141" t="str">
        <f t="shared" si="96"/>
        <v/>
      </c>
      <c r="N102" s="141">
        <f t="shared" si="96"/>
        <v>6</v>
      </c>
      <c r="O102" s="141">
        <f t="shared" si="96"/>
        <v>6</v>
      </c>
      <c r="P102" s="141">
        <f t="shared" si="96"/>
        <v>22</v>
      </c>
      <c r="Q102" s="141" t="str">
        <f t="shared" si="96"/>
        <v/>
      </c>
      <c r="R102" s="141">
        <f t="shared" si="96"/>
        <v>6</v>
      </c>
      <c r="S102" s="141">
        <f t="shared" si="96"/>
        <v>6</v>
      </c>
      <c r="T102" s="141">
        <f t="shared" si="96"/>
        <v>6</v>
      </c>
      <c r="U102" s="141" t="str">
        <f t="shared" si="96"/>
        <v/>
      </c>
      <c r="V102" s="141" t="str">
        <f t="shared" si="96"/>
        <v/>
      </c>
      <c r="W102" s="141">
        <f t="shared" si="96"/>
        <v>6</v>
      </c>
      <c r="X102" s="141">
        <f t="shared" si="96"/>
        <v>6</v>
      </c>
      <c r="Y102" s="141">
        <f t="shared" si="96"/>
        <v>6</v>
      </c>
      <c r="Z102" s="141" t="str">
        <f t="shared" si="96"/>
        <v/>
      </c>
      <c r="AA102" s="141" t="str">
        <f t="shared" si="96"/>
        <v/>
      </c>
      <c r="AB102" s="141">
        <f t="shared" si="96"/>
        <v>6</v>
      </c>
      <c r="AC102" s="141">
        <f t="shared" si="96"/>
        <v>6</v>
      </c>
      <c r="AD102" s="141">
        <f t="shared" si="96"/>
        <v>18</v>
      </c>
      <c r="AE102" s="141" t="str">
        <f t="shared" si="96"/>
        <v/>
      </c>
      <c r="AF102" s="141">
        <f t="shared" si="96"/>
        <v>6</v>
      </c>
      <c r="AG102" s="141">
        <f t="shared" si="96"/>
        <v>6</v>
      </c>
      <c r="AH102" s="154" t="s">
        <v>12</v>
      </c>
      <c r="AI102" s="133"/>
      <c r="AJ102" s="170"/>
      <c r="AK102" s="133"/>
      <c r="AL102" s="133"/>
    </row>
    <row r="103" spans="1:57" ht="15.95" hidden="1" customHeight="1" x14ac:dyDescent="0.25">
      <c r="A103" s="166" t="s">
        <v>80</v>
      </c>
      <c r="B103" s="167" t="s">
        <v>30</v>
      </c>
      <c r="C103" s="141" t="str">
        <f t="shared" ref="C103:AG103" si="97">IF(C14=$R32,$V32*24,IF(C14=$R33,$V33*24,IF(C14=$R34,$V34*24,IF(C14=$R35,$V35*24,IF(C14=$R36,$V36*24,IF(C14=$R37,$V37*24,IF(C14=$R38,$V38*24,IF(C14=$R39,$V39*24,IF(C14=$R40,$V40*24,"")))))))))</f>
        <v/>
      </c>
      <c r="D103" s="141">
        <f t="shared" si="97"/>
        <v>18</v>
      </c>
      <c r="E103" s="141">
        <f t="shared" si="97"/>
        <v>18</v>
      </c>
      <c r="F103" s="141">
        <f t="shared" si="97"/>
        <v>18</v>
      </c>
      <c r="G103" s="141" t="str">
        <f t="shared" si="97"/>
        <v/>
      </c>
      <c r="H103" s="141" t="str">
        <f t="shared" si="97"/>
        <v/>
      </c>
      <c r="I103" s="141">
        <f t="shared" si="97"/>
        <v>18</v>
      </c>
      <c r="J103" s="141">
        <f t="shared" si="97"/>
        <v>18</v>
      </c>
      <c r="K103" s="141" t="str">
        <f t="shared" si="97"/>
        <v/>
      </c>
      <c r="L103" s="141" t="str">
        <f t="shared" si="97"/>
        <v/>
      </c>
      <c r="M103" s="141" t="str">
        <f t="shared" si="97"/>
        <v/>
      </c>
      <c r="N103" s="141">
        <f t="shared" si="97"/>
        <v>18</v>
      </c>
      <c r="O103" s="141">
        <f t="shared" si="97"/>
        <v>18</v>
      </c>
      <c r="P103" s="141">
        <f t="shared" si="97"/>
        <v>6</v>
      </c>
      <c r="Q103" s="141" t="str">
        <f t="shared" si="97"/>
        <v/>
      </c>
      <c r="R103" s="141">
        <f t="shared" si="97"/>
        <v>18</v>
      </c>
      <c r="S103" s="141">
        <f t="shared" si="97"/>
        <v>18</v>
      </c>
      <c r="T103" s="141">
        <f t="shared" si="97"/>
        <v>18</v>
      </c>
      <c r="U103" s="141" t="str">
        <f t="shared" si="97"/>
        <v/>
      </c>
      <c r="V103" s="141" t="str">
        <f t="shared" si="97"/>
        <v/>
      </c>
      <c r="W103" s="141">
        <f t="shared" si="97"/>
        <v>18</v>
      </c>
      <c r="X103" s="141">
        <f t="shared" si="97"/>
        <v>18</v>
      </c>
      <c r="Y103" s="141">
        <f t="shared" si="97"/>
        <v>18</v>
      </c>
      <c r="Z103" s="141" t="str">
        <f t="shared" si="97"/>
        <v/>
      </c>
      <c r="AA103" s="141" t="str">
        <f t="shared" si="97"/>
        <v/>
      </c>
      <c r="AB103" s="141">
        <f t="shared" si="97"/>
        <v>18</v>
      </c>
      <c r="AC103" s="141">
        <f t="shared" si="97"/>
        <v>18</v>
      </c>
      <c r="AD103" s="141">
        <f t="shared" si="97"/>
        <v>6</v>
      </c>
      <c r="AE103" s="141" t="str">
        <f t="shared" si="97"/>
        <v/>
      </c>
      <c r="AF103" s="141">
        <f t="shared" si="97"/>
        <v>18</v>
      </c>
      <c r="AG103" s="141">
        <f t="shared" si="97"/>
        <v>18</v>
      </c>
      <c r="AH103" s="154" t="s">
        <v>12</v>
      </c>
      <c r="AI103" s="133"/>
      <c r="AJ103" s="170"/>
      <c r="AK103" s="133"/>
      <c r="AL103" s="133"/>
    </row>
    <row r="104" spans="1:57" ht="15.95" hidden="1" customHeight="1" x14ac:dyDescent="0.25">
      <c r="A104" s="153"/>
      <c r="B104" s="168" t="s">
        <v>34</v>
      </c>
      <c r="C104" s="169" t="str">
        <f t="shared" ref="C104:AD104" si="98">IF(C14=$R32,$BD32*24,IF(C14=$R33,$BD33*24,IF(C14=$R34,$BD34*24,IF(C14=$R35,$BD35*24,IF(C14=$R36,$BD36*24,IF(C14=$R37,$BD37*24,IF(C14=$R38,$BD38*24,IF(C14=$R39,$BD39*24,IF(C14=$R40,$BD40*24,"")))))))))</f>
        <v/>
      </c>
      <c r="D104" s="169">
        <f t="shared" si="98"/>
        <v>0</v>
      </c>
      <c r="E104" s="169">
        <f t="shared" si="98"/>
        <v>0</v>
      </c>
      <c r="F104" s="169">
        <f t="shared" si="98"/>
        <v>0</v>
      </c>
      <c r="G104" s="169" t="str">
        <f t="shared" si="98"/>
        <v/>
      </c>
      <c r="H104" s="169" t="str">
        <f t="shared" si="98"/>
        <v/>
      </c>
      <c r="I104" s="169">
        <f t="shared" si="98"/>
        <v>0</v>
      </c>
      <c r="J104" s="169">
        <f t="shared" si="98"/>
        <v>0</v>
      </c>
      <c r="K104" s="169" t="str">
        <f t="shared" si="98"/>
        <v/>
      </c>
      <c r="L104" s="169" t="str">
        <f t="shared" si="98"/>
        <v/>
      </c>
      <c r="M104" s="169" t="str">
        <f t="shared" si="98"/>
        <v/>
      </c>
      <c r="N104" s="169">
        <f t="shared" si="98"/>
        <v>0</v>
      </c>
      <c r="O104" s="169">
        <f t="shared" si="98"/>
        <v>0</v>
      </c>
      <c r="P104" s="169">
        <f t="shared" si="98"/>
        <v>8</v>
      </c>
      <c r="Q104" s="169" t="str">
        <f t="shared" si="98"/>
        <v/>
      </c>
      <c r="R104" s="169">
        <f t="shared" si="98"/>
        <v>0</v>
      </c>
      <c r="S104" s="169">
        <f t="shared" si="98"/>
        <v>0</v>
      </c>
      <c r="T104" s="169">
        <f t="shared" si="98"/>
        <v>0</v>
      </c>
      <c r="U104" s="169" t="str">
        <f t="shared" si="98"/>
        <v/>
      </c>
      <c r="V104" s="169" t="str">
        <f t="shared" si="98"/>
        <v/>
      </c>
      <c r="W104" s="169">
        <f t="shared" si="98"/>
        <v>0</v>
      </c>
      <c r="X104" s="169">
        <f t="shared" si="98"/>
        <v>0</v>
      </c>
      <c r="Y104" s="169">
        <f t="shared" si="98"/>
        <v>0</v>
      </c>
      <c r="Z104" s="169" t="str">
        <f t="shared" si="98"/>
        <v/>
      </c>
      <c r="AA104" s="169" t="str">
        <f t="shared" si="98"/>
        <v/>
      </c>
      <c r="AB104" s="169">
        <f t="shared" si="98"/>
        <v>0</v>
      </c>
      <c r="AC104" s="169">
        <f t="shared" si="98"/>
        <v>0</v>
      </c>
      <c r="AD104" s="169">
        <f t="shared" si="98"/>
        <v>8</v>
      </c>
      <c r="AE104" s="169" t="str">
        <f>IF(AE14=$R32,$BD32*24,IF(AE14=$R33,$BD33*24,IF(AE14=$R34,$BD34*24,IF(AE14=$R35,$BD35*24,IF(AE14=$R36,$BD36*24,IF(AE14=$R37,$BD37*24,IF(AE14=$R38,$BD38*24,IF(AE14=$R39,$BD39*24,IF(AE14=$R40,$BD40*24,"")))))))))</f>
        <v/>
      </c>
      <c r="AF104" s="169">
        <f>IF(AF14=$R32,$BD32*24,IF(AF14=$R33,$BD33*24,IF(AF14=$R34,$BD34*24,IF(AF14=$R35,$BD35*24,IF(AF14=$R36,$BD36*24,IF(AF14=$R37,$BD37*24,IF(AF14=$R38,$BD38*24,IF(AF14=$R39,$BD39*24,IF(AF14=$R40,$BD40*24,"")))))))))</f>
        <v>0</v>
      </c>
      <c r="AG104" s="169">
        <f>IF(AG14=$R32,$BD32*24,IF(AG14=$R33,$BD33*24,IF(AG14=$R34,$BD34*24,IF(AG14=$R35,$BD35*24,IF(AG14=$R36,$BD36*24,IF(AG14=$R37,$BD37*24,IF(AG14=$R38,$BD38*24,IF(AG14=$R39,$BD39*24,IF(AG14=$R40,$BD40*24,"")))))))))</f>
        <v>0</v>
      </c>
      <c r="AH104" s="148">
        <f>SUM(C104:AG104)</f>
        <v>16</v>
      </c>
      <c r="AI104" s="133"/>
      <c r="AJ104" s="170"/>
      <c r="AK104" s="133"/>
      <c r="AL104" s="133"/>
    </row>
    <row r="105" spans="1:57" ht="15.95" hidden="1" customHeight="1" x14ac:dyDescent="0.25">
      <c r="A105" s="153"/>
      <c r="B105" s="167" t="s">
        <v>59</v>
      </c>
      <c r="C105" s="141">
        <f t="shared" ref="C105:AG105" si="99">IF(C14="V",$C36,IF(C14="PR",$C38,0))</f>
        <v>0</v>
      </c>
      <c r="D105" s="141">
        <f t="shared" si="99"/>
        <v>0</v>
      </c>
      <c r="E105" s="141">
        <f t="shared" si="99"/>
        <v>0</v>
      </c>
      <c r="F105" s="141">
        <f t="shared" si="99"/>
        <v>0</v>
      </c>
      <c r="G105" s="141">
        <f t="shared" si="99"/>
        <v>0</v>
      </c>
      <c r="H105" s="141">
        <f t="shared" si="99"/>
        <v>0</v>
      </c>
      <c r="I105" s="141">
        <f t="shared" si="99"/>
        <v>0</v>
      </c>
      <c r="J105" s="141">
        <f t="shared" si="99"/>
        <v>0</v>
      </c>
      <c r="K105" s="141">
        <f t="shared" si="99"/>
        <v>0</v>
      </c>
      <c r="L105" s="141">
        <f t="shared" si="99"/>
        <v>0</v>
      </c>
      <c r="M105" s="141">
        <f t="shared" si="99"/>
        <v>0</v>
      </c>
      <c r="N105" s="141">
        <f t="shared" si="99"/>
        <v>0</v>
      </c>
      <c r="O105" s="141">
        <f t="shared" si="99"/>
        <v>0</v>
      </c>
      <c r="P105" s="141">
        <f t="shared" si="99"/>
        <v>0</v>
      </c>
      <c r="Q105" s="141">
        <f t="shared" si="99"/>
        <v>0</v>
      </c>
      <c r="R105" s="141">
        <f t="shared" si="99"/>
        <v>0</v>
      </c>
      <c r="S105" s="141">
        <f t="shared" si="99"/>
        <v>0</v>
      </c>
      <c r="T105" s="141">
        <f t="shared" si="99"/>
        <v>0</v>
      </c>
      <c r="U105" s="141">
        <f t="shared" si="99"/>
        <v>0</v>
      </c>
      <c r="V105" s="141">
        <f t="shared" si="99"/>
        <v>0</v>
      </c>
      <c r="W105" s="141">
        <f t="shared" si="99"/>
        <v>0</v>
      </c>
      <c r="X105" s="141">
        <f t="shared" si="99"/>
        <v>0</v>
      </c>
      <c r="Y105" s="141">
        <f t="shared" si="99"/>
        <v>0</v>
      </c>
      <c r="Z105" s="141">
        <f t="shared" si="99"/>
        <v>0</v>
      </c>
      <c r="AA105" s="141">
        <f t="shared" si="99"/>
        <v>0</v>
      </c>
      <c r="AB105" s="141">
        <f t="shared" si="99"/>
        <v>0</v>
      </c>
      <c r="AC105" s="141">
        <f t="shared" si="99"/>
        <v>0</v>
      </c>
      <c r="AD105" s="141">
        <f t="shared" si="99"/>
        <v>0</v>
      </c>
      <c r="AE105" s="141">
        <f t="shared" si="99"/>
        <v>0</v>
      </c>
      <c r="AF105" s="141">
        <f t="shared" si="99"/>
        <v>0</v>
      </c>
      <c r="AG105" s="141">
        <f t="shared" si="99"/>
        <v>0</v>
      </c>
      <c r="AH105" s="226">
        <f>SUM(C105:AG105)</f>
        <v>0</v>
      </c>
      <c r="AI105" s="226"/>
      <c r="AJ105" s="230">
        <f>SUM(AH50+AH61+AH72+AH83+AH94+AH105)</f>
        <v>156.6</v>
      </c>
      <c r="AK105" s="230"/>
      <c r="AL105" s="133" t="s">
        <v>56</v>
      </c>
      <c r="AM105" s="1" t="s">
        <v>12</v>
      </c>
    </row>
    <row r="106" spans="1:57" ht="15.95" hidden="1" customHeight="1" x14ac:dyDescent="0.25">
      <c r="A106" s="150" t="s">
        <v>60</v>
      </c>
      <c r="B106" s="167" t="s">
        <v>61</v>
      </c>
      <c r="C106" s="151">
        <f t="shared" ref="C106:AD106" si="100">IF(C14=$R32,$BC32,IF(C14=$R33,$BC33,IF(C14=$R34,$BC34,IF(C14=$R35,$BC35,IF(C14=$R36,$BC36,IF(C14=$R37,$BC37,IF(C14=$R38,$BC38,IF(C14=$R39,$BC39,IF(C14=$R40,$BC40,0)))))))))</f>
        <v>0</v>
      </c>
      <c r="D106" s="151">
        <f t="shared" si="100"/>
        <v>12</v>
      </c>
      <c r="E106" s="151">
        <f t="shared" si="100"/>
        <v>12</v>
      </c>
      <c r="F106" s="151">
        <f t="shared" si="100"/>
        <v>12</v>
      </c>
      <c r="G106" s="151">
        <f t="shared" si="100"/>
        <v>0</v>
      </c>
      <c r="H106" s="151">
        <f t="shared" si="100"/>
        <v>0</v>
      </c>
      <c r="I106" s="151">
        <f t="shared" si="100"/>
        <v>12</v>
      </c>
      <c r="J106" s="151">
        <f t="shared" si="100"/>
        <v>12</v>
      </c>
      <c r="K106" s="151">
        <f t="shared" si="100"/>
        <v>0</v>
      </c>
      <c r="L106" s="151">
        <f t="shared" si="100"/>
        <v>0</v>
      </c>
      <c r="M106" s="151">
        <f t="shared" si="100"/>
        <v>0</v>
      </c>
      <c r="N106" s="151">
        <f t="shared" si="100"/>
        <v>12</v>
      </c>
      <c r="O106" s="151">
        <f t="shared" si="100"/>
        <v>12</v>
      </c>
      <c r="P106" s="151">
        <f t="shared" si="100"/>
        <v>7.9999999999999716</v>
      </c>
      <c r="Q106" s="151">
        <f t="shared" si="100"/>
        <v>0</v>
      </c>
      <c r="R106" s="151">
        <f t="shared" si="100"/>
        <v>12</v>
      </c>
      <c r="S106" s="151">
        <f t="shared" si="100"/>
        <v>12</v>
      </c>
      <c r="T106" s="151">
        <f t="shared" si="100"/>
        <v>12</v>
      </c>
      <c r="U106" s="151">
        <f t="shared" si="100"/>
        <v>0</v>
      </c>
      <c r="V106" s="151">
        <f t="shared" si="100"/>
        <v>0</v>
      </c>
      <c r="W106" s="151">
        <f t="shared" si="100"/>
        <v>12</v>
      </c>
      <c r="X106" s="151">
        <f t="shared" si="100"/>
        <v>12</v>
      </c>
      <c r="Y106" s="151">
        <f t="shared" si="100"/>
        <v>12</v>
      </c>
      <c r="Z106" s="151">
        <f t="shared" si="100"/>
        <v>0</v>
      </c>
      <c r="AA106" s="151">
        <f t="shared" si="100"/>
        <v>0</v>
      </c>
      <c r="AB106" s="151">
        <f t="shared" si="100"/>
        <v>12</v>
      </c>
      <c r="AC106" s="151">
        <f t="shared" si="100"/>
        <v>12</v>
      </c>
      <c r="AD106" s="151">
        <f t="shared" si="100"/>
        <v>12</v>
      </c>
      <c r="AE106" s="151">
        <f>IF(AE14=$R32,$BC32,IF(AE14=$R33,$BC33,IF(AE14=$R34,$BC34,IF(AE14=$R35,$BC35,IF(AE14=$R36,$BC36,IF(AE14=$R37,$BC37,IF(AE14=$R38,$BC38,IF(AE14=$R39,$BC39,IF(AE14=$R40,$BC40,0)))))))))</f>
        <v>0</v>
      </c>
      <c r="AF106" s="151">
        <f>IF(AF14=$R32,$BC32,IF(AF14=$R33,$BC33,IF(AF14=$R34,$BC34,IF(AF14=$R35,$BC35,IF(AF14=$R36,$BC36,IF(AF14=$R37,$BC37,IF(AF14=$R38,$BC38,IF(AF14=$R39,$BC39,IF(AF14=$R40,$BC40,0)))))))))</f>
        <v>12</v>
      </c>
      <c r="AG106" s="151">
        <f>IF(AG14=$R32,$BC32,IF(AG14=$R33,$BC33,IF(AG14=$R34,$BC34,IF(AG14=$R35,$BC35,IF(AG14=$R36,$BC36,IF(AG14=$R37,$BC37,IF(AG14=$R38,$BC38,IF(AG14=$R39,$BC39,IF(AG14=$R40,$BC40,0)))))))))</f>
        <v>12</v>
      </c>
      <c r="AH106" s="226">
        <f>SUM(C106:AG106)</f>
        <v>223.99999999999997</v>
      </c>
      <c r="AI106" s="226"/>
      <c r="AJ106" s="174" t="s">
        <v>62</v>
      </c>
      <c r="AK106" s="133" t="s">
        <v>12</v>
      </c>
      <c r="AL106" s="133"/>
    </row>
    <row r="107" spans="1:57" ht="15.95" hidden="1" customHeight="1" x14ac:dyDescent="0.25">
      <c r="A107" s="153" t="s">
        <v>48</v>
      </c>
      <c r="B107" s="149" t="s">
        <v>63</v>
      </c>
      <c r="C107" s="141" t="b">
        <f t="shared" ref="C107:AG107" si="101">IF(C46=1,IF(C102&lt;C103,C106,0))</f>
        <v>0</v>
      </c>
      <c r="D107" s="141" t="b">
        <f t="shared" si="101"/>
        <v>0</v>
      </c>
      <c r="E107" s="141">
        <f t="shared" si="101"/>
        <v>12</v>
      </c>
      <c r="F107" s="141">
        <f t="shared" si="101"/>
        <v>12</v>
      </c>
      <c r="G107" s="141" t="b">
        <f t="shared" si="101"/>
        <v>0</v>
      </c>
      <c r="H107" s="141" t="b">
        <f t="shared" si="101"/>
        <v>0</v>
      </c>
      <c r="I107" s="141" t="b">
        <f t="shared" si="101"/>
        <v>0</v>
      </c>
      <c r="J107" s="141" t="b">
        <f t="shared" si="101"/>
        <v>0</v>
      </c>
      <c r="K107" s="141" t="b">
        <f t="shared" si="101"/>
        <v>0</v>
      </c>
      <c r="L107" s="141">
        <f t="shared" si="101"/>
        <v>0</v>
      </c>
      <c r="M107" s="141">
        <f t="shared" si="101"/>
        <v>0</v>
      </c>
      <c r="N107" s="141" t="b">
        <f t="shared" si="101"/>
        <v>0</v>
      </c>
      <c r="O107" s="141" t="b">
        <f t="shared" si="101"/>
        <v>0</v>
      </c>
      <c r="P107" s="141" t="b">
        <f t="shared" si="101"/>
        <v>0</v>
      </c>
      <c r="Q107" s="141" t="b">
        <f t="shared" si="101"/>
        <v>0</v>
      </c>
      <c r="R107" s="141" t="b">
        <f t="shared" si="101"/>
        <v>0</v>
      </c>
      <c r="S107" s="141">
        <f t="shared" si="101"/>
        <v>12</v>
      </c>
      <c r="T107" s="141">
        <f t="shared" si="101"/>
        <v>12</v>
      </c>
      <c r="U107" s="141" t="b">
        <f t="shared" si="101"/>
        <v>0</v>
      </c>
      <c r="V107" s="141" t="b">
        <f t="shared" si="101"/>
        <v>0</v>
      </c>
      <c r="W107" s="141" t="b">
        <f t="shared" si="101"/>
        <v>0</v>
      </c>
      <c r="X107" s="141" t="b">
        <f t="shared" si="101"/>
        <v>0</v>
      </c>
      <c r="Y107" s="141" t="b">
        <f t="shared" si="101"/>
        <v>0</v>
      </c>
      <c r="Z107" s="141">
        <f t="shared" si="101"/>
        <v>0</v>
      </c>
      <c r="AA107" s="141">
        <f t="shared" si="101"/>
        <v>0</v>
      </c>
      <c r="AB107" s="141" t="b">
        <f t="shared" si="101"/>
        <v>0</v>
      </c>
      <c r="AC107" s="141" t="b">
        <f t="shared" si="101"/>
        <v>0</v>
      </c>
      <c r="AD107" s="141" t="b">
        <f t="shared" si="101"/>
        <v>0</v>
      </c>
      <c r="AE107" s="141" t="b">
        <f t="shared" si="101"/>
        <v>0</v>
      </c>
      <c r="AF107" s="141" t="b">
        <f t="shared" si="101"/>
        <v>0</v>
      </c>
      <c r="AG107" s="141">
        <f t="shared" si="101"/>
        <v>12</v>
      </c>
      <c r="AH107" s="154" t="s">
        <v>12</v>
      </c>
      <c r="AI107" s="133"/>
      <c r="AJ107" s="170"/>
      <c r="AK107" s="133"/>
      <c r="AL107" s="133"/>
      <c r="BE107" s="31"/>
    </row>
    <row r="108" spans="1:57" ht="15.95" hidden="1" customHeight="1" x14ac:dyDescent="0.25">
      <c r="A108" s="176"/>
      <c r="B108" s="149" t="s">
        <v>64</v>
      </c>
      <c r="C108" s="141">
        <f>IF(C46=1,IF(C113&gt;C114,24-C113,0),0)</f>
        <v>0</v>
      </c>
      <c r="D108" s="141">
        <f t="shared" ref="D108:AG108" si="102">IF(D46=1,IF(D102&gt;D103,24-D102,0),0)</f>
        <v>0</v>
      </c>
      <c r="E108" s="141">
        <f t="shared" si="102"/>
        <v>0</v>
      </c>
      <c r="F108" s="141">
        <f t="shared" si="102"/>
        <v>0</v>
      </c>
      <c r="G108" s="141">
        <f t="shared" si="102"/>
        <v>0</v>
      </c>
      <c r="H108" s="141">
        <f t="shared" si="102"/>
        <v>0</v>
      </c>
      <c r="I108" s="141">
        <f t="shared" si="102"/>
        <v>0</v>
      </c>
      <c r="J108" s="141">
        <f t="shared" si="102"/>
        <v>0</v>
      </c>
      <c r="K108" s="141">
        <f t="shared" si="102"/>
        <v>0</v>
      </c>
      <c r="L108" s="141">
        <f t="shared" si="102"/>
        <v>0</v>
      </c>
      <c r="M108" s="141">
        <f t="shared" si="102"/>
        <v>0</v>
      </c>
      <c r="N108" s="141">
        <f t="shared" si="102"/>
        <v>0</v>
      </c>
      <c r="O108" s="141">
        <f t="shared" si="102"/>
        <v>0</v>
      </c>
      <c r="P108" s="141">
        <f t="shared" si="102"/>
        <v>0</v>
      </c>
      <c r="Q108" s="141">
        <f t="shared" si="102"/>
        <v>0</v>
      </c>
      <c r="R108" s="141">
        <f t="shared" si="102"/>
        <v>0</v>
      </c>
      <c r="S108" s="141">
        <f t="shared" si="102"/>
        <v>0</v>
      </c>
      <c r="T108" s="141">
        <f t="shared" si="102"/>
        <v>0</v>
      </c>
      <c r="U108" s="141">
        <f t="shared" si="102"/>
        <v>0</v>
      </c>
      <c r="V108" s="141">
        <f t="shared" si="102"/>
        <v>0</v>
      </c>
      <c r="W108" s="141">
        <f t="shared" si="102"/>
        <v>0</v>
      </c>
      <c r="X108" s="141">
        <f t="shared" si="102"/>
        <v>0</v>
      </c>
      <c r="Y108" s="141">
        <f t="shared" si="102"/>
        <v>0</v>
      </c>
      <c r="Z108" s="141">
        <f t="shared" si="102"/>
        <v>0</v>
      </c>
      <c r="AA108" s="141">
        <f t="shared" si="102"/>
        <v>0</v>
      </c>
      <c r="AB108" s="141">
        <f t="shared" si="102"/>
        <v>0</v>
      </c>
      <c r="AC108" s="141">
        <f t="shared" si="102"/>
        <v>0</v>
      </c>
      <c r="AD108" s="141">
        <f t="shared" si="102"/>
        <v>0</v>
      </c>
      <c r="AE108" s="141">
        <f t="shared" si="102"/>
        <v>0</v>
      </c>
      <c r="AF108" s="141">
        <f t="shared" si="102"/>
        <v>0</v>
      </c>
      <c r="AG108" s="141">
        <f t="shared" si="102"/>
        <v>0</v>
      </c>
      <c r="AH108" s="154" t="s">
        <v>12</v>
      </c>
      <c r="AI108" s="133"/>
      <c r="AJ108" s="170"/>
      <c r="AK108" s="133"/>
      <c r="AL108" s="133"/>
    </row>
    <row r="109" spans="1:57" ht="15.95" hidden="1" customHeight="1" x14ac:dyDescent="0.25">
      <c r="A109" s="176"/>
      <c r="B109" s="149" t="s">
        <v>65</v>
      </c>
      <c r="C109" s="141">
        <f t="shared" ref="C109:AG109" si="103">IF(D46=1,IF(C102&gt;C103,C103,0),0)</f>
        <v>0</v>
      </c>
      <c r="D109" s="141">
        <f t="shared" si="103"/>
        <v>0</v>
      </c>
      <c r="E109" s="141">
        <f t="shared" si="103"/>
        <v>0</v>
      </c>
      <c r="F109" s="141">
        <f t="shared" si="103"/>
        <v>0</v>
      </c>
      <c r="G109" s="141">
        <f t="shared" si="103"/>
        <v>0</v>
      </c>
      <c r="H109" s="141">
        <f t="shared" si="103"/>
        <v>0</v>
      </c>
      <c r="I109" s="141">
        <f t="shared" si="103"/>
        <v>0</v>
      </c>
      <c r="J109" s="141">
        <f t="shared" si="103"/>
        <v>0</v>
      </c>
      <c r="K109" s="141">
        <f t="shared" si="103"/>
        <v>0</v>
      </c>
      <c r="L109" s="141">
        <f t="shared" si="103"/>
        <v>0</v>
      </c>
      <c r="M109" s="141">
        <f t="shared" si="103"/>
        <v>0</v>
      </c>
      <c r="N109" s="141">
        <f t="shared" si="103"/>
        <v>0</v>
      </c>
      <c r="O109" s="141">
        <f t="shared" si="103"/>
        <v>0</v>
      </c>
      <c r="P109" s="141">
        <f t="shared" si="103"/>
        <v>0</v>
      </c>
      <c r="Q109" s="141">
        <f t="shared" si="103"/>
        <v>0</v>
      </c>
      <c r="R109" s="141">
        <f t="shared" si="103"/>
        <v>0</v>
      </c>
      <c r="S109" s="141">
        <f t="shared" si="103"/>
        <v>0</v>
      </c>
      <c r="T109" s="141">
        <f t="shared" si="103"/>
        <v>0</v>
      </c>
      <c r="U109" s="141">
        <f t="shared" si="103"/>
        <v>0</v>
      </c>
      <c r="V109" s="141">
        <f t="shared" si="103"/>
        <v>0</v>
      </c>
      <c r="W109" s="141">
        <f t="shared" si="103"/>
        <v>0</v>
      </c>
      <c r="X109" s="141">
        <f>IF(Y46=1,IF(X102&gt;X103,X103,0),0)</f>
        <v>0</v>
      </c>
      <c r="Y109" s="141">
        <f t="shared" si="103"/>
        <v>0</v>
      </c>
      <c r="Z109" s="141">
        <f t="shared" si="103"/>
        <v>0</v>
      </c>
      <c r="AA109" s="141">
        <f t="shared" si="103"/>
        <v>0</v>
      </c>
      <c r="AB109" s="141">
        <f t="shared" si="103"/>
        <v>0</v>
      </c>
      <c r="AC109" s="141">
        <f t="shared" si="103"/>
        <v>0</v>
      </c>
      <c r="AD109" s="141">
        <f t="shared" si="103"/>
        <v>0</v>
      </c>
      <c r="AE109" s="141">
        <f t="shared" si="103"/>
        <v>0</v>
      </c>
      <c r="AF109" s="141">
        <f t="shared" si="103"/>
        <v>0</v>
      </c>
      <c r="AG109" s="141">
        <f t="shared" si="103"/>
        <v>0</v>
      </c>
      <c r="AH109" s="154" t="s">
        <v>12</v>
      </c>
      <c r="AI109" s="133"/>
      <c r="AJ109" s="170"/>
      <c r="AK109" s="133"/>
      <c r="AL109" s="133"/>
    </row>
    <row r="110" spans="1:57" ht="15.95" hidden="1" customHeight="1" x14ac:dyDescent="0.25">
      <c r="A110" s="176"/>
      <c r="B110" s="149" t="s">
        <v>67</v>
      </c>
      <c r="C110" s="171">
        <f t="shared" ref="C110:AG110" si="104">SUM(C107:C109)</f>
        <v>0</v>
      </c>
      <c r="D110" s="171">
        <f t="shared" si="104"/>
        <v>0</v>
      </c>
      <c r="E110" s="171">
        <f t="shared" si="104"/>
        <v>12</v>
      </c>
      <c r="F110" s="171">
        <f t="shared" si="104"/>
        <v>12</v>
      </c>
      <c r="G110" s="171">
        <f t="shared" si="104"/>
        <v>0</v>
      </c>
      <c r="H110" s="171">
        <f t="shared" si="104"/>
        <v>0</v>
      </c>
      <c r="I110" s="171">
        <f t="shared" si="104"/>
        <v>0</v>
      </c>
      <c r="J110" s="171">
        <f t="shared" si="104"/>
        <v>0</v>
      </c>
      <c r="K110" s="171">
        <f t="shared" si="104"/>
        <v>0</v>
      </c>
      <c r="L110" s="171">
        <f t="shared" si="104"/>
        <v>0</v>
      </c>
      <c r="M110" s="171">
        <f t="shared" si="104"/>
        <v>0</v>
      </c>
      <c r="N110" s="171">
        <f t="shared" si="104"/>
        <v>0</v>
      </c>
      <c r="O110" s="171">
        <f t="shared" si="104"/>
        <v>0</v>
      </c>
      <c r="P110" s="171">
        <f t="shared" si="104"/>
        <v>0</v>
      </c>
      <c r="Q110" s="171">
        <f t="shared" si="104"/>
        <v>0</v>
      </c>
      <c r="R110" s="171">
        <f t="shared" si="104"/>
        <v>0</v>
      </c>
      <c r="S110" s="171">
        <f t="shared" si="104"/>
        <v>12</v>
      </c>
      <c r="T110" s="171">
        <f t="shared" si="104"/>
        <v>12</v>
      </c>
      <c r="U110" s="171">
        <f t="shared" si="104"/>
        <v>0</v>
      </c>
      <c r="V110" s="171">
        <f t="shared" si="104"/>
        <v>0</v>
      </c>
      <c r="W110" s="171">
        <f t="shared" si="104"/>
        <v>0</v>
      </c>
      <c r="X110" s="171">
        <f t="shared" si="104"/>
        <v>0</v>
      </c>
      <c r="Y110" s="171">
        <f t="shared" si="104"/>
        <v>0</v>
      </c>
      <c r="Z110" s="171">
        <f t="shared" si="104"/>
        <v>0</v>
      </c>
      <c r="AA110" s="171">
        <f t="shared" si="104"/>
        <v>0</v>
      </c>
      <c r="AB110" s="171">
        <f t="shared" si="104"/>
        <v>0</v>
      </c>
      <c r="AC110" s="171">
        <f t="shared" si="104"/>
        <v>0</v>
      </c>
      <c r="AD110" s="171">
        <f t="shared" si="104"/>
        <v>0</v>
      </c>
      <c r="AE110" s="171">
        <f t="shared" si="104"/>
        <v>0</v>
      </c>
      <c r="AF110" s="171">
        <f t="shared" si="104"/>
        <v>0</v>
      </c>
      <c r="AG110" s="171">
        <f t="shared" si="104"/>
        <v>12</v>
      </c>
      <c r="AH110" s="154" t="s">
        <v>12</v>
      </c>
      <c r="AI110" s="133"/>
      <c r="AJ110" s="170"/>
      <c r="AK110" s="133"/>
      <c r="AL110" s="133"/>
    </row>
    <row r="111" spans="1:57" ht="15.95" hidden="1" customHeight="1" x14ac:dyDescent="0.25">
      <c r="A111" s="177"/>
      <c r="B111" s="160" t="s">
        <v>68</v>
      </c>
      <c r="C111" s="161">
        <f t="shared" ref="C111:AG111" si="105">IF(C14="V",IF(C14="",0,1),0)</f>
        <v>0</v>
      </c>
      <c r="D111" s="161">
        <f t="shared" si="105"/>
        <v>0</v>
      </c>
      <c r="E111" s="161">
        <f t="shared" si="105"/>
        <v>0</v>
      </c>
      <c r="F111" s="161">
        <f t="shared" si="105"/>
        <v>0</v>
      </c>
      <c r="G111" s="161">
        <f t="shared" si="105"/>
        <v>0</v>
      </c>
      <c r="H111" s="161">
        <f t="shared" si="105"/>
        <v>0</v>
      </c>
      <c r="I111" s="161">
        <f t="shared" si="105"/>
        <v>0</v>
      </c>
      <c r="J111" s="161">
        <f t="shared" si="105"/>
        <v>0</v>
      </c>
      <c r="K111" s="161">
        <f t="shared" si="105"/>
        <v>0</v>
      </c>
      <c r="L111" s="161">
        <f t="shared" si="105"/>
        <v>0</v>
      </c>
      <c r="M111" s="161">
        <f t="shared" si="105"/>
        <v>0</v>
      </c>
      <c r="N111" s="161">
        <f t="shared" si="105"/>
        <v>0</v>
      </c>
      <c r="O111" s="161">
        <f t="shared" si="105"/>
        <v>0</v>
      </c>
      <c r="P111" s="161">
        <f t="shared" si="105"/>
        <v>0</v>
      </c>
      <c r="Q111" s="161">
        <f t="shared" si="105"/>
        <v>0</v>
      </c>
      <c r="R111" s="161">
        <f t="shared" si="105"/>
        <v>0</v>
      </c>
      <c r="S111" s="161">
        <f t="shared" si="105"/>
        <v>0</v>
      </c>
      <c r="T111" s="161">
        <f t="shared" si="105"/>
        <v>0</v>
      </c>
      <c r="U111" s="161">
        <f t="shared" si="105"/>
        <v>0</v>
      </c>
      <c r="V111" s="161">
        <f t="shared" si="105"/>
        <v>0</v>
      </c>
      <c r="W111" s="161">
        <f t="shared" si="105"/>
        <v>0</v>
      </c>
      <c r="X111" s="161">
        <f t="shared" si="105"/>
        <v>0</v>
      </c>
      <c r="Y111" s="161">
        <f t="shared" si="105"/>
        <v>0</v>
      </c>
      <c r="Z111" s="161">
        <f t="shared" si="105"/>
        <v>0</v>
      </c>
      <c r="AA111" s="161">
        <f t="shared" si="105"/>
        <v>0</v>
      </c>
      <c r="AB111" s="161">
        <f t="shared" si="105"/>
        <v>0</v>
      </c>
      <c r="AC111" s="161">
        <f t="shared" si="105"/>
        <v>0</v>
      </c>
      <c r="AD111" s="161">
        <f t="shared" si="105"/>
        <v>0</v>
      </c>
      <c r="AE111" s="161">
        <f t="shared" si="105"/>
        <v>0</v>
      </c>
      <c r="AF111" s="161">
        <f t="shared" si="105"/>
        <v>0</v>
      </c>
      <c r="AG111" s="161">
        <f t="shared" si="105"/>
        <v>0</v>
      </c>
      <c r="AH111" s="154" t="s">
        <v>12</v>
      </c>
      <c r="AI111" s="133"/>
      <c r="AJ111" s="170"/>
      <c r="AK111" s="133"/>
      <c r="AL111" s="133"/>
    </row>
    <row r="112" spans="1:57" ht="15.95" hidden="1" customHeight="1" x14ac:dyDescent="0.25">
      <c r="A112" s="180"/>
      <c r="B112" s="181" t="s">
        <v>16</v>
      </c>
      <c r="C112" s="182">
        <f t="shared" ref="C112:AG112" si="106">IF(C14="PR",IF(C14="",0,1),0)</f>
        <v>0</v>
      </c>
      <c r="D112" s="182">
        <f t="shared" si="106"/>
        <v>0</v>
      </c>
      <c r="E112" s="182">
        <f t="shared" si="106"/>
        <v>0</v>
      </c>
      <c r="F112" s="182">
        <f t="shared" si="106"/>
        <v>0</v>
      </c>
      <c r="G112" s="182">
        <f t="shared" si="106"/>
        <v>0</v>
      </c>
      <c r="H112" s="182">
        <f t="shared" si="106"/>
        <v>0</v>
      </c>
      <c r="I112" s="182">
        <f t="shared" si="106"/>
        <v>0</v>
      </c>
      <c r="J112" s="182">
        <f t="shared" si="106"/>
        <v>0</v>
      </c>
      <c r="K112" s="182">
        <f t="shared" si="106"/>
        <v>0</v>
      </c>
      <c r="L112" s="182">
        <f t="shared" si="106"/>
        <v>0</v>
      </c>
      <c r="M112" s="182">
        <f t="shared" si="106"/>
        <v>0</v>
      </c>
      <c r="N112" s="182">
        <f t="shared" si="106"/>
        <v>0</v>
      </c>
      <c r="O112" s="182">
        <f t="shared" si="106"/>
        <v>0</v>
      </c>
      <c r="P112" s="182">
        <f t="shared" si="106"/>
        <v>0</v>
      </c>
      <c r="Q112" s="182">
        <f t="shared" si="106"/>
        <v>0</v>
      </c>
      <c r="R112" s="182">
        <f t="shared" si="106"/>
        <v>0</v>
      </c>
      <c r="S112" s="182">
        <f t="shared" si="106"/>
        <v>0</v>
      </c>
      <c r="T112" s="182">
        <f t="shared" si="106"/>
        <v>0</v>
      </c>
      <c r="U112" s="182">
        <f t="shared" si="106"/>
        <v>0</v>
      </c>
      <c r="V112" s="182">
        <f t="shared" si="106"/>
        <v>0</v>
      </c>
      <c r="W112" s="182">
        <f t="shared" si="106"/>
        <v>0</v>
      </c>
      <c r="X112" s="182">
        <f t="shared" si="106"/>
        <v>0</v>
      </c>
      <c r="Y112" s="182">
        <f t="shared" si="106"/>
        <v>0</v>
      </c>
      <c r="Z112" s="182">
        <f t="shared" si="106"/>
        <v>0</v>
      </c>
      <c r="AA112" s="182">
        <f t="shared" si="106"/>
        <v>0</v>
      </c>
      <c r="AB112" s="182">
        <f t="shared" si="106"/>
        <v>0</v>
      </c>
      <c r="AC112" s="182">
        <f t="shared" si="106"/>
        <v>0</v>
      </c>
      <c r="AD112" s="182">
        <f t="shared" si="106"/>
        <v>0</v>
      </c>
      <c r="AE112" s="182">
        <f t="shared" si="106"/>
        <v>0</v>
      </c>
      <c r="AF112" s="182">
        <f t="shared" si="106"/>
        <v>0</v>
      </c>
      <c r="AG112" s="182">
        <f t="shared" si="106"/>
        <v>0</v>
      </c>
      <c r="AH112" s="227">
        <f>SUM(C112:AG112)</f>
        <v>0</v>
      </c>
      <c r="AI112" s="227"/>
      <c r="AJ112" s="174" t="s">
        <v>69</v>
      </c>
      <c r="AK112" s="133"/>
      <c r="AL112" s="133"/>
    </row>
    <row r="113" spans="1:57" s="31" customFormat="1" ht="15.95" hidden="1" customHeight="1" x14ac:dyDescent="0.25">
      <c r="A113" s="164" t="s">
        <v>81</v>
      </c>
      <c r="B113" s="165" t="s">
        <v>29</v>
      </c>
      <c r="C113" s="141" t="str">
        <f t="shared" ref="C113:AG113" si="107">IF(C15=$R32,$S32*24,IF(C15=$R33,$S33*24,IF(C15=$R34,$S34*24,IF(C15=$R35,$S35*24,IF(C15=$R36,$S36*24,IF(C15=$R37,$S37*24,IF(C15=$R38,$S38*24,IF(C15=$R39,$S39*24,IF(C15=$R40,$S40*24,"")))))))))</f>
        <v/>
      </c>
      <c r="D113" s="141">
        <f t="shared" si="107"/>
        <v>7</v>
      </c>
      <c r="E113" s="141">
        <f t="shared" si="107"/>
        <v>7</v>
      </c>
      <c r="F113" s="141">
        <f t="shared" si="107"/>
        <v>7</v>
      </c>
      <c r="G113" s="141" t="str">
        <f t="shared" si="107"/>
        <v/>
      </c>
      <c r="H113" s="141" t="str">
        <f t="shared" si="107"/>
        <v/>
      </c>
      <c r="I113" s="141">
        <f t="shared" si="107"/>
        <v>18</v>
      </c>
      <c r="J113" s="141">
        <f t="shared" si="107"/>
        <v>18</v>
      </c>
      <c r="K113" s="141" t="str">
        <f t="shared" si="107"/>
        <v/>
      </c>
      <c r="L113" s="141" t="str">
        <f t="shared" si="107"/>
        <v/>
      </c>
      <c r="M113" s="141" t="str">
        <f t="shared" si="107"/>
        <v/>
      </c>
      <c r="N113" s="141">
        <f t="shared" si="107"/>
        <v>18</v>
      </c>
      <c r="O113" s="141">
        <f t="shared" si="107"/>
        <v>18</v>
      </c>
      <c r="P113" s="141" t="str">
        <f t="shared" si="107"/>
        <v/>
      </c>
      <c r="Q113" s="141">
        <f t="shared" si="107"/>
        <v>22</v>
      </c>
      <c r="R113" s="141">
        <f t="shared" si="107"/>
        <v>18</v>
      </c>
      <c r="S113" s="141">
        <f t="shared" si="107"/>
        <v>18</v>
      </c>
      <c r="T113" s="141">
        <f t="shared" si="107"/>
        <v>18</v>
      </c>
      <c r="U113" s="141" t="str">
        <f t="shared" si="107"/>
        <v/>
      </c>
      <c r="V113" s="141" t="str">
        <f t="shared" si="107"/>
        <v/>
      </c>
      <c r="W113" s="141">
        <f t="shared" si="107"/>
        <v>18</v>
      </c>
      <c r="X113" s="141">
        <f t="shared" si="107"/>
        <v>18</v>
      </c>
      <c r="Y113" s="141" t="str">
        <f t="shared" si="107"/>
        <v/>
      </c>
      <c r="Z113" s="141">
        <f t="shared" si="107"/>
        <v>6</v>
      </c>
      <c r="AA113" s="141">
        <f t="shared" si="107"/>
        <v>6</v>
      </c>
      <c r="AB113" s="141">
        <f t="shared" si="107"/>
        <v>18</v>
      </c>
      <c r="AC113" s="141">
        <f t="shared" si="107"/>
        <v>18</v>
      </c>
      <c r="AD113" s="141" t="str">
        <f t="shared" si="107"/>
        <v/>
      </c>
      <c r="AE113" s="141" t="str">
        <f t="shared" si="107"/>
        <v/>
      </c>
      <c r="AF113" s="141">
        <f t="shared" si="107"/>
        <v>18</v>
      </c>
      <c r="AG113" s="141">
        <f t="shared" si="107"/>
        <v>18</v>
      </c>
      <c r="AH113" s="154" t="s">
        <v>12</v>
      </c>
      <c r="AI113" s="133"/>
      <c r="AJ113" s="170"/>
      <c r="AK113" s="133"/>
      <c r="AL113" s="133"/>
      <c r="BE113" s="1"/>
    </row>
    <row r="114" spans="1:57" ht="15.95" hidden="1" customHeight="1" x14ac:dyDescent="0.25">
      <c r="A114" s="166" t="s">
        <v>82</v>
      </c>
      <c r="B114" s="167" t="s">
        <v>30</v>
      </c>
      <c r="C114" s="141" t="str">
        <f t="shared" ref="C114:AG114" si="108">IF(C15=$R32,$V32*24,IF(C15=$R33,$V33*24,IF(C15=$R34,$V34*24,IF(C15=$R35,$V35*24,IF(C15=$R36,$V36*24,IF(C15=$R37,$V37*24,IF(C15=$R38,$V38*24,IF(C15=$R39,$V39*24,IF(C15=$R40,$V40*24,"")))))))))</f>
        <v/>
      </c>
      <c r="D114" s="141">
        <f t="shared" si="108"/>
        <v>19</v>
      </c>
      <c r="E114" s="141">
        <f t="shared" si="108"/>
        <v>19</v>
      </c>
      <c r="F114" s="141">
        <f t="shared" si="108"/>
        <v>19</v>
      </c>
      <c r="G114" s="141" t="str">
        <f t="shared" si="108"/>
        <v/>
      </c>
      <c r="H114" s="141" t="str">
        <f t="shared" si="108"/>
        <v/>
      </c>
      <c r="I114" s="141">
        <f t="shared" si="108"/>
        <v>6</v>
      </c>
      <c r="J114" s="141">
        <f t="shared" si="108"/>
        <v>6</v>
      </c>
      <c r="K114" s="141" t="str">
        <f t="shared" si="108"/>
        <v/>
      </c>
      <c r="L114" s="141" t="str">
        <f t="shared" si="108"/>
        <v/>
      </c>
      <c r="M114" s="141" t="str">
        <f t="shared" si="108"/>
        <v/>
      </c>
      <c r="N114" s="141">
        <f t="shared" si="108"/>
        <v>6</v>
      </c>
      <c r="O114" s="141">
        <f t="shared" si="108"/>
        <v>6</v>
      </c>
      <c r="P114" s="141" t="str">
        <f t="shared" si="108"/>
        <v/>
      </c>
      <c r="Q114" s="141">
        <f t="shared" si="108"/>
        <v>6</v>
      </c>
      <c r="R114" s="141">
        <f t="shared" si="108"/>
        <v>6</v>
      </c>
      <c r="S114" s="141">
        <f t="shared" si="108"/>
        <v>6</v>
      </c>
      <c r="T114" s="141">
        <f t="shared" si="108"/>
        <v>6</v>
      </c>
      <c r="U114" s="141" t="str">
        <f t="shared" si="108"/>
        <v/>
      </c>
      <c r="V114" s="141" t="str">
        <f t="shared" si="108"/>
        <v/>
      </c>
      <c r="W114" s="141">
        <f t="shared" si="108"/>
        <v>6</v>
      </c>
      <c r="X114" s="141">
        <f t="shared" si="108"/>
        <v>6</v>
      </c>
      <c r="Y114" s="141" t="str">
        <f t="shared" si="108"/>
        <v/>
      </c>
      <c r="Z114" s="141">
        <f t="shared" si="108"/>
        <v>18</v>
      </c>
      <c r="AA114" s="141">
        <f t="shared" si="108"/>
        <v>18</v>
      </c>
      <c r="AB114" s="141">
        <f t="shared" si="108"/>
        <v>6</v>
      </c>
      <c r="AC114" s="141">
        <f t="shared" si="108"/>
        <v>6</v>
      </c>
      <c r="AD114" s="141" t="str">
        <f t="shared" si="108"/>
        <v/>
      </c>
      <c r="AE114" s="141" t="str">
        <f t="shared" si="108"/>
        <v/>
      </c>
      <c r="AF114" s="141">
        <f t="shared" si="108"/>
        <v>6</v>
      </c>
      <c r="AG114" s="141">
        <f t="shared" si="108"/>
        <v>6</v>
      </c>
      <c r="AH114" s="154" t="s">
        <v>12</v>
      </c>
      <c r="AI114" s="133"/>
      <c r="AJ114" s="170"/>
      <c r="AK114" s="133"/>
      <c r="AL114" s="133"/>
    </row>
    <row r="115" spans="1:57" ht="15.95" hidden="1" customHeight="1" x14ac:dyDescent="0.25">
      <c r="A115" s="153"/>
      <c r="B115" s="168" t="s">
        <v>34</v>
      </c>
      <c r="C115" s="169" t="str">
        <f t="shared" ref="C115:AD115" si="109">IF(C15=$R32,$BD32*24,IF(C15=$R33,$BD33*24,IF(C15=$R34,$BD34*24,IF(C15=$R35,$BD35*24,IF(C15=$R36,$BD36*24,IF(C15=$R37,$BD37*24,IF(C15=$R38,$BD38*24,IF(C15=$R39,$BD39*24,IF(C15=$R40,$BD40*24,"")))))))))</f>
        <v/>
      </c>
      <c r="D115" s="169">
        <f t="shared" si="109"/>
        <v>0</v>
      </c>
      <c r="E115" s="169">
        <f t="shared" si="109"/>
        <v>0</v>
      </c>
      <c r="F115" s="169">
        <f t="shared" si="109"/>
        <v>0</v>
      </c>
      <c r="G115" s="169" t="str">
        <f t="shared" si="109"/>
        <v/>
      </c>
      <c r="H115" s="169" t="str">
        <f t="shared" si="109"/>
        <v/>
      </c>
      <c r="I115" s="169">
        <f t="shared" si="109"/>
        <v>8</v>
      </c>
      <c r="J115" s="169">
        <f t="shared" si="109"/>
        <v>8</v>
      </c>
      <c r="K115" s="169" t="str">
        <f t="shared" si="109"/>
        <v/>
      </c>
      <c r="L115" s="169" t="str">
        <f t="shared" si="109"/>
        <v/>
      </c>
      <c r="M115" s="169" t="str">
        <f t="shared" si="109"/>
        <v/>
      </c>
      <c r="N115" s="169">
        <f t="shared" si="109"/>
        <v>8</v>
      </c>
      <c r="O115" s="169">
        <f t="shared" si="109"/>
        <v>8</v>
      </c>
      <c r="P115" s="169" t="str">
        <f t="shared" si="109"/>
        <v/>
      </c>
      <c r="Q115" s="169">
        <f t="shared" si="109"/>
        <v>8</v>
      </c>
      <c r="R115" s="169">
        <f t="shared" si="109"/>
        <v>8</v>
      </c>
      <c r="S115" s="169">
        <f t="shared" si="109"/>
        <v>8</v>
      </c>
      <c r="T115" s="169">
        <f t="shared" si="109"/>
        <v>8</v>
      </c>
      <c r="U115" s="169" t="str">
        <f t="shared" si="109"/>
        <v/>
      </c>
      <c r="V115" s="169" t="str">
        <f t="shared" si="109"/>
        <v/>
      </c>
      <c r="W115" s="169">
        <f t="shared" si="109"/>
        <v>8</v>
      </c>
      <c r="X115" s="169">
        <f t="shared" si="109"/>
        <v>8</v>
      </c>
      <c r="Y115" s="169" t="str">
        <f t="shared" si="109"/>
        <v/>
      </c>
      <c r="Z115" s="169">
        <f t="shared" si="109"/>
        <v>0</v>
      </c>
      <c r="AA115" s="169">
        <f t="shared" si="109"/>
        <v>0</v>
      </c>
      <c r="AB115" s="169">
        <f t="shared" si="109"/>
        <v>8</v>
      </c>
      <c r="AC115" s="169">
        <f t="shared" si="109"/>
        <v>8</v>
      </c>
      <c r="AD115" s="169" t="str">
        <f t="shared" si="109"/>
        <v/>
      </c>
      <c r="AE115" s="169" t="str">
        <f>IF(AE15=$R32,$BD32*24,IF(AE15=$R33,$BD33*24,IF(AE15=$R34,$BD34*24,IF(AE15=$R35,$BD35*24,IF(AE15=$R36,$BD36*24,IF(AE15=$R37,$BD37*24,IF(AE15=$R38,$BD38*24,IF(AE15=$R39,$BD39*24,IF(AE15=$R40,$BD40*24,"")))))))))</f>
        <v/>
      </c>
      <c r="AF115" s="169">
        <f>IF(AF15=$R32,$BD32*24,IF(AF15=$R33,$BD33*24,IF(AF15=$R34,$BD34*24,IF(AF15=$R35,$BD35*24,IF(AF15=$R36,$BD36*24,IF(AF15=$R37,$BD37*24,IF(AF15=$R38,$BD38*24,IF(AF15=$R39,$BD39*24,IF(AF15=$R40,$BD40*24,"")))))))))</f>
        <v>8</v>
      </c>
      <c r="AG115" s="169">
        <f>IF(AG15=$R32,$BD32*24,IF(AG15=$R33,$BD33*24,IF(AG15=$R34,$BD34*24,IF(AG15=$R35,$BD35*24,IF(AG15=$R36,$BD36*24,IF(AG15=$R37,$BD37*24,IF(AG15=$R38,$BD38*24,IF(AG15=$R39,$BD39*24,IF(AG15=$R40,$BD40*24,"")))))))))</f>
        <v>8</v>
      </c>
      <c r="AH115" s="148">
        <f>SUM(C115:AG115)</f>
        <v>112</v>
      </c>
      <c r="AI115" s="133"/>
      <c r="AJ115" s="170"/>
      <c r="AK115" s="133"/>
      <c r="AL115" s="133"/>
    </row>
    <row r="116" spans="1:57" ht="15.95" hidden="1" customHeight="1" x14ac:dyDescent="0.25">
      <c r="A116" s="153"/>
      <c r="B116" s="167" t="s">
        <v>59</v>
      </c>
      <c r="C116" s="141">
        <f t="shared" ref="C116:AG116" si="110">IF(C15="V",$C36,IF(C15="PR",$C38,0))</f>
        <v>0</v>
      </c>
      <c r="D116" s="141">
        <f t="shared" si="110"/>
        <v>0</v>
      </c>
      <c r="E116" s="141">
        <f t="shared" si="110"/>
        <v>0</v>
      </c>
      <c r="F116" s="141">
        <f t="shared" si="110"/>
        <v>0</v>
      </c>
      <c r="G116" s="141">
        <f t="shared" si="110"/>
        <v>0</v>
      </c>
      <c r="H116" s="141">
        <f t="shared" si="110"/>
        <v>0</v>
      </c>
      <c r="I116" s="141">
        <f t="shared" si="110"/>
        <v>0</v>
      </c>
      <c r="J116" s="141">
        <f t="shared" si="110"/>
        <v>0</v>
      </c>
      <c r="K116" s="141">
        <f t="shared" si="110"/>
        <v>0</v>
      </c>
      <c r="L116" s="141">
        <f t="shared" si="110"/>
        <v>0</v>
      </c>
      <c r="M116" s="141">
        <f t="shared" si="110"/>
        <v>0</v>
      </c>
      <c r="N116" s="141">
        <f t="shared" si="110"/>
        <v>0</v>
      </c>
      <c r="O116" s="141">
        <f t="shared" si="110"/>
        <v>0</v>
      </c>
      <c r="P116" s="141">
        <f t="shared" si="110"/>
        <v>0</v>
      </c>
      <c r="Q116" s="141">
        <f t="shared" si="110"/>
        <v>0</v>
      </c>
      <c r="R116" s="141">
        <f t="shared" si="110"/>
        <v>0</v>
      </c>
      <c r="S116" s="141">
        <f t="shared" si="110"/>
        <v>0</v>
      </c>
      <c r="T116" s="141">
        <f t="shared" si="110"/>
        <v>0</v>
      </c>
      <c r="U116" s="141">
        <f t="shared" si="110"/>
        <v>0</v>
      </c>
      <c r="V116" s="141">
        <f t="shared" si="110"/>
        <v>0</v>
      </c>
      <c r="W116" s="141">
        <f t="shared" si="110"/>
        <v>0</v>
      </c>
      <c r="X116" s="141">
        <f t="shared" si="110"/>
        <v>0</v>
      </c>
      <c r="Y116" s="141">
        <f t="shared" si="110"/>
        <v>0</v>
      </c>
      <c r="Z116" s="141">
        <f t="shared" si="110"/>
        <v>0</v>
      </c>
      <c r="AA116" s="141">
        <f t="shared" si="110"/>
        <v>0</v>
      </c>
      <c r="AB116" s="141">
        <f t="shared" si="110"/>
        <v>0</v>
      </c>
      <c r="AC116" s="141">
        <f t="shared" si="110"/>
        <v>0</v>
      </c>
      <c r="AD116" s="141">
        <f t="shared" si="110"/>
        <v>0</v>
      </c>
      <c r="AE116" s="141">
        <f t="shared" si="110"/>
        <v>0</v>
      </c>
      <c r="AF116" s="141">
        <f t="shared" si="110"/>
        <v>0</v>
      </c>
      <c r="AG116" s="141">
        <f t="shared" si="110"/>
        <v>0</v>
      </c>
      <c r="AH116" s="226">
        <f>SUM(C116:AG116)</f>
        <v>0</v>
      </c>
      <c r="AI116" s="226"/>
      <c r="AJ116" s="230">
        <f>SUM(AH61+AH72+AH83+AH94+AH105+AH116)</f>
        <v>78.3</v>
      </c>
      <c r="AK116" s="230"/>
      <c r="AL116" s="133" t="s">
        <v>56</v>
      </c>
    </row>
    <row r="117" spans="1:57" ht="15.95" hidden="1" customHeight="1" x14ac:dyDescent="0.25">
      <c r="A117" s="150" t="s">
        <v>60</v>
      </c>
      <c r="B117" s="167" t="s">
        <v>61</v>
      </c>
      <c r="C117" s="151">
        <f t="shared" ref="C117:AD117" si="111">IF(C15=$R32,$BC32,IF(C15=$R33,$BC33,IF(C15=$R34,$BC34,IF(C15=$R35,$BC35,IF(C15=$R36,$BC36,IF(C15=$R37,$BC37,IF(C15=$R38,$BC38,IF(C15=$R39,$BC39,IF(C15=$R40,$BC40,0)))))))))</f>
        <v>0</v>
      </c>
      <c r="D117" s="151">
        <f t="shared" si="111"/>
        <v>11.999999999999998</v>
      </c>
      <c r="E117" s="151">
        <f t="shared" si="111"/>
        <v>11.999999999999998</v>
      </c>
      <c r="F117" s="151">
        <f t="shared" si="111"/>
        <v>11.999999999999998</v>
      </c>
      <c r="G117" s="151">
        <f t="shared" si="111"/>
        <v>0</v>
      </c>
      <c r="H117" s="151">
        <f t="shared" si="111"/>
        <v>0</v>
      </c>
      <c r="I117" s="151">
        <f t="shared" si="111"/>
        <v>12</v>
      </c>
      <c r="J117" s="151">
        <f t="shared" si="111"/>
        <v>12</v>
      </c>
      <c r="K117" s="151">
        <f t="shared" si="111"/>
        <v>0</v>
      </c>
      <c r="L117" s="151">
        <f t="shared" si="111"/>
        <v>0</v>
      </c>
      <c r="M117" s="151">
        <f t="shared" si="111"/>
        <v>0</v>
      </c>
      <c r="N117" s="151">
        <f t="shared" si="111"/>
        <v>12</v>
      </c>
      <c r="O117" s="151">
        <f t="shared" si="111"/>
        <v>12</v>
      </c>
      <c r="P117" s="151">
        <f t="shared" si="111"/>
        <v>0</v>
      </c>
      <c r="Q117" s="151">
        <f t="shared" si="111"/>
        <v>7.9999999999999716</v>
      </c>
      <c r="R117" s="151">
        <f t="shared" si="111"/>
        <v>12</v>
      </c>
      <c r="S117" s="151">
        <f t="shared" si="111"/>
        <v>12</v>
      </c>
      <c r="T117" s="151">
        <f t="shared" si="111"/>
        <v>12</v>
      </c>
      <c r="U117" s="151">
        <f t="shared" si="111"/>
        <v>0</v>
      </c>
      <c r="V117" s="151">
        <f t="shared" si="111"/>
        <v>0</v>
      </c>
      <c r="W117" s="151">
        <f t="shared" si="111"/>
        <v>12</v>
      </c>
      <c r="X117" s="151">
        <f t="shared" si="111"/>
        <v>12</v>
      </c>
      <c r="Y117" s="151">
        <f t="shared" si="111"/>
        <v>0</v>
      </c>
      <c r="Z117" s="151">
        <f t="shared" si="111"/>
        <v>12</v>
      </c>
      <c r="AA117" s="151">
        <f t="shared" si="111"/>
        <v>12</v>
      </c>
      <c r="AB117" s="151">
        <f t="shared" si="111"/>
        <v>12</v>
      </c>
      <c r="AC117" s="151">
        <f t="shared" si="111"/>
        <v>12</v>
      </c>
      <c r="AD117" s="151">
        <f t="shared" si="111"/>
        <v>0</v>
      </c>
      <c r="AE117" s="151">
        <f>IF(AE15=$R32,$BC32,IF(AE15=$R33,$BC33,IF(AE15=$R34,$BC34,IF(AE15=$R35,$BC35,IF(AE15=$R36,$BC36,IF(AE15=$R37,$BC37,IF(AE15=$R38,$BC38,IF(AE15=$R39,$BC39,IF(AE15=$R40,$BC40,0)))))))))</f>
        <v>0</v>
      </c>
      <c r="AF117" s="151">
        <f>IF(AF15=$R32,$BC32,IF(AF15=$R33,$BC33,IF(AF15=$R34,$BC34,IF(AF15=$R35,$BC35,IF(AF15=$R36,$BC36,IF(AF15=$R37,$BC37,IF(AF15=$R38,$BC38,IF(AF15=$R39,$BC39,IF(AF15=$R40,$BC40,0)))))))))</f>
        <v>12</v>
      </c>
      <c r="AG117" s="151">
        <f>IF(AG15=$R32,$BC32,IF(AG15=$R33,$BC33,IF(AG15=$R34,$BC34,IF(AG15=$R35,$BC35,IF(AG15=$R36,$BC36,IF(AG15=$R37,$BC37,IF(AG15=$R38,$BC38,IF(AG15=$R39,$BC39,IF(AG15=$R40,$BC40,0)))))))))</f>
        <v>12</v>
      </c>
      <c r="AH117" s="226">
        <f>SUM(C117:AG117)</f>
        <v>223.99999999999997</v>
      </c>
      <c r="AI117" s="226"/>
      <c r="AJ117" s="174" t="s">
        <v>62</v>
      </c>
      <c r="AK117" s="133" t="s">
        <v>12</v>
      </c>
      <c r="AL117" s="133"/>
    </row>
    <row r="118" spans="1:57" ht="15.95" hidden="1" customHeight="1" x14ac:dyDescent="0.25">
      <c r="A118" s="153" t="s">
        <v>48</v>
      </c>
      <c r="B118" s="149" t="s">
        <v>63</v>
      </c>
      <c r="C118" s="141" t="b">
        <f t="shared" ref="C118:AG118" si="112">IF(C46=1,IF(C113&lt;C114,C117,0))</f>
        <v>0</v>
      </c>
      <c r="D118" s="141" t="b">
        <f t="shared" si="112"/>
        <v>0</v>
      </c>
      <c r="E118" s="141">
        <f t="shared" si="112"/>
        <v>11.999999999999998</v>
      </c>
      <c r="F118" s="141">
        <f t="shared" si="112"/>
        <v>11.999999999999998</v>
      </c>
      <c r="G118" s="141" t="b">
        <f t="shared" si="112"/>
        <v>0</v>
      </c>
      <c r="H118" s="141" t="b">
        <f t="shared" si="112"/>
        <v>0</v>
      </c>
      <c r="I118" s="141" t="b">
        <f t="shared" si="112"/>
        <v>0</v>
      </c>
      <c r="J118" s="141" t="b">
        <f t="shared" si="112"/>
        <v>0</v>
      </c>
      <c r="K118" s="141" t="b">
        <f t="shared" si="112"/>
        <v>0</v>
      </c>
      <c r="L118" s="141">
        <f t="shared" si="112"/>
        <v>0</v>
      </c>
      <c r="M118" s="141">
        <f t="shared" si="112"/>
        <v>0</v>
      </c>
      <c r="N118" s="141" t="b">
        <f t="shared" si="112"/>
        <v>0</v>
      </c>
      <c r="O118" s="141" t="b">
        <f t="shared" si="112"/>
        <v>0</v>
      </c>
      <c r="P118" s="141" t="b">
        <f t="shared" si="112"/>
        <v>0</v>
      </c>
      <c r="Q118" s="141" t="b">
        <f t="shared" si="112"/>
        <v>0</v>
      </c>
      <c r="R118" s="141" t="b">
        <f t="shared" si="112"/>
        <v>0</v>
      </c>
      <c r="S118" s="141">
        <f t="shared" si="112"/>
        <v>0</v>
      </c>
      <c r="T118" s="141">
        <f t="shared" si="112"/>
        <v>0</v>
      </c>
      <c r="U118" s="141" t="b">
        <f t="shared" si="112"/>
        <v>0</v>
      </c>
      <c r="V118" s="141" t="b">
        <f t="shared" si="112"/>
        <v>0</v>
      </c>
      <c r="W118" s="141" t="b">
        <f t="shared" si="112"/>
        <v>0</v>
      </c>
      <c r="X118" s="141" t="b">
        <f t="shared" si="112"/>
        <v>0</v>
      </c>
      <c r="Y118" s="141" t="b">
        <f t="shared" si="112"/>
        <v>0</v>
      </c>
      <c r="Z118" s="141">
        <f t="shared" si="112"/>
        <v>12</v>
      </c>
      <c r="AA118" s="141">
        <f t="shared" si="112"/>
        <v>12</v>
      </c>
      <c r="AB118" s="141" t="b">
        <f t="shared" si="112"/>
        <v>0</v>
      </c>
      <c r="AC118" s="141" t="b">
        <f t="shared" si="112"/>
        <v>0</v>
      </c>
      <c r="AD118" s="141" t="b">
        <f t="shared" si="112"/>
        <v>0</v>
      </c>
      <c r="AE118" s="141" t="b">
        <f t="shared" si="112"/>
        <v>0</v>
      </c>
      <c r="AF118" s="141" t="b">
        <f t="shared" si="112"/>
        <v>0</v>
      </c>
      <c r="AG118" s="141">
        <f t="shared" si="112"/>
        <v>0</v>
      </c>
      <c r="AH118" s="154" t="s">
        <v>12</v>
      </c>
      <c r="AI118" s="133"/>
      <c r="AJ118" s="170"/>
      <c r="AK118" s="133"/>
      <c r="AL118" s="133"/>
    </row>
    <row r="119" spans="1:57" ht="15.95" hidden="1" customHeight="1" x14ac:dyDescent="0.25">
      <c r="A119" s="176"/>
      <c r="B119" s="149" t="s">
        <v>64</v>
      </c>
      <c r="C119" s="141">
        <f t="shared" ref="C119:AG119" si="113">IF(C46=1,IF(C113&gt;C114,24-C113,0),0)</f>
        <v>0</v>
      </c>
      <c r="D119" s="141">
        <f t="shared" si="113"/>
        <v>0</v>
      </c>
      <c r="E119" s="141">
        <f t="shared" si="113"/>
        <v>0</v>
      </c>
      <c r="F119" s="141">
        <f t="shared" si="113"/>
        <v>0</v>
      </c>
      <c r="G119" s="141">
        <f t="shared" si="113"/>
        <v>0</v>
      </c>
      <c r="H119" s="141">
        <f t="shared" si="113"/>
        <v>0</v>
      </c>
      <c r="I119" s="141">
        <f t="shared" si="113"/>
        <v>0</v>
      </c>
      <c r="J119" s="141">
        <f t="shared" si="113"/>
        <v>0</v>
      </c>
      <c r="K119" s="141">
        <f t="shared" si="113"/>
        <v>0</v>
      </c>
      <c r="L119" s="141">
        <f t="shared" si="113"/>
        <v>0</v>
      </c>
      <c r="M119" s="141">
        <f t="shared" si="113"/>
        <v>0</v>
      </c>
      <c r="N119" s="141">
        <f t="shared" si="113"/>
        <v>0</v>
      </c>
      <c r="O119" s="141">
        <f t="shared" si="113"/>
        <v>0</v>
      </c>
      <c r="P119" s="141">
        <f t="shared" si="113"/>
        <v>0</v>
      </c>
      <c r="Q119" s="141">
        <f t="shared" si="113"/>
        <v>0</v>
      </c>
      <c r="R119" s="141">
        <f t="shared" si="113"/>
        <v>0</v>
      </c>
      <c r="S119" s="141">
        <f t="shared" si="113"/>
        <v>6</v>
      </c>
      <c r="T119" s="141">
        <f t="shared" si="113"/>
        <v>6</v>
      </c>
      <c r="U119" s="141">
        <f t="shared" si="113"/>
        <v>0</v>
      </c>
      <c r="V119" s="141">
        <f t="shared" si="113"/>
        <v>0</v>
      </c>
      <c r="W119" s="141">
        <f t="shared" si="113"/>
        <v>0</v>
      </c>
      <c r="X119" s="141">
        <f t="shared" si="113"/>
        <v>0</v>
      </c>
      <c r="Y119" s="141">
        <f t="shared" si="113"/>
        <v>0</v>
      </c>
      <c r="Z119" s="141">
        <f t="shared" si="113"/>
        <v>0</v>
      </c>
      <c r="AA119" s="141">
        <f t="shared" si="113"/>
        <v>0</v>
      </c>
      <c r="AB119" s="141">
        <f t="shared" si="113"/>
        <v>0</v>
      </c>
      <c r="AC119" s="141">
        <f t="shared" si="113"/>
        <v>0</v>
      </c>
      <c r="AD119" s="141">
        <f t="shared" si="113"/>
        <v>0</v>
      </c>
      <c r="AE119" s="141">
        <f t="shared" si="113"/>
        <v>0</v>
      </c>
      <c r="AF119" s="141">
        <f t="shared" si="113"/>
        <v>0</v>
      </c>
      <c r="AG119" s="141">
        <f t="shared" si="113"/>
        <v>6</v>
      </c>
      <c r="AH119" s="154" t="s">
        <v>12</v>
      </c>
      <c r="AI119" s="133"/>
      <c r="AJ119" s="170"/>
      <c r="AK119" s="133"/>
      <c r="AL119" s="133"/>
    </row>
    <row r="120" spans="1:57" ht="15.95" hidden="1" customHeight="1" x14ac:dyDescent="0.25">
      <c r="A120" s="176"/>
      <c r="B120" s="149" t="s">
        <v>65</v>
      </c>
      <c r="C120" s="141">
        <f t="shared" ref="C120:AG120" si="114">IF(D46=1,IF(C113&gt;C114,C114,0),0)</f>
        <v>0</v>
      </c>
      <c r="D120" s="141">
        <f t="shared" si="114"/>
        <v>0</v>
      </c>
      <c r="E120" s="141">
        <f t="shared" si="114"/>
        <v>0</v>
      </c>
      <c r="F120" s="141">
        <f t="shared" si="114"/>
        <v>0</v>
      </c>
      <c r="G120" s="141">
        <f t="shared" si="114"/>
        <v>0</v>
      </c>
      <c r="H120" s="141">
        <f t="shared" si="114"/>
        <v>0</v>
      </c>
      <c r="I120" s="141">
        <f t="shared" si="114"/>
        <v>0</v>
      </c>
      <c r="J120" s="141">
        <f t="shared" si="114"/>
        <v>0</v>
      </c>
      <c r="K120" s="141">
        <f t="shared" si="114"/>
        <v>0</v>
      </c>
      <c r="L120" s="141">
        <f t="shared" si="114"/>
        <v>0</v>
      </c>
      <c r="M120" s="141">
        <f t="shared" si="114"/>
        <v>0</v>
      </c>
      <c r="N120" s="141">
        <f t="shared" si="114"/>
        <v>0</v>
      </c>
      <c r="O120" s="141">
        <f t="shared" si="114"/>
        <v>0</v>
      </c>
      <c r="P120" s="141">
        <f t="shared" si="114"/>
        <v>0</v>
      </c>
      <c r="Q120" s="141">
        <f t="shared" si="114"/>
        <v>0</v>
      </c>
      <c r="R120" s="141">
        <f t="shared" si="114"/>
        <v>6</v>
      </c>
      <c r="S120" s="141">
        <f t="shared" si="114"/>
        <v>6</v>
      </c>
      <c r="T120" s="141">
        <f t="shared" si="114"/>
        <v>0</v>
      </c>
      <c r="U120" s="141">
        <f t="shared" si="114"/>
        <v>0</v>
      </c>
      <c r="V120" s="141">
        <f t="shared" si="114"/>
        <v>0</v>
      </c>
      <c r="W120" s="141">
        <f t="shared" si="114"/>
        <v>0</v>
      </c>
      <c r="X120" s="141">
        <f>IF(Y46=1,IF(X113&gt;X114,X114,0),0)</f>
        <v>0</v>
      </c>
      <c r="Y120" s="141">
        <f t="shared" si="114"/>
        <v>0</v>
      </c>
      <c r="Z120" s="141">
        <f t="shared" si="114"/>
        <v>0</v>
      </c>
      <c r="AA120" s="141">
        <f t="shared" si="114"/>
        <v>0</v>
      </c>
      <c r="AB120" s="141">
        <f t="shared" si="114"/>
        <v>0</v>
      </c>
      <c r="AC120" s="141">
        <f t="shared" si="114"/>
        <v>0</v>
      </c>
      <c r="AD120" s="141">
        <f t="shared" si="114"/>
        <v>0</v>
      </c>
      <c r="AE120" s="141">
        <f t="shared" si="114"/>
        <v>0</v>
      </c>
      <c r="AF120" s="141">
        <f t="shared" si="114"/>
        <v>6</v>
      </c>
      <c r="AG120" s="141">
        <f t="shared" si="114"/>
        <v>0</v>
      </c>
      <c r="AH120" s="154" t="s">
        <v>12</v>
      </c>
      <c r="AI120" s="133"/>
      <c r="AJ120" s="170"/>
      <c r="AK120" s="133"/>
      <c r="AL120" s="133"/>
    </row>
    <row r="121" spans="1:57" ht="15.95" hidden="1" customHeight="1" x14ac:dyDescent="0.25">
      <c r="A121" s="176"/>
      <c r="B121" s="149" t="s">
        <v>67</v>
      </c>
      <c r="C121" s="171">
        <f t="shared" ref="C121:AG121" si="115">SUM(C118:C120)</f>
        <v>0</v>
      </c>
      <c r="D121" s="171">
        <f t="shared" si="115"/>
        <v>0</v>
      </c>
      <c r="E121" s="171">
        <f t="shared" si="115"/>
        <v>11.999999999999998</v>
      </c>
      <c r="F121" s="171">
        <f t="shared" si="115"/>
        <v>11.999999999999998</v>
      </c>
      <c r="G121" s="171">
        <f t="shared" si="115"/>
        <v>0</v>
      </c>
      <c r="H121" s="171">
        <f t="shared" si="115"/>
        <v>0</v>
      </c>
      <c r="I121" s="171">
        <f t="shared" si="115"/>
        <v>0</v>
      </c>
      <c r="J121" s="171">
        <f t="shared" si="115"/>
        <v>0</v>
      </c>
      <c r="K121" s="171">
        <f t="shared" si="115"/>
        <v>0</v>
      </c>
      <c r="L121" s="171">
        <f t="shared" si="115"/>
        <v>0</v>
      </c>
      <c r="M121" s="171">
        <f t="shared" si="115"/>
        <v>0</v>
      </c>
      <c r="N121" s="171">
        <f t="shared" si="115"/>
        <v>0</v>
      </c>
      <c r="O121" s="171">
        <f t="shared" si="115"/>
        <v>0</v>
      </c>
      <c r="P121" s="171">
        <f t="shared" si="115"/>
        <v>0</v>
      </c>
      <c r="Q121" s="171">
        <f t="shared" si="115"/>
        <v>0</v>
      </c>
      <c r="R121" s="171">
        <f t="shared" si="115"/>
        <v>6</v>
      </c>
      <c r="S121" s="171">
        <f t="shared" si="115"/>
        <v>12</v>
      </c>
      <c r="T121" s="171">
        <f t="shared" si="115"/>
        <v>6</v>
      </c>
      <c r="U121" s="171">
        <f t="shared" si="115"/>
        <v>0</v>
      </c>
      <c r="V121" s="171">
        <f t="shared" si="115"/>
        <v>0</v>
      </c>
      <c r="W121" s="171">
        <f t="shared" si="115"/>
        <v>0</v>
      </c>
      <c r="X121" s="171">
        <f t="shared" si="115"/>
        <v>0</v>
      </c>
      <c r="Y121" s="171">
        <f t="shared" si="115"/>
        <v>0</v>
      </c>
      <c r="Z121" s="171">
        <f t="shared" si="115"/>
        <v>12</v>
      </c>
      <c r="AA121" s="171">
        <f t="shared" si="115"/>
        <v>12</v>
      </c>
      <c r="AB121" s="171">
        <f t="shared" si="115"/>
        <v>0</v>
      </c>
      <c r="AC121" s="171">
        <f t="shared" si="115"/>
        <v>0</v>
      </c>
      <c r="AD121" s="171">
        <f t="shared" si="115"/>
        <v>0</v>
      </c>
      <c r="AE121" s="171">
        <f t="shared" si="115"/>
        <v>0</v>
      </c>
      <c r="AF121" s="171">
        <f t="shared" si="115"/>
        <v>6</v>
      </c>
      <c r="AG121" s="171">
        <f t="shared" si="115"/>
        <v>6</v>
      </c>
      <c r="AH121" s="154" t="s">
        <v>12</v>
      </c>
      <c r="AI121" s="133"/>
      <c r="AJ121" s="170"/>
      <c r="AK121" s="133"/>
      <c r="AL121" s="133"/>
    </row>
    <row r="122" spans="1:57" ht="15.95" hidden="1" customHeight="1" x14ac:dyDescent="0.25">
      <c r="A122" s="177"/>
      <c r="B122" s="160" t="s">
        <v>68</v>
      </c>
      <c r="C122" s="182">
        <f t="shared" ref="C122:AG122" si="116">IF(C15="V",IF(C15="",0,1),0)</f>
        <v>0</v>
      </c>
      <c r="D122" s="182">
        <f t="shared" si="116"/>
        <v>0</v>
      </c>
      <c r="E122" s="182">
        <f t="shared" si="116"/>
        <v>0</v>
      </c>
      <c r="F122" s="182">
        <f t="shared" si="116"/>
        <v>0</v>
      </c>
      <c r="G122" s="182">
        <f t="shared" si="116"/>
        <v>0</v>
      </c>
      <c r="H122" s="182">
        <f t="shared" si="116"/>
        <v>0</v>
      </c>
      <c r="I122" s="182">
        <f t="shared" si="116"/>
        <v>0</v>
      </c>
      <c r="J122" s="182">
        <f t="shared" si="116"/>
        <v>0</v>
      </c>
      <c r="K122" s="182">
        <f t="shared" si="116"/>
        <v>0</v>
      </c>
      <c r="L122" s="182">
        <f t="shared" si="116"/>
        <v>0</v>
      </c>
      <c r="M122" s="182">
        <f t="shared" si="116"/>
        <v>0</v>
      </c>
      <c r="N122" s="182">
        <f t="shared" si="116"/>
        <v>0</v>
      </c>
      <c r="O122" s="182">
        <f t="shared" si="116"/>
        <v>0</v>
      </c>
      <c r="P122" s="182">
        <f t="shared" si="116"/>
        <v>0</v>
      </c>
      <c r="Q122" s="182">
        <f t="shared" si="116"/>
        <v>0</v>
      </c>
      <c r="R122" s="182">
        <f t="shared" si="116"/>
        <v>0</v>
      </c>
      <c r="S122" s="182">
        <f t="shared" si="116"/>
        <v>0</v>
      </c>
      <c r="T122" s="182">
        <f t="shared" si="116"/>
        <v>0</v>
      </c>
      <c r="U122" s="182">
        <f t="shared" si="116"/>
        <v>0</v>
      </c>
      <c r="V122" s="182">
        <f t="shared" si="116"/>
        <v>0</v>
      </c>
      <c r="W122" s="182">
        <f t="shared" si="116"/>
        <v>0</v>
      </c>
      <c r="X122" s="182">
        <f t="shared" si="116"/>
        <v>0</v>
      </c>
      <c r="Y122" s="182">
        <f t="shared" si="116"/>
        <v>0</v>
      </c>
      <c r="Z122" s="182">
        <f t="shared" si="116"/>
        <v>0</v>
      </c>
      <c r="AA122" s="182">
        <f t="shared" si="116"/>
        <v>0</v>
      </c>
      <c r="AB122" s="182">
        <f t="shared" si="116"/>
        <v>0</v>
      </c>
      <c r="AC122" s="182">
        <f t="shared" si="116"/>
        <v>0</v>
      </c>
      <c r="AD122" s="182">
        <f t="shared" si="116"/>
        <v>0</v>
      </c>
      <c r="AE122" s="182">
        <f t="shared" si="116"/>
        <v>0</v>
      </c>
      <c r="AF122" s="182">
        <f t="shared" si="116"/>
        <v>0</v>
      </c>
      <c r="AG122" s="182">
        <f t="shared" si="116"/>
        <v>0</v>
      </c>
      <c r="AH122" s="154" t="s">
        <v>12</v>
      </c>
      <c r="AI122" s="133"/>
      <c r="AJ122" s="170"/>
      <c r="AK122" s="133"/>
      <c r="AL122" s="133"/>
    </row>
    <row r="123" spans="1:57" ht="15.95" hidden="1" customHeight="1" x14ac:dyDescent="0.25">
      <c r="A123" s="180"/>
      <c r="B123" s="181" t="s">
        <v>16</v>
      </c>
      <c r="C123" s="182">
        <f t="shared" ref="C123:AG123" si="117">IF(C15="PR",IF(C15="",0,1),0)</f>
        <v>0</v>
      </c>
      <c r="D123" s="182">
        <f t="shared" si="117"/>
        <v>0</v>
      </c>
      <c r="E123" s="182">
        <f t="shared" si="117"/>
        <v>0</v>
      </c>
      <c r="F123" s="182">
        <f t="shared" si="117"/>
        <v>0</v>
      </c>
      <c r="G123" s="182">
        <f t="shared" si="117"/>
        <v>0</v>
      </c>
      <c r="H123" s="182">
        <f t="shared" si="117"/>
        <v>0</v>
      </c>
      <c r="I123" s="182">
        <f t="shared" si="117"/>
        <v>0</v>
      </c>
      <c r="J123" s="182">
        <f t="shared" si="117"/>
        <v>0</v>
      </c>
      <c r="K123" s="182">
        <f t="shared" si="117"/>
        <v>0</v>
      </c>
      <c r="L123" s="182">
        <f t="shared" si="117"/>
        <v>0</v>
      </c>
      <c r="M123" s="182">
        <f t="shared" si="117"/>
        <v>0</v>
      </c>
      <c r="N123" s="182">
        <f t="shared" si="117"/>
        <v>0</v>
      </c>
      <c r="O123" s="182">
        <f t="shared" si="117"/>
        <v>0</v>
      </c>
      <c r="P123" s="182">
        <f t="shared" si="117"/>
        <v>0</v>
      </c>
      <c r="Q123" s="182">
        <f t="shared" si="117"/>
        <v>0</v>
      </c>
      <c r="R123" s="182">
        <f t="shared" si="117"/>
        <v>0</v>
      </c>
      <c r="S123" s="182">
        <f t="shared" si="117"/>
        <v>0</v>
      </c>
      <c r="T123" s="182">
        <f t="shared" si="117"/>
        <v>0</v>
      </c>
      <c r="U123" s="182">
        <f t="shared" si="117"/>
        <v>0</v>
      </c>
      <c r="V123" s="182">
        <f t="shared" si="117"/>
        <v>0</v>
      </c>
      <c r="W123" s="182">
        <f t="shared" si="117"/>
        <v>0</v>
      </c>
      <c r="X123" s="182">
        <f t="shared" si="117"/>
        <v>0</v>
      </c>
      <c r="Y123" s="182">
        <f t="shared" si="117"/>
        <v>0</v>
      </c>
      <c r="Z123" s="182">
        <f t="shared" si="117"/>
        <v>0</v>
      </c>
      <c r="AA123" s="182">
        <f t="shared" si="117"/>
        <v>0</v>
      </c>
      <c r="AB123" s="182">
        <f t="shared" si="117"/>
        <v>0</v>
      </c>
      <c r="AC123" s="182">
        <f t="shared" si="117"/>
        <v>0</v>
      </c>
      <c r="AD123" s="182">
        <f t="shared" si="117"/>
        <v>0</v>
      </c>
      <c r="AE123" s="182">
        <f t="shared" si="117"/>
        <v>0</v>
      </c>
      <c r="AF123" s="182">
        <f t="shared" si="117"/>
        <v>0</v>
      </c>
      <c r="AG123" s="182">
        <f t="shared" si="117"/>
        <v>0</v>
      </c>
      <c r="AH123" s="227">
        <f>SUM(C123:AG123)</f>
        <v>0</v>
      </c>
      <c r="AI123" s="227"/>
      <c r="AJ123" s="174" t="s">
        <v>69</v>
      </c>
      <c r="AK123" s="133"/>
      <c r="AL123" s="133"/>
    </row>
    <row r="124" spans="1:57" ht="15.95" hidden="1" customHeight="1" x14ac:dyDescent="0.25">
      <c r="A124" s="164" t="s">
        <v>83</v>
      </c>
      <c r="B124" s="165" t="s">
        <v>29</v>
      </c>
      <c r="C124" s="141" t="str">
        <f t="shared" ref="C124:AG124" si="118">IF(C16=$R32,$S32*24,IF(C16=$R33,$S33*24,IF(C16=$R34,$S34*24,IF(C16=$R35,$S35*24,IF(C16=$R36,$S36*24,IF(C16=$R37,$S37*24,IF(C16=$R38,$S38*24,IF(C16=$R39,$S39*24,IF(C16=$R40,$S40*24,"")))))))))</f>
        <v/>
      </c>
      <c r="D124" s="141" t="str">
        <f t="shared" si="118"/>
        <v/>
      </c>
      <c r="E124" s="141" t="str">
        <f t="shared" si="118"/>
        <v/>
      </c>
      <c r="F124" s="141" t="str">
        <f t="shared" si="118"/>
        <v/>
      </c>
      <c r="G124" s="141" t="str">
        <f t="shared" si="118"/>
        <v/>
      </c>
      <c r="H124" s="141" t="str">
        <f t="shared" si="118"/>
        <v/>
      </c>
      <c r="I124" s="141" t="str">
        <f t="shared" si="118"/>
        <v/>
      </c>
      <c r="J124" s="141" t="str">
        <f t="shared" si="118"/>
        <v/>
      </c>
      <c r="K124" s="141" t="str">
        <f t="shared" si="118"/>
        <v/>
      </c>
      <c r="L124" s="141" t="str">
        <f t="shared" si="118"/>
        <v/>
      </c>
      <c r="M124" s="141" t="str">
        <f t="shared" si="118"/>
        <v/>
      </c>
      <c r="N124" s="141" t="str">
        <f t="shared" si="118"/>
        <v/>
      </c>
      <c r="O124" s="141" t="str">
        <f t="shared" si="118"/>
        <v/>
      </c>
      <c r="P124" s="141" t="str">
        <f t="shared" si="118"/>
        <v/>
      </c>
      <c r="Q124" s="141" t="str">
        <f t="shared" si="118"/>
        <v/>
      </c>
      <c r="R124" s="141" t="str">
        <f t="shared" si="118"/>
        <v/>
      </c>
      <c r="S124" s="141" t="str">
        <f t="shared" si="118"/>
        <v/>
      </c>
      <c r="T124" s="141" t="str">
        <f t="shared" si="118"/>
        <v/>
      </c>
      <c r="U124" s="141" t="str">
        <f t="shared" si="118"/>
        <v/>
      </c>
      <c r="V124" s="141" t="str">
        <f t="shared" si="118"/>
        <v/>
      </c>
      <c r="W124" s="141" t="str">
        <f t="shared" si="118"/>
        <v/>
      </c>
      <c r="X124" s="141" t="str">
        <f t="shared" si="118"/>
        <v/>
      </c>
      <c r="Y124" s="141" t="str">
        <f t="shared" si="118"/>
        <v/>
      </c>
      <c r="Z124" s="141" t="str">
        <f t="shared" si="118"/>
        <v/>
      </c>
      <c r="AA124" s="141" t="str">
        <f t="shared" si="118"/>
        <v/>
      </c>
      <c r="AB124" s="141" t="str">
        <f t="shared" si="118"/>
        <v/>
      </c>
      <c r="AC124" s="141" t="str">
        <f t="shared" si="118"/>
        <v/>
      </c>
      <c r="AD124" s="141" t="str">
        <f t="shared" si="118"/>
        <v/>
      </c>
      <c r="AE124" s="141" t="str">
        <f t="shared" si="118"/>
        <v/>
      </c>
      <c r="AF124" s="141" t="str">
        <f t="shared" si="118"/>
        <v/>
      </c>
      <c r="AG124" s="141" t="str">
        <f t="shared" si="118"/>
        <v/>
      </c>
      <c r="AH124" s="154" t="s">
        <v>12</v>
      </c>
      <c r="AI124" s="133"/>
      <c r="AJ124" s="170"/>
      <c r="AK124" s="133"/>
      <c r="AL124" s="133"/>
    </row>
    <row r="125" spans="1:57" ht="15.95" hidden="1" customHeight="1" x14ac:dyDescent="0.25">
      <c r="A125" s="166" t="s">
        <v>84</v>
      </c>
      <c r="B125" s="167" t="s">
        <v>30</v>
      </c>
      <c r="C125" s="141" t="str">
        <f t="shared" ref="C125:AG125" si="119">IF(C16=$R32,$V32*24,IF(C16=$R33,$V33*24,IF(C16=$R34,$V34*24,IF(C16=$R35,$V35*24,IF(C16=$R36,$V36*24,IF(C16=$R37,$V37*24,IF(C16=$R38,$V38*24,IF(C16=$R39,$V39*24,IF(C16=$R40,$V40*24,"")))))))))</f>
        <v/>
      </c>
      <c r="D125" s="141" t="str">
        <f t="shared" si="119"/>
        <v/>
      </c>
      <c r="E125" s="141" t="str">
        <f t="shared" si="119"/>
        <v/>
      </c>
      <c r="F125" s="141" t="str">
        <f t="shared" si="119"/>
        <v/>
      </c>
      <c r="G125" s="141" t="str">
        <f t="shared" si="119"/>
        <v/>
      </c>
      <c r="H125" s="141" t="str">
        <f t="shared" si="119"/>
        <v/>
      </c>
      <c r="I125" s="141" t="str">
        <f t="shared" si="119"/>
        <v/>
      </c>
      <c r="J125" s="141" t="str">
        <f t="shared" si="119"/>
        <v/>
      </c>
      <c r="K125" s="141" t="str">
        <f t="shared" si="119"/>
        <v/>
      </c>
      <c r="L125" s="141" t="str">
        <f t="shared" si="119"/>
        <v/>
      </c>
      <c r="M125" s="141" t="str">
        <f t="shared" si="119"/>
        <v/>
      </c>
      <c r="N125" s="141" t="str">
        <f t="shared" si="119"/>
        <v/>
      </c>
      <c r="O125" s="141" t="str">
        <f t="shared" si="119"/>
        <v/>
      </c>
      <c r="P125" s="141" t="str">
        <f t="shared" si="119"/>
        <v/>
      </c>
      <c r="Q125" s="141" t="str">
        <f t="shared" si="119"/>
        <v/>
      </c>
      <c r="R125" s="141" t="str">
        <f t="shared" si="119"/>
        <v/>
      </c>
      <c r="S125" s="141" t="str">
        <f t="shared" si="119"/>
        <v/>
      </c>
      <c r="T125" s="141" t="str">
        <f t="shared" si="119"/>
        <v/>
      </c>
      <c r="U125" s="141" t="str">
        <f t="shared" si="119"/>
        <v/>
      </c>
      <c r="V125" s="141" t="str">
        <f t="shared" si="119"/>
        <v/>
      </c>
      <c r="W125" s="141" t="str">
        <f t="shared" si="119"/>
        <v/>
      </c>
      <c r="X125" s="141" t="str">
        <f t="shared" si="119"/>
        <v/>
      </c>
      <c r="Y125" s="141" t="str">
        <f t="shared" si="119"/>
        <v/>
      </c>
      <c r="Z125" s="141" t="str">
        <f t="shared" si="119"/>
        <v/>
      </c>
      <c r="AA125" s="141" t="str">
        <f t="shared" si="119"/>
        <v/>
      </c>
      <c r="AB125" s="141" t="str">
        <f t="shared" si="119"/>
        <v/>
      </c>
      <c r="AC125" s="141" t="str">
        <f t="shared" si="119"/>
        <v/>
      </c>
      <c r="AD125" s="141" t="str">
        <f t="shared" si="119"/>
        <v/>
      </c>
      <c r="AE125" s="141" t="str">
        <f t="shared" si="119"/>
        <v/>
      </c>
      <c r="AF125" s="141" t="str">
        <f t="shared" si="119"/>
        <v/>
      </c>
      <c r="AG125" s="141" t="str">
        <f t="shared" si="119"/>
        <v/>
      </c>
      <c r="AH125" s="154" t="s">
        <v>12</v>
      </c>
      <c r="AI125" s="133"/>
      <c r="AJ125" s="170"/>
      <c r="AK125" s="133"/>
      <c r="AL125" s="133"/>
    </row>
    <row r="126" spans="1:57" ht="15.95" hidden="1" customHeight="1" x14ac:dyDescent="0.25">
      <c r="A126" s="153"/>
      <c r="B126" s="168" t="s">
        <v>34</v>
      </c>
      <c r="C126" s="169" t="str">
        <f t="shared" ref="C126:AD126" si="120">IF(C16=$R32,$BD32*24,IF(C16=$R33,$BD33*24,IF(C16=$R34,$BD34*24,IF(C16=$R35,$BD35*24,IF(C16=$R36,$BD36*24,IF(C16=$R37,$BD37*24,IF(C16=$R38,$BD38*24,IF(C16=$R39,$BD39*24,IF(C16=$R40,$BD40*24,"")))))))))</f>
        <v/>
      </c>
      <c r="D126" s="169" t="str">
        <f t="shared" si="120"/>
        <v/>
      </c>
      <c r="E126" s="169" t="str">
        <f t="shared" si="120"/>
        <v/>
      </c>
      <c r="F126" s="169" t="str">
        <f t="shared" si="120"/>
        <v/>
      </c>
      <c r="G126" s="169" t="str">
        <f t="shared" si="120"/>
        <v/>
      </c>
      <c r="H126" s="169" t="str">
        <f t="shared" si="120"/>
        <v/>
      </c>
      <c r="I126" s="169" t="str">
        <f t="shared" si="120"/>
        <v/>
      </c>
      <c r="J126" s="169" t="str">
        <f t="shared" si="120"/>
        <v/>
      </c>
      <c r="K126" s="169" t="str">
        <f t="shared" si="120"/>
        <v/>
      </c>
      <c r="L126" s="169" t="str">
        <f t="shared" si="120"/>
        <v/>
      </c>
      <c r="M126" s="169" t="str">
        <f t="shared" si="120"/>
        <v/>
      </c>
      <c r="N126" s="169" t="str">
        <f t="shared" si="120"/>
        <v/>
      </c>
      <c r="O126" s="169" t="str">
        <f t="shared" si="120"/>
        <v/>
      </c>
      <c r="P126" s="169" t="str">
        <f t="shared" si="120"/>
        <v/>
      </c>
      <c r="Q126" s="169" t="str">
        <f t="shared" si="120"/>
        <v/>
      </c>
      <c r="R126" s="169" t="str">
        <f t="shared" si="120"/>
        <v/>
      </c>
      <c r="S126" s="169" t="str">
        <f t="shared" si="120"/>
        <v/>
      </c>
      <c r="T126" s="169" t="str">
        <f t="shared" si="120"/>
        <v/>
      </c>
      <c r="U126" s="169" t="str">
        <f t="shared" si="120"/>
        <v/>
      </c>
      <c r="V126" s="169" t="str">
        <f t="shared" si="120"/>
        <v/>
      </c>
      <c r="W126" s="169" t="str">
        <f t="shared" si="120"/>
        <v/>
      </c>
      <c r="X126" s="169" t="str">
        <f t="shared" si="120"/>
        <v/>
      </c>
      <c r="Y126" s="169" t="str">
        <f t="shared" si="120"/>
        <v/>
      </c>
      <c r="Z126" s="169" t="str">
        <f t="shared" si="120"/>
        <v/>
      </c>
      <c r="AA126" s="169" t="str">
        <f t="shared" si="120"/>
        <v/>
      </c>
      <c r="AB126" s="169" t="str">
        <f t="shared" si="120"/>
        <v/>
      </c>
      <c r="AC126" s="169" t="str">
        <f t="shared" si="120"/>
        <v/>
      </c>
      <c r="AD126" s="169" t="str">
        <f t="shared" si="120"/>
        <v/>
      </c>
      <c r="AE126" s="169" t="str">
        <f>IF(AE16=$R32,$BD32*24,IF(AE16=$R33,$BD33*24,IF(AE16=$R34,$BD34*24,IF(AE16=$R35,$BD35*24,IF(AE16=$R36,$BD36*24,IF(AE16=$R37,$BD37*24,IF(AE16=$R38,$BD38*24,IF(AE16=$R39,$BD39*24,IF(AE16=$R40,$BD40*24,"")))))))))</f>
        <v/>
      </c>
      <c r="AF126" s="169" t="str">
        <f>IF(AF16=$R32,$BD32*24,IF(AF16=$R33,$BD33*24,IF(AF16=$R34,$BD34*24,IF(AF16=$R35,$BD35*24,IF(AF16=$R36,$BD36*24,IF(AF16=$R37,$BD37*24,IF(AF16=$R38,$BD38*24,IF(AF16=$R39,$BD39*24,IF(AF16=$R40,$BD40*24,"")))))))))</f>
        <v/>
      </c>
      <c r="AG126" s="169" t="str">
        <f>IF(AG16=$R32,$BD32*24,IF(AG16=$R33,$BD33*24,IF(AG16=$R34,$BD34*24,IF(AG16=$R35,$BD35*24,IF(AG16=$R36,$BD36*24,IF(AG16=$R37,$BD37*24,IF(AG16=$R38,$BD38*24,IF(AG16=$R39,$BD39*24,IF(AG16=$R40,$BD40*24,"")))))))))</f>
        <v/>
      </c>
      <c r="AH126" s="148">
        <f>SUM(C126:AG126)</f>
        <v>0</v>
      </c>
      <c r="AI126" s="133"/>
      <c r="AJ126" s="170"/>
      <c r="AK126" s="133"/>
      <c r="AL126" s="133"/>
    </row>
    <row r="127" spans="1:57" ht="15.95" hidden="1" customHeight="1" x14ac:dyDescent="0.25">
      <c r="A127" s="153"/>
      <c r="B127" s="167" t="s">
        <v>59</v>
      </c>
      <c r="C127" s="141">
        <f t="shared" ref="C127:AG127" si="121">IF(C16="V",$C36,IF(C16="PR",$C38,0))</f>
        <v>0</v>
      </c>
      <c r="D127" s="141">
        <f t="shared" si="121"/>
        <v>0</v>
      </c>
      <c r="E127" s="141">
        <f t="shared" si="121"/>
        <v>0</v>
      </c>
      <c r="F127" s="141">
        <f t="shared" si="121"/>
        <v>0</v>
      </c>
      <c r="G127" s="141">
        <f t="shared" si="121"/>
        <v>0</v>
      </c>
      <c r="H127" s="141">
        <f t="shared" si="121"/>
        <v>0</v>
      </c>
      <c r="I127" s="141">
        <f t="shared" si="121"/>
        <v>0</v>
      </c>
      <c r="J127" s="141">
        <f t="shared" si="121"/>
        <v>0</v>
      </c>
      <c r="K127" s="141">
        <f t="shared" si="121"/>
        <v>0</v>
      </c>
      <c r="L127" s="141">
        <f t="shared" si="121"/>
        <v>0</v>
      </c>
      <c r="M127" s="141">
        <f t="shared" si="121"/>
        <v>0</v>
      </c>
      <c r="N127" s="141">
        <f t="shared" si="121"/>
        <v>0</v>
      </c>
      <c r="O127" s="141">
        <f t="shared" si="121"/>
        <v>0</v>
      </c>
      <c r="P127" s="141">
        <f t="shared" si="121"/>
        <v>0</v>
      </c>
      <c r="Q127" s="141">
        <f t="shared" si="121"/>
        <v>0</v>
      </c>
      <c r="R127" s="141">
        <f t="shared" si="121"/>
        <v>0</v>
      </c>
      <c r="S127" s="141">
        <f t="shared" si="121"/>
        <v>0</v>
      </c>
      <c r="T127" s="141">
        <f t="shared" si="121"/>
        <v>0</v>
      </c>
      <c r="U127" s="141">
        <f t="shared" si="121"/>
        <v>0</v>
      </c>
      <c r="V127" s="141">
        <f t="shared" si="121"/>
        <v>0</v>
      </c>
      <c r="W127" s="141">
        <f t="shared" si="121"/>
        <v>0</v>
      </c>
      <c r="X127" s="141">
        <f t="shared" si="121"/>
        <v>0</v>
      </c>
      <c r="Y127" s="141">
        <f t="shared" si="121"/>
        <v>0</v>
      </c>
      <c r="Z127" s="141">
        <f t="shared" si="121"/>
        <v>0</v>
      </c>
      <c r="AA127" s="141">
        <f t="shared" si="121"/>
        <v>0</v>
      </c>
      <c r="AB127" s="141">
        <f t="shared" si="121"/>
        <v>0</v>
      </c>
      <c r="AC127" s="141">
        <f t="shared" si="121"/>
        <v>0</v>
      </c>
      <c r="AD127" s="141">
        <f t="shared" si="121"/>
        <v>0</v>
      </c>
      <c r="AE127" s="141">
        <f t="shared" si="121"/>
        <v>0</v>
      </c>
      <c r="AF127" s="141">
        <f t="shared" si="121"/>
        <v>0</v>
      </c>
      <c r="AG127" s="141">
        <f t="shared" si="121"/>
        <v>0</v>
      </c>
      <c r="AH127" s="226">
        <f>SUM(C127:AG127)</f>
        <v>0</v>
      </c>
      <c r="AI127" s="226"/>
      <c r="AJ127" s="230">
        <f>SUM(AH72+AH83+AH94+AH105+AH116+AH127)</f>
        <v>78.3</v>
      </c>
      <c r="AK127" s="230"/>
      <c r="AL127" s="133" t="s">
        <v>56</v>
      </c>
    </row>
    <row r="128" spans="1:57" ht="15.95" hidden="1" customHeight="1" x14ac:dyDescent="0.25">
      <c r="A128" s="150" t="s">
        <v>60</v>
      </c>
      <c r="B128" s="167" t="s">
        <v>61</v>
      </c>
      <c r="C128" s="151">
        <f t="shared" ref="C128:AD128" si="122">IF(C16=$R32,$BC32,IF(C16=$R33,$BC33,IF(C16=$R34,$BC34,IF(C16=$R35,$BC35,IF(C16=$R36,$BC36,IF(C16=$R37,$BC37,IF(C16=$R38,$BC38,IF(C16=$R39,$BC39,IF(C16=$R40,$BC40,0)))))))))</f>
        <v>0</v>
      </c>
      <c r="D128" s="151">
        <f t="shared" si="122"/>
        <v>0</v>
      </c>
      <c r="E128" s="151">
        <f t="shared" si="122"/>
        <v>0</v>
      </c>
      <c r="F128" s="151">
        <f t="shared" si="122"/>
        <v>0</v>
      </c>
      <c r="G128" s="151">
        <f t="shared" si="122"/>
        <v>0</v>
      </c>
      <c r="H128" s="151">
        <f t="shared" si="122"/>
        <v>0</v>
      </c>
      <c r="I128" s="151">
        <f t="shared" si="122"/>
        <v>0</v>
      </c>
      <c r="J128" s="151">
        <f t="shared" si="122"/>
        <v>0</v>
      </c>
      <c r="K128" s="151">
        <f t="shared" si="122"/>
        <v>0</v>
      </c>
      <c r="L128" s="151">
        <f t="shared" si="122"/>
        <v>0</v>
      </c>
      <c r="M128" s="151">
        <f t="shared" si="122"/>
        <v>0</v>
      </c>
      <c r="N128" s="151">
        <f t="shared" si="122"/>
        <v>0</v>
      </c>
      <c r="O128" s="151">
        <f t="shared" si="122"/>
        <v>0</v>
      </c>
      <c r="P128" s="151">
        <f t="shared" si="122"/>
        <v>0</v>
      </c>
      <c r="Q128" s="151">
        <f t="shared" si="122"/>
        <v>0</v>
      </c>
      <c r="R128" s="151">
        <f t="shared" si="122"/>
        <v>0</v>
      </c>
      <c r="S128" s="151">
        <f t="shared" si="122"/>
        <v>0</v>
      </c>
      <c r="T128" s="151">
        <f t="shared" si="122"/>
        <v>0</v>
      </c>
      <c r="U128" s="151">
        <f t="shared" si="122"/>
        <v>0</v>
      </c>
      <c r="V128" s="151">
        <f t="shared" si="122"/>
        <v>0</v>
      </c>
      <c r="W128" s="151">
        <f t="shared" si="122"/>
        <v>0</v>
      </c>
      <c r="X128" s="151">
        <f t="shared" si="122"/>
        <v>0</v>
      </c>
      <c r="Y128" s="151">
        <f t="shared" si="122"/>
        <v>0</v>
      </c>
      <c r="Z128" s="151">
        <f t="shared" si="122"/>
        <v>0</v>
      </c>
      <c r="AA128" s="151">
        <f t="shared" si="122"/>
        <v>0</v>
      </c>
      <c r="AB128" s="151">
        <f t="shared" si="122"/>
        <v>0</v>
      </c>
      <c r="AC128" s="151">
        <f t="shared" si="122"/>
        <v>0</v>
      </c>
      <c r="AD128" s="151">
        <f t="shared" si="122"/>
        <v>0</v>
      </c>
      <c r="AE128" s="151">
        <f>IF(AE16=$R32,$BC32,IF(AE16=$R33,$BC33,IF(AE16=$R34,$BC34,IF(AE16=$R35,$BC35,IF(AE16=$R36,$BC36,IF(AE16=$R37,$BC37,IF(AE16=$R38,$BC38,IF(AE16=$R39,$BC39,IF(AE16=$R40,$BC40,0)))))))))</f>
        <v>0</v>
      </c>
      <c r="AF128" s="151">
        <f>IF(AF16=$R32,$BC32,IF(AF16=$R33,$BC33,IF(AF16=$R34,$BC34,IF(AF16=$R35,$BC35,IF(AF16=$R36,$BC36,IF(AF16=$R37,$BC37,IF(AF16=$R38,$BC38,IF(AF16=$R39,$BC39,IF(AF16=$R40,$BC40,0)))))))))</f>
        <v>0</v>
      </c>
      <c r="AG128" s="151">
        <f>IF(AG16=$R32,$BC32,IF(AG16=$R33,$BC33,IF(AG16=$R34,$BC34,IF(AG16=$R35,$BC35,IF(AG16=$R36,$BC36,IF(AG16=$R37,$BC37,IF(AG16=$R38,$BC38,IF(AG16=$R39,$BC39,IF(AG16=$R40,$BC40,0)))))))))</f>
        <v>0</v>
      </c>
      <c r="AH128" s="226">
        <f>SUM(C128:AG128)</f>
        <v>0</v>
      </c>
      <c r="AI128" s="226"/>
      <c r="AJ128" s="174" t="s">
        <v>62</v>
      </c>
      <c r="AK128" s="133" t="s">
        <v>12</v>
      </c>
      <c r="AL128" s="133"/>
    </row>
    <row r="129" spans="1:38" ht="15.95" hidden="1" customHeight="1" x14ac:dyDescent="0.25">
      <c r="A129" s="153" t="s">
        <v>48</v>
      </c>
      <c r="B129" s="149" t="s">
        <v>63</v>
      </c>
      <c r="C129" s="141" t="b">
        <f t="shared" ref="C129:AG129" si="123">IF(C46=1,IF(C124&lt;C125,C128,0))</f>
        <v>0</v>
      </c>
      <c r="D129" s="141" t="b">
        <f t="shared" si="123"/>
        <v>0</v>
      </c>
      <c r="E129" s="141">
        <f t="shared" si="123"/>
        <v>0</v>
      </c>
      <c r="F129" s="141">
        <f t="shared" si="123"/>
        <v>0</v>
      </c>
      <c r="G129" s="141" t="b">
        <f t="shared" si="123"/>
        <v>0</v>
      </c>
      <c r="H129" s="141" t="b">
        <f t="shared" si="123"/>
        <v>0</v>
      </c>
      <c r="I129" s="141" t="b">
        <f t="shared" si="123"/>
        <v>0</v>
      </c>
      <c r="J129" s="141" t="b">
        <f t="shared" si="123"/>
        <v>0</v>
      </c>
      <c r="K129" s="141" t="b">
        <f t="shared" si="123"/>
        <v>0</v>
      </c>
      <c r="L129" s="141">
        <f t="shared" si="123"/>
        <v>0</v>
      </c>
      <c r="M129" s="141">
        <f t="shared" si="123"/>
        <v>0</v>
      </c>
      <c r="N129" s="141" t="b">
        <f t="shared" si="123"/>
        <v>0</v>
      </c>
      <c r="O129" s="141" t="b">
        <f t="shared" si="123"/>
        <v>0</v>
      </c>
      <c r="P129" s="141" t="b">
        <f t="shared" si="123"/>
        <v>0</v>
      </c>
      <c r="Q129" s="141" t="b">
        <f t="shared" si="123"/>
        <v>0</v>
      </c>
      <c r="R129" s="141" t="b">
        <f t="shared" si="123"/>
        <v>0</v>
      </c>
      <c r="S129" s="141">
        <f t="shared" si="123"/>
        <v>0</v>
      </c>
      <c r="T129" s="141">
        <f t="shared" si="123"/>
        <v>0</v>
      </c>
      <c r="U129" s="141" t="b">
        <f t="shared" si="123"/>
        <v>0</v>
      </c>
      <c r="V129" s="141" t="b">
        <f t="shared" si="123"/>
        <v>0</v>
      </c>
      <c r="W129" s="141" t="b">
        <f t="shared" si="123"/>
        <v>0</v>
      </c>
      <c r="X129" s="141" t="b">
        <f t="shared" si="123"/>
        <v>0</v>
      </c>
      <c r="Y129" s="141" t="b">
        <f t="shared" si="123"/>
        <v>0</v>
      </c>
      <c r="Z129" s="141">
        <f t="shared" si="123"/>
        <v>0</v>
      </c>
      <c r="AA129" s="141">
        <f t="shared" si="123"/>
        <v>0</v>
      </c>
      <c r="AB129" s="141" t="b">
        <f t="shared" si="123"/>
        <v>0</v>
      </c>
      <c r="AC129" s="141" t="b">
        <f t="shared" si="123"/>
        <v>0</v>
      </c>
      <c r="AD129" s="141" t="b">
        <f t="shared" si="123"/>
        <v>0</v>
      </c>
      <c r="AE129" s="141" t="b">
        <f t="shared" si="123"/>
        <v>0</v>
      </c>
      <c r="AF129" s="141" t="b">
        <f t="shared" si="123"/>
        <v>0</v>
      </c>
      <c r="AG129" s="141">
        <f t="shared" si="123"/>
        <v>0</v>
      </c>
      <c r="AH129" s="154" t="s">
        <v>12</v>
      </c>
      <c r="AI129" s="133"/>
      <c r="AJ129" s="170"/>
      <c r="AK129" s="133"/>
      <c r="AL129" s="133"/>
    </row>
    <row r="130" spans="1:38" ht="15.95" hidden="1" customHeight="1" x14ac:dyDescent="0.25">
      <c r="A130" s="176"/>
      <c r="B130" s="149" t="s">
        <v>64</v>
      </c>
      <c r="C130" s="141">
        <f t="shared" ref="C130:AG130" si="124">IF(C46=1,IF(C124&gt;C125,24-C124,0),0)</f>
        <v>0</v>
      </c>
      <c r="D130" s="141">
        <f t="shared" si="124"/>
        <v>0</v>
      </c>
      <c r="E130" s="141">
        <f t="shared" si="124"/>
        <v>0</v>
      </c>
      <c r="F130" s="141">
        <f t="shared" si="124"/>
        <v>0</v>
      </c>
      <c r="G130" s="141">
        <f t="shared" si="124"/>
        <v>0</v>
      </c>
      <c r="H130" s="141">
        <f t="shared" si="124"/>
        <v>0</v>
      </c>
      <c r="I130" s="141">
        <f t="shared" si="124"/>
        <v>0</v>
      </c>
      <c r="J130" s="141">
        <f t="shared" si="124"/>
        <v>0</v>
      </c>
      <c r="K130" s="141">
        <f t="shared" si="124"/>
        <v>0</v>
      </c>
      <c r="L130" s="141">
        <f t="shared" si="124"/>
        <v>0</v>
      </c>
      <c r="M130" s="141">
        <f t="shared" si="124"/>
        <v>0</v>
      </c>
      <c r="N130" s="141">
        <f t="shared" si="124"/>
        <v>0</v>
      </c>
      <c r="O130" s="141">
        <f t="shared" si="124"/>
        <v>0</v>
      </c>
      <c r="P130" s="141">
        <f t="shared" si="124"/>
        <v>0</v>
      </c>
      <c r="Q130" s="141">
        <f t="shared" si="124"/>
        <v>0</v>
      </c>
      <c r="R130" s="141">
        <f t="shared" si="124"/>
        <v>0</v>
      </c>
      <c r="S130" s="141">
        <f t="shared" si="124"/>
        <v>0</v>
      </c>
      <c r="T130" s="141">
        <f t="shared" si="124"/>
        <v>0</v>
      </c>
      <c r="U130" s="141">
        <f t="shared" si="124"/>
        <v>0</v>
      </c>
      <c r="V130" s="141">
        <f t="shared" si="124"/>
        <v>0</v>
      </c>
      <c r="W130" s="141">
        <f t="shared" si="124"/>
        <v>0</v>
      </c>
      <c r="X130" s="141">
        <f t="shared" si="124"/>
        <v>0</v>
      </c>
      <c r="Y130" s="141">
        <f t="shared" si="124"/>
        <v>0</v>
      </c>
      <c r="Z130" s="141">
        <f t="shared" si="124"/>
        <v>0</v>
      </c>
      <c r="AA130" s="141">
        <f t="shared" si="124"/>
        <v>0</v>
      </c>
      <c r="AB130" s="141">
        <f t="shared" si="124"/>
        <v>0</v>
      </c>
      <c r="AC130" s="141">
        <f t="shared" si="124"/>
        <v>0</v>
      </c>
      <c r="AD130" s="141">
        <f t="shared" si="124"/>
        <v>0</v>
      </c>
      <c r="AE130" s="141">
        <f t="shared" si="124"/>
        <v>0</v>
      </c>
      <c r="AF130" s="141">
        <f t="shared" si="124"/>
        <v>0</v>
      </c>
      <c r="AG130" s="141">
        <f t="shared" si="124"/>
        <v>0</v>
      </c>
      <c r="AH130" s="154" t="s">
        <v>12</v>
      </c>
      <c r="AI130" s="133"/>
      <c r="AJ130" s="170"/>
      <c r="AK130" s="133"/>
      <c r="AL130" s="133"/>
    </row>
    <row r="131" spans="1:38" ht="15.95" hidden="1" customHeight="1" x14ac:dyDescent="0.25">
      <c r="A131" s="176"/>
      <c r="B131" s="149" t="s">
        <v>65</v>
      </c>
      <c r="C131" s="141">
        <f t="shared" ref="C131:AG131" si="125">IF(D46=1,IF(C124&gt;C125,C125,0),0)</f>
        <v>0</v>
      </c>
      <c r="D131" s="141">
        <f t="shared" si="125"/>
        <v>0</v>
      </c>
      <c r="E131" s="141">
        <f t="shared" si="125"/>
        <v>0</v>
      </c>
      <c r="F131" s="141">
        <f t="shared" si="125"/>
        <v>0</v>
      </c>
      <c r="G131" s="141">
        <f t="shared" si="125"/>
        <v>0</v>
      </c>
      <c r="H131" s="141">
        <f t="shared" si="125"/>
        <v>0</v>
      </c>
      <c r="I131" s="141">
        <f t="shared" si="125"/>
        <v>0</v>
      </c>
      <c r="J131" s="141">
        <f t="shared" si="125"/>
        <v>0</v>
      </c>
      <c r="K131" s="141">
        <f t="shared" si="125"/>
        <v>0</v>
      </c>
      <c r="L131" s="141">
        <f t="shared" si="125"/>
        <v>0</v>
      </c>
      <c r="M131" s="141">
        <f t="shared" si="125"/>
        <v>0</v>
      </c>
      <c r="N131" s="141">
        <f t="shared" si="125"/>
        <v>0</v>
      </c>
      <c r="O131" s="141">
        <f t="shared" si="125"/>
        <v>0</v>
      </c>
      <c r="P131" s="141">
        <f t="shared" si="125"/>
        <v>0</v>
      </c>
      <c r="Q131" s="141">
        <f t="shared" si="125"/>
        <v>0</v>
      </c>
      <c r="R131" s="141">
        <f t="shared" si="125"/>
        <v>0</v>
      </c>
      <c r="S131" s="141">
        <f t="shared" si="125"/>
        <v>0</v>
      </c>
      <c r="T131" s="141">
        <f t="shared" si="125"/>
        <v>0</v>
      </c>
      <c r="U131" s="141">
        <f t="shared" si="125"/>
        <v>0</v>
      </c>
      <c r="V131" s="141">
        <f t="shared" si="125"/>
        <v>0</v>
      </c>
      <c r="W131" s="141">
        <f t="shared" si="125"/>
        <v>0</v>
      </c>
      <c r="X131" s="141">
        <f>IF(Y46=1,IF(X124&gt;X125,X125,0),0)</f>
        <v>0</v>
      </c>
      <c r="Y131" s="141">
        <f t="shared" si="125"/>
        <v>0</v>
      </c>
      <c r="Z131" s="141">
        <f t="shared" si="125"/>
        <v>0</v>
      </c>
      <c r="AA131" s="141">
        <f t="shared" si="125"/>
        <v>0</v>
      </c>
      <c r="AB131" s="141">
        <f t="shared" si="125"/>
        <v>0</v>
      </c>
      <c r="AC131" s="141">
        <f t="shared" si="125"/>
        <v>0</v>
      </c>
      <c r="AD131" s="141">
        <f t="shared" si="125"/>
        <v>0</v>
      </c>
      <c r="AE131" s="141">
        <f t="shared" si="125"/>
        <v>0</v>
      </c>
      <c r="AF131" s="141">
        <f t="shared" si="125"/>
        <v>0</v>
      </c>
      <c r="AG131" s="141">
        <f t="shared" si="125"/>
        <v>0</v>
      </c>
      <c r="AH131" s="154" t="s">
        <v>12</v>
      </c>
      <c r="AI131" s="133"/>
      <c r="AJ131" s="170"/>
      <c r="AK131" s="133"/>
      <c r="AL131" s="133"/>
    </row>
    <row r="132" spans="1:38" ht="15.95" hidden="1" customHeight="1" x14ac:dyDescent="0.25">
      <c r="A132" s="176"/>
      <c r="B132" s="149" t="s">
        <v>67</v>
      </c>
      <c r="C132" s="171">
        <f t="shared" ref="C132:AG132" si="126">SUM(C129:C131)</f>
        <v>0</v>
      </c>
      <c r="D132" s="171">
        <f t="shared" si="126"/>
        <v>0</v>
      </c>
      <c r="E132" s="171">
        <f t="shared" si="126"/>
        <v>0</v>
      </c>
      <c r="F132" s="171">
        <f t="shared" si="126"/>
        <v>0</v>
      </c>
      <c r="G132" s="171">
        <f t="shared" si="126"/>
        <v>0</v>
      </c>
      <c r="H132" s="171">
        <f t="shared" si="126"/>
        <v>0</v>
      </c>
      <c r="I132" s="171">
        <f t="shared" si="126"/>
        <v>0</v>
      </c>
      <c r="J132" s="171">
        <f t="shared" si="126"/>
        <v>0</v>
      </c>
      <c r="K132" s="171">
        <f t="shared" si="126"/>
        <v>0</v>
      </c>
      <c r="L132" s="171">
        <f t="shared" si="126"/>
        <v>0</v>
      </c>
      <c r="M132" s="171">
        <f t="shared" si="126"/>
        <v>0</v>
      </c>
      <c r="N132" s="171">
        <f t="shared" si="126"/>
        <v>0</v>
      </c>
      <c r="O132" s="171">
        <f t="shared" si="126"/>
        <v>0</v>
      </c>
      <c r="P132" s="171">
        <f t="shared" si="126"/>
        <v>0</v>
      </c>
      <c r="Q132" s="171">
        <f t="shared" si="126"/>
        <v>0</v>
      </c>
      <c r="R132" s="171">
        <f t="shared" si="126"/>
        <v>0</v>
      </c>
      <c r="S132" s="171">
        <f t="shared" si="126"/>
        <v>0</v>
      </c>
      <c r="T132" s="171">
        <f t="shared" si="126"/>
        <v>0</v>
      </c>
      <c r="U132" s="171">
        <f t="shared" si="126"/>
        <v>0</v>
      </c>
      <c r="V132" s="171">
        <f t="shared" si="126"/>
        <v>0</v>
      </c>
      <c r="W132" s="171">
        <f t="shared" si="126"/>
        <v>0</v>
      </c>
      <c r="X132" s="171">
        <f t="shared" si="126"/>
        <v>0</v>
      </c>
      <c r="Y132" s="171">
        <f t="shared" si="126"/>
        <v>0</v>
      </c>
      <c r="Z132" s="171">
        <f t="shared" si="126"/>
        <v>0</v>
      </c>
      <c r="AA132" s="171">
        <f t="shared" si="126"/>
        <v>0</v>
      </c>
      <c r="AB132" s="171">
        <f t="shared" si="126"/>
        <v>0</v>
      </c>
      <c r="AC132" s="171">
        <f t="shared" si="126"/>
        <v>0</v>
      </c>
      <c r="AD132" s="171">
        <f t="shared" si="126"/>
        <v>0</v>
      </c>
      <c r="AE132" s="171">
        <f t="shared" si="126"/>
        <v>0</v>
      </c>
      <c r="AF132" s="171">
        <f t="shared" si="126"/>
        <v>0</v>
      </c>
      <c r="AG132" s="171">
        <f t="shared" si="126"/>
        <v>0</v>
      </c>
      <c r="AH132" s="154" t="s">
        <v>12</v>
      </c>
      <c r="AI132" s="133"/>
      <c r="AJ132" s="170"/>
      <c r="AK132" s="133"/>
      <c r="AL132" s="133"/>
    </row>
    <row r="133" spans="1:38" ht="15.95" hidden="1" customHeight="1" x14ac:dyDescent="0.25">
      <c r="A133" s="177"/>
      <c r="B133" s="160" t="s">
        <v>68</v>
      </c>
      <c r="C133" s="161">
        <f t="shared" ref="C133:AG133" si="127">IF(C16="V",IF(C16="",0,1),0)</f>
        <v>0</v>
      </c>
      <c r="D133" s="161">
        <f t="shared" si="127"/>
        <v>0</v>
      </c>
      <c r="E133" s="161">
        <f t="shared" si="127"/>
        <v>0</v>
      </c>
      <c r="F133" s="161">
        <f t="shared" si="127"/>
        <v>0</v>
      </c>
      <c r="G133" s="161">
        <f t="shared" si="127"/>
        <v>0</v>
      </c>
      <c r="H133" s="161">
        <f t="shared" si="127"/>
        <v>0</v>
      </c>
      <c r="I133" s="161">
        <f t="shared" si="127"/>
        <v>0</v>
      </c>
      <c r="J133" s="161">
        <f t="shared" si="127"/>
        <v>0</v>
      </c>
      <c r="K133" s="161">
        <f t="shared" si="127"/>
        <v>0</v>
      </c>
      <c r="L133" s="161">
        <f t="shared" si="127"/>
        <v>0</v>
      </c>
      <c r="M133" s="161">
        <f t="shared" si="127"/>
        <v>0</v>
      </c>
      <c r="N133" s="161">
        <f t="shared" si="127"/>
        <v>0</v>
      </c>
      <c r="O133" s="161">
        <f t="shared" si="127"/>
        <v>0</v>
      </c>
      <c r="P133" s="161">
        <f t="shared" si="127"/>
        <v>0</v>
      </c>
      <c r="Q133" s="161">
        <f t="shared" si="127"/>
        <v>0</v>
      </c>
      <c r="R133" s="161">
        <f t="shared" si="127"/>
        <v>0</v>
      </c>
      <c r="S133" s="161">
        <f t="shared" si="127"/>
        <v>0</v>
      </c>
      <c r="T133" s="161">
        <f t="shared" si="127"/>
        <v>0</v>
      </c>
      <c r="U133" s="161">
        <f t="shared" si="127"/>
        <v>0</v>
      </c>
      <c r="V133" s="161">
        <f t="shared" si="127"/>
        <v>0</v>
      </c>
      <c r="W133" s="161">
        <f t="shared" si="127"/>
        <v>0</v>
      </c>
      <c r="X133" s="161">
        <f t="shared" si="127"/>
        <v>0</v>
      </c>
      <c r="Y133" s="161">
        <f t="shared" si="127"/>
        <v>0</v>
      </c>
      <c r="Z133" s="161">
        <f t="shared" si="127"/>
        <v>0</v>
      </c>
      <c r="AA133" s="161">
        <f t="shared" si="127"/>
        <v>0</v>
      </c>
      <c r="AB133" s="161">
        <f t="shared" si="127"/>
        <v>0</v>
      </c>
      <c r="AC133" s="161">
        <f t="shared" si="127"/>
        <v>0</v>
      </c>
      <c r="AD133" s="161">
        <f t="shared" si="127"/>
        <v>0</v>
      </c>
      <c r="AE133" s="161">
        <f t="shared" si="127"/>
        <v>0</v>
      </c>
      <c r="AF133" s="161">
        <f t="shared" si="127"/>
        <v>0</v>
      </c>
      <c r="AG133" s="161">
        <f t="shared" si="127"/>
        <v>0</v>
      </c>
      <c r="AH133" s="154" t="s">
        <v>12</v>
      </c>
      <c r="AI133" s="133"/>
      <c r="AJ133" s="170"/>
      <c r="AK133" s="133"/>
      <c r="AL133" s="133"/>
    </row>
    <row r="134" spans="1:38" ht="15.95" hidden="1" customHeight="1" x14ac:dyDescent="0.25">
      <c r="A134" s="180"/>
      <c r="B134" s="181" t="s">
        <v>16</v>
      </c>
      <c r="C134" s="182">
        <f t="shared" ref="C134:AG134" si="128">IF(C16="PR",IF(C16="",0,1),0)</f>
        <v>0</v>
      </c>
      <c r="D134" s="182">
        <f t="shared" si="128"/>
        <v>0</v>
      </c>
      <c r="E134" s="182">
        <f t="shared" si="128"/>
        <v>0</v>
      </c>
      <c r="F134" s="182">
        <f t="shared" si="128"/>
        <v>0</v>
      </c>
      <c r="G134" s="182">
        <f t="shared" si="128"/>
        <v>0</v>
      </c>
      <c r="H134" s="182">
        <f t="shared" si="128"/>
        <v>0</v>
      </c>
      <c r="I134" s="182">
        <f t="shared" si="128"/>
        <v>0</v>
      </c>
      <c r="J134" s="182">
        <f t="shared" si="128"/>
        <v>0</v>
      </c>
      <c r="K134" s="182">
        <f t="shared" si="128"/>
        <v>0</v>
      </c>
      <c r="L134" s="182">
        <f t="shared" si="128"/>
        <v>0</v>
      </c>
      <c r="M134" s="182">
        <f t="shared" si="128"/>
        <v>0</v>
      </c>
      <c r="N134" s="182">
        <f t="shared" si="128"/>
        <v>0</v>
      </c>
      <c r="O134" s="182">
        <f t="shared" si="128"/>
        <v>0</v>
      </c>
      <c r="P134" s="182">
        <f t="shared" si="128"/>
        <v>0</v>
      </c>
      <c r="Q134" s="182">
        <f t="shared" si="128"/>
        <v>0</v>
      </c>
      <c r="R134" s="182">
        <f t="shared" si="128"/>
        <v>0</v>
      </c>
      <c r="S134" s="182">
        <f t="shared" si="128"/>
        <v>0</v>
      </c>
      <c r="T134" s="182">
        <f t="shared" si="128"/>
        <v>0</v>
      </c>
      <c r="U134" s="182">
        <f t="shared" si="128"/>
        <v>0</v>
      </c>
      <c r="V134" s="182">
        <f t="shared" si="128"/>
        <v>0</v>
      </c>
      <c r="W134" s="182">
        <f t="shared" si="128"/>
        <v>0</v>
      </c>
      <c r="X134" s="182">
        <f t="shared" si="128"/>
        <v>0</v>
      </c>
      <c r="Y134" s="182">
        <f t="shared" si="128"/>
        <v>0</v>
      </c>
      <c r="Z134" s="182">
        <f t="shared" si="128"/>
        <v>0</v>
      </c>
      <c r="AA134" s="182">
        <f t="shared" si="128"/>
        <v>0</v>
      </c>
      <c r="AB134" s="182">
        <f t="shared" si="128"/>
        <v>0</v>
      </c>
      <c r="AC134" s="182">
        <f t="shared" si="128"/>
        <v>0</v>
      </c>
      <c r="AD134" s="182">
        <f t="shared" si="128"/>
        <v>0</v>
      </c>
      <c r="AE134" s="182">
        <f t="shared" si="128"/>
        <v>0</v>
      </c>
      <c r="AF134" s="182">
        <f t="shared" si="128"/>
        <v>0</v>
      </c>
      <c r="AG134" s="182">
        <f t="shared" si="128"/>
        <v>0</v>
      </c>
      <c r="AH134" s="227">
        <f>SUM(C134:AG134)</f>
        <v>0</v>
      </c>
      <c r="AI134" s="227"/>
      <c r="AJ134" s="174" t="s">
        <v>69</v>
      </c>
      <c r="AK134" s="133"/>
      <c r="AL134" s="133"/>
    </row>
    <row r="135" spans="1:38" ht="15.95" hidden="1" customHeight="1" x14ac:dyDescent="0.25">
      <c r="A135" s="164" t="s">
        <v>85</v>
      </c>
      <c r="B135" s="165" t="s">
        <v>29</v>
      </c>
      <c r="C135" s="141">
        <f t="shared" ref="C135:AG135" si="129">IF(C17=$R32,$S32*24,IF(C17=$R33,$S33*24,IF(C17=$R34,$S34*24,IF(C17=$R35,$S35*24,IF(C17=$R36,$S36*24,IF(C17=$R37,$S37*24,IF(C17=$R38,$S38*24,IF(C17=$R39,$S39*24,IF(C17=$R40,$S40*24,"")))))))))</f>
        <v>18</v>
      </c>
      <c r="D135" s="141">
        <f t="shared" si="129"/>
        <v>22</v>
      </c>
      <c r="E135" s="141">
        <f t="shared" si="129"/>
        <v>22</v>
      </c>
      <c r="F135" s="141">
        <f t="shared" si="129"/>
        <v>22</v>
      </c>
      <c r="G135" s="141">
        <f t="shared" si="129"/>
        <v>18</v>
      </c>
      <c r="H135" s="141">
        <f t="shared" si="129"/>
        <v>18</v>
      </c>
      <c r="I135" s="141" t="str">
        <f t="shared" si="129"/>
        <v/>
      </c>
      <c r="J135" s="141" t="str">
        <f t="shared" si="129"/>
        <v/>
      </c>
      <c r="K135" s="141">
        <f t="shared" si="129"/>
        <v>18</v>
      </c>
      <c r="L135" s="141">
        <f t="shared" si="129"/>
        <v>18</v>
      </c>
      <c r="M135" s="141">
        <f t="shared" si="129"/>
        <v>18</v>
      </c>
      <c r="N135" s="141">
        <f t="shared" si="129"/>
        <v>22</v>
      </c>
      <c r="O135" s="141">
        <f t="shared" si="129"/>
        <v>22</v>
      </c>
      <c r="P135" s="141" t="str">
        <f t="shared" si="129"/>
        <v/>
      </c>
      <c r="Q135" s="141" t="str">
        <f t="shared" si="129"/>
        <v/>
      </c>
      <c r="R135" s="141">
        <f t="shared" si="129"/>
        <v>22</v>
      </c>
      <c r="S135" s="141">
        <f t="shared" si="129"/>
        <v>22</v>
      </c>
      <c r="T135" s="141">
        <f t="shared" si="129"/>
        <v>22</v>
      </c>
      <c r="U135" s="141">
        <f t="shared" si="129"/>
        <v>18</v>
      </c>
      <c r="V135" s="141">
        <f t="shared" si="129"/>
        <v>18</v>
      </c>
      <c r="W135" s="141" t="str">
        <f t="shared" si="129"/>
        <v/>
      </c>
      <c r="X135" s="141" t="str">
        <f t="shared" si="129"/>
        <v/>
      </c>
      <c r="Y135" s="141">
        <f t="shared" si="129"/>
        <v>18</v>
      </c>
      <c r="Z135" s="141">
        <f t="shared" si="129"/>
        <v>18</v>
      </c>
      <c r="AA135" s="141">
        <f t="shared" si="129"/>
        <v>18</v>
      </c>
      <c r="AB135" s="141" t="str">
        <f t="shared" si="129"/>
        <v/>
      </c>
      <c r="AC135" s="141">
        <f t="shared" si="129"/>
        <v>22</v>
      </c>
      <c r="AD135" s="141" t="str">
        <f t="shared" si="129"/>
        <v/>
      </c>
      <c r="AE135" s="141">
        <f t="shared" si="129"/>
        <v>18</v>
      </c>
      <c r="AF135" s="141" t="str">
        <f t="shared" si="129"/>
        <v/>
      </c>
      <c r="AG135" s="141" t="str">
        <f t="shared" si="129"/>
        <v/>
      </c>
      <c r="AH135" s="154" t="s">
        <v>12</v>
      </c>
      <c r="AI135" s="133"/>
      <c r="AJ135" s="170"/>
      <c r="AK135" s="133"/>
      <c r="AL135" s="133"/>
    </row>
    <row r="136" spans="1:38" ht="15.95" hidden="1" customHeight="1" x14ac:dyDescent="0.25">
      <c r="A136" s="166" t="s">
        <v>86</v>
      </c>
      <c r="B136" s="167" t="s">
        <v>30</v>
      </c>
      <c r="C136" s="141">
        <f t="shared" ref="C136:AG136" si="130">IF(C17=$R32,$V32*24,IF(C17=$R33,$V33*24,IF(C17=$R34,$V34*24,IF(C17=$R35,$V35*24,IF(C17=$R36,$V36*24,IF(C17=$R37,$V37*24,IF(C17=$R38,$V38*24,IF(C17=$R39,$V39*24,IF(C17=$R40,$V40*24,"")))))))))</f>
        <v>6</v>
      </c>
      <c r="D136" s="141">
        <f t="shared" si="130"/>
        <v>6</v>
      </c>
      <c r="E136" s="141">
        <f t="shared" si="130"/>
        <v>6</v>
      </c>
      <c r="F136" s="141">
        <f t="shared" si="130"/>
        <v>6</v>
      </c>
      <c r="G136" s="141">
        <f t="shared" si="130"/>
        <v>6</v>
      </c>
      <c r="H136" s="141">
        <f t="shared" si="130"/>
        <v>6</v>
      </c>
      <c r="I136" s="141" t="str">
        <f t="shared" si="130"/>
        <v/>
      </c>
      <c r="J136" s="141" t="str">
        <f t="shared" si="130"/>
        <v/>
      </c>
      <c r="K136" s="141">
        <f t="shared" si="130"/>
        <v>6</v>
      </c>
      <c r="L136" s="141">
        <f t="shared" si="130"/>
        <v>6</v>
      </c>
      <c r="M136" s="141">
        <f t="shared" si="130"/>
        <v>6</v>
      </c>
      <c r="N136" s="141">
        <f t="shared" si="130"/>
        <v>6</v>
      </c>
      <c r="O136" s="141">
        <f t="shared" si="130"/>
        <v>6</v>
      </c>
      <c r="P136" s="141" t="str">
        <f t="shared" si="130"/>
        <v/>
      </c>
      <c r="Q136" s="141" t="str">
        <f t="shared" si="130"/>
        <v/>
      </c>
      <c r="R136" s="141">
        <f t="shared" si="130"/>
        <v>6</v>
      </c>
      <c r="S136" s="141">
        <f t="shared" si="130"/>
        <v>6</v>
      </c>
      <c r="T136" s="141">
        <f t="shared" si="130"/>
        <v>6</v>
      </c>
      <c r="U136" s="141">
        <f t="shared" si="130"/>
        <v>6</v>
      </c>
      <c r="V136" s="141">
        <f t="shared" si="130"/>
        <v>6</v>
      </c>
      <c r="W136" s="141" t="str">
        <f t="shared" si="130"/>
        <v/>
      </c>
      <c r="X136" s="141" t="str">
        <f t="shared" si="130"/>
        <v/>
      </c>
      <c r="Y136" s="141">
        <f t="shared" si="130"/>
        <v>6</v>
      </c>
      <c r="Z136" s="141">
        <f t="shared" si="130"/>
        <v>6</v>
      </c>
      <c r="AA136" s="141">
        <f t="shared" si="130"/>
        <v>6</v>
      </c>
      <c r="AB136" s="141" t="str">
        <f t="shared" si="130"/>
        <v/>
      </c>
      <c r="AC136" s="141">
        <f t="shared" si="130"/>
        <v>6</v>
      </c>
      <c r="AD136" s="141" t="str">
        <f t="shared" si="130"/>
        <v/>
      </c>
      <c r="AE136" s="141">
        <f t="shared" si="130"/>
        <v>6</v>
      </c>
      <c r="AF136" s="141" t="str">
        <f t="shared" si="130"/>
        <v/>
      </c>
      <c r="AG136" s="141" t="str">
        <f t="shared" si="130"/>
        <v/>
      </c>
      <c r="AH136" s="154" t="s">
        <v>12</v>
      </c>
      <c r="AI136" s="133"/>
      <c r="AJ136" s="170"/>
      <c r="AK136" s="133"/>
      <c r="AL136" s="133"/>
    </row>
    <row r="137" spans="1:38" ht="15.95" hidden="1" customHeight="1" x14ac:dyDescent="0.25">
      <c r="A137" s="153"/>
      <c r="B137" s="168" t="s">
        <v>34</v>
      </c>
      <c r="C137" s="169">
        <f t="shared" ref="C137:AD137" si="131">IF(C17=$R32,$BD32*24,IF(C17=$R33,$BD33*24,IF(C17=$R34,$BD34*24,IF(C17=$R35,$BD35*24,IF(C17=$R36,$BD36*24,IF(C17=$R37,$BD37*24,IF(C17=$R38,$BD38*24,IF(C17=$R39,$BD39*24,IF(C17=$R40,$BD40*24,"")))))))))</f>
        <v>8</v>
      </c>
      <c r="D137" s="169">
        <f t="shared" si="131"/>
        <v>8</v>
      </c>
      <c r="E137" s="169">
        <f t="shared" si="131"/>
        <v>8</v>
      </c>
      <c r="F137" s="169">
        <f t="shared" si="131"/>
        <v>8</v>
      </c>
      <c r="G137" s="169">
        <f t="shared" si="131"/>
        <v>8</v>
      </c>
      <c r="H137" s="169">
        <f t="shared" si="131"/>
        <v>8</v>
      </c>
      <c r="I137" s="169" t="str">
        <f t="shared" si="131"/>
        <v/>
      </c>
      <c r="J137" s="169" t="str">
        <f t="shared" si="131"/>
        <v/>
      </c>
      <c r="K137" s="169">
        <f t="shared" si="131"/>
        <v>8</v>
      </c>
      <c r="L137" s="169">
        <f t="shared" si="131"/>
        <v>8</v>
      </c>
      <c r="M137" s="169">
        <f t="shared" si="131"/>
        <v>8</v>
      </c>
      <c r="N137" s="169">
        <f t="shared" si="131"/>
        <v>8</v>
      </c>
      <c r="O137" s="169">
        <f t="shared" si="131"/>
        <v>8</v>
      </c>
      <c r="P137" s="169" t="str">
        <f t="shared" si="131"/>
        <v/>
      </c>
      <c r="Q137" s="169" t="str">
        <f t="shared" si="131"/>
        <v/>
      </c>
      <c r="R137" s="169">
        <f t="shared" si="131"/>
        <v>8</v>
      </c>
      <c r="S137" s="169">
        <f t="shared" si="131"/>
        <v>8</v>
      </c>
      <c r="T137" s="169">
        <f t="shared" si="131"/>
        <v>8</v>
      </c>
      <c r="U137" s="169">
        <f t="shared" si="131"/>
        <v>8</v>
      </c>
      <c r="V137" s="169">
        <f t="shared" si="131"/>
        <v>8</v>
      </c>
      <c r="W137" s="169" t="str">
        <f t="shared" si="131"/>
        <v/>
      </c>
      <c r="X137" s="169" t="str">
        <f t="shared" si="131"/>
        <v/>
      </c>
      <c r="Y137" s="169">
        <f t="shared" si="131"/>
        <v>8</v>
      </c>
      <c r="Z137" s="169">
        <f t="shared" si="131"/>
        <v>8</v>
      </c>
      <c r="AA137" s="169">
        <f t="shared" si="131"/>
        <v>8</v>
      </c>
      <c r="AB137" s="169" t="str">
        <f t="shared" si="131"/>
        <v/>
      </c>
      <c r="AC137" s="169">
        <f t="shared" si="131"/>
        <v>8</v>
      </c>
      <c r="AD137" s="169" t="str">
        <f t="shared" si="131"/>
        <v/>
      </c>
      <c r="AE137" s="169">
        <f>IF(AE17=$R32,$BD32*24,IF(AE17=$R33,$BD33*24,IF(AE17=$R34,$BD34*24,IF(AE17=$R35,$BD35*24,IF(AE17=$R36,$BD36*24,IF(AE17=$R37,$BD37*24,IF(AE17=$R38,$BD38*24,IF(AE17=$R39,$BD39*24,IF(AE17=$R40,$BD40*24,"")))))))))</f>
        <v>8</v>
      </c>
      <c r="AF137" s="169" t="str">
        <f>IF(AF17=$R32,$BD32*24,IF(AF17=$R33,$BD33*24,IF(AF17=$R34,$BD34*24,IF(AF17=$R35,$BD35*24,IF(AF17=$R36,$BD36*24,IF(AF17=$R37,$BD37*24,IF(AF17=$R38,$BD38*24,IF(AF17=$R39,$BD39*24,IF(AF17=$R40,$BD40*24,"")))))))))</f>
        <v/>
      </c>
      <c r="AG137" s="169" t="str">
        <f>IF(AG17=$R32,$BD32*24,IF(AG17=$R33,$BD33*24,IF(AG17=$R34,$BD34*24,IF(AG17=$R35,$BD35*24,IF(AG17=$R36,$BD36*24,IF(AG17=$R37,$BD37*24,IF(AG17=$R38,$BD38*24,IF(AG17=$R39,$BD39*24,IF(AG17=$R40,$BD40*24,"")))))))))</f>
        <v/>
      </c>
      <c r="AH137" s="148">
        <f>SUM(C137:AG137)</f>
        <v>168</v>
      </c>
      <c r="AI137" s="133"/>
      <c r="AJ137" s="170"/>
      <c r="AK137" s="133"/>
      <c r="AL137" s="133"/>
    </row>
    <row r="138" spans="1:38" ht="15.95" hidden="1" customHeight="1" x14ac:dyDescent="0.25">
      <c r="A138" s="153"/>
      <c r="B138" s="167" t="s">
        <v>59</v>
      </c>
      <c r="C138" s="141">
        <f t="shared" ref="C138:AG138" si="132">IF(C17="V",$C36,IF(C17="PR",$C38,0))</f>
        <v>0</v>
      </c>
      <c r="D138" s="141">
        <f t="shared" si="132"/>
        <v>0</v>
      </c>
      <c r="E138" s="141">
        <f t="shared" si="132"/>
        <v>0</v>
      </c>
      <c r="F138" s="141">
        <f t="shared" si="132"/>
        <v>0</v>
      </c>
      <c r="G138" s="141">
        <f t="shared" si="132"/>
        <v>0</v>
      </c>
      <c r="H138" s="141">
        <f t="shared" si="132"/>
        <v>0</v>
      </c>
      <c r="I138" s="141">
        <f t="shared" si="132"/>
        <v>0</v>
      </c>
      <c r="J138" s="141">
        <f t="shared" si="132"/>
        <v>0</v>
      </c>
      <c r="K138" s="141">
        <f t="shared" si="132"/>
        <v>0</v>
      </c>
      <c r="L138" s="141">
        <f t="shared" si="132"/>
        <v>0</v>
      </c>
      <c r="M138" s="141">
        <f t="shared" si="132"/>
        <v>0</v>
      </c>
      <c r="N138" s="141">
        <f t="shared" si="132"/>
        <v>0</v>
      </c>
      <c r="O138" s="141">
        <f t="shared" si="132"/>
        <v>0</v>
      </c>
      <c r="P138" s="141">
        <f t="shared" si="132"/>
        <v>0</v>
      </c>
      <c r="Q138" s="141">
        <f t="shared" si="132"/>
        <v>0</v>
      </c>
      <c r="R138" s="141">
        <f t="shared" si="132"/>
        <v>0</v>
      </c>
      <c r="S138" s="141">
        <f t="shared" si="132"/>
        <v>0</v>
      </c>
      <c r="T138" s="141">
        <f t="shared" si="132"/>
        <v>0</v>
      </c>
      <c r="U138" s="141">
        <f t="shared" si="132"/>
        <v>0</v>
      </c>
      <c r="V138" s="141">
        <f t="shared" si="132"/>
        <v>0</v>
      </c>
      <c r="W138" s="141">
        <f t="shared" si="132"/>
        <v>0</v>
      </c>
      <c r="X138" s="141">
        <f t="shared" si="132"/>
        <v>0</v>
      </c>
      <c r="Y138" s="141">
        <f t="shared" si="132"/>
        <v>0</v>
      </c>
      <c r="Z138" s="141">
        <f t="shared" si="132"/>
        <v>0</v>
      </c>
      <c r="AA138" s="141">
        <f t="shared" si="132"/>
        <v>0</v>
      </c>
      <c r="AB138" s="141">
        <f t="shared" si="132"/>
        <v>0</v>
      </c>
      <c r="AC138" s="141">
        <f t="shared" si="132"/>
        <v>0</v>
      </c>
      <c r="AD138" s="141">
        <f t="shared" si="132"/>
        <v>0</v>
      </c>
      <c r="AE138" s="141">
        <f t="shared" si="132"/>
        <v>0</v>
      </c>
      <c r="AF138" s="141">
        <f t="shared" si="132"/>
        <v>0</v>
      </c>
      <c r="AG138" s="141">
        <f t="shared" si="132"/>
        <v>0</v>
      </c>
      <c r="AH138" s="226">
        <f>SUM(C138:AG138)</f>
        <v>0</v>
      </c>
      <c r="AI138" s="226"/>
      <c r="AJ138" s="230">
        <f>SUM(AH83+AH94+AH105+AH116+AH127+AH138)</f>
        <v>78.3</v>
      </c>
      <c r="AK138" s="230"/>
      <c r="AL138" s="133" t="s">
        <v>56</v>
      </c>
    </row>
    <row r="139" spans="1:38" ht="15.95" hidden="1" customHeight="1" x14ac:dyDescent="0.25">
      <c r="A139" s="150" t="s">
        <v>60</v>
      </c>
      <c r="B139" s="167" t="s">
        <v>61</v>
      </c>
      <c r="C139" s="151">
        <f t="shared" ref="C139:AD139" si="133">IF(C17=$R32,$BC32,IF(C17=$R33,$BC33,IF(C17=$R34,$BC34,IF(C17=$R35,$BC35,IF(C17=$R36,$BC36,IF(C17=$R37,$BC37,IF(C17=$R38,$BC38,IF(C17=$R39,$BC39,IF(C17=$R40,$BC40,0)))))))))</f>
        <v>12</v>
      </c>
      <c r="D139" s="151">
        <f t="shared" si="133"/>
        <v>7.9999999999999716</v>
      </c>
      <c r="E139" s="151">
        <f t="shared" si="133"/>
        <v>7.9999999999999716</v>
      </c>
      <c r="F139" s="151">
        <f t="shared" si="133"/>
        <v>7.9999999999999716</v>
      </c>
      <c r="G139" s="151">
        <f t="shared" si="133"/>
        <v>12</v>
      </c>
      <c r="H139" s="151">
        <f t="shared" si="133"/>
        <v>12</v>
      </c>
      <c r="I139" s="151">
        <f t="shared" si="133"/>
        <v>0</v>
      </c>
      <c r="J139" s="151">
        <f t="shared" si="133"/>
        <v>0</v>
      </c>
      <c r="K139" s="151">
        <f t="shared" si="133"/>
        <v>12</v>
      </c>
      <c r="L139" s="151">
        <f t="shared" si="133"/>
        <v>12</v>
      </c>
      <c r="M139" s="151">
        <f t="shared" si="133"/>
        <v>12</v>
      </c>
      <c r="N139" s="151">
        <f t="shared" si="133"/>
        <v>7.9999999999999716</v>
      </c>
      <c r="O139" s="151">
        <f t="shared" si="133"/>
        <v>7.9999999999999716</v>
      </c>
      <c r="P139" s="151">
        <f t="shared" si="133"/>
        <v>0</v>
      </c>
      <c r="Q139" s="151">
        <f t="shared" si="133"/>
        <v>0</v>
      </c>
      <c r="R139" s="151">
        <f t="shared" si="133"/>
        <v>7.9999999999999716</v>
      </c>
      <c r="S139" s="151">
        <f t="shared" si="133"/>
        <v>7.9999999999999716</v>
      </c>
      <c r="T139" s="151">
        <f t="shared" si="133"/>
        <v>7.9999999999999716</v>
      </c>
      <c r="U139" s="151">
        <f t="shared" si="133"/>
        <v>12</v>
      </c>
      <c r="V139" s="151">
        <f t="shared" si="133"/>
        <v>12</v>
      </c>
      <c r="W139" s="151">
        <f t="shared" si="133"/>
        <v>0</v>
      </c>
      <c r="X139" s="151">
        <f t="shared" si="133"/>
        <v>0</v>
      </c>
      <c r="Y139" s="151">
        <f t="shared" si="133"/>
        <v>12</v>
      </c>
      <c r="Z139" s="151">
        <f t="shared" si="133"/>
        <v>12</v>
      </c>
      <c r="AA139" s="151">
        <f t="shared" si="133"/>
        <v>12</v>
      </c>
      <c r="AB139" s="151">
        <f t="shared" si="133"/>
        <v>0</v>
      </c>
      <c r="AC139" s="151">
        <f t="shared" si="133"/>
        <v>7.9999999999999716</v>
      </c>
      <c r="AD139" s="151">
        <f t="shared" si="133"/>
        <v>0</v>
      </c>
      <c r="AE139" s="151">
        <f>IF(AE17=$R32,$BC32,IF(AE17=$R33,$BC33,IF(AE17=$R34,$BC34,IF(AE17=$R35,$BC35,IF(AE17=$R36,$BC36,IF(AE17=$R37,$BC37,IF(AE17=$R38,$BC38,IF(AE17=$R39,$BC39,IF(AE17=$R40,$BC40,0)))))))))</f>
        <v>12</v>
      </c>
      <c r="AF139" s="151">
        <f>IF(AF17=$R32,$BC32,IF(AF17=$R33,$BC33,IF(AF17=$R34,$BC34,IF(AF17=$R35,$BC35,IF(AF17=$R36,$BC36,IF(AF17=$R37,$BC37,IF(AF17=$R38,$BC38,IF(AF17=$R39,$BC39,IF(AF17=$R40,$BC40,0)))))))))</f>
        <v>0</v>
      </c>
      <c r="AG139" s="151">
        <f>IF(AG17=$R32,$BC32,IF(AG17=$R33,$BC33,IF(AG17=$R34,$BC34,IF(AG17=$R35,$BC35,IF(AG17=$R36,$BC36,IF(AG17=$R37,$BC37,IF(AG17=$R38,$BC38,IF(AG17=$R39,$BC39,IF(AG17=$R40,$BC40,0)))))))))</f>
        <v>0</v>
      </c>
      <c r="AH139" s="226">
        <f>SUM(C139:AG139)</f>
        <v>215.99999999999974</v>
      </c>
      <c r="AI139" s="226"/>
      <c r="AJ139" s="174" t="s">
        <v>62</v>
      </c>
      <c r="AK139" s="133" t="s">
        <v>12</v>
      </c>
      <c r="AL139" s="133"/>
    </row>
    <row r="140" spans="1:38" ht="15.95" hidden="1" customHeight="1" x14ac:dyDescent="0.25">
      <c r="A140" s="153" t="s">
        <v>48</v>
      </c>
      <c r="B140" s="149" t="s">
        <v>63</v>
      </c>
      <c r="C140" s="141" t="b">
        <f t="shared" ref="C140:AG140" si="134">IF(C46=1,IF(C135&lt;C136,C139,0))</f>
        <v>0</v>
      </c>
      <c r="D140" s="141" t="b">
        <f t="shared" si="134"/>
        <v>0</v>
      </c>
      <c r="E140" s="141">
        <f t="shared" si="134"/>
        <v>0</v>
      </c>
      <c r="F140" s="141">
        <f t="shared" si="134"/>
        <v>0</v>
      </c>
      <c r="G140" s="141" t="b">
        <f t="shared" si="134"/>
        <v>0</v>
      </c>
      <c r="H140" s="141" t="b">
        <f t="shared" si="134"/>
        <v>0</v>
      </c>
      <c r="I140" s="141" t="b">
        <f t="shared" si="134"/>
        <v>0</v>
      </c>
      <c r="J140" s="141" t="b">
        <f t="shared" si="134"/>
        <v>0</v>
      </c>
      <c r="K140" s="141" t="b">
        <f t="shared" si="134"/>
        <v>0</v>
      </c>
      <c r="L140" s="141">
        <f t="shared" si="134"/>
        <v>0</v>
      </c>
      <c r="M140" s="141">
        <f t="shared" si="134"/>
        <v>0</v>
      </c>
      <c r="N140" s="141" t="b">
        <f t="shared" si="134"/>
        <v>0</v>
      </c>
      <c r="O140" s="141" t="b">
        <f t="shared" si="134"/>
        <v>0</v>
      </c>
      <c r="P140" s="141" t="b">
        <f t="shared" si="134"/>
        <v>0</v>
      </c>
      <c r="Q140" s="141" t="b">
        <f t="shared" si="134"/>
        <v>0</v>
      </c>
      <c r="R140" s="141" t="b">
        <f t="shared" si="134"/>
        <v>0</v>
      </c>
      <c r="S140" s="141">
        <f t="shared" si="134"/>
        <v>0</v>
      </c>
      <c r="T140" s="141">
        <f t="shared" si="134"/>
        <v>0</v>
      </c>
      <c r="U140" s="141" t="b">
        <f t="shared" si="134"/>
        <v>0</v>
      </c>
      <c r="V140" s="141" t="b">
        <f t="shared" si="134"/>
        <v>0</v>
      </c>
      <c r="W140" s="141" t="b">
        <f t="shared" si="134"/>
        <v>0</v>
      </c>
      <c r="X140" s="141" t="b">
        <f t="shared" si="134"/>
        <v>0</v>
      </c>
      <c r="Y140" s="141" t="b">
        <f t="shared" si="134"/>
        <v>0</v>
      </c>
      <c r="Z140" s="141">
        <f t="shared" si="134"/>
        <v>0</v>
      </c>
      <c r="AA140" s="141">
        <f t="shared" si="134"/>
        <v>0</v>
      </c>
      <c r="AB140" s="141" t="b">
        <f t="shared" si="134"/>
        <v>0</v>
      </c>
      <c r="AC140" s="141" t="b">
        <f t="shared" si="134"/>
        <v>0</v>
      </c>
      <c r="AD140" s="141" t="b">
        <f t="shared" si="134"/>
        <v>0</v>
      </c>
      <c r="AE140" s="141" t="b">
        <f t="shared" si="134"/>
        <v>0</v>
      </c>
      <c r="AF140" s="141" t="b">
        <f t="shared" si="134"/>
        <v>0</v>
      </c>
      <c r="AG140" s="141">
        <f t="shared" si="134"/>
        <v>0</v>
      </c>
      <c r="AH140" s="154" t="s">
        <v>12</v>
      </c>
      <c r="AI140" s="133"/>
      <c r="AJ140" s="170"/>
      <c r="AK140" s="133"/>
      <c r="AL140" s="133"/>
    </row>
    <row r="141" spans="1:38" ht="15.95" hidden="1" customHeight="1" x14ac:dyDescent="0.25">
      <c r="A141" s="176"/>
      <c r="B141" s="149" t="s">
        <v>64</v>
      </c>
      <c r="C141" s="141">
        <f t="shared" ref="C141:AG141" si="135">IF(C46=1,IF(C135&gt;C136,24-C135,0),0)</f>
        <v>0</v>
      </c>
      <c r="D141" s="141">
        <f t="shared" si="135"/>
        <v>0</v>
      </c>
      <c r="E141" s="141">
        <f t="shared" si="135"/>
        <v>2</v>
      </c>
      <c r="F141" s="141">
        <f t="shared" si="135"/>
        <v>2</v>
      </c>
      <c r="G141" s="141">
        <f t="shared" si="135"/>
        <v>0</v>
      </c>
      <c r="H141" s="141">
        <f t="shared" si="135"/>
        <v>0</v>
      </c>
      <c r="I141" s="141">
        <f t="shared" si="135"/>
        <v>0</v>
      </c>
      <c r="J141" s="141">
        <f t="shared" si="135"/>
        <v>0</v>
      </c>
      <c r="K141" s="141">
        <f t="shared" si="135"/>
        <v>0</v>
      </c>
      <c r="L141" s="141">
        <f t="shared" si="135"/>
        <v>6</v>
      </c>
      <c r="M141" s="141">
        <f t="shared" si="135"/>
        <v>6</v>
      </c>
      <c r="N141" s="141">
        <f t="shared" si="135"/>
        <v>0</v>
      </c>
      <c r="O141" s="141">
        <f t="shared" si="135"/>
        <v>0</v>
      </c>
      <c r="P141" s="141">
        <f t="shared" si="135"/>
        <v>0</v>
      </c>
      <c r="Q141" s="141">
        <f t="shared" si="135"/>
        <v>0</v>
      </c>
      <c r="R141" s="141">
        <f t="shared" si="135"/>
        <v>0</v>
      </c>
      <c r="S141" s="141">
        <f t="shared" si="135"/>
        <v>2</v>
      </c>
      <c r="T141" s="141">
        <f t="shared" si="135"/>
        <v>2</v>
      </c>
      <c r="U141" s="141">
        <f t="shared" si="135"/>
        <v>0</v>
      </c>
      <c r="V141" s="141">
        <f t="shared" si="135"/>
        <v>0</v>
      </c>
      <c r="W141" s="141">
        <f t="shared" si="135"/>
        <v>0</v>
      </c>
      <c r="X141" s="141">
        <f t="shared" si="135"/>
        <v>0</v>
      </c>
      <c r="Y141" s="141">
        <f t="shared" si="135"/>
        <v>0</v>
      </c>
      <c r="Z141" s="141">
        <f t="shared" si="135"/>
        <v>6</v>
      </c>
      <c r="AA141" s="141">
        <f t="shared" si="135"/>
        <v>6</v>
      </c>
      <c r="AB141" s="141">
        <f t="shared" si="135"/>
        <v>0</v>
      </c>
      <c r="AC141" s="141">
        <f t="shared" si="135"/>
        <v>0</v>
      </c>
      <c r="AD141" s="141">
        <f t="shared" si="135"/>
        <v>0</v>
      </c>
      <c r="AE141" s="141">
        <f t="shared" si="135"/>
        <v>0</v>
      </c>
      <c r="AF141" s="141">
        <f t="shared" si="135"/>
        <v>0</v>
      </c>
      <c r="AG141" s="141">
        <f t="shared" si="135"/>
        <v>0</v>
      </c>
      <c r="AH141" s="154" t="s">
        <v>12</v>
      </c>
      <c r="AI141" s="133"/>
      <c r="AJ141" s="170"/>
      <c r="AK141" s="133"/>
      <c r="AL141" s="133"/>
    </row>
    <row r="142" spans="1:38" ht="15.95" hidden="1" customHeight="1" x14ac:dyDescent="0.25">
      <c r="A142" s="176"/>
      <c r="B142" s="149" t="s">
        <v>65</v>
      </c>
      <c r="C142" s="141">
        <f t="shared" ref="C142:AG142" si="136">IF(D46=1,IF(C135&gt;C136,C136,0),0)</f>
        <v>0</v>
      </c>
      <c r="D142" s="141">
        <f t="shared" si="136"/>
        <v>6</v>
      </c>
      <c r="E142" s="141">
        <f t="shared" si="136"/>
        <v>6</v>
      </c>
      <c r="F142" s="141">
        <f t="shared" si="136"/>
        <v>0</v>
      </c>
      <c r="G142" s="141">
        <f t="shared" si="136"/>
        <v>0</v>
      </c>
      <c r="H142" s="141">
        <f t="shared" si="136"/>
        <v>0</v>
      </c>
      <c r="I142" s="141">
        <f t="shared" si="136"/>
        <v>0</v>
      </c>
      <c r="J142" s="141">
        <f t="shared" si="136"/>
        <v>0</v>
      </c>
      <c r="K142" s="141">
        <f t="shared" si="136"/>
        <v>6</v>
      </c>
      <c r="L142" s="141">
        <f t="shared" si="136"/>
        <v>6</v>
      </c>
      <c r="M142" s="141">
        <f t="shared" si="136"/>
        <v>0</v>
      </c>
      <c r="N142" s="141">
        <f t="shared" si="136"/>
        <v>0</v>
      </c>
      <c r="O142" s="141">
        <f t="shared" si="136"/>
        <v>0</v>
      </c>
      <c r="P142" s="141">
        <f t="shared" si="136"/>
        <v>0</v>
      </c>
      <c r="Q142" s="141">
        <f t="shared" si="136"/>
        <v>0</v>
      </c>
      <c r="R142" s="141">
        <f t="shared" si="136"/>
        <v>6</v>
      </c>
      <c r="S142" s="141">
        <f t="shared" si="136"/>
        <v>6</v>
      </c>
      <c r="T142" s="141">
        <f t="shared" si="136"/>
        <v>0</v>
      </c>
      <c r="U142" s="141">
        <f t="shared" si="136"/>
        <v>0</v>
      </c>
      <c r="V142" s="141">
        <f t="shared" si="136"/>
        <v>0</v>
      </c>
      <c r="W142" s="141">
        <f t="shared" si="136"/>
        <v>0</v>
      </c>
      <c r="X142" s="141">
        <f>IF(Y46=1,IF(X135&gt;X136,X136,0),0)</f>
        <v>0</v>
      </c>
      <c r="Y142" s="141">
        <f t="shared" si="136"/>
        <v>6</v>
      </c>
      <c r="Z142" s="141">
        <f t="shared" si="136"/>
        <v>6</v>
      </c>
      <c r="AA142" s="141">
        <f t="shared" si="136"/>
        <v>0</v>
      </c>
      <c r="AB142" s="141">
        <f t="shared" si="136"/>
        <v>0</v>
      </c>
      <c r="AC142" s="141">
        <f t="shared" si="136"/>
        <v>0</v>
      </c>
      <c r="AD142" s="141">
        <f t="shared" si="136"/>
        <v>0</v>
      </c>
      <c r="AE142" s="141">
        <f t="shared" si="136"/>
        <v>0</v>
      </c>
      <c r="AF142" s="141">
        <f t="shared" si="136"/>
        <v>0</v>
      </c>
      <c r="AG142" s="141">
        <f t="shared" si="136"/>
        <v>0</v>
      </c>
      <c r="AH142" s="154" t="s">
        <v>12</v>
      </c>
      <c r="AI142" s="133"/>
      <c r="AJ142" s="170"/>
      <c r="AK142" s="133"/>
      <c r="AL142" s="133"/>
    </row>
    <row r="143" spans="1:38" ht="15.95" hidden="1" customHeight="1" x14ac:dyDescent="0.25">
      <c r="A143" s="176"/>
      <c r="B143" s="149" t="s">
        <v>67</v>
      </c>
      <c r="C143" s="171">
        <f>SUM(C140:C142)</f>
        <v>0</v>
      </c>
      <c r="D143" s="171">
        <f t="shared" ref="D143:AG143" si="137">SUM(D140:D142)</f>
        <v>6</v>
      </c>
      <c r="E143" s="171">
        <f t="shared" si="137"/>
        <v>8</v>
      </c>
      <c r="F143" s="171">
        <f t="shared" si="137"/>
        <v>2</v>
      </c>
      <c r="G143" s="171">
        <f t="shared" si="137"/>
        <v>0</v>
      </c>
      <c r="H143" s="171">
        <f t="shared" si="137"/>
        <v>0</v>
      </c>
      <c r="I143" s="171">
        <f t="shared" si="137"/>
        <v>0</v>
      </c>
      <c r="J143" s="171">
        <f t="shared" si="137"/>
        <v>0</v>
      </c>
      <c r="K143" s="171">
        <f t="shared" si="137"/>
        <v>6</v>
      </c>
      <c r="L143" s="171">
        <f t="shared" si="137"/>
        <v>12</v>
      </c>
      <c r="M143" s="171">
        <f t="shared" si="137"/>
        <v>6</v>
      </c>
      <c r="N143" s="171">
        <f t="shared" si="137"/>
        <v>0</v>
      </c>
      <c r="O143" s="171">
        <f t="shared" si="137"/>
        <v>0</v>
      </c>
      <c r="P143" s="171">
        <f t="shared" si="137"/>
        <v>0</v>
      </c>
      <c r="Q143" s="171">
        <f t="shared" si="137"/>
        <v>0</v>
      </c>
      <c r="R143" s="171">
        <f t="shared" si="137"/>
        <v>6</v>
      </c>
      <c r="S143" s="171">
        <f t="shared" si="137"/>
        <v>8</v>
      </c>
      <c r="T143" s="171">
        <f t="shared" si="137"/>
        <v>2</v>
      </c>
      <c r="U143" s="171">
        <f t="shared" si="137"/>
        <v>0</v>
      </c>
      <c r="V143" s="171">
        <f t="shared" si="137"/>
        <v>0</v>
      </c>
      <c r="W143" s="171">
        <f t="shared" si="137"/>
        <v>0</v>
      </c>
      <c r="X143" s="171">
        <f t="shared" si="137"/>
        <v>0</v>
      </c>
      <c r="Y143" s="171">
        <f t="shared" si="137"/>
        <v>6</v>
      </c>
      <c r="Z143" s="171">
        <f t="shared" si="137"/>
        <v>12</v>
      </c>
      <c r="AA143" s="171">
        <f t="shared" si="137"/>
        <v>6</v>
      </c>
      <c r="AB143" s="171">
        <f t="shared" si="137"/>
        <v>0</v>
      </c>
      <c r="AC143" s="171">
        <f t="shared" si="137"/>
        <v>0</v>
      </c>
      <c r="AD143" s="171">
        <f t="shared" si="137"/>
        <v>0</v>
      </c>
      <c r="AE143" s="171">
        <f t="shared" si="137"/>
        <v>0</v>
      </c>
      <c r="AF143" s="171">
        <f t="shared" si="137"/>
        <v>0</v>
      </c>
      <c r="AG143" s="171">
        <f t="shared" si="137"/>
        <v>0</v>
      </c>
      <c r="AH143" s="154" t="s">
        <v>12</v>
      </c>
      <c r="AI143" s="133"/>
      <c r="AJ143" s="170"/>
      <c r="AK143" s="133"/>
      <c r="AL143" s="133"/>
    </row>
    <row r="144" spans="1:38" ht="15.95" hidden="1" customHeight="1" x14ac:dyDescent="0.25">
      <c r="A144" s="177"/>
      <c r="B144" s="160" t="s">
        <v>68</v>
      </c>
      <c r="C144" s="161">
        <f t="shared" ref="C144:AG144" si="138">IF(C17="V",IF(C17="",0,1),0)</f>
        <v>0</v>
      </c>
      <c r="D144" s="161">
        <f t="shared" si="138"/>
        <v>0</v>
      </c>
      <c r="E144" s="161">
        <f t="shared" si="138"/>
        <v>0</v>
      </c>
      <c r="F144" s="161">
        <f t="shared" si="138"/>
        <v>0</v>
      </c>
      <c r="G144" s="161">
        <f t="shared" si="138"/>
        <v>0</v>
      </c>
      <c r="H144" s="161">
        <f t="shared" si="138"/>
        <v>0</v>
      </c>
      <c r="I144" s="161">
        <f t="shared" si="138"/>
        <v>0</v>
      </c>
      <c r="J144" s="161">
        <f t="shared" si="138"/>
        <v>0</v>
      </c>
      <c r="K144" s="161">
        <f t="shared" si="138"/>
        <v>0</v>
      </c>
      <c r="L144" s="161">
        <f t="shared" si="138"/>
        <v>0</v>
      </c>
      <c r="M144" s="161">
        <f t="shared" si="138"/>
        <v>0</v>
      </c>
      <c r="N144" s="161">
        <f t="shared" si="138"/>
        <v>0</v>
      </c>
      <c r="O144" s="161">
        <f t="shared" si="138"/>
        <v>0</v>
      </c>
      <c r="P144" s="161">
        <f t="shared" si="138"/>
        <v>0</v>
      </c>
      <c r="Q144" s="161">
        <f t="shared" si="138"/>
        <v>0</v>
      </c>
      <c r="R144" s="161">
        <f t="shared" si="138"/>
        <v>0</v>
      </c>
      <c r="S144" s="161">
        <f t="shared" si="138"/>
        <v>0</v>
      </c>
      <c r="T144" s="161">
        <f t="shared" si="138"/>
        <v>0</v>
      </c>
      <c r="U144" s="161">
        <f t="shared" si="138"/>
        <v>0</v>
      </c>
      <c r="V144" s="161">
        <f t="shared" si="138"/>
        <v>0</v>
      </c>
      <c r="W144" s="161">
        <f t="shared" si="138"/>
        <v>0</v>
      </c>
      <c r="X144" s="161">
        <f t="shared" si="138"/>
        <v>0</v>
      </c>
      <c r="Y144" s="161">
        <f t="shared" si="138"/>
        <v>0</v>
      </c>
      <c r="Z144" s="161">
        <f t="shared" si="138"/>
        <v>0</v>
      </c>
      <c r="AA144" s="161">
        <f t="shared" si="138"/>
        <v>0</v>
      </c>
      <c r="AB144" s="161">
        <f t="shared" si="138"/>
        <v>0</v>
      </c>
      <c r="AC144" s="161">
        <f t="shared" si="138"/>
        <v>0</v>
      </c>
      <c r="AD144" s="161">
        <f t="shared" si="138"/>
        <v>0</v>
      </c>
      <c r="AE144" s="161">
        <f t="shared" si="138"/>
        <v>0</v>
      </c>
      <c r="AF144" s="161">
        <f t="shared" si="138"/>
        <v>0</v>
      </c>
      <c r="AG144" s="161">
        <f t="shared" si="138"/>
        <v>0</v>
      </c>
      <c r="AH144" s="154" t="s">
        <v>12</v>
      </c>
      <c r="AI144" s="133"/>
      <c r="AJ144" s="170"/>
      <c r="AK144" s="133"/>
      <c r="AL144" s="133"/>
    </row>
    <row r="145" spans="1:38" ht="15.95" hidden="1" customHeight="1" x14ac:dyDescent="0.25">
      <c r="A145" s="180"/>
      <c r="B145" s="181" t="s">
        <v>16</v>
      </c>
      <c r="C145" s="182">
        <f t="shared" ref="C145:AG145" si="139">IF(C17="PR",IF(C17="",0,1),0)</f>
        <v>0</v>
      </c>
      <c r="D145" s="182">
        <f t="shared" si="139"/>
        <v>0</v>
      </c>
      <c r="E145" s="182">
        <f t="shared" si="139"/>
        <v>0</v>
      </c>
      <c r="F145" s="182">
        <f t="shared" si="139"/>
        <v>0</v>
      </c>
      <c r="G145" s="182">
        <f t="shared" si="139"/>
        <v>0</v>
      </c>
      <c r="H145" s="182">
        <f t="shared" si="139"/>
        <v>0</v>
      </c>
      <c r="I145" s="182">
        <f t="shared" si="139"/>
        <v>0</v>
      </c>
      <c r="J145" s="182">
        <f t="shared" si="139"/>
        <v>0</v>
      </c>
      <c r="K145" s="182">
        <f t="shared" si="139"/>
        <v>0</v>
      </c>
      <c r="L145" s="182">
        <f t="shared" si="139"/>
        <v>0</v>
      </c>
      <c r="M145" s="182">
        <f t="shared" si="139"/>
        <v>0</v>
      </c>
      <c r="N145" s="182">
        <f t="shared" si="139"/>
        <v>0</v>
      </c>
      <c r="O145" s="182">
        <f t="shared" si="139"/>
        <v>0</v>
      </c>
      <c r="P145" s="182">
        <f t="shared" si="139"/>
        <v>0</v>
      </c>
      <c r="Q145" s="182">
        <f t="shared" si="139"/>
        <v>0</v>
      </c>
      <c r="R145" s="182">
        <f t="shared" si="139"/>
        <v>0</v>
      </c>
      <c r="S145" s="182">
        <f t="shared" si="139"/>
        <v>0</v>
      </c>
      <c r="T145" s="182">
        <f t="shared" si="139"/>
        <v>0</v>
      </c>
      <c r="U145" s="182">
        <f t="shared" si="139"/>
        <v>0</v>
      </c>
      <c r="V145" s="182">
        <f t="shared" si="139"/>
        <v>0</v>
      </c>
      <c r="W145" s="182">
        <f t="shared" si="139"/>
        <v>0</v>
      </c>
      <c r="X145" s="182">
        <f t="shared" si="139"/>
        <v>0</v>
      </c>
      <c r="Y145" s="182">
        <f t="shared" si="139"/>
        <v>0</v>
      </c>
      <c r="Z145" s="182">
        <f t="shared" si="139"/>
        <v>0</v>
      </c>
      <c r="AA145" s="182">
        <f t="shared" si="139"/>
        <v>0</v>
      </c>
      <c r="AB145" s="182">
        <f t="shared" si="139"/>
        <v>0</v>
      </c>
      <c r="AC145" s="182">
        <f t="shared" si="139"/>
        <v>0</v>
      </c>
      <c r="AD145" s="182">
        <f t="shared" si="139"/>
        <v>0</v>
      </c>
      <c r="AE145" s="182">
        <f t="shared" si="139"/>
        <v>0</v>
      </c>
      <c r="AF145" s="182">
        <f t="shared" si="139"/>
        <v>0</v>
      </c>
      <c r="AG145" s="182">
        <f t="shared" si="139"/>
        <v>0</v>
      </c>
      <c r="AH145" s="227">
        <f>SUM(C145:AG145)</f>
        <v>0</v>
      </c>
      <c r="AI145" s="227"/>
      <c r="AJ145" s="174" t="s">
        <v>69</v>
      </c>
      <c r="AK145" s="133"/>
      <c r="AL145" s="133"/>
    </row>
    <row r="146" spans="1:38" ht="15.95" hidden="1" customHeight="1" x14ac:dyDescent="0.25">
      <c r="A146" s="164" t="s">
        <v>87</v>
      </c>
      <c r="B146" s="165" t="s">
        <v>29</v>
      </c>
      <c r="C146" s="141">
        <f t="shared" ref="C146:AG146" si="140">IF(C18=$R32,$S32*24,IF(C18=$R33,$S33*24,IF(C18=$R34,$S34*24,IF(C18=$R35,$S35*24,IF(C18=$R36,$S36*24,IF(C18=$R37,$S37*24,IF(C18=$R38,$S38*24,IF(C18=$R39,$S39*24,IF(C18=$R40,$S40*24,"")))))))))</f>
        <v>22</v>
      </c>
      <c r="D146" s="141">
        <f t="shared" si="140"/>
        <v>18</v>
      </c>
      <c r="E146" s="141">
        <f t="shared" si="140"/>
        <v>18</v>
      </c>
      <c r="F146" s="141">
        <f t="shared" si="140"/>
        <v>18</v>
      </c>
      <c r="G146" s="141">
        <f t="shared" si="140"/>
        <v>22</v>
      </c>
      <c r="H146" s="141">
        <f t="shared" si="140"/>
        <v>22</v>
      </c>
      <c r="I146" s="141" t="str">
        <f t="shared" si="140"/>
        <v/>
      </c>
      <c r="J146" s="141">
        <f t="shared" si="140"/>
        <v>22</v>
      </c>
      <c r="K146" s="141">
        <f t="shared" si="140"/>
        <v>19</v>
      </c>
      <c r="L146" s="141">
        <f t="shared" si="140"/>
        <v>19</v>
      </c>
      <c r="M146" s="141">
        <f t="shared" si="140"/>
        <v>19</v>
      </c>
      <c r="N146" s="141" t="str">
        <f t="shared" si="140"/>
        <v/>
      </c>
      <c r="O146" s="141" t="str">
        <f t="shared" si="140"/>
        <v/>
      </c>
      <c r="P146" s="141">
        <f t="shared" si="140"/>
        <v>18</v>
      </c>
      <c r="Q146" s="141">
        <f t="shared" si="140"/>
        <v>18</v>
      </c>
      <c r="R146" s="141" t="str">
        <f t="shared" si="140"/>
        <v/>
      </c>
      <c r="S146" s="141" t="str">
        <f t="shared" si="140"/>
        <v/>
      </c>
      <c r="T146" s="141" t="str">
        <f t="shared" si="140"/>
        <v/>
      </c>
      <c r="U146" s="141">
        <f t="shared" si="140"/>
        <v>22</v>
      </c>
      <c r="V146" s="141">
        <f t="shared" si="140"/>
        <v>22</v>
      </c>
      <c r="W146" s="141">
        <f t="shared" si="140"/>
        <v>22</v>
      </c>
      <c r="X146" s="141">
        <f t="shared" si="140"/>
        <v>22</v>
      </c>
      <c r="Y146" s="141">
        <f t="shared" si="140"/>
        <v>19</v>
      </c>
      <c r="Z146" s="141">
        <f t="shared" si="140"/>
        <v>19</v>
      </c>
      <c r="AA146" s="141">
        <f t="shared" si="140"/>
        <v>19</v>
      </c>
      <c r="AB146" s="141" t="str">
        <f t="shared" si="140"/>
        <v/>
      </c>
      <c r="AC146" s="141" t="str">
        <f t="shared" si="140"/>
        <v/>
      </c>
      <c r="AD146" s="141">
        <f t="shared" si="140"/>
        <v>22</v>
      </c>
      <c r="AE146" s="141">
        <f t="shared" si="140"/>
        <v>22</v>
      </c>
      <c r="AF146" s="141">
        <f t="shared" si="140"/>
        <v>22</v>
      </c>
      <c r="AG146" s="141">
        <f t="shared" si="140"/>
        <v>22</v>
      </c>
      <c r="AH146" s="154" t="s">
        <v>12</v>
      </c>
      <c r="AI146" s="133"/>
      <c r="AJ146" s="170"/>
      <c r="AK146" s="133"/>
      <c r="AL146" s="133"/>
    </row>
    <row r="147" spans="1:38" ht="15.95" hidden="1" customHeight="1" x14ac:dyDescent="0.25">
      <c r="A147" s="166" t="s">
        <v>88</v>
      </c>
      <c r="B147" s="167" t="s">
        <v>30</v>
      </c>
      <c r="C147" s="141">
        <f t="shared" ref="C147:AG147" si="141">IF(C18=$R32,$V32*24,IF(C18=$R33,$V33*24,IF(C18=$R34,$V34*24,IF(C18=$R35,$V35*24,IF(C18=$R36,$V36*24,IF(C18=$R37,$V37*24,IF(C18=$R38,$V38*24,IF(C18=$R39,$V39*24,IF(C18=$R40,$V40*24,"")))))))))</f>
        <v>6</v>
      </c>
      <c r="D147" s="141">
        <f t="shared" si="141"/>
        <v>6</v>
      </c>
      <c r="E147" s="141">
        <f t="shared" si="141"/>
        <v>6</v>
      </c>
      <c r="F147" s="141">
        <f t="shared" si="141"/>
        <v>6</v>
      </c>
      <c r="G147" s="141">
        <f t="shared" si="141"/>
        <v>6</v>
      </c>
      <c r="H147" s="141">
        <f t="shared" si="141"/>
        <v>6</v>
      </c>
      <c r="I147" s="141" t="str">
        <f t="shared" si="141"/>
        <v/>
      </c>
      <c r="J147" s="141">
        <f t="shared" si="141"/>
        <v>6</v>
      </c>
      <c r="K147" s="141">
        <f t="shared" si="141"/>
        <v>7</v>
      </c>
      <c r="L147" s="141">
        <f t="shared" si="141"/>
        <v>7</v>
      </c>
      <c r="M147" s="141">
        <f t="shared" si="141"/>
        <v>7</v>
      </c>
      <c r="N147" s="141" t="str">
        <f t="shared" si="141"/>
        <v/>
      </c>
      <c r="O147" s="141" t="str">
        <f t="shared" si="141"/>
        <v/>
      </c>
      <c r="P147" s="141">
        <f t="shared" si="141"/>
        <v>6</v>
      </c>
      <c r="Q147" s="141">
        <f t="shared" si="141"/>
        <v>6</v>
      </c>
      <c r="R147" s="141" t="str">
        <f t="shared" si="141"/>
        <v/>
      </c>
      <c r="S147" s="141" t="str">
        <f t="shared" si="141"/>
        <v/>
      </c>
      <c r="T147" s="141" t="str">
        <f t="shared" si="141"/>
        <v/>
      </c>
      <c r="U147" s="141">
        <f t="shared" si="141"/>
        <v>6</v>
      </c>
      <c r="V147" s="141">
        <f t="shared" si="141"/>
        <v>6</v>
      </c>
      <c r="W147" s="141">
        <f t="shared" si="141"/>
        <v>6</v>
      </c>
      <c r="X147" s="141">
        <f t="shared" si="141"/>
        <v>6</v>
      </c>
      <c r="Y147" s="141">
        <f t="shared" si="141"/>
        <v>7</v>
      </c>
      <c r="Z147" s="141">
        <f t="shared" si="141"/>
        <v>7</v>
      </c>
      <c r="AA147" s="141">
        <f t="shared" si="141"/>
        <v>7</v>
      </c>
      <c r="AB147" s="141" t="str">
        <f t="shared" si="141"/>
        <v/>
      </c>
      <c r="AC147" s="141" t="str">
        <f t="shared" si="141"/>
        <v/>
      </c>
      <c r="AD147" s="141">
        <f t="shared" si="141"/>
        <v>6</v>
      </c>
      <c r="AE147" s="141">
        <f t="shared" si="141"/>
        <v>6</v>
      </c>
      <c r="AF147" s="141">
        <f t="shared" si="141"/>
        <v>6</v>
      </c>
      <c r="AG147" s="141">
        <f t="shared" si="141"/>
        <v>6</v>
      </c>
      <c r="AH147" s="154" t="s">
        <v>12</v>
      </c>
      <c r="AI147" s="133"/>
      <c r="AJ147" s="170"/>
      <c r="AK147" s="133"/>
      <c r="AL147" s="133"/>
    </row>
    <row r="148" spans="1:38" ht="15.95" hidden="1" customHeight="1" x14ac:dyDescent="0.25">
      <c r="A148" s="153"/>
      <c r="B148" s="168" t="s">
        <v>34</v>
      </c>
      <c r="C148" s="169">
        <f t="shared" ref="C148:AD148" si="142">IF(C18=$R32,$BD32*24,IF(C18=$R33,$BD33*24,IF(C18=$R34,$BD34*24,IF(C18=$R35,$BD35*24,IF(C18=$R36,$BD36*24,IF(C18=$R37,$BD37*24,IF(C18=$R38,$BD38*24,IF(C18=$R39,$BD39*24,IF(C18=$R40,$BD40*24,"")))))))))</f>
        <v>8</v>
      </c>
      <c r="D148" s="169">
        <f t="shared" si="142"/>
        <v>8</v>
      </c>
      <c r="E148" s="169">
        <f t="shared" si="142"/>
        <v>8</v>
      </c>
      <c r="F148" s="169">
        <f t="shared" si="142"/>
        <v>8</v>
      </c>
      <c r="G148" s="169">
        <f t="shared" si="142"/>
        <v>8</v>
      </c>
      <c r="H148" s="169">
        <f t="shared" si="142"/>
        <v>8</v>
      </c>
      <c r="I148" s="169" t="str">
        <f t="shared" si="142"/>
        <v/>
      </c>
      <c r="J148" s="169">
        <f t="shared" si="142"/>
        <v>8</v>
      </c>
      <c r="K148" s="169">
        <f t="shared" si="142"/>
        <v>8</v>
      </c>
      <c r="L148" s="169">
        <f t="shared" si="142"/>
        <v>8</v>
      </c>
      <c r="M148" s="169">
        <f t="shared" si="142"/>
        <v>8</v>
      </c>
      <c r="N148" s="169" t="str">
        <f t="shared" si="142"/>
        <v/>
      </c>
      <c r="O148" s="169" t="str">
        <f t="shared" si="142"/>
        <v/>
      </c>
      <c r="P148" s="169">
        <f t="shared" si="142"/>
        <v>8</v>
      </c>
      <c r="Q148" s="169">
        <f t="shared" si="142"/>
        <v>8</v>
      </c>
      <c r="R148" s="169" t="str">
        <f t="shared" si="142"/>
        <v/>
      </c>
      <c r="S148" s="169" t="str">
        <f t="shared" si="142"/>
        <v/>
      </c>
      <c r="T148" s="169" t="str">
        <f t="shared" si="142"/>
        <v/>
      </c>
      <c r="U148" s="169">
        <f t="shared" si="142"/>
        <v>8</v>
      </c>
      <c r="V148" s="169">
        <f t="shared" si="142"/>
        <v>8</v>
      </c>
      <c r="W148" s="169">
        <f t="shared" si="142"/>
        <v>8</v>
      </c>
      <c r="X148" s="169">
        <f t="shared" si="142"/>
        <v>8</v>
      </c>
      <c r="Y148" s="169">
        <f t="shared" si="142"/>
        <v>8</v>
      </c>
      <c r="Z148" s="169">
        <f t="shared" si="142"/>
        <v>8</v>
      </c>
      <c r="AA148" s="169">
        <f t="shared" si="142"/>
        <v>8</v>
      </c>
      <c r="AB148" s="169" t="str">
        <f t="shared" si="142"/>
        <v/>
      </c>
      <c r="AC148" s="169" t="str">
        <f t="shared" si="142"/>
        <v/>
      </c>
      <c r="AD148" s="169">
        <f t="shared" si="142"/>
        <v>8</v>
      </c>
      <c r="AE148" s="169">
        <f>IF(AE18=$R32,$BD32*24,IF(AE18=$R33,$BD33*24,IF(AE18=$R34,$BD34*24,IF(AE18=$R35,$BD35*24,IF(AE18=$R36,$BD36*24,IF(AE18=$R37,$BD37*24,IF(AE18=$R38,$BD38*24,IF(AE18=$R39,$BD39*24,IF(AE18=$R40,$BD40*24,"")))))))))</f>
        <v>8</v>
      </c>
      <c r="AF148" s="169">
        <f>IF(AF18=$R32,$BD32*24,IF(AF18=$R33,$BD33*24,IF(AF18=$R34,$BD34*24,IF(AF18=$R35,$BD35*24,IF(AF18=$R36,$BD36*24,IF(AF18=$R37,$BD37*24,IF(AF18=$R38,$BD38*24,IF(AF18=$R39,$BD39*24,IF(AF18=$R40,$BD40*24,"")))))))))</f>
        <v>8</v>
      </c>
      <c r="AG148" s="169">
        <f>IF(AG18=$R32,$BD32*24,IF(AG18=$R33,$BD33*24,IF(AG18=$R34,$BD34*24,IF(AG18=$R35,$BD35*24,IF(AG18=$R36,$BD36*24,IF(AG18=$R37,$BD37*24,IF(AG18=$R38,$BD38*24,IF(AG18=$R39,$BD39*24,IF(AG18=$R40,$BD40*24,"")))))))))</f>
        <v>8</v>
      </c>
      <c r="AH148" s="148">
        <f>SUM(C148:AG148)</f>
        <v>184</v>
      </c>
      <c r="AI148" s="133"/>
      <c r="AJ148" s="170"/>
      <c r="AK148" s="133"/>
      <c r="AL148" s="133"/>
    </row>
    <row r="149" spans="1:38" ht="15.95" hidden="1" customHeight="1" x14ac:dyDescent="0.25">
      <c r="A149" s="153"/>
      <c r="B149" s="167" t="s">
        <v>59</v>
      </c>
      <c r="C149" s="141">
        <f t="shared" ref="C149:AG149" si="143">IF(C18="V",$C36,IF(C18="PR",$C38,0))</f>
        <v>0</v>
      </c>
      <c r="D149" s="141">
        <f t="shared" si="143"/>
        <v>0</v>
      </c>
      <c r="E149" s="141">
        <f t="shared" si="143"/>
        <v>0</v>
      </c>
      <c r="F149" s="141">
        <f t="shared" si="143"/>
        <v>0</v>
      </c>
      <c r="G149" s="141">
        <f t="shared" si="143"/>
        <v>0</v>
      </c>
      <c r="H149" s="141">
        <f t="shared" si="143"/>
        <v>0</v>
      </c>
      <c r="I149" s="141">
        <f t="shared" si="143"/>
        <v>0</v>
      </c>
      <c r="J149" s="141">
        <f t="shared" si="143"/>
        <v>0</v>
      </c>
      <c r="K149" s="141">
        <f t="shared" si="143"/>
        <v>0</v>
      </c>
      <c r="L149" s="141">
        <f t="shared" si="143"/>
        <v>0</v>
      </c>
      <c r="M149" s="141">
        <f t="shared" si="143"/>
        <v>0</v>
      </c>
      <c r="N149" s="141">
        <f t="shared" si="143"/>
        <v>0</v>
      </c>
      <c r="O149" s="141">
        <f t="shared" si="143"/>
        <v>0</v>
      </c>
      <c r="P149" s="141">
        <f t="shared" si="143"/>
        <v>0</v>
      </c>
      <c r="Q149" s="141">
        <f t="shared" si="143"/>
        <v>0</v>
      </c>
      <c r="R149" s="141">
        <f t="shared" si="143"/>
        <v>0</v>
      </c>
      <c r="S149" s="141">
        <f t="shared" si="143"/>
        <v>0</v>
      </c>
      <c r="T149" s="141">
        <f t="shared" si="143"/>
        <v>0</v>
      </c>
      <c r="U149" s="141">
        <f t="shared" si="143"/>
        <v>0</v>
      </c>
      <c r="V149" s="141">
        <f t="shared" si="143"/>
        <v>0</v>
      </c>
      <c r="W149" s="141">
        <f t="shared" si="143"/>
        <v>0</v>
      </c>
      <c r="X149" s="141">
        <f t="shared" si="143"/>
        <v>0</v>
      </c>
      <c r="Y149" s="141">
        <f t="shared" si="143"/>
        <v>0</v>
      </c>
      <c r="Z149" s="141">
        <f t="shared" si="143"/>
        <v>0</v>
      </c>
      <c r="AA149" s="141">
        <f t="shared" si="143"/>
        <v>0</v>
      </c>
      <c r="AB149" s="141">
        <f t="shared" si="143"/>
        <v>0</v>
      </c>
      <c r="AC149" s="141">
        <f t="shared" si="143"/>
        <v>0</v>
      </c>
      <c r="AD149" s="141">
        <f t="shared" si="143"/>
        <v>0</v>
      </c>
      <c r="AE149" s="141">
        <f t="shared" si="143"/>
        <v>0</v>
      </c>
      <c r="AF149" s="141">
        <f t="shared" si="143"/>
        <v>0</v>
      </c>
      <c r="AG149" s="141">
        <f t="shared" si="143"/>
        <v>0</v>
      </c>
      <c r="AH149" s="226">
        <f>SUM(C149:AG149)</f>
        <v>0</v>
      </c>
      <c r="AI149" s="226"/>
      <c r="AJ149" s="230">
        <f>SUM(AH94+AH105+AH116+AH127+AH138+AH149)</f>
        <v>78.3</v>
      </c>
      <c r="AK149" s="230"/>
      <c r="AL149" s="133" t="s">
        <v>56</v>
      </c>
    </row>
    <row r="150" spans="1:38" ht="15.95" hidden="1" customHeight="1" x14ac:dyDescent="0.25">
      <c r="A150" s="150" t="s">
        <v>60</v>
      </c>
      <c r="B150" s="167" t="s">
        <v>61</v>
      </c>
      <c r="C150" s="151">
        <f t="shared" ref="C150:AD150" si="144">IF(C18=$R32,$BC32,IF(C18=$R33,$BC33,IF(C18=$R34,$BC34,IF(C18=$R35,$BC35,IF(C18=$R36,$BC36,IF(C18=$R37,$BC37,IF(C18=$R38,$BC38,IF(C18=$R39,$BC39,IF(C18=$R40,$BC40,0)))))))))</f>
        <v>7.9999999999999716</v>
      </c>
      <c r="D150" s="151">
        <f t="shared" si="144"/>
        <v>12</v>
      </c>
      <c r="E150" s="151">
        <f t="shared" si="144"/>
        <v>12</v>
      </c>
      <c r="F150" s="151">
        <f t="shared" si="144"/>
        <v>12</v>
      </c>
      <c r="G150" s="151">
        <f t="shared" si="144"/>
        <v>7.9999999999999716</v>
      </c>
      <c r="H150" s="151">
        <f t="shared" si="144"/>
        <v>7.9999999999999716</v>
      </c>
      <c r="I150" s="151">
        <f t="shared" si="144"/>
        <v>0</v>
      </c>
      <c r="J150" s="151">
        <f t="shared" si="144"/>
        <v>7.9999999999999716</v>
      </c>
      <c r="K150" s="151">
        <f t="shared" si="144"/>
        <v>12</v>
      </c>
      <c r="L150" s="151">
        <f t="shared" si="144"/>
        <v>12</v>
      </c>
      <c r="M150" s="151">
        <f t="shared" si="144"/>
        <v>12</v>
      </c>
      <c r="N150" s="151">
        <f t="shared" si="144"/>
        <v>0</v>
      </c>
      <c r="O150" s="151">
        <f t="shared" si="144"/>
        <v>0</v>
      </c>
      <c r="P150" s="151">
        <f t="shared" si="144"/>
        <v>12</v>
      </c>
      <c r="Q150" s="151">
        <f t="shared" si="144"/>
        <v>12</v>
      </c>
      <c r="R150" s="151">
        <f t="shared" si="144"/>
        <v>0</v>
      </c>
      <c r="S150" s="151">
        <f t="shared" si="144"/>
        <v>0</v>
      </c>
      <c r="T150" s="151">
        <f t="shared" si="144"/>
        <v>0</v>
      </c>
      <c r="U150" s="151">
        <f t="shared" si="144"/>
        <v>7.9999999999999716</v>
      </c>
      <c r="V150" s="151">
        <f t="shared" si="144"/>
        <v>7.9999999999999716</v>
      </c>
      <c r="W150" s="151">
        <f t="shared" si="144"/>
        <v>7.9999999999999716</v>
      </c>
      <c r="X150" s="151">
        <f t="shared" si="144"/>
        <v>7.9999999999999716</v>
      </c>
      <c r="Y150" s="151">
        <f t="shared" si="144"/>
        <v>12</v>
      </c>
      <c r="Z150" s="151">
        <f t="shared" si="144"/>
        <v>12</v>
      </c>
      <c r="AA150" s="151">
        <f t="shared" si="144"/>
        <v>12</v>
      </c>
      <c r="AB150" s="151">
        <f t="shared" si="144"/>
        <v>0</v>
      </c>
      <c r="AC150" s="151">
        <f t="shared" si="144"/>
        <v>0</v>
      </c>
      <c r="AD150" s="151">
        <f t="shared" si="144"/>
        <v>7.9999999999999716</v>
      </c>
      <c r="AE150" s="151">
        <f>IF(AE18=$R32,$BC32,IF(AE18=$R33,$BC33,IF(AE18=$R34,$BC34,IF(AE18=$R35,$BC35,IF(AE18=$R36,$BC36,IF(AE18=$R37,$BC37,IF(AE18=$R38,$BC38,IF(AE18=$R39,$BC39,IF(AE18=$R40,$BC40,0)))))))))</f>
        <v>7.9999999999999716</v>
      </c>
      <c r="AF150" s="151">
        <f>IF(AF18=$R32,$BC32,IF(AF18=$R33,$BC33,IF(AF18=$R34,$BC34,IF(AF18=$R35,$BC35,IF(AF18=$R36,$BC36,IF(AF18=$R37,$BC37,IF(AF18=$R38,$BC38,IF(AF18=$R39,$BC39,IF(AF18=$R40,$BC40,0)))))))))</f>
        <v>7.9999999999999716</v>
      </c>
      <c r="AG150" s="151">
        <f>IF(AG18=$R32,$BC32,IF(AG18=$R33,$BC33,IF(AG18=$R34,$BC34,IF(AG18=$R35,$BC35,IF(AG18=$R36,$BC36,IF(AG18=$R37,$BC37,IF(AG18=$R38,$BC38,IF(AG18=$R39,$BC39,IF(AG18=$R40,$BC40,0)))))))))</f>
        <v>7.9999999999999716</v>
      </c>
      <c r="AH150" s="226">
        <f>SUM(C150:AG150)</f>
        <v>227.99999999999966</v>
      </c>
      <c r="AI150" s="226"/>
      <c r="AJ150" s="174" t="s">
        <v>62</v>
      </c>
      <c r="AK150" s="133" t="s">
        <v>12</v>
      </c>
      <c r="AL150" s="133"/>
    </row>
    <row r="151" spans="1:38" ht="15.95" hidden="1" customHeight="1" x14ac:dyDescent="0.25">
      <c r="A151" s="153" t="s">
        <v>48</v>
      </c>
      <c r="B151" s="149" t="s">
        <v>63</v>
      </c>
      <c r="C151" s="141" t="b">
        <f>IF(C46=1,IF(C146&lt;C147,C150,0))</f>
        <v>0</v>
      </c>
      <c r="D151" s="141" t="b">
        <f t="shared" ref="D151:AG151" si="145">IF(D46=1,IF(D146&lt;D147,D150,0))</f>
        <v>0</v>
      </c>
      <c r="E151" s="141">
        <f t="shared" si="145"/>
        <v>0</v>
      </c>
      <c r="F151" s="141">
        <f t="shared" si="145"/>
        <v>0</v>
      </c>
      <c r="G151" s="141" t="b">
        <f t="shared" si="145"/>
        <v>0</v>
      </c>
      <c r="H151" s="141" t="b">
        <f t="shared" si="145"/>
        <v>0</v>
      </c>
      <c r="I151" s="141" t="b">
        <f t="shared" si="145"/>
        <v>0</v>
      </c>
      <c r="J151" s="141" t="b">
        <f t="shared" si="145"/>
        <v>0</v>
      </c>
      <c r="K151" s="141" t="b">
        <f t="shared" si="145"/>
        <v>0</v>
      </c>
      <c r="L151" s="141">
        <f t="shared" si="145"/>
        <v>0</v>
      </c>
      <c r="M151" s="141">
        <f t="shared" si="145"/>
        <v>0</v>
      </c>
      <c r="N151" s="141" t="b">
        <f t="shared" si="145"/>
        <v>0</v>
      </c>
      <c r="O151" s="141" t="b">
        <f t="shared" si="145"/>
        <v>0</v>
      </c>
      <c r="P151" s="141" t="b">
        <f t="shared" si="145"/>
        <v>0</v>
      </c>
      <c r="Q151" s="141" t="b">
        <f t="shared" si="145"/>
        <v>0</v>
      </c>
      <c r="R151" s="141" t="b">
        <f t="shared" si="145"/>
        <v>0</v>
      </c>
      <c r="S151" s="141">
        <f t="shared" si="145"/>
        <v>0</v>
      </c>
      <c r="T151" s="141">
        <f t="shared" si="145"/>
        <v>0</v>
      </c>
      <c r="U151" s="141" t="b">
        <f t="shared" si="145"/>
        <v>0</v>
      </c>
      <c r="V151" s="141" t="b">
        <f t="shared" si="145"/>
        <v>0</v>
      </c>
      <c r="W151" s="141" t="b">
        <f t="shared" si="145"/>
        <v>0</v>
      </c>
      <c r="X151" s="141" t="b">
        <f t="shared" si="145"/>
        <v>0</v>
      </c>
      <c r="Y151" s="141" t="b">
        <f t="shared" si="145"/>
        <v>0</v>
      </c>
      <c r="Z151" s="141">
        <f t="shared" si="145"/>
        <v>0</v>
      </c>
      <c r="AA151" s="141">
        <f t="shared" si="145"/>
        <v>0</v>
      </c>
      <c r="AB151" s="141" t="b">
        <f t="shared" si="145"/>
        <v>0</v>
      </c>
      <c r="AC151" s="141" t="b">
        <f t="shared" si="145"/>
        <v>0</v>
      </c>
      <c r="AD151" s="141" t="b">
        <f t="shared" si="145"/>
        <v>0</v>
      </c>
      <c r="AE151" s="141" t="b">
        <f t="shared" si="145"/>
        <v>0</v>
      </c>
      <c r="AF151" s="141" t="b">
        <f t="shared" si="145"/>
        <v>0</v>
      </c>
      <c r="AG151" s="141">
        <f t="shared" si="145"/>
        <v>0</v>
      </c>
      <c r="AH151" s="154" t="s">
        <v>12</v>
      </c>
      <c r="AI151" s="133"/>
      <c r="AJ151" s="170"/>
      <c r="AK151" s="133"/>
      <c r="AL151" s="133"/>
    </row>
    <row r="152" spans="1:38" ht="15.95" hidden="1" customHeight="1" x14ac:dyDescent="0.25">
      <c r="A152" s="176"/>
      <c r="B152" s="149" t="s">
        <v>64</v>
      </c>
      <c r="C152" s="141">
        <f t="shared" ref="C152:AG152" si="146">IF(C46=1,IF(C146&gt;C147,24-C146,0),0)</f>
        <v>0</v>
      </c>
      <c r="D152" s="141">
        <f t="shared" si="146"/>
        <v>0</v>
      </c>
      <c r="E152" s="141">
        <f t="shared" si="146"/>
        <v>6</v>
      </c>
      <c r="F152" s="141">
        <f t="shared" si="146"/>
        <v>6</v>
      </c>
      <c r="G152" s="141">
        <f t="shared" si="146"/>
        <v>0</v>
      </c>
      <c r="H152" s="141">
        <f t="shared" si="146"/>
        <v>0</v>
      </c>
      <c r="I152" s="141">
        <f t="shared" si="146"/>
        <v>0</v>
      </c>
      <c r="J152" s="141">
        <f t="shared" si="146"/>
        <v>0</v>
      </c>
      <c r="K152" s="141">
        <f t="shared" si="146"/>
        <v>0</v>
      </c>
      <c r="L152" s="141">
        <f t="shared" si="146"/>
        <v>5</v>
      </c>
      <c r="M152" s="141">
        <f t="shared" si="146"/>
        <v>5</v>
      </c>
      <c r="N152" s="141">
        <f t="shared" si="146"/>
        <v>0</v>
      </c>
      <c r="O152" s="141">
        <f t="shared" si="146"/>
        <v>0</v>
      </c>
      <c r="P152" s="141">
        <f t="shared" si="146"/>
        <v>0</v>
      </c>
      <c r="Q152" s="141">
        <f t="shared" si="146"/>
        <v>0</v>
      </c>
      <c r="R152" s="141">
        <f t="shared" si="146"/>
        <v>0</v>
      </c>
      <c r="S152" s="141">
        <f t="shared" si="146"/>
        <v>0</v>
      </c>
      <c r="T152" s="141">
        <f t="shared" si="146"/>
        <v>0</v>
      </c>
      <c r="U152" s="141">
        <f t="shared" si="146"/>
        <v>0</v>
      </c>
      <c r="V152" s="141">
        <f t="shared" si="146"/>
        <v>0</v>
      </c>
      <c r="W152" s="141">
        <f t="shared" si="146"/>
        <v>0</v>
      </c>
      <c r="X152" s="141">
        <f t="shared" si="146"/>
        <v>0</v>
      </c>
      <c r="Y152" s="141">
        <f t="shared" si="146"/>
        <v>0</v>
      </c>
      <c r="Z152" s="141">
        <f t="shared" si="146"/>
        <v>5</v>
      </c>
      <c r="AA152" s="141">
        <f t="shared" si="146"/>
        <v>5</v>
      </c>
      <c r="AB152" s="141">
        <f t="shared" si="146"/>
        <v>0</v>
      </c>
      <c r="AC152" s="141">
        <f t="shared" si="146"/>
        <v>0</v>
      </c>
      <c r="AD152" s="141">
        <f t="shared" si="146"/>
        <v>0</v>
      </c>
      <c r="AE152" s="141">
        <f t="shared" si="146"/>
        <v>0</v>
      </c>
      <c r="AF152" s="141">
        <f t="shared" si="146"/>
        <v>0</v>
      </c>
      <c r="AG152" s="141">
        <f t="shared" si="146"/>
        <v>2</v>
      </c>
      <c r="AH152" s="154" t="s">
        <v>12</v>
      </c>
      <c r="AI152" s="133"/>
      <c r="AJ152" s="170"/>
      <c r="AK152" s="133"/>
      <c r="AL152" s="133"/>
    </row>
    <row r="153" spans="1:38" ht="15.95" hidden="1" customHeight="1" x14ac:dyDescent="0.25">
      <c r="A153" s="176"/>
      <c r="B153" s="149" t="s">
        <v>65</v>
      </c>
      <c r="C153" s="141">
        <f t="shared" ref="C153:AG153" si="147">IF(D46=1,IF(C146&gt;C147,C147,0),0)</f>
        <v>0</v>
      </c>
      <c r="D153" s="141">
        <f t="shared" si="147"/>
        <v>6</v>
      </c>
      <c r="E153" s="141">
        <f t="shared" si="147"/>
        <v>6</v>
      </c>
      <c r="F153" s="141">
        <f t="shared" si="147"/>
        <v>0</v>
      </c>
      <c r="G153" s="141">
        <f t="shared" si="147"/>
        <v>0</v>
      </c>
      <c r="H153" s="141">
        <f t="shared" si="147"/>
        <v>0</v>
      </c>
      <c r="I153" s="141">
        <f t="shared" si="147"/>
        <v>0</v>
      </c>
      <c r="J153" s="141">
        <f t="shared" si="147"/>
        <v>0</v>
      </c>
      <c r="K153" s="141">
        <f t="shared" si="147"/>
        <v>7</v>
      </c>
      <c r="L153" s="141">
        <f t="shared" si="147"/>
        <v>7</v>
      </c>
      <c r="M153" s="141">
        <f t="shared" si="147"/>
        <v>0</v>
      </c>
      <c r="N153" s="141">
        <f t="shared" si="147"/>
        <v>0</v>
      </c>
      <c r="O153" s="141">
        <f t="shared" si="147"/>
        <v>0</v>
      </c>
      <c r="P153" s="141">
        <f t="shared" si="147"/>
        <v>0</v>
      </c>
      <c r="Q153" s="141">
        <f t="shared" si="147"/>
        <v>0</v>
      </c>
      <c r="R153" s="141">
        <f t="shared" si="147"/>
        <v>0</v>
      </c>
      <c r="S153" s="141">
        <f t="shared" si="147"/>
        <v>0</v>
      </c>
      <c r="T153" s="141">
        <f t="shared" si="147"/>
        <v>0</v>
      </c>
      <c r="U153" s="141">
        <f t="shared" si="147"/>
        <v>0</v>
      </c>
      <c r="V153" s="141">
        <f t="shared" si="147"/>
        <v>0</v>
      </c>
      <c r="W153" s="141">
        <f t="shared" si="147"/>
        <v>0</v>
      </c>
      <c r="X153" s="141">
        <f>IF(Y46=1,IF(X146&gt;X147,X147,0),0)</f>
        <v>0</v>
      </c>
      <c r="Y153" s="141">
        <f t="shared" si="147"/>
        <v>7</v>
      </c>
      <c r="Z153" s="141">
        <f t="shared" si="147"/>
        <v>7</v>
      </c>
      <c r="AA153" s="141">
        <f t="shared" si="147"/>
        <v>0</v>
      </c>
      <c r="AB153" s="141">
        <f t="shared" si="147"/>
        <v>0</v>
      </c>
      <c r="AC153" s="141">
        <f t="shared" si="147"/>
        <v>0</v>
      </c>
      <c r="AD153" s="141">
        <f t="shared" si="147"/>
        <v>0</v>
      </c>
      <c r="AE153" s="141">
        <f t="shared" si="147"/>
        <v>0</v>
      </c>
      <c r="AF153" s="141">
        <f t="shared" si="147"/>
        <v>6</v>
      </c>
      <c r="AG153" s="141">
        <f t="shared" si="147"/>
        <v>0</v>
      </c>
      <c r="AH153" s="154" t="s">
        <v>12</v>
      </c>
      <c r="AI153" s="133"/>
      <c r="AJ153" s="170"/>
      <c r="AK153" s="133"/>
      <c r="AL153" s="133"/>
    </row>
    <row r="154" spans="1:38" ht="15.95" hidden="1" customHeight="1" x14ac:dyDescent="0.25">
      <c r="A154" s="176"/>
      <c r="B154" s="149" t="s">
        <v>67</v>
      </c>
      <c r="C154" s="171">
        <f>SUM(C151:C153)</f>
        <v>0</v>
      </c>
      <c r="D154" s="171">
        <f t="shared" ref="D154:AG154" si="148">SUM(D151:D153)</f>
        <v>6</v>
      </c>
      <c r="E154" s="171">
        <f t="shared" si="148"/>
        <v>12</v>
      </c>
      <c r="F154" s="171">
        <f t="shared" si="148"/>
        <v>6</v>
      </c>
      <c r="G154" s="171">
        <f t="shared" si="148"/>
        <v>0</v>
      </c>
      <c r="H154" s="171">
        <f t="shared" si="148"/>
        <v>0</v>
      </c>
      <c r="I154" s="171">
        <f t="shared" si="148"/>
        <v>0</v>
      </c>
      <c r="J154" s="171">
        <f t="shared" si="148"/>
        <v>0</v>
      </c>
      <c r="K154" s="171">
        <f t="shared" si="148"/>
        <v>7</v>
      </c>
      <c r="L154" s="171">
        <f t="shared" si="148"/>
        <v>12</v>
      </c>
      <c r="M154" s="171">
        <f t="shared" si="148"/>
        <v>5</v>
      </c>
      <c r="N154" s="171">
        <f t="shared" si="148"/>
        <v>0</v>
      </c>
      <c r="O154" s="171">
        <f t="shared" si="148"/>
        <v>0</v>
      </c>
      <c r="P154" s="171">
        <f t="shared" si="148"/>
        <v>0</v>
      </c>
      <c r="Q154" s="171">
        <f t="shared" si="148"/>
        <v>0</v>
      </c>
      <c r="R154" s="171">
        <f t="shared" si="148"/>
        <v>0</v>
      </c>
      <c r="S154" s="171">
        <f t="shared" si="148"/>
        <v>0</v>
      </c>
      <c r="T154" s="171">
        <f t="shared" si="148"/>
        <v>0</v>
      </c>
      <c r="U154" s="171">
        <f t="shared" si="148"/>
        <v>0</v>
      </c>
      <c r="V154" s="171">
        <f t="shared" si="148"/>
        <v>0</v>
      </c>
      <c r="W154" s="171">
        <f t="shared" si="148"/>
        <v>0</v>
      </c>
      <c r="X154" s="171">
        <f t="shared" si="148"/>
        <v>0</v>
      </c>
      <c r="Y154" s="171">
        <f t="shared" si="148"/>
        <v>7</v>
      </c>
      <c r="Z154" s="171">
        <f t="shared" si="148"/>
        <v>12</v>
      </c>
      <c r="AA154" s="171">
        <f t="shared" si="148"/>
        <v>5</v>
      </c>
      <c r="AB154" s="171">
        <f t="shared" si="148"/>
        <v>0</v>
      </c>
      <c r="AC154" s="171">
        <f t="shared" si="148"/>
        <v>0</v>
      </c>
      <c r="AD154" s="171">
        <f t="shared" si="148"/>
        <v>0</v>
      </c>
      <c r="AE154" s="171">
        <f t="shared" si="148"/>
        <v>0</v>
      </c>
      <c r="AF154" s="171">
        <f t="shared" si="148"/>
        <v>6</v>
      </c>
      <c r="AG154" s="171">
        <f t="shared" si="148"/>
        <v>2</v>
      </c>
      <c r="AH154" s="154" t="s">
        <v>12</v>
      </c>
      <c r="AI154" s="133"/>
      <c r="AJ154" s="170"/>
      <c r="AK154" s="133"/>
      <c r="AL154" s="133"/>
    </row>
    <row r="155" spans="1:38" ht="15.95" hidden="1" customHeight="1" x14ac:dyDescent="0.25">
      <c r="A155" s="177"/>
      <c r="B155" s="160" t="s">
        <v>68</v>
      </c>
      <c r="C155" s="161">
        <f t="shared" ref="C155:AG155" si="149">IF(C18="V",IF(C18="",0,1),0)</f>
        <v>0</v>
      </c>
      <c r="D155" s="161">
        <f t="shared" si="149"/>
        <v>0</v>
      </c>
      <c r="E155" s="161">
        <f t="shared" si="149"/>
        <v>0</v>
      </c>
      <c r="F155" s="161">
        <f t="shared" si="149"/>
        <v>0</v>
      </c>
      <c r="G155" s="161">
        <f t="shared" si="149"/>
        <v>0</v>
      </c>
      <c r="H155" s="161">
        <f t="shared" si="149"/>
        <v>0</v>
      </c>
      <c r="I155" s="161">
        <f t="shared" si="149"/>
        <v>0</v>
      </c>
      <c r="J155" s="161">
        <f t="shared" si="149"/>
        <v>0</v>
      </c>
      <c r="K155" s="161">
        <f t="shared" si="149"/>
        <v>0</v>
      </c>
      <c r="L155" s="161">
        <f t="shared" si="149"/>
        <v>0</v>
      </c>
      <c r="M155" s="161">
        <f t="shared" si="149"/>
        <v>0</v>
      </c>
      <c r="N155" s="161">
        <f t="shared" si="149"/>
        <v>0</v>
      </c>
      <c r="O155" s="161">
        <f t="shared" si="149"/>
        <v>0</v>
      </c>
      <c r="P155" s="161">
        <f t="shared" si="149"/>
        <v>0</v>
      </c>
      <c r="Q155" s="161">
        <f t="shared" si="149"/>
        <v>0</v>
      </c>
      <c r="R155" s="161">
        <f t="shared" si="149"/>
        <v>0</v>
      </c>
      <c r="S155" s="161">
        <f t="shared" si="149"/>
        <v>0</v>
      </c>
      <c r="T155" s="161">
        <f t="shared" si="149"/>
        <v>0</v>
      </c>
      <c r="U155" s="161">
        <f t="shared" si="149"/>
        <v>0</v>
      </c>
      <c r="V155" s="161">
        <f t="shared" si="149"/>
        <v>0</v>
      </c>
      <c r="W155" s="161">
        <f t="shared" si="149"/>
        <v>0</v>
      </c>
      <c r="X155" s="161">
        <f t="shared" si="149"/>
        <v>0</v>
      </c>
      <c r="Y155" s="161">
        <f t="shared" si="149"/>
        <v>0</v>
      </c>
      <c r="Z155" s="161">
        <f t="shared" si="149"/>
        <v>0</v>
      </c>
      <c r="AA155" s="161">
        <f t="shared" si="149"/>
        <v>0</v>
      </c>
      <c r="AB155" s="161">
        <f t="shared" si="149"/>
        <v>0</v>
      </c>
      <c r="AC155" s="161">
        <f t="shared" si="149"/>
        <v>0</v>
      </c>
      <c r="AD155" s="161">
        <f t="shared" si="149"/>
        <v>0</v>
      </c>
      <c r="AE155" s="161">
        <f t="shared" si="149"/>
        <v>0</v>
      </c>
      <c r="AF155" s="161">
        <f t="shared" si="149"/>
        <v>0</v>
      </c>
      <c r="AG155" s="161">
        <f t="shared" si="149"/>
        <v>0</v>
      </c>
      <c r="AH155" s="154" t="s">
        <v>12</v>
      </c>
      <c r="AI155" s="133"/>
      <c r="AJ155" s="170"/>
      <c r="AK155" s="133"/>
      <c r="AL155" s="133"/>
    </row>
    <row r="156" spans="1:38" ht="15.95" hidden="1" customHeight="1" x14ac:dyDescent="0.25">
      <c r="A156" s="180"/>
      <c r="B156" s="181" t="s">
        <v>16</v>
      </c>
      <c r="C156" s="182">
        <f t="shared" ref="C156:AG156" si="150">IF(C18="PR",IF(C18="",0,1),0)</f>
        <v>0</v>
      </c>
      <c r="D156" s="182">
        <f t="shared" si="150"/>
        <v>0</v>
      </c>
      <c r="E156" s="182">
        <f t="shared" si="150"/>
        <v>0</v>
      </c>
      <c r="F156" s="182">
        <f t="shared" si="150"/>
        <v>0</v>
      </c>
      <c r="G156" s="182">
        <f t="shared" si="150"/>
        <v>0</v>
      </c>
      <c r="H156" s="182">
        <f t="shared" si="150"/>
        <v>0</v>
      </c>
      <c r="I156" s="182">
        <f t="shared" si="150"/>
        <v>0</v>
      </c>
      <c r="J156" s="182">
        <f t="shared" si="150"/>
        <v>0</v>
      </c>
      <c r="K156" s="182">
        <f t="shared" si="150"/>
        <v>0</v>
      </c>
      <c r="L156" s="182">
        <f t="shared" si="150"/>
        <v>0</v>
      </c>
      <c r="M156" s="182">
        <f t="shared" si="150"/>
        <v>0</v>
      </c>
      <c r="N156" s="182">
        <f t="shared" si="150"/>
        <v>0</v>
      </c>
      <c r="O156" s="182">
        <f t="shared" si="150"/>
        <v>0</v>
      </c>
      <c r="P156" s="182">
        <f t="shared" si="150"/>
        <v>0</v>
      </c>
      <c r="Q156" s="182">
        <f t="shared" si="150"/>
        <v>0</v>
      </c>
      <c r="R156" s="182">
        <f t="shared" si="150"/>
        <v>0</v>
      </c>
      <c r="S156" s="182">
        <f t="shared" si="150"/>
        <v>0</v>
      </c>
      <c r="T156" s="182">
        <f t="shared" si="150"/>
        <v>0</v>
      </c>
      <c r="U156" s="182">
        <f t="shared" si="150"/>
        <v>0</v>
      </c>
      <c r="V156" s="182">
        <f t="shared" si="150"/>
        <v>0</v>
      </c>
      <c r="W156" s="182">
        <f t="shared" si="150"/>
        <v>0</v>
      </c>
      <c r="X156" s="182">
        <f t="shared" si="150"/>
        <v>0</v>
      </c>
      <c r="Y156" s="182">
        <f t="shared" si="150"/>
        <v>0</v>
      </c>
      <c r="Z156" s="182">
        <f t="shared" si="150"/>
        <v>0</v>
      </c>
      <c r="AA156" s="182">
        <f t="shared" si="150"/>
        <v>0</v>
      </c>
      <c r="AB156" s="182">
        <f t="shared" si="150"/>
        <v>0</v>
      </c>
      <c r="AC156" s="182">
        <f t="shared" si="150"/>
        <v>0</v>
      </c>
      <c r="AD156" s="182">
        <f t="shared" si="150"/>
        <v>0</v>
      </c>
      <c r="AE156" s="182">
        <f t="shared" si="150"/>
        <v>0</v>
      </c>
      <c r="AF156" s="182">
        <f t="shared" si="150"/>
        <v>0</v>
      </c>
      <c r="AG156" s="182">
        <f t="shared" si="150"/>
        <v>0</v>
      </c>
      <c r="AH156" s="227">
        <f>SUM(C156:AG156)</f>
        <v>0</v>
      </c>
      <c r="AI156" s="227"/>
      <c r="AJ156" s="174" t="s">
        <v>69</v>
      </c>
      <c r="AK156" s="133"/>
      <c r="AL156" s="133"/>
    </row>
    <row r="157" spans="1:38" ht="15.95" hidden="1" customHeight="1" x14ac:dyDescent="0.25">
      <c r="A157" s="164" t="s">
        <v>126</v>
      </c>
      <c r="B157" s="165" t="s">
        <v>29</v>
      </c>
      <c r="C157" s="141" t="str">
        <f>IF(C19=$R32,$S32*24,IF(C19=$R33,$S33*24,IF(C19=$R34,$S34*24,IF(C19=$R35,$S35*24,IF(C19=$R36,$S36*24,IF(C19=$R37,$S37*24,IF(C19=$R38,$S38*24,IF(C19=$R39,$S39*24,IF(C19=$R40,$S40*24,"")))))))))</f>
        <v/>
      </c>
      <c r="D157" s="141" t="str">
        <f t="shared" ref="D157:AG157" si="151">IF(D19=$R32,$S32*24,IF(D19=$R33,$S33*24,IF(D19=$R34,$S34*24,IF(D19=$R35,$S35*24,IF(D19=$R36,$S36*24,IF(D19=$R37,$S37*24,IF(D19=$R38,$S38*24,IF(D19=$R39,$S39*24,IF(D19=$R40,$S40*24,"")))))))))</f>
        <v/>
      </c>
      <c r="E157" s="141" t="str">
        <f t="shared" si="151"/>
        <v/>
      </c>
      <c r="F157" s="141" t="str">
        <f t="shared" si="151"/>
        <v/>
      </c>
      <c r="G157" s="141" t="str">
        <f t="shared" si="151"/>
        <v/>
      </c>
      <c r="H157" s="141" t="str">
        <f t="shared" si="151"/>
        <v/>
      </c>
      <c r="I157" s="141" t="str">
        <f t="shared" si="151"/>
        <v/>
      </c>
      <c r="J157" s="141" t="str">
        <f t="shared" si="151"/>
        <v/>
      </c>
      <c r="K157" s="141" t="str">
        <f t="shared" si="151"/>
        <v/>
      </c>
      <c r="L157" s="141" t="str">
        <f t="shared" si="151"/>
        <v/>
      </c>
      <c r="M157" s="141" t="str">
        <f t="shared" si="151"/>
        <v/>
      </c>
      <c r="N157" s="141" t="str">
        <f t="shared" si="151"/>
        <v/>
      </c>
      <c r="O157" s="141" t="str">
        <f t="shared" si="151"/>
        <v/>
      </c>
      <c r="P157" s="141" t="str">
        <f t="shared" si="151"/>
        <v/>
      </c>
      <c r="Q157" s="141" t="str">
        <f t="shared" si="151"/>
        <v/>
      </c>
      <c r="R157" s="141" t="str">
        <f t="shared" si="151"/>
        <v/>
      </c>
      <c r="S157" s="141" t="str">
        <f t="shared" si="151"/>
        <v/>
      </c>
      <c r="T157" s="141" t="str">
        <f t="shared" si="151"/>
        <v/>
      </c>
      <c r="U157" s="141" t="str">
        <f t="shared" si="151"/>
        <v/>
      </c>
      <c r="V157" s="141" t="str">
        <f t="shared" si="151"/>
        <v/>
      </c>
      <c r="W157" s="141" t="str">
        <f t="shared" si="151"/>
        <v/>
      </c>
      <c r="X157" s="141" t="str">
        <f t="shared" si="151"/>
        <v/>
      </c>
      <c r="Y157" s="141" t="str">
        <f t="shared" si="151"/>
        <v/>
      </c>
      <c r="Z157" s="141" t="str">
        <f t="shared" si="151"/>
        <v/>
      </c>
      <c r="AA157" s="141" t="str">
        <f t="shared" si="151"/>
        <v/>
      </c>
      <c r="AB157" s="141" t="str">
        <f t="shared" si="151"/>
        <v/>
      </c>
      <c r="AC157" s="141" t="str">
        <f t="shared" si="151"/>
        <v/>
      </c>
      <c r="AD157" s="141" t="str">
        <f t="shared" si="151"/>
        <v/>
      </c>
      <c r="AE157" s="141" t="str">
        <f t="shared" si="151"/>
        <v/>
      </c>
      <c r="AF157" s="141" t="str">
        <f t="shared" si="151"/>
        <v/>
      </c>
      <c r="AG157" s="141" t="str">
        <f t="shared" si="151"/>
        <v/>
      </c>
      <c r="AH157" s="154" t="s">
        <v>12</v>
      </c>
      <c r="AI157" s="133"/>
      <c r="AJ157" s="170"/>
      <c r="AK157" s="133"/>
      <c r="AL157" s="133"/>
    </row>
    <row r="158" spans="1:38" ht="15.95" hidden="1" customHeight="1" x14ac:dyDescent="0.25">
      <c r="A158" s="166" t="s">
        <v>128</v>
      </c>
      <c r="B158" s="167" t="s">
        <v>30</v>
      </c>
      <c r="C158" s="141" t="str">
        <f>IF(C19=$R32,$V32*24,IF(C19=$R33,$V33*24,IF(C19=$R34,$V34*24,IF(C19=$R35,$V35*24,IF(C19=$R36,$V36*24,IF(C19=$R37,$V37*24,IF(C19=$R38,$V38*24,IF(C19=$R39,$V39*24,IF(C19=$R40,$V40*24,"")))))))))</f>
        <v/>
      </c>
      <c r="D158" s="141" t="str">
        <f t="shared" ref="D158:AG158" si="152">IF(D19=$R32,$V32*24,IF(D19=$R33,$V33*24,IF(D19=$R34,$V34*24,IF(D19=$R35,$V35*24,IF(D19=$R36,$V36*24,IF(D19=$R37,$V37*24,IF(D19=$R38,$V38*24,IF(D19=$R39,$V39*24,IF(D19=$R40,$V40*24,"")))))))))</f>
        <v/>
      </c>
      <c r="E158" s="141" t="str">
        <f t="shared" si="152"/>
        <v/>
      </c>
      <c r="F158" s="141" t="str">
        <f t="shared" si="152"/>
        <v/>
      </c>
      <c r="G158" s="141" t="str">
        <f t="shared" si="152"/>
        <v/>
      </c>
      <c r="H158" s="141" t="str">
        <f t="shared" si="152"/>
        <v/>
      </c>
      <c r="I158" s="141" t="str">
        <f t="shared" si="152"/>
        <v/>
      </c>
      <c r="J158" s="141" t="str">
        <f t="shared" si="152"/>
        <v/>
      </c>
      <c r="K158" s="141" t="str">
        <f t="shared" si="152"/>
        <v/>
      </c>
      <c r="L158" s="141" t="str">
        <f t="shared" si="152"/>
        <v/>
      </c>
      <c r="M158" s="141" t="str">
        <f t="shared" si="152"/>
        <v/>
      </c>
      <c r="N158" s="141" t="str">
        <f t="shared" si="152"/>
        <v/>
      </c>
      <c r="O158" s="141" t="str">
        <f t="shared" si="152"/>
        <v/>
      </c>
      <c r="P158" s="141" t="str">
        <f t="shared" si="152"/>
        <v/>
      </c>
      <c r="Q158" s="141" t="str">
        <f t="shared" si="152"/>
        <v/>
      </c>
      <c r="R158" s="141" t="str">
        <f t="shared" si="152"/>
        <v/>
      </c>
      <c r="S158" s="141" t="str">
        <f t="shared" si="152"/>
        <v/>
      </c>
      <c r="T158" s="141" t="str">
        <f t="shared" si="152"/>
        <v/>
      </c>
      <c r="U158" s="141" t="str">
        <f t="shared" si="152"/>
        <v/>
      </c>
      <c r="V158" s="141" t="str">
        <f t="shared" si="152"/>
        <v/>
      </c>
      <c r="W158" s="141" t="str">
        <f t="shared" si="152"/>
        <v/>
      </c>
      <c r="X158" s="141" t="str">
        <f t="shared" si="152"/>
        <v/>
      </c>
      <c r="Y158" s="141" t="str">
        <f t="shared" si="152"/>
        <v/>
      </c>
      <c r="Z158" s="141" t="str">
        <f t="shared" si="152"/>
        <v/>
      </c>
      <c r="AA158" s="141" t="str">
        <f t="shared" si="152"/>
        <v/>
      </c>
      <c r="AB158" s="141" t="str">
        <f t="shared" si="152"/>
        <v/>
      </c>
      <c r="AC158" s="141" t="str">
        <f t="shared" si="152"/>
        <v/>
      </c>
      <c r="AD158" s="141" t="str">
        <f t="shared" si="152"/>
        <v/>
      </c>
      <c r="AE158" s="141" t="str">
        <f t="shared" si="152"/>
        <v/>
      </c>
      <c r="AF158" s="141" t="str">
        <f t="shared" si="152"/>
        <v/>
      </c>
      <c r="AG158" s="141" t="str">
        <f t="shared" si="152"/>
        <v/>
      </c>
      <c r="AH158" s="154" t="s">
        <v>12</v>
      </c>
      <c r="AI158" s="133"/>
      <c r="AJ158" s="170"/>
      <c r="AK158" s="133"/>
      <c r="AL158" s="133"/>
    </row>
    <row r="159" spans="1:38" ht="15.95" hidden="1" customHeight="1" x14ac:dyDescent="0.25">
      <c r="A159" s="153"/>
      <c r="B159" s="183" t="s">
        <v>34</v>
      </c>
      <c r="C159" s="169" t="str">
        <f t="shared" ref="C159:AD159" si="153">IF(C19=$R32,$BD32*24,IF(C19=$R33,$BD33*24,IF(C19=$R34,$BD34*24,IF(C19=$R35,$BD35*24,IF(C19=$R36,$BD36*24,IF(C19=$R37,$BD37*24,IF(C19=$R38,$BD38*24,IF(C19=$R39,$BD39*24,IF(C19=$R40,$BD40*24,"")))))))))</f>
        <v/>
      </c>
      <c r="D159" s="169" t="str">
        <f t="shared" si="153"/>
        <v/>
      </c>
      <c r="E159" s="169" t="str">
        <f t="shared" si="153"/>
        <v/>
      </c>
      <c r="F159" s="169" t="str">
        <f t="shared" si="153"/>
        <v/>
      </c>
      <c r="G159" s="169" t="str">
        <f t="shared" si="153"/>
        <v/>
      </c>
      <c r="H159" s="169" t="str">
        <f t="shared" si="153"/>
        <v/>
      </c>
      <c r="I159" s="169" t="str">
        <f t="shared" si="153"/>
        <v/>
      </c>
      <c r="J159" s="169" t="str">
        <f t="shared" si="153"/>
        <v/>
      </c>
      <c r="K159" s="169" t="str">
        <f t="shared" si="153"/>
        <v/>
      </c>
      <c r="L159" s="169" t="str">
        <f t="shared" si="153"/>
        <v/>
      </c>
      <c r="M159" s="169" t="str">
        <f t="shared" si="153"/>
        <v/>
      </c>
      <c r="N159" s="169" t="str">
        <f t="shared" si="153"/>
        <v/>
      </c>
      <c r="O159" s="169" t="str">
        <f t="shared" si="153"/>
        <v/>
      </c>
      <c r="P159" s="169" t="str">
        <f t="shared" si="153"/>
        <v/>
      </c>
      <c r="Q159" s="169" t="str">
        <f t="shared" si="153"/>
        <v/>
      </c>
      <c r="R159" s="169" t="str">
        <f t="shared" si="153"/>
        <v/>
      </c>
      <c r="S159" s="169" t="str">
        <f t="shared" si="153"/>
        <v/>
      </c>
      <c r="T159" s="169" t="str">
        <f t="shared" si="153"/>
        <v/>
      </c>
      <c r="U159" s="169" t="str">
        <f t="shared" si="153"/>
        <v/>
      </c>
      <c r="V159" s="169" t="str">
        <f t="shared" si="153"/>
        <v/>
      </c>
      <c r="W159" s="169" t="str">
        <f t="shared" si="153"/>
        <v/>
      </c>
      <c r="X159" s="169" t="str">
        <f t="shared" si="153"/>
        <v/>
      </c>
      <c r="Y159" s="169" t="str">
        <f t="shared" si="153"/>
        <v/>
      </c>
      <c r="Z159" s="169" t="str">
        <f t="shared" si="153"/>
        <v/>
      </c>
      <c r="AA159" s="169" t="str">
        <f t="shared" si="153"/>
        <v/>
      </c>
      <c r="AB159" s="169" t="str">
        <f t="shared" si="153"/>
        <v/>
      </c>
      <c r="AC159" s="169" t="str">
        <f t="shared" si="153"/>
        <v/>
      </c>
      <c r="AD159" s="169" t="str">
        <f t="shared" si="153"/>
        <v/>
      </c>
      <c r="AE159" s="169" t="str">
        <f>IF(AE19=$R32,$BD32*24,IF(AE19=$R33,$BD33*24,IF(AE19=$R34,$BD34*24,IF(AE19=$R35,$BD35*24,IF(AE19=$R36,$BD36*24,IF(AE19=$R37,$BD37*24,IF(AE19=$R38,$BD38*24,IF(AE19=$R39,$BD39*24,IF(AE19=$R40,$BD40*24,"")))))))))</f>
        <v/>
      </c>
      <c r="AF159" s="169" t="str">
        <f>IF(AF19=$R32,$BD32*24,IF(AF19=$R33,$BD33*24,IF(AF19=$R34,$BD34*24,IF(AF19=$R35,$BD35*24,IF(AF19=$R36,$BD36*24,IF(AF19=$R37,$BD37*24,IF(AF19=$R38,$BD38*24,IF(AF19=$R39,$BD39*24,IF(AF19=$R40,$BD40*24,"")))))))))</f>
        <v/>
      </c>
      <c r="AG159" s="169" t="str">
        <f>IF(AG19=$R32,$BD32*24,IF(AG19=$R33,$BD33*24,IF(AG19=$R34,$BD34*24,IF(AG19=$R35,$BD35*24,IF(AG19=$R36,$BD36*24,IF(AG19=$R37,$BD37*24,IF(AG19=$R38,$BD38*24,IF(AG19=$R39,$BD39*24,IF(AG19=$R40,$BD40*24,"")))))))))</f>
        <v/>
      </c>
      <c r="AH159" s="148">
        <f>SUM(C159:AG159)</f>
        <v>0</v>
      </c>
      <c r="AI159" s="133"/>
      <c r="AJ159" s="170"/>
      <c r="AK159" s="133"/>
      <c r="AL159" s="133"/>
    </row>
    <row r="160" spans="1:38" ht="15.95" hidden="1" customHeight="1" x14ac:dyDescent="0.25">
      <c r="A160" s="153"/>
      <c r="B160" s="167" t="s">
        <v>59</v>
      </c>
      <c r="C160" s="141">
        <f>IF(C19="V",$C36,IF(C19="PR",$C38,0))</f>
        <v>0</v>
      </c>
      <c r="D160" s="141">
        <f t="shared" ref="D160:AG160" si="154">IF(D19="V",$C36,IF(D19="PR",$C38,0))</f>
        <v>0</v>
      </c>
      <c r="E160" s="141">
        <f t="shared" si="154"/>
        <v>0</v>
      </c>
      <c r="F160" s="141">
        <f t="shared" si="154"/>
        <v>0</v>
      </c>
      <c r="G160" s="141">
        <f t="shared" si="154"/>
        <v>0</v>
      </c>
      <c r="H160" s="141">
        <f t="shared" si="154"/>
        <v>0</v>
      </c>
      <c r="I160" s="141">
        <f t="shared" si="154"/>
        <v>0</v>
      </c>
      <c r="J160" s="141">
        <f t="shared" si="154"/>
        <v>0</v>
      </c>
      <c r="K160" s="141">
        <f t="shared" si="154"/>
        <v>0</v>
      </c>
      <c r="L160" s="141">
        <f t="shared" si="154"/>
        <v>0</v>
      </c>
      <c r="M160" s="141">
        <f t="shared" si="154"/>
        <v>0</v>
      </c>
      <c r="N160" s="141">
        <f t="shared" si="154"/>
        <v>0</v>
      </c>
      <c r="O160" s="141">
        <f t="shared" si="154"/>
        <v>0</v>
      </c>
      <c r="P160" s="141">
        <f t="shared" si="154"/>
        <v>0</v>
      </c>
      <c r="Q160" s="141">
        <f t="shared" si="154"/>
        <v>0</v>
      </c>
      <c r="R160" s="141">
        <f t="shared" si="154"/>
        <v>0</v>
      </c>
      <c r="S160" s="141">
        <f t="shared" si="154"/>
        <v>0</v>
      </c>
      <c r="T160" s="141">
        <f t="shared" si="154"/>
        <v>0</v>
      </c>
      <c r="U160" s="141">
        <f t="shared" si="154"/>
        <v>0</v>
      </c>
      <c r="V160" s="141">
        <f t="shared" si="154"/>
        <v>0</v>
      </c>
      <c r="W160" s="141">
        <f t="shared" si="154"/>
        <v>0</v>
      </c>
      <c r="X160" s="141">
        <f t="shared" si="154"/>
        <v>0</v>
      </c>
      <c r="Y160" s="141">
        <f t="shared" si="154"/>
        <v>0</v>
      </c>
      <c r="Z160" s="141">
        <f t="shared" si="154"/>
        <v>0</v>
      </c>
      <c r="AA160" s="141">
        <f t="shared" si="154"/>
        <v>0</v>
      </c>
      <c r="AB160" s="141">
        <f t="shared" si="154"/>
        <v>0</v>
      </c>
      <c r="AC160" s="141">
        <f t="shared" si="154"/>
        <v>0</v>
      </c>
      <c r="AD160" s="141">
        <f t="shared" si="154"/>
        <v>0</v>
      </c>
      <c r="AE160" s="141">
        <f t="shared" si="154"/>
        <v>0</v>
      </c>
      <c r="AF160" s="141">
        <f t="shared" si="154"/>
        <v>0</v>
      </c>
      <c r="AG160" s="141">
        <f t="shared" si="154"/>
        <v>0</v>
      </c>
      <c r="AH160" s="226">
        <f>SUM(C160:AG160)</f>
        <v>0</v>
      </c>
      <c r="AI160" s="226"/>
      <c r="AJ160" s="230">
        <f>SUM(AH105+AH116+AH127+AH138+AH149+AH160)</f>
        <v>0</v>
      </c>
      <c r="AK160" s="230"/>
      <c r="AL160" s="133" t="s">
        <v>56</v>
      </c>
    </row>
    <row r="161" spans="1:38" ht="15.95" hidden="1" customHeight="1" x14ac:dyDescent="0.25">
      <c r="A161" s="150" t="s">
        <v>60</v>
      </c>
      <c r="B161" s="167" t="s">
        <v>61</v>
      </c>
      <c r="C161" s="151">
        <f t="shared" ref="C161:AD161" si="155">IF(C19=$R32,$BC32,IF(C19=$R33,$BC33,IF(C19=$R34,$BC34,IF(C19=$R35,$BC35,IF(C19=$R36,$BC36,IF(C19=$R37,$BC37,IF(C19=$R38,$BC38,IF(C19=$R39,$BC39,IF(C19=$R40,$BC40,0)))))))))</f>
        <v>0</v>
      </c>
      <c r="D161" s="151">
        <f t="shared" si="155"/>
        <v>0</v>
      </c>
      <c r="E161" s="151">
        <f t="shared" si="155"/>
        <v>0</v>
      </c>
      <c r="F161" s="151">
        <f t="shared" si="155"/>
        <v>0</v>
      </c>
      <c r="G161" s="151">
        <f t="shared" si="155"/>
        <v>0</v>
      </c>
      <c r="H161" s="151">
        <f t="shared" si="155"/>
        <v>0</v>
      </c>
      <c r="I161" s="151">
        <f t="shared" si="155"/>
        <v>0</v>
      </c>
      <c r="J161" s="151">
        <f t="shared" si="155"/>
        <v>0</v>
      </c>
      <c r="K161" s="151">
        <f t="shared" si="155"/>
        <v>0</v>
      </c>
      <c r="L161" s="151">
        <f t="shared" si="155"/>
        <v>0</v>
      </c>
      <c r="M161" s="151">
        <f t="shared" si="155"/>
        <v>0</v>
      </c>
      <c r="N161" s="151">
        <f t="shared" si="155"/>
        <v>0</v>
      </c>
      <c r="O161" s="151">
        <f t="shared" si="155"/>
        <v>0</v>
      </c>
      <c r="P161" s="151">
        <f t="shared" si="155"/>
        <v>0</v>
      </c>
      <c r="Q161" s="151">
        <f t="shared" si="155"/>
        <v>0</v>
      </c>
      <c r="R161" s="151">
        <f t="shared" si="155"/>
        <v>0</v>
      </c>
      <c r="S161" s="151">
        <f t="shared" si="155"/>
        <v>0</v>
      </c>
      <c r="T161" s="151">
        <f t="shared" si="155"/>
        <v>0</v>
      </c>
      <c r="U161" s="151">
        <f t="shared" si="155"/>
        <v>0</v>
      </c>
      <c r="V161" s="151">
        <f t="shared" si="155"/>
        <v>0</v>
      </c>
      <c r="W161" s="151">
        <f t="shared" si="155"/>
        <v>0</v>
      </c>
      <c r="X161" s="151">
        <f t="shared" si="155"/>
        <v>0</v>
      </c>
      <c r="Y161" s="151">
        <f t="shared" si="155"/>
        <v>0</v>
      </c>
      <c r="Z161" s="151">
        <f t="shared" si="155"/>
        <v>0</v>
      </c>
      <c r="AA161" s="151">
        <f t="shared" si="155"/>
        <v>0</v>
      </c>
      <c r="AB161" s="151">
        <f t="shared" si="155"/>
        <v>0</v>
      </c>
      <c r="AC161" s="151">
        <f t="shared" si="155"/>
        <v>0</v>
      </c>
      <c r="AD161" s="151">
        <f t="shared" si="155"/>
        <v>0</v>
      </c>
      <c r="AE161" s="151">
        <f>IF(AE19=$R32,$BC32,IF(AE19=$R33,$BC33,IF(AE19=$R34,$BC34,IF(AE19=$R35,$BC35,IF(AE19=$R36,$BC36,IF(AE19=$R37,$BC37,IF(AE19=$R38,$BC38,IF(AE19=$R39,$BC39,IF(AE19=$R40,$BC40,0)))))))))</f>
        <v>0</v>
      </c>
      <c r="AF161" s="151">
        <f>IF(AF19=$R32,$BC32,IF(AF19=$R33,$BC33,IF(AF19=$R34,$BC34,IF(AF19=$R35,$BC35,IF(AF19=$R36,$BC36,IF(AF19=$R37,$BC37,IF(AF19=$R38,$BC38,IF(AF19=$R39,$BC39,IF(AF19=$R40,$BC40,0)))))))))</f>
        <v>0</v>
      </c>
      <c r="AG161" s="151">
        <f>IF(AG19=$R32,$BC32,IF(AG19=$R33,$BC33,IF(AG19=$R34,$BC34,IF(AG19=$R35,$BC35,IF(AG19=$R36,$BC36,IF(AG19=$R37,$BC37,IF(AG19=$R38,$BC38,IF(AG19=$R39,$BC39,IF(AG19=$R40,$BC40,0)))))))))</f>
        <v>0</v>
      </c>
      <c r="AH161" s="226">
        <f>SUM(C161:AG161)</f>
        <v>0</v>
      </c>
      <c r="AI161" s="226"/>
      <c r="AJ161" s="174" t="s">
        <v>62</v>
      </c>
      <c r="AK161" s="133" t="s">
        <v>12</v>
      </c>
      <c r="AL161" s="133"/>
    </row>
    <row r="162" spans="1:38" ht="15.95" hidden="1" customHeight="1" x14ac:dyDescent="0.25">
      <c r="A162" s="153" t="s">
        <v>48</v>
      </c>
      <c r="B162" s="149" t="s">
        <v>63</v>
      </c>
      <c r="C162" s="141" t="b">
        <f>IF(C46=1,IF(C157&lt;C158,C161,0))</f>
        <v>0</v>
      </c>
      <c r="D162" s="141" t="b">
        <f t="shared" ref="D162:AG162" si="156">IF(D46=1,IF(D157&lt;D158,D161,0))</f>
        <v>0</v>
      </c>
      <c r="E162" s="141">
        <f t="shared" si="156"/>
        <v>0</v>
      </c>
      <c r="F162" s="141">
        <f t="shared" si="156"/>
        <v>0</v>
      </c>
      <c r="G162" s="141" t="b">
        <f t="shared" si="156"/>
        <v>0</v>
      </c>
      <c r="H162" s="141" t="b">
        <f t="shared" si="156"/>
        <v>0</v>
      </c>
      <c r="I162" s="141" t="b">
        <f t="shared" si="156"/>
        <v>0</v>
      </c>
      <c r="J162" s="141" t="b">
        <f t="shared" si="156"/>
        <v>0</v>
      </c>
      <c r="K162" s="141" t="b">
        <f t="shared" si="156"/>
        <v>0</v>
      </c>
      <c r="L162" s="141">
        <f t="shared" si="156"/>
        <v>0</v>
      </c>
      <c r="M162" s="141">
        <f t="shared" si="156"/>
        <v>0</v>
      </c>
      <c r="N162" s="141" t="b">
        <f t="shared" si="156"/>
        <v>0</v>
      </c>
      <c r="O162" s="141" t="b">
        <f t="shared" si="156"/>
        <v>0</v>
      </c>
      <c r="P162" s="141" t="b">
        <f t="shared" si="156"/>
        <v>0</v>
      </c>
      <c r="Q162" s="141" t="b">
        <f t="shared" si="156"/>
        <v>0</v>
      </c>
      <c r="R162" s="141" t="b">
        <f t="shared" si="156"/>
        <v>0</v>
      </c>
      <c r="S162" s="141">
        <f t="shared" si="156"/>
        <v>0</v>
      </c>
      <c r="T162" s="141">
        <f t="shared" si="156"/>
        <v>0</v>
      </c>
      <c r="U162" s="141" t="b">
        <f t="shared" si="156"/>
        <v>0</v>
      </c>
      <c r="V162" s="141" t="b">
        <f t="shared" si="156"/>
        <v>0</v>
      </c>
      <c r="W162" s="141" t="b">
        <f t="shared" si="156"/>
        <v>0</v>
      </c>
      <c r="X162" s="141" t="b">
        <f t="shared" si="156"/>
        <v>0</v>
      </c>
      <c r="Y162" s="141" t="b">
        <f t="shared" si="156"/>
        <v>0</v>
      </c>
      <c r="Z162" s="141">
        <f t="shared" si="156"/>
        <v>0</v>
      </c>
      <c r="AA162" s="141">
        <f t="shared" si="156"/>
        <v>0</v>
      </c>
      <c r="AB162" s="141" t="b">
        <f t="shared" si="156"/>
        <v>0</v>
      </c>
      <c r="AC162" s="141" t="b">
        <f t="shared" si="156"/>
        <v>0</v>
      </c>
      <c r="AD162" s="141" t="b">
        <f t="shared" si="156"/>
        <v>0</v>
      </c>
      <c r="AE162" s="141" t="b">
        <f t="shared" si="156"/>
        <v>0</v>
      </c>
      <c r="AF162" s="141" t="b">
        <f t="shared" si="156"/>
        <v>0</v>
      </c>
      <c r="AG162" s="141">
        <f t="shared" si="156"/>
        <v>0</v>
      </c>
      <c r="AH162" s="154" t="s">
        <v>12</v>
      </c>
      <c r="AI162" s="133"/>
      <c r="AJ162" s="170"/>
      <c r="AK162" s="133"/>
      <c r="AL162" s="133"/>
    </row>
    <row r="163" spans="1:38" ht="15.95" hidden="1" customHeight="1" x14ac:dyDescent="0.25">
      <c r="A163" s="176"/>
      <c r="B163" s="149" t="s">
        <v>64</v>
      </c>
      <c r="C163" s="141">
        <f>IF(C46=1,IF(C157&gt;C158,24-C157,0),0)</f>
        <v>0</v>
      </c>
      <c r="D163" s="141">
        <f t="shared" ref="D163:AG163" si="157">IF(D46=1,IF(D157&gt;D158,24-D157,0),0)</f>
        <v>0</v>
      </c>
      <c r="E163" s="141">
        <f t="shared" si="157"/>
        <v>0</v>
      </c>
      <c r="F163" s="141">
        <f t="shared" si="157"/>
        <v>0</v>
      </c>
      <c r="G163" s="141">
        <f t="shared" si="157"/>
        <v>0</v>
      </c>
      <c r="H163" s="141">
        <f t="shared" si="157"/>
        <v>0</v>
      </c>
      <c r="I163" s="141">
        <f t="shared" si="157"/>
        <v>0</v>
      </c>
      <c r="J163" s="141">
        <f t="shared" si="157"/>
        <v>0</v>
      </c>
      <c r="K163" s="141">
        <f t="shared" si="157"/>
        <v>0</v>
      </c>
      <c r="L163" s="141">
        <f t="shared" si="157"/>
        <v>0</v>
      </c>
      <c r="M163" s="141">
        <f t="shared" si="157"/>
        <v>0</v>
      </c>
      <c r="N163" s="141">
        <f t="shared" si="157"/>
        <v>0</v>
      </c>
      <c r="O163" s="141">
        <f t="shared" si="157"/>
        <v>0</v>
      </c>
      <c r="P163" s="141">
        <f t="shared" si="157"/>
        <v>0</v>
      </c>
      <c r="Q163" s="141">
        <f t="shared" si="157"/>
        <v>0</v>
      </c>
      <c r="R163" s="141">
        <f t="shared" si="157"/>
        <v>0</v>
      </c>
      <c r="S163" s="141">
        <f t="shared" si="157"/>
        <v>0</v>
      </c>
      <c r="T163" s="141">
        <f t="shared" si="157"/>
        <v>0</v>
      </c>
      <c r="U163" s="141">
        <f t="shared" si="157"/>
        <v>0</v>
      </c>
      <c r="V163" s="141">
        <f t="shared" si="157"/>
        <v>0</v>
      </c>
      <c r="W163" s="141">
        <f t="shared" si="157"/>
        <v>0</v>
      </c>
      <c r="X163" s="141">
        <f t="shared" si="157"/>
        <v>0</v>
      </c>
      <c r="Y163" s="141">
        <f t="shared" si="157"/>
        <v>0</v>
      </c>
      <c r="Z163" s="141">
        <f t="shared" si="157"/>
        <v>0</v>
      </c>
      <c r="AA163" s="141">
        <f t="shared" si="157"/>
        <v>0</v>
      </c>
      <c r="AB163" s="141">
        <f t="shared" si="157"/>
        <v>0</v>
      </c>
      <c r="AC163" s="141">
        <f t="shared" si="157"/>
        <v>0</v>
      </c>
      <c r="AD163" s="141">
        <f t="shared" si="157"/>
        <v>0</v>
      </c>
      <c r="AE163" s="141">
        <f t="shared" si="157"/>
        <v>0</v>
      </c>
      <c r="AF163" s="141">
        <f t="shared" si="157"/>
        <v>0</v>
      </c>
      <c r="AG163" s="141">
        <f t="shared" si="157"/>
        <v>0</v>
      </c>
      <c r="AH163" s="154" t="s">
        <v>12</v>
      </c>
      <c r="AI163" s="133"/>
      <c r="AJ163" s="170"/>
      <c r="AK163" s="133"/>
      <c r="AL163" s="133"/>
    </row>
    <row r="164" spans="1:38" ht="15.95" hidden="1" customHeight="1" x14ac:dyDescent="0.25">
      <c r="A164" s="176"/>
      <c r="B164" s="149" t="s">
        <v>65</v>
      </c>
      <c r="C164" s="141">
        <f>IF(C46=1,IF(C157&gt;C158,C158,0),0)</f>
        <v>0</v>
      </c>
      <c r="D164" s="141">
        <f t="shared" ref="D164:AG164" si="158">IF(D46=1,IF(D157&gt;D158,D158,0),0)</f>
        <v>0</v>
      </c>
      <c r="E164" s="141">
        <f t="shared" si="158"/>
        <v>0</v>
      </c>
      <c r="F164" s="141">
        <f t="shared" si="158"/>
        <v>0</v>
      </c>
      <c r="G164" s="141">
        <f t="shared" si="158"/>
        <v>0</v>
      </c>
      <c r="H164" s="141">
        <f t="shared" si="158"/>
        <v>0</v>
      </c>
      <c r="I164" s="141">
        <f t="shared" si="158"/>
        <v>0</v>
      </c>
      <c r="J164" s="141">
        <f t="shared" si="158"/>
        <v>0</v>
      </c>
      <c r="K164" s="141">
        <f t="shared" si="158"/>
        <v>0</v>
      </c>
      <c r="L164" s="141">
        <f t="shared" si="158"/>
        <v>0</v>
      </c>
      <c r="M164" s="141">
        <f t="shared" si="158"/>
        <v>0</v>
      </c>
      <c r="N164" s="141">
        <f t="shared" si="158"/>
        <v>0</v>
      </c>
      <c r="O164" s="141">
        <f t="shared" si="158"/>
        <v>0</v>
      </c>
      <c r="P164" s="141">
        <f t="shared" si="158"/>
        <v>0</v>
      </c>
      <c r="Q164" s="141">
        <f t="shared" si="158"/>
        <v>0</v>
      </c>
      <c r="R164" s="141">
        <f t="shared" si="158"/>
        <v>0</v>
      </c>
      <c r="S164" s="141">
        <f t="shared" si="158"/>
        <v>0</v>
      </c>
      <c r="T164" s="141">
        <f t="shared" si="158"/>
        <v>0</v>
      </c>
      <c r="U164" s="141">
        <f t="shared" si="158"/>
        <v>0</v>
      </c>
      <c r="V164" s="141">
        <f t="shared" si="158"/>
        <v>0</v>
      </c>
      <c r="W164" s="141">
        <f t="shared" si="158"/>
        <v>0</v>
      </c>
      <c r="X164" s="141">
        <f t="shared" si="158"/>
        <v>0</v>
      </c>
      <c r="Y164" s="141">
        <f t="shared" si="158"/>
        <v>0</v>
      </c>
      <c r="Z164" s="141">
        <f t="shared" si="158"/>
        <v>0</v>
      </c>
      <c r="AA164" s="141">
        <f t="shared" si="158"/>
        <v>0</v>
      </c>
      <c r="AB164" s="141">
        <f t="shared" si="158"/>
        <v>0</v>
      </c>
      <c r="AC164" s="141">
        <f t="shared" si="158"/>
        <v>0</v>
      </c>
      <c r="AD164" s="141">
        <f t="shared" si="158"/>
        <v>0</v>
      </c>
      <c r="AE164" s="141">
        <f t="shared" si="158"/>
        <v>0</v>
      </c>
      <c r="AF164" s="141">
        <f t="shared" si="158"/>
        <v>0</v>
      </c>
      <c r="AG164" s="141">
        <f t="shared" si="158"/>
        <v>0</v>
      </c>
      <c r="AH164" s="154" t="s">
        <v>12</v>
      </c>
      <c r="AI164" s="133"/>
      <c r="AJ164" s="170"/>
      <c r="AK164" s="133"/>
      <c r="AL164" s="133"/>
    </row>
    <row r="165" spans="1:38" ht="15.95" hidden="1" customHeight="1" x14ac:dyDescent="0.25">
      <c r="A165" s="176"/>
      <c r="B165" s="149" t="s">
        <v>67</v>
      </c>
      <c r="C165" s="171">
        <f t="shared" ref="C165:AG165" si="159">SUM(C162:C164)</f>
        <v>0</v>
      </c>
      <c r="D165" s="171">
        <f t="shared" si="159"/>
        <v>0</v>
      </c>
      <c r="E165" s="171">
        <f t="shared" si="159"/>
        <v>0</v>
      </c>
      <c r="F165" s="171">
        <f t="shared" si="159"/>
        <v>0</v>
      </c>
      <c r="G165" s="171">
        <f t="shared" si="159"/>
        <v>0</v>
      </c>
      <c r="H165" s="171">
        <f t="shared" si="159"/>
        <v>0</v>
      </c>
      <c r="I165" s="171">
        <f t="shared" si="159"/>
        <v>0</v>
      </c>
      <c r="J165" s="171">
        <f t="shared" si="159"/>
        <v>0</v>
      </c>
      <c r="K165" s="171">
        <f t="shared" si="159"/>
        <v>0</v>
      </c>
      <c r="L165" s="171">
        <f t="shared" si="159"/>
        <v>0</v>
      </c>
      <c r="M165" s="171">
        <f t="shared" si="159"/>
        <v>0</v>
      </c>
      <c r="N165" s="171">
        <f t="shared" si="159"/>
        <v>0</v>
      </c>
      <c r="O165" s="171">
        <f t="shared" si="159"/>
        <v>0</v>
      </c>
      <c r="P165" s="171">
        <f t="shared" si="159"/>
        <v>0</v>
      </c>
      <c r="Q165" s="171">
        <f t="shared" si="159"/>
        <v>0</v>
      </c>
      <c r="R165" s="171">
        <f t="shared" si="159"/>
        <v>0</v>
      </c>
      <c r="S165" s="171">
        <f t="shared" si="159"/>
        <v>0</v>
      </c>
      <c r="T165" s="171">
        <f t="shared" si="159"/>
        <v>0</v>
      </c>
      <c r="U165" s="171">
        <f t="shared" si="159"/>
        <v>0</v>
      </c>
      <c r="V165" s="171">
        <f t="shared" si="159"/>
        <v>0</v>
      </c>
      <c r="W165" s="171">
        <f t="shared" si="159"/>
        <v>0</v>
      </c>
      <c r="X165" s="171">
        <f t="shared" si="159"/>
        <v>0</v>
      </c>
      <c r="Y165" s="171">
        <f t="shared" si="159"/>
        <v>0</v>
      </c>
      <c r="Z165" s="171">
        <f t="shared" si="159"/>
        <v>0</v>
      </c>
      <c r="AA165" s="171">
        <f t="shared" si="159"/>
        <v>0</v>
      </c>
      <c r="AB165" s="171">
        <f t="shared" si="159"/>
        <v>0</v>
      </c>
      <c r="AC165" s="171">
        <f t="shared" si="159"/>
        <v>0</v>
      </c>
      <c r="AD165" s="171">
        <f t="shared" si="159"/>
        <v>0</v>
      </c>
      <c r="AE165" s="171">
        <f t="shared" si="159"/>
        <v>0</v>
      </c>
      <c r="AF165" s="171">
        <f t="shared" si="159"/>
        <v>0</v>
      </c>
      <c r="AG165" s="171">
        <f t="shared" si="159"/>
        <v>0</v>
      </c>
      <c r="AH165" s="154" t="s">
        <v>12</v>
      </c>
      <c r="AI165" s="133"/>
      <c r="AJ165" s="170"/>
      <c r="AK165" s="133"/>
      <c r="AL165" s="133"/>
    </row>
    <row r="166" spans="1:38" ht="15.95" hidden="1" customHeight="1" x14ac:dyDescent="0.25">
      <c r="A166" s="177"/>
      <c r="B166" s="160" t="s">
        <v>68</v>
      </c>
      <c r="C166" s="161">
        <f>IF(C19="V",IF(C19="",0,1),0)</f>
        <v>0</v>
      </c>
      <c r="D166" s="161">
        <f t="shared" ref="D166:AG166" si="160">IF(D19="V",IF(D19="",0,1),0)</f>
        <v>0</v>
      </c>
      <c r="E166" s="161">
        <f t="shared" si="160"/>
        <v>0</v>
      </c>
      <c r="F166" s="161">
        <f t="shared" si="160"/>
        <v>0</v>
      </c>
      <c r="G166" s="161">
        <f t="shared" si="160"/>
        <v>0</v>
      </c>
      <c r="H166" s="161">
        <f t="shared" si="160"/>
        <v>0</v>
      </c>
      <c r="I166" s="161">
        <f t="shared" si="160"/>
        <v>0</v>
      </c>
      <c r="J166" s="161">
        <f t="shared" si="160"/>
        <v>0</v>
      </c>
      <c r="K166" s="161">
        <f t="shared" si="160"/>
        <v>0</v>
      </c>
      <c r="L166" s="161">
        <f t="shared" si="160"/>
        <v>0</v>
      </c>
      <c r="M166" s="161">
        <f t="shared" si="160"/>
        <v>0</v>
      </c>
      <c r="N166" s="161">
        <f t="shared" si="160"/>
        <v>0</v>
      </c>
      <c r="O166" s="161">
        <f t="shared" si="160"/>
        <v>0</v>
      </c>
      <c r="P166" s="161">
        <f t="shared" si="160"/>
        <v>0</v>
      </c>
      <c r="Q166" s="161">
        <f t="shared" si="160"/>
        <v>0</v>
      </c>
      <c r="R166" s="161">
        <f t="shared" si="160"/>
        <v>0</v>
      </c>
      <c r="S166" s="161">
        <f t="shared" si="160"/>
        <v>0</v>
      </c>
      <c r="T166" s="161">
        <f t="shared" si="160"/>
        <v>0</v>
      </c>
      <c r="U166" s="161">
        <f t="shared" si="160"/>
        <v>0</v>
      </c>
      <c r="V166" s="161">
        <f t="shared" si="160"/>
        <v>0</v>
      </c>
      <c r="W166" s="161">
        <f t="shared" si="160"/>
        <v>0</v>
      </c>
      <c r="X166" s="161">
        <f t="shared" si="160"/>
        <v>0</v>
      </c>
      <c r="Y166" s="161">
        <f t="shared" si="160"/>
        <v>0</v>
      </c>
      <c r="Z166" s="161">
        <f t="shared" si="160"/>
        <v>0</v>
      </c>
      <c r="AA166" s="161">
        <f t="shared" si="160"/>
        <v>0</v>
      </c>
      <c r="AB166" s="161">
        <f t="shared" si="160"/>
        <v>0</v>
      </c>
      <c r="AC166" s="161">
        <f t="shared" si="160"/>
        <v>0</v>
      </c>
      <c r="AD166" s="161">
        <f t="shared" si="160"/>
        <v>0</v>
      </c>
      <c r="AE166" s="161">
        <f t="shared" si="160"/>
        <v>0</v>
      </c>
      <c r="AF166" s="161">
        <f t="shared" si="160"/>
        <v>0</v>
      </c>
      <c r="AG166" s="161">
        <f t="shared" si="160"/>
        <v>0</v>
      </c>
      <c r="AH166" s="154" t="s">
        <v>12</v>
      </c>
      <c r="AI166" s="133"/>
      <c r="AJ166" s="170"/>
      <c r="AK166" s="133"/>
      <c r="AL166" s="133"/>
    </row>
    <row r="167" spans="1:38" ht="15.95" hidden="1" customHeight="1" x14ac:dyDescent="0.25">
      <c r="A167" s="180"/>
      <c r="B167" s="181" t="s">
        <v>16</v>
      </c>
      <c r="C167" s="182">
        <f>IF(C19="PR",IF(C19="",0,1),0)</f>
        <v>0</v>
      </c>
      <c r="D167" s="182">
        <f t="shared" ref="D167:AG167" si="161">IF(D19="PR",IF(D19="",0,1),0)</f>
        <v>0</v>
      </c>
      <c r="E167" s="182">
        <f t="shared" si="161"/>
        <v>0</v>
      </c>
      <c r="F167" s="182">
        <f t="shared" si="161"/>
        <v>0</v>
      </c>
      <c r="G167" s="182">
        <f t="shared" si="161"/>
        <v>0</v>
      </c>
      <c r="H167" s="182">
        <f t="shared" si="161"/>
        <v>0</v>
      </c>
      <c r="I167" s="182">
        <f t="shared" si="161"/>
        <v>0</v>
      </c>
      <c r="J167" s="182">
        <f t="shared" si="161"/>
        <v>0</v>
      </c>
      <c r="K167" s="182">
        <f t="shared" si="161"/>
        <v>0</v>
      </c>
      <c r="L167" s="182">
        <f t="shared" si="161"/>
        <v>0</v>
      </c>
      <c r="M167" s="182">
        <f t="shared" si="161"/>
        <v>0</v>
      </c>
      <c r="N167" s="182">
        <f t="shared" si="161"/>
        <v>0</v>
      </c>
      <c r="O167" s="182">
        <f t="shared" si="161"/>
        <v>0</v>
      </c>
      <c r="P167" s="182">
        <f t="shared" si="161"/>
        <v>0</v>
      </c>
      <c r="Q167" s="182">
        <f t="shared" si="161"/>
        <v>0</v>
      </c>
      <c r="R167" s="182">
        <f t="shared" si="161"/>
        <v>0</v>
      </c>
      <c r="S167" s="182">
        <f t="shared" si="161"/>
        <v>0</v>
      </c>
      <c r="T167" s="182">
        <f t="shared" si="161"/>
        <v>0</v>
      </c>
      <c r="U167" s="182">
        <f t="shared" si="161"/>
        <v>0</v>
      </c>
      <c r="V167" s="182">
        <f t="shared" si="161"/>
        <v>0</v>
      </c>
      <c r="W167" s="182">
        <f t="shared" si="161"/>
        <v>0</v>
      </c>
      <c r="X167" s="182">
        <f t="shared" si="161"/>
        <v>0</v>
      </c>
      <c r="Y167" s="182">
        <f t="shared" si="161"/>
        <v>0</v>
      </c>
      <c r="Z167" s="182">
        <f t="shared" si="161"/>
        <v>0</v>
      </c>
      <c r="AA167" s="182">
        <f t="shared" si="161"/>
        <v>0</v>
      </c>
      <c r="AB167" s="182">
        <f t="shared" si="161"/>
        <v>0</v>
      </c>
      <c r="AC167" s="182">
        <f t="shared" si="161"/>
        <v>0</v>
      </c>
      <c r="AD167" s="182">
        <f t="shared" si="161"/>
        <v>0</v>
      </c>
      <c r="AE167" s="182">
        <f t="shared" si="161"/>
        <v>0</v>
      </c>
      <c r="AF167" s="182">
        <f t="shared" si="161"/>
        <v>0</v>
      </c>
      <c r="AG167" s="182">
        <f t="shared" si="161"/>
        <v>0</v>
      </c>
      <c r="AH167" s="227">
        <f>SUM(C167:AG167)</f>
        <v>0</v>
      </c>
      <c r="AI167" s="227"/>
      <c r="AJ167" s="174" t="s">
        <v>69</v>
      </c>
      <c r="AK167" s="133"/>
      <c r="AL167" s="133"/>
    </row>
    <row r="168" spans="1:38" ht="15.95" hidden="1" customHeight="1" x14ac:dyDescent="0.25">
      <c r="A168" s="164" t="s">
        <v>127</v>
      </c>
      <c r="B168" s="165" t="s">
        <v>29</v>
      </c>
      <c r="C168" s="141" t="str">
        <f>IF(C20=$R32,$S32*24,IF(C20=$R33,$S33*24,IF(C20=$R34,$S34*24,IF(C20=$R35,$S35*24,IF(C20=$R36,$S36*24,IF(C20=$R37,$S37*24,IF(C20=$R38,$S38*24,IF(C20=$R39,$S39*24,IF(C20=$R40,$S40*24,"")))))))))</f>
        <v/>
      </c>
      <c r="D168" s="141" t="str">
        <f t="shared" ref="D168:AG168" si="162">IF(D20=$R32,$S32*24,IF(D20=$R33,$S33*24,IF(D20=$R34,$S34*24,IF(D20=$R35,$S35*24,IF(D20=$R36,$S36*24,IF(D20=$R37,$S37*24,IF(D20=$R38,$S38*24,IF(D20=$R39,$S39*24,IF(D20=$R40,$S40*24,"")))))))))</f>
        <v/>
      </c>
      <c r="E168" s="141" t="str">
        <f t="shared" si="162"/>
        <v/>
      </c>
      <c r="F168" s="141" t="str">
        <f t="shared" si="162"/>
        <v/>
      </c>
      <c r="G168" s="141" t="str">
        <f t="shared" si="162"/>
        <v/>
      </c>
      <c r="H168" s="141" t="str">
        <f t="shared" si="162"/>
        <v/>
      </c>
      <c r="I168" s="141" t="str">
        <f t="shared" si="162"/>
        <v/>
      </c>
      <c r="J168" s="141" t="str">
        <f t="shared" si="162"/>
        <v/>
      </c>
      <c r="K168" s="141" t="str">
        <f t="shared" si="162"/>
        <v/>
      </c>
      <c r="L168" s="141" t="str">
        <f t="shared" si="162"/>
        <v/>
      </c>
      <c r="M168" s="141" t="str">
        <f t="shared" si="162"/>
        <v/>
      </c>
      <c r="N168" s="141" t="str">
        <f t="shared" si="162"/>
        <v/>
      </c>
      <c r="O168" s="141" t="str">
        <f t="shared" si="162"/>
        <v/>
      </c>
      <c r="P168" s="141" t="str">
        <f t="shared" si="162"/>
        <v/>
      </c>
      <c r="Q168" s="141" t="str">
        <f t="shared" si="162"/>
        <v/>
      </c>
      <c r="R168" s="141" t="str">
        <f t="shared" si="162"/>
        <v/>
      </c>
      <c r="S168" s="141" t="str">
        <f t="shared" si="162"/>
        <v/>
      </c>
      <c r="T168" s="141" t="str">
        <f t="shared" si="162"/>
        <v/>
      </c>
      <c r="U168" s="141" t="str">
        <f t="shared" si="162"/>
        <v/>
      </c>
      <c r="V168" s="141" t="str">
        <f t="shared" si="162"/>
        <v/>
      </c>
      <c r="W168" s="141" t="str">
        <f t="shared" si="162"/>
        <v/>
      </c>
      <c r="X168" s="141" t="str">
        <f t="shared" si="162"/>
        <v/>
      </c>
      <c r="Y168" s="141" t="str">
        <f t="shared" si="162"/>
        <v/>
      </c>
      <c r="Z168" s="141" t="str">
        <f t="shared" si="162"/>
        <v/>
      </c>
      <c r="AA168" s="141" t="str">
        <f t="shared" si="162"/>
        <v/>
      </c>
      <c r="AB168" s="141" t="str">
        <f t="shared" si="162"/>
        <v/>
      </c>
      <c r="AC168" s="141" t="str">
        <f t="shared" si="162"/>
        <v/>
      </c>
      <c r="AD168" s="141" t="str">
        <f t="shared" si="162"/>
        <v/>
      </c>
      <c r="AE168" s="141" t="str">
        <f t="shared" si="162"/>
        <v/>
      </c>
      <c r="AF168" s="141" t="str">
        <f t="shared" si="162"/>
        <v/>
      </c>
      <c r="AG168" s="141" t="str">
        <f t="shared" si="162"/>
        <v/>
      </c>
      <c r="AH168" s="154" t="s">
        <v>12</v>
      </c>
      <c r="AI168" s="133"/>
      <c r="AJ168" s="170"/>
      <c r="AK168" s="133"/>
      <c r="AL168" s="133"/>
    </row>
    <row r="169" spans="1:38" ht="15.95" hidden="1" customHeight="1" x14ac:dyDescent="0.25">
      <c r="A169" s="166" t="s">
        <v>129</v>
      </c>
      <c r="B169" s="167" t="s">
        <v>30</v>
      </c>
      <c r="C169" s="141" t="str">
        <f>IF(C20=$R32,$V32*24,IF(C20=$R33,$V33*24,IF(C20=$R34,$V34*24,IF(C20=$R35,$V35*24,IF(C20=$R36,$V36*24,IF(C20=$R37,$V37*24,IF(C20=$R38,$V38*24,IF(C20=$R39,$V39*24,IF(C20=$R40,$V40*24,"")))))))))</f>
        <v/>
      </c>
      <c r="D169" s="141" t="str">
        <f t="shared" ref="D169:AG169" si="163">IF(D20=$R32,$V32*24,IF(D20=$R33,$V33*24,IF(D20=$R34,$V34*24,IF(D20=$R35,$V35*24,IF(D20=$R36,$V36*24,IF(D20=$R37,$V37*24,IF(D20=$R38,$V38*24,IF(D20=$R39,$V39*24,IF(D20=$R40,$V40*24,"")))))))))</f>
        <v/>
      </c>
      <c r="E169" s="141" t="str">
        <f t="shared" si="163"/>
        <v/>
      </c>
      <c r="F169" s="141" t="str">
        <f t="shared" si="163"/>
        <v/>
      </c>
      <c r="G169" s="141" t="str">
        <f t="shared" si="163"/>
        <v/>
      </c>
      <c r="H169" s="141" t="str">
        <f t="shared" si="163"/>
        <v/>
      </c>
      <c r="I169" s="141" t="str">
        <f t="shared" si="163"/>
        <v/>
      </c>
      <c r="J169" s="141" t="str">
        <f t="shared" si="163"/>
        <v/>
      </c>
      <c r="K169" s="141" t="str">
        <f t="shared" si="163"/>
        <v/>
      </c>
      <c r="L169" s="141" t="str">
        <f t="shared" si="163"/>
        <v/>
      </c>
      <c r="M169" s="141" t="str">
        <f t="shared" si="163"/>
        <v/>
      </c>
      <c r="N169" s="141" t="str">
        <f t="shared" si="163"/>
        <v/>
      </c>
      <c r="O169" s="141" t="str">
        <f t="shared" si="163"/>
        <v/>
      </c>
      <c r="P169" s="141" t="str">
        <f t="shared" si="163"/>
        <v/>
      </c>
      <c r="Q169" s="141" t="str">
        <f t="shared" si="163"/>
        <v/>
      </c>
      <c r="R169" s="141" t="str">
        <f t="shared" si="163"/>
        <v/>
      </c>
      <c r="S169" s="141" t="str">
        <f t="shared" si="163"/>
        <v/>
      </c>
      <c r="T169" s="141" t="str">
        <f t="shared" si="163"/>
        <v/>
      </c>
      <c r="U169" s="141" t="str">
        <f t="shared" si="163"/>
        <v/>
      </c>
      <c r="V169" s="141" t="str">
        <f t="shared" si="163"/>
        <v/>
      </c>
      <c r="W169" s="141" t="str">
        <f t="shared" si="163"/>
        <v/>
      </c>
      <c r="X169" s="141" t="str">
        <f t="shared" si="163"/>
        <v/>
      </c>
      <c r="Y169" s="141" t="str">
        <f t="shared" si="163"/>
        <v/>
      </c>
      <c r="Z169" s="141" t="str">
        <f t="shared" si="163"/>
        <v/>
      </c>
      <c r="AA169" s="141" t="str">
        <f t="shared" si="163"/>
        <v/>
      </c>
      <c r="AB169" s="141" t="str">
        <f t="shared" si="163"/>
        <v/>
      </c>
      <c r="AC169" s="141" t="str">
        <f t="shared" si="163"/>
        <v/>
      </c>
      <c r="AD169" s="141" t="str">
        <f t="shared" si="163"/>
        <v/>
      </c>
      <c r="AE169" s="141" t="str">
        <f t="shared" si="163"/>
        <v/>
      </c>
      <c r="AF169" s="141" t="str">
        <f t="shared" si="163"/>
        <v/>
      </c>
      <c r="AG169" s="141" t="str">
        <f t="shared" si="163"/>
        <v/>
      </c>
      <c r="AH169" s="154" t="s">
        <v>12</v>
      </c>
      <c r="AI169" s="133"/>
      <c r="AJ169" s="170"/>
      <c r="AK169" s="133"/>
      <c r="AL169" s="133"/>
    </row>
    <row r="170" spans="1:38" ht="15.95" hidden="1" customHeight="1" x14ac:dyDescent="0.25">
      <c r="A170" s="153"/>
      <c r="B170" s="183" t="s">
        <v>34</v>
      </c>
      <c r="C170" s="169" t="str">
        <f t="shared" ref="C170:AD170" si="164">IF(C20=$R32,$BD32*24,IF(C20=$R33,$BD33*24,IF(C20=$R34,$BD34*24,IF(C20=$R35,$BD35*24,IF(C20=$R36,$BD36*24,IF(C20=$R37,$BD37*24,IF(C20=$R38,$BD38*24,IF(C20=$R39,$BD39*24,IF(C20=$R40,$BD40*24,"")))))))))</f>
        <v/>
      </c>
      <c r="D170" s="169" t="str">
        <f t="shared" si="164"/>
        <v/>
      </c>
      <c r="E170" s="169" t="str">
        <f t="shared" si="164"/>
        <v/>
      </c>
      <c r="F170" s="169" t="str">
        <f t="shared" si="164"/>
        <v/>
      </c>
      <c r="G170" s="169" t="str">
        <f t="shared" si="164"/>
        <v/>
      </c>
      <c r="H170" s="169" t="str">
        <f t="shared" si="164"/>
        <v/>
      </c>
      <c r="I170" s="169" t="str">
        <f t="shared" si="164"/>
        <v/>
      </c>
      <c r="J170" s="169" t="str">
        <f t="shared" si="164"/>
        <v/>
      </c>
      <c r="K170" s="169" t="str">
        <f t="shared" si="164"/>
        <v/>
      </c>
      <c r="L170" s="169" t="str">
        <f t="shared" si="164"/>
        <v/>
      </c>
      <c r="M170" s="169" t="str">
        <f t="shared" si="164"/>
        <v/>
      </c>
      <c r="N170" s="169" t="str">
        <f t="shared" si="164"/>
        <v/>
      </c>
      <c r="O170" s="169" t="str">
        <f t="shared" si="164"/>
        <v/>
      </c>
      <c r="P170" s="169" t="str">
        <f t="shared" si="164"/>
        <v/>
      </c>
      <c r="Q170" s="169" t="str">
        <f t="shared" si="164"/>
        <v/>
      </c>
      <c r="R170" s="169" t="str">
        <f t="shared" si="164"/>
        <v/>
      </c>
      <c r="S170" s="169" t="str">
        <f t="shared" si="164"/>
        <v/>
      </c>
      <c r="T170" s="169" t="str">
        <f t="shared" si="164"/>
        <v/>
      </c>
      <c r="U170" s="169" t="str">
        <f t="shared" si="164"/>
        <v/>
      </c>
      <c r="V170" s="169" t="str">
        <f t="shared" si="164"/>
        <v/>
      </c>
      <c r="W170" s="169" t="str">
        <f t="shared" si="164"/>
        <v/>
      </c>
      <c r="X170" s="169" t="str">
        <f t="shared" si="164"/>
        <v/>
      </c>
      <c r="Y170" s="169" t="str">
        <f t="shared" si="164"/>
        <v/>
      </c>
      <c r="Z170" s="169" t="str">
        <f t="shared" si="164"/>
        <v/>
      </c>
      <c r="AA170" s="169" t="str">
        <f t="shared" si="164"/>
        <v/>
      </c>
      <c r="AB170" s="169" t="str">
        <f t="shared" si="164"/>
        <v/>
      </c>
      <c r="AC170" s="169" t="str">
        <f t="shared" si="164"/>
        <v/>
      </c>
      <c r="AD170" s="169" t="str">
        <f t="shared" si="164"/>
        <v/>
      </c>
      <c r="AE170" s="169" t="str">
        <f>IF(AE20=$R32,$BD32*24,IF(AE20=$R33,$BD33*24,IF(AE20=$R34,$BD34*24,IF(AE20=$R35,$BD35*24,IF(AE20=$R36,$BD36*24,IF(AE20=$R37,$BD37*24,IF(AE20=$R38,$BD38*24,IF(AE20=$R39,$BD39*24,IF(AE20=$R40,$BD40*24,"")))))))))</f>
        <v/>
      </c>
      <c r="AF170" s="169" t="str">
        <f>IF(AF20=$R32,$BD32*24,IF(AF20=$R33,$BD33*24,IF(AF20=$R34,$BD34*24,IF(AF20=$R35,$BD35*24,IF(AF20=$R36,$BD36*24,IF(AF20=$R37,$BD37*24,IF(AF20=$R38,$BD38*24,IF(AF20=$R39,$BD39*24,IF(AF20=$R40,$BD40*24,"")))))))))</f>
        <v/>
      </c>
      <c r="AG170" s="169" t="str">
        <f>IF(AG20=$R32,$BD32*24,IF(AG20=$R33,$BD33*24,IF(AG20=$R34,$BD34*24,IF(AG20=$R35,$BD35*24,IF(AG20=$R36,$BD36*24,IF(AG20=$R37,$BD37*24,IF(AG20=$R38,$BD38*24,IF(AG20=$R39,$BD39*24,IF(AG20=$R40,$BD40*24,"")))))))))</f>
        <v/>
      </c>
      <c r="AH170" s="148">
        <f>SUM(C170:AG170)</f>
        <v>0</v>
      </c>
      <c r="AI170" s="133"/>
      <c r="AJ170" s="170"/>
      <c r="AK170" s="133"/>
      <c r="AL170" s="133"/>
    </row>
    <row r="171" spans="1:38" ht="15.95" hidden="1" customHeight="1" x14ac:dyDescent="0.25">
      <c r="A171" s="153"/>
      <c r="B171" s="167" t="s">
        <v>59</v>
      </c>
      <c r="C171" s="141">
        <f>IF(C20="V",$C36,IF(C20="PR",$C38,0))</f>
        <v>0</v>
      </c>
      <c r="D171" s="141">
        <f t="shared" ref="D171:AG171" si="165">IF(D20="V",$C36,IF(D20="PR",$C38,0))</f>
        <v>0</v>
      </c>
      <c r="E171" s="141">
        <f t="shared" si="165"/>
        <v>0</v>
      </c>
      <c r="F171" s="141">
        <f t="shared" si="165"/>
        <v>0</v>
      </c>
      <c r="G171" s="141">
        <f t="shared" si="165"/>
        <v>0</v>
      </c>
      <c r="H171" s="141">
        <f t="shared" si="165"/>
        <v>0</v>
      </c>
      <c r="I171" s="141">
        <f t="shared" si="165"/>
        <v>0</v>
      </c>
      <c r="J171" s="141">
        <f t="shared" si="165"/>
        <v>0</v>
      </c>
      <c r="K171" s="141">
        <f t="shared" si="165"/>
        <v>0</v>
      </c>
      <c r="L171" s="141">
        <f t="shared" si="165"/>
        <v>0</v>
      </c>
      <c r="M171" s="141">
        <f t="shared" si="165"/>
        <v>0</v>
      </c>
      <c r="N171" s="141">
        <f t="shared" si="165"/>
        <v>0</v>
      </c>
      <c r="O171" s="141">
        <f t="shared" si="165"/>
        <v>0</v>
      </c>
      <c r="P171" s="141">
        <f t="shared" si="165"/>
        <v>0</v>
      </c>
      <c r="Q171" s="141">
        <f t="shared" si="165"/>
        <v>0</v>
      </c>
      <c r="R171" s="141">
        <f t="shared" si="165"/>
        <v>0</v>
      </c>
      <c r="S171" s="141">
        <f t="shared" si="165"/>
        <v>0</v>
      </c>
      <c r="T171" s="141">
        <f t="shared" si="165"/>
        <v>0</v>
      </c>
      <c r="U171" s="141">
        <f t="shared" si="165"/>
        <v>0</v>
      </c>
      <c r="V171" s="141">
        <f t="shared" si="165"/>
        <v>0</v>
      </c>
      <c r="W171" s="141">
        <f t="shared" si="165"/>
        <v>0</v>
      </c>
      <c r="X171" s="141">
        <f t="shared" si="165"/>
        <v>0</v>
      </c>
      <c r="Y171" s="141">
        <f t="shared" si="165"/>
        <v>0</v>
      </c>
      <c r="Z171" s="141">
        <f t="shared" si="165"/>
        <v>0</v>
      </c>
      <c r="AA171" s="141">
        <f t="shared" si="165"/>
        <v>0</v>
      </c>
      <c r="AB171" s="141">
        <f t="shared" si="165"/>
        <v>0</v>
      </c>
      <c r="AC171" s="141">
        <f t="shared" si="165"/>
        <v>0</v>
      </c>
      <c r="AD171" s="141">
        <f t="shared" si="165"/>
        <v>0</v>
      </c>
      <c r="AE171" s="141">
        <f t="shared" si="165"/>
        <v>0</v>
      </c>
      <c r="AF171" s="141">
        <f t="shared" si="165"/>
        <v>0</v>
      </c>
      <c r="AG171" s="141">
        <f t="shared" si="165"/>
        <v>0</v>
      </c>
      <c r="AH171" s="226">
        <f>SUM(C171:AG171)</f>
        <v>0</v>
      </c>
      <c r="AI171" s="226"/>
      <c r="AJ171" s="230">
        <f>SUM(AH116+AH127+AH138+AH149+AH160+AH171)</f>
        <v>0</v>
      </c>
      <c r="AK171" s="230"/>
      <c r="AL171" s="133" t="s">
        <v>56</v>
      </c>
    </row>
    <row r="172" spans="1:38" ht="15.95" hidden="1" customHeight="1" x14ac:dyDescent="0.25">
      <c r="A172" s="150" t="s">
        <v>60</v>
      </c>
      <c r="B172" s="167" t="s">
        <v>61</v>
      </c>
      <c r="C172" s="151">
        <f t="shared" ref="C172:AD172" si="166">IF(C20=$R32,$BC32,IF(C20=$R33,$BC33,IF(C20=$R34,$BC34,IF(C20=$R35,$BC35,IF(C20=$R36,$BC36,IF(C20=$R37,$BC37,IF(C20=$R38,$BC38,IF(C20=$R39,$BC39,IF(C20=$R40,$BC40,0)))))))))</f>
        <v>0</v>
      </c>
      <c r="D172" s="151">
        <f t="shared" si="166"/>
        <v>0</v>
      </c>
      <c r="E172" s="151">
        <f t="shared" si="166"/>
        <v>0</v>
      </c>
      <c r="F172" s="151">
        <f t="shared" si="166"/>
        <v>0</v>
      </c>
      <c r="G172" s="151">
        <f t="shared" si="166"/>
        <v>0</v>
      </c>
      <c r="H172" s="151">
        <f t="shared" si="166"/>
        <v>0</v>
      </c>
      <c r="I172" s="151">
        <f t="shared" si="166"/>
        <v>0</v>
      </c>
      <c r="J172" s="151">
        <f t="shared" si="166"/>
        <v>0</v>
      </c>
      <c r="K172" s="151">
        <f t="shared" si="166"/>
        <v>0</v>
      </c>
      <c r="L172" s="151">
        <f t="shared" si="166"/>
        <v>0</v>
      </c>
      <c r="M172" s="151">
        <f t="shared" si="166"/>
        <v>0</v>
      </c>
      <c r="N172" s="151">
        <f t="shared" si="166"/>
        <v>0</v>
      </c>
      <c r="O172" s="151">
        <f t="shared" si="166"/>
        <v>0</v>
      </c>
      <c r="P172" s="151">
        <f t="shared" si="166"/>
        <v>0</v>
      </c>
      <c r="Q172" s="151">
        <f t="shared" si="166"/>
        <v>0</v>
      </c>
      <c r="R172" s="151">
        <f t="shared" si="166"/>
        <v>0</v>
      </c>
      <c r="S172" s="151">
        <f t="shared" si="166"/>
        <v>0</v>
      </c>
      <c r="T172" s="151">
        <f t="shared" si="166"/>
        <v>0</v>
      </c>
      <c r="U172" s="151">
        <f t="shared" si="166"/>
        <v>0</v>
      </c>
      <c r="V172" s="151">
        <f t="shared" si="166"/>
        <v>0</v>
      </c>
      <c r="W172" s="151">
        <f t="shared" si="166"/>
        <v>0</v>
      </c>
      <c r="X172" s="151">
        <f t="shared" si="166"/>
        <v>0</v>
      </c>
      <c r="Y172" s="151">
        <f t="shared" si="166"/>
        <v>0</v>
      </c>
      <c r="Z172" s="151">
        <f t="shared" si="166"/>
        <v>0</v>
      </c>
      <c r="AA172" s="151">
        <f t="shared" si="166"/>
        <v>0</v>
      </c>
      <c r="AB172" s="151">
        <f t="shared" si="166"/>
        <v>0</v>
      </c>
      <c r="AC172" s="151">
        <f t="shared" si="166"/>
        <v>0</v>
      </c>
      <c r="AD172" s="151">
        <f t="shared" si="166"/>
        <v>0</v>
      </c>
      <c r="AE172" s="151">
        <f>IF(AE20=$R32,$BC32,IF(AE20=$R33,$BC33,IF(AE20=$R34,$BC34,IF(AE20=$R35,$BC35,IF(AE20=$R36,$BC36,IF(AE20=$R37,$BC37,IF(AE20=$R38,$BC38,IF(AE20=$R39,$BC39,IF(AE20=$R40,$BC40,0)))))))))</f>
        <v>0</v>
      </c>
      <c r="AF172" s="151">
        <f>IF(AF20=$R32,$BC32,IF(AF20=$R33,$BC33,IF(AF20=$R34,$BC34,IF(AF20=$R35,$BC35,IF(AF20=$R36,$BC36,IF(AF20=$R37,$BC37,IF(AF20=$R38,$BC38,IF(AF20=$R39,$BC39,IF(AF20=$R40,$BC40,0)))))))))</f>
        <v>0</v>
      </c>
      <c r="AG172" s="151">
        <f>IF(AG20=$R32,$BC32,IF(AG20=$R33,$BC33,IF(AG20=$R34,$BC34,IF(AG20=$R35,$BC35,IF(AG20=$R36,$BC36,IF(AG20=$R37,$BC37,IF(AG20=$R38,$BC38,IF(AG20=$R39,$BC39,IF(AG20=$R40,$BC40,0)))))))))</f>
        <v>0</v>
      </c>
      <c r="AH172" s="226">
        <f>SUM(C172:AG172)</f>
        <v>0</v>
      </c>
      <c r="AI172" s="226"/>
      <c r="AJ172" s="174" t="s">
        <v>62</v>
      </c>
      <c r="AK172" s="133" t="s">
        <v>12</v>
      </c>
      <c r="AL172" s="133"/>
    </row>
    <row r="173" spans="1:38" ht="15.95" hidden="1" customHeight="1" x14ac:dyDescent="0.25">
      <c r="A173" s="153" t="s">
        <v>48</v>
      </c>
      <c r="B173" s="149" t="s">
        <v>63</v>
      </c>
      <c r="C173" s="141" t="b">
        <f>IF(C46=1,IF(C168&lt;C169,C172,0))</f>
        <v>0</v>
      </c>
      <c r="D173" s="141" t="b">
        <f t="shared" ref="D173:AG173" si="167">IF(D46=1,IF(D168&lt;D169,D172,0))</f>
        <v>0</v>
      </c>
      <c r="E173" s="141">
        <f t="shared" si="167"/>
        <v>0</v>
      </c>
      <c r="F173" s="141">
        <f t="shared" si="167"/>
        <v>0</v>
      </c>
      <c r="G173" s="141" t="b">
        <f t="shared" si="167"/>
        <v>0</v>
      </c>
      <c r="H173" s="141" t="b">
        <f t="shared" si="167"/>
        <v>0</v>
      </c>
      <c r="I173" s="141" t="b">
        <f t="shared" si="167"/>
        <v>0</v>
      </c>
      <c r="J173" s="141" t="b">
        <f t="shared" si="167"/>
        <v>0</v>
      </c>
      <c r="K173" s="141" t="b">
        <f t="shared" si="167"/>
        <v>0</v>
      </c>
      <c r="L173" s="141">
        <f t="shared" si="167"/>
        <v>0</v>
      </c>
      <c r="M173" s="141">
        <f t="shared" si="167"/>
        <v>0</v>
      </c>
      <c r="N173" s="141" t="b">
        <f t="shared" si="167"/>
        <v>0</v>
      </c>
      <c r="O173" s="141" t="b">
        <f t="shared" si="167"/>
        <v>0</v>
      </c>
      <c r="P173" s="141" t="b">
        <f t="shared" si="167"/>
        <v>0</v>
      </c>
      <c r="Q173" s="141" t="b">
        <f t="shared" si="167"/>
        <v>0</v>
      </c>
      <c r="R173" s="141" t="b">
        <f t="shared" si="167"/>
        <v>0</v>
      </c>
      <c r="S173" s="141">
        <f t="shared" si="167"/>
        <v>0</v>
      </c>
      <c r="T173" s="141">
        <f t="shared" si="167"/>
        <v>0</v>
      </c>
      <c r="U173" s="141" t="b">
        <f t="shared" si="167"/>
        <v>0</v>
      </c>
      <c r="V173" s="141" t="b">
        <f t="shared" si="167"/>
        <v>0</v>
      </c>
      <c r="W173" s="141" t="b">
        <f t="shared" si="167"/>
        <v>0</v>
      </c>
      <c r="X173" s="141" t="b">
        <f t="shared" si="167"/>
        <v>0</v>
      </c>
      <c r="Y173" s="141" t="b">
        <f t="shared" si="167"/>
        <v>0</v>
      </c>
      <c r="Z173" s="141">
        <f t="shared" si="167"/>
        <v>0</v>
      </c>
      <c r="AA173" s="141">
        <f t="shared" si="167"/>
        <v>0</v>
      </c>
      <c r="AB173" s="141" t="b">
        <f t="shared" si="167"/>
        <v>0</v>
      </c>
      <c r="AC173" s="141" t="b">
        <f t="shared" si="167"/>
        <v>0</v>
      </c>
      <c r="AD173" s="141" t="b">
        <f t="shared" si="167"/>
        <v>0</v>
      </c>
      <c r="AE173" s="141" t="b">
        <f t="shared" si="167"/>
        <v>0</v>
      </c>
      <c r="AF173" s="141" t="b">
        <f t="shared" si="167"/>
        <v>0</v>
      </c>
      <c r="AG173" s="141">
        <f t="shared" si="167"/>
        <v>0</v>
      </c>
      <c r="AH173" s="154" t="s">
        <v>12</v>
      </c>
      <c r="AI173" s="133"/>
      <c r="AJ173" s="170"/>
      <c r="AK173" s="133"/>
      <c r="AL173" s="133"/>
    </row>
    <row r="174" spans="1:38" ht="15.95" hidden="1" customHeight="1" x14ac:dyDescent="0.25">
      <c r="A174" s="176"/>
      <c r="B174" s="149" t="s">
        <v>64</v>
      </c>
      <c r="C174" s="141">
        <f>IF(C46=1,IF(C168&gt;C169,24-C168,0),0)</f>
        <v>0</v>
      </c>
      <c r="D174" s="141">
        <f t="shared" ref="D174:AG174" si="168">IF(D46=1,IF(D168&gt;D169,24-D168,0),0)</f>
        <v>0</v>
      </c>
      <c r="E174" s="141">
        <f t="shared" si="168"/>
        <v>0</v>
      </c>
      <c r="F174" s="141">
        <f t="shared" si="168"/>
        <v>0</v>
      </c>
      <c r="G174" s="141">
        <f t="shared" si="168"/>
        <v>0</v>
      </c>
      <c r="H174" s="141">
        <f t="shared" si="168"/>
        <v>0</v>
      </c>
      <c r="I174" s="141">
        <f t="shared" si="168"/>
        <v>0</v>
      </c>
      <c r="J174" s="141">
        <f t="shared" si="168"/>
        <v>0</v>
      </c>
      <c r="K174" s="141">
        <f t="shared" si="168"/>
        <v>0</v>
      </c>
      <c r="L174" s="141">
        <f t="shared" si="168"/>
        <v>0</v>
      </c>
      <c r="M174" s="141">
        <f t="shared" si="168"/>
        <v>0</v>
      </c>
      <c r="N174" s="141">
        <f t="shared" si="168"/>
        <v>0</v>
      </c>
      <c r="O174" s="141">
        <f t="shared" si="168"/>
        <v>0</v>
      </c>
      <c r="P174" s="141">
        <f t="shared" si="168"/>
        <v>0</v>
      </c>
      <c r="Q174" s="141">
        <f t="shared" si="168"/>
        <v>0</v>
      </c>
      <c r="R174" s="141">
        <f t="shared" si="168"/>
        <v>0</v>
      </c>
      <c r="S174" s="141">
        <f t="shared" si="168"/>
        <v>0</v>
      </c>
      <c r="T174" s="141">
        <f t="shared" si="168"/>
        <v>0</v>
      </c>
      <c r="U174" s="141">
        <f t="shared" si="168"/>
        <v>0</v>
      </c>
      <c r="V174" s="141">
        <f t="shared" si="168"/>
        <v>0</v>
      </c>
      <c r="W174" s="141">
        <f t="shared" si="168"/>
        <v>0</v>
      </c>
      <c r="X174" s="141">
        <f t="shared" si="168"/>
        <v>0</v>
      </c>
      <c r="Y174" s="141">
        <f t="shared" si="168"/>
        <v>0</v>
      </c>
      <c r="Z174" s="141">
        <f t="shared" si="168"/>
        <v>0</v>
      </c>
      <c r="AA174" s="141">
        <f t="shared" si="168"/>
        <v>0</v>
      </c>
      <c r="AB174" s="141">
        <f t="shared" si="168"/>
        <v>0</v>
      </c>
      <c r="AC174" s="141">
        <f t="shared" si="168"/>
        <v>0</v>
      </c>
      <c r="AD174" s="141">
        <f t="shared" si="168"/>
        <v>0</v>
      </c>
      <c r="AE174" s="141">
        <f t="shared" si="168"/>
        <v>0</v>
      </c>
      <c r="AF174" s="141">
        <f t="shared" si="168"/>
        <v>0</v>
      </c>
      <c r="AG174" s="141">
        <f t="shared" si="168"/>
        <v>0</v>
      </c>
      <c r="AH174" s="154" t="s">
        <v>12</v>
      </c>
      <c r="AI174" s="133"/>
      <c r="AJ174" s="170"/>
      <c r="AK174" s="133"/>
      <c r="AL174" s="133"/>
    </row>
    <row r="175" spans="1:38" ht="15.95" hidden="1" customHeight="1" x14ac:dyDescent="0.25">
      <c r="A175" s="176"/>
      <c r="B175" s="149" t="s">
        <v>65</v>
      </c>
      <c r="C175" s="141">
        <f>IF(C46=1,IF(C168&gt;C169,C169,0),0)</f>
        <v>0</v>
      </c>
      <c r="D175" s="141">
        <f t="shared" ref="D175:AG175" si="169">IF(D46=1,IF(D168&gt;D169,D169,0),0)</f>
        <v>0</v>
      </c>
      <c r="E175" s="141">
        <f t="shared" si="169"/>
        <v>0</v>
      </c>
      <c r="F175" s="141">
        <f t="shared" si="169"/>
        <v>0</v>
      </c>
      <c r="G175" s="141">
        <f t="shared" si="169"/>
        <v>0</v>
      </c>
      <c r="H175" s="141">
        <f t="shared" si="169"/>
        <v>0</v>
      </c>
      <c r="I175" s="141">
        <f t="shared" si="169"/>
        <v>0</v>
      </c>
      <c r="J175" s="141">
        <f t="shared" si="169"/>
        <v>0</v>
      </c>
      <c r="K175" s="141">
        <f t="shared" si="169"/>
        <v>0</v>
      </c>
      <c r="L175" s="141">
        <f t="shared" si="169"/>
        <v>0</v>
      </c>
      <c r="M175" s="141">
        <f t="shared" si="169"/>
        <v>0</v>
      </c>
      <c r="N175" s="141">
        <f t="shared" si="169"/>
        <v>0</v>
      </c>
      <c r="O175" s="141">
        <f t="shared" si="169"/>
        <v>0</v>
      </c>
      <c r="P175" s="141">
        <f t="shared" si="169"/>
        <v>0</v>
      </c>
      <c r="Q175" s="141">
        <f t="shared" si="169"/>
        <v>0</v>
      </c>
      <c r="R175" s="141">
        <f t="shared" si="169"/>
        <v>0</v>
      </c>
      <c r="S175" s="141">
        <f t="shared" si="169"/>
        <v>0</v>
      </c>
      <c r="T175" s="141">
        <f t="shared" si="169"/>
        <v>0</v>
      </c>
      <c r="U175" s="141">
        <f t="shared" si="169"/>
        <v>0</v>
      </c>
      <c r="V175" s="141">
        <f t="shared" si="169"/>
        <v>0</v>
      </c>
      <c r="W175" s="141">
        <f t="shared" si="169"/>
        <v>0</v>
      </c>
      <c r="X175" s="141">
        <f t="shared" si="169"/>
        <v>0</v>
      </c>
      <c r="Y175" s="141">
        <f t="shared" si="169"/>
        <v>0</v>
      </c>
      <c r="Z175" s="141">
        <f t="shared" si="169"/>
        <v>0</v>
      </c>
      <c r="AA175" s="141">
        <f t="shared" si="169"/>
        <v>0</v>
      </c>
      <c r="AB175" s="141">
        <f t="shared" si="169"/>
        <v>0</v>
      </c>
      <c r="AC175" s="141">
        <f t="shared" si="169"/>
        <v>0</v>
      </c>
      <c r="AD175" s="141">
        <f t="shared" si="169"/>
        <v>0</v>
      </c>
      <c r="AE175" s="141">
        <f t="shared" si="169"/>
        <v>0</v>
      </c>
      <c r="AF175" s="141">
        <f t="shared" si="169"/>
        <v>0</v>
      </c>
      <c r="AG175" s="141">
        <f t="shared" si="169"/>
        <v>0</v>
      </c>
      <c r="AH175" s="154" t="s">
        <v>12</v>
      </c>
      <c r="AI175" s="133"/>
      <c r="AJ175" s="170"/>
      <c r="AK175" s="133"/>
      <c r="AL175" s="133"/>
    </row>
    <row r="176" spans="1:38" ht="15.95" hidden="1" customHeight="1" x14ac:dyDescent="0.25">
      <c r="A176" s="176"/>
      <c r="B176" s="149" t="s">
        <v>67</v>
      </c>
      <c r="C176" s="171">
        <f>SUM(C173:C175)</f>
        <v>0</v>
      </c>
      <c r="D176" s="171">
        <f t="shared" ref="D176:AG176" si="170">SUM(D173:D175)</f>
        <v>0</v>
      </c>
      <c r="E176" s="171">
        <f t="shared" si="170"/>
        <v>0</v>
      </c>
      <c r="F176" s="171">
        <f t="shared" si="170"/>
        <v>0</v>
      </c>
      <c r="G176" s="171">
        <f t="shared" si="170"/>
        <v>0</v>
      </c>
      <c r="H176" s="171">
        <f t="shared" si="170"/>
        <v>0</v>
      </c>
      <c r="I176" s="171">
        <f t="shared" si="170"/>
        <v>0</v>
      </c>
      <c r="J176" s="171">
        <f t="shared" si="170"/>
        <v>0</v>
      </c>
      <c r="K176" s="171">
        <f t="shared" si="170"/>
        <v>0</v>
      </c>
      <c r="L176" s="171">
        <f t="shared" si="170"/>
        <v>0</v>
      </c>
      <c r="M176" s="171">
        <f t="shared" si="170"/>
        <v>0</v>
      </c>
      <c r="N176" s="171">
        <f t="shared" si="170"/>
        <v>0</v>
      </c>
      <c r="O176" s="171">
        <f t="shared" si="170"/>
        <v>0</v>
      </c>
      <c r="P176" s="171">
        <f t="shared" si="170"/>
        <v>0</v>
      </c>
      <c r="Q176" s="171">
        <f t="shared" si="170"/>
        <v>0</v>
      </c>
      <c r="R176" s="171">
        <f t="shared" si="170"/>
        <v>0</v>
      </c>
      <c r="S176" s="171">
        <f t="shared" si="170"/>
        <v>0</v>
      </c>
      <c r="T176" s="171">
        <f t="shared" si="170"/>
        <v>0</v>
      </c>
      <c r="U176" s="171">
        <f t="shared" si="170"/>
        <v>0</v>
      </c>
      <c r="V176" s="171">
        <f t="shared" si="170"/>
        <v>0</v>
      </c>
      <c r="W176" s="171">
        <f t="shared" si="170"/>
        <v>0</v>
      </c>
      <c r="X176" s="171">
        <f t="shared" si="170"/>
        <v>0</v>
      </c>
      <c r="Y176" s="171">
        <f t="shared" si="170"/>
        <v>0</v>
      </c>
      <c r="Z176" s="171">
        <f t="shared" si="170"/>
        <v>0</v>
      </c>
      <c r="AA176" s="171">
        <f t="shared" si="170"/>
        <v>0</v>
      </c>
      <c r="AB176" s="171">
        <f t="shared" si="170"/>
        <v>0</v>
      </c>
      <c r="AC176" s="171">
        <f t="shared" si="170"/>
        <v>0</v>
      </c>
      <c r="AD176" s="171">
        <f t="shared" si="170"/>
        <v>0</v>
      </c>
      <c r="AE176" s="171">
        <f t="shared" si="170"/>
        <v>0</v>
      </c>
      <c r="AF176" s="171">
        <f t="shared" si="170"/>
        <v>0</v>
      </c>
      <c r="AG176" s="171">
        <f t="shared" si="170"/>
        <v>0</v>
      </c>
      <c r="AH176" s="154" t="s">
        <v>12</v>
      </c>
      <c r="AI176" s="133"/>
      <c r="AJ176" s="170"/>
      <c r="AK176" s="133"/>
      <c r="AL176" s="133"/>
    </row>
    <row r="177" spans="1:38" ht="15.95" hidden="1" customHeight="1" x14ac:dyDescent="0.25">
      <c r="A177" s="177"/>
      <c r="B177" s="160" t="s">
        <v>68</v>
      </c>
      <c r="C177" s="161">
        <f>IF(C20="V",IF(C20="",0,1),0)</f>
        <v>0</v>
      </c>
      <c r="D177" s="161">
        <f t="shared" ref="D177:AG177" si="171">IF(D20="V",IF(D20="",0,1),0)</f>
        <v>0</v>
      </c>
      <c r="E177" s="161">
        <f t="shared" si="171"/>
        <v>0</v>
      </c>
      <c r="F177" s="161">
        <f t="shared" si="171"/>
        <v>0</v>
      </c>
      <c r="G177" s="161">
        <f t="shared" si="171"/>
        <v>0</v>
      </c>
      <c r="H177" s="161">
        <f t="shared" si="171"/>
        <v>0</v>
      </c>
      <c r="I177" s="161">
        <f t="shared" si="171"/>
        <v>0</v>
      </c>
      <c r="J177" s="161">
        <f t="shared" si="171"/>
        <v>0</v>
      </c>
      <c r="K177" s="161">
        <f t="shared" si="171"/>
        <v>0</v>
      </c>
      <c r="L177" s="161">
        <f t="shared" si="171"/>
        <v>0</v>
      </c>
      <c r="M177" s="161">
        <f t="shared" si="171"/>
        <v>0</v>
      </c>
      <c r="N177" s="161">
        <f t="shared" si="171"/>
        <v>0</v>
      </c>
      <c r="O177" s="161">
        <f t="shared" si="171"/>
        <v>0</v>
      </c>
      <c r="P177" s="161">
        <f t="shared" si="171"/>
        <v>0</v>
      </c>
      <c r="Q177" s="161">
        <f t="shared" si="171"/>
        <v>0</v>
      </c>
      <c r="R177" s="161">
        <f t="shared" si="171"/>
        <v>0</v>
      </c>
      <c r="S177" s="161">
        <f t="shared" si="171"/>
        <v>0</v>
      </c>
      <c r="T177" s="161">
        <f t="shared" si="171"/>
        <v>0</v>
      </c>
      <c r="U177" s="161">
        <f t="shared" si="171"/>
        <v>0</v>
      </c>
      <c r="V177" s="161">
        <f t="shared" si="171"/>
        <v>0</v>
      </c>
      <c r="W177" s="161">
        <f t="shared" si="171"/>
        <v>0</v>
      </c>
      <c r="X177" s="161">
        <f t="shared" si="171"/>
        <v>0</v>
      </c>
      <c r="Y177" s="161">
        <f t="shared" si="171"/>
        <v>0</v>
      </c>
      <c r="Z177" s="161">
        <f t="shared" si="171"/>
        <v>0</v>
      </c>
      <c r="AA177" s="161">
        <f t="shared" si="171"/>
        <v>0</v>
      </c>
      <c r="AB177" s="161">
        <f t="shared" si="171"/>
        <v>0</v>
      </c>
      <c r="AC177" s="161">
        <f t="shared" si="171"/>
        <v>0</v>
      </c>
      <c r="AD177" s="161">
        <f t="shared" si="171"/>
        <v>0</v>
      </c>
      <c r="AE177" s="161">
        <f t="shared" si="171"/>
        <v>0</v>
      </c>
      <c r="AF177" s="161">
        <f t="shared" si="171"/>
        <v>0</v>
      </c>
      <c r="AG177" s="161">
        <f t="shared" si="171"/>
        <v>0</v>
      </c>
      <c r="AH177" s="154" t="s">
        <v>12</v>
      </c>
      <c r="AI177" s="133"/>
      <c r="AJ177" s="170"/>
      <c r="AK177" s="133"/>
      <c r="AL177" s="133"/>
    </row>
    <row r="178" spans="1:38" ht="15.95" hidden="1" customHeight="1" x14ac:dyDescent="0.25">
      <c r="A178" s="180"/>
      <c r="B178" s="181" t="s">
        <v>16</v>
      </c>
      <c r="C178" s="182">
        <f>IF(C20="PR",IF(C20="",0,1),0)</f>
        <v>0</v>
      </c>
      <c r="D178" s="182">
        <f t="shared" ref="D178:AG178" si="172">IF(D20="PR",IF(D20="",0,1),0)</f>
        <v>0</v>
      </c>
      <c r="E178" s="182">
        <f t="shared" si="172"/>
        <v>0</v>
      </c>
      <c r="F178" s="182">
        <f t="shared" si="172"/>
        <v>0</v>
      </c>
      <c r="G178" s="182">
        <f t="shared" si="172"/>
        <v>0</v>
      </c>
      <c r="H178" s="182">
        <f t="shared" si="172"/>
        <v>0</v>
      </c>
      <c r="I178" s="182">
        <f t="shared" si="172"/>
        <v>0</v>
      </c>
      <c r="J178" s="182">
        <f t="shared" si="172"/>
        <v>0</v>
      </c>
      <c r="K178" s="182">
        <f t="shared" si="172"/>
        <v>0</v>
      </c>
      <c r="L178" s="182">
        <f t="shared" si="172"/>
        <v>0</v>
      </c>
      <c r="M178" s="182">
        <f t="shared" si="172"/>
        <v>0</v>
      </c>
      <c r="N178" s="182">
        <f t="shared" si="172"/>
        <v>0</v>
      </c>
      <c r="O178" s="182">
        <f t="shared" si="172"/>
        <v>0</v>
      </c>
      <c r="P178" s="182">
        <f t="shared" si="172"/>
        <v>0</v>
      </c>
      <c r="Q178" s="182">
        <f t="shared" si="172"/>
        <v>0</v>
      </c>
      <c r="R178" s="182">
        <f t="shared" si="172"/>
        <v>0</v>
      </c>
      <c r="S178" s="182">
        <f t="shared" si="172"/>
        <v>0</v>
      </c>
      <c r="T178" s="182">
        <f t="shared" si="172"/>
        <v>0</v>
      </c>
      <c r="U178" s="182">
        <f t="shared" si="172"/>
        <v>0</v>
      </c>
      <c r="V178" s="182">
        <f t="shared" si="172"/>
        <v>0</v>
      </c>
      <c r="W178" s="182">
        <f t="shared" si="172"/>
        <v>0</v>
      </c>
      <c r="X178" s="182">
        <f t="shared" si="172"/>
        <v>0</v>
      </c>
      <c r="Y178" s="182">
        <f t="shared" si="172"/>
        <v>0</v>
      </c>
      <c r="Z178" s="182">
        <f t="shared" si="172"/>
        <v>0</v>
      </c>
      <c r="AA178" s="182">
        <f t="shared" si="172"/>
        <v>0</v>
      </c>
      <c r="AB178" s="182">
        <f t="shared" si="172"/>
        <v>0</v>
      </c>
      <c r="AC178" s="182">
        <f t="shared" si="172"/>
        <v>0</v>
      </c>
      <c r="AD178" s="182">
        <f t="shared" si="172"/>
        <v>0</v>
      </c>
      <c r="AE178" s="182">
        <f t="shared" si="172"/>
        <v>0</v>
      </c>
      <c r="AF178" s="182">
        <f t="shared" si="172"/>
        <v>0</v>
      </c>
      <c r="AG178" s="182">
        <f t="shared" si="172"/>
        <v>0</v>
      </c>
      <c r="AH178" s="227">
        <f>SUM(C178:AG178)</f>
        <v>0</v>
      </c>
      <c r="AI178" s="227"/>
      <c r="AJ178" s="174" t="s">
        <v>69</v>
      </c>
      <c r="AK178" s="133"/>
      <c r="AL178" s="133"/>
    </row>
    <row r="179" spans="1:38" ht="15.95" hidden="1" customHeight="1" x14ac:dyDescent="0.25">
      <c r="A179" s="116"/>
      <c r="B179" s="184"/>
      <c r="C179" s="185"/>
      <c r="D179" s="185"/>
      <c r="E179" s="185"/>
      <c r="F179" s="185"/>
      <c r="G179" s="186"/>
      <c r="H179" s="185"/>
      <c r="I179" s="185"/>
      <c r="J179" s="185"/>
      <c r="K179" s="185"/>
      <c r="L179" s="185"/>
      <c r="M179" s="185"/>
      <c r="N179" s="186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185"/>
      <c r="AF179" s="185"/>
      <c r="AG179" s="185"/>
      <c r="AH179" s="133"/>
      <c r="AI179" s="133"/>
      <c r="AJ179" s="133"/>
      <c r="AK179" s="133"/>
      <c r="AL179" s="133"/>
    </row>
    <row r="180" spans="1:38" ht="15.95" hidden="1" customHeight="1" x14ac:dyDescent="0.25">
      <c r="A180" s="116"/>
      <c r="B180" s="184"/>
      <c r="C180" s="185"/>
      <c r="D180" s="185"/>
      <c r="E180" s="185"/>
      <c r="F180" s="185"/>
      <c r="G180" s="186"/>
      <c r="H180" s="185"/>
      <c r="I180" s="185"/>
      <c r="J180" s="185"/>
      <c r="K180" s="185"/>
      <c r="L180" s="185"/>
      <c r="M180" s="185"/>
      <c r="N180" s="186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185"/>
      <c r="AF180" s="185"/>
      <c r="AG180" s="185"/>
      <c r="AH180" s="116"/>
      <c r="AI180" s="116"/>
      <c r="AJ180" s="116"/>
      <c r="AK180" s="116"/>
      <c r="AL180" s="116"/>
    </row>
    <row r="181" spans="1:38" ht="15.95" hidden="1" customHeight="1" x14ac:dyDescent="0.25">
      <c r="A181" s="116"/>
      <c r="B181" s="184"/>
      <c r="C181" s="185"/>
      <c r="D181" s="185"/>
      <c r="E181" s="185"/>
      <c r="F181" s="185"/>
      <c r="G181" s="186"/>
      <c r="H181" s="185"/>
      <c r="I181" s="185"/>
      <c r="J181" s="185"/>
      <c r="K181" s="185"/>
      <c r="L181" s="185"/>
      <c r="M181" s="185"/>
      <c r="N181" s="186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/>
      <c r="AH181" s="116"/>
      <c r="AI181" s="116"/>
      <c r="AJ181" s="116"/>
      <c r="AK181" s="116"/>
      <c r="AL181" s="116"/>
    </row>
    <row r="182" spans="1:38" ht="15.95" hidden="1" customHeight="1" x14ac:dyDescent="0.25">
      <c r="A182" s="116"/>
      <c r="B182" s="126"/>
      <c r="C182" s="116"/>
      <c r="D182" s="116"/>
      <c r="E182" s="116"/>
      <c r="F182" s="116"/>
      <c r="G182" s="114"/>
      <c r="H182" s="116"/>
      <c r="I182" s="116"/>
      <c r="J182" s="116"/>
      <c r="K182" s="116"/>
      <c r="L182" s="116"/>
      <c r="M182" s="116"/>
      <c r="N182" s="114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  <c r="AH182" s="116"/>
      <c r="AI182" s="116"/>
      <c r="AJ182" s="116"/>
      <c r="AK182" s="116"/>
      <c r="AL182" s="116"/>
    </row>
    <row r="183" spans="1:38" ht="15.95" hidden="1" customHeight="1" x14ac:dyDescent="0.25">
      <c r="A183" s="116"/>
      <c r="B183" s="126"/>
      <c r="C183" s="116"/>
      <c r="D183" s="116"/>
      <c r="E183" s="116"/>
      <c r="F183" s="116"/>
      <c r="G183" s="114"/>
      <c r="H183" s="116"/>
      <c r="I183" s="116"/>
      <c r="J183" s="116"/>
      <c r="K183" s="116"/>
      <c r="L183" s="116"/>
      <c r="M183" s="116"/>
      <c r="N183" s="114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  <c r="AI183" s="116"/>
      <c r="AJ183" s="116"/>
      <c r="AK183" s="116"/>
      <c r="AL183" s="116"/>
    </row>
    <row r="184" spans="1:38" ht="15.95" hidden="1" customHeight="1" x14ac:dyDescent="0.25">
      <c r="A184" s="116"/>
      <c r="B184" s="126"/>
      <c r="C184" s="116"/>
      <c r="D184" s="116"/>
      <c r="E184" s="116"/>
      <c r="F184" s="116"/>
      <c r="G184" s="114"/>
      <c r="H184" s="116"/>
      <c r="I184" s="116"/>
      <c r="J184" s="116"/>
      <c r="K184" s="116"/>
      <c r="L184" s="116"/>
      <c r="M184" s="116"/>
      <c r="N184" s="114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  <c r="AI184" s="116"/>
      <c r="AJ184" s="116"/>
      <c r="AK184" s="116"/>
      <c r="AL184" s="116"/>
    </row>
    <row r="185" spans="1:38" ht="15.95" hidden="1" customHeight="1" x14ac:dyDescent="0.25">
      <c r="A185" s="116"/>
      <c r="B185" s="116"/>
      <c r="C185" s="116"/>
      <c r="D185" s="116"/>
      <c r="E185" s="116"/>
      <c r="F185" s="116"/>
      <c r="G185" s="114"/>
      <c r="H185" s="116"/>
      <c r="I185" s="116"/>
      <c r="J185" s="116"/>
      <c r="K185" s="116"/>
      <c r="L185" s="116"/>
      <c r="M185" s="116"/>
      <c r="N185" s="114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  <c r="AI185" s="116"/>
      <c r="AJ185" s="116"/>
      <c r="AK185" s="116"/>
      <c r="AL185" s="116"/>
    </row>
    <row r="186" spans="1:38" ht="15.95" hidden="1" customHeight="1" x14ac:dyDescent="0.25">
      <c r="A186" s="116"/>
      <c r="B186" s="116"/>
      <c r="C186" s="228" t="s">
        <v>89</v>
      </c>
      <c r="D186" s="228"/>
      <c r="E186" s="228"/>
      <c r="F186" s="228"/>
      <c r="G186" s="228"/>
      <c r="H186" s="228"/>
      <c r="I186" s="228"/>
      <c r="J186" s="228"/>
      <c r="K186" s="228"/>
      <c r="L186" s="228"/>
      <c r="M186" s="116"/>
      <c r="N186" s="114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  <c r="AH186" s="116"/>
      <c r="AI186" s="116"/>
      <c r="AJ186" s="116"/>
      <c r="AK186" s="116"/>
      <c r="AL186" s="116"/>
    </row>
    <row r="187" spans="1:38" ht="15.95" hidden="1" customHeight="1" x14ac:dyDescent="0.25">
      <c r="A187" s="180"/>
      <c r="B187" s="181" t="s">
        <v>90</v>
      </c>
      <c r="C187" s="187">
        <f t="shared" ref="C187:AG187" si="173">IF(C49&gt;=4,IF(C49="",0,8),IF(C49&gt;=0.1,IF(C49="",0,C49),""))</f>
        <v>0</v>
      </c>
      <c r="D187" s="187">
        <f t="shared" si="173"/>
        <v>0</v>
      </c>
      <c r="E187" s="187">
        <f t="shared" si="173"/>
        <v>0</v>
      </c>
      <c r="F187" s="187">
        <f t="shared" si="173"/>
        <v>0</v>
      </c>
      <c r="G187" s="187">
        <f t="shared" si="173"/>
        <v>0</v>
      </c>
      <c r="H187" s="187">
        <f t="shared" si="173"/>
        <v>0</v>
      </c>
      <c r="I187" s="187">
        <f t="shared" si="173"/>
        <v>0</v>
      </c>
      <c r="J187" s="187">
        <f t="shared" si="173"/>
        <v>0</v>
      </c>
      <c r="K187" s="187">
        <f t="shared" si="173"/>
        <v>0</v>
      </c>
      <c r="L187" s="187">
        <f t="shared" si="173"/>
        <v>0</v>
      </c>
      <c r="M187" s="187">
        <f t="shared" si="173"/>
        <v>0</v>
      </c>
      <c r="N187" s="187">
        <f t="shared" si="173"/>
        <v>0</v>
      </c>
      <c r="O187" s="187">
        <f t="shared" si="173"/>
        <v>0</v>
      </c>
      <c r="P187" s="187">
        <f t="shared" si="173"/>
        <v>0</v>
      </c>
      <c r="Q187" s="187">
        <f t="shared" si="173"/>
        <v>0</v>
      </c>
      <c r="R187" s="187" t="str">
        <f t="shared" si="173"/>
        <v/>
      </c>
      <c r="S187" s="187" t="str">
        <f t="shared" si="173"/>
        <v/>
      </c>
      <c r="T187" s="187" t="str">
        <f t="shared" si="173"/>
        <v/>
      </c>
      <c r="U187" s="187" t="str">
        <f t="shared" si="173"/>
        <v/>
      </c>
      <c r="V187" s="187" t="str">
        <f t="shared" si="173"/>
        <v/>
      </c>
      <c r="W187" s="187" t="str">
        <f t="shared" si="173"/>
        <v/>
      </c>
      <c r="X187" s="187" t="str">
        <f t="shared" si="173"/>
        <v/>
      </c>
      <c r="Y187" s="187">
        <f t="shared" si="173"/>
        <v>0</v>
      </c>
      <c r="Z187" s="187">
        <f t="shared" si="173"/>
        <v>0</v>
      </c>
      <c r="AA187" s="187">
        <f t="shared" si="173"/>
        <v>0</v>
      </c>
      <c r="AB187" s="187" t="str">
        <f t="shared" si="173"/>
        <v/>
      </c>
      <c r="AC187" s="187" t="str">
        <f t="shared" si="173"/>
        <v/>
      </c>
      <c r="AD187" s="187" t="str">
        <f t="shared" si="173"/>
        <v/>
      </c>
      <c r="AE187" s="187" t="str">
        <f t="shared" si="173"/>
        <v/>
      </c>
      <c r="AF187" s="187" t="str">
        <f t="shared" si="173"/>
        <v/>
      </c>
      <c r="AG187" s="187" t="str">
        <f t="shared" si="173"/>
        <v/>
      </c>
      <c r="AH187" s="188">
        <f t="shared" ref="AH187" si="174">SUM(C187:AG187)</f>
        <v>0</v>
      </c>
      <c r="AI187" s="116" t="s">
        <v>91</v>
      </c>
      <c r="AJ187" s="116"/>
      <c r="AK187" s="116"/>
      <c r="AL187" s="116"/>
    </row>
    <row r="188" spans="1:38" ht="15.95" hidden="1" customHeight="1" x14ac:dyDescent="0.25">
      <c r="A188" s="116"/>
      <c r="B188" s="181" t="s">
        <v>92</v>
      </c>
      <c r="C188" s="189">
        <v>1</v>
      </c>
      <c r="D188" s="189">
        <v>2</v>
      </c>
      <c r="E188" s="189">
        <v>3</v>
      </c>
      <c r="F188" s="189">
        <v>4</v>
      </c>
      <c r="G188" s="189">
        <v>5</v>
      </c>
      <c r="H188" s="189">
        <v>6</v>
      </c>
      <c r="I188" s="189">
        <v>7</v>
      </c>
      <c r="J188" s="189">
        <v>8</v>
      </c>
      <c r="K188" s="189">
        <v>9</v>
      </c>
      <c r="L188" s="189">
        <v>10</v>
      </c>
      <c r="M188" s="189">
        <v>11</v>
      </c>
      <c r="N188" s="189">
        <v>12</v>
      </c>
      <c r="O188" s="189">
        <v>13</v>
      </c>
      <c r="P188" s="189">
        <v>14</v>
      </c>
      <c r="Q188" s="189">
        <v>15</v>
      </c>
      <c r="R188" s="189">
        <v>16</v>
      </c>
      <c r="S188" s="189">
        <v>17</v>
      </c>
      <c r="T188" s="189">
        <v>18</v>
      </c>
      <c r="U188" s="189">
        <v>19</v>
      </c>
      <c r="V188" s="189">
        <v>20</v>
      </c>
      <c r="W188" s="189">
        <v>21</v>
      </c>
      <c r="X188" s="189">
        <v>22</v>
      </c>
      <c r="Y188" s="189">
        <v>23</v>
      </c>
      <c r="Z188" s="189">
        <v>24</v>
      </c>
      <c r="AA188" s="189">
        <v>25</v>
      </c>
      <c r="AB188" s="189">
        <v>26</v>
      </c>
      <c r="AC188" s="189">
        <v>27</v>
      </c>
      <c r="AD188" s="189">
        <v>28</v>
      </c>
      <c r="AE188" s="189">
        <v>29</v>
      </c>
      <c r="AF188" s="189">
        <v>30</v>
      </c>
      <c r="AG188" s="189">
        <v>31</v>
      </c>
      <c r="AH188" s="116"/>
      <c r="AI188" s="116"/>
      <c r="AJ188" s="116"/>
      <c r="AK188" s="116"/>
      <c r="AL188" s="116"/>
    </row>
    <row r="189" spans="1:38" ht="15.95" hidden="1" customHeight="1" x14ac:dyDescent="0.25">
      <c r="A189" s="116"/>
      <c r="B189" s="116"/>
      <c r="C189" s="116"/>
      <c r="D189" s="116"/>
      <c r="E189" s="116"/>
      <c r="F189" s="116"/>
      <c r="G189" s="114"/>
      <c r="H189" s="116"/>
      <c r="I189" s="116"/>
      <c r="J189" s="116"/>
      <c r="K189" s="116"/>
      <c r="L189" s="116"/>
      <c r="M189" s="116"/>
      <c r="N189" s="114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  <c r="AH189" s="116"/>
      <c r="AI189" s="116"/>
      <c r="AJ189" s="116"/>
      <c r="AK189" s="116"/>
      <c r="AL189" s="116"/>
    </row>
    <row r="190" spans="1:38" ht="15.95" hidden="1" customHeight="1" x14ac:dyDescent="0.25">
      <c r="A190" s="116"/>
      <c r="B190" s="116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  <c r="AB190" s="221"/>
      <c r="AC190" s="221"/>
      <c r="AD190" s="221"/>
      <c r="AE190" s="221"/>
      <c r="AF190" s="221"/>
      <c r="AG190" s="221"/>
      <c r="AH190" s="116"/>
      <c r="AI190" s="116"/>
      <c r="AJ190" s="116"/>
      <c r="AK190" s="116"/>
      <c r="AL190" s="116"/>
    </row>
    <row r="191" spans="1:38" ht="15.95" hidden="1" customHeight="1" x14ac:dyDescent="0.25">
      <c r="A191" s="116"/>
      <c r="B191" s="181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  <c r="AA191" s="190"/>
      <c r="AB191" s="190"/>
      <c r="AC191" s="190"/>
      <c r="AD191" s="190"/>
      <c r="AE191" s="190"/>
      <c r="AF191" s="190"/>
      <c r="AG191" s="190"/>
      <c r="AH191" s="116"/>
      <c r="AI191" s="116"/>
      <c r="AJ191" s="116"/>
      <c r="AK191" s="116"/>
      <c r="AL191" s="116"/>
    </row>
    <row r="192" spans="1:38" ht="15.95" hidden="1" customHeight="1" x14ac:dyDescent="0.25">
      <c r="A192" s="116"/>
      <c r="B192" s="191"/>
      <c r="C192" s="192"/>
      <c r="D192" s="192"/>
      <c r="E192" s="192"/>
      <c r="F192" s="192"/>
      <c r="G192" s="193"/>
      <c r="H192" s="192"/>
      <c r="I192" s="192"/>
      <c r="J192" s="192"/>
      <c r="K192" s="192"/>
      <c r="L192" s="192"/>
      <c r="M192" s="192"/>
      <c r="N192" s="193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  <c r="AA192" s="192"/>
      <c r="AB192" s="192"/>
      <c r="AC192" s="192"/>
      <c r="AD192" s="192"/>
      <c r="AE192" s="192"/>
      <c r="AF192" s="192"/>
      <c r="AG192" s="192"/>
      <c r="AH192" s="116"/>
      <c r="AI192" s="116"/>
      <c r="AJ192" s="116"/>
      <c r="AK192" s="116"/>
      <c r="AL192" s="116"/>
    </row>
    <row r="193" spans="1:38" ht="15.95" hidden="1" customHeight="1" x14ac:dyDescent="0.25">
      <c r="A193" s="116"/>
      <c r="B193" s="116"/>
      <c r="C193" s="116"/>
      <c r="D193" s="116"/>
      <c r="E193" s="116"/>
      <c r="F193" s="116"/>
      <c r="G193" s="114"/>
      <c r="H193" s="116"/>
      <c r="I193" s="116"/>
      <c r="J193" s="116"/>
      <c r="K193" s="116"/>
      <c r="L193" s="116"/>
      <c r="M193" s="116"/>
      <c r="N193" s="114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  <c r="AH193" s="116"/>
      <c r="AI193" s="116"/>
      <c r="AJ193" s="116"/>
      <c r="AK193" s="116"/>
      <c r="AL193" s="116"/>
    </row>
    <row r="194" spans="1:38" ht="15.95" hidden="1" customHeight="1" x14ac:dyDescent="0.25">
      <c r="A194" s="116"/>
      <c r="B194" s="116"/>
      <c r="C194" s="116"/>
      <c r="D194" s="116"/>
      <c r="E194" s="116"/>
      <c r="F194" s="116"/>
      <c r="G194" s="114"/>
      <c r="H194" s="116"/>
      <c r="I194" s="116"/>
      <c r="J194" s="116"/>
      <c r="K194" s="116"/>
      <c r="L194" s="116"/>
      <c r="M194" s="116"/>
      <c r="N194" s="114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  <c r="AK194" s="116"/>
      <c r="AL194" s="116"/>
    </row>
    <row r="195" spans="1:38" ht="15.95" hidden="1" customHeight="1" x14ac:dyDescent="0.25">
      <c r="A195" s="116"/>
      <c r="B195" s="116"/>
      <c r="C195" s="116"/>
      <c r="D195" s="116"/>
      <c r="E195" s="116"/>
      <c r="F195" s="116"/>
      <c r="G195" s="114"/>
      <c r="H195" s="116"/>
      <c r="I195" s="116"/>
      <c r="J195" s="116"/>
      <c r="K195" s="116"/>
      <c r="L195" s="116"/>
      <c r="M195" s="116"/>
      <c r="N195" s="114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  <c r="AJ195" s="116"/>
      <c r="AK195" s="116"/>
      <c r="AL195" s="116"/>
    </row>
    <row r="196" spans="1:38" ht="15.95" hidden="1" customHeight="1" x14ac:dyDescent="0.25">
      <c r="A196" s="116"/>
      <c r="B196" s="116"/>
      <c r="C196" s="116"/>
      <c r="D196" s="116"/>
      <c r="E196" s="116"/>
      <c r="F196" s="116"/>
      <c r="G196" s="114"/>
      <c r="H196" s="116"/>
      <c r="I196" s="116"/>
      <c r="J196" s="116"/>
      <c r="K196" s="116"/>
      <c r="L196" s="116"/>
      <c r="M196" s="116"/>
      <c r="N196" s="114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  <c r="AJ196" s="116"/>
      <c r="AK196" s="116"/>
      <c r="AL196" s="116"/>
    </row>
    <row r="197" spans="1:38" ht="15.95" hidden="1" customHeight="1" x14ac:dyDescent="0.25">
      <c r="A197" s="116"/>
      <c r="B197" s="116"/>
      <c r="C197" s="116"/>
      <c r="D197" s="116"/>
      <c r="E197" s="116"/>
      <c r="F197" s="116"/>
      <c r="G197" s="114"/>
      <c r="H197" s="116"/>
      <c r="I197" s="116"/>
      <c r="J197" s="116"/>
      <c r="K197" s="116"/>
      <c r="L197" s="116"/>
      <c r="M197" s="116"/>
      <c r="N197" s="114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  <c r="AI197" s="116"/>
      <c r="AJ197" s="116"/>
      <c r="AK197" s="116"/>
      <c r="AL197" s="116"/>
    </row>
    <row r="198" spans="1:38" ht="15.95" hidden="1" customHeight="1" x14ac:dyDescent="0.25">
      <c r="A198" s="116"/>
      <c r="B198" s="116"/>
      <c r="C198" s="116"/>
      <c r="D198" s="116"/>
      <c r="E198" s="116"/>
      <c r="F198" s="116"/>
      <c r="G198" s="114"/>
      <c r="H198" s="116"/>
      <c r="I198" s="116"/>
      <c r="J198" s="116"/>
      <c r="K198" s="116"/>
      <c r="L198" s="116"/>
      <c r="M198" s="116"/>
      <c r="N198" s="114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  <c r="AL198" s="116"/>
    </row>
    <row r="199" spans="1:38" ht="15.95" hidden="1" customHeight="1" x14ac:dyDescent="0.25">
      <c r="A199" s="116"/>
      <c r="B199" s="116"/>
      <c r="C199" s="116"/>
      <c r="D199" s="116"/>
      <c r="E199" s="116"/>
      <c r="F199" s="116"/>
      <c r="G199" s="114"/>
      <c r="H199" s="116"/>
      <c r="I199" s="116"/>
      <c r="J199" s="116"/>
      <c r="K199" s="116"/>
      <c r="L199" s="116"/>
      <c r="M199" s="116"/>
      <c r="N199" s="114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  <c r="AJ199" s="116"/>
      <c r="AK199" s="116"/>
      <c r="AL199" s="116"/>
    </row>
    <row r="200" spans="1:38" ht="15.95" hidden="1" customHeight="1" x14ac:dyDescent="0.25">
      <c r="A200" s="116"/>
      <c r="B200" s="116"/>
      <c r="C200" s="116"/>
      <c r="D200" s="116"/>
      <c r="E200" s="116"/>
      <c r="F200" s="116"/>
      <c r="G200" s="114"/>
      <c r="H200" s="116"/>
      <c r="I200" s="116"/>
      <c r="J200" s="116"/>
      <c r="K200" s="116"/>
      <c r="L200" s="116"/>
      <c r="M200" s="116"/>
      <c r="N200" s="114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  <c r="AI200" s="116"/>
      <c r="AJ200" s="116"/>
      <c r="AK200" s="116"/>
      <c r="AL200" s="116"/>
    </row>
    <row r="201" spans="1:38" ht="20.25" customHeight="1" x14ac:dyDescent="0.25">
      <c r="A201" s="116"/>
      <c r="B201" s="116"/>
      <c r="C201" s="116"/>
      <c r="D201" s="116"/>
      <c r="E201" s="116"/>
      <c r="F201" s="116"/>
      <c r="G201" s="114"/>
      <c r="H201" s="116"/>
      <c r="I201" s="116"/>
      <c r="J201" s="116"/>
      <c r="K201" s="116"/>
      <c r="L201" s="116"/>
      <c r="M201" s="116"/>
      <c r="N201" s="114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  <c r="AK201" s="116"/>
      <c r="AL201" s="116"/>
    </row>
  </sheetData>
  <sheetProtection algorithmName="SHA-512" hashValue="j4nQQzKhpwK8R/GidAw+IteD16BS85cTJT7IOY8e2BJSgydyskj/OZmM2Rr4C/Q7/Swwa8x36gmaKw813AREgQ==" saltValue="aADnbcDbvlVsJbOJFgP/Ig==" spinCount="100000" sheet="1" objects="1" scenarios="1" formatCells="0"/>
  <mergeCells count="148">
    <mergeCell ref="AH171:AI171"/>
    <mergeCell ref="AJ171:AK171"/>
    <mergeCell ref="AH172:AI172"/>
    <mergeCell ref="AH178:AI178"/>
    <mergeCell ref="C186:L186"/>
    <mergeCell ref="C190:AG190"/>
    <mergeCell ref="AH150:AI150"/>
    <mergeCell ref="AH156:AI156"/>
    <mergeCell ref="AH160:AI160"/>
    <mergeCell ref="AJ160:AK160"/>
    <mergeCell ref="AH161:AI161"/>
    <mergeCell ref="AH167:AI167"/>
    <mergeCell ref="AH138:AI138"/>
    <mergeCell ref="AJ138:AK138"/>
    <mergeCell ref="AH139:AI139"/>
    <mergeCell ref="AH145:AI145"/>
    <mergeCell ref="AH149:AI149"/>
    <mergeCell ref="AJ149:AK149"/>
    <mergeCell ref="AH117:AI117"/>
    <mergeCell ref="AH123:AI123"/>
    <mergeCell ref="AH127:AI127"/>
    <mergeCell ref="AJ127:AK127"/>
    <mergeCell ref="AH128:AI128"/>
    <mergeCell ref="AH134:AI134"/>
    <mergeCell ref="AH105:AI105"/>
    <mergeCell ref="AJ105:AK105"/>
    <mergeCell ref="AH106:AI106"/>
    <mergeCell ref="AH112:AI112"/>
    <mergeCell ref="AH116:AI116"/>
    <mergeCell ref="AJ116:AK116"/>
    <mergeCell ref="AH83:AI83"/>
    <mergeCell ref="AH84:AI84"/>
    <mergeCell ref="AH90:AI90"/>
    <mergeCell ref="AH94:AI94"/>
    <mergeCell ref="AH95:AI95"/>
    <mergeCell ref="AH101:AI101"/>
    <mergeCell ref="AH61:AI61"/>
    <mergeCell ref="AH62:AI62"/>
    <mergeCell ref="AH68:AI68"/>
    <mergeCell ref="AH72:AI72"/>
    <mergeCell ref="AH73:AI73"/>
    <mergeCell ref="AH79:AI79"/>
    <mergeCell ref="AI48:AJ48"/>
    <mergeCell ref="AI49:AJ49"/>
    <mergeCell ref="AN49:AO49"/>
    <mergeCell ref="AH50:AI50"/>
    <mergeCell ref="AH51:AI51"/>
    <mergeCell ref="AH57:AI57"/>
    <mergeCell ref="C43:D43"/>
    <mergeCell ref="E43:AI43"/>
    <mergeCell ref="AI45:AJ45"/>
    <mergeCell ref="AI46:AJ46"/>
    <mergeCell ref="AI47:AJ47"/>
    <mergeCell ref="AN47:AO47"/>
    <mergeCell ref="S39:T39"/>
    <mergeCell ref="V39:W39"/>
    <mergeCell ref="S40:T40"/>
    <mergeCell ref="V40:W40"/>
    <mergeCell ref="C42:V42"/>
    <mergeCell ref="W42:AH42"/>
    <mergeCell ref="A37:B37"/>
    <mergeCell ref="C37:N37"/>
    <mergeCell ref="S37:T37"/>
    <mergeCell ref="V37:W37"/>
    <mergeCell ref="A38:B38"/>
    <mergeCell ref="C38:N38"/>
    <mergeCell ref="S38:T38"/>
    <mergeCell ref="V38:W38"/>
    <mergeCell ref="A35:B35"/>
    <mergeCell ref="C35:N35"/>
    <mergeCell ref="S35:T35"/>
    <mergeCell ref="V35:W35"/>
    <mergeCell ref="A36:B36"/>
    <mergeCell ref="C36:N36"/>
    <mergeCell ref="S36:T36"/>
    <mergeCell ref="V36:W36"/>
    <mergeCell ref="A33:B33"/>
    <mergeCell ref="C33:N33"/>
    <mergeCell ref="S33:T33"/>
    <mergeCell ref="V33:W33"/>
    <mergeCell ref="A34:B34"/>
    <mergeCell ref="C34:N34"/>
    <mergeCell ref="S34:T34"/>
    <mergeCell ref="V34:W34"/>
    <mergeCell ref="AR31:AZ31"/>
    <mergeCell ref="D26:E26"/>
    <mergeCell ref="G26:H26"/>
    <mergeCell ref="K26:L26"/>
    <mergeCell ref="N26:O26"/>
    <mergeCell ref="R26:S26"/>
    <mergeCell ref="U26:V26"/>
    <mergeCell ref="W26:X26"/>
    <mergeCell ref="BB31:BC31"/>
    <mergeCell ref="A32:B32"/>
    <mergeCell ref="C32:N32"/>
    <mergeCell ref="S32:T32"/>
    <mergeCell ref="V32:W32"/>
    <mergeCell ref="AD32:AG32"/>
    <mergeCell ref="AI32:AJ32"/>
    <mergeCell ref="Z26:AA26"/>
    <mergeCell ref="AH26:AI26"/>
    <mergeCell ref="AJ26:AL26"/>
    <mergeCell ref="AE27:AF27"/>
    <mergeCell ref="C29:AJ29"/>
    <mergeCell ref="A31:N31"/>
    <mergeCell ref="R31:W31"/>
    <mergeCell ref="AD31:AI31"/>
    <mergeCell ref="AH24:AI24"/>
    <mergeCell ref="AJ24:AL24"/>
    <mergeCell ref="D25:E25"/>
    <mergeCell ref="G25:H25"/>
    <mergeCell ref="K25:L25"/>
    <mergeCell ref="N25:O25"/>
    <mergeCell ref="R25:S25"/>
    <mergeCell ref="U25:V25"/>
    <mergeCell ref="W25:X25"/>
    <mergeCell ref="Z25:AA25"/>
    <mergeCell ref="AH25:AI25"/>
    <mergeCell ref="AJ25:AL25"/>
    <mergeCell ref="C23:H23"/>
    <mergeCell ref="J23:O23"/>
    <mergeCell ref="Q23:AA23"/>
    <mergeCell ref="D24:E24"/>
    <mergeCell ref="G24:H24"/>
    <mergeCell ref="K24:L24"/>
    <mergeCell ref="N24:O24"/>
    <mergeCell ref="R24:S24"/>
    <mergeCell ref="U24:V24"/>
    <mergeCell ref="W24:X24"/>
    <mergeCell ref="Z24:AA24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B3:J3"/>
    <mergeCell ref="B4:O4"/>
    <mergeCell ref="Q4:X4"/>
    <mergeCell ref="Z4:AB4"/>
    <mergeCell ref="AC4:AH4"/>
    <mergeCell ref="A8:B8"/>
    <mergeCell ref="A15:B15"/>
    <mergeCell ref="A16:B16"/>
    <mergeCell ref="A17:B17"/>
  </mergeCells>
  <conditionalFormatting sqref="C7:AG20">
    <cfRule type="expression" dxfId="7" priority="1" stopIfTrue="1">
      <formula>C$46=1</formula>
    </cfRule>
  </conditionalFormatting>
  <hyperlinks>
    <hyperlink ref="C42" r:id="rId1" xr:uid="{00000000-0004-0000-0400-000000000000}"/>
  </hyperlinks>
  <printOptions horizontalCentered="1"/>
  <pageMargins left="7.874015748031496E-2" right="7.874015748031496E-2" top="0.31496062992125984" bottom="0" header="0.51181102362204722" footer="0.51181102362204722"/>
  <pageSetup paperSize="9" scale="97" orientation="landscape" useFirstPageNumber="1" r:id="rId2"/>
  <headerFooter alignWithMargins="0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I201"/>
  <sheetViews>
    <sheetView showGridLines="0" showRowColHeaders="0" zoomScale="120" zoomScaleNormal="120" zoomScaleSheetLayoutView="75" workbookViewId="0">
      <selection activeCell="CS13" sqref="CS13"/>
    </sheetView>
  </sheetViews>
  <sheetFormatPr baseColWidth="10" defaultColWidth="11.140625" defaultRowHeight="20.25" customHeight="1" x14ac:dyDescent="0.25"/>
  <cols>
    <col min="1" max="2" width="9.7109375" style="1" customWidth="1"/>
    <col min="3" max="6" width="3.28515625" style="1" customWidth="1"/>
    <col min="7" max="7" width="3.28515625" style="2" customWidth="1"/>
    <col min="8" max="13" width="3.28515625" style="1" customWidth="1"/>
    <col min="14" max="14" width="3.28515625" style="2" customWidth="1"/>
    <col min="15" max="33" width="3.28515625" style="1" customWidth="1"/>
    <col min="34" max="34" width="7.7109375" style="1" customWidth="1"/>
    <col min="35" max="38" width="4.7109375" style="1" customWidth="1"/>
    <col min="39" max="59" width="6.7109375" style="1" hidden="1" customWidth="1"/>
    <col min="60" max="83" width="4.7109375" style="1" hidden="1" customWidth="1"/>
    <col min="84" max="95" width="0" style="1" hidden="1" customWidth="1"/>
    <col min="96" max="16384" width="11.140625" style="1"/>
  </cols>
  <sheetData>
    <row r="1" spans="1:84" s="2" customFormat="1" ht="19.5" customHeight="1" x14ac:dyDescent="0.35">
      <c r="B1" s="3"/>
      <c r="M1" s="4"/>
      <c r="U1" s="5"/>
      <c r="V1" s="6"/>
      <c r="Z1" s="7"/>
      <c r="AA1" s="7"/>
      <c r="AB1" s="7"/>
      <c r="AC1" s="7"/>
      <c r="AD1" s="7"/>
      <c r="AE1" s="7"/>
      <c r="AF1" s="7"/>
      <c r="AG1" s="1"/>
      <c r="AH1" s="1"/>
      <c r="AI1" s="1"/>
      <c r="AJ1" s="1"/>
    </row>
    <row r="2" spans="1:84" s="2" customFormat="1" ht="19.5" customHeight="1" x14ac:dyDescent="0.35">
      <c r="B2" s="3"/>
      <c r="M2" s="4"/>
      <c r="U2" s="5"/>
      <c r="V2" s="6"/>
      <c r="Z2" s="7"/>
      <c r="AA2" s="7"/>
      <c r="AB2" s="7"/>
      <c r="AC2" s="7"/>
      <c r="AD2" s="7"/>
      <c r="AE2" s="7"/>
      <c r="AF2" s="7"/>
      <c r="AG2" s="1"/>
      <c r="AH2" s="1"/>
      <c r="AI2" s="1"/>
      <c r="AJ2" s="1"/>
    </row>
    <row r="3" spans="1:84" s="2" customFormat="1" ht="19.5" customHeight="1" x14ac:dyDescent="0.35">
      <c r="B3" s="271" t="str">
        <f t="shared" ref="B3:B4" si="0">C32</f>
        <v>EMPRESA</v>
      </c>
      <c r="C3" s="271"/>
      <c r="D3" s="271"/>
      <c r="E3" s="271"/>
      <c r="F3" s="271"/>
      <c r="G3" s="271"/>
      <c r="H3" s="271"/>
      <c r="I3" s="271"/>
      <c r="J3" s="271"/>
      <c r="M3" s="4"/>
      <c r="U3" s="5"/>
      <c r="V3" s="6"/>
      <c r="Z3" s="7"/>
      <c r="AA3" s="7"/>
      <c r="AB3" s="7"/>
      <c r="AC3" s="7"/>
      <c r="AD3" s="7"/>
      <c r="AE3" s="7"/>
      <c r="AF3" s="7"/>
      <c r="AG3" s="1"/>
      <c r="AH3" s="1"/>
      <c r="AI3" s="1"/>
      <c r="AJ3" s="1"/>
    </row>
    <row r="4" spans="1:84" s="9" customFormat="1" ht="17.25" customHeight="1" x14ac:dyDescent="0.25">
      <c r="A4" s="8"/>
      <c r="B4" s="272" t="str">
        <f t="shared" si="0"/>
        <v>CENTRO</v>
      </c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1"/>
      <c r="Q4" s="232">
        <f>DATE($C$34,$C$35,1)</f>
        <v>45809</v>
      </c>
      <c r="R4" s="232"/>
      <c r="S4" s="232"/>
      <c r="T4" s="232"/>
      <c r="U4" s="232"/>
      <c r="V4" s="232"/>
      <c r="W4" s="232"/>
      <c r="X4" s="232"/>
      <c r="Y4" s="1"/>
      <c r="Z4" s="259">
        <f>SUM(AH51+AH62+AH73+AH84+AH95+AH106+AH117+AH128+AH139+AH150+AH161+AH172)</f>
        <v>1679.9999999999991</v>
      </c>
      <c r="AA4" s="259"/>
      <c r="AB4" s="259"/>
      <c r="AC4" s="267" t="s">
        <v>0</v>
      </c>
      <c r="AD4" s="267"/>
      <c r="AE4" s="267"/>
      <c r="AF4" s="267"/>
      <c r="AG4" s="267"/>
      <c r="AH4" s="267"/>
      <c r="AI4" s="1"/>
      <c r="AJ4" s="1"/>
    </row>
    <row r="5" spans="1:84" s="2" customFormat="1" ht="17.25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/>
      <c r="AD5" s="12"/>
      <c r="AE5" s="12" t="str">
        <f>IF(CA59=28,IF(CA59="",0,1),IF(CA59=1,IF(CA59="",0,1),""))</f>
        <v/>
      </c>
      <c r="AF5" s="12" t="str">
        <f>IF(CA59=29,IF(CA59="",0,1),IF(CA59=1,IF(CA59="",0,1),""))</f>
        <v/>
      </c>
      <c r="AG5" s="12">
        <f>IF(CA59=30,IF(CA59="",0,1),IF(CA59=1,IF(CA59="",0,1),""))</f>
        <v>1</v>
      </c>
      <c r="AH5" s="12" t="str">
        <f>IF(CA59=31,IF(CA59="",0,1),IF(CA59=1,IF(CA59="",0,1),""))</f>
        <v/>
      </c>
      <c r="AI5" s="1"/>
      <c r="AJ5" s="1"/>
    </row>
    <row r="6" spans="1:84" s="13" customFormat="1" ht="17.25" customHeight="1" x14ac:dyDescent="0.25">
      <c r="B6" s="14" t="s">
        <v>1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"/>
      <c r="AJ6" s="1"/>
    </row>
    <row r="7" spans="1:84" s="11" customFormat="1" ht="19.5" customHeight="1" x14ac:dyDescent="0.25">
      <c r="A7" s="16"/>
      <c r="B7" s="17" t="s">
        <v>2</v>
      </c>
      <c r="C7" s="18" t="str">
        <f>IF(AV47="LUNES","lu",IF(AV47="MARTES","ma",IF(AV47="MIERCOLES","mi",IF(AV47="JUEVES","ju",IF(AV47="VIERNES","vi",IF(AV47="SABADO","S",IF(AV47="DOMINGO","D","")))))))</f>
        <v>D</v>
      </c>
      <c r="D7" s="18" t="str">
        <f t="shared" ref="D7:AD7" si="1">IF(C7="lu","ma",IF(C7="ma","mi",IF(C7="mi","ju",IF(C7="ju","vi",IF(C7="vi","S",IF(C7="S","D",IF(C7="D","lu","")))))))</f>
        <v>lu</v>
      </c>
      <c r="E7" s="18" t="str">
        <f t="shared" si="1"/>
        <v>ma</v>
      </c>
      <c r="F7" s="18" t="str">
        <f t="shared" si="1"/>
        <v>mi</v>
      </c>
      <c r="G7" s="18" t="str">
        <f t="shared" si="1"/>
        <v>ju</v>
      </c>
      <c r="H7" s="18" t="str">
        <f t="shared" si="1"/>
        <v>vi</v>
      </c>
      <c r="I7" s="18" t="str">
        <f t="shared" si="1"/>
        <v>S</v>
      </c>
      <c r="J7" s="18" t="str">
        <f t="shared" si="1"/>
        <v>D</v>
      </c>
      <c r="K7" s="18" t="str">
        <f t="shared" si="1"/>
        <v>lu</v>
      </c>
      <c r="L7" s="18" t="str">
        <f t="shared" si="1"/>
        <v>ma</v>
      </c>
      <c r="M7" s="18" t="str">
        <f t="shared" si="1"/>
        <v>mi</v>
      </c>
      <c r="N7" s="18" t="str">
        <f t="shared" si="1"/>
        <v>ju</v>
      </c>
      <c r="O7" s="18" t="str">
        <f t="shared" si="1"/>
        <v>vi</v>
      </c>
      <c r="P7" s="18" t="str">
        <f t="shared" si="1"/>
        <v>S</v>
      </c>
      <c r="Q7" s="18" t="str">
        <f t="shared" si="1"/>
        <v>D</v>
      </c>
      <c r="R7" s="18" t="str">
        <f t="shared" si="1"/>
        <v>lu</v>
      </c>
      <c r="S7" s="18" t="str">
        <f t="shared" si="1"/>
        <v>ma</v>
      </c>
      <c r="T7" s="18" t="str">
        <f t="shared" si="1"/>
        <v>mi</v>
      </c>
      <c r="U7" s="18" t="str">
        <f t="shared" si="1"/>
        <v>ju</v>
      </c>
      <c r="V7" s="18" t="str">
        <f t="shared" si="1"/>
        <v>vi</v>
      </c>
      <c r="W7" s="18" t="str">
        <f t="shared" si="1"/>
        <v>S</v>
      </c>
      <c r="X7" s="18" t="str">
        <f t="shared" si="1"/>
        <v>D</v>
      </c>
      <c r="Y7" s="18" t="str">
        <f t="shared" si="1"/>
        <v>lu</v>
      </c>
      <c r="Z7" s="18" t="str">
        <f t="shared" si="1"/>
        <v>ma</v>
      </c>
      <c r="AA7" s="18" t="str">
        <f t="shared" si="1"/>
        <v>mi</v>
      </c>
      <c r="AB7" s="18" t="str">
        <f t="shared" si="1"/>
        <v>ju</v>
      </c>
      <c r="AC7" s="18" t="str">
        <f t="shared" si="1"/>
        <v>vi</v>
      </c>
      <c r="AD7" s="18" t="str">
        <f t="shared" si="1"/>
        <v>S</v>
      </c>
      <c r="AE7" s="18" t="str">
        <f>IF(AE8="","",IF(AD7="lu","ma",IF(AD7="ma","mi",IF(AD7="mi","ju",IF(AD7="ju","vi",IF(AD7="vi","S",IF(AD7="S","D",IF(AD7="D","lu",""))))))))</f>
        <v>D</v>
      </c>
      <c r="AF7" s="18" t="str">
        <f>IF(AF8="","",IF(AE7="lu","ma",IF(AE7="ma","mi",IF(AE7="mi","ju",IF(AE7="ju","vi",IF(AE7="vi","S",IF(AE7="S","D",IF(AE7="D","lu",""))))))))</f>
        <v>lu</v>
      </c>
      <c r="AG7" s="18" t="str">
        <f>IF(AG8="","",IF(AF7="lu","ma",IF(AF7="ma","mi",IF(AF7="mi","ju",IF(AF7="ju","vi",IF(AF7="vi","S",IF(AF7="S","D",IF(AF7="D","lu",""))))))))</f>
        <v/>
      </c>
      <c r="AH7" s="16"/>
    </row>
    <row r="8" spans="1:84" s="22" customFormat="1" ht="19.5" customHeight="1" x14ac:dyDescent="0.2">
      <c r="A8" s="270" t="s">
        <v>3</v>
      </c>
      <c r="B8" s="270"/>
      <c r="C8" s="18">
        <v>1</v>
      </c>
      <c r="D8" s="18">
        <v>2</v>
      </c>
      <c r="E8" s="18">
        <v>3</v>
      </c>
      <c r="F8" s="18">
        <v>4</v>
      </c>
      <c r="G8" s="18">
        <v>5</v>
      </c>
      <c r="H8" s="18">
        <v>6</v>
      </c>
      <c r="I8" s="18">
        <v>7</v>
      </c>
      <c r="J8" s="18">
        <v>8</v>
      </c>
      <c r="K8" s="18">
        <v>9</v>
      </c>
      <c r="L8" s="18">
        <v>10</v>
      </c>
      <c r="M8" s="18">
        <v>11</v>
      </c>
      <c r="N8" s="18">
        <v>12</v>
      </c>
      <c r="O8" s="18">
        <v>13</v>
      </c>
      <c r="P8" s="18">
        <v>14</v>
      </c>
      <c r="Q8" s="18">
        <v>15</v>
      </c>
      <c r="R8" s="18">
        <v>16</v>
      </c>
      <c r="S8" s="18">
        <v>17</v>
      </c>
      <c r="T8" s="18">
        <v>18</v>
      </c>
      <c r="U8" s="18">
        <v>19</v>
      </c>
      <c r="V8" s="18">
        <v>20</v>
      </c>
      <c r="W8" s="18">
        <v>21</v>
      </c>
      <c r="X8" s="18">
        <v>22</v>
      </c>
      <c r="Y8" s="18">
        <v>23</v>
      </c>
      <c r="Z8" s="18">
        <v>24</v>
      </c>
      <c r="AA8" s="18">
        <v>25</v>
      </c>
      <c r="AB8" s="18">
        <v>26</v>
      </c>
      <c r="AC8" s="18">
        <v>27</v>
      </c>
      <c r="AD8" s="18">
        <v>28</v>
      </c>
      <c r="AE8" s="18">
        <f>IF(CA59=28,"",IF(CA59=29,29,IF(CA59=30,29,IF(CA59=31,29,""))))</f>
        <v>29</v>
      </c>
      <c r="AF8" s="18">
        <f>IF(CA59=28,"",IF(CA59=29,"",IF(CA59=30,30,IF(CA59=31,30,""))))</f>
        <v>30</v>
      </c>
      <c r="AG8" s="18" t="str">
        <f>IF(CA59=28,"",IF(CA59=29,"",IF(CA59=30,"",IF(CA59=31,31,""))))</f>
        <v/>
      </c>
      <c r="AH8" s="19" t="s">
        <v>60</v>
      </c>
      <c r="AI8" s="20" t="s">
        <v>4</v>
      </c>
      <c r="AJ8" s="20" t="s">
        <v>5</v>
      </c>
      <c r="AK8" s="21" t="s">
        <v>6</v>
      </c>
      <c r="AL8" s="21" t="s">
        <v>7</v>
      </c>
    </row>
    <row r="9" spans="1:84" s="2" customFormat="1" ht="20.100000000000001" customHeight="1" x14ac:dyDescent="0.25">
      <c r="A9" s="268" t="s">
        <v>155</v>
      </c>
      <c r="B9" s="268"/>
      <c r="C9" s="23" t="s">
        <v>151</v>
      </c>
      <c r="D9" s="23"/>
      <c r="E9" s="23" t="s">
        <v>151</v>
      </c>
      <c r="F9" s="23" t="s">
        <v>151</v>
      </c>
      <c r="G9" s="23" t="s">
        <v>151</v>
      </c>
      <c r="H9" s="23"/>
      <c r="I9" s="23"/>
      <c r="J9" s="23"/>
      <c r="K9" s="23" t="s">
        <v>151</v>
      </c>
      <c r="L9" s="23" t="s">
        <v>151</v>
      </c>
      <c r="M9" s="23" t="s">
        <v>151</v>
      </c>
      <c r="N9" s="23"/>
      <c r="O9" s="23" t="s">
        <v>151</v>
      </c>
      <c r="P9" s="23" t="s">
        <v>151</v>
      </c>
      <c r="Q9" s="23" t="s">
        <v>151</v>
      </c>
      <c r="R9" s="23"/>
      <c r="S9" s="23"/>
      <c r="T9" s="24" t="s">
        <v>151</v>
      </c>
      <c r="U9" s="23" t="s">
        <v>151</v>
      </c>
      <c r="V9" s="23"/>
      <c r="W9" s="23"/>
      <c r="X9" s="23"/>
      <c r="Y9" s="23" t="s">
        <v>151</v>
      </c>
      <c r="Z9" s="23" t="s">
        <v>151</v>
      </c>
      <c r="AA9" s="23"/>
      <c r="AB9" s="23"/>
      <c r="AC9" s="23" t="s">
        <v>151</v>
      </c>
      <c r="AD9" s="23" t="s">
        <v>151</v>
      </c>
      <c r="AE9" s="23" t="s">
        <v>151</v>
      </c>
      <c r="AF9" s="23"/>
      <c r="AG9" s="23"/>
      <c r="AH9" s="83">
        <f>SUM(AH50:AH51)</f>
        <v>203.99999999999997</v>
      </c>
      <c r="AI9" s="84">
        <f>AH9-C37</f>
        <v>41.999999999999972</v>
      </c>
      <c r="AJ9" s="84">
        <f>SUM(C55:AG55)</f>
        <v>59.999999999999993</v>
      </c>
      <c r="AK9" s="84">
        <f>AK32</f>
        <v>0</v>
      </c>
      <c r="AL9" s="18">
        <f>SUM(C56:AG56)</f>
        <v>0</v>
      </c>
      <c r="CB9" s="25">
        <f>ROUNDDOWN(AH9,0)</f>
        <v>204</v>
      </c>
      <c r="CC9" s="26">
        <f>AH9-INT(AH9)</f>
        <v>0</v>
      </c>
      <c r="CD9" s="27">
        <f>CC9/24</f>
        <v>0</v>
      </c>
      <c r="CE9"/>
      <c r="CF9"/>
    </row>
    <row r="10" spans="1:84" s="2" customFormat="1" ht="20.100000000000001" customHeight="1" x14ac:dyDescent="0.25">
      <c r="A10" s="268" t="s">
        <v>156</v>
      </c>
      <c r="B10" s="268"/>
      <c r="C10" s="23" t="s">
        <v>153</v>
      </c>
      <c r="D10" s="23"/>
      <c r="E10" s="23"/>
      <c r="F10" s="23" t="s">
        <v>153</v>
      </c>
      <c r="G10" s="23" t="s">
        <v>153</v>
      </c>
      <c r="H10" s="23"/>
      <c r="I10" s="23"/>
      <c r="J10" s="23"/>
      <c r="K10" s="23" t="s">
        <v>153</v>
      </c>
      <c r="L10" s="23" t="s">
        <v>153</v>
      </c>
      <c r="M10" s="23"/>
      <c r="N10" s="23"/>
      <c r="O10" s="23" t="s">
        <v>153</v>
      </c>
      <c r="P10" s="23" t="s">
        <v>153</v>
      </c>
      <c r="Q10" s="23" t="s">
        <v>153</v>
      </c>
      <c r="R10" s="23" t="s">
        <v>14</v>
      </c>
      <c r="S10" s="23" t="s">
        <v>14</v>
      </c>
      <c r="T10" s="23" t="s">
        <v>14</v>
      </c>
      <c r="U10" s="23" t="s">
        <v>14</v>
      </c>
      <c r="V10" s="23" t="s">
        <v>14</v>
      </c>
      <c r="W10" s="23" t="s">
        <v>14</v>
      </c>
      <c r="X10" s="23" t="s">
        <v>14</v>
      </c>
      <c r="Y10" s="23" t="s">
        <v>14</v>
      </c>
      <c r="Z10" s="23" t="s">
        <v>14</v>
      </c>
      <c r="AA10" s="23" t="s">
        <v>14</v>
      </c>
      <c r="AB10" s="23" t="s">
        <v>14</v>
      </c>
      <c r="AC10" s="23" t="s">
        <v>14</v>
      </c>
      <c r="AD10" s="23" t="s">
        <v>14</v>
      </c>
      <c r="AE10" s="23" t="s">
        <v>14</v>
      </c>
      <c r="AF10" s="23" t="s">
        <v>14</v>
      </c>
      <c r="AG10" s="23"/>
      <c r="AH10" s="83">
        <f>SUM(AH61:AH62)</f>
        <v>174.3</v>
      </c>
      <c r="AI10" s="84">
        <f>AH10-C37</f>
        <v>12.300000000000011</v>
      </c>
      <c r="AJ10" s="84">
        <f>SUM(C66:AG66)</f>
        <v>29</v>
      </c>
      <c r="AK10" s="84">
        <f t="shared" ref="AK10:AK20" si="2">AK33</f>
        <v>64</v>
      </c>
      <c r="AL10" s="18">
        <f>SUM(C67:AG67)</f>
        <v>15</v>
      </c>
      <c r="CF10"/>
    </row>
    <row r="11" spans="1:84" s="2" customFormat="1" ht="20.100000000000001" customHeight="1" x14ac:dyDescent="0.25">
      <c r="A11" s="268" t="s">
        <v>157</v>
      </c>
      <c r="B11" s="268"/>
      <c r="C11" s="23" t="s">
        <v>150</v>
      </c>
      <c r="D11" s="23" t="s">
        <v>151</v>
      </c>
      <c r="E11" s="23"/>
      <c r="F11" s="23" t="s">
        <v>150</v>
      </c>
      <c r="G11" s="23"/>
      <c r="H11" s="23" t="s">
        <v>151</v>
      </c>
      <c r="I11" s="23" t="s">
        <v>151</v>
      </c>
      <c r="J11" s="23" t="s">
        <v>151</v>
      </c>
      <c r="K11" s="23" t="s">
        <v>150</v>
      </c>
      <c r="L11" s="23"/>
      <c r="M11" s="23"/>
      <c r="N11" s="23" t="s">
        <v>151</v>
      </c>
      <c r="O11" s="23" t="s">
        <v>150</v>
      </c>
      <c r="P11" s="23"/>
      <c r="Q11" s="23"/>
      <c r="R11" s="23" t="s">
        <v>151</v>
      </c>
      <c r="S11" s="23" t="s">
        <v>151</v>
      </c>
      <c r="T11" s="23"/>
      <c r="U11" s="23"/>
      <c r="V11" s="23" t="s">
        <v>151</v>
      </c>
      <c r="W11" s="23" t="s">
        <v>151</v>
      </c>
      <c r="X11" s="23" t="s">
        <v>151</v>
      </c>
      <c r="Y11" s="23"/>
      <c r="Z11" s="23"/>
      <c r="AA11" s="23" t="s">
        <v>151</v>
      </c>
      <c r="AB11" s="23" t="s">
        <v>151</v>
      </c>
      <c r="AC11" s="23"/>
      <c r="AD11" s="23"/>
      <c r="AE11" s="23"/>
      <c r="AF11" s="23" t="s">
        <v>151</v>
      </c>
      <c r="AG11" s="23"/>
      <c r="AH11" s="83">
        <f>SUM(AH72:AH73)</f>
        <v>204</v>
      </c>
      <c r="AI11" s="84">
        <f>AH11-C37</f>
        <v>42</v>
      </c>
      <c r="AJ11" s="84">
        <f>SUM(C77:AG77)</f>
        <v>60</v>
      </c>
      <c r="AK11" s="84">
        <f t="shared" si="2"/>
        <v>0</v>
      </c>
      <c r="AL11" s="18">
        <f>SUM(C78:AG78)</f>
        <v>0</v>
      </c>
      <c r="CF11"/>
    </row>
    <row r="12" spans="1:84" s="2" customFormat="1" ht="20.100000000000001" customHeight="1" x14ac:dyDescent="0.25">
      <c r="A12" s="268" t="s">
        <v>174</v>
      </c>
      <c r="B12" s="268"/>
      <c r="C12" s="23"/>
      <c r="D12" s="23" t="s">
        <v>153</v>
      </c>
      <c r="E12" s="23" t="s">
        <v>153</v>
      </c>
      <c r="F12" s="23"/>
      <c r="G12" s="23"/>
      <c r="H12" s="23" t="s">
        <v>154</v>
      </c>
      <c r="I12" s="23" t="s">
        <v>154</v>
      </c>
      <c r="J12" s="23" t="s">
        <v>154</v>
      </c>
      <c r="K12" s="23"/>
      <c r="L12" s="23"/>
      <c r="M12" s="23" t="s">
        <v>153</v>
      </c>
      <c r="N12" s="23" t="s">
        <v>153</v>
      </c>
      <c r="O12" s="23"/>
      <c r="P12" s="23"/>
      <c r="Q12" s="23"/>
      <c r="R12" s="23" t="s">
        <v>153</v>
      </c>
      <c r="S12" s="23" t="s">
        <v>153</v>
      </c>
      <c r="T12" s="23" t="s">
        <v>154</v>
      </c>
      <c r="U12" s="23"/>
      <c r="V12" s="23" t="s">
        <v>154</v>
      </c>
      <c r="W12" s="23" t="s">
        <v>154</v>
      </c>
      <c r="X12" s="23" t="s">
        <v>154</v>
      </c>
      <c r="Y12" s="23" t="s">
        <v>154</v>
      </c>
      <c r="Z12" s="23"/>
      <c r="AA12" s="23" t="s">
        <v>153</v>
      </c>
      <c r="AB12" s="23" t="s">
        <v>153</v>
      </c>
      <c r="AC12" s="23"/>
      <c r="AD12" s="23"/>
      <c r="AE12" s="23"/>
      <c r="AF12" s="23" t="s">
        <v>153</v>
      </c>
      <c r="AG12" s="23"/>
      <c r="AH12" s="83">
        <f>SUM(AH83:AH84)</f>
        <v>171.99999999999977</v>
      </c>
      <c r="AI12" s="84">
        <f>AH12-C37</f>
        <v>9.9999999999997726</v>
      </c>
      <c r="AJ12" s="84">
        <f>SUM(C88:AG88)</f>
        <v>32</v>
      </c>
      <c r="AK12" s="84">
        <f t="shared" si="2"/>
        <v>136</v>
      </c>
      <c r="AL12" s="18">
        <f>SUM(C89:AG89)</f>
        <v>0</v>
      </c>
      <c r="CF12"/>
    </row>
    <row r="13" spans="1:84" s="2" customFormat="1" ht="20.100000000000001" customHeight="1" x14ac:dyDescent="0.25">
      <c r="A13" s="268" t="s">
        <v>158</v>
      </c>
      <c r="B13" s="268"/>
      <c r="C13" s="23"/>
      <c r="D13" s="23" t="s">
        <v>150</v>
      </c>
      <c r="E13" s="23" t="s">
        <v>150</v>
      </c>
      <c r="F13" s="23"/>
      <c r="G13" s="23" t="s">
        <v>150</v>
      </c>
      <c r="H13" s="23" t="s">
        <v>150</v>
      </c>
      <c r="I13" s="23" t="s">
        <v>150</v>
      </c>
      <c r="J13" s="23" t="s">
        <v>150</v>
      </c>
      <c r="K13" s="23"/>
      <c r="L13" s="23"/>
      <c r="M13" s="23" t="s">
        <v>150</v>
      </c>
      <c r="N13" s="23" t="s">
        <v>150</v>
      </c>
      <c r="O13" s="23"/>
      <c r="P13" s="23"/>
      <c r="Q13" s="23"/>
      <c r="R13" s="23" t="s">
        <v>150</v>
      </c>
      <c r="S13" s="23" t="s">
        <v>150</v>
      </c>
      <c r="T13" s="23"/>
      <c r="U13" s="23"/>
      <c r="V13" s="23" t="s">
        <v>150</v>
      </c>
      <c r="W13" s="23" t="s">
        <v>150</v>
      </c>
      <c r="X13" s="23" t="s">
        <v>150</v>
      </c>
      <c r="Y13" s="23"/>
      <c r="Z13" s="23"/>
      <c r="AA13" s="23" t="s">
        <v>150</v>
      </c>
      <c r="AB13" s="23" t="s">
        <v>150</v>
      </c>
      <c r="AC13" s="23"/>
      <c r="AD13" s="23"/>
      <c r="AE13" s="23"/>
      <c r="AF13" s="23" t="s">
        <v>150</v>
      </c>
      <c r="AG13" s="23"/>
      <c r="AH13" s="83">
        <f>SUM(AH94:AH95)</f>
        <v>192</v>
      </c>
      <c r="AI13" s="84">
        <f>AH13-C37</f>
        <v>30</v>
      </c>
      <c r="AJ13" s="84">
        <f>SUM(C99:AG99)</f>
        <v>48</v>
      </c>
      <c r="AK13" s="84">
        <f t="shared" si="2"/>
        <v>0</v>
      </c>
      <c r="AL13" s="18">
        <f>SUM(C100:AG100)</f>
        <v>0</v>
      </c>
      <c r="CB13" s="28"/>
      <c r="CF13"/>
    </row>
    <row r="14" spans="1:84" s="2" customFormat="1" ht="19.5" customHeight="1" x14ac:dyDescent="0.25">
      <c r="A14" s="268" t="s">
        <v>160</v>
      </c>
      <c r="B14" s="268"/>
      <c r="C14" s="23" t="s">
        <v>14</v>
      </c>
      <c r="D14" s="23" t="s">
        <v>14</v>
      </c>
      <c r="E14" s="23" t="s">
        <v>14</v>
      </c>
      <c r="F14" s="23" t="s">
        <v>14</v>
      </c>
      <c r="G14" s="23" t="s">
        <v>14</v>
      </c>
      <c r="H14" s="23" t="s">
        <v>14</v>
      </c>
      <c r="I14" s="23" t="s">
        <v>14</v>
      </c>
      <c r="J14" s="23" t="s">
        <v>14</v>
      </c>
      <c r="K14" s="23" t="s">
        <v>14</v>
      </c>
      <c r="L14" s="23" t="s">
        <v>14</v>
      </c>
      <c r="M14" s="23" t="s">
        <v>14</v>
      </c>
      <c r="N14" s="23" t="s">
        <v>14</v>
      </c>
      <c r="O14" s="23" t="s">
        <v>14</v>
      </c>
      <c r="P14" s="23" t="s">
        <v>14</v>
      </c>
      <c r="Q14" s="23" t="s">
        <v>14</v>
      </c>
      <c r="R14" s="23"/>
      <c r="S14" s="23"/>
      <c r="T14" s="23" t="s">
        <v>150</v>
      </c>
      <c r="U14" s="23" t="s">
        <v>150</v>
      </c>
      <c r="V14" s="23"/>
      <c r="W14" s="23"/>
      <c r="X14" s="23"/>
      <c r="Y14" s="23" t="s">
        <v>150</v>
      </c>
      <c r="Z14" s="23" t="s">
        <v>150</v>
      </c>
      <c r="AA14" s="23" t="s">
        <v>152</v>
      </c>
      <c r="AB14" s="23"/>
      <c r="AC14" s="23" t="s">
        <v>150</v>
      </c>
      <c r="AD14" s="23" t="s">
        <v>150</v>
      </c>
      <c r="AE14" s="23" t="s">
        <v>150</v>
      </c>
      <c r="AF14" s="23"/>
      <c r="AG14" s="23"/>
      <c r="AH14" s="83">
        <f>SUM(AH105:AH106)</f>
        <v>174.3</v>
      </c>
      <c r="AI14" s="84">
        <f>AH14-C37</f>
        <v>12.300000000000011</v>
      </c>
      <c r="AJ14" s="84">
        <f>SUM(C110:AG110)</f>
        <v>24</v>
      </c>
      <c r="AK14" s="84">
        <f t="shared" si="2"/>
        <v>8</v>
      </c>
      <c r="AL14" s="18">
        <f>SUM(C111:AG111)</f>
        <v>15</v>
      </c>
      <c r="CF14"/>
    </row>
    <row r="15" spans="1:84" s="2" customFormat="1" ht="19.5" customHeight="1" x14ac:dyDescent="0.25">
      <c r="A15" s="268" t="s">
        <v>161</v>
      </c>
      <c r="B15" s="268"/>
      <c r="C15" s="23"/>
      <c r="D15" s="23" t="s">
        <v>152</v>
      </c>
      <c r="E15" s="23" t="s">
        <v>152</v>
      </c>
      <c r="F15" s="23"/>
      <c r="G15" s="23"/>
      <c r="H15" s="23" t="s">
        <v>152</v>
      </c>
      <c r="I15" s="23" t="s">
        <v>152</v>
      </c>
      <c r="J15" s="23" t="s">
        <v>152</v>
      </c>
      <c r="K15" s="23"/>
      <c r="L15" s="23" t="s">
        <v>150</v>
      </c>
      <c r="M15" s="23" t="s">
        <v>152</v>
      </c>
      <c r="N15" s="23" t="s">
        <v>152</v>
      </c>
      <c r="O15" s="23"/>
      <c r="P15" s="23" t="s">
        <v>150</v>
      </c>
      <c r="Q15" s="23" t="s">
        <v>150</v>
      </c>
      <c r="R15" s="23" t="s">
        <v>152</v>
      </c>
      <c r="S15" s="23" t="s">
        <v>152</v>
      </c>
      <c r="T15" s="23"/>
      <c r="U15" s="23"/>
      <c r="V15" s="23" t="s">
        <v>152</v>
      </c>
      <c r="W15" s="23" t="s">
        <v>152</v>
      </c>
      <c r="X15" s="23" t="s">
        <v>152</v>
      </c>
      <c r="Y15" s="23"/>
      <c r="Z15" s="23"/>
      <c r="AA15" s="23"/>
      <c r="AB15" s="23" t="s">
        <v>152</v>
      </c>
      <c r="AC15" s="23"/>
      <c r="AD15" s="23"/>
      <c r="AE15" s="23"/>
      <c r="AF15" s="23" t="s">
        <v>152</v>
      </c>
      <c r="AG15" s="23"/>
      <c r="AH15" s="83">
        <f>SUM(AH116:AH117)</f>
        <v>204</v>
      </c>
      <c r="AI15" s="84">
        <f>AH15-C37</f>
        <v>42</v>
      </c>
      <c r="AJ15" s="84">
        <f>SUM(C121:AG121)</f>
        <v>72</v>
      </c>
      <c r="AK15" s="84">
        <f t="shared" si="2"/>
        <v>112</v>
      </c>
      <c r="AL15" s="18">
        <f>SUM(C122:AG122)</f>
        <v>0</v>
      </c>
      <c r="CF15"/>
    </row>
    <row r="16" spans="1:84" s="2" customFormat="1" ht="19.5" customHeight="1" x14ac:dyDescent="0.25">
      <c r="A16" s="268" t="s">
        <v>162</v>
      </c>
      <c r="B16" s="268"/>
      <c r="C16" s="23" t="s">
        <v>152</v>
      </c>
      <c r="D16" s="23"/>
      <c r="E16" s="23"/>
      <c r="F16" s="23" t="s">
        <v>152</v>
      </c>
      <c r="G16" s="23" t="s">
        <v>152</v>
      </c>
      <c r="H16" s="23"/>
      <c r="I16" s="23"/>
      <c r="J16" s="23"/>
      <c r="K16" s="23" t="s">
        <v>152</v>
      </c>
      <c r="L16" s="23" t="s">
        <v>152</v>
      </c>
      <c r="M16" s="23"/>
      <c r="N16" s="23"/>
      <c r="O16" s="23" t="s">
        <v>152</v>
      </c>
      <c r="P16" s="23" t="s">
        <v>152</v>
      </c>
      <c r="Q16" s="23" t="s">
        <v>152</v>
      </c>
      <c r="R16" s="23"/>
      <c r="S16" s="23"/>
      <c r="T16" s="23" t="s">
        <v>152</v>
      </c>
      <c r="U16" s="23" t="s">
        <v>152</v>
      </c>
      <c r="V16" s="23"/>
      <c r="W16" s="23"/>
      <c r="X16" s="23"/>
      <c r="Y16" s="23" t="s">
        <v>152</v>
      </c>
      <c r="Z16" s="23" t="s">
        <v>152</v>
      </c>
      <c r="AA16" s="23"/>
      <c r="AB16" s="23"/>
      <c r="AC16" s="23" t="s">
        <v>152</v>
      </c>
      <c r="AD16" s="23" t="s">
        <v>152</v>
      </c>
      <c r="AE16" s="23" t="s">
        <v>152</v>
      </c>
      <c r="AF16" s="23"/>
      <c r="AG16" s="23"/>
      <c r="AH16" s="83">
        <f>SUM(AH127:AH128)</f>
        <v>180</v>
      </c>
      <c r="AI16" s="84">
        <f>AH16-C37</f>
        <v>18</v>
      </c>
      <c r="AJ16" s="84">
        <f>SUM(C132:AG132)</f>
        <v>54</v>
      </c>
      <c r="AK16" s="84">
        <f t="shared" si="2"/>
        <v>120</v>
      </c>
      <c r="AL16" s="18">
        <f>SUM(C133:AG133)</f>
        <v>0</v>
      </c>
      <c r="CF16"/>
    </row>
    <row r="17" spans="1:87" s="2" customFormat="1" ht="19.5" customHeight="1" x14ac:dyDescent="0.25">
      <c r="A17" s="268" t="s">
        <v>163</v>
      </c>
      <c r="B17" s="268"/>
      <c r="C17" s="23"/>
      <c r="D17" s="23" t="s">
        <v>154</v>
      </c>
      <c r="E17" s="23" t="s">
        <v>154</v>
      </c>
      <c r="F17" s="23" t="s">
        <v>154</v>
      </c>
      <c r="G17" s="23" t="s">
        <v>154</v>
      </c>
      <c r="H17" s="23"/>
      <c r="I17" s="23"/>
      <c r="J17" s="23"/>
      <c r="K17" s="23" t="s">
        <v>154</v>
      </c>
      <c r="L17" s="23" t="s">
        <v>154</v>
      </c>
      <c r="M17" s="23" t="s">
        <v>154</v>
      </c>
      <c r="N17" s="23"/>
      <c r="O17" s="23" t="s">
        <v>154</v>
      </c>
      <c r="P17" s="23" t="s">
        <v>154</v>
      </c>
      <c r="Q17" s="23" t="s">
        <v>154</v>
      </c>
      <c r="R17" s="23" t="s">
        <v>154</v>
      </c>
      <c r="S17" s="23" t="s">
        <v>154</v>
      </c>
      <c r="T17" s="23"/>
      <c r="U17" s="23" t="s">
        <v>154</v>
      </c>
      <c r="V17" s="23"/>
      <c r="W17" s="23"/>
      <c r="X17" s="23"/>
      <c r="Y17" s="23"/>
      <c r="Z17" s="23" t="s">
        <v>154</v>
      </c>
      <c r="AA17" s="23" t="s">
        <v>154</v>
      </c>
      <c r="AB17" s="23" t="s">
        <v>154</v>
      </c>
      <c r="AC17" s="23" t="s">
        <v>154</v>
      </c>
      <c r="AD17" s="23" t="s">
        <v>154</v>
      </c>
      <c r="AE17" s="23" t="s">
        <v>154</v>
      </c>
      <c r="AF17" s="23" t="s">
        <v>154</v>
      </c>
      <c r="AG17" s="23"/>
      <c r="AH17" s="83">
        <f>SUM(AH138:AH139)</f>
        <v>159.99999999999943</v>
      </c>
      <c r="AI17" s="84">
        <f>AH17-C37</f>
        <v>-2.0000000000005684</v>
      </c>
      <c r="AJ17" s="84">
        <f>SUM(C143:AG143)</f>
        <v>32</v>
      </c>
      <c r="AK17" s="84">
        <f t="shared" si="2"/>
        <v>160</v>
      </c>
      <c r="AL17" s="18">
        <f>SUM(C144:AG144)</f>
        <v>0</v>
      </c>
      <c r="CF17"/>
    </row>
    <row r="18" spans="1:87" s="2" customFormat="1" ht="19.5" customHeight="1" x14ac:dyDescent="0.25">
      <c r="A18" s="268" t="s">
        <v>169</v>
      </c>
      <c r="B18" s="268"/>
      <c r="C18" s="23" t="s">
        <v>154</v>
      </c>
      <c r="D18" s="23"/>
      <c r="E18" s="23"/>
      <c r="F18" s="23"/>
      <c r="G18" s="23"/>
      <c r="H18" s="23" t="s">
        <v>153</v>
      </c>
      <c r="I18" s="23" t="s">
        <v>153</v>
      </c>
      <c r="J18" s="23" t="s">
        <v>153</v>
      </c>
      <c r="K18" s="23"/>
      <c r="L18" s="23"/>
      <c r="M18" s="23"/>
      <c r="N18" s="23" t="s">
        <v>154</v>
      </c>
      <c r="O18" s="23"/>
      <c r="P18" s="23"/>
      <c r="Q18" s="23"/>
      <c r="R18" s="23"/>
      <c r="S18" s="23"/>
      <c r="T18" s="23" t="s">
        <v>153</v>
      </c>
      <c r="U18" s="23" t="s">
        <v>153</v>
      </c>
      <c r="V18" s="23" t="s">
        <v>153</v>
      </c>
      <c r="W18" s="23" t="s">
        <v>153</v>
      </c>
      <c r="X18" s="23" t="s">
        <v>153</v>
      </c>
      <c r="Y18" s="23" t="s">
        <v>153</v>
      </c>
      <c r="Z18" s="23" t="s">
        <v>153</v>
      </c>
      <c r="AA18" s="23"/>
      <c r="AB18" s="23"/>
      <c r="AC18" s="23" t="s">
        <v>153</v>
      </c>
      <c r="AD18" s="23" t="s">
        <v>153</v>
      </c>
      <c r="AE18" s="23" t="s">
        <v>153</v>
      </c>
      <c r="AF18" s="23"/>
      <c r="AG18" s="23"/>
      <c r="AH18" s="83">
        <f>SUM(AH149:AH150)</f>
        <v>171.99999999999994</v>
      </c>
      <c r="AI18" s="84">
        <f>AH18-C37</f>
        <v>9.9999999999999432</v>
      </c>
      <c r="AJ18" s="84">
        <f>SUM(C154:AG154)</f>
        <v>74</v>
      </c>
      <c r="AK18" s="84">
        <f t="shared" si="2"/>
        <v>120</v>
      </c>
      <c r="AL18" s="18">
        <f>SUM(C155:AG155)</f>
        <v>0</v>
      </c>
      <c r="CF18"/>
    </row>
    <row r="19" spans="1:87" s="2" customFormat="1" ht="19.5" customHeight="1" x14ac:dyDescent="0.25">
      <c r="A19" s="268"/>
      <c r="B19" s="268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83">
        <f>SUM(AH160:AH161)</f>
        <v>0</v>
      </c>
      <c r="AI19" s="84">
        <f>AH19-C37</f>
        <v>-162</v>
      </c>
      <c r="AJ19" s="84">
        <f>SUM(C165:AG165)</f>
        <v>0</v>
      </c>
      <c r="AK19" s="84">
        <f t="shared" si="2"/>
        <v>0</v>
      </c>
      <c r="AL19" s="18">
        <f>SUM(C166:AG166)</f>
        <v>0</v>
      </c>
      <c r="CF19"/>
    </row>
    <row r="20" spans="1:87" s="2" customFormat="1" ht="19.5" customHeight="1" x14ac:dyDescent="0.25">
      <c r="A20" s="268"/>
      <c r="B20" s="268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83">
        <f>SUM(AH171:AH172)</f>
        <v>0</v>
      </c>
      <c r="AI20" s="84">
        <f>AH20-C37</f>
        <v>-162</v>
      </c>
      <c r="AJ20" s="84">
        <f>SUM(C176:AG176)</f>
        <v>0</v>
      </c>
      <c r="AK20" s="84">
        <f t="shared" si="2"/>
        <v>0</v>
      </c>
      <c r="AL20" s="18">
        <f>SUM(C177:AG177)</f>
        <v>0</v>
      </c>
      <c r="CF20"/>
    </row>
    <row r="21" spans="1:87" s="2" customFormat="1" ht="19.5" customHeight="1" x14ac:dyDescent="0.25">
      <c r="A21" s="10"/>
      <c r="B21" s="29" t="s">
        <v>8</v>
      </c>
      <c r="C21" s="113">
        <f>SUM(C51+C62+C73+C84+C95+C106+C117+C128+C139+C150+C161+C172)</f>
        <v>55.999999999999972</v>
      </c>
      <c r="D21" s="113">
        <f t="shared" ref="D21:AG21" si="3">SUM(D51+D62+D73+D84+D95+D106+D117+D128+D139+D150+D161+D172)</f>
        <v>55.999999999999972</v>
      </c>
      <c r="E21" s="113">
        <f t="shared" si="3"/>
        <v>55.999999999999972</v>
      </c>
      <c r="F21" s="113">
        <f t="shared" si="3"/>
        <v>55.999999999999972</v>
      </c>
      <c r="G21" s="113">
        <f t="shared" si="3"/>
        <v>55.999999999999972</v>
      </c>
      <c r="H21" s="113">
        <f t="shared" si="3"/>
        <v>55.999999999999972</v>
      </c>
      <c r="I21" s="113">
        <f t="shared" si="3"/>
        <v>55.999999999999972</v>
      </c>
      <c r="J21" s="113">
        <f t="shared" si="3"/>
        <v>55.999999999999972</v>
      </c>
      <c r="K21" s="113">
        <f t="shared" si="3"/>
        <v>55.999999999999972</v>
      </c>
      <c r="L21" s="113">
        <f t="shared" si="3"/>
        <v>55.999999999999972</v>
      </c>
      <c r="M21" s="113">
        <f t="shared" si="3"/>
        <v>55.999999999999972</v>
      </c>
      <c r="N21" s="113">
        <f t="shared" si="3"/>
        <v>55.999999999999972</v>
      </c>
      <c r="O21" s="113">
        <f t="shared" si="3"/>
        <v>55.999999999999972</v>
      </c>
      <c r="P21" s="113">
        <f t="shared" si="3"/>
        <v>55.999999999999972</v>
      </c>
      <c r="Q21" s="113">
        <f t="shared" si="3"/>
        <v>55.999999999999972</v>
      </c>
      <c r="R21" s="113">
        <f t="shared" si="3"/>
        <v>55.999999999999972</v>
      </c>
      <c r="S21" s="113">
        <f t="shared" si="3"/>
        <v>55.999999999999972</v>
      </c>
      <c r="T21" s="113">
        <f t="shared" si="3"/>
        <v>55.999999999999972</v>
      </c>
      <c r="U21" s="113">
        <f t="shared" si="3"/>
        <v>55.999999999999972</v>
      </c>
      <c r="V21" s="113">
        <f t="shared" si="3"/>
        <v>55.999999999999972</v>
      </c>
      <c r="W21" s="113">
        <f t="shared" si="3"/>
        <v>55.999999999999972</v>
      </c>
      <c r="X21" s="113">
        <f t="shared" si="3"/>
        <v>55.999999999999972</v>
      </c>
      <c r="Y21" s="113">
        <f t="shared" si="3"/>
        <v>55.999999999999972</v>
      </c>
      <c r="Z21" s="113">
        <f t="shared" si="3"/>
        <v>55.999999999999972</v>
      </c>
      <c r="AA21" s="113">
        <f t="shared" si="3"/>
        <v>55.999999999999972</v>
      </c>
      <c r="AB21" s="113">
        <f t="shared" si="3"/>
        <v>55.999999999999972</v>
      </c>
      <c r="AC21" s="113">
        <f t="shared" si="3"/>
        <v>55.999999999999972</v>
      </c>
      <c r="AD21" s="113">
        <f t="shared" si="3"/>
        <v>55.999999999999972</v>
      </c>
      <c r="AE21" s="113">
        <f t="shared" si="3"/>
        <v>55.999999999999972</v>
      </c>
      <c r="AF21" s="113">
        <f t="shared" si="3"/>
        <v>55.999999999999972</v>
      </c>
      <c r="AG21" s="113">
        <f t="shared" si="3"/>
        <v>0</v>
      </c>
      <c r="AH21" s="30"/>
      <c r="AI21" s="30"/>
      <c r="AJ21" s="30"/>
      <c r="AK21" s="30"/>
      <c r="AL21" s="30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</row>
    <row r="22" spans="1:87" s="2" customFormat="1" ht="19.5" customHeight="1" x14ac:dyDescent="0.25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</row>
    <row r="23" spans="1:87" s="2" customFormat="1" ht="19.5" customHeight="1" x14ac:dyDescent="0.25">
      <c r="A23" s="80"/>
      <c r="B23" s="80"/>
      <c r="C23" s="273" t="s">
        <v>9</v>
      </c>
      <c r="D23" s="273"/>
      <c r="E23" s="273"/>
      <c r="F23" s="273"/>
      <c r="G23" s="273"/>
      <c r="H23" s="273"/>
      <c r="I23" s="82"/>
      <c r="J23" s="274" t="s">
        <v>9</v>
      </c>
      <c r="K23" s="274"/>
      <c r="L23" s="274"/>
      <c r="M23" s="274"/>
      <c r="N23" s="274"/>
      <c r="O23" s="274"/>
      <c r="P23" s="32"/>
      <c r="Q23" s="274" t="s">
        <v>136</v>
      </c>
      <c r="R23" s="274"/>
      <c r="S23" s="274"/>
      <c r="T23" s="274"/>
      <c r="U23" s="274"/>
      <c r="V23" s="274"/>
      <c r="W23" s="274"/>
      <c r="X23" s="274"/>
      <c r="Y23" s="274"/>
      <c r="Z23" s="274"/>
      <c r="AA23" s="274"/>
      <c r="AB23" s="82"/>
      <c r="AC23" s="82"/>
      <c r="AD23" s="82"/>
      <c r="AE23" s="82"/>
      <c r="AF23" s="80"/>
      <c r="AG23" s="80"/>
      <c r="AH23" s="80"/>
      <c r="AI23" s="80"/>
      <c r="AJ23" s="80"/>
      <c r="AK23" s="80"/>
      <c r="AL23" s="80"/>
      <c r="AM23"/>
      <c r="AN23"/>
      <c r="AO23"/>
      <c r="AP23"/>
      <c r="AQ23" s="1" t="s">
        <v>10</v>
      </c>
      <c r="AR23" s="1"/>
      <c r="AS23" s="1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</row>
    <row r="24" spans="1:87" ht="14.45" customHeight="1" x14ac:dyDescent="0.25">
      <c r="A24" s="82"/>
      <c r="B24" s="82"/>
      <c r="C24" s="108" t="str">
        <f t="shared" ref="C24:D26" si="4">R32</f>
        <v>D1</v>
      </c>
      <c r="D24" s="275">
        <f t="shared" si="4"/>
        <v>0.25</v>
      </c>
      <c r="E24" s="275"/>
      <c r="F24" s="33" t="s">
        <v>11</v>
      </c>
      <c r="G24" s="276">
        <f t="shared" ref="G24:G26" si="5">V32</f>
        <v>0.75</v>
      </c>
      <c r="H24" s="276"/>
      <c r="I24" s="105"/>
      <c r="J24" s="107" t="str">
        <f t="shared" ref="J24:K26" si="6">R35</f>
        <v>N2</v>
      </c>
      <c r="K24" s="277">
        <f t="shared" si="6"/>
        <v>0.79166666666666663</v>
      </c>
      <c r="L24" s="278"/>
      <c r="M24" s="110" t="s">
        <v>11</v>
      </c>
      <c r="N24" s="277">
        <f>V35</f>
        <v>0.29166666666666669</v>
      </c>
      <c r="O24" s="279"/>
      <c r="P24" s="32"/>
      <c r="Q24" s="107" t="str">
        <f>R38</f>
        <v>G</v>
      </c>
      <c r="R24" s="280"/>
      <c r="S24" s="280"/>
      <c r="T24" s="109" t="s">
        <v>11</v>
      </c>
      <c r="U24" s="280"/>
      <c r="V24" s="280"/>
      <c r="W24" s="281"/>
      <c r="X24" s="280"/>
      <c r="Y24" s="109" t="s">
        <v>11</v>
      </c>
      <c r="Z24" s="282"/>
      <c r="AA24" s="283"/>
      <c r="AB24" s="106"/>
      <c r="AC24" s="80"/>
      <c r="AD24" s="104"/>
      <c r="AE24" s="104"/>
      <c r="AF24" s="104"/>
      <c r="AG24" s="107" t="s">
        <v>12</v>
      </c>
      <c r="AH24" s="256" t="s">
        <v>1</v>
      </c>
      <c r="AI24" s="257"/>
      <c r="AJ24" s="245"/>
      <c r="AK24" s="245"/>
      <c r="AL24" s="245"/>
      <c r="AM24"/>
      <c r="AN24"/>
      <c r="AO24"/>
      <c r="AP24"/>
      <c r="AQ24" s="1" t="s">
        <v>13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</row>
    <row r="25" spans="1:87" s="2" customFormat="1" ht="14.45" customHeight="1" x14ac:dyDescent="0.25">
      <c r="A25" s="82"/>
      <c r="B25" s="82"/>
      <c r="C25" s="108" t="str">
        <f t="shared" si="4"/>
        <v>N1</v>
      </c>
      <c r="D25" s="275">
        <f t="shared" si="4"/>
        <v>0.75</v>
      </c>
      <c r="E25" s="275"/>
      <c r="F25" s="33" t="s">
        <v>11</v>
      </c>
      <c r="G25" s="276">
        <f t="shared" si="5"/>
        <v>0.25</v>
      </c>
      <c r="H25" s="276"/>
      <c r="I25" s="105"/>
      <c r="J25" s="107" t="str">
        <f t="shared" si="6"/>
        <v>N3</v>
      </c>
      <c r="K25" s="280">
        <f t="shared" si="6"/>
        <v>0.91666666666666663</v>
      </c>
      <c r="L25" s="278"/>
      <c r="M25" s="110" t="s">
        <v>11</v>
      </c>
      <c r="N25" s="280">
        <f>V36</f>
        <v>0.25</v>
      </c>
      <c r="O25" s="279"/>
      <c r="P25" s="32"/>
      <c r="Q25" s="107" t="str">
        <f>R39</f>
        <v>H</v>
      </c>
      <c r="R25" s="280"/>
      <c r="S25" s="280"/>
      <c r="T25" s="109" t="s">
        <v>11</v>
      </c>
      <c r="U25" s="280"/>
      <c r="V25" s="280"/>
      <c r="W25" s="281"/>
      <c r="X25" s="280"/>
      <c r="Y25" s="109" t="s">
        <v>11</v>
      </c>
      <c r="Z25" s="284"/>
      <c r="AA25" s="283"/>
      <c r="AB25" s="106"/>
      <c r="AC25" s="80"/>
      <c r="AD25" s="104"/>
      <c r="AE25" s="104"/>
      <c r="AF25" s="104"/>
      <c r="AG25" s="107" t="s">
        <v>14</v>
      </c>
      <c r="AH25" s="256" t="s">
        <v>59</v>
      </c>
      <c r="AI25" s="257"/>
      <c r="AJ25" s="245"/>
      <c r="AK25" s="245"/>
      <c r="AL25" s="245"/>
      <c r="AM25"/>
      <c r="AN25"/>
      <c r="AO25"/>
      <c r="AP25"/>
      <c r="AQ25" s="1" t="s">
        <v>15</v>
      </c>
      <c r="AR25" s="1"/>
      <c r="AS25" s="1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</row>
    <row r="26" spans="1:87" s="2" customFormat="1" ht="14.45" customHeight="1" x14ac:dyDescent="0.25">
      <c r="A26" s="82"/>
      <c r="B26" s="82"/>
      <c r="C26" s="108" t="str">
        <f t="shared" si="4"/>
        <v>D2</v>
      </c>
      <c r="D26" s="275">
        <f t="shared" si="4"/>
        <v>0.29166666666666669</v>
      </c>
      <c r="E26" s="275"/>
      <c r="F26" s="33" t="s">
        <v>11</v>
      </c>
      <c r="G26" s="276">
        <f t="shared" si="5"/>
        <v>0.79166666666666663</v>
      </c>
      <c r="H26" s="276"/>
      <c r="I26" s="105"/>
      <c r="J26" s="107" t="str">
        <f t="shared" si="6"/>
        <v>F</v>
      </c>
      <c r="K26" s="280">
        <f t="shared" si="6"/>
        <v>0.20833333333333334</v>
      </c>
      <c r="L26" s="278"/>
      <c r="M26" s="110" t="s">
        <v>11</v>
      </c>
      <c r="N26" s="280">
        <f>V37</f>
        <v>0.25</v>
      </c>
      <c r="O26" s="279"/>
      <c r="P26" s="32"/>
      <c r="Q26" s="107" t="str">
        <f>R40</f>
        <v>I</v>
      </c>
      <c r="R26" s="280"/>
      <c r="S26" s="280"/>
      <c r="T26" s="109" t="s">
        <v>11</v>
      </c>
      <c r="U26" s="280"/>
      <c r="V26" s="280"/>
      <c r="W26" s="281"/>
      <c r="X26" s="280"/>
      <c r="Y26" s="109" t="s">
        <v>11</v>
      </c>
      <c r="Z26" s="284"/>
      <c r="AA26" s="283"/>
      <c r="AB26" s="106"/>
      <c r="AC26" s="80"/>
      <c r="AD26" s="104"/>
      <c r="AE26" s="104"/>
      <c r="AF26" s="104"/>
      <c r="AG26" s="107" t="s">
        <v>16</v>
      </c>
      <c r="AH26" s="256" t="s">
        <v>42</v>
      </c>
      <c r="AI26" s="257"/>
      <c r="AJ26" s="245"/>
      <c r="AK26" s="245"/>
      <c r="AL26" s="245"/>
      <c r="AM26"/>
      <c r="AN26"/>
      <c r="AO26"/>
      <c r="AP26"/>
      <c r="AQ26" s="1" t="s">
        <v>17</v>
      </c>
      <c r="AR26" s="1"/>
      <c r="AS26" s="1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</row>
    <row r="27" spans="1:87" s="2" customFormat="1" ht="14.45" customHeight="1" x14ac:dyDescent="0.25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82"/>
      <c r="Z27" s="82"/>
      <c r="AA27" s="82"/>
      <c r="AB27" s="82"/>
      <c r="AC27" s="82"/>
      <c r="AD27" s="82"/>
      <c r="AE27" s="262"/>
      <c r="AF27" s="262"/>
      <c r="AG27" s="82"/>
      <c r="AH27" s="82"/>
      <c r="AI27" s="82"/>
      <c r="AJ27" s="32"/>
      <c r="AK27" s="32"/>
      <c r="AL27" s="32"/>
    </row>
    <row r="28" spans="1:87" s="2" customFormat="1" ht="14.45" customHeight="1" x14ac:dyDescent="0.25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32"/>
      <c r="AK28" s="32"/>
      <c r="AL28" s="32"/>
    </row>
    <row r="29" spans="1:87" s="2" customFormat="1" ht="14.45" customHeight="1" x14ac:dyDescent="0.25">
      <c r="A29" s="82"/>
      <c r="B29" s="81" t="s">
        <v>18</v>
      </c>
      <c r="C29" s="251" t="str">
        <f>E43</f>
        <v xml:space="preserve">*Aquí notas que se vean en el cuadrante... </v>
      </c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  <c r="AA29" s="251"/>
      <c r="AB29" s="251"/>
      <c r="AC29" s="251"/>
      <c r="AD29" s="251"/>
      <c r="AE29" s="251"/>
      <c r="AF29" s="251"/>
      <c r="AG29" s="251"/>
      <c r="AH29" s="251"/>
      <c r="AI29" s="251"/>
      <c r="AJ29" s="251"/>
      <c r="AK29" s="32"/>
      <c r="AL29" s="32"/>
    </row>
    <row r="30" spans="1:87" s="2" customFormat="1" ht="19.5" customHeight="1" x14ac:dyDescent="0.35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32"/>
      <c r="AK30" s="32"/>
      <c r="AL30" s="32"/>
      <c r="AN30" s="5" t="s">
        <v>19</v>
      </c>
      <c r="AO30" s="5"/>
      <c r="AP30" s="5" t="s">
        <v>20</v>
      </c>
      <c r="AQ30" s="5" t="s">
        <v>21</v>
      </c>
      <c r="AR30" s="5"/>
      <c r="AS30" s="5"/>
      <c r="AT30" s="5"/>
      <c r="AU30" s="5"/>
      <c r="AV30" s="5"/>
      <c r="AW30" s="5"/>
      <c r="AX30" s="5" t="s">
        <v>22</v>
      </c>
      <c r="AY30" s="5"/>
      <c r="AZ30" s="5" t="s">
        <v>23</v>
      </c>
      <c r="BA30" s="5"/>
      <c r="BB30" s="5"/>
      <c r="BC30" s="5"/>
      <c r="BD30" s="5" t="s">
        <v>24</v>
      </c>
    </row>
    <row r="31" spans="1:87" s="2" customFormat="1" ht="19.5" customHeight="1" x14ac:dyDescent="0.25">
      <c r="A31" s="252" t="s">
        <v>25</v>
      </c>
      <c r="B31" s="252"/>
      <c r="C31" s="252"/>
      <c r="D31" s="252"/>
      <c r="E31" s="252"/>
      <c r="F31" s="252"/>
      <c r="G31" s="252"/>
      <c r="H31" s="252"/>
      <c r="I31" s="252"/>
      <c r="J31" s="252"/>
      <c r="K31" s="252"/>
      <c r="L31" s="252"/>
      <c r="M31" s="252"/>
      <c r="N31" s="252"/>
      <c r="O31" s="114"/>
      <c r="P31" s="114"/>
      <c r="Q31" s="114"/>
      <c r="R31" s="252" t="s">
        <v>9</v>
      </c>
      <c r="S31" s="252"/>
      <c r="T31" s="252"/>
      <c r="U31" s="252"/>
      <c r="V31" s="252"/>
      <c r="W31" s="252"/>
      <c r="X31" s="115"/>
      <c r="Y31" s="115"/>
      <c r="Z31" s="115"/>
      <c r="AA31" s="115"/>
      <c r="AB31" s="115"/>
      <c r="AC31" s="116"/>
      <c r="AD31" s="253" t="s">
        <v>26</v>
      </c>
      <c r="AE31" s="253"/>
      <c r="AF31" s="253"/>
      <c r="AG31" s="253"/>
      <c r="AH31" s="253"/>
      <c r="AI31" s="253"/>
      <c r="AJ31" s="114"/>
      <c r="AK31" s="212" t="s">
        <v>6</v>
      </c>
      <c r="AL31" s="114"/>
      <c r="AN31" s="97" t="s">
        <v>27</v>
      </c>
      <c r="AO31" s="97" t="s">
        <v>28</v>
      </c>
      <c r="AP31" s="97" t="s">
        <v>29</v>
      </c>
      <c r="AQ31" s="97" t="s">
        <v>30</v>
      </c>
      <c r="AR31" s="261" t="s">
        <v>31</v>
      </c>
      <c r="AS31" s="261"/>
      <c r="AT31" s="261"/>
      <c r="AU31" s="261"/>
      <c r="AV31" s="261"/>
      <c r="AW31" s="261"/>
      <c r="AX31" s="261"/>
      <c r="AY31" s="261"/>
      <c r="AZ31" s="261"/>
      <c r="BA31" s="97" t="s">
        <v>32</v>
      </c>
      <c r="BB31" s="260" t="s">
        <v>33</v>
      </c>
      <c r="BC31" s="260"/>
      <c r="BD31" s="103" t="s">
        <v>34</v>
      </c>
      <c r="BE31" s="56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</row>
    <row r="32" spans="1:87" s="2" customFormat="1" ht="19.5" customHeight="1" x14ac:dyDescent="0.25">
      <c r="A32" s="238" t="s">
        <v>35</v>
      </c>
      <c r="B32" s="238"/>
      <c r="C32" s="242" t="str">
        <f>CONTROL!B34</f>
        <v>EMPRESA</v>
      </c>
      <c r="D32" s="242"/>
      <c r="E32" s="242"/>
      <c r="F32" s="242"/>
      <c r="G32" s="242"/>
      <c r="H32" s="242"/>
      <c r="I32" s="242"/>
      <c r="J32" s="242"/>
      <c r="K32" s="242"/>
      <c r="L32" s="242"/>
      <c r="M32" s="242"/>
      <c r="N32" s="242"/>
      <c r="O32" s="114"/>
      <c r="P32" s="114"/>
      <c r="Q32" s="117"/>
      <c r="R32" s="85" t="s">
        <v>150</v>
      </c>
      <c r="S32" s="240">
        <v>0.25</v>
      </c>
      <c r="T32" s="240"/>
      <c r="U32" s="118" t="s">
        <v>11</v>
      </c>
      <c r="V32" s="241">
        <v>0.75</v>
      </c>
      <c r="W32" s="241"/>
      <c r="X32" s="115"/>
      <c r="Y32" s="115"/>
      <c r="Z32" s="115"/>
      <c r="AA32" s="115"/>
      <c r="AB32" s="115"/>
      <c r="AC32" s="116"/>
      <c r="AD32" s="250" t="s">
        <v>36</v>
      </c>
      <c r="AE32" s="250"/>
      <c r="AF32" s="250"/>
      <c r="AG32" s="250"/>
      <c r="AH32" s="86">
        <v>0.5</v>
      </c>
      <c r="AI32" s="254">
        <f>AH32/24</f>
        <v>2.0833333333333332E-2</v>
      </c>
      <c r="AJ32" s="255"/>
      <c r="AK32" s="217">
        <f>AH49</f>
        <v>0</v>
      </c>
      <c r="AL32" s="214" t="s">
        <v>90</v>
      </c>
      <c r="AM32" s="9"/>
      <c r="AN32" s="34">
        <f t="shared" ref="AN32:AN40" si="7">IF(AS32/24=0,0,AS32/24)</f>
        <v>0</v>
      </c>
      <c r="AO32" s="35">
        <f t="shared" ref="AO32:AO40" si="8">IF(BA32=0,"",BA32)</f>
        <v>0.5</v>
      </c>
      <c r="AP32" s="36">
        <f t="shared" ref="AP32:AP39" si="9">S32*24</f>
        <v>6</v>
      </c>
      <c r="AQ32" s="36">
        <f t="shared" ref="AQ32:AQ40" si="10">V32*24</f>
        <v>18</v>
      </c>
      <c r="AR32" s="36">
        <f t="shared" ref="AR32:AR40" si="11">AS32</f>
        <v>0</v>
      </c>
      <c r="AS32" s="37">
        <f t="shared" ref="AS32:AS40" si="12">IF(AV32&gt;=4,AT32,AT32)</f>
        <v>0</v>
      </c>
      <c r="AT32" s="38">
        <f t="shared" ref="AT32:AT40" si="13">IF(AV32&gt;8,8,AU32)</f>
        <v>0</v>
      </c>
      <c r="AU32" s="39">
        <f t="shared" ref="AU32:AU40" si="14">IF(AV32&lt;0,0,AV32)</f>
        <v>0</v>
      </c>
      <c r="AV32" s="40">
        <f t="shared" ref="AV32:AV40" si="15">IF(AP32=AQ32,0,IF(AP32&gt;AQ32,AW32,IF(AP32&gt;=6,AX32,AQ32-AP32)))</f>
        <v>-12</v>
      </c>
      <c r="AW32" s="36">
        <f t="shared" ref="AW32:AW40" si="16">IF(AP32&lt;6,(AQ32-22+24)+(6-AP32),IF(AP32&gt;=22,AY32,IF(AV2&lt;=6,(AQ32-22)+24,8)))</f>
        <v>20</v>
      </c>
      <c r="AX32" s="41">
        <f t="shared" ref="AX32:AX40" si="17">IF(AQ32&gt;22,AZ32,IF(AP32&lt;AQ32,AP32-AQ32,IF(AP32&gt;6,0,(6-AP32))))</f>
        <v>-12</v>
      </c>
      <c r="AY32" s="36">
        <f t="shared" ref="AY32:AY40" si="18">IF(AQ32&lt;=6,(AQ32-AP32)+24,IF(AQ32&gt;22,8,(6-AP32)+24))</f>
        <v>24</v>
      </c>
      <c r="AZ32" s="42">
        <f t="shared" ref="AZ32:AZ40" si="19">IF(AP32&lt;=6,(6-AP32)+(AQ32-22),IF(AP32&gt;22,(AQ32-AP32),(AQ32-22)))</f>
        <v>-4</v>
      </c>
      <c r="BA32" s="36">
        <f t="shared" ref="BA32:BA40" si="20">IF(V32-S32&gt;=0,V32-S32,V32-S32+24)</f>
        <v>0.5</v>
      </c>
      <c r="BB32" s="36">
        <f t="shared" ref="BB32:BB40" si="21">IF(AO32&lt;1,AO32*24,(AO32-24)*24)</f>
        <v>12</v>
      </c>
      <c r="BC32" s="36">
        <f t="shared" ref="BC32:BC40" si="22">IF(BB32&gt;=0,BB32,BB32+24)</f>
        <v>12</v>
      </c>
      <c r="BD32" s="43">
        <f t="shared" ref="BD32:BD40" si="23">IF(AX32&lt;=0,AN32,IF(AX32&gt;=0.1,AX32/24))</f>
        <v>0</v>
      </c>
      <c r="BE32" s="44" t="str">
        <f t="shared" ref="BE32:BE34" si="24">IF(BD38&gt;=4,IF(BD38="",0,8),IF(BD38&gt;=0.1,IF(BD38="",0,BD38),""))</f>
        <v/>
      </c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</row>
    <row r="33" spans="1:80" s="2" customFormat="1" ht="19.5" customHeight="1" x14ac:dyDescent="0.25">
      <c r="A33" s="238" t="s">
        <v>37</v>
      </c>
      <c r="B33" s="238"/>
      <c r="C33" s="242" t="str">
        <f>CONTROL!B35</f>
        <v>CENTRO</v>
      </c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114"/>
      <c r="P33" s="114"/>
      <c r="Q33" s="117"/>
      <c r="R33" s="85" t="s">
        <v>152</v>
      </c>
      <c r="S33" s="240">
        <v>0.75</v>
      </c>
      <c r="T33" s="240"/>
      <c r="U33" s="118" t="s">
        <v>11</v>
      </c>
      <c r="V33" s="241">
        <v>0.25</v>
      </c>
      <c r="W33" s="241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4"/>
      <c r="AK33" s="217">
        <f>AH60</f>
        <v>64</v>
      </c>
      <c r="AL33" s="214" t="s">
        <v>138</v>
      </c>
      <c r="AM33" s="9"/>
      <c r="AN33" s="35">
        <f t="shared" si="7"/>
        <v>0.33333333333333331</v>
      </c>
      <c r="AO33" s="35">
        <f t="shared" si="8"/>
        <v>23.5</v>
      </c>
      <c r="AP33" s="36">
        <f t="shared" si="9"/>
        <v>18</v>
      </c>
      <c r="AQ33" s="36">
        <f t="shared" si="10"/>
        <v>6</v>
      </c>
      <c r="AR33" s="36">
        <f t="shared" si="11"/>
        <v>8</v>
      </c>
      <c r="AS33" s="37">
        <f t="shared" si="12"/>
        <v>8</v>
      </c>
      <c r="AT33" s="38">
        <f t="shared" si="13"/>
        <v>8</v>
      </c>
      <c r="AU33" s="39">
        <f t="shared" si="14"/>
        <v>8</v>
      </c>
      <c r="AV33" s="36">
        <f t="shared" si="15"/>
        <v>8</v>
      </c>
      <c r="AW33" s="36">
        <f t="shared" si="16"/>
        <v>8</v>
      </c>
      <c r="AX33" s="41">
        <f t="shared" si="17"/>
        <v>0</v>
      </c>
      <c r="AY33" s="36">
        <f t="shared" si="18"/>
        <v>12</v>
      </c>
      <c r="AZ33" s="36">
        <f t="shared" si="19"/>
        <v>-16</v>
      </c>
      <c r="BA33" s="36">
        <f t="shared" si="20"/>
        <v>23.5</v>
      </c>
      <c r="BB33" s="36">
        <f t="shared" si="21"/>
        <v>-12</v>
      </c>
      <c r="BC33" s="36">
        <f t="shared" si="22"/>
        <v>12</v>
      </c>
      <c r="BD33" s="43">
        <f t="shared" si="23"/>
        <v>0.33333333333333331</v>
      </c>
      <c r="BE33" s="44" t="str">
        <f t="shared" si="24"/>
        <v/>
      </c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</row>
    <row r="34" spans="1:80" s="2" customFormat="1" ht="19.5" customHeight="1" x14ac:dyDescent="0.35">
      <c r="A34" s="238" t="s">
        <v>38</v>
      </c>
      <c r="B34" s="238"/>
      <c r="C34" s="242">
        <v>2025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114"/>
      <c r="P34" s="114"/>
      <c r="Q34" s="117"/>
      <c r="R34" s="85" t="s">
        <v>151</v>
      </c>
      <c r="S34" s="240">
        <v>0.29166666666666669</v>
      </c>
      <c r="T34" s="240"/>
      <c r="U34" s="118" t="s">
        <v>11</v>
      </c>
      <c r="V34" s="241">
        <v>0.79166666666666663</v>
      </c>
      <c r="W34" s="241"/>
      <c r="X34" s="115"/>
      <c r="Y34" s="119"/>
      <c r="Z34" s="219"/>
      <c r="AA34" s="119"/>
      <c r="AB34" s="119"/>
      <c r="AC34" s="119"/>
      <c r="AD34" s="119"/>
      <c r="AE34" s="115"/>
      <c r="AF34" s="115"/>
      <c r="AG34" s="115"/>
      <c r="AH34" s="115"/>
      <c r="AI34" s="115"/>
      <c r="AJ34" s="115"/>
      <c r="AK34" s="217">
        <f>AH71</f>
        <v>0</v>
      </c>
      <c r="AL34" s="214" t="s">
        <v>139</v>
      </c>
      <c r="AM34" s="9"/>
      <c r="AN34" s="35">
        <f t="shared" si="7"/>
        <v>0</v>
      </c>
      <c r="AO34" s="35">
        <f t="shared" si="8"/>
        <v>0.49999999999999994</v>
      </c>
      <c r="AP34" s="36">
        <f t="shared" si="9"/>
        <v>7</v>
      </c>
      <c r="AQ34" s="36">
        <f t="shared" si="10"/>
        <v>19</v>
      </c>
      <c r="AR34" s="36">
        <f t="shared" si="11"/>
        <v>0</v>
      </c>
      <c r="AS34" s="37">
        <f t="shared" si="12"/>
        <v>0</v>
      </c>
      <c r="AT34" s="38">
        <f t="shared" si="13"/>
        <v>0</v>
      </c>
      <c r="AU34" s="39">
        <f t="shared" si="14"/>
        <v>0</v>
      </c>
      <c r="AV34" s="36">
        <f t="shared" si="15"/>
        <v>-12</v>
      </c>
      <c r="AW34" s="36">
        <f t="shared" si="16"/>
        <v>21</v>
      </c>
      <c r="AX34" s="41">
        <f t="shared" si="17"/>
        <v>-12</v>
      </c>
      <c r="AY34" s="36">
        <f t="shared" si="18"/>
        <v>23</v>
      </c>
      <c r="AZ34" s="36">
        <f t="shared" si="19"/>
        <v>-3</v>
      </c>
      <c r="BA34" s="36">
        <f t="shared" si="20"/>
        <v>0.49999999999999994</v>
      </c>
      <c r="BB34" s="36">
        <f t="shared" si="21"/>
        <v>11.999999999999998</v>
      </c>
      <c r="BC34" s="36">
        <f t="shared" si="22"/>
        <v>11.999999999999998</v>
      </c>
      <c r="BD34" s="43">
        <f t="shared" si="23"/>
        <v>0</v>
      </c>
      <c r="BE34" s="44" t="str">
        <f t="shared" si="24"/>
        <v/>
      </c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</row>
    <row r="35" spans="1:80" s="2" customFormat="1" ht="19.5" customHeight="1" x14ac:dyDescent="0.25">
      <c r="A35" s="238" t="s">
        <v>39</v>
      </c>
      <c r="B35" s="238"/>
      <c r="C35" s="242">
        <v>6</v>
      </c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114"/>
      <c r="P35" s="114"/>
      <c r="Q35" s="117"/>
      <c r="R35" s="85" t="s">
        <v>153</v>
      </c>
      <c r="S35" s="240">
        <v>0.79166666666666663</v>
      </c>
      <c r="T35" s="240"/>
      <c r="U35" s="118" t="s">
        <v>11</v>
      </c>
      <c r="V35" s="241">
        <v>0.29166666666666669</v>
      </c>
      <c r="W35" s="241"/>
      <c r="X35" s="115"/>
      <c r="Y35" s="120"/>
      <c r="Z35" s="121"/>
      <c r="AA35" s="121"/>
      <c r="AB35" s="120"/>
      <c r="AC35" s="121"/>
      <c r="AD35" s="121"/>
      <c r="AE35" s="115"/>
      <c r="AF35" s="115"/>
      <c r="AG35" s="115"/>
      <c r="AH35" s="115"/>
      <c r="AI35" s="115"/>
      <c r="AJ35" s="115"/>
      <c r="AK35" s="217">
        <f>AH82</f>
        <v>136</v>
      </c>
      <c r="AL35" s="214" t="s">
        <v>140</v>
      </c>
      <c r="AM35" s="9"/>
      <c r="AN35" s="35">
        <f t="shared" si="7"/>
        <v>0.33333333333333331</v>
      </c>
      <c r="AO35" s="35">
        <f t="shared" si="8"/>
        <v>23.5</v>
      </c>
      <c r="AP35" s="36">
        <f t="shared" si="9"/>
        <v>19</v>
      </c>
      <c r="AQ35" s="36">
        <f t="shared" si="10"/>
        <v>7</v>
      </c>
      <c r="AR35" s="36">
        <f t="shared" si="11"/>
        <v>8</v>
      </c>
      <c r="AS35" s="37">
        <f t="shared" si="12"/>
        <v>8</v>
      </c>
      <c r="AT35" s="38">
        <f t="shared" si="13"/>
        <v>8</v>
      </c>
      <c r="AU35" s="39">
        <f t="shared" si="14"/>
        <v>9</v>
      </c>
      <c r="AV35" s="36">
        <f t="shared" si="15"/>
        <v>9</v>
      </c>
      <c r="AW35" s="36">
        <f t="shared" si="16"/>
        <v>9</v>
      </c>
      <c r="AX35" s="41">
        <f t="shared" si="17"/>
        <v>0</v>
      </c>
      <c r="AY35" s="36">
        <f t="shared" si="18"/>
        <v>11</v>
      </c>
      <c r="AZ35" s="36">
        <f t="shared" si="19"/>
        <v>-15</v>
      </c>
      <c r="BA35" s="36">
        <f t="shared" si="20"/>
        <v>23.5</v>
      </c>
      <c r="BB35" s="36">
        <f t="shared" si="21"/>
        <v>-12</v>
      </c>
      <c r="BC35" s="36">
        <f t="shared" si="22"/>
        <v>12</v>
      </c>
      <c r="BD35" s="43">
        <f t="shared" si="23"/>
        <v>0.33333333333333331</v>
      </c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</row>
    <row r="36" spans="1:80" s="2" customFormat="1" ht="19.5" customHeight="1" x14ac:dyDescent="0.25">
      <c r="A36" s="238" t="s">
        <v>40</v>
      </c>
      <c r="B36" s="238"/>
      <c r="C36" s="239">
        <v>5.22</v>
      </c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114"/>
      <c r="P36" s="114"/>
      <c r="Q36" s="117"/>
      <c r="R36" s="85" t="s">
        <v>154</v>
      </c>
      <c r="S36" s="240">
        <v>0.91666666666666663</v>
      </c>
      <c r="T36" s="240"/>
      <c r="U36" s="118" t="s">
        <v>11</v>
      </c>
      <c r="V36" s="241">
        <v>0.25</v>
      </c>
      <c r="W36" s="241"/>
      <c r="X36" s="115"/>
      <c r="Y36" s="120"/>
      <c r="Z36" s="121"/>
      <c r="AA36" s="121"/>
      <c r="AB36" s="120"/>
      <c r="AC36" s="121"/>
      <c r="AD36" s="121"/>
      <c r="AE36" s="115"/>
      <c r="AF36" s="115"/>
      <c r="AG36" s="115"/>
      <c r="AH36" s="115"/>
      <c r="AI36" s="115"/>
      <c r="AJ36" s="115"/>
      <c r="AK36" s="217">
        <f>AH93</f>
        <v>0</v>
      </c>
      <c r="AL36" s="214" t="s">
        <v>141</v>
      </c>
      <c r="AM36" s="9"/>
      <c r="AN36" s="35">
        <f t="shared" si="7"/>
        <v>0.33333333333333331</v>
      </c>
      <c r="AO36" s="35">
        <f t="shared" si="8"/>
        <v>23.333333333333332</v>
      </c>
      <c r="AP36" s="36">
        <f t="shared" si="9"/>
        <v>22</v>
      </c>
      <c r="AQ36" s="36">
        <f t="shared" si="10"/>
        <v>6</v>
      </c>
      <c r="AR36" s="36">
        <f t="shared" si="11"/>
        <v>8</v>
      </c>
      <c r="AS36" s="37">
        <f t="shared" si="12"/>
        <v>8</v>
      </c>
      <c r="AT36" s="38">
        <f t="shared" si="13"/>
        <v>8</v>
      </c>
      <c r="AU36" s="39">
        <f t="shared" si="14"/>
        <v>8</v>
      </c>
      <c r="AV36" s="36">
        <f t="shared" si="15"/>
        <v>8</v>
      </c>
      <c r="AW36" s="36">
        <f t="shared" si="16"/>
        <v>8</v>
      </c>
      <c r="AX36" s="41">
        <f t="shared" si="17"/>
        <v>0</v>
      </c>
      <c r="AY36" s="36">
        <f t="shared" si="18"/>
        <v>8</v>
      </c>
      <c r="AZ36" s="36">
        <f t="shared" si="19"/>
        <v>-16</v>
      </c>
      <c r="BA36" s="36">
        <f t="shared" si="20"/>
        <v>23.333333333333332</v>
      </c>
      <c r="BB36" s="36">
        <f t="shared" si="21"/>
        <v>-16.000000000000028</v>
      </c>
      <c r="BC36" s="36">
        <f t="shared" si="22"/>
        <v>7.9999999999999716</v>
      </c>
      <c r="BD36" s="43">
        <f t="shared" si="23"/>
        <v>0.33333333333333331</v>
      </c>
      <c r="BE36" s="1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</row>
    <row r="37" spans="1:80" s="2" customFormat="1" ht="19.5" customHeight="1" x14ac:dyDescent="0.25">
      <c r="A37" s="238" t="s">
        <v>41</v>
      </c>
      <c r="B37" s="238"/>
      <c r="C37" s="239">
        <v>162</v>
      </c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116"/>
      <c r="P37" s="116"/>
      <c r="Q37" s="117"/>
      <c r="R37" s="85" t="str">
        <f>CONTROL!F40</f>
        <v>F</v>
      </c>
      <c r="S37" s="240">
        <f>CONTROL!G40</f>
        <v>0.20833333333333334</v>
      </c>
      <c r="T37" s="240"/>
      <c r="U37" s="118" t="s">
        <v>11</v>
      </c>
      <c r="V37" s="241">
        <f>CONTROL!H40</f>
        <v>0.25</v>
      </c>
      <c r="W37" s="241"/>
      <c r="X37" s="115"/>
      <c r="Y37" s="120"/>
      <c r="Z37" s="121"/>
      <c r="AA37" s="121"/>
      <c r="AB37" s="120"/>
      <c r="AC37" s="121"/>
      <c r="AD37" s="121"/>
      <c r="AE37" s="115"/>
      <c r="AF37" s="115"/>
      <c r="AG37" s="115"/>
      <c r="AH37" s="115"/>
      <c r="AI37" s="115"/>
      <c r="AJ37" s="116"/>
      <c r="AK37" s="217">
        <f>AH104</f>
        <v>8</v>
      </c>
      <c r="AL37" s="214" t="s">
        <v>142</v>
      </c>
      <c r="AM37" s="9"/>
      <c r="AN37" s="35">
        <f t="shared" si="7"/>
        <v>4.1666666666666664E-2</v>
      </c>
      <c r="AO37" s="35">
        <f t="shared" si="8"/>
        <v>4.1666666666666657E-2</v>
      </c>
      <c r="AP37" s="36">
        <f t="shared" si="9"/>
        <v>5</v>
      </c>
      <c r="AQ37" s="36">
        <f t="shared" si="10"/>
        <v>6</v>
      </c>
      <c r="AR37" s="36">
        <f t="shared" si="11"/>
        <v>1</v>
      </c>
      <c r="AS37" s="37">
        <f t="shared" si="12"/>
        <v>1</v>
      </c>
      <c r="AT37" s="38">
        <f t="shared" si="13"/>
        <v>1</v>
      </c>
      <c r="AU37" s="39">
        <f t="shared" si="14"/>
        <v>1</v>
      </c>
      <c r="AV37" s="36">
        <f t="shared" si="15"/>
        <v>1</v>
      </c>
      <c r="AW37" s="36">
        <f t="shared" si="16"/>
        <v>9</v>
      </c>
      <c r="AX37" s="41">
        <f t="shared" si="17"/>
        <v>-1</v>
      </c>
      <c r="AY37" s="36">
        <f t="shared" si="18"/>
        <v>25</v>
      </c>
      <c r="AZ37" s="36">
        <f t="shared" si="19"/>
        <v>-15</v>
      </c>
      <c r="BA37" s="36">
        <f t="shared" si="20"/>
        <v>4.1666666666666657E-2</v>
      </c>
      <c r="BB37" s="36">
        <f t="shared" si="21"/>
        <v>0.99999999999999978</v>
      </c>
      <c r="BC37" s="36">
        <f t="shared" si="22"/>
        <v>0.99999999999999978</v>
      </c>
      <c r="BD37" s="43">
        <f t="shared" si="23"/>
        <v>4.1666666666666664E-2</v>
      </c>
      <c r="BE37" s="1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</row>
    <row r="38" spans="1:80" s="2" customFormat="1" ht="20.100000000000001" customHeight="1" x14ac:dyDescent="0.25">
      <c r="A38" s="238" t="s">
        <v>42</v>
      </c>
      <c r="B38" s="238"/>
      <c r="C38" s="239">
        <v>0</v>
      </c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122"/>
      <c r="P38" s="122"/>
      <c r="Q38" s="115"/>
      <c r="R38" s="197" t="str">
        <f>CONTROL!F41</f>
        <v>G</v>
      </c>
      <c r="S38" s="222">
        <f>CONTROL!G41</f>
        <v>0.29166666666666669</v>
      </c>
      <c r="T38" s="222"/>
      <c r="U38" s="118" t="s">
        <v>11</v>
      </c>
      <c r="V38" s="223">
        <f>CONTROL!H41</f>
        <v>0.33333333333333331</v>
      </c>
      <c r="W38" s="223"/>
      <c r="X38" s="115"/>
      <c r="Y38" s="120"/>
      <c r="Z38" s="121"/>
      <c r="AA38" s="121"/>
      <c r="AB38" s="120"/>
      <c r="AC38" s="121"/>
      <c r="AD38" s="121"/>
      <c r="AE38" s="116"/>
      <c r="AF38" s="116"/>
      <c r="AG38" s="116"/>
      <c r="AH38" s="116"/>
      <c r="AI38" s="116"/>
      <c r="AJ38" s="114"/>
      <c r="AK38" s="217">
        <f>AH115</f>
        <v>112</v>
      </c>
      <c r="AL38" s="214" t="s">
        <v>143</v>
      </c>
      <c r="AN38" s="35">
        <f t="shared" si="7"/>
        <v>0</v>
      </c>
      <c r="AO38" s="35">
        <f t="shared" si="8"/>
        <v>4.166666666666663E-2</v>
      </c>
      <c r="AP38" s="36">
        <f t="shared" si="9"/>
        <v>7</v>
      </c>
      <c r="AQ38" s="36">
        <f t="shared" si="10"/>
        <v>8</v>
      </c>
      <c r="AR38" s="36">
        <f t="shared" si="11"/>
        <v>0</v>
      </c>
      <c r="AS38" s="37">
        <f t="shared" si="12"/>
        <v>0</v>
      </c>
      <c r="AT38" s="38">
        <f t="shared" si="13"/>
        <v>0</v>
      </c>
      <c r="AU38" s="39">
        <f t="shared" si="14"/>
        <v>0</v>
      </c>
      <c r="AV38" s="36">
        <f t="shared" si="15"/>
        <v>-1</v>
      </c>
      <c r="AW38" s="36">
        <f t="shared" si="16"/>
        <v>10</v>
      </c>
      <c r="AX38" s="41">
        <f t="shared" si="17"/>
        <v>-1</v>
      </c>
      <c r="AY38" s="36">
        <f t="shared" si="18"/>
        <v>23</v>
      </c>
      <c r="AZ38" s="36">
        <f t="shared" si="19"/>
        <v>-14</v>
      </c>
      <c r="BA38" s="36">
        <f t="shared" si="20"/>
        <v>4.166666666666663E-2</v>
      </c>
      <c r="BB38" s="36">
        <f t="shared" si="21"/>
        <v>0.99999999999999911</v>
      </c>
      <c r="BC38" s="36">
        <f t="shared" si="22"/>
        <v>0.99999999999999911</v>
      </c>
      <c r="BD38" s="43">
        <f t="shared" si="23"/>
        <v>0</v>
      </c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</row>
    <row r="39" spans="1:80" s="2" customFormat="1" ht="20.100000000000001" customHeight="1" x14ac:dyDescent="0.25">
      <c r="A39" s="123"/>
      <c r="B39" s="116"/>
      <c r="C39" s="124"/>
      <c r="D39" s="116"/>
      <c r="E39" s="116"/>
      <c r="F39" s="116"/>
      <c r="G39" s="116"/>
      <c r="H39" s="116"/>
      <c r="I39" s="116"/>
      <c r="J39" s="116"/>
      <c r="K39" s="116"/>
      <c r="L39" s="122"/>
      <c r="M39" s="122"/>
      <c r="N39" s="125"/>
      <c r="O39" s="122"/>
      <c r="P39" s="122"/>
      <c r="Q39" s="115"/>
      <c r="R39" s="197" t="str">
        <f>CONTROL!F42</f>
        <v>H</v>
      </c>
      <c r="S39" s="222">
        <f>CONTROL!G42</f>
        <v>0.33333333333333331</v>
      </c>
      <c r="T39" s="222"/>
      <c r="U39" s="118" t="s">
        <v>11</v>
      </c>
      <c r="V39" s="223">
        <f>CONTROL!H42</f>
        <v>0.375</v>
      </c>
      <c r="W39" s="223"/>
      <c r="X39" s="115"/>
      <c r="Y39" s="120"/>
      <c r="Z39" s="121"/>
      <c r="AA39" s="121"/>
      <c r="AB39" s="120"/>
      <c r="AC39" s="121"/>
      <c r="AD39" s="121"/>
      <c r="AE39" s="116"/>
      <c r="AF39" s="116"/>
      <c r="AG39" s="116"/>
      <c r="AH39" s="116"/>
      <c r="AI39" s="116"/>
      <c r="AJ39" s="114"/>
      <c r="AK39" s="217">
        <f>AH126</f>
        <v>120</v>
      </c>
      <c r="AL39" s="214" t="s">
        <v>144</v>
      </c>
      <c r="AN39" s="35">
        <f t="shared" si="7"/>
        <v>0</v>
      </c>
      <c r="AO39" s="35">
        <f t="shared" si="8"/>
        <v>4.1666666666666685E-2</v>
      </c>
      <c r="AP39" s="36">
        <f t="shared" si="9"/>
        <v>8</v>
      </c>
      <c r="AQ39" s="36">
        <f t="shared" si="10"/>
        <v>9</v>
      </c>
      <c r="AR39" s="36">
        <f t="shared" si="11"/>
        <v>0</v>
      </c>
      <c r="AS39" s="37">
        <f t="shared" si="12"/>
        <v>0</v>
      </c>
      <c r="AT39" s="38">
        <f t="shared" si="13"/>
        <v>0</v>
      </c>
      <c r="AU39" s="39">
        <f t="shared" si="14"/>
        <v>0</v>
      </c>
      <c r="AV39" s="36">
        <f t="shared" si="15"/>
        <v>-1</v>
      </c>
      <c r="AW39" s="36">
        <f t="shared" si="16"/>
        <v>11</v>
      </c>
      <c r="AX39" s="41">
        <f t="shared" si="17"/>
        <v>-1</v>
      </c>
      <c r="AY39" s="36">
        <f t="shared" si="18"/>
        <v>22</v>
      </c>
      <c r="AZ39" s="36">
        <f t="shared" si="19"/>
        <v>-13</v>
      </c>
      <c r="BA39" s="36">
        <f t="shared" si="20"/>
        <v>4.1666666666666685E-2</v>
      </c>
      <c r="BB39" s="36">
        <f t="shared" si="21"/>
        <v>1.0000000000000004</v>
      </c>
      <c r="BC39" s="36">
        <f t="shared" si="22"/>
        <v>1.0000000000000004</v>
      </c>
      <c r="BD39" s="43">
        <f t="shared" si="23"/>
        <v>0</v>
      </c>
      <c r="BE39" s="31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</row>
    <row r="40" spans="1:80" s="2" customFormat="1" ht="20.100000000000001" customHeight="1" x14ac:dyDescent="0.25">
      <c r="A40" s="123"/>
      <c r="B40" s="116"/>
      <c r="C40" s="124"/>
      <c r="D40" s="116"/>
      <c r="E40" s="116"/>
      <c r="F40" s="116"/>
      <c r="G40" s="116"/>
      <c r="H40" s="116"/>
      <c r="I40" s="116"/>
      <c r="J40" s="116"/>
      <c r="K40" s="116"/>
      <c r="L40" s="122"/>
      <c r="M40" s="122"/>
      <c r="N40" s="125"/>
      <c r="O40" s="122"/>
      <c r="P40" s="122"/>
      <c r="Q40" s="115"/>
      <c r="R40" s="197" t="str">
        <f>CONTROL!F43</f>
        <v>I</v>
      </c>
      <c r="S40" s="222">
        <f>CONTROL!G43</f>
        <v>0.41666666666666669</v>
      </c>
      <c r="T40" s="222"/>
      <c r="U40" s="118" t="s">
        <v>11</v>
      </c>
      <c r="V40" s="223">
        <f>CONTROL!H43</f>
        <v>0.45833333333333331</v>
      </c>
      <c r="W40" s="223"/>
      <c r="X40" s="115"/>
      <c r="Y40" s="120"/>
      <c r="Z40" s="121"/>
      <c r="AA40" s="121"/>
      <c r="AB40" s="120"/>
      <c r="AC40" s="121"/>
      <c r="AD40" s="121"/>
      <c r="AE40" s="116"/>
      <c r="AF40" s="116"/>
      <c r="AG40" s="116"/>
      <c r="AH40" s="116"/>
      <c r="AI40" s="116"/>
      <c r="AJ40" s="114"/>
      <c r="AK40" s="217">
        <f>AH137</f>
        <v>160</v>
      </c>
      <c r="AL40" s="214" t="s">
        <v>145</v>
      </c>
      <c r="AN40" s="35">
        <f t="shared" si="7"/>
        <v>0</v>
      </c>
      <c r="AO40" s="35">
        <f t="shared" si="8"/>
        <v>4.166666666666663E-2</v>
      </c>
      <c r="AP40" s="36">
        <f>S40*24+24</f>
        <v>34</v>
      </c>
      <c r="AQ40" s="36">
        <f t="shared" si="10"/>
        <v>11</v>
      </c>
      <c r="AR40" s="36">
        <f t="shared" si="11"/>
        <v>0</v>
      </c>
      <c r="AS40" s="37">
        <f t="shared" si="12"/>
        <v>0</v>
      </c>
      <c r="AT40" s="38">
        <f t="shared" si="13"/>
        <v>0</v>
      </c>
      <c r="AU40" s="39">
        <f t="shared" si="14"/>
        <v>0</v>
      </c>
      <c r="AV40" s="36">
        <f t="shared" si="15"/>
        <v>-4</v>
      </c>
      <c r="AW40" s="36">
        <f t="shared" si="16"/>
        <v>-4</v>
      </c>
      <c r="AX40" s="41">
        <f t="shared" si="17"/>
        <v>0</v>
      </c>
      <c r="AY40" s="36">
        <f t="shared" si="18"/>
        <v>-4</v>
      </c>
      <c r="AZ40" s="36">
        <f t="shared" si="19"/>
        <v>-23</v>
      </c>
      <c r="BA40" s="36">
        <f t="shared" si="20"/>
        <v>4.166666666666663E-2</v>
      </c>
      <c r="BB40" s="36">
        <f t="shared" si="21"/>
        <v>0.99999999999999911</v>
      </c>
      <c r="BC40" s="36">
        <f t="shared" si="22"/>
        <v>0.99999999999999911</v>
      </c>
      <c r="BD40" s="43">
        <f t="shared" si="23"/>
        <v>0</v>
      </c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</row>
    <row r="41" spans="1:80" s="2" customFormat="1" ht="20.100000000000001" customHeight="1" x14ac:dyDescent="0.25">
      <c r="A41" s="123"/>
      <c r="B41" s="116"/>
      <c r="C41" s="124"/>
      <c r="D41" s="116"/>
      <c r="E41" s="116"/>
      <c r="F41" s="116"/>
      <c r="G41" s="116"/>
      <c r="H41" s="116"/>
      <c r="I41" s="116"/>
      <c r="J41" s="116"/>
      <c r="K41" s="116"/>
      <c r="L41" s="122"/>
      <c r="M41" s="122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6"/>
      <c r="AB41" s="116"/>
      <c r="AC41" s="116"/>
      <c r="AD41" s="116"/>
      <c r="AE41" s="116"/>
      <c r="AF41" s="116"/>
      <c r="AG41" s="116"/>
      <c r="AH41" s="116"/>
      <c r="AI41" s="116"/>
      <c r="AJ41" s="114"/>
      <c r="AK41" s="217">
        <f>AH148</f>
        <v>120</v>
      </c>
      <c r="AL41" s="214" t="s">
        <v>146</v>
      </c>
      <c r="AN41" s="10"/>
      <c r="AO41" s="10"/>
      <c r="AP41" s="46">
        <f>S41*24</f>
        <v>0</v>
      </c>
      <c r="AQ41" s="10"/>
      <c r="AR41" s="47">
        <v>1</v>
      </c>
      <c r="AS41" s="47">
        <v>2</v>
      </c>
      <c r="AT41" s="47">
        <v>3</v>
      </c>
      <c r="AU41" s="47">
        <v>4</v>
      </c>
      <c r="AV41" s="47">
        <v>5</v>
      </c>
      <c r="AW41" s="47">
        <v>6</v>
      </c>
      <c r="AX41" s="47">
        <v>7</v>
      </c>
      <c r="AY41" s="47">
        <v>8</v>
      </c>
      <c r="AZ41" s="47">
        <v>9</v>
      </c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</row>
    <row r="42" spans="1:80" ht="20.100000000000001" customHeight="1" x14ac:dyDescent="0.25">
      <c r="A42" s="116"/>
      <c r="B42" s="126"/>
      <c r="C42" s="224" t="s">
        <v>43</v>
      </c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5" t="str">
        <f>CONTROL!B38</f>
        <v>OSCAR ORGEIRA © 20.03.00 EXCEL</v>
      </c>
      <c r="X42" s="225"/>
      <c r="Y42" s="225"/>
      <c r="Z42" s="225"/>
      <c r="AA42" s="225"/>
      <c r="AB42" s="225"/>
      <c r="AC42" s="225"/>
      <c r="AD42" s="225"/>
      <c r="AE42" s="225"/>
      <c r="AF42" s="225"/>
      <c r="AG42" s="225"/>
      <c r="AH42" s="225"/>
      <c r="AI42" s="127"/>
      <c r="AJ42" s="116"/>
      <c r="AK42" s="218">
        <f>AH159</f>
        <v>0</v>
      </c>
      <c r="AL42" s="215" t="s">
        <v>147</v>
      </c>
      <c r="BE42" s="10"/>
    </row>
    <row r="43" spans="1:80" ht="20.100000000000001" customHeight="1" x14ac:dyDescent="0.25">
      <c r="A43" s="116"/>
      <c r="B43" s="116"/>
      <c r="C43" s="234" t="s">
        <v>44</v>
      </c>
      <c r="D43" s="234"/>
      <c r="E43" s="235" t="s">
        <v>45</v>
      </c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  <c r="AA43" s="235"/>
      <c r="AB43" s="235"/>
      <c r="AC43" s="235"/>
      <c r="AD43" s="235"/>
      <c r="AE43" s="235"/>
      <c r="AF43" s="235"/>
      <c r="AG43" s="235"/>
      <c r="AH43" s="235"/>
      <c r="AI43" s="235"/>
      <c r="AJ43" s="116"/>
      <c r="AK43" s="218">
        <f>AH170</f>
        <v>0</v>
      </c>
      <c r="AL43" s="215" t="s">
        <v>148</v>
      </c>
      <c r="BE43" s="10"/>
    </row>
    <row r="44" spans="1:80" s="2" customFormat="1" ht="15.95" hidden="1" customHeight="1" x14ac:dyDescent="0.25">
      <c r="A44" s="123"/>
      <c r="B44" s="114"/>
      <c r="C44" s="128"/>
      <c r="D44" s="114"/>
      <c r="E44" s="114"/>
      <c r="F44" s="114"/>
      <c r="G44" s="114"/>
      <c r="H44" s="114"/>
      <c r="I44" s="114"/>
      <c r="J44" s="114"/>
      <c r="K44" s="114"/>
      <c r="L44" s="125"/>
      <c r="M44" s="125"/>
      <c r="N44" s="125"/>
      <c r="O44" s="125"/>
      <c r="P44" s="125"/>
      <c r="Q44" s="125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N44" s="10"/>
      <c r="AO44" s="10"/>
      <c r="AP44" s="10"/>
      <c r="AQ44" s="10"/>
      <c r="AR44" s="47"/>
      <c r="AS44" s="47"/>
      <c r="AT44" s="47"/>
      <c r="AU44" s="47"/>
      <c r="AV44" s="47"/>
      <c r="AW44" s="47"/>
      <c r="AX44" s="47"/>
      <c r="AY44" s="47"/>
      <c r="AZ44" s="47"/>
      <c r="BA44" s="10"/>
      <c r="BB44" s="10"/>
      <c r="BC44" s="10"/>
      <c r="BD44" s="10"/>
      <c r="BE44" s="48" t="str">
        <f>INDEX({"do";"lu";"ma";"mi";"ju";"vi";"sa"},1+MOD($AR$47+4-2,7))</f>
        <v>ju</v>
      </c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</row>
    <row r="45" spans="1:80" ht="15.95" hidden="1" customHeight="1" x14ac:dyDescent="0.25">
      <c r="A45" s="129"/>
      <c r="B45" s="130" t="s">
        <v>46</v>
      </c>
      <c r="C45" s="131">
        <f t="shared" ref="C45:AH45" si="25">IF(C7="S",IF(C7="",0,1),IF(C7="D",IF(C7="",0,1),""))</f>
        <v>1</v>
      </c>
      <c r="D45" s="131" t="str">
        <f t="shared" si="25"/>
        <v/>
      </c>
      <c r="E45" s="131" t="str">
        <f t="shared" si="25"/>
        <v/>
      </c>
      <c r="F45" s="131" t="str">
        <f t="shared" si="25"/>
        <v/>
      </c>
      <c r="G45" s="131" t="str">
        <f t="shared" si="25"/>
        <v/>
      </c>
      <c r="H45" s="131" t="str">
        <f t="shared" si="25"/>
        <v/>
      </c>
      <c r="I45" s="131">
        <f t="shared" si="25"/>
        <v>1</v>
      </c>
      <c r="J45" s="131">
        <f t="shared" si="25"/>
        <v>1</v>
      </c>
      <c r="K45" s="131" t="str">
        <f t="shared" si="25"/>
        <v/>
      </c>
      <c r="L45" s="131" t="str">
        <f t="shared" si="25"/>
        <v/>
      </c>
      <c r="M45" s="131" t="str">
        <f t="shared" si="25"/>
        <v/>
      </c>
      <c r="N45" s="131" t="str">
        <f t="shared" si="25"/>
        <v/>
      </c>
      <c r="O45" s="131" t="str">
        <f t="shared" si="25"/>
        <v/>
      </c>
      <c r="P45" s="131">
        <f t="shared" si="25"/>
        <v>1</v>
      </c>
      <c r="Q45" s="131">
        <f t="shared" si="25"/>
        <v>1</v>
      </c>
      <c r="R45" s="131" t="str">
        <f t="shared" si="25"/>
        <v/>
      </c>
      <c r="S45" s="131" t="str">
        <f t="shared" si="25"/>
        <v/>
      </c>
      <c r="T45" s="131" t="str">
        <f t="shared" si="25"/>
        <v/>
      </c>
      <c r="U45" s="131" t="str">
        <f t="shared" si="25"/>
        <v/>
      </c>
      <c r="V45" s="131" t="str">
        <f t="shared" si="25"/>
        <v/>
      </c>
      <c r="W45" s="131">
        <f t="shared" si="25"/>
        <v>1</v>
      </c>
      <c r="X45" s="131">
        <f t="shared" si="25"/>
        <v>1</v>
      </c>
      <c r="Y45" s="131" t="str">
        <f t="shared" si="25"/>
        <v/>
      </c>
      <c r="Z45" s="131" t="str">
        <f t="shared" si="25"/>
        <v/>
      </c>
      <c r="AA45" s="131" t="str">
        <f t="shared" si="25"/>
        <v/>
      </c>
      <c r="AB45" s="131" t="str">
        <f t="shared" si="25"/>
        <v/>
      </c>
      <c r="AC45" s="131" t="str">
        <f t="shared" si="25"/>
        <v/>
      </c>
      <c r="AD45" s="131">
        <f t="shared" si="25"/>
        <v>1</v>
      </c>
      <c r="AE45" s="131">
        <f t="shared" si="25"/>
        <v>1</v>
      </c>
      <c r="AF45" s="131" t="str">
        <f t="shared" si="25"/>
        <v/>
      </c>
      <c r="AG45" s="131" t="str">
        <f t="shared" si="25"/>
        <v/>
      </c>
      <c r="AH45" s="132" t="str">
        <f t="shared" si="25"/>
        <v/>
      </c>
      <c r="AI45" s="236" t="s">
        <v>8</v>
      </c>
      <c r="AJ45" s="236"/>
      <c r="AK45" s="133"/>
      <c r="AL45" s="133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49" t="str">
        <f>IF(MONTH($Q$4)&lt;&gt;MONTH($Q$4-(WEEKDAY($Q$4,1)-($AR$47-1))-IF((WEEKDAY($Q$4,1)-($AR$47-1))&lt;=0,7,0)+(ROW(BE45)-ROW($AN$51))*7+(COLUMN(BE45)-COLUMN($AN$51)+1)),"",$Q$4-(WEEKDAY($Q$4,1)-($AR$47-1))-IF((WEEKDAY($Q$4,1)-($AR$47-1))&lt;=0,7,0)+(ROW(BE45)-ROW($AN$51))*7+(COLUMN(BE45)-COLUMN($AN$51)+1))</f>
        <v/>
      </c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</row>
    <row r="46" spans="1:80" s="2" customFormat="1" ht="15.95" hidden="1" customHeight="1" x14ac:dyDescent="0.25">
      <c r="A46" s="134" t="s">
        <v>47</v>
      </c>
      <c r="B46" s="134" t="s">
        <v>48</v>
      </c>
      <c r="C46" s="135">
        <f t="shared" ref="C46:AG46" si="26">IF(C6="X",IF(C6="",0,1),IF(C45=1,IF(C45="",0,1),""))</f>
        <v>1</v>
      </c>
      <c r="D46" s="135" t="str">
        <f t="shared" si="26"/>
        <v/>
      </c>
      <c r="E46" s="135" t="str">
        <f t="shared" si="26"/>
        <v/>
      </c>
      <c r="F46" s="135" t="str">
        <f t="shared" si="26"/>
        <v/>
      </c>
      <c r="G46" s="135" t="str">
        <f t="shared" si="26"/>
        <v/>
      </c>
      <c r="H46" s="135" t="str">
        <f t="shared" si="26"/>
        <v/>
      </c>
      <c r="I46" s="135">
        <f t="shared" si="26"/>
        <v>1</v>
      </c>
      <c r="J46" s="135">
        <f t="shared" si="26"/>
        <v>1</v>
      </c>
      <c r="K46" s="135" t="str">
        <f t="shared" si="26"/>
        <v/>
      </c>
      <c r="L46" s="135" t="str">
        <f t="shared" si="26"/>
        <v/>
      </c>
      <c r="M46" s="135" t="str">
        <f t="shared" si="26"/>
        <v/>
      </c>
      <c r="N46" s="135" t="str">
        <f t="shared" si="26"/>
        <v/>
      </c>
      <c r="O46" s="135" t="str">
        <f t="shared" si="26"/>
        <v/>
      </c>
      <c r="P46" s="135">
        <f t="shared" si="26"/>
        <v>1</v>
      </c>
      <c r="Q46" s="135">
        <f t="shared" si="26"/>
        <v>1</v>
      </c>
      <c r="R46" s="135" t="str">
        <f t="shared" si="26"/>
        <v/>
      </c>
      <c r="S46" s="135" t="str">
        <f t="shared" si="26"/>
        <v/>
      </c>
      <c r="T46" s="135" t="str">
        <f t="shared" si="26"/>
        <v/>
      </c>
      <c r="U46" s="135" t="str">
        <f t="shared" si="26"/>
        <v/>
      </c>
      <c r="V46" s="135" t="str">
        <f t="shared" si="26"/>
        <v/>
      </c>
      <c r="W46" s="135">
        <f t="shared" si="26"/>
        <v>1</v>
      </c>
      <c r="X46" s="135">
        <f t="shared" si="26"/>
        <v>1</v>
      </c>
      <c r="Y46" s="135" t="str">
        <f t="shared" si="26"/>
        <v/>
      </c>
      <c r="Z46" s="135" t="str">
        <f t="shared" si="26"/>
        <v/>
      </c>
      <c r="AA46" s="135" t="str">
        <f t="shared" si="26"/>
        <v/>
      </c>
      <c r="AB46" s="135" t="str">
        <f t="shared" si="26"/>
        <v/>
      </c>
      <c r="AC46" s="135" t="str">
        <f t="shared" si="26"/>
        <v/>
      </c>
      <c r="AD46" s="135">
        <f t="shared" si="26"/>
        <v>1</v>
      </c>
      <c r="AE46" s="132">
        <f t="shared" si="26"/>
        <v>1</v>
      </c>
      <c r="AF46" s="132" t="str">
        <f t="shared" si="26"/>
        <v/>
      </c>
      <c r="AG46" s="132" t="str">
        <f t="shared" si="26"/>
        <v/>
      </c>
      <c r="AH46" s="136" t="b">
        <f>IF(AH6="X",IF(AH6="",0,1))</f>
        <v>0</v>
      </c>
      <c r="AI46" s="231">
        <f>(AH32-AH33)*AL46</f>
        <v>4.5</v>
      </c>
      <c r="AJ46" s="231"/>
      <c r="AK46" s="137" t="s">
        <v>49</v>
      </c>
      <c r="AL46" s="138">
        <f>SUM(C46:AG46)</f>
        <v>9</v>
      </c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</row>
    <row r="47" spans="1:80" s="2" customFormat="1" ht="15.95" hidden="1" customHeight="1" x14ac:dyDescent="0.3">
      <c r="A47" s="139" t="s">
        <v>50</v>
      </c>
      <c r="B47" s="140" t="s">
        <v>29</v>
      </c>
      <c r="C47" s="141">
        <f t="shared" ref="C47:AG47" si="27">IF(C9=$R32,$S32*24,IF(C9=$R33,$S33*24,IF(C9=$R34,$S34*24,IF(C9=$R35,$S35*24,IF(C9=$R36,$S36*24,IF(C9=$R37,$S37*24,IF(C9=$R38,$S38*24,IF(C9=$R39,$S39*24,IF(C9=$R40,$S40*24,"")))))))))</f>
        <v>7</v>
      </c>
      <c r="D47" s="141" t="str">
        <f t="shared" si="27"/>
        <v/>
      </c>
      <c r="E47" s="141">
        <f t="shared" si="27"/>
        <v>7</v>
      </c>
      <c r="F47" s="141">
        <f t="shared" si="27"/>
        <v>7</v>
      </c>
      <c r="G47" s="141">
        <f t="shared" si="27"/>
        <v>7</v>
      </c>
      <c r="H47" s="141" t="str">
        <f t="shared" si="27"/>
        <v/>
      </c>
      <c r="I47" s="141" t="str">
        <f t="shared" si="27"/>
        <v/>
      </c>
      <c r="J47" s="141" t="str">
        <f t="shared" si="27"/>
        <v/>
      </c>
      <c r="K47" s="141">
        <f t="shared" si="27"/>
        <v>7</v>
      </c>
      <c r="L47" s="141">
        <f t="shared" si="27"/>
        <v>7</v>
      </c>
      <c r="M47" s="141">
        <f t="shared" si="27"/>
        <v>7</v>
      </c>
      <c r="N47" s="141" t="str">
        <f t="shared" si="27"/>
        <v/>
      </c>
      <c r="O47" s="141">
        <f t="shared" si="27"/>
        <v>7</v>
      </c>
      <c r="P47" s="141">
        <f t="shared" si="27"/>
        <v>7</v>
      </c>
      <c r="Q47" s="141">
        <f t="shared" si="27"/>
        <v>7</v>
      </c>
      <c r="R47" s="141" t="str">
        <f t="shared" si="27"/>
        <v/>
      </c>
      <c r="S47" s="141" t="str">
        <f t="shared" si="27"/>
        <v/>
      </c>
      <c r="T47" s="141">
        <f t="shared" si="27"/>
        <v>7</v>
      </c>
      <c r="U47" s="141">
        <f t="shared" si="27"/>
        <v>7</v>
      </c>
      <c r="V47" s="141" t="str">
        <f t="shared" si="27"/>
        <v/>
      </c>
      <c r="W47" s="141" t="str">
        <f t="shared" si="27"/>
        <v/>
      </c>
      <c r="X47" s="141" t="str">
        <f t="shared" si="27"/>
        <v/>
      </c>
      <c r="Y47" s="141">
        <f t="shared" si="27"/>
        <v>7</v>
      </c>
      <c r="Z47" s="141">
        <f t="shared" si="27"/>
        <v>7</v>
      </c>
      <c r="AA47" s="141" t="str">
        <f t="shared" si="27"/>
        <v/>
      </c>
      <c r="AB47" s="141" t="str">
        <f t="shared" si="27"/>
        <v/>
      </c>
      <c r="AC47" s="141">
        <f t="shared" si="27"/>
        <v>7</v>
      </c>
      <c r="AD47" s="141">
        <f t="shared" si="27"/>
        <v>7</v>
      </c>
      <c r="AE47" s="141">
        <f t="shared" si="27"/>
        <v>7</v>
      </c>
      <c r="AF47" s="141" t="str">
        <f t="shared" si="27"/>
        <v/>
      </c>
      <c r="AG47" s="141" t="str">
        <f t="shared" si="27"/>
        <v/>
      </c>
      <c r="AH47" s="142" t="s">
        <v>12</v>
      </c>
      <c r="AI47" s="231">
        <f>(CA59-AH46)*AH33</f>
        <v>0</v>
      </c>
      <c r="AJ47" s="231"/>
      <c r="AK47" s="137" t="s">
        <v>51</v>
      </c>
      <c r="AL47" s="137"/>
      <c r="AN47" s="237" t="s">
        <v>52</v>
      </c>
      <c r="AO47" s="237"/>
      <c r="AP47" s="10"/>
      <c r="AQ47" s="50" t="s">
        <v>53</v>
      </c>
      <c r="AR47" s="46">
        <v>2</v>
      </c>
      <c r="AS47" s="51">
        <v>1</v>
      </c>
      <c r="AT47" s="52" t="str">
        <f>IF(AN53="lu","LUNES",IF(AN53="ma","MARTES",IF(AN53="mi","MIERCOLES",IF(AN53="ju","JUEVES",IF(AN53="vi","VIERNES",IF(AN53="sa","SABADO",IF(AN53="do","DOMINGO",IF(AO53="lu","LUNES",IF(AO53="ma","MARTES",IF(AO53="mi","MIERCOLES",IF(AO53="ju","JUEVES",IF(AO53="vi","VIERNES",IF(AO53="sa","SABADO",IF(AO53="do","DOMINGO",IF(AP53="lu","LUNES",IF(AP53="ma","MARTES",IF(AP53="mi","MIERCOLES",IF(AP53="ju","JUEVES",IF(AP53="vi","VIERNES",IF(AP53="sa","SABADO",IF(AP53="do","DOMINGO",IF(AQ53="lu","LUNES",IF(AQ53="ma","MARTES",IF(AQ53="mi","MIERCOLES",IF(AQ53="ju","JUEVES",IF(AQ53="vi","VIERNES",IF(AQ53="sa","SABADO",IF(AQ53="do","DOMINGO",IF(AR53="lu","LUNES",IF(AR53="ma","MARTES",IF(AR53="mi","MIERCOLES",IF(AR53="ju","JUEVES",IF(AR53="vi","VIERNES",IF(AR53="sa","SABADO",IF(AR53="do","DOMINGO","")))))))))))))))))))))))))))))))))))</f>
        <v/>
      </c>
      <c r="AU47" s="50" t="s">
        <v>54</v>
      </c>
      <c r="AV47" s="53" t="str">
        <f>IF(AT47="LUNES","LUNES",IF(AT47="MARTES","MARTES",IF(AT47="MIERCOLES","MIERCOLES",IF(AT47="JUEVES","JUEVES",IF(AT47="VIERNES","VIERNES",IF(AT47="SABADO","SABADO",IF(AT47="DOMINGO","DOMINGO",IF(AT48="LUNES","LUNES",IF(AT48="MARTES","MARTES",IF(AT48="MIERCOLES","MIERCOLES",IF(AT48="JUEVES","JUEVES",IF(AT48="VIERNES","VIERNES",IF(AT48="SABADO","SABADO",IF(AT48="DOMINGO","DOMINGO",""))))))))))))))</f>
        <v>DOMINGO</v>
      </c>
      <c r="AW47" s="51">
        <v>28</v>
      </c>
      <c r="AX47" s="46">
        <f>$AR$48+27</f>
        <v>45836</v>
      </c>
      <c r="AY47" s="51">
        <v>30</v>
      </c>
      <c r="AZ47" s="46">
        <f>$AR$48+29</f>
        <v>45838</v>
      </c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</row>
    <row r="48" spans="1:80" s="2" customFormat="1" ht="15.95" hidden="1" customHeight="1" x14ac:dyDescent="0.35">
      <c r="A48" s="143" t="s">
        <v>55</v>
      </c>
      <c r="B48" s="144" t="s">
        <v>30</v>
      </c>
      <c r="C48" s="141">
        <f t="shared" ref="C48:AG48" si="28">IF(C9=$R32,$V32*24,IF(C9=$R33,$V33*24,IF(C9=$R34,$V34*24,IF(C9=$R35,$V35*24,IF(C9=$R36,$V36*24,IF(C9=$R37,$V37*24,IF(C9=$R38,$V38*24,IF(C9=$R39,$V39*24,IF(C9=$R40,$V40*24,"")))))))))</f>
        <v>19</v>
      </c>
      <c r="D48" s="141" t="str">
        <f t="shared" si="28"/>
        <v/>
      </c>
      <c r="E48" s="141">
        <f t="shared" si="28"/>
        <v>19</v>
      </c>
      <c r="F48" s="141">
        <f t="shared" si="28"/>
        <v>19</v>
      </c>
      <c r="G48" s="141">
        <f t="shared" si="28"/>
        <v>19</v>
      </c>
      <c r="H48" s="141" t="str">
        <f t="shared" si="28"/>
        <v/>
      </c>
      <c r="I48" s="141" t="str">
        <f t="shared" si="28"/>
        <v/>
      </c>
      <c r="J48" s="141" t="str">
        <f t="shared" si="28"/>
        <v/>
      </c>
      <c r="K48" s="141">
        <f t="shared" si="28"/>
        <v>19</v>
      </c>
      <c r="L48" s="141">
        <f t="shared" si="28"/>
        <v>19</v>
      </c>
      <c r="M48" s="141">
        <f t="shared" si="28"/>
        <v>19</v>
      </c>
      <c r="N48" s="141" t="str">
        <f t="shared" si="28"/>
        <v/>
      </c>
      <c r="O48" s="141">
        <f t="shared" si="28"/>
        <v>19</v>
      </c>
      <c r="P48" s="141">
        <f t="shared" si="28"/>
        <v>19</v>
      </c>
      <c r="Q48" s="141">
        <f t="shared" si="28"/>
        <v>19</v>
      </c>
      <c r="R48" s="141" t="str">
        <f t="shared" si="28"/>
        <v/>
      </c>
      <c r="S48" s="141" t="str">
        <f t="shared" si="28"/>
        <v/>
      </c>
      <c r="T48" s="141">
        <f t="shared" si="28"/>
        <v>19</v>
      </c>
      <c r="U48" s="141">
        <f t="shared" si="28"/>
        <v>19</v>
      </c>
      <c r="V48" s="141" t="str">
        <f t="shared" si="28"/>
        <v/>
      </c>
      <c r="W48" s="141" t="str">
        <f t="shared" si="28"/>
        <v/>
      </c>
      <c r="X48" s="141" t="str">
        <f t="shared" si="28"/>
        <v/>
      </c>
      <c r="Y48" s="141">
        <f t="shared" si="28"/>
        <v>19</v>
      </c>
      <c r="Z48" s="141">
        <f t="shared" si="28"/>
        <v>19</v>
      </c>
      <c r="AA48" s="141" t="str">
        <f t="shared" si="28"/>
        <v/>
      </c>
      <c r="AB48" s="141" t="str">
        <f t="shared" si="28"/>
        <v/>
      </c>
      <c r="AC48" s="141">
        <f t="shared" si="28"/>
        <v>19</v>
      </c>
      <c r="AD48" s="141">
        <f t="shared" si="28"/>
        <v>19</v>
      </c>
      <c r="AE48" s="141">
        <f t="shared" si="28"/>
        <v>19</v>
      </c>
      <c r="AF48" s="141" t="str">
        <f t="shared" si="28"/>
        <v/>
      </c>
      <c r="AG48" s="141" t="str">
        <f t="shared" si="28"/>
        <v/>
      </c>
      <c r="AH48" s="142" t="s">
        <v>12</v>
      </c>
      <c r="AI48" s="230">
        <f>SUM(AI46:AI47)</f>
        <v>4.5</v>
      </c>
      <c r="AJ48" s="230"/>
      <c r="AK48" s="137" t="s">
        <v>56</v>
      </c>
      <c r="AL48" s="137"/>
      <c r="AN48" s="10"/>
      <c r="AO48" s="10"/>
      <c r="AP48" s="10"/>
      <c r="AQ48" s="50" t="s">
        <v>57</v>
      </c>
      <c r="AR48" s="54">
        <f>DATE($C$34,$C$35,1)</f>
        <v>45809</v>
      </c>
      <c r="AS48" s="51">
        <v>2</v>
      </c>
      <c r="AT48" s="52" t="str">
        <f>IF(AS53="lu","LUNES",IF(AS53="ma","MARTES",IF(AS53="mi","MIERCOLES",IF(AS53="ju","JUEVES",IF(AS53="vi","VIERNES",IF(AS53="sa","SABADO",IF(AS53="do","DOMINGO",IF(AT53="lu","LUNES",IF(AT53="ma","MARTES",IF(AT53="mi","MIERCOLES",IF(AT53="ju","JUEVES",IF(AT53="vi","VIERNES",IF(AT53="sa","SABADO",IF(AT53="do","DOMINGO",""))))))))))))))</f>
        <v>DOMINGO</v>
      </c>
      <c r="AU48" s="10"/>
      <c r="AV48" s="51"/>
      <c r="AW48" s="51">
        <v>29</v>
      </c>
      <c r="AX48" s="46">
        <f>$AR$48+28</f>
        <v>45837</v>
      </c>
      <c r="AY48" s="51">
        <v>31</v>
      </c>
      <c r="AZ48" s="46">
        <f>$AR$48+30</f>
        <v>45839</v>
      </c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</row>
    <row r="49" spans="1:80" s="2" customFormat="1" ht="15.95" hidden="1" customHeight="1" x14ac:dyDescent="0.25">
      <c r="A49" s="145"/>
      <c r="B49" s="146" t="s">
        <v>34</v>
      </c>
      <c r="C49" s="147">
        <f t="shared" ref="C49:AD49" si="29">IF(C9=$R32,$BD32*24,IF(C9=$R33,$BD33*24,IF(C9=$R34,$BD34*24,IF(C9=$R35,$BD35*24,IF(C9=$R36,$BD36*24,IF(C9=$R37,$BD37*24,IF(C9=$R38,$BD38*24,IF(C9=$R39,$BD39*24,IF(C9=$R40,$BD40*24,"")))))))))</f>
        <v>0</v>
      </c>
      <c r="D49" s="147" t="str">
        <f t="shared" si="29"/>
        <v/>
      </c>
      <c r="E49" s="147">
        <f t="shared" si="29"/>
        <v>0</v>
      </c>
      <c r="F49" s="147">
        <f t="shared" si="29"/>
        <v>0</v>
      </c>
      <c r="G49" s="147">
        <f t="shared" si="29"/>
        <v>0</v>
      </c>
      <c r="H49" s="147" t="str">
        <f t="shared" si="29"/>
        <v/>
      </c>
      <c r="I49" s="147" t="str">
        <f t="shared" si="29"/>
        <v/>
      </c>
      <c r="J49" s="147" t="str">
        <f t="shared" si="29"/>
        <v/>
      </c>
      <c r="K49" s="147">
        <f t="shared" si="29"/>
        <v>0</v>
      </c>
      <c r="L49" s="147">
        <f t="shared" si="29"/>
        <v>0</v>
      </c>
      <c r="M49" s="147">
        <f t="shared" si="29"/>
        <v>0</v>
      </c>
      <c r="N49" s="147" t="str">
        <f t="shared" si="29"/>
        <v/>
      </c>
      <c r="O49" s="147">
        <f t="shared" si="29"/>
        <v>0</v>
      </c>
      <c r="P49" s="147">
        <f t="shared" si="29"/>
        <v>0</v>
      </c>
      <c r="Q49" s="147">
        <f t="shared" si="29"/>
        <v>0</v>
      </c>
      <c r="R49" s="147" t="str">
        <f t="shared" si="29"/>
        <v/>
      </c>
      <c r="S49" s="147" t="str">
        <f t="shared" si="29"/>
        <v/>
      </c>
      <c r="T49" s="147">
        <f t="shared" si="29"/>
        <v>0</v>
      </c>
      <c r="U49" s="147">
        <f t="shared" si="29"/>
        <v>0</v>
      </c>
      <c r="V49" s="147" t="str">
        <f t="shared" si="29"/>
        <v/>
      </c>
      <c r="W49" s="147" t="str">
        <f t="shared" si="29"/>
        <v/>
      </c>
      <c r="X49" s="147" t="str">
        <f t="shared" si="29"/>
        <v/>
      </c>
      <c r="Y49" s="147">
        <f t="shared" si="29"/>
        <v>0</v>
      </c>
      <c r="Z49" s="147">
        <f t="shared" si="29"/>
        <v>0</v>
      </c>
      <c r="AA49" s="147" t="str">
        <f t="shared" si="29"/>
        <v/>
      </c>
      <c r="AB49" s="147" t="str">
        <f t="shared" si="29"/>
        <v/>
      </c>
      <c r="AC49" s="147">
        <f t="shared" si="29"/>
        <v>0</v>
      </c>
      <c r="AD49" s="147">
        <f t="shared" si="29"/>
        <v>0</v>
      </c>
      <c r="AE49" s="147">
        <f>IF(AE9=$R32,$BD32*24,IF(AE9=$R33,$BD33*24,IF(AE9=$R34,$BD34*24,IF(AE9=$R35,$BD35*24,IF(AE9=$R36,$BD36*24,IF(AE9=$R37,$BD37*24,IF(AE9=$R38,$BD38*24,IF(AE9=$R39,$BD39*24,IF(AE9=$R40,$BD40*24,"")))))))))</f>
        <v>0</v>
      </c>
      <c r="AF49" s="147" t="str">
        <f>IF(AF9=$R32,$BD32*24,IF(AF9=$R33,$BD33*24,IF(AF9=$R34,$BD34*24,IF(AF9=$R35,$BD35*24,IF(AF9=$R36,$BD36*24,IF(AF9=$R37,$BD37*24,IF(AF9=$R38,$BD38*24,IF(AF9=$R39,$BD39*24,IF(AF9=$R40,$BD40*24,"")))))))))</f>
        <v/>
      </c>
      <c r="AG49" s="147" t="str">
        <f>IF(AG9=$R32,$BD32*24,IF(AG9=$R33,$BD33*24,IF(AG9=$R34,$BD34*24,IF(AG9=$R35,$BD35*24,IF(AG9=$R36,$BD36*24,IF(AG9=$R37,$BD37*24,IF(AG9=$R38,$BD38*24,IF(AG9=$R39,$BD39*24,IF(AG9=$R40,$BD40*24,"")))))))))</f>
        <v/>
      </c>
      <c r="AH49" s="148">
        <f>SUM(C49:AG49)</f>
        <v>0</v>
      </c>
      <c r="AI49" s="231">
        <f>C37*AF36</f>
        <v>0</v>
      </c>
      <c r="AJ49" s="231"/>
      <c r="AK49" s="137" t="s">
        <v>58</v>
      </c>
      <c r="AL49" s="137"/>
      <c r="AN49" s="232">
        <f>Q4</f>
        <v>45809</v>
      </c>
      <c r="AO49" s="232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</row>
    <row r="50" spans="1:80" s="2" customFormat="1" ht="15.95" hidden="1" customHeight="1" x14ac:dyDescent="0.25">
      <c r="A50" s="145"/>
      <c r="B50" s="149" t="s">
        <v>59</v>
      </c>
      <c r="C50" s="141">
        <f t="shared" ref="C50:AG50" si="30">IF(C9="V",$C36,IF(C9="PR",$C38,0))</f>
        <v>0</v>
      </c>
      <c r="D50" s="141">
        <f t="shared" si="30"/>
        <v>0</v>
      </c>
      <c r="E50" s="141">
        <f t="shared" si="30"/>
        <v>0</v>
      </c>
      <c r="F50" s="141">
        <f t="shared" si="30"/>
        <v>0</v>
      </c>
      <c r="G50" s="141">
        <f t="shared" si="30"/>
        <v>0</v>
      </c>
      <c r="H50" s="141">
        <f t="shared" si="30"/>
        <v>0</v>
      </c>
      <c r="I50" s="141">
        <f t="shared" si="30"/>
        <v>0</v>
      </c>
      <c r="J50" s="141">
        <f t="shared" si="30"/>
        <v>0</v>
      </c>
      <c r="K50" s="141">
        <f t="shared" si="30"/>
        <v>0</v>
      </c>
      <c r="L50" s="141">
        <f t="shared" si="30"/>
        <v>0</v>
      </c>
      <c r="M50" s="141">
        <f t="shared" si="30"/>
        <v>0</v>
      </c>
      <c r="N50" s="141">
        <f t="shared" si="30"/>
        <v>0</v>
      </c>
      <c r="O50" s="141">
        <f t="shared" si="30"/>
        <v>0</v>
      </c>
      <c r="P50" s="141">
        <f t="shared" si="30"/>
        <v>0</v>
      </c>
      <c r="Q50" s="141">
        <f t="shared" si="30"/>
        <v>0</v>
      </c>
      <c r="R50" s="141">
        <f t="shared" si="30"/>
        <v>0</v>
      </c>
      <c r="S50" s="141">
        <f t="shared" si="30"/>
        <v>0</v>
      </c>
      <c r="T50" s="141">
        <f t="shared" si="30"/>
        <v>0</v>
      </c>
      <c r="U50" s="141">
        <f t="shared" si="30"/>
        <v>0</v>
      </c>
      <c r="V50" s="141">
        <f t="shared" si="30"/>
        <v>0</v>
      </c>
      <c r="W50" s="141">
        <f t="shared" si="30"/>
        <v>0</v>
      </c>
      <c r="X50" s="141">
        <f t="shared" si="30"/>
        <v>0</v>
      </c>
      <c r="Y50" s="141">
        <f t="shared" si="30"/>
        <v>0</v>
      </c>
      <c r="Z50" s="141">
        <f t="shared" si="30"/>
        <v>0</v>
      </c>
      <c r="AA50" s="141">
        <f t="shared" si="30"/>
        <v>0</v>
      </c>
      <c r="AB50" s="141">
        <f t="shared" si="30"/>
        <v>0</v>
      </c>
      <c r="AC50" s="141">
        <f t="shared" si="30"/>
        <v>0</v>
      </c>
      <c r="AD50" s="141">
        <f t="shared" si="30"/>
        <v>0</v>
      </c>
      <c r="AE50" s="141">
        <f t="shared" si="30"/>
        <v>0</v>
      </c>
      <c r="AF50" s="141">
        <f t="shared" si="30"/>
        <v>0</v>
      </c>
      <c r="AG50" s="141">
        <f t="shared" si="30"/>
        <v>0</v>
      </c>
      <c r="AH50" s="226">
        <f>SUM(C50:AG50)</f>
        <v>0</v>
      </c>
      <c r="AI50" s="226"/>
      <c r="AJ50" s="137" t="s">
        <v>12</v>
      </c>
      <c r="AK50" s="137"/>
      <c r="AL50" s="137"/>
      <c r="AN50" s="48" t="str">
        <f>INDEX({"do";"lu";"ma";"mi";"ju";"vi";"sa"},1+MOD($AR$47+1-2,7))</f>
        <v>lu</v>
      </c>
      <c r="AO50" s="48" t="str">
        <f>INDEX({"do";"lu";"ma";"mi";"ju";"vi";"sa"},1+MOD($AR$47+2-2,7))</f>
        <v>ma</v>
      </c>
      <c r="AP50" s="48" t="str">
        <f>INDEX({"do";"lu";"ma";"mi";"ju";"vi";"sa"},1+MOD($AR$47+3-2,7))</f>
        <v>mi</v>
      </c>
      <c r="AQ50" s="48" t="str">
        <f>INDEX({"do";"lu";"ma";"mi";"ju";"vi";"sa"},1+MOD($AR$47+4-2,7))</f>
        <v>ju</v>
      </c>
      <c r="AR50" s="48" t="str">
        <f>INDEX({"do";"lu";"ma";"mi";"ju";"vi";"sa"},1+MOD($AR$47+5-2,7))</f>
        <v>vi</v>
      </c>
      <c r="AS50" s="48" t="str">
        <f>INDEX({"do";"lu";"ma";"mi";"ju";"vi";"sa"},1+MOD($AR$47+6-2,7))</f>
        <v>sa</v>
      </c>
      <c r="AT50" s="48" t="str">
        <f>INDEX({"do";"lu";"ma";"mi";"ju";"vi";"sa"},1+MOD($AR$47+7-2,7))</f>
        <v>do</v>
      </c>
      <c r="AU50" s="48" t="str">
        <f>INDEX({"do";"lu";"ma";"mi";"ju";"vi";"sa"},1+MOD($AR$47+1-2,7))</f>
        <v>lu</v>
      </c>
      <c r="AV50" s="48" t="str">
        <f>INDEX({"do";"lu";"ma";"mi";"ju";"vi";"sa"},1+MOD($AR$47+2-2,7))</f>
        <v>ma</v>
      </c>
      <c r="AW50" s="48" t="str">
        <f>INDEX({"do";"lu";"ma";"mi";"ju";"vi";"sa"},1+MOD($AR$47+3-2,7))</f>
        <v>mi</v>
      </c>
      <c r="AX50" s="48" t="str">
        <f>INDEX({"do";"lu";"ma";"mi";"ju";"vi";"sa"},1+MOD($AR$47+4-2,7))</f>
        <v>ju</v>
      </c>
      <c r="AY50" s="48" t="str">
        <f>INDEX({"do";"lu";"ma";"mi";"ju";"vi";"sa"},1+MOD($AR$47+5-2,7))</f>
        <v>vi</v>
      </c>
      <c r="AZ50" s="48" t="str">
        <f>INDEX({"do";"lu";"ma";"mi";"ju";"vi";"sa"},1+MOD($AR$47+6-2,7))</f>
        <v>sa</v>
      </c>
      <c r="BA50" s="48" t="str">
        <f>INDEX({"do";"lu";"ma";"mi";"ju";"vi";"sa"},1+MOD($AR$47+7-2,7))</f>
        <v>do</v>
      </c>
      <c r="BB50" s="48" t="str">
        <f>INDEX({"do";"lu";"ma";"mi";"ju";"vi";"sa"},1+MOD($AR$47+1-2,7))</f>
        <v>lu</v>
      </c>
      <c r="BC50" s="48" t="str">
        <f>INDEX({"do";"lu";"ma";"mi";"ju";"vi";"sa"},1+MOD($AR$47+2-2,7))</f>
        <v>ma</v>
      </c>
      <c r="BD50" s="48" t="str">
        <f>INDEX({"do";"lu";"ma";"mi";"ju";"vi";"sa"},1+MOD($AR$47+3-2,7))</f>
        <v>mi</v>
      </c>
      <c r="BE50" s="10"/>
      <c r="BF50" s="48" t="str">
        <f>INDEX({"do";"lu";"ma";"mi";"ju";"vi";"sa"},1+MOD($AR$47+5-2,7))</f>
        <v>vi</v>
      </c>
      <c r="BG50" s="48" t="str">
        <f>INDEX({"do";"lu";"ma";"mi";"ju";"vi";"sa"},1+MOD($AR$47+6-2,7))</f>
        <v>sa</v>
      </c>
      <c r="BH50" s="48" t="str">
        <f>INDEX({"do";"lu";"ma";"mi";"ju";"vi";"sa"},1+MOD($AR$47+7-2,7))</f>
        <v>do</v>
      </c>
      <c r="BI50" s="48" t="str">
        <f>INDEX({"do";"lu";"ma";"mi";"ju";"vi";"sa"},1+MOD($AR$47+1-2,7))</f>
        <v>lu</v>
      </c>
      <c r="BJ50" s="48" t="str">
        <f>INDEX({"do";"lu";"ma";"mi";"ju";"vi";"sa"},1+MOD($AR$47+2-2,7))</f>
        <v>ma</v>
      </c>
      <c r="BK50" s="48" t="str">
        <f>INDEX({"do";"lu";"ma";"mi";"ju";"vi";"sa"},1+MOD($AR$47+3-2,7))</f>
        <v>mi</v>
      </c>
      <c r="BL50" s="48" t="str">
        <f>INDEX({"do";"lu";"ma";"mi";"ju";"vi";"sa"},1+MOD($AR$47+4-2,7))</f>
        <v>ju</v>
      </c>
      <c r="BM50" s="48" t="str">
        <f>INDEX({"do";"lu";"ma";"mi";"ju";"vi";"sa"},1+MOD($AR$47+5-2,7))</f>
        <v>vi</v>
      </c>
      <c r="BN50" s="48" t="str">
        <f>INDEX({"do";"lu";"ma";"mi";"ju";"vi";"sa"},1+MOD($AR$47+6-2,7))</f>
        <v>sa</v>
      </c>
      <c r="BO50" s="48" t="str">
        <f>INDEX({"do";"lu";"ma";"mi";"ju";"vi";"sa"},1+MOD($AR$47+7-2,7))</f>
        <v>do</v>
      </c>
      <c r="BP50" s="48" t="str">
        <f>INDEX({"do";"lu";"ma";"mi";"ju";"vi";"sa"},1+MOD($AR$47+1-2,7))</f>
        <v>lu</v>
      </c>
      <c r="BQ50" s="48" t="str">
        <f>INDEX({"do";"lu";"ma";"mi";"ju";"vi";"sa"},1+MOD($AR$47+2-2,7))</f>
        <v>ma</v>
      </c>
      <c r="BR50" s="48" t="str">
        <f>INDEX({"do";"lu";"ma";"mi";"ju";"vi";"sa"},1+MOD($AR$47+3-2,7))</f>
        <v>mi</v>
      </c>
      <c r="BS50" s="48" t="str">
        <f>INDEX({"do";"lu";"ma";"mi";"ju";"vi";"sa"},1+MOD($AR$47+4-2,7))</f>
        <v>ju</v>
      </c>
      <c r="BT50" s="48" t="str">
        <f>INDEX({"do";"lu";"ma";"mi";"ju";"vi";"sa"},1+MOD($AR$47+5-2,7))</f>
        <v>vi</v>
      </c>
      <c r="BU50" s="48" t="str">
        <f>INDEX({"do";"lu";"ma";"mi";"ju";"vi";"sa"},1+MOD($AR$47+6-2,7))</f>
        <v>sa</v>
      </c>
      <c r="BV50" s="48" t="str">
        <f>INDEX({"do";"lu";"ma";"mi";"ju";"vi";"sa"},1+MOD($AR$47+7-2,7))</f>
        <v>do</v>
      </c>
      <c r="BW50" s="48" t="str">
        <f>INDEX({"do";"lu";"ma";"mi";"ju";"vi";"sa"},1+MOD($AR$47+1-2,7))</f>
        <v>lu</v>
      </c>
      <c r="BX50" s="48" t="str">
        <f>INDEX({"do";"lu";"ma";"mi";"ju";"vi";"sa"},1+MOD($AR$47+2-2,7))</f>
        <v>ma</v>
      </c>
      <c r="BY50" s="10"/>
      <c r="BZ50" s="10"/>
      <c r="CA50" s="10"/>
      <c r="CB50" s="10"/>
    </row>
    <row r="51" spans="1:80" s="2" customFormat="1" ht="15.95" hidden="1" customHeight="1" x14ac:dyDescent="0.25">
      <c r="A51" s="150" t="s">
        <v>60</v>
      </c>
      <c r="B51" s="144" t="s">
        <v>61</v>
      </c>
      <c r="C51" s="151">
        <f t="shared" ref="C51:AD51" si="31">IF(C9=$R32,$BC32,IF(C9=$R33,$BC33,IF(C9=$R34,$BC34,IF(C9=$R35,$BC35,IF(C9=$R36,$BC36,IF(C9=$R37,$BC37,IF(C9=$R38,$BC38,IF(C9=$R39,$BC39,IF(C9=$R40,$BC40,0)))))))))</f>
        <v>11.999999999999998</v>
      </c>
      <c r="D51" s="151">
        <f t="shared" si="31"/>
        <v>0</v>
      </c>
      <c r="E51" s="151">
        <f t="shared" si="31"/>
        <v>11.999999999999998</v>
      </c>
      <c r="F51" s="151">
        <f t="shared" si="31"/>
        <v>11.999999999999998</v>
      </c>
      <c r="G51" s="151">
        <f t="shared" si="31"/>
        <v>11.999999999999998</v>
      </c>
      <c r="H51" s="151">
        <f t="shared" si="31"/>
        <v>0</v>
      </c>
      <c r="I51" s="151">
        <f t="shared" si="31"/>
        <v>0</v>
      </c>
      <c r="J51" s="151">
        <f t="shared" si="31"/>
        <v>0</v>
      </c>
      <c r="K51" s="151">
        <f t="shared" si="31"/>
        <v>11.999999999999998</v>
      </c>
      <c r="L51" s="151">
        <f t="shared" si="31"/>
        <v>11.999999999999998</v>
      </c>
      <c r="M51" s="151">
        <f t="shared" si="31"/>
        <v>11.999999999999998</v>
      </c>
      <c r="N51" s="151">
        <f t="shared" si="31"/>
        <v>0</v>
      </c>
      <c r="O51" s="151">
        <f t="shared" si="31"/>
        <v>11.999999999999998</v>
      </c>
      <c r="P51" s="151">
        <f t="shared" si="31"/>
        <v>11.999999999999998</v>
      </c>
      <c r="Q51" s="151">
        <f t="shared" si="31"/>
        <v>11.999999999999998</v>
      </c>
      <c r="R51" s="151">
        <f t="shared" si="31"/>
        <v>0</v>
      </c>
      <c r="S51" s="151">
        <f t="shared" si="31"/>
        <v>0</v>
      </c>
      <c r="T51" s="151">
        <f t="shared" si="31"/>
        <v>11.999999999999998</v>
      </c>
      <c r="U51" s="151">
        <f t="shared" si="31"/>
        <v>11.999999999999998</v>
      </c>
      <c r="V51" s="151">
        <f t="shared" si="31"/>
        <v>0</v>
      </c>
      <c r="W51" s="151">
        <f t="shared" si="31"/>
        <v>0</v>
      </c>
      <c r="X51" s="151">
        <f t="shared" si="31"/>
        <v>0</v>
      </c>
      <c r="Y51" s="151">
        <f t="shared" si="31"/>
        <v>11.999999999999998</v>
      </c>
      <c r="Z51" s="151">
        <f t="shared" si="31"/>
        <v>11.999999999999998</v>
      </c>
      <c r="AA51" s="151">
        <f t="shared" si="31"/>
        <v>0</v>
      </c>
      <c r="AB51" s="151">
        <f t="shared" si="31"/>
        <v>0</v>
      </c>
      <c r="AC51" s="151">
        <f t="shared" si="31"/>
        <v>11.999999999999998</v>
      </c>
      <c r="AD51" s="151">
        <f t="shared" si="31"/>
        <v>11.999999999999998</v>
      </c>
      <c r="AE51" s="151">
        <f>IF(AE9=$R32,$BC32,IF(AE9=$R33,$BC33,IF(AE9=$R34,$BC34,IF(AE9=$R35,$BC35,IF(AE9=$R36,$BC36,IF(AE9=$R37,$BC37,IF(AE9=$R38,$BC38,IF(AE9=$R39,$BC39,IF(AE9=$R40,$BC40,0)))))))))</f>
        <v>11.999999999999998</v>
      </c>
      <c r="AF51" s="151">
        <f>IF(AF9=$R32,$BC32,IF(AF9=$R33,$BC33,IF(AF9=$R34,$BC34,IF(AF9=$R35,$BC35,IF(AF9=$R36,$BC36,IF(AF9=$R37,$BC37,IF(AF9=$R38,$BC38,IF(AF9=$R39,$BC39,IF(AF9=$R40,$BC40,0)))))))))</f>
        <v>0</v>
      </c>
      <c r="AG51" s="151">
        <f>IF(AG9=$R32,$BC32,IF(AG9=$R33,$BC33,IF(AG9=$R34,$BC34,IF(AG9=$R35,$BC35,IF(AG9=$R36,$BC36,IF(AG9=$R37,$BC37,IF(AG9=$R38,$BC38,IF(AG9=$R39,$BC39,IF(AG9=$R40,$BC40,0)))))))))</f>
        <v>0</v>
      </c>
      <c r="AH51" s="226">
        <f>SUM(C51:AG51)</f>
        <v>203.99999999999997</v>
      </c>
      <c r="AI51" s="226"/>
      <c r="AJ51" s="152" t="s">
        <v>62</v>
      </c>
      <c r="AK51" s="137" t="s">
        <v>12</v>
      </c>
      <c r="AL51" s="137"/>
      <c r="AN51" s="49" t="str">
        <f t="shared" ref="AN51:BD51" si="32">IF(MONTH($Q$4)&lt;&gt;MONTH($Q$4-(WEEKDAY($Q$4,1)-($AR$47-1))-IF((WEEKDAY($Q$4,1)-($AR$47-1))&lt;=0,7,0)+(ROW(AN51)-ROW($AN$51))*7+(COLUMN(AN51)-COLUMN($AN$51)+1)),"",$Q$4-(WEEKDAY($Q$4,1)-($AR$47-1))-IF((WEEKDAY($Q$4,1)-($AR$47-1))&lt;=0,7,0)+(ROW(AN51)-ROW($AN$51))*7+(COLUMN(AN51)-COLUMN($AN$51)+1))</f>
        <v/>
      </c>
      <c r="AO51" s="49" t="str">
        <f t="shared" si="32"/>
        <v/>
      </c>
      <c r="AP51" s="49" t="str">
        <f t="shared" si="32"/>
        <v/>
      </c>
      <c r="AQ51" s="49" t="str">
        <f t="shared" si="32"/>
        <v/>
      </c>
      <c r="AR51" s="49" t="str">
        <f t="shared" si="32"/>
        <v/>
      </c>
      <c r="AS51" s="49" t="str">
        <f t="shared" si="32"/>
        <v/>
      </c>
      <c r="AT51" s="49">
        <f t="shared" si="32"/>
        <v>45809</v>
      </c>
      <c r="AU51" s="49">
        <f t="shared" si="32"/>
        <v>45810</v>
      </c>
      <c r="AV51" s="49">
        <f t="shared" si="32"/>
        <v>45811</v>
      </c>
      <c r="AW51" s="49">
        <f t="shared" si="32"/>
        <v>45812</v>
      </c>
      <c r="AX51" s="49">
        <f t="shared" si="32"/>
        <v>45813</v>
      </c>
      <c r="AY51" s="49">
        <f t="shared" si="32"/>
        <v>45814</v>
      </c>
      <c r="AZ51" s="49">
        <f t="shared" si="32"/>
        <v>45815</v>
      </c>
      <c r="BA51" s="49">
        <f t="shared" si="32"/>
        <v>45816</v>
      </c>
      <c r="BB51" s="49">
        <f t="shared" si="32"/>
        <v>45817</v>
      </c>
      <c r="BC51" s="49">
        <f t="shared" si="32"/>
        <v>45818</v>
      </c>
      <c r="BD51" s="49">
        <f t="shared" si="32"/>
        <v>45819</v>
      </c>
      <c r="BE51" s="31"/>
      <c r="BF51" s="49">
        <f t="shared" ref="BF51:BX51" si="33">IF(MONTH($Q$4)&lt;&gt;MONTH($Q$4-(WEEKDAY($Q$4,1)-($AR$47-1))-IF((WEEKDAY($Q$4,1)-($AR$47-1))&lt;=0,7,0)+(ROW(BF51)-ROW($AN$51))*7+(COLUMN(BF51)-COLUMN($AN$51)+1)),"",$Q$4-(WEEKDAY($Q$4,1)-($AR$47-1))-IF((WEEKDAY($Q$4,1)-($AR$47-1))&lt;=0,7,0)+(ROW(BF51)-ROW($AN$51))*7+(COLUMN(BF51)-COLUMN($AN$51)+1))</f>
        <v>45821</v>
      </c>
      <c r="BG51" s="49">
        <f t="shared" si="33"/>
        <v>45822</v>
      </c>
      <c r="BH51" s="49">
        <f t="shared" si="33"/>
        <v>45823</v>
      </c>
      <c r="BI51" s="49">
        <f t="shared" si="33"/>
        <v>45824</v>
      </c>
      <c r="BJ51" s="49">
        <f t="shared" si="33"/>
        <v>45825</v>
      </c>
      <c r="BK51" s="49">
        <f t="shared" si="33"/>
        <v>45826</v>
      </c>
      <c r="BL51" s="49">
        <f t="shared" si="33"/>
        <v>45827</v>
      </c>
      <c r="BM51" s="49">
        <f t="shared" si="33"/>
        <v>45828</v>
      </c>
      <c r="BN51" s="49">
        <f t="shared" si="33"/>
        <v>45829</v>
      </c>
      <c r="BO51" s="49">
        <f t="shared" si="33"/>
        <v>45830</v>
      </c>
      <c r="BP51" s="49">
        <f t="shared" si="33"/>
        <v>45831</v>
      </c>
      <c r="BQ51" s="49">
        <f t="shared" si="33"/>
        <v>45832</v>
      </c>
      <c r="BR51" s="49">
        <f t="shared" si="33"/>
        <v>45833</v>
      </c>
      <c r="BS51" s="49">
        <f t="shared" si="33"/>
        <v>45834</v>
      </c>
      <c r="BT51" s="49">
        <f t="shared" si="33"/>
        <v>45835</v>
      </c>
      <c r="BU51" s="49">
        <f t="shared" si="33"/>
        <v>45836</v>
      </c>
      <c r="BV51" s="49">
        <f t="shared" si="33"/>
        <v>45837</v>
      </c>
      <c r="BW51" s="49">
        <f t="shared" si="33"/>
        <v>45838</v>
      </c>
      <c r="BX51" s="49" t="str">
        <f t="shared" si="33"/>
        <v/>
      </c>
      <c r="BY51" s="10"/>
      <c r="BZ51" s="10"/>
      <c r="CA51" s="10"/>
      <c r="CB51" s="10"/>
    </row>
    <row r="52" spans="1:80" s="2" customFormat="1" ht="15.95" hidden="1" customHeight="1" x14ac:dyDescent="0.25">
      <c r="A52" s="153" t="s">
        <v>48</v>
      </c>
      <c r="B52" s="149" t="s">
        <v>63</v>
      </c>
      <c r="C52" s="141">
        <f t="shared" ref="C52:AG52" si="34">IF(C46=1,IF(C47&lt;C48,C51,0))</f>
        <v>11.999999999999998</v>
      </c>
      <c r="D52" s="141" t="b">
        <f t="shared" si="34"/>
        <v>0</v>
      </c>
      <c r="E52" s="141" t="b">
        <f t="shared" si="34"/>
        <v>0</v>
      </c>
      <c r="F52" s="141" t="b">
        <f t="shared" si="34"/>
        <v>0</v>
      </c>
      <c r="G52" s="141" t="b">
        <f t="shared" si="34"/>
        <v>0</v>
      </c>
      <c r="H52" s="141" t="b">
        <f t="shared" si="34"/>
        <v>0</v>
      </c>
      <c r="I52" s="141">
        <f t="shared" si="34"/>
        <v>0</v>
      </c>
      <c r="J52" s="141">
        <f t="shared" si="34"/>
        <v>0</v>
      </c>
      <c r="K52" s="141" t="b">
        <f t="shared" si="34"/>
        <v>0</v>
      </c>
      <c r="L52" s="141" t="b">
        <f t="shared" si="34"/>
        <v>0</v>
      </c>
      <c r="M52" s="141" t="b">
        <f t="shared" si="34"/>
        <v>0</v>
      </c>
      <c r="N52" s="141" t="b">
        <f t="shared" si="34"/>
        <v>0</v>
      </c>
      <c r="O52" s="141" t="b">
        <f t="shared" si="34"/>
        <v>0</v>
      </c>
      <c r="P52" s="141">
        <f t="shared" si="34"/>
        <v>11.999999999999998</v>
      </c>
      <c r="Q52" s="141">
        <f t="shared" si="34"/>
        <v>11.999999999999998</v>
      </c>
      <c r="R52" s="141" t="b">
        <f t="shared" si="34"/>
        <v>0</v>
      </c>
      <c r="S52" s="141" t="b">
        <f t="shared" si="34"/>
        <v>0</v>
      </c>
      <c r="T52" s="141" t="b">
        <f t="shared" si="34"/>
        <v>0</v>
      </c>
      <c r="U52" s="141" t="b">
        <f t="shared" si="34"/>
        <v>0</v>
      </c>
      <c r="V52" s="141" t="b">
        <f t="shared" si="34"/>
        <v>0</v>
      </c>
      <c r="W52" s="141">
        <f t="shared" si="34"/>
        <v>0</v>
      </c>
      <c r="X52" s="141">
        <f t="shared" si="34"/>
        <v>0</v>
      </c>
      <c r="Y52" s="141" t="b">
        <f t="shared" si="34"/>
        <v>0</v>
      </c>
      <c r="Z52" s="141" t="b">
        <f t="shared" si="34"/>
        <v>0</v>
      </c>
      <c r="AA52" s="141" t="b">
        <f t="shared" si="34"/>
        <v>0</v>
      </c>
      <c r="AB52" s="141" t="b">
        <f t="shared" si="34"/>
        <v>0</v>
      </c>
      <c r="AC52" s="141" t="b">
        <f t="shared" si="34"/>
        <v>0</v>
      </c>
      <c r="AD52" s="141">
        <f t="shared" si="34"/>
        <v>11.999999999999998</v>
      </c>
      <c r="AE52" s="141">
        <f t="shared" si="34"/>
        <v>11.999999999999998</v>
      </c>
      <c r="AF52" s="141" t="b">
        <f t="shared" si="34"/>
        <v>0</v>
      </c>
      <c r="AG52" s="141" t="b">
        <f t="shared" si="34"/>
        <v>0</v>
      </c>
      <c r="AH52" s="154" t="s">
        <v>12</v>
      </c>
      <c r="AI52" s="133"/>
      <c r="AJ52" s="155"/>
      <c r="AK52" s="156"/>
      <c r="AL52" s="137"/>
      <c r="AN52" s="55" t="str">
        <f t="shared" ref="AN52:AT52" si="35">IF(AN51=$AR$48,IF(AN51="",0,1),"")</f>
        <v/>
      </c>
      <c r="AO52" s="55" t="str">
        <f t="shared" si="35"/>
        <v/>
      </c>
      <c r="AP52" s="55" t="str">
        <f t="shared" si="35"/>
        <v/>
      </c>
      <c r="AQ52" s="55" t="str">
        <f t="shared" si="35"/>
        <v/>
      </c>
      <c r="AR52" s="55" t="str">
        <f t="shared" si="35"/>
        <v/>
      </c>
      <c r="AS52" s="55" t="str">
        <f t="shared" si="35"/>
        <v/>
      </c>
      <c r="AT52" s="55">
        <f t="shared" si="35"/>
        <v>1</v>
      </c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56"/>
      <c r="BF52" s="10"/>
      <c r="BG52" s="10"/>
      <c r="BH52" s="10"/>
      <c r="BI52" s="10"/>
      <c r="BJ52" s="10"/>
      <c r="BK52" s="10"/>
      <c r="BL52" s="10"/>
      <c r="BM52" s="10"/>
      <c r="BN52" s="10"/>
      <c r="BO52" s="96">
        <f t="shared" ref="BO52:BX52" si="36">BO51</f>
        <v>45830</v>
      </c>
      <c r="BP52" s="96">
        <f t="shared" si="36"/>
        <v>45831</v>
      </c>
      <c r="BQ52" s="96">
        <f t="shared" si="36"/>
        <v>45832</v>
      </c>
      <c r="BR52" s="96">
        <f t="shared" si="36"/>
        <v>45833</v>
      </c>
      <c r="BS52" s="96">
        <f t="shared" si="36"/>
        <v>45834</v>
      </c>
      <c r="BT52" s="96">
        <f t="shared" si="36"/>
        <v>45835</v>
      </c>
      <c r="BU52" s="96">
        <f t="shared" si="36"/>
        <v>45836</v>
      </c>
      <c r="BV52" s="96">
        <f t="shared" si="36"/>
        <v>45837</v>
      </c>
      <c r="BW52" s="96">
        <f t="shared" si="36"/>
        <v>45838</v>
      </c>
      <c r="BX52" s="96" t="str">
        <f t="shared" si="36"/>
        <v/>
      </c>
      <c r="BY52" s="10"/>
      <c r="BZ52" s="10"/>
      <c r="CA52" s="10"/>
      <c r="CB52" s="10"/>
    </row>
    <row r="53" spans="1:80" s="2" customFormat="1" ht="15.95" hidden="1" customHeight="1" x14ac:dyDescent="0.25">
      <c r="A53" s="153"/>
      <c r="B53" s="149" t="s">
        <v>64</v>
      </c>
      <c r="C53" s="141">
        <f t="shared" ref="C53:AG53" si="37">IF(C46=1,IF(C47&gt;C48,24-C47,0),0)</f>
        <v>0</v>
      </c>
      <c r="D53" s="141">
        <f t="shared" si="37"/>
        <v>0</v>
      </c>
      <c r="E53" s="141">
        <f t="shared" si="37"/>
        <v>0</v>
      </c>
      <c r="F53" s="141">
        <f t="shared" si="37"/>
        <v>0</v>
      </c>
      <c r="G53" s="141">
        <f t="shared" si="37"/>
        <v>0</v>
      </c>
      <c r="H53" s="141">
        <f t="shared" si="37"/>
        <v>0</v>
      </c>
      <c r="I53" s="141">
        <f t="shared" si="37"/>
        <v>0</v>
      </c>
      <c r="J53" s="141">
        <f t="shared" si="37"/>
        <v>0</v>
      </c>
      <c r="K53" s="141">
        <f t="shared" si="37"/>
        <v>0</v>
      </c>
      <c r="L53" s="141">
        <f t="shared" si="37"/>
        <v>0</v>
      </c>
      <c r="M53" s="141">
        <f t="shared" si="37"/>
        <v>0</v>
      </c>
      <c r="N53" s="141">
        <f t="shared" si="37"/>
        <v>0</v>
      </c>
      <c r="O53" s="141">
        <f t="shared" si="37"/>
        <v>0</v>
      </c>
      <c r="P53" s="141">
        <f t="shared" si="37"/>
        <v>0</v>
      </c>
      <c r="Q53" s="141">
        <f t="shared" si="37"/>
        <v>0</v>
      </c>
      <c r="R53" s="141">
        <f t="shared" si="37"/>
        <v>0</v>
      </c>
      <c r="S53" s="141">
        <f t="shared" si="37"/>
        <v>0</v>
      </c>
      <c r="T53" s="141">
        <f t="shared" si="37"/>
        <v>0</v>
      </c>
      <c r="U53" s="141">
        <f t="shared" si="37"/>
        <v>0</v>
      </c>
      <c r="V53" s="141">
        <f t="shared" si="37"/>
        <v>0</v>
      </c>
      <c r="W53" s="141">
        <f t="shared" si="37"/>
        <v>0</v>
      </c>
      <c r="X53" s="141">
        <f t="shared" si="37"/>
        <v>0</v>
      </c>
      <c r="Y53" s="141">
        <f t="shared" si="37"/>
        <v>0</v>
      </c>
      <c r="Z53" s="141">
        <f t="shared" si="37"/>
        <v>0</v>
      </c>
      <c r="AA53" s="141">
        <f t="shared" si="37"/>
        <v>0</v>
      </c>
      <c r="AB53" s="141">
        <f t="shared" si="37"/>
        <v>0</v>
      </c>
      <c r="AC53" s="141">
        <f t="shared" si="37"/>
        <v>0</v>
      </c>
      <c r="AD53" s="141">
        <f t="shared" si="37"/>
        <v>0</v>
      </c>
      <c r="AE53" s="141">
        <f t="shared" si="37"/>
        <v>0</v>
      </c>
      <c r="AF53" s="141">
        <f t="shared" si="37"/>
        <v>0</v>
      </c>
      <c r="AG53" s="141">
        <f t="shared" si="37"/>
        <v>0</v>
      </c>
      <c r="AH53" s="154" t="s">
        <v>12</v>
      </c>
      <c r="AI53" s="133"/>
      <c r="AJ53" s="155"/>
      <c r="AK53" s="137"/>
      <c r="AL53" s="137"/>
      <c r="AN53" s="57" t="str">
        <f t="shared" ref="AN53:AT53" si="38">IF(AN52=1,IF(AN52="",0,AN50),"")</f>
        <v/>
      </c>
      <c r="AO53" s="57" t="str">
        <f t="shared" si="38"/>
        <v/>
      </c>
      <c r="AP53" s="57" t="str">
        <f t="shared" si="38"/>
        <v/>
      </c>
      <c r="AQ53" s="57" t="str">
        <f t="shared" si="38"/>
        <v/>
      </c>
      <c r="AR53" s="57" t="str">
        <f t="shared" si="38"/>
        <v/>
      </c>
      <c r="AS53" s="57" t="str">
        <f t="shared" si="38"/>
        <v/>
      </c>
      <c r="AT53" s="57" t="str">
        <f t="shared" si="38"/>
        <v>do</v>
      </c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56"/>
      <c r="BF53" s="10"/>
      <c r="BG53" s="10"/>
      <c r="BH53" s="10"/>
      <c r="BI53" s="10"/>
      <c r="BJ53" s="10"/>
      <c r="BK53" s="10"/>
      <c r="BL53" s="10"/>
      <c r="BM53" s="10"/>
      <c r="BN53" s="10"/>
      <c r="BO53" s="58" t="str">
        <f t="shared" ref="BO53:BX53" si="39">IF(BO52=$AR$48+30,IF(BO52="",0,1),IF(BO52=$AR$48+29,IF(BO52="",0,1),IF(BO52=$AR$48+28,IF(BO52="",0,1),IF(BO52=$AR$48+27,IF(BO52="",0,1),""))))</f>
        <v/>
      </c>
      <c r="BP53" s="58" t="str">
        <f t="shared" si="39"/>
        <v/>
      </c>
      <c r="BQ53" s="58" t="str">
        <f t="shared" si="39"/>
        <v/>
      </c>
      <c r="BR53" s="58" t="str">
        <f t="shared" si="39"/>
        <v/>
      </c>
      <c r="BS53" s="58" t="str">
        <f t="shared" si="39"/>
        <v/>
      </c>
      <c r="BT53" s="58" t="str">
        <f t="shared" si="39"/>
        <v/>
      </c>
      <c r="BU53" s="58">
        <f t="shared" si="39"/>
        <v>1</v>
      </c>
      <c r="BV53" s="58">
        <f t="shared" si="39"/>
        <v>1</v>
      </c>
      <c r="BW53" s="58">
        <f t="shared" si="39"/>
        <v>1</v>
      </c>
      <c r="BX53" s="58" t="str">
        <f t="shared" si="39"/>
        <v/>
      </c>
      <c r="BY53" s="10"/>
      <c r="BZ53" s="10"/>
      <c r="CA53" s="10"/>
      <c r="CB53" s="10"/>
    </row>
    <row r="54" spans="1:80" s="2" customFormat="1" ht="15.95" hidden="1" customHeight="1" x14ac:dyDescent="0.25">
      <c r="A54" s="157"/>
      <c r="B54" s="149" t="s">
        <v>65</v>
      </c>
      <c r="C54" s="141">
        <f t="shared" ref="C54:AG54" si="40">IF(D46=1,IF(C47&gt;C48,C48,0),0)</f>
        <v>0</v>
      </c>
      <c r="D54" s="141">
        <f t="shared" si="40"/>
        <v>0</v>
      </c>
      <c r="E54" s="141">
        <f t="shared" si="40"/>
        <v>0</v>
      </c>
      <c r="F54" s="141">
        <f t="shared" si="40"/>
        <v>0</v>
      </c>
      <c r="G54" s="141">
        <f t="shared" si="40"/>
        <v>0</v>
      </c>
      <c r="H54" s="141">
        <f t="shared" si="40"/>
        <v>0</v>
      </c>
      <c r="I54" s="141">
        <f t="shared" si="40"/>
        <v>0</v>
      </c>
      <c r="J54" s="141">
        <f t="shared" si="40"/>
        <v>0</v>
      </c>
      <c r="K54" s="141">
        <f t="shared" si="40"/>
        <v>0</v>
      </c>
      <c r="L54" s="141">
        <f t="shared" si="40"/>
        <v>0</v>
      </c>
      <c r="M54" s="141">
        <f t="shared" si="40"/>
        <v>0</v>
      </c>
      <c r="N54" s="141">
        <f t="shared" si="40"/>
        <v>0</v>
      </c>
      <c r="O54" s="141">
        <f t="shared" si="40"/>
        <v>0</v>
      </c>
      <c r="P54" s="141">
        <f t="shared" si="40"/>
        <v>0</v>
      </c>
      <c r="Q54" s="141">
        <f t="shared" si="40"/>
        <v>0</v>
      </c>
      <c r="R54" s="141">
        <f t="shared" si="40"/>
        <v>0</v>
      </c>
      <c r="S54" s="141">
        <f t="shared" si="40"/>
        <v>0</v>
      </c>
      <c r="T54" s="141">
        <f t="shared" si="40"/>
        <v>0</v>
      </c>
      <c r="U54" s="141">
        <f t="shared" si="40"/>
        <v>0</v>
      </c>
      <c r="V54" s="141">
        <f t="shared" si="40"/>
        <v>0</v>
      </c>
      <c r="W54" s="141">
        <f t="shared" si="40"/>
        <v>0</v>
      </c>
      <c r="X54" s="141">
        <f>IF(Y46=1,IF(X47&gt;X48,X48,0),0)</f>
        <v>0</v>
      </c>
      <c r="Y54" s="141">
        <f t="shared" si="40"/>
        <v>0</v>
      </c>
      <c r="Z54" s="141">
        <f t="shared" si="40"/>
        <v>0</v>
      </c>
      <c r="AA54" s="141">
        <f t="shared" si="40"/>
        <v>0</v>
      </c>
      <c r="AB54" s="141">
        <f t="shared" si="40"/>
        <v>0</v>
      </c>
      <c r="AC54" s="141">
        <f t="shared" si="40"/>
        <v>0</v>
      </c>
      <c r="AD54" s="141">
        <f t="shared" si="40"/>
        <v>0</v>
      </c>
      <c r="AE54" s="141">
        <f t="shared" si="40"/>
        <v>0</v>
      </c>
      <c r="AF54" s="141">
        <f t="shared" si="40"/>
        <v>0</v>
      </c>
      <c r="AG54" s="141">
        <f t="shared" si="40"/>
        <v>0</v>
      </c>
      <c r="AH54" s="154" t="s">
        <v>12</v>
      </c>
      <c r="AI54" s="133"/>
      <c r="AJ54" s="155"/>
      <c r="AK54" s="137"/>
      <c r="AL54" s="137"/>
      <c r="AN54" s="10"/>
      <c r="AO54" s="10"/>
      <c r="AP54" s="10"/>
      <c r="AQ54" s="10"/>
      <c r="AR54" s="47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56"/>
      <c r="BF54" s="10"/>
      <c r="BG54" s="10"/>
      <c r="BH54" s="10"/>
      <c r="BI54" s="10"/>
      <c r="BJ54" s="10"/>
      <c r="BK54" s="10"/>
      <c r="BL54" s="10"/>
      <c r="BM54" s="10"/>
      <c r="BN54" s="10"/>
      <c r="BO54" s="52" t="str">
        <f t="shared" ref="BO54:BX54" si="41">IF(BO53=1,IF(BO53="",0,BO52),"")</f>
        <v/>
      </c>
      <c r="BP54" s="52" t="str">
        <f t="shared" si="41"/>
        <v/>
      </c>
      <c r="BQ54" s="52" t="str">
        <f t="shared" si="41"/>
        <v/>
      </c>
      <c r="BR54" s="52" t="str">
        <f t="shared" si="41"/>
        <v/>
      </c>
      <c r="BS54" s="52" t="str">
        <f t="shared" si="41"/>
        <v/>
      </c>
      <c r="BT54" s="52" t="str">
        <f t="shared" si="41"/>
        <v/>
      </c>
      <c r="BU54" s="52">
        <f t="shared" si="41"/>
        <v>45836</v>
      </c>
      <c r="BV54" s="52">
        <f t="shared" si="41"/>
        <v>45837</v>
      </c>
      <c r="BW54" s="52">
        <f t="shared" si="41"/>
        <v>45838</v>
      </c>
      <c r="BX54" s="52" t="str">
        <f t="shared" si="41"/>
        <v/>
      </c>
      <c r="BY54" s="56"/>
      <c r="BZ54" s="97" t="s">
        <v>66</v>
      </c>
      <c r="CA54" s="56"/>
      <c r="CB54" s="10"/>
    </row>
    <row r="55" spans="1:80" s="2" customFormat="1" ht="15.95" hidden="1" customHeight="1" x14ac:dyDescent="0.25">
      <c r="A55" s="157"/>
      <c r="B55" s="149" t="s">
        <v>67</v>
      </c>
      <c r="C55" s="158">
        <f t="shared" ref="C55:AG55" si="42">SUM(C52:C54)</f>
        <v>11.999999999999998</v>
      </c>
      <c r="D55" s="158">
        <f t="shared" si="42"/>
        <v>0</v>
      </c>
      <c r="E55" s="158">
        <f t="shared" si="42"/>
        <v>0</v>
      </c>
      <c r="F55" s="158">
        <f t="shared" si="42"/>
        <v>0</v>
      </c>
      <c r="G55" s="158">
        <f t="shared" si="42"/>
        <v>0</v>
      </c>
      <c r="H55" s="158">
        <f t="shared" si="42"/>
        <v>0</v>
      </c>
      <c r="I55" s="158">
        <f t="shared" si="42"/>
        <v>0</v>
      </c>
      <c r="J55" s="158">
        <f t="shared" si="42"/>
        <v>0</v>
      </c>
      <c r="K55" s="158">
        <f t="shared" si="42"/>
        <v>0</v>
      </c>
      <c r="L55" s="158">
        <f t="shared" si="42"/>
        <v>0</v>
      </c>
      <c r="M55" s="158">
        <f t="shared" si="42"/>
        <v>0</v>
      </c>
      <c r="N55" s="158">
        <f t="shared" si="42"/>
        <v>0</v>
      </c>
      <c r="O55" s="158">
        <f t="shared" si="42"/>
        <v>0</v>
      </c>
      <c r="P55" s="158">
        <f t="shared" si="42"/>
        <v>11.999999999999998</v>
      </c>
      <c r="Q55" s="158">
        <f t="shared" si="42"/>
        <v>11.999999999999998</v>
      </c>
      <c r="R55" s="158">
        <f t="shared" si="42"/>
        <v>0</v>
      </c>
      <c r="S55" s="158">
        <f t="shared" si="42"/>
        <v>0</v>
      </c>
      <c r="T55" s="158">
        <f t="shared" si="42"/>
        <v>0</v>
      </c>
      <c r="U55" s="158">
        <f t="shared" si="42"/>
        <v>0</v>
      </c>
      <c r="V55" s="158">
        <f t="shared" si="42"/>
        <v>0</v>
      </c>
      <c r="W55" s="158">
        <f t="shared" si="42"/>
        <v>0</v>
      </c>
      <c r="X55" s="158">
        <f t="shared" si="42"/>
        <v>0</v>
      </c>
      <c r="Y55" s="158">
        <f t="shared" si="42"/>
        <v>0</v>
      </c>
      <c r="Z55" s="158">
        <f t="shared" si="42"/>
        <v>0</v>
      </c>
      <c r="AA55" s="158">
        <f t="shared" si="42"/>
        <v>0</v>
      </c>
      <c r="AB55" s="158">
        <f t="shared" si="42"/>
        <v>0</v>
      </c>
      <c r="AC55" s="158">
        <f t="shared" si="42"/>
        <v>0</v>
      </c>
      <c r="AD55" s="158">
        <f t="shared" si="42"/>
        <v>11.999999999999998</v>
      </c>
      <c r="AE55" s="158">
        <f t="shared" si="42"/>
        <v>11.999999999999998</v>
      </c>
      <c r="AF55" s="158">
        <f t="shared" si="42"/>
        <v>0</v>
      </c>
      <c r="AG55" s="158">
        <f t="shared" si="42"/>
        <v>0</v>
      </c>
      <c r="AH55" s="154" t="s">
        <v>12</v>
      </c>
      <c r="AI55" s="133"/>
      <c r="AJ55" s="155"/>
      <c r="AK55" s="137"/>
      <c r="AL55" s="137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59"/>
      <c r="BF55" s="10"/>
      <c r="BG55" s="10"/>
      <c r="BH55" s="10"/>
      <c r="BI55" s="10"/>
      <c r="BJ55" s="10"/>
      <c r="BK55" s="10"/>
      <c r="BL55" s="10"/>
      <c r="BM55" s="10"/>
      <c r="BN55" s="10"/>
      <c r="BO55" s="52" t="str">
        <f t="shared" ref="BO55:BX55" si="43">IF(BO54=$AZ48,IF(BO54="",0,$AZ48),"")</f>
        <v/>
      </c>
      <c r="BP55" s="52" t="str">
        <f t="shared" si="43"/>
        <v/>
      </c>
      <c r="BQ55" s="52" t="str">
        <f t="shared" si="43"/>
        <v/>
      </c>
      <c r="BR55" s="52" t="str">
        <f t="shared" si="43"/>
        <v/>
      </c>
      <c r="BS55" s="52" t="str">
        <f t="shared" si="43"/>
        <v/>
      </c>
      <c r="BT55" s="52" t="str">
        <f t="shared" si="43"/>
        <v/>
      </c>
      <c r="BU55" s="52" t="str">
        <f t="shared" si="43"/>
        <v/>
      </c>
      <c r="BV55" s="52" t="str">
        <f t="shared" si="43"/>
        <v/>
      </c>
      <c r="BW55" s="52" t="str">
        <f t="shared" si="43"/>
        <v/>
      </c>
      <c r="BX55" s="52" t="str">
        <f t="shared" si="43"/>
        <v/>
      </c>
      <c r="BY55" s="52">
        <f t="shared" ref="BY55:BY58" si="44">SUM(BO55:BX55)</f>
        <v>0</v>
      </c>
      <c r="BZ55" s="98" t="b">
        <f t="shared" ref="BZ55:BZ58" si="45">IF(BY55=$AZ$48,IF(BY55="",0,31),IF(BY55=$AZ$47,IF(BY55="",0,30),IF(BY55=$AX$48,IF(BY55="",0,29),IF(BY55=$AX$47,IF(BY55="",0,28)))))</f>
        <v>0</v>
      </c>
      <c r="CA55" s="99">
        <v>31</v>
      </c>
      <c r="CB55" s="10"/>
    </row>
    <row r="56" spans="1:80" s="2" customFormat="1" ht="15.95" hidden="1" customHeight="1" x14ac:dyDescent="0.25">
      <c r="A56" s="159"/>
      <c r="B56" s="160" t="s">
        <v>68</v>
      </c>
      <c r="C56" s="161">
        <f t="shared" ref="C56:AG56" si="46">IF(C9="V",IF(C9="",0,1),0)</f>
        <v>0</v>
      </c>
      <c r="D56" s="161">
        <f t="shared" si="46"/>
        <v>0</v>
      </c>
      <c r="E56" s="161">
        <f t="shared" si="46"/>
        <v>0</v>
      </c>
      <c r="F56" s="161">
        <f t="shared" si="46"/>
        <v>0</v>
      </c>
      <c r="G56" s="161">
        <f t="shared" si="46"/>
        <v>0</v>
      </c>
      <c r="H56" s="161">
        <f t="shared" si="46"/>
        <v>0</v>
      </c>
      <c r="I56" s="161">
        <f t="shared" si="46"/>
        <v>0</v>
      </c>
      <c r="J56" s="161">
        <f t="shared" si="46"/>
        <v>0</v>
      </c>
      <c r="K56" s="161">
        <f t="shared" si="46"/>
        <v>0</v>
      </c>
      <c r="L56" s="161">
        <f t="shared" si="46"/>
        <v>0</v>
      </c>
      <c r="M56" s="161">
        <f t="shared" si="46"/>
        <v>0</v>
      </c>
      <c r="N56" s="161">
        <f t="shared" si="46"/>
        <v>0</v>
      </c>
      <c r="O56" s="161">
        <f t="shared" si="46"/>
        <v>0</v>
      </c>
      <c r="P56" s="161">
        <f t="shared" si="46"/>
        <v>0</v>
      </c>
      <c r="Q56" s="161">
        <f t="shared" si="46"/>
        <v>0</v>
      </c>
      <c r="R56" s="161">
        <f t="shared" si="46"/>
        <v>0</v>
      </c>
      <c r="S56" s="161">
        <f t="shared" si="46"/>
        <v>0</v>
      </c>
      <c r="T56" s="161">
        <f t="shared" si="46"/>
        <v>0</v>
      </c>
      <c r="U56" s="161">
        <f t="shared" si="46"/>
        <v>0</v>
      </c>
      <c r="V56" s="161">
        <f t="shared" si="46"/>
        <v>0</v>
      </c>
      <c r="W56" s="161">
        <f t="shared" si="46"/>
        <v>0</v>
      </c>
      <c r="X56" s="161">
        <f t="shared" si="46"/>
        <v>0</v>
      </c>
      <c r="Y56" s="161">
        <f t="shared" si="46"/>
        <v>0</v>
      </c>
      <c r="Z56" s="161">
        <f t="shared" si="46"/>
        <v>0</v>
      </c>
      <c r="AA56" s="161">
        <f t="shared" si="46"/>
        <v>0</v>
      </c>
      <c r="AB56" s="161">
        <f t="shared" si="46"/>
        <v>0</v>
      </c>
      <c r="AC56" s="161">
        <f t="shared" si="46"/>
        <v>0</v>
      </c>
      <c r="AD56" s="161">
        <f t="shared" si="46"/>
        <v>0</v>
      </c>
      <c r="AE56" s="161">
        <f t="shared" si="46"/>
        <v>0</v>
      </c>
      <c r="AF56" s="161">
        <f t="shared" si="46"/>
        <v>0</v>
      </c>
      <c r="AG56" s="161">
        <f t="shared" si="46"/>
        <v>0</v>
      </c>
      <c r="AH56" s="154" t="s">
        <v>12</v>
      </c>
      <c r="AI56" s="133"/>
      <c r="AJ56" s="155"/>
      <c r="AK56" s="137"/>
      <c r="AL56" s="137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59"/>
      <c r="BF56" s="10"/>
      <c r="BG56" s="10"/>
      <c r="BH56" s="10"/>
      <c r="BI56" s="10"/>
      <c r="BJ56" s="10"/>
      <c r="BK56" s="10"/>
      <c r="BL56" s="10"/>
      <c r="BM56" s="10"/>
      <c r="BN56" s="10"/>
      <c r="BO56" s="52" t="str">
        <f t="shared" ref="BO56:BX56" si="47">IF(BO54=$AZ47,IF(BO54="",0,$AZ47),"")</f>
        <v/>
      </c>
      <c r="BP56" s="52" t="str">
        <f t="shared" si="47"/>
        <v/>
      </c>
      <c r="BQ56" s="52" t="str">
        <f t="shared" si="47"/>
        <v/>
      </c>
      <c r="BR56" s="52" t="str">
        <f t="shared" si="47"/>
        <v/>
      </c>
      <c r="BS56" s="52" t="str">
        <f t="shared" si="47"/>
        <v/>
      </c>
      <c r="BT56" s="52" t="str">
        <f t="shared" si="47"/>
        <v/>
      </c>
      <c r="BU56" s="52" t="str">
        <f t="shared" si="47"/>
        <v/>
      </c>
      <c r="BV56" s="52" t="str">
        <f t="shared" si="47"/>
        <v/>
      </c>
      <c r="BW56" s="52">
        <f t="shared" si="47"/>
        <v>45838</v>
      </c>
      <c r="BX56" s="52" t="str">
        <f t="shared" si="47"/>
        <v/>
      </c>
      <c r="BY56" s="52">
        <f t="shared" si="44"/>
        <v>45838</v>
      </c>
      <c r="BZ56" s="98">
        <f t="shared" si="45"/>
        <v>30</v>
      </c>
      <c r="CA56" s="99">
        <v>30</v>
      </c>
      <c r="CB56" s="10"/>
    </row>
    <row r="57" spans="1:80" ht="15.95" hidden="1" customHeight="1" x14ac:dyDescent="0.25">
      <c r="A57" s="129"/>
      <c r="B57" s="162" t="s">
        <v>16</v>
      </c>
      <c r="C57" s="163">
        <f t="shared" ref="C57:AG57" si="48">IF(C9="PR",IF(C9="",0,1),0)</f>
        <v>0</v>
      </c>
      <c r="D57" s="163">
        <f t="shared" si="48"/>
        <v>0</v>
      </c>
      <c r="E57" s="163">
        <f t="shared" si="48"/>
        <v>0</v>
      </c>
      <c r="F57" s="163">
        <f t="shared" si="48"/>
        <v>0</v>
      </c>
      <c r="G57" s="163">
        <f t="shared" si="48"/>
        <v>0</v>
      </c>
      <c r="H57" s="163">
        <f t="shared" si="48"/>
        <v>0</v>
      </c>
      <c r="I57" s="163">
        <f t="shared" si="48"/>
        <v>0</v>
      </c>
      <c r="J57" s="163">
        <f t="shared" si="48"/>
        <v>0</v>
      </c>
      <c r="K57" s="163">
        <f t="shared" si="48"/>
        <v>0</v>
      </c>
      <c r="L57" s="163">
        <f t="shared" si="48"/>
        <v>0</v>
      </c>
      <c r="M57" s="163">
        <f t="shared" si="48"/>
        <v>0</v>
      </c>
      <c r="N57" s="163">
        <f t="shared" si="48"/>
        <v>0</v>
      </c>
      <c r="O57" s="163">
        <f t="shared" si="48"/>
        <v>0</v>
      </c>
      <c r="P57" s="163">
        <f t="shared" si="48"/>
        <v>0</v>
      </c>
      <c r="Q57" s="163">
        <f t="shared" si="48"/>
        <v>0</v>
      </c>
      <c r="R57" s="163">
        <f t="shared" si="48"/>
        <v>0</v>
      </c>
      <c r="S57" s="163">
        <f t="shared" si="48"/>
        <v>0</v>
      </c>
      <c r="T57" s="163">
        <f t="shared" si="48"/>
        <v>0</v>
      </c>
      <c r="U57" s="163">
        <f t="shared" si="48"/>
        <v>0</v>
      </c>
      <c r="V57" s="163">
        <f t="shared" si="48"/>
        <v>0</v>
      </c>
      <c r="W57" s="163">
        <f t="shared" si="48"/>
        <v>0</v>
      </c>
      <c r="X57" s="163">
        <f t="shared" si="48"/>
        <v>0</v>
      </c>
      <c r="Y57" s="163">
        <f t="shared" si="48"/>
        <v>0</v>
      </c>
      <c r="Z57" s="163">
        <f t="shared" si="48"/>
        <v>0</v>
      </c>
      <c r="AA57" s="163">
        <f t="shared" si="48"/>
        <v>0</v>
      </c>
      <c r="AB57" s="163">
        <f t="shared" si="48"/>
        <v>0</v>
      </c>
      <c r="AC57" s="163">
        <f t="shared" si="48"/>
        <v>0</v>
      </c>
      <c r="AD57" s="163">
        <f t="shared" si="48"/>
        <v>0</v>
      </c>
      <c r="AE57" s="163">
        <f t="shared" si="48"/>
        <v>0</v>
      </c>
      <c r="AF57" s="163">
        <f t="shared" si="48"/>
        <v>0</v>
      </c>
      <c r="AG57" s="163">
        <f t="shared" si="48"/>
        <v>0</v>
      </c>
      <c r="AH57" s="233">
        <f>SUM(C57:AG57)</f>
        <v>0</v>
      </c>
      <c r="AI57" s="233"/>
      <c r="AJ57" s="137" t="s">
        <v>69</v>
      </c>
      <c r="AK57" s="133"/>
      <c r="AL57" s="133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59"/>
      <c r="BF57" s="31"/>
      <c r="BG57" s="31"/>
      <c r="BH57" s="31"/>
      <c r="BI57" s="31"/>
      <c r="BJ57" s="31"/>
      <c r="BK57" s="31"/>
      <c r="BL57" s="31"/>
      <c r="BM57" s="31"/>
      <c r="BN57" s="31"/>
      <c r="BO57" s="52" t="str">
        <f t="shared" ref="BO57:BX57" si="49">IF(BO54=$AX48,IF(BO54="",0,$AX48),"")</f>
        <v/>
      </c>
      <c r="BP57" s="52" t="str">
        <f t="shared" si="49"/>
        <v/>
      </c>
      <c r="BQ57" s="52" t="str">
        <f t="shared" si="49"/>
        <v/>
      </c>
      <c r="BR57" s="52" t="str">
        <f t="shared" si="49"/>
        <v/>
      </c>
      <c r="BS57" s="52" t="str">
        <f t="shared" si="49"/>
        <v/>
      </c>
      <c r="BT57" s="52" t="str">
        <f t="shared" si="49"/>
        <v/>
      </c>
      <c r="BU57" s="52" t="str">
        <f t="shared" si="49"/>
        <v/>
      </c>
      <c r="BV57" s="52">
        <f t="shared" si="49"/>
        <v>45837</v>
      </c>
      <c r="BW57" s="52" t="str">
        <f t="shared" si="49"/>
        <v/>
      </c>
      <c r="BX57" s="52" t="str">
        <f t="shared" si="49"/>
        <v/>
      </c>
      <c r="BY57" s="52">
        <f t="shared" si="44"/>
        <v>45837</v>
      </c>
      <c r="BZ57" s="98">
        <f t="shared" si="45"/>
        <v>29</v>
      </c>
      <c r="CA57" s="99">
        <v>29</v>
      </c>
      <c r="CB57" s="31"/>
    </row>
    <row r="58" spans="1:80" s="59" customFormat="1" ht="15.95" hidden="1" customHeight="1" x14ac:dyDescent="0.25">
      <c r="A58" s="164" t="s">
        <v>70</v>
      </c>
      <c r="B58" s="165" t="s">
        <v>29</v>
      </c>
      <c r="C58" s="141">
        <f t="shared" ref="C58:AG58" si="50">IF(C10=$R32,$S32*24,IF(C10=$R33,$S33*24,IF(C10=$R34,$S34*24,IF(C10=$R35,$S35*24,IF(C10=$R36,$S36*24,IF(C10=$R37,$S37*24,IF(C10=$R38,$S38*24,IF(C10=$R39,$S39*24,IF(C10=$R40,$S40*24,"")))))))))</f>
        <v>19</v>
      </c>
      <c r="D58" s="141" t="str">
        <f t="shared" si="50"/>
        <v/>
      </c>
      <c r="E58" s="141" t="str">
        <f t="shared" si="50"/>
        <v/>
      </c>
      <c r="F58" s="141">
        <f t="shared" si="50"/>
        <v>19</v>
      </c>
      <c r="G58" s="141">
        <f t="shared" si="50"/>
        <v>19</v>
      </c>
      <c r="H58" s="141" t="str">
        <f t="shared" si="50"/>
        <v/>
      </c>
      <c r="I58" s="141" t="str">
        <f t="shared" si="50"/>
        <v/>
      </c>
      <c r="J58" s="141" t="str">
        <f t="shared" si="50"/>
        <v/>
      </c>
      <c r="K58" s="141">
        <f t="shared" si="50"/>
        <v>19</v>
      </c>
      <c r="L58" s="141">
        <f t="shared" si="50"/>
        <v>19</v>
      </c>
      <c r="M58" s="141" t="str">
        <f t="shared" si="50"/>
        <v/>
      </c>
      <c r="N58" s="141" t="str">
        <f t="shared" si="50"/>
        <v/>
      </c>
      <c r="O58" s="141">
        <f t="shared" si="50"/>
        <v>19</v>
      </c>
      <c r="P58" s="141">
        <f t="shared" si="50"/>
        <v>19</v>
      </c>
      <c r="Q58" s="141">
        <f t="shared" si="50"/>
        <v>19</v>
      </c>
      <c r="R58" s="141" t="str">
        <f t="shared" si="50"/>
        <v/>
      </c>
      <c r="S58" s="141" t="str">
        <f t="shared" si="50"/>
        <v/>
      </c>
      <c r="T58" s="141" t="str">
        <f t="shared" si="50"/>
        <v/>
      </c>
      <c r="U58" s="141" t="str">
        <f t="shared" si="50"/>
        <v/>
      </c>
      <c r="V58" s="141" t="str">
        <f t="shared" si="50"/>
        <v/>
      </c>
      <c r="W58" s="141" t="str">
        <f t="shared" si="50"/>
        <v/>
      </c>
      <c r="X58" s="141" t="str">
        <f t="shared" si="50"/>
        <v/>
      </c>
      <c r="Y58" s="141" t="str">
        <f t="shared" si="50"/>
        <v/>
      </c>
      <c r="Z58" s="141" t="str">
        <f t="shared" si="50"/>
        <v/>
      </c>
      <c r="AA58" s="141" t="str">
        <f t="shared" si="50"/>
        <v/>
      </c>
      <c r="AB58" s="141" t="str">
        <f t="shared" si="50"/>
        <v/>
      </c>
      <c r="AC58" s="141" t="str">
        <f t="shared" si="50"/>
        <v/>
      </c>
      <c r="AD58" s="141" t="str">
        <f t="shared" si="50"/>
        <v/>
      </c>
      <c r="AE58" s="141" t="str">
        <f t="shared" si="50"/>
        <v/>
      </c>
      <c r="AF58" s="141" t="str">
        <f t="shared" si="50"/>
        <v/>
      </c>
      <c r="AG58" s="141" t="str">
        <f t="shared" si="50"/>
        <v/>
      </c>
      <c r="AH58" s="154" t="s">
        <v>12</v>
      </c>
      <c r="AI58" s="133"/>
      <c r="AJ58" s="137"/>
      <c r="AK58" s="137"/>
      <c r="AL58" s="137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1"/>
      <c r="BF58" s="56"/>
      <c r="BG58" s="56"/>
      <c r="BH58" s="56"/>
      <c r="BI58" s="56"/>
      <c r="BJ58" s="56"/>
      <c r="BK58" s="56"/>
      <c r="BL58" s="56"/>
      <c r="BM58" s="56"/>
      <c r="BN58" s="56"/>
      <c r="BO58" s="52" t="str">
        <f t="shared" ref="BO58:BX58" si="51">IF(BO54=$AX47,IF(BO54="",0,$AX47),"")</f>
        <v/>
      </c>
      <c r="BP58" s="52" t="str">
        <f t="shared" si="51"/>
        <v/>
      </c>
      <c r="BQ58" s="52" t="str">
        <f t="shared" si="51"/>
        <v/>
      </c>
      <c r="BR58" s="52" t="str">
        <f t="shared" si="51"/>
        <v/>
      </c>
      <c r="BS58" s="52" t="str">
        <f t="shared" si="51"/>
        <v/>
      </c>
      <c r="BT58" s="52" t="str">
        <f t="shared" si="51"/>
        <v/>
      </c>
      <c r="BU58" s="52">
        <f t="shared" si="51"/>
        <v>45836</v>
      </c>
      <c r="BV58" s="52" t="str">
        <f t="shared" si="51"/>
        <v/>
      </c>
      <c r="BW58" s="52" t="str">
        <f t="shared" si="51"/>
        <v/>
      </c>
      <c r="BX58" s="52" t="str">
        <f t="shared" si="51"/>
        <v/>
      </c>
      <c r="BY58" s="52">
        <f t="shared" si="44"/>
        <v>45836</v>
      </c>
      <c r="BZ58" s="52">
        <f t="shared" si="45"/>
        <v>28</v>
      </c>
      <c r="CA58" s="99">
        <v>28</v>
      </c>
      <c r="CB58" s="56"/>
    </row>
    <row r="59" spans="1:80" s="59" customFormat="1" ht="15.95" hidden="1" customHeight="1" x14ac:dyDescent="0.25">
      <c r="A59" s="166" t="s">
        <v>71</v>
      </c>
      <c r="B59" s="167" t="s">
        <v>30</v>
      </c>
      <c r="C59" s="141">
        <f t="shared" ref="C59:AG59" si="52">IF(C10=$R32,$V32*24,IF(C10=$R33,$V33*24,IF(C10=$R34,$V34*24,IF(C10=$R35,$V35*24,IF(C10=$R36,$V36*24,IF(C10=$R37,$V37*24,IF(C10=$R38,$V38*24,IF(C10=$R39,$V39*24,IF(C10=$R40,$V40*24,"")))))))))</f>
        <v>7</v>
      </c>
      <c r="D59" s="141" t="str">
        <f t="shared" si="52"/>
        <v/>
      </c>
      <c r="E59" s="141" t="str">
        <f t="shared" si="52"/>
        <v/>
      </c>
      <c r="F59" s="141">
        <f t="shared" si="52"/>
        <v>7</v>
      </c>
      <c r="G59" s="141">
        <f t="shared" si="52"/>
        <v>7</v>
      </c>
      <c r="H59" s="141" t="str">
        <f t="shared" si="52"/>
        <v/>
      </c>
      <c r="I59" s="141" t="str">
        <f t="shared" si="52"/>
        <v/>
      </c>
      <c r="J59" s="141" t="str">
        <f t="shared" si="52"/>
        <v/>
      </c>
      <c r="K59" s="141">
        <f t="shared" si="52"/>
        <v>7</v>
      </c>
      <c r="L59" s="141">
        <f t="shared" si="52"/>
        <v>7</v>
      </c>
      <c r="M59" s="141" t="str">
        <f t="shared" si="52"/>
        <v/>
      </c>
      <c r="N59" s="141" t="str">
        <f t="shared" si="52"/>
        <v/>
      </c>
      <c r="O59" s="141">
        <f t="shared" si="52"/>
        <v>7</v>
      </c>
      <c r="P59" s="141">
        <f t="shared" si="52"/>
        <v>7</v>
      </c>
      <c r="Q59" s="141">
        <f t="shared" si="52"/>
        <v>7</v>
      </c>
      <c r="R59" s="141" t="str">
        <f t="shared" si="52"/>
        <v/>
      </c>
      <c r="S59" s="141" t="str">
        <f t="shared" si="52"/>
        <v/>
      </c>
      <c r="T59" s="141" t="str">
        <f t="shared" si="52"/>
        <v/>
      </c>
      <c r="U59" s="141" t="str">
        <f t="shared" si="52"/>
        <v/>
      </c>
      <c r="V59" s="141" t="str">
        <f t="shared" si="52"/>
        <v/>
      </c>
      <c r="W59" s="141" t="str">
        <f t="shared" si="52"/>
        <v/>
      </c>
      <c r="X59" s="141" t="str">
        <f t="shared" si="52"/>
        <v/>
      </c>
      <c r="Y59" s="141" t="str">
        <f t="shared" si="52"/>
        <v/>
      </c>
      <c r="Z59" s="141" t="str">
        <f t="shared" si="52"/>
        <v/>
      </c>
      <c r="AA59" s="141" t="str">
        <f t="shared" si="52"/>
        <v/>
      </c>
      <c r="AB59" s="141" t="str">
        <f t="shared" si="52"/>
        <v/>
      </c>
      <c r="AC59" s="141" t="str">
        <f t="shared" si="52"/>
        <v/>
      </c>
      <c r="AD59" s="141" t="str">
        <f t="shared" si="52"/>
        <v/>
      </c>
      <c r="AE59" s="141" t="str">
        <f t="shared" si="52"/>
        <v/>
      </c>
      <c r="AF59" s="141" t="str">
        <f t="shared" si="52"/>
        <v/>
      </c>
      <c r="AG59" s="141" t="str">
        <f t="shared" si="52"/>
        <v/>
      </c>
      <c r="AH59" s="154" t="s">
        <v>12</v>
      </c>
      <c r="AI59" s="133"/>
      <c r="AJ59" s="137"/>
      <c r="AK59" s="137"/>
      <c r="AL59" s="137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1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100" t="s">
        <v>56</v>
      </c>
      <c r="BZ59" s="52">
        <f>SUM(BZ55:BZ58)</f>
        <v>87</v>
      </c>
      <c r="CA59" s="53">
        <f>IF(BZ59=118,31,IF(BZ59=90,31,IF(BZ59=61,31,IF(BZ59=31,31,IF(BZ59=87,30,IF(BZ59=59,30,IF(BZ59=30,30,IF(BZ59=57,29,IF(BZ59=29,29,IF(BZ59=28,28,""))))))))))</f>
        <v>30</v>
      </c>
      <c r="CB59" s="10"/>
    </row>
    <row r="60" spans="1:80" s="59" customFormat="1" ht="15.95" hidden="1" customHeight="1" x14ac:dyDescent="0.25">
      <c r="A60" s="153"/>
      <c r="B60" s="168" t="s">
        <v>34</v>
      </c>
      <c r="C60" s="169">
        <f t="shared" ref="C60:AD60" si="53">IF(C10=$R32,$BD32*24,IF(C10=$R33,$BD33*24,IF(C10=$R34,$BD34*24,IF(C10=$R35,$BD35*24,IF(C10=$R36,$BD36*24,IF(C10=$R37,$BD37*24,IF(C10=$R38,$BD38*24,IF(C10=$R39,$BD39*24,IF(C10=$R40,$BD40*24,"")))))))))</f>
        <v>8</v>
      </c>
      <c r="D60" s="169" t="str">
        <f t="shared" si="53"/>
        <v/>
      </c>
      <c r="E60" s="169" t="str">
        <f t="shared" si="53"/>
        <v/>
      </c>
      <c r="F60" s="169">
        <f t="shared" si="53"/>
        <v>8</v>
      </c>
      <c r="G60" s="169">
        <f t="shared" si="53"/>
        <v>8</v>
      </c>
      <c r="H60" s="169" t="str">
        <f t="shared" si="53"/>
        <v/>
      </c>
      <c r="I60" s="169" t="str">
        <f t="shared" si="53"/>
        <v/>
      </c>
      <c r="J60" s="169" t="str">
        <f t="shared" si="53"/>
        <v/>
      </c>
      <c r="K60" s="169">
        <f t="shared" si="53"/>
        <v>8</v>
      </c>
      <c r="L60" s="169">
        <f t="shared" si="53"/>
        <v>8</v>
      </c>
      <c r="M60" s="169" t="str">
        <f t="shared" si="53"/>
        <v/>
      </c>
      <c r="N60" s="169" t="str">
        <f t="shared" si="53"/>
        <v/>
      </c>
      <c r="O60" s="169">
        <f t="shared" si="53"/>
        <v>8</v>
      </c>
      <c r="P60" s="169">
        <f t="shared" si="53"/>
        <v>8</v>
      </c>
      <c r="Q60" s="169">
        <f t="shared" si="53"/>
        <v>8</v>
      </c>
      <c r="R60" s="169" t="str">
        <f t="shared" si="53"/>
        <v/>
      </c>
      <c r="S60" s="169" t="str">
        <f t="shared" si="53"/>
        <v/>
      </c>
      <c r="T60" s="169" t="str">
        <f t="shared" si="53"/>
        <v/>
      </c>
      <c r="U60" s="169" t="str">
        <f t="shared" si="53"/>
        <v/>
      </c>
      <c r="V60" s="169" t="str">
        <f t="shared" si="53"/>
        <v/>
      </c>
      <c r="W60" s="169" t="str">
        <f t="shared" si="53"/>
        <v/>
      </c>
      <c r="X60" s="169" t="str">
        <f t="shared" si="53"/>
        <v/>
      </c>
      <c r="Y60" s="169" t="str">
        <f t="shared" si="53"/>
        <v/>
      </c>
      <c r="Z60" s="169" t="str">
        <f t="shared" si="53"/>
        <v/>
      </c>
      <c r="AA60" s="169" t="str">
        <f t="shared" si="53"/>
        <v/>
      </c>
      <c r="AB60" s="169" t="str">
        <f t="shared" si="53"/>
        <v/>
      </c>
      <c r="AC60" s="169" t="str">
        <f t="shared" si="53"/>
        <v/>
      </c>
      <c r="AD60" s="169" t="str">
        <f t="shared" si="53"/>
        <v/>
      </c>
      <c r="AE60" s="169" t="str">
        <f>IF(AE10=$R32,$BD32*24,IF(AE10=$R33,$BD33*24,IF(AE10=$R34,$BD34*24,IF(AE10=$R35,$BD35*24,IF(AE10=$R36,$BD36*24,IF(AE10=$R37,$BD37*24,IF(AE10=$R38,$BD38*24,IF(AE10=$R39,$BD39*24,IF(AE10=$R40,$BD40*24,"")))))))))</f>
        <v/>
      </c>
      <c r="AF60" s="169" t="str">
        <f>IF(AF10=$R32,$BD32*24,IF(AF10=$R33,$BD33*24,IF(AF10=$R34,$BD34*24,IF(AF10=$R35,$BD35*24,IF(AF10=$R36,$BD36*24,IF(AF10=$R37,$BD37*24,IF(AF10=$R38,$BD38*24,IF(AF10=$R39,$BD39*24,IF(AF10=$R40,$BD40*24,"")))))))))</f>
        <v/>
      </c>
      <c r="AG60" s="169" t="str">
        <f>IF(AG10=$R32,$BD32*24,IF(AG10=$R33,$BD33*24,IF(AG10=$R34,$BD34*24,IF(AG10=$R35,$BD35*24,IF(AG10=$R36,$BD36*24,IF(AG10=$R37,$BD37*24,IF(AG10=$R38,$BD38*24,IF(AG10=$R39,$BD39*24,IF(AG10=$R40,$BD40*24,"")))))))))</f>
        <v/>
      </c>
      <c r="AH60" s="148">
        <f>SUM(C60:AG60)</f>
        <v>64</v>
      </c>
      <c r="AI60" s="133"/>
      <c r="AJ60" s="137"/>
      <c r="AK60" s="137"/>
      <c r="AL60" s="137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1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101">
        <f>CA59</f>
        <v>30</v>
      </c>
      <c r="CB60" s="56"/>
    </row>
    <row r="61" spans="1:80" s="59" customFormat="1" ht="15.95" hidden="1" customHeight="1" x14ac:dyDescent="0.25">
      <c r="A61" s="153"/>
      <c r="B61" s="167" t="s">
        <v>59</v>
      </c>
      <c r="C61" s="141">
        <f t="shared" ref="C61:AG61" si="54">IF(C10="V",$C36,IF(C10="PR",$C38,0))</f>
        <v>0</v>
      </c>
      <c r="D61" s="141">
        <f t="shared" si="54"/>
        <v>0</v>
      </c>
      <c r="E61" s="141">
        <f t="shared" si="54"/>
        <v>0</v>
      </c>
      <c r="F61" s="141">
        <f t="shared" si="54"/>
        <v>0</v>
      </c>
      <c r="G61" s="141">
        <f t="shared" si="54"/>
        <v>0</v>
      </c>
      <c r="H61" s="141">
        <f t="shared" si="54"/>
        <v>0</v>
      </c>
      <c r="I61" s="141">
        <f t="shared" si="54"/>
        <v>0</v>
      </c>
      <c r="J61" s="141">
        <f t="shared" si="54"/>
        <v>0</v>
      </c>
      <c r="K61" s="141">
        <f t="shared" si="54"/>
        <v>0</v>
      </c>
      <c r="L61" s="141">
        <f t="shared" si="54"/>
        <v>0</v>
      </c>
      <c r="M61" s="141">
        <f t="shared" si="54"/>
        <v>0</v>
      </c>
      <c r="N61" s="141">
        <f t="shared" si="54"/>
        <v>0</v>
      </c>
      <c r="O61" s="141">
        <f t="shared" si="54"/>
        <v>0</v>
      </c>
      <c r="P61" s="141">
        <f t="shared" si="54"/>
        <v>0</v>
      </c>
      <c r="Q61" s="141">
        <f t="shared" si="54"/>
        <v>0</v>
      </c>
      <c r="R61" s="141">
        <f t="shared" si="54"/>
        <v>5.22</v>
      </c>
      <c r="S61" s="141">
        <f t="shared" si="54"/>
        <v>5.22</v>
      </c>
      <c r="T61" s="141">
        <f t="shared" si="54"/>
        <v>5.22</v>
      </c>
      <c r="U61" s="141">
        <f t="shared" si="54"/>
        <v>5.22</v>
      </c>
      <c r="V61" s="141">
        <f t="shared" si="54"/>
        <v>5.22</v>
      </c>
      <c r="W61" s="141">
        <f t="shared" si="54"/>
        <v>5.22</v>
      </c>
      <c r="X61" s="141">
        <f t="shared" si="54"/>
        <v>5.22</v>
      </c>
      <c r="Y61" s="141">
        <f t="shared" si="54"/>
        <v>5.22</v>
      </c>
      <c r="Z61" s="141">
        <f t="shared" si="54"/>
        <v>5.22</v>
      </c>
      <c r="AA61" s="141">
        <f t="shared" si="54"/>
        <v>5.22</v>
      </c>
      <c r="AB61" s="141">
        <f t="shared" si="54"/>
        <v>5.22</v>
      </c>
      <c r="AC61" s="141">
        <f t="shared" si="54"/>
        <v>5.22</v>
      </c>
      <c r="AD61" s="141">
        <f t="shared" si="54"/>
        <v>5.22</v>
      </c>
      <c r="AE61" s="141">
        <f t="shared" si="54"/>
        <v>5.22</v>
      </c>
      <c r="AF61" s="141">
        <f t="shared" si="54"/>
        <v>5.22</v>
      </c>
      <c r="AG61" s="141">
        <f t="shared" si="54"/>
        <v>0</v>
      </c>
      <c r="AH61" s="226">
        <f>SUM(C61:AG61)</f>
        <v>78.3</v>
      </c>
      <c r="AI61" s="226"/>
      <c r="AJ61" s="137" t="s">
        <v>12</v>
      </c>
      <c r="AK61" s="137"/>
      <c r="AL61" s="137"/>
      <c r="BE61" s="1"/>
      <c r="BU61" s="60" t="str">
        <f>BS50</f>
        <v>ju</v>
      </c>
      <c r="BV61" s="60" t="str">
        <f>BT50</f>
        <v>vi</v>
      </c>
      <c r="BW61" s="60" t="str">
        <f>BU50</f>
        <v>sa</v>
      </c>
      <c r="BX61" s="60" t="str">
        <f>BV50</f>
        <v>do</v>
      </c>
      <c r="BY61" s="60" t="str">
        <f>BW50</f>
        <v>lu</v>
      </c>
    </row>
    <row r="62" spans="1:80" s="59" customFormat="1" ht="15.95" hidden="1" customHeight="1" x14ac:dyDescent="0.25">
      <c r="A62" s="150" t="s">
        <v>60</v>
      </c>
      <c r="B62" s="167" t="s">
        <v>61</v>
      </c>
      <c r="C62" s="151">
        <f t="shared" ref="C62:AD62" si="55">IF(C10=$R32,$BC32,IF(C10=$R33,$BC33,IF(C10=$R34,$BC34,IF(C10=$R35,$BC35,IF(C10=$R36,$BC36,IF(C10=$R37,$BC37,IF(C10=$R38,$BC38,IF(C10=$R39,$BC39,IF(C10=$R40,$BC40,0)))))))))</f>
        <v>12</v>
      </c>
      <c r="D62" s="151">
        <f t="shared" si="55"/>
        <v>0</v>
      </c>
      <c r="E62" s="151">
        <f t="shared" si="55"/>
        <v>0</v>
      </c>
      <c r="F62" s="151">
        <f t="shared" si="55"/>
        <v>12</v>
      </c>
      <c r="G62" s="151">
        <f t="shared" si="55"/>
        <v>12</v>
      </c>
      <c r="H62" s="151">
        <f t="shared" si="55"/>
        <v>0</v>
      </c>
      <c r="I62" s="151">
        <f t="shared" si="55"/>
        <v>0</v>
      </c>
      <c r="J62" s="151">
        <f t="shared" si="55"/>
        <v>0</v>
      </c>
      <c r="K62" s="151">
        <f t="shared" si="55"/>
        <v>12</v>
      </c>
      <c r="L62" s="151">
        <f t="shared" si="55"/>
        <v>12</v>
      </c>
      <c r="M62" s="151">
        <f t="shared" si="55"/>
        <v>0</v>
      </c>
      <c r="N62" s="151">
        <f t="shared" si="55"/>
        <v>0</v>
      </c>
      <c r="O62" s="151">
        <f t="shared" si="55"/>
        <v>12</v>
      </c>
      <c r="P62" s="151">
        <f t="shared" si="55"/>
        <v>12</v>
      </c>
      <c r="Q62" s="151">
        <f t="shared" si="55"/>
        <v>12</v>
      </c>
      <c r="R62" s="151">
        <f t="shared" si="55"/>
        <v>0</v>
      </c>
      <c r="S62" s="151">
        <f t="shared" si="55"/>
        <v>0</v>
      </c>
      <c r="T62" s="151">
        <f t="shared" si="55"/>
        <v>0</v>
      </c>
      <c r="U62" s="151">
        <f t="shared" si="55"/>
        <v>0</v>
      </c>
      <c r="V62" s="151">
        <f t="shared" si="55"/>
        <v>0</v>
      </c>
      <c r="W62" s="151">
        <f t="shared" si="55"/>
        <v>0</v>
      </c>
      <c r="X62" s="151">
        <f t="shared" si="55"/>
        <v>0</v>
      </c>
      <c r="Y62" s="151">
        <f t="shared" si="55"/>
        <v>0</v>
      </c>
      <c r="Z62" s="151">
        <f t="shared" si="55"/>
        <v>0</v>
      </c>
      <c r="AA62" s="151">
        <f t="shared" si="55"/>
        <v>0</v>
      </c>
      <c r="AB62" s="151">
        <f t="shared" si="55"/>
        <v>0</v>
      </c>
      <c r="AC62" s="151">
        <f t="shared" si="55"/>
        <v>0</v>
      </c>
      <c r="AD62" s="151">
        <f t="shared" si="55"/>
        <v>0</v>
      </c>
      <c r="AE62" s="151">
        <f>IF(AE10=$R32,$BC32,IF(AE10=$R33,$BC33,IF(AE10=$R34,$BC34,IF(AE10=$R35,$BC35,IF(AE10=$R36,$BC36,IF(AE10=$R37,$BC37,IF(AE10=$R38,$BC38,IF(AE10=$R39,$BC39,IF(AE10=$R40,$BC40,0)))))))))</f>
        <v>0</v>
      </c>
      <c r="AF62" s="151">
        <f>IF(AF10=$R32,$BC32,IF(AF10=$R33,$BC33,IF(AF10=$R34,$BC34,IF(AF10=$R35,$BC35,IF(AF10=$R36,$BC36,IF(AF10=$R37,$BC37,IF(AF10=$R38,$BC38,IF(AF10=$R39,$BC39,IF(AF10=$R40,$BC40,0)))))))))</f>
        <v>0</v>
      </c>
      <c r="AG62" s="151">
        <f>IF(AG10=$R32,$BC32,IF(AG10=$R33,$BC33,IF(AG10=$R34,$BC34,IF(AG10=$R35,$BC35,IF(AG10=$R36,$BC36,IF(AG10=$R37,$BC37,IF(AG10=$R38,$BC38,IF(AG10=$R39,$BC39,IF(AG10=$R40,$BC40,0)))))))))</f>
        <v>0</v>
      </c>
      <c r="AH62" s="226">
        <f>SUM(C62:AG62)</f>
        <v>96</v>
      </c>
      <c r="AI62" s="226"/>
      <c r="AJ62" s="137" t="s">
        <v>62</v>
      </c>
      <c r="AK62" s="137" t="s">
        <v>12</v>
      </c>
      <c r="AL62" s="137"/>
      <c r="BE62" s="1"/>
      <c r="BU62" s="61">
        <v>28</v>
      </c>
      <c r="BV62" s="61">
        <v>29</v>
      </c>
      <c r="BW62" s="61">
        <v>30</v>
      </c>
      <c r="BX62" s="61">
        <v>31</v>
      </c>
      <c r="BY62" s="61">
        <v>1</v>
      </c>
    </row>
    <row r="63" spans="1:80" s="59" customFormat="1" ht="15.95" hidden="1" customHeight="1" x14ac:dyDescent="0.25">
      <c r="A63" s="153" t="s">
        <v>48</v>
      </c>
      <c r="B63" s="149" t="s">
        <v>63</v>
      </c>
      <c r="C63" s="141">
        <f t="shared" ref="C63:AG63" si="56">IF(C46=1,IF(C58&lt;C59,C62,0))</f>
        <v>0</v>
      </c>
      <c r="D63" s="141" t="b">
        <f t="shared" si="56"/>
        <v>0</v>
      </c>
      <c r="E63" s="141" t="b">
        <f t="shared" si="56"/>
        <v>0</v>
      </c>
      <c r="F63" s="141" t="b">
        <f t="shared" si="56"/>
        <v>0</v>
      </c>
      <c r="G63" s="141" t="b">
        <f t="shared" si="56"/>
        <v>0</v>
      </c>
      <c r="H63" s="141" t="b">
        <f t="shared" si="56"/>
        <v>0</v>
      </c>
      <c r="I63" s="141">
        <f t="shared" si="56"/>
        <v>0</v>
      </c>
      <c r="J63" s="141">
        <f t="shared" si="56"/>
        <v>0</v>
      </c>
      <c r="K63" s="141" t="b">
        <f t="shared" si="56"/>
        <v>0</v>
      </c>
      <c r="L63" s="141" t="b">
        <f t="shared" si="56"/>
        <v>0</v>
      </c>
      <c r="M63" s="141" t="b">
        <f t="shared" si="56"/>
        <v>0</v>
      </c>
      <c r="N63" s="141" t="b">
        <f t="shared" si="56"/>
        <v>0</v>
      </c>
      <c r="O63" s="141" t="b">
        <f t="shared" si="56"/>
        <v>0</v>
      </c>
      <c r="P63" s="141">
        <f t="shared" si="56"/>
        <v>0</v>
      </c>
      <c r="Q63" s="141">
        <f t="shared" si="56"/>
        <v>0</v>
      </c>
      <c r="R63" s="141" t="b">
        <f t="shared" si="56"/>
        <v>0</v>
      </c>
      <c r="S63" s="141" t="b">
        <f t="shared" si="56"/>
        <v>0</v>
      </c>
      <c r="T63" s="141" t="b">
        <f t="shared" si="56"/>
        <v>0</v>
      </c>
      <c r="U63" s="141" t="b">
        <f t="shared" si="56"/>
        <v>0</v>
      </c>
      <c r="V63" s="141" t="b">
        <f t="shared" si="56"/>
        <v>0</v>
      </c>
      <c r="W63" s="141">
        <f t="shared" si="56"/>
        <v>0</v>
      </c>
      <c r="X63" s="141">
        <f t="shared" si="56"/>
        <v>0</v>
      </c>
      <c r="Y63" s="141" t="b">
        <f t="shared" si="56"/>
        <v>0</v>
      </c>
      <c r="Z63" s="141" t="b">
        <f t="shared" si="56"/>
        <v>0</v>
      </c>
      <c r="AA63" s="141" t="b">
        <f t="shared" si="56"/>
        <v>0</v>
      </c>
      <c r="AB63" s="141" t="b">
        <f t="shared" si="56"/>
        <v>0</v>
      </c>
      <c r="AC63" s="141" t="b">
        <f t="shared" si="56"/>
        <v>0</v>
      </c>
      <c r="AD63" s="141">
        <f t="shared" si="56"/>
        <v>0</v>
      </c>
      <c r="AE63" s="141">
        <f t="shared" si="56"/>
        <v>0</v>
      </c>
      <c r="AF63" s="141" t="b">
        <f t="shared" si="56"/>
        <v>0</v>
      </c>
      <c r="AG63" s="141" t="b">
        <f t="shared" si="56"/>
        <v>0</v>
      </c>
      <c r="AH63" s="142" t="s">
        <v>12</v>
      </c>
      <c r="AI63" s="133"/>
      <c r="AJ63" s="137"/>
      <c r="AK63" s="137"/>
      <c r="AL63" s="137"/>
      <c r="BE63" s="1"/>
      <c r="BV63" s="102" t="str">
        <f>IF(CA59=28,IF(CA59="",0,1),IF(CA59=1,IF(CA59="",0,1),""))</f>
        <v/>
      </c>
      <c r="BW63" s="102" t="str">
        <f>IF(CA59=29,IF(CA59="",0,1),IF(CA59=1,IF(CA59="",0,1),""))</f>
        <v/>
      </c>
      <c r="BX63" s="102">
        <f>IF(CA59=30,IF(CA59="",0,1),IF(CA59=1,IF(CA59="",0,1),""))</f>
        <v>1</v>
      </c>
      <c r="BY63" s="102" t="str">
        <f>IF(CA59=31,IF(CA59="",0,1),IF(CA59=1,IF(CA59="",0,1),""))</f>
        <v/>
      </c>
    </row>
    <row r="64" spans="1:80" ht="15.95" hidden="1" customHeight="1" x14ac:dyDescent="0.25">
      <c r="A64" s="153"/>
      <c r="B64" s="149" t="s">
        <v>64</v>
      </c>
      <c r="C64" s="141">
        <f t="shared" ref="C64:AG64" si="57">IF(C46=1,IF(C58&gt;C59,24-C58,0),0)</f>
        <v>5</v>
      </c>
      <c r="D64" s="141">
        <f t="shared" si="57"/>
        <v>0</v>
      </c>
      <c r="E64" s="141">
        <f t="shared" si="57"/>
        <v>0</v>
      </c>
      <c r="F64" s="141">
        <f t="shared" si="57"/>
        <v>0</v>
      </c>
      <c r="G64" s="141">
        <f t="shared" si="57"/>
        <v>0</v>
      </c>
      <c r="H64" s="141">
        <f t="shared" si="57"/>
        <v>0</v>
      </c>
      <c r="I64" s="141">
        <f t="shared" si="57"/>
        <v>0</v>
      </c>
      <c r="J64" s="141">
        <f t="shared" si="57"/>
        <v>0</v>
      </c>
      <c r="K64" s="141">
        <f t="shared" si="57"/>
        <v>0</v>
      </c>
      <c r="L64" s="141">
        <f t="shared" si="57"/>
        <v>0</v>
      </c>
      <c r="M64" s="141">
        <f t="shared" si="57"/>
        <v>0</v>
      </c>
      <c r="N64" s="141">
        <f t="shared" si="57"/>
        <v>0</v>
      </c>
      <c r="O64" s="141">
        <f t="shared" si="57"/>
        <v>0</v>
      </c>
      <c r="P64" s="141">
        <f t="shared" si="57"/>
        <v>5</v>
      </c>
      <c r="Q64" s="141">
        <f t="shared" si="57"/>
        <v>5</v>
      </c>
      <c r="R64" s="141">
        <f t="shared" si="57"/>
        <v>0</v>
      </c>
      <c r="S64" s="141">
        <f t="shared" si="57"/>
        <v>0</v>
      </c>
      <c r="T64" s="141">
        <f t="shared" si="57"/>
        <v>0</v>
      </c>
      <c r="U64" s="141">
        <f t="shared" si="57"/>
        <v>0</v>
      </c>
      <c r="V64" s="141">
        <f t="shared" si="57"/>
        <v>0</v>
      </c>
      <c r="W64" s="141">
        <f t="shared" si="57"/>
        <v>0</v>
      </c>
      <c r="X64" s="141">
        <f t="shared" si="57"/>
        <v>0</v>
      </c>
      <c r="Y64" s="141">
        <f t="shared" si="57"/>
        <v>0</v>
      </c>
      <c r="Z64" s="141">
        <f t="shared" si="57"/>
        <v>0</v>
      </c>
      <c r="AA64" s="141">
        <f t="shared" si="57"/>
        <v>0</v>
      </c>
      <c r="AB64" s="141">
        <f t="shared" si="57"/>
        <v>0</v>
      </c>
      <c r="AC64" s="141">
        <f t="shared" si="57"/>
        <v>0</v>
      </c>
      <c r="AD64" s="141">
        <f t="shared" si="57"/>
        <v>0</v>
      </c>
      <c r="AE64" s="141">
        <f t="shared" si="57"/>
        <v>0</v>
      </c>
      <c r="AF64" s="141">
        <f t="shared" si="57"/>
        <v>0</v>
      </c>
      <c r="AG64" s="141">
        <f t="shared" si="57"/>
        <v>0</v>
      </c>
      <c r="AH64" s="142" t="s">
        <v>12</v>
      </c>
      <c r="AI64" s="133"/>
      <c r="AJ64" s="170"/>
      <c r="AK64" s="133"/>
      <c r="AL64" s="133"/>
      <c r="BU64" s="45" t="s">
        <v>72</v>
      </c>
      <c r="BV64" s="102" t="b">
        <f>IF(BV61="sa",IF(BV61="",0,"1"),IF(BV61="do",IF(BV61="",0,"1")))</f>
        <v>0</v>
      </c>
      <c r="BW64" s="102" t="str">
        <f>IF(BW61="sa",IF(BW61="",0,"1"),IF(BW61="do",IF(BW61="",0,"1")))</f>
        <v>1</v>
      </c>
      <c r="BX64" s="102" t="str">
        <f>IF(BX61="sa",IF(BX61="",0,"1"),IF(BX61="do",IF(BX61="",0,"1")))</f>
        <v>1</v>
      </c>
      <c r="BY64" s="102" t="b">
        <f>IF(BY61="sa",IF(BY61="",0,"1"),IF(BY61="do",IF(BY61="",0,"1")))</f>
        <v>0</v>
      </c>
    </row>
    <row r="65" spans="1:77" ht="15.95" hidden="1" customHeight="1" x14ac:dyDescent="0.25">
      <c r="A65" s="153"/>
      <c r="B65" s="149" t="s">
        <v>65</v>
      </c>
      <c r="C65" s="141">
        <f t="shared" ref="C65:AG65" si="58">IF(D46=1,IF(C58&gt;C59,C59,0),0)</f>
        <v>0</v>
      </c>
      <c r="D65" s="141">
        <f t="shared" si="58"/>
        <v>0</v>
      </c>
      <c r="E65" s="141">
        <f t="shared" si="58"/>
        <v>0</v>
      </c>
      <c r="F65" s="141">
        <f t="shared" si="58"/>
        <v>0</v>
      </c>
      <c r="G65" s="141">
        <f t="shared" si="58"/>
        <v>0</v>
      </c>
      <c r="H65" s="141">
        <f t="shared" si="58"/>
        <v>0</v>
      </c>
      <c r="I65" s="141">
        <f t="shared" si="58"/>
        <v>0</v>
      </c>
      <c r="J65" s="141">
        <f t="shared" si="58"/>
        <v>0</v>
      </c>
      <c r="K65" s="141">
        <f t="shared" si="58"/>
        <v>0</v>
      </c>
      <c r="L65" s="141">
        <f t="shared" si="58"/>
        <v>0</v>
      </c>
      <c r="M65" s="141">
        <f t="shared" si="58"/>
        <v>0</v>
      </c>
      <c r="N65" s="141">
        <f t="shared" si="58"/>
        <v>0</v>
      </c>
      <c r="O65" s="141">
        <f t="shared" si="58"/>
        <v>7</v>
      </c>
      <c r="P65" s="141">
        <f t="shared" si="58"/>
        <v>7</v>
      </c>
      <c r="Q65" s="141">
        <f t="shared" si="58"/>
        <v>0</v>
      </c>
      <c r="R65" s="141">
        <f t="shared" si="58"/>
        <v>0</v>
      </c>
      <c r="S65" s="141">
        <f t="shared" si="58"/>
        <v>0</v>
      </c>
      <c r="T65" s="141">
        <f t="shared" si="58"/>
        <v>0</v>
      </c>
      <c r="U65" s="141">
        <f t="shared" si="58"/>
        <v>0</v>
      </c>
      <c r="V65" s="141">
        <f t="shared" si="58"/>
        <v>0</v>
      </c>
      <c r="W65" s="141">
        <f t="shared" si="58"/>
        <v>0</v>
      </c>
      <c r="X65" s="141">
        <f>IF(Y46=1,IF(X58&gt;X59,X59,0),0)</f>
        <v>0</v>
      </c>
      <c r="Y65" s="141">
        <f t="shared" si="58"/>
        <v>0</v>
      </c>
      <c r="Z65" s="141">
        <f t="shared" si="58"/>
        <v>0</v>
      </c>
      <c r="AA65" s="141">
        <f t="shared" si="58"/>
        <v>0</v>
      </c>
      <c r="AB65" s="141">
        <f t="shared" si="58"/>
        <v>0</v>
      </c>
      <c r="AC65" s="141">
        <f t="shared" si="58"/>
        <v>0</v>
      </c>
      <c r="AD65" s="141">
        <f t="shared" si="58"/>
        <v>0</v>
      </c>
      <c r="AE65" s="141">
        <f t="shared" si="58"/>
        <v>0</v>
      </c>
      <c r="AF65" s="141">
        <f t="shared" si="58"/>
        <v>0</v>
      </c>
      <c r="AG65" s="141">
        <f t="shared" si="58"/>
        <v>0</v>
      </c>
      <c r="AH65" s="142" t="s">
        <v>12</v>
      </c>
      <c r="AI65" s="133"/>
      <c r="AJ65" s="170"/>
      <c r="AK65" s="133"/>
      <c r="AL65" s="133"/>
    </row>
    <row r="66" spans="1:77" ht="15.95" hidden="1" customHeight="1" x14ac:dyDescent="0.25">
      <c r="A66" s="153"/>
      <c r="B66" s="149" t="s">
        <v>67</v>
      </c>
      <c r="C66" s="171">
        <f t="shared" ref="C66:AG66" si="59">SUM(C63:C65)</f>
        <v>5</v>
      </c>
      <c r="D66" s="171">
        <f t="shared" si="59"/>
        <v>0</v>
      </c>
      <c r="E66" s="171">
        <f t="shared" si="59"/>
        <v>0</v>
      </c>
      <c r="F66" s="171">
        <f t="shared" si="59"/>
        <v>0</v>
      </c>
      <c r="G66" s="171">
        <f t="shared" si="59"/>
        <v>0</v>
      </c>
      <c r="H66" s="171">
        <f t="shared" si="59"/>
        <v>0</v>
      </c>
      <c r="I66" s="171">
        <f t="shared" si="59"/>
        <v>0</v>
      </c>
      <c r="J66" s="171">
        <f t="shared" si="59"/>
        <v>0</v>
      </c>
      <c r="K66" s="171">
        <f t="shared" si="59"/>
        <v>0</v>
      </c>
      <c r="L66" s="171">
        <f t="shared" si="59"/>
        <v>0</v>
      </c>
      <c r="M66" s="171">
        <f t="shared" si="59"/>
        <v>0</v>
      </c>
      <c r="N66" s="171">
        <f t="shared" si="59"/>
        <v>0</v>
      </c>
      <c r="O66" s="171">
        <f t="shared" si="59"/>
        <v>7</v>
      </c>
      <c r="P66" s="171">
        <f t="shared" si="59"/>
        <v>12</v>
      </c>
      <c r="Q66" s="171">
        <f t="shared" si="59"/>
        <v>5</v>
      </c>
      <c r="R66" s="171">
        <f t="shared" si="59"/>
        <v>0</v>
      </c>
      <c r="S66" s="171">
        <f t="shared" si="59"/>
        <v>0</v>
      </c>
      <c r="T66" s="171">
        <f t="shared" si="59"/>
        <v>0</v>
      </c>
      <c r="U66" s="171">
        <f t="shared" si="59"/>
        <v>0</v>
      </c>
      <c r="V66" s="171">
        <f t="shared" si="59"/>
        <v>0</v>
      </c>
      <c r="W66" s="171">
        <f t="shared" si="59"/>
        <v>0</v>
      </c>
      <c r="X66" s="171">
        <f t="shared" si="59"/>
        <v>0</v>
      </c>
      <c r="Y66" s="171">
        <f t="shared" si="59"/>
        <v>0</v>
      </c>
      <c r="Z66" s="171">
        <f t="shared" si="59"/>
        <v>0</v>
      </c>
      <c r="AA66" s="171">
        <f t="shared" si="59"/>
        <v>0</v>
      </c>
      <c r="AB66" s="171">
        <f t="shared" si="59"/>
        <v>0</v>
      </c>
      <c r="AC66" s="171">
        <f t="shared" si="59"/>
        <v>0</v>
      </c>
      <c r="AD66" s="171">
        <f t="shared" si="59"/>
        <v>0</v>
      </c>
      <c r="AE66" s="171">
        <f t="shared" si="59"/>
        <v>0</v>
      </c>
      <c r="AF66" s="171">
        <f t="shared" si="59"/>
        <v>0</v>
      </c>
      <c r="AG66" s="171">
        <f t="shared" si="59"/>
        <v>0</v>
      </c>
      <c r="AH66" s="142" t="s">
        <v>12</v>
      </c>
      <c r="AI66" s="133"/>
      <c r="AJ66" s="170"/>
      <c r="AK66" s="133"/>
      <c r="AL66" s="133"/>
      <c r="BU66" s="62"/>
      <c r="BV66" s="63" t="str">
        <f t="shared" ref="BV66:BY67" si="60">IF(BV65=2,IF(BV65="",0,"X"),IF(BV65=2,IF(BV65="",0,2),""))</f>
        <v/>
      </c>
      <c r="BW66" s="63" t="str">
        <f t="shared" si="60"/>
        <v/>
      </c>
      <c r="BX66" s="63" t="str">
        <f t="shared" si="60"/>
        <v/>
      </c>
      <c r="BY66" s="63" t="str">
        <f t="shared" si="60"/>
        <v/>
      </c>
    </row>
    <row r="67" spans="1:77" ht="15.95" hidden="1" customHeight="1" x14ac:dyDescent="0.25">
      <c r="A67" s="172"/>
      <c r="B67" s="160" t="s">
        <v>68</v>
      </c>
      <c r="C67" s="161">
        <f t="shared" ref="C67:AG67" si="61">IF(C10="V",IF(C10="",0,1),0)</f>
        <v>0</v>
      </c>
      <c r="D67" s="161">
        <f t="shared" si="61"/>
        <v>0</v>
      </c>
      <c r="E67" s="161">
        <f t="shared" si="61"/>
        <v>0</v>
      </c>
      <c r="F67" s="161">
        <f t="shared" si="61"/>
        <v>0</v>
      </c>
      <c r="G67" s="161">
        <f t="shared" si="61"/>
        <v>0</v>
      </c>
      <c r="H67" s="161">
        <f t="shared" si="61"/>
        <v>0</v>
      </c>
      <c r="I67" s="161">
        <f t="shared" si="61"/>
        <v>0</v>
      </c>
      <c r="J67" s="161">
        <f t="shared" si="61"/>
        <v>0</v>
      </c>
      <c r="K67" s="161">
        <f t="shared" si="61"/>
        <v>0</v>
      </c>
      <c r="L67" s="161">
        <f t="shared" si="61"/>
        <v>0</v>
      </c>
      <c r="M67" s="161">
        <f t="shared" si="61"/>
        <v>0</v>
      </c>
      <c r="N67" s="161">
        <f t="shared" si="61"/>
        <v>0</v>
      </c>
      <c r="O67" s="161">
        <f t="shared" si="61"/>
        <v>0</v>
      </c>
      <c r="P67" s="161">
        <f t="shared" si="61"/>
        <v>0</v>
      </c>
      <c r="Q67" s="161">
        <f t="shared" si="61"/>
        <v>0</v>
      </c>
      <c r="R67" s="161">
        <f t="shared" si="61"/>
        <v>1</v>
      </c>
      <c r="S67" s="161">
        <f t="shared" si="61"/>
        <v>1</v>
      </c>
      <c r="T67" s="161">
        <f t="shared" si="61"/>
        <v>1</v>
      </c>
      <c r="U67" s="161">
        <f t="shared" si="61"/>
        <v>1</v>
      </c>
      <c r="V67" s="161">
        <f t="shared" si="61"/>
        <v>1</v>
      </c>
      <c r="W67" s="161">
        <f t="shared" si="61"/>
        <v>1</v>
      </c>
      <c r="X67" s="161">
        <f t="shared" si="61"/>
        <v>1</v>
      </c>
      <c r="Y67" s="161">
        <f t="shared" si="61"/>
        <v>1</v>
      </c>
      <c r="Z67" s="161">
        <f t="shared" si="61"/>
        <v>1</v>
      </c>
      <c r="AA67" s="161">
        <f t="shared" si="61"/>
        <v>1</v>
      </c>
      <c r="AB67" s="161">
        <f t="shared" si="61"/>
        <v>1</v>
      </c>
      <c r="AC67" s="161">
        <f t="shared" si="61"/>
        <v>1</v>
      </c>
      <c r="AD67" s="161">
        <f t="shared" si="61"/>
        <v>1</v>
      </c>
      <c r="AE67" s="161">
        <f t="shared" si="61"/>
        <v>1</v>
      </c>
      <c r="AF67" s="161">
        <f t="shared" si="61"/>
        <v>1</v>
      </c>
      <c r="AG67" s="161">
        <f t="shared" si="61"/>
        <v>0</v>
      </c>
      <c r="AH67" s="142" t="s">
        <v>12</v>
      </c>
      <c r="AI67" s="133"/>
      <c r="AJ67" s="170"/>
      <c r="AK67" s="133"/>
      <c r="AL67" s="133"/>
      <c r="BU67" s="64"/>
      <c r="BV67" s="63" t="str">
        <f t="shared" si="60"/>
        <v/>
      </c>
      <c r="BW67" s="63" t="str">
        <f t="shared" si="60"/>
        <v/>
      </c>
      <c r="BX67" s="63" t="str">
        <f t="shared" si="60"/>
        <v/>
      </c>
      <c r="BY67" s="63" t="str">
        <f t="shared" si="60"/>
        <v/>
      </c>
    </row>
    <row r="68" spans="1:77" ht="15.95" hidden="1" customHeight="1" x14ac:dyDescent="0.25">
      <c r="A68" s="173"/>
      <c r="B68" s="130" t="s">
        <v>16</v>
      </c>
      <c r="C68" s="163">
        <f t="shared" ref="C68:AG68" si="62">IF(C10="PR",IF(C10="",0,1),0)</f>
        <v>0</v>
      </c>
      <c r="D68" s="163">
        <f t="shared" si="62"/>
        <v>0</v>
      </c>
      <c r="E68" s="163">
        <f t="shared" si="62"/>
        <v>0</v>
      </c>
      <c r="F68" s="163">
        <f t="shared" si="62"/>
        <v>0</v>
      </c>
      <c r="G68" s="163">
        <f t="shared" si="62"/>
        <v>0</v>
      </c>
      <c r="H68" s="163">
        <f t="shared" si="62"/>
        <v>0</v>
      </c>
      <c r="I68" s="163">
        <f t="shared" si="62"/>
        <v>0</v>
      </c>
      <c r="J68" s="163">
        <f t="shared" si="62"/>
        <v>0</v>
      </c>
      <c r="K68" s="163">
        <f t="shared" si="62"/>
        <v>0</v>
      </c>
      <c r="L68" s="163">
        <f t="shared" si="62"/>
        <v>0</v>
      </c>
      <c r="M68" s="163">
        <f t="shared" si="62"/>
        <v>0</v>
      </c>
      <c r="N68" s="163">
        <f t="shared" si="62"/>
        <v>0</v>
      </c>
      <c r="O68" s="163">
        <f t="shared" si="62"/>
        <v>0</v>
      </c>
      <c r="P68" s="163">
        <f t="shared" si="62"/>
        <v>0</v>
      </c>
      <c r="Q68" s="163">
        <f t="shared" si="62"/>
        <v>0</v>
      </c>
      <c r="R68" s="163">
        <f t="shared" si="62"/>
        <v>0</v>
      </c>
      <c r="S68" s="163">
        <f t="shared" si="62"/>
        <v>0</v>
      </c>
      <c r="T68" s="163">
        <f t="shared" si="62"/>
        <v>0</v>
      </c>
      <c r="U68" s="163">
        <f t="shared" si="62"/>
        <v>0</v>
      </c>
      <c r="V68" s="163">
        <f t="shared" si="62"/>
        <v>0</v>
      </c>
      <c r="W68" s="163">
        <f t="shared" si="62"/>
        <v>0</v>
      </c>
      <c r="X68" s="163">
        <f t="shared" si="62"/>
        <v>0</v>
      </c>
      <c r="Y68" s="163">
        <f t="shared" si="62"/>
        <v>0</v>
      </c>
      <c r="Z68" s="163">
        <f t="shared" si="62"/>
        <v>0</v>
      </c>
      <c r="AA68" s="163">
        <f t="shared" si="62"/>
        <v>0</v>
      </c>
      <c r="AB68" s="163">
        <f t="shared" si="62"/>
        <v>0</v>
      </c>
      <c r="AC68" s="163">
        <f t="shared" si="62"/>
        <v>0</v>
      </c>
      <c r="AD68" s="163">
        <f t="shared" si="62"/>
        <v>0</v>
      </c>
      <c r="AE68" s="163">
        <f t="shared" si="62"/>
        <v>0</v>
      </c>
      <c r="AF68" s="163">
        <f t="shared" si="62"/>
        <v>0</v>
      </c>
      <c r="AG68" s="163">
        <f t="shared" si="62"/>
        <v>0</v>
      </c>
      <c r="AH68" s="229">
        <f>SUM(C68:AG68)</f>
        <v>0</v>
      </c>
      <c r="AI68" s="229"/>
      <c r="AJ68" s="174" t="s">
        <v>69</v>
      </c>
      <c r="AK68" s="133"/>
      <c r="AL68" s="133"/>
    </row>
    <row r="69" spans="1:77" ht="15.95" hidden="1" customHeight="1" x14ac:dyDescent="0.25">
      <c r="A69" s="164" t="s">
        <v>73</v>
      </c>
      <c r="B69" s="165" t="s">
        <v>29</v>
      </c>
      <c r="C69" s="141">
        <f t="shared" ref="C69:AG69" si="63">IF(C11=$R32,$S32*24,IF(C11=$R33,$S33*24,IF(C11=$R34,$S34*24,IF(C11=$R35,$S35*24,IF(C11=$R36,$S36*24,IF(C11=$R37,$S37*24,IF(C11=$R38,$S38*24,IF(C11=$R39,$S39*24,IF(C11=$R40,$S40*24,"")))))))))</f>
        <v>6</v>
      </c>
      <c r="D69" s="141">
        <f t="shared" si="63"/>
        <v>7</v>
      </c>
      <c r="E69" s="141" t="str">
        <f t="shared" si="63"/>
        <v/>
      </c>
      <c r="F69" s="141">
        <f t="shared" si="63"/>
        <v>6</v>
      </c>
      <c r="G69" s="141" t="str">
        <f t="shared" si="63"/>
        <v/>
      </c>
      <c r="H69" s="141">
        <f t="shared" si="63"/>
        <v>7</v>
      </c>
      <c r="I69" s="141">
        <f t="shared" si="63"/>
        <v>7</v>
      </c>
      <c r="J69" s="141">
        <f t="shared" si="63"/>
        <v>7</v>
      </c>
      <c r="K69" s="141">
        <f t="shared" si="63"/>
        <v>6</v>
      </c>
      <c r="L69" s="141" t="str">
        <f t="shared" si="63"/>
        <v/>
      </c>
      <c r="M69" s="141" t="str">
        <f t="shared" si="63"/>
        <v/>
      </c>
      <c r="N69" s="141">
        <f t="shared" si="63"/>
        <v>7</v>
      </c>
      <c r="O69" s="141">
        <f t="shared" si="63"/>
        <v>6</v>
      </c>
      <c r="P69" s="141" t="str">
        <f t="shared" si="63"/>
        <v/>
      </c>
      <c r="Q69" s="141" t="str">
        <f t="shared" si="63"/>
        <v/>
      </c>
      <c r="R69" s="141">
        <f t="shared" si="63"/>
        <v>7</v>
      </c>
      <c r="S69" s="141">
        <f t="shared" si="63"/>
        <v>7</v>
      </c>
      <c r="T69" s="141" t="str">
        <f t="shared" si="63"/>
        <v/>
      </c>
      <c r="U69" s="141" t="str">
        <f t="shared" si="63"/>
        <v/>
      </c>
      <c r="V69" s="141">
        <f t="shared" si="63"/>
        <v>7</v>
      </c>
      <c r="W69" s="141">
        <f t="shared" si="63"/>
        <v>7</v>
      </c>
      <c r="X69" s="141">
        <f t="shared" si="63"/>
        <v>7</v>
      </c>
      <c r="Y69" s="141" t="str">
        <f t="shared" si="63"/>
        <v/>
      </c>
      <c r="Z69" s="141" t="str">
        <f t="shared" si="63"/>
        <v/>
      </c>
      <c r="AA69" s="141">
        <f t="shared" si="63"/>
        <v>7</v>
      </c>
      <c r="AB69" s="141">
        <f t="shared" si="63"/>
        <v>7</v>
      </c>
      <c r="AC69" s="141" t="str">
        <f t="shared" si="63"/>
        <v/>
      </c>
      <c r="AD69" s="141" t="str">
        <f t="shared" si="63"/>
        <v/>
      </c>
      <c r="AE69" s="141" t="str">
        <f t="shared" si="63"/>
        <v/>
      </c>
      <c r="AF69" s="141">
        <f t="shared" si="63"/>
        <v>7</v>
      </c>
      <c r="AG69" s="141" t="str">
        <f t="shared" si="63"/>
        <v/>
      </c>
      <c r="AH69" s="154" t="s">
        <v>12</v>
      </c>
      <c r="AI69" s="133"/>
      <c r="AJ69" s="170"/>
      <c r="AK69" s="133"/>
      <c r="AL69" s="133"/>
    </row>
    <row r="70" spans="1:77" ht="15.95" hidden="1" customHeight="1" x14ac:dyDescent="0.25">
      <c r="A70" s="166" t="s">
        <v>74</v>
      </c>
      <c r="B70" s="167" t="s">
        <v>30</v>
      </c>
      <c r="C70" s="141">
        <f t="shared" ref="C70:AG70" si="64">IF(C11=$R32,$V32*24,IF(C11=$R33,$V33*24,IF(C11=$R34,$V34*24,IF(C11=$R35,$V35*24,IF(C11=$R36,$V36*24,IF(C11=$R37,$V37*24,IF(C11=$R38,$V38*24,IF(C11=$R39,$V39*24,IF(C11=$R40,$V40*24,"")))))))))</f>
        <v>18</v>
      </c>
      <c r="D70" s="141">
        <f t="shared" si="64"/>
        <v>19</v>
      </c>
      <c r="E70" s="141" t="str">
        <f t="shared" si="64"/>
        <v/>
      </c>
      <c r="F70" s="141">
        <f t="shared" si="64"/>
        <v>18</v>
      </c>
      <c r="G70" s="141" t="str">
        <f t="shared" si="64"/>
        <v/>
      </c>
      <c r="H70" s="141">
        <f t="shared" si="64"/>
        <v>19</v>
      </c>
      <c r="I70" s="141">
        <f t="shared" si="64"/>
        <v>19</v>
      </c>
      <c r="J70" s="141">
        <f t="shared" si="64"/>
        <v>19</v>
      </c>
      <c r="K70" s="141">
        <f t="shared" si="64"/>
        <v>18</v>
      </c>
      <c r="L70" s="141" t="str">
        <f t="shared" si="64"/>
        <v/>
      </c>
      <c r="M70" s="141" t="str">
        <f t="shared" si="64"/>
        <v/>
      </c>
      <c r="N70" s="141">
        <f t="shared" si="64"/>
        <v>19</v>
      </c>
      <c r="O70" s="141">
        <f t="shared" si="64"/>
        <v>18</v>
      </c>
      <c r="P70" s="141" t="str">
        <f t="shared" si="64"/>
        <v/>
      </c>
      <c r="Q70" s="141" t="str">
        <f t="shared" si="64"/>
        <v/>
      </c>
      <c r="R70" s="141">
        <f t="shared" si="64"/>
        <v>19</v>
      </c>
      <c r="S70" s="141">
        <f t="shared" si="64"/>
        <v>19</v>
      </c>
      <c r="T70" s="141" t="str">
        <f t="shared" si="64"/>
        <v/>
      </c>
      <c r="U70" s="141" t="str">
        <f t="shared" si="64"/>
        <v/>
      </c>
      <c r="V70" s="141">
        <f t="shared" si="64"/>
        <v>19</v>
      </c>
      <c r="W70" s="141">
        <f t="shared" si="64"/>
        <v>19</v>
      </c>
      <c r="X70" s="141">
        <f t="shared" si="64"/>
        <v>19</v>
      </c>
      <c r="Y70" s="141" t="str">
        <f t="shared" si="64"/>
        <v/>
      </c>
      <c r="Z70" s="141" t="str">
        <f t="shared" si="64"/>
        <v/>
      </c>
      <c r="AA70" s="141">
        <f t="shared" si="64"/>
        <v>19</v>
      </c>
      <c r="AB70" s="141">
        <f t="shared" si="64"/>
        <v>19</v>
      </c>
      <c r="AC70" s="141" t="str">
        <f t="shared" si="64"/>
        <v/>
      </c>
      <c r="AD70" s="141" t="str">
        <f t="shared" si="64"/>
        <v/>
      </c>
      <c r="AE70" s="141" t="str">
        <f t="shared" si="64"/>
        <v/>
      </c>
      <c r="AF70" s="141">
        <f t="shared" si="64"/>
        <v>19</v>
      </c>
      <c r="AG70" s="141" t="str">
        <f t="shared" si="64"/>
        <v/>
      </c>
      <c r="AH70" s="154" t="s">
        <v>12</v>
      </c>
      <c r="AI70" s="133"/>
      <c r="AJ70" s="170"/>
      <c r="AK70" s="133"/>
      <c r="AL70" s="133"/>
    </row>
    <row r="71" spans="1:77" ht="15.95" hidden="1" customHeight="1" x14ac:dyDescent="0.25">
      <c r="A71" s="153"/>
      <c r="B71" s="168" t="s">
        <v>34</v>
      </c>
      <c r="C71" s="169">
        <f t="shared" ref="C71:AD71" si="65">IF(C11=$R32,$BD32*24,IF(C11=$R33,$BD33*24,IF(C11=$R34,$BD34*24,IF(C11=$R35,$BD35*24,IF(C11=$R36,$BD36*24,IF(C11=$R37,$BD37*24,IF(C11=$R38,$BD38*24,IF(C11=$R39,$BD39*24,IF(C11=$R40,$BD40*24,"")))))))))</f>
        <v>0</v>
      </c>
      <c r="D71" s="169">
        <f t="shared" si="65"/>
        <v>0</v>
      </c>
      <c r="E71" s="169" t="str">
        <f t="shared" si="65"/>
        <v/>
      </c>
      <c r="F71" s="169">
        <f t="shared" si="65"/>
        <v>0</v>
      </c>
      <c r="G71" s="169" t="str">
        <f t="shared" si="65"/>
        <v/>
      </c>
      <c r="H71" s="169">
        <f t="shared" si="65"/>
        <v>0</v>
      </c>
      <c r="I71" s="169">
        <f t="shared" si="65"/>
        <v>0</v>
      </c>
      <c r="J71" s="169">
        <f t="shared" si="65"/>
        <v>0</v>
      </c>
      <c r="K71" s="169">
        <f t="shared" si="65"/>
        <v>0</v>
      </c>
      <c r="L71" s="169" t="str">
        <f t="shared" si="65"/>
        <v/>
      </c>
      <c r="M71" s="169" t="str">
        <f t="shared" si="65"/>
        <v/>
      </c>
      <c r="N71" s="169">
        <f t="shared" si="65"/>
        <v>0</v>
      </c>
      <c r="O71" s="169">
        <f t="shared" si="65"/>
        <v>0</v>
      </c>
      <c r="P71" s="169" t="str">
        <f t="shared" si="65"/>
        <v/>
      </c>
      <c r="Q71" s="169" t="str">
        <f t="shared" si="65"/>
        <v/>
      </c>
      <c r="R71" s="169">
        <f t="shared" si="65"/>
        <v>0</v>
      </c>
      <c r="S71" s="169">
        <f t="shared" si="65"/>
        <v>0</v>
      </c>
      <c r="T71" s="169" t="str">
        <f t="shared" si="65"/>
        <v/>
      </c>
      <c r="U71" s="169" t="str">
        <f t="shared" si="65"/>
        <v/>
      </c>
      <c r="V71" s="169">
        <f t="shared" si="65"/>
        <v>0</v>
      </c>
      <c r="W71" s="169">
        <f t="shared" si="65"/>
        <v>0</v>
      </c>
      <c r="X71" s="169">
        <f t="shared" si="65"/>
        <v>0</v>
      </c>
      <c r="Y71" s="169" t="str">
        <f t="shared" si="65"/>
        <v/>
      </c>
      <c r="Z71" s="169" t="str">
        <f t="shared" si="65"/>
        <v/>
      </c>
      <c r="AA71" s="169">
        <f t="shared" si="65"/>
        <v>0</v>
      </c>
      <c r="AB71" s="169">
        <f t="shared" si="65"/>
        <v>0</v>
      </c>
      <c r="AC71" s="169" t="str">
        <f t="shared" si="65"/>
        <v/>
      </c>
      <c r="AD71" s="169" t="str">
        <f t="shared" si="65"/>
        <v/>
      </c>
      <c r="AE71" s="169" t="str">
        <f>IF(AE11=$R32,$BD32*24,IF(AE11=$R33,$BD33*24,IF(AE11=$R34,$BD34*24,IF(AE11=$R35,$BD35*24,IF(AE11=$R36,$BD36*24,IF(AE11=$R37,$BD37*24,IF(AE11=$R38,$BD38*24,IF(AE11=$R39,$BD39*24,IF(AE11=$R40,$BD40*24,"")))))))))</f>
        <v/>
      </c>
      <c r="AF71" s="169">
        <f>IF(AF11=$R32,$BD32*24,IF(AF11=$R33,$BD33*24,IF(AF11=$R34,$BD34*24,IF(AF11=$R35,$BD35*24,IF(AF11=$R36,$BD36*24,IF(AF11=$R37,$BD37*24,IF(AF11=$R38,$BD38*24,IF(AF11=$R39,$BD39*24,IF(AF11=$R40,$BD40*24,"")))))))))</f>
        <v>0</v>
      </c>
      <c r="AG71" s="169" t="str">
        <f>IF(AG11=$R32,$BD32*24,IF(AG11=$R33,$BD33*24,IF(AG11=$R34,$BD34*24,IF(AG11=$R35,$BD35*24,IF(AG11=$R36,$BD36*24,IF(AG11=$R37,$BD37*24,IF(AG11=$R38,$BD38*24,IF(AG11=$R39,$BD39*24,IF(AG11=$R40,$BD40*24,"")))))))))</f>
        <v/>
      </c>
      <c r="AH71" s="148">
        <f>SUM(C71:AG71)</f>
        <v>0</v>
      </c>
      <c r="AI71" s="133"/>
      <c r="AJ71" s="170"/>
      <c r="AK71" s="133"/>
      <c r="AL71" s="133"/>
    </row>
    <row r="72" spans="1:77" ht="15.95" hidden="1" customHeight="1" x14ac:dyDescent="0.25">
      <c r="A72" s="153"/>
      <c r="B72" s="167" t="s">
        <v>59</v>
      </c>
      <c r="C72" s="141">
        <f t="shared" ref="C72:AG72" si="66">IF(C11="V",$C36,IF(C11="PR",$C38,0))</f>
        <v>0</v>
      </c>
      <c r="D72" s="141">
        <f t="shared" si="66"/>
        <v>0</v>
      </c>
      <c r="E72" s="141">
        <f t="shared" si="66"/>
        <v>0</v>
      </c>
      <c r="F72" s="141">
        <f t="shared" si="66"/>
        <v>0</v>
      </c>
      <c r="G72" s="141">
        <f t="shared" si="66"/>
        <v>0</v>
      </c>
      <c r="H72" s="141">
        <f t="shared" si="66"/>
        <v>0</v>
      </c>
      <c r="I72" s="141">
        <f t="shared" si="66"/>
        <v>0</v>
      </c>
      <c r="J72" s="141">
        <f t="shared" si="66"/>
        <v>0</v>
      </c>
      <c r="K72" s="141">
        <f t="shared" si="66"/>
        <v>0</v>
      </c>
      <c r="L72" s="141">
        <f t="shared" si="66"/>
        <v>0</v>
      </c>
      <c r="M72" s="141">
        <f t="shared" si="66"/>
        <v>0</v>
      </c>
      <c r="N72" s="141">
        <f t="shared" si="66"/>
        <v>0</v>
      </c>
      <c r="O72" s="141">
        <f t="shared" si="66"/>
        <v>0</v>
      </c>
      <c r="P72" s="141">
        <f t="shared" si="66"/>
        <v>0</v>
      </c>
      <c r="Q72" s="141">
        <f t="shared" si="66"/>
        <v>0</v>
      </c>
      <c r="R72" s="141">
        <f t="shared" si="66"/>
        <v>0</v>
      </c>
      <c r="S72" s="141">
        <f t="shared" si="66"/>
        <v>0</v>
      </c>
      <c r="T72" s="141">
        <f t="shared" si="66"/>
        <v>0</v>
      </c>
      <c r="U72" s="141">
        <f t="shared" si="66"/>
        <v>0</v>
      </c>
      <c r="V72" s="141">
        <f t="shared" si="66"/>
        <v>0</v>
      </c>
      <c r="W72" s="141">
        <f t="shared" si="66"/>
        <v>0</v>
      </c>
      <c r="X72" s="141">
        <f t="shared" si="66"/>
        <v>0</v>
      </c>
      <c r="Y72" s="141">
        <f t="shared" si="66"/>
        <v>0</v>
      </c>
      <c r="Z72" s="141">
        <f t="shared" si="66"/>
        <v>0</v>
      </c>
      <c r="AA72" s="141">
        <f t="shared" si="66"/>
        <v>0</v>
      </c>
      <c r="AB72" s="141">
        <f t="shared" si="66"/>
        <v>0</v>
      </c>
      <c r="AC72" s="141">
        <f t="shared" si="66"/>
        <v>0</v>
      </c>
      <c r="AD72" s="141">
        <f t="shared" si="66"/>
        <v>0</v>
      </c>
      <c r="AE72" s="141">
        <f t="shared" si="66"/>
        <v>0</v>
      </c>
      <c r="AF72" s="141">
        <f t="shared" si="66"/>
        <v>0</v>
      </c>
      <c r="AG72" s="141">
        <f t="shared" si="66"/>
        <v>0</v>
      </c>
      <c r="AH72" s="226">
        <f>SUM(C72:AG72)</f>
        <v>0</v>
      </c>
      <c r="AI72" s="226"/>
      <c r="AJ72" s="170" t="s">
        <v>12</v>
      </c>
      <c r="AK72" s="133"/>
      <c r="AL72" s="133"/>
    </row>
    <row r="73" spans="1:77" ht="15.95" hidden="1" customHeight="1" x14ac:dyDescent="0.25">
      <c r="A73" s="150" t="s">
        <v>60</v>
      </c>
      <c r="B73" s="167" t="s">
        <v>61</v>
      </c>
      <c r="C73" s="151">
        <f t="shared" ref="C73:AD73" si="67">IF(C11=$R32,$BC32,IF(C11=$R33,$BC33,IF(C11=$R34,$BC34,IF(C11=$R35,$BC35,IF(C11=$R36,$BC36,IF(C11=$R37,$BC37,IF(C11=$R38,$BC38,IF(C11=$R39,$BC39,IF(C11=$R40,$BC40,0)))))))))</f>
        <v>12</v>
      </c>
      <c r="D73" s="151">
        <f t="shared" si="67"/>
        <v>11.999999999999998</v>
      </c>
      <c r="E73" s="151">
        <f t="shared" si="67"/>
        <v>0</v>
      </c>
      <c r="F73" s="151">
        <f t="shared" si="67"/>
        <v>12</v>
      </c>
      <c r="G73" s="151">
        <f t="shared" si="67"/>
        <v>0</v>
      </c>
      <c r="H73" s="151">
        <f t="shared" si="67"/>
        <v>11.999999999999998</v>
      </c>
      <c r="I73" s="151">
        <f t="shared" si="67"/>
        <v>11.999999999999998</v>
      </c>
      <c r="J73" s="151">
        <f t="shared" si="67"/>
        <v>11.999999999999998</v>
      </c>
      <c r="K73" s="151">
        <f t="shared" si="67"/>
        <v>12</v>
      </c>
      <c r="L73" s="151">
        <f t="shared" si="67"/>
        <v>0</v>
      </c>
      <c r="M73" s="151">
        <f t="shared" si="67"/>
        <v>0</v>
      </c>
      <c r="N73" s="151">
        <f t="shared" si="67"/>
        <v>11.999999999999998</v>
      </c>
      <c r="O73" s="151">
        <f t="shared" si="67"/>
        <v>12</v>
      </c>
      <c r="P73" s="151">
        <f t="shared" si="67"/>
        <v>0</v>
      </c>
      <c r="Q73" s="151">
        <f t="shared" si="67"/>
        <v>0</v>
      </c>
      <c r="R73" s="151">
        <f t="shared" si="67"/>
        <v>11.999999999999998</v>
      </c>
      <c r="S73" s="151">
        <f t="shared" si="67"/>
        <v>11.999999999999998</v>
      </c>
      <c r="T73" s="151">
        <f t="shared" si="67"/>
        <v>0</v>
      </c>
      <c r="U73" s="151">
        <f t="shared" si="67"/>
        <v>0</v>
      </c>
      <c r="V73" s="151">
        <f t="shared" si="67"/>
        <v>11.999999999999998</v>
      </c>
      <c r="W73" s="151">
        <f t="shared" si="67"/>
        <v>11.999999999999998</v>
      </c>
      <c r="X73" s="151">
        <f t="shared" si="67"/>
        <v>11.999999999999998</v>
      </c>
      <c r="Y73" s="151">
        <f t="shared" si="67"/>
        <v>0</v>
      </c>
      <c r="Z73" s="151">
        <f t="shared" si="67"/>
        <v>0</v>
      </c>
      <c r="AA73" s="151">
        <f t="shared" si="67"/>
        <v>11.999999999999998</v>
      </c>
      <c r="AB73" s="151">
        <f t="shared" si="67"/>
        <v>11.999999999999998</v>
      </c>
      <c r="AC73" s="151">
        <f t="shared" si="67"/>
        <v>0</v>
      </c>
      <c r="AD73" s="151">
        <f t="shared" si="67"/>
        <v>0</v>
      </c>
      <c r="AE73" s="151">
        <f>IF(AE11=$R32,$BC32,IF(AE11=$R33,$BC33,IF(AE11=$R34,$BC34,IF(AE11=$R35,$BC35,IF(AE11=$R36,$BC36,IF(AE11=$R37,$BC37,IF(AE11=$R38,$BC38,IF(AE11=$R39,$BC39,IF(AE11=$R40,$BC40,0)))))))))</f>
        <v>0</v>
      </c>
      <c r="AF73" s="151">
        <f>IF(AF11=$R32,$BC32,IF(AF11=$R33,$BC33,IF(AF11=$R34,$BC34,IF(AF11=$R35,$BC35,IF(AF11=$R36,$BC36,IF(AF11=$R37,$BC37,IF(AF11=$R38,$BC38,IF(AF11=$R39,$BC39,IF(AF11=$R40,$BC40,0)))))))))</f>
        <v>11.999999999999998</v>
      </c>
      <c r="AG73" s="151">
        <f>IF(AG11=$R32,$BC32,IF(AG11=$R33,$BC33,IF(AG11=$R34,$BC34,IF(AG11=$R35,$BC35,IF(AG11=$R36,$BC36,IF(AG11=$R37,$BC37,IF(AG11=$R38,$BC38,IF(AG11=$R39,$BC39,IF(AG11=$R40,$BC40,0)))))))))</f>
        <v>0</v>
      </c>
      <c r="AH73" s="226">
        <f>SUM(C73:AG73)</f>
        <v>204</v>
      </c>
      <c r="AI73" s="226"/>
      <c r="AJ73" s="175" t="s">
        <v>62</v>
      </c>
      <c r="AK73" s="133" t="s">
        <v>12</v>
      </c>
      <c r="AL73" s="133"/>
    </row>
    <row r="74" spans="1:77" ht="15.95" hidden="1" customHeight="1" x14ac:dyDescent="0.25">
      <c r="A74" s="153" t="s">
        <v>48</v>
      </c>
      <c r="B74" s="149" t="s">
        <v>63</v>
      </c>
      <c r="C74" s="141">
        <f t="shared" ref="C74:AG74" si="68">IF(C46=1,IF(C69&lt;C70,C73,0))</f>
        <v>12</v>
      </c>
      <c r="D74" s="141" t="b">
        <f t="shared" si="68"/>
        <v>0</v>
      </c>
      <c r="E74" s="141" t="b">
        <f t="shared" si="68"/>
        <v>0</v>
      </c>
      <c r="F74" s="141" t="b">
        <f t="shared" si="68"/>
        <v>0</v>
      </c>
      <c r="G74" s="141" t="b">
        <f t="shared" si="68"/>
        <v>0</v>
      </c>
      <c r="H74" s="141" t="b">
        <f t="shared" si="68"/>
        <v>0</v>
      </c>
      <c r="I74" s="141">
        <f t="shared" si="68"/>
        <v>11.999999999999998</v>
      </c>
      <c r="J74" s="141">
        <f t="shared" si="68"/>
        <v>11.999999999999998</v>
      </c>
      <c r="K74" s="141" t="b">
        <f t="shared" si="68"/>
        <v>0</v>
      </c>
      <c r="L74" s="141" t="b">
        <f t="shared" si="68"/>
        <v>0</v>
      </c>
      <c r="M74" s="141" t="b">
        <f t="shared" si="68"/>
        <v>0</v>
      </c>
      <c r="N74" s="141" t="b">
        <f t="shared" si="68"/>
        <v>0</v>
      </c>
      <c r="O74" s="141" t="b">
        <f t="shared" si="68"/>
        <v>0</v>
      </c>
      <c r="P74" s="141">
        <f t="shared" si="68"/>
        <v>0</v>
      </c>
      <c r="Q74" s="141">
        <f t="shared" si="68"/>
        <v>0</v>
      </c>
      <c r="R74" s="141" t="b">
        <f t="shared" si="68"/>
        <v>0</v>
      </c>
      <c r="S74" s="141" t="b">
        <f t="shared" si="68"/>
        <v>0</v>
      </c>
      <c r="T74" s="141" t="b">
        <f t="shared" si="68"/>
        <v>0</v>
      </c>
      <c r="U74" s="141" t="b">
        <f t="shared" si="68"/>
        <v>0</v>
      </c>
      <c r="V74" s="141" t="b">
        <f t="shared" si="68"/>
        <v>0</v>
      </c>
      <c r="W74" s="141">
        <f t="shared" si="68"/>
        <v>11.999999999999998</v>
      </c>
      <c r="X74" s="141">
        <f t="shared" si="68"/>
        <v>11.999999999999998</v>
      </c>
      <c r="Y74" s="141" t="b">
        <f t="shared" si="68"/>
        <v>0</v>
      </c>
      <c r="Z74" s="141" t="b">
        <f t="shared" si="68"/>
        <v>0</v>
      </c>
      <c r="AA74" s="141" t="b">
        <f t="shared" si="68"/>
        <v>0</v>
      </c>
      <c r="AB74" s="141" t="b">
        <f t="shared" si="68"/>
        <v>0</v>
      </c>
      <c r="AC74" s="141" t="b">
        <f t="shared" si="68"/>
        <v>0</v>
      </c>
      <c r="AD74" s="141">
        <f t="shared" si="68"/>
        <v>0</v>
      </c>
      <c r="AE74" s="141">
        <f t="shared" si="68"/>
        <v>0</v>
      </c>
      <c r="AF74" s="141" t="b">
        <f t="shared" si="68"/>
        <v>0</v>
      </c>
      <c r="AG74" s="141" t="b">
        <f t="shared" si="68"/>
        <v>0</v>
      </c>
      <c r="AH74" s="154" t="s">
        <v>12</v>
      </c>
      <c r="AI74" s="133"/>
      <c r="AJ74" s="170"/>
      <c r="AK74" s="133"/>
      <c r="AL74" s="133"/>
    </row>
    <row r="75" spans="1:77" ht="15.95" hidden="1" customHeight="1" x14ac:dyDescent="0.25">
      <c r="A75" s="176"/>
      <c r="B75" s="149" t="s">
        <v>64</v>
      </c>
      <c r="C75" s="141">
        <f t="shared" ref="C75:AG75" si="69">IF(C46=1,IF(C69&gt;C70,24-C69,0),0)</f>
        <v>0</v>
      </c>
      <c r="D75" s="141">
        <f t="shared" si="69"/>
        <v>0</v>
      </c>
      <c r="E75" s="141">
        <f t="shared" si="69"/>
        <v>0</v>
      </c>
      <c r="F75" s="141">
        <f t="shared" si="69"/>
        <v>0</v>
      </c>
      <c r="G75" s="141">
        <f t="shared" si="69"/>
        <v>0</v>
      </c>
      <c r="H75" s="141">
        <f t="shared" si="69"/>
        <v>0</v>
      </c>
      <c r="I75" s="141">
        <f t="shared" si="69"/>
        <v>0</v>
      </c>
      <c r="J75" s="141">
        <f t="shared" si="69"/>
        <v>0</v>
      </c>
      <c r="K75" s="141">
        <f t="shared" si="69"/>
        <v>0</v>
      </c>
      <c r="L75" s="141">
        <f t="shared" si="69"/>
        <v>0</v>
      </c>
      <c r="M75" s="141">
        <f t="shared" si="69"/>
        <v>0</v>
      </c>
      <c r="N75" s="141">
        <f t="shared" si="69"/>
        <v>0</v>
      </c>
      <c r="O75" s="141">
        <f t="shared" si="69"/>
        <v>0</v>
      </c>
      <c r="P75" s="141">
        <f t="shared" si="69"/>
        <v>0</v>
      </c>
      <c r="Q75" s="141">
        <f t="shared" si="69"/>
        <v>0</v>
      </c>
      <c r="R75" s="141">
        <f t="shared" si="69"/>
        <v>0</v>
      </c>
      <c r="S75" s="141">
        <f t="shared" si="69"/>
        <v>0</v>
      </c>
      <c r="T75" s="141">
        <f t="shared" si="69"/>
        <v>0</v>
      </c>
      <c r="U75" s="141">
        <f t="shared" si="69"/>
        <v>0</v>
      </c>
      <c r="V75" s="141">
        <f t="shared" si="69"/>
        <v>0</v>
      </c>
      <c r="W75" s="141">
        <f t="shared" si="69"/>
        <v>0</v>
      </c>
      <c r="X75" s="141">
        <f t="shared" si="69"/>
        <v>0</v>
      </c>
      <c r="Y75" s="141">
        <f t="shared" si="69"/>
        <v>0</v>
      </c>
      <c r="Z75" s="141">
        <f t="shared" si="69"/>
        <v>0</v>
      </c>
      <c r="AA75" s="141">
        <f t="shared" si="69"/>
        <v>0</v>
      </c>
      <c r="AB75" s="141">
        <f t="shared" si="69"/>
        <v>0</v>
      </c>
      <c r="AC75" s="141">
        <f t="shared" si="69"/>
        <v>0</v>
      </c>
      <c r="AD75" s="141">
        <f t="shared" si="69"/>
        <v>0</v>
      </c>
      <c r="AE75" s="141">
        <f t="shared" si="69"/>
        <v>0</v>
      </c>
      <c r="AF75" s="141">
        <f t="shared" si="69"/>
        <v>0</v>
      </c>
      <c r="AG75" s="141">
        <f t="shared" si="69"/>
        <v>0</v>
      </c>
      <c r="AH75" s="154" t="s">
        <v>12</v>
      </c>
      <c r="AI75" s="133"/>
      <c r="AJ75" s="170"/>
      <c r="AK75" s="133"/>
      <c r="AL75" s="133"/>
    </row>
    <row r="76" spans="1:77" ht="15.95" hidden="1" customHeight="1" x14ac:dyDescent="0.25">
      <c r="A76" s="176"/>
      <c r="B76" s="149" t="s">
        <v>65</v>
      </c>
      <c r="C76" s="141">
        <f t="shared" ref="C76:AG76" si="70">IF(D46=1,IF(C69&gt;C70,C70,0),0)</f>
        <v>0</v>
      </c>
      <c r="D76" s="141">
        <f t="shared" si="70"/>
        <v>0</v>
      </c>
      <c r="E76" s="141">
        <f t="shared" si="70"/>
        <v>0</v>
      </c>
      <c r="F76" s="141">
        <f t="shared" si="70"/>
        <v>0</v>
      </c>
      <c r="G76" s="141">
        <f t="shared" si="70"/>
        <v>0</v>
      </c>
      <c r="H76" s="141">
        <f t="shared" si="70"/>
        <v>0</v>
      </c>
      <c r="I76" s="141">
        <f t="shared" si="70"/>
        <v>0</v>
      </c>
      <c r="J76" s="141">
        <f t="shared" si="70"/>
        <v>0</v>
      </c>
      <c r="K76" s="141">
        <f t="shared" si="70"/>
        <v>0</v>
      </c>
      <c r="L76" s="141">
        <f t="shared" si="70"/>
        <v>0</v>
      </c>
      <c r="M76" s="141">
        <f t="shared" si="70"/>
        <v>0</v>
      </c>
      <c r="N76" s="141">
        <f t="shared" si="70"/>
        <v>0</v>
      </c>
      <c r="O76" s="141">
        <f t="shared" si="70"/>
        <v>0</v>
      </c>
      <c r="P76" s="141">
        <f t="shared" si="70"/>
        <v>0</v>
      </c>
      <c r="Q76" s="141">
        <f t="shared" si="70"/>
        <v>0</v>
      </c>
      <c r="R76" s="141">
        <f t="shared" si="70"/>
        <v>0</v>
      </c>
      <c r="S76" s="141">
        <f t="shared" si="70"/>
        <v>0</v>
      </c>
      <c r="T76" s="141">
        <f t="shared" si="70"/>
        <v>0</v>
      </c>
      <c r="U76" s="141">
        <f t="shared" si="70"/>
        <v>0</v>
      </c>
      <c r="V76" s="141">
        <f t="shared" si="70"/>
        <v>0</v>
      </c>
      <c r="W76" s="141">
        <f t="shared" si="70"/>
        <v>0</v>
      </c>
      <c r="X76" s="141">
        <f>IF(Y46=1,IF(X69&gt;X70,X70,0),0)</f>
        <v>0</v>
      </c>
      <c r="Y76" s="141">
        <f t="shared" si="70"/>
        <v>0</v>
      </c>
      <c r="Z76" s="141">
        <f t="shared" si="70"/>
        <v>0</v>
      </c>
      <c r="AA76" s="141">
        <f t="shared" si="70"/>
        <v>0</v>
      </c>
      <c r="AB76" s="141">
        <f t="shared" si="70"/>
        <v>0</v>
      </c>
      <c r="AC76" s="141">
        <f t="shared" si="70"/>
        <v>0</v>
      </c>
      <c r="AD76" s="141">
        <f t="shared" si="70"/>
        <v>0</v>
      </c>
      <c r="AE76" s="141">
        <f t="shared" si="70"/>
        <v>0</v>
      </c>
      <c r="AF76" s="141">
        <f t="shared" si="70"/>
        <v>0</v>
      </c>
      <c r="AG76" s="141">
        <f t="shared" si="70"/>
        <v>0</v>
      </c>
      <c r="AH76" s="154" t="s">
        <v>12</v>
      </c>
      <c r="AI76" s="133"/>
      <c r="AJ76" s="170"/>
      <c r="AK76" s="133"/>
      <c r="AL76" s="133"/>
    </row>
    <row r="77" spans="1:77" ht="15.95" hidden="1" customHeight="1" x14ac:dyDescent="0.25">
      <c r="A77" s="176"/>
      <c r="B77" s="149" t="s">
        <v>67</v>
      </c>
      <c r="C77" s="171">
        <f t="shared" ref="C77:AG77" si="71">SUM(C74:C76)</f>
        <v>12</v>
      </c>
      <c r="D77" s="171">
        <f t="shared" si="71"/>
        <v>0</v>
      </c>
      <c r="E77" s="171">
        <f t="shared" si="71"/>
        <v>0</v>
      </c>
      <c r="F77" s="171">
        <f t="shared" si="71"/>
        <v>0</v>
      </c>
      <c r="G77" s="171">
        <f t="shared" si="71"/>
        <v>0</v>
      </c>
      <c r="H77" s="171">
        <f t="shared" si="71"/>
        <v>0</v>
      </c>
      <c r="I77" s="171">
        <f t="shared" si="71"/>
        <v>11.999999999999998</v>
      </c>
      <c r="J77" s="171">
        <f t="shared" si="71"/>
        <v>11.999999999999998</v>
      </c>
      <c r="K77" s="171">
        <f t="shared" si="71"/>
        <v>0</v>
      </c>
      <c r="L77" s="171">
        <f t="shared" si="71"/>
        <v>0</v>
      </c>
      <c r="M77" s="171">
        <f t="shared" si="71"/>
        <v>0</v>
      </c>
      <c r="N77" s="171">
        <f t="shared" si="71"/>
        <v>0</v>
      </c>
      <c r="O77" s="171">
        <f t="shared" si="71"/>
        <v>0</v>
      </c>
      <c r="P77" s="171">
        <f t="shared" si="71"/>
        <v>0</v>
      </c>
      <c r="Q77" s="171">
        <f t="shared" si="71"/>
        <v>0</v>
      </c>
      <c r="R77" s="171">
        <f t="shared" si="71"/>
        <v>0</v>
      </c>
      <c r="S77" s="171">
        <f t="shared" si="71"/>
        <v>0</v>
      </c>
      <c r="T77" s="171">
        <f t="shared" si="71"/>
        <v>0</v>
      </c>
      <c r="U77" s="171">
        <f t="shared" si="71"/>
        <v>0</v>
      </c>
      <c r="V77" s="171">
        <f t="shared" si="71"/>
        <v>0</v>
      </c>
      <c r="W77" s="171">
        <f t="shared" si="71"/>
        <v>11.999999999999998</v>
      </c>
      <c r="X77" s="171">
        <f t="shared" si="71"/>
        <v>11.999999999999998</v>
      </c>
      <c r="Y77" s="171">
        <f t="shared" si="71"/>
        <v>0</v>
      </c>
      <c r="Z77" s="171">
        <f t="shared" si="71"/>
        <v>0</v>
      </c>
      <c r="AA77" s="171">
        <f t="shared" si="71"/>
        <v>0</v>
      </c>
      <c r="AB77" s="171">
        <f t="shared" si="71"/>
        <v>0</v>
      </c>
      <c r="AC77" s="171">
        <f t="shared" si="71"/>
        <v>0</v>
      </c>
      <c r="AD77" s="171">
        <f t="shared" si="71"/>
        <v>0</v>
      </c>
      <c r="AE77" s="171">
        <f t="shared" si="71"/>
        <v>0</v>
      </c>
      <c r="AF77" s="171">
        <f t="shared" si="71"/>
        <v>0</v>
      </c>
      <c r="AG77" s="171">
        <f t="shared" si="71"/>
        <v>0</v>
      </c>
      <c r="AH77" s="154" t="s">
        <v>12</v>
      </c>
      <c r="AI77" s="133"/>
      <c r="AJ77" s="170"/>
      <c r="AK77" s="133"/>
      <c r="AL77" s="133"/>
    </row>
    <row r="78" spans="1:77" ht="15.95" hidden="1" customHeight="1" x14ac:dyDescent="0.25">
      <c r="A78" s="177"/>
      <c r="B78" s="160" t="s">
        <v>68</v>
      </c>
      <c r="C78" s="161">
        <f t="shared" ref="C78:AG78" si="72">IF(C11="V",IF(C11="",0,1),0)</f>
        <v>0</v>
      </c>
      <c r="D78" s="161">
        <f t="shared" si="72"/>
        <v>0</v>
      </c>
      <c r="E78" s="161">
        <f t="shared" si="72"/>
        <v>0</v>
      </c>
      <c r="F78" s="161">
        <f t="shared" si="72"/>
        <v>0</v>
      </c>
      <c r="G78" s="161">
        <f t="shared" si="72"/>
        <v>0</v>
      </c>
      <c r="H78" s="161">
        <f t="shared" si="72"/>
        <v>0</v>
      </c>
      <c r="I78" s="161">
        <f t="shared" si="72"/>
        <v>0</v>
      </c>
      <c r="J78" s="161">
        <f t="shared" si="72"/>
        <v>0</v>
      </c>
      <c r="K78" s="161">
        <f t="shared" si="72"/>
        <v>0</v>
      </c>
      <c r="L78" s="161">
        <f t="shared" si="72"/>
        <v>0</v>
      </c>
      <c r="M78" s="161">
        <f t="shared" si="72"/>
        <v>0</v>
      </c>
      <c r="N78" s="161">
        <f t="shared" si="72"/>
        <v>0</v>
      </c>
      <c r="O78" s="161">
        <f t="shared" si="72"/>
        <v>0</v>
      </c>
      <c r="P78" s="161">
        <f t="shared" si="72"/>
        <v>0</v>
      </c>
      <c r="Q78" s="161">
        <f t="shared" si="72"/>
        <v>0</v>
      </c>
      <c r="R78" s="161">
        <f t="shared" si="72"/>
        <v>0</v>
      </c>
      <c r="S78" s="161">
        <f t="shared" si="72"/>
        <v>0</v>
      </c>
      <c r="T78" s="161">
        <f t="shared" si="72"/>
        <v>0</v>
      </c>
      <c r="U78" s="161">
        <f t="shared" si="72"/>
        <v>0</v>
      </c>
      <c r="V78" s="161">
        <f t="shared" si="72"/>
        <v>0</v>
      </c>
      <c r="W78" s="161">
        <f t="shared" si="72"/>
        <v>0</v>
      </c>
      <c r="X78" s="161">
        <f t="shared" si="72"/>
        <v>0</v>
      </c>
      <c r="Y78" s="161">
        <f t="shared" si="72"/>
        <v>0</v>
      </c>
      <c r="Z78" s="161">
        <f t="shared" si="72"/>
        <v>0</v>
      </c>
      <c r="AA78" s="161">
        <f t="shared" si="72"/>
        <v>0</v>
      </c>
      <c r="AB78" s="161">
        <f t="shared" si="72"/>
        <v>0</v>
      </c>
      <c r="AC78" s="161">
        <f t="shared" si="72"/>
        <v>0</v>
      </c>
      <c r="AD78" s="161">
        <f t="shared" si="72"/>
        <v>0</v>
      </c>
      <c r="AE78" s="161">
        <f t="shared" si="72"/>
        <v>0</v>
      </c>
      <c r="AF78" s="161">
        <f t="shared" si="72"/>
        <v>0</v>
      </c>
      <c r="AG78" s="161">
        <f t="shared" si="72"/>
        <v>0</v>
      </c>
      <c r="AH78" s="154" t="s">
        <v>12</v>
      </c>
      <c r="AI78" s="133"/>
      <c r="AJ78" s="170"/>
      <c r="AK78" s="133"/>
      <c r="AL78" s="133"/>
    </row>
    <row r="79" spans="1:77" ht="15.95" hidden="1" customHeight="1" x14ac:dyDescent="0.25">
      <c r="A79" s="173"/>
      <c r="B79" s="130" t="s">
        <v>16</v>
      </c>
      <c r="C79" s="163">
        <f t="shared" ref="C79:AG79" si="73">IF(C11="PR",IF(C11="",0,1),0)</f>
        <v>0</v>
      </c>
      <c r="D79" s="163">
        <f t="shared" si="73"/>
        <v>0</v>
      </c>
      <c r="E79" s="163">
        <f t="shared" si="73"/>
        <v>0</v>
      </c>
      <c r="F79" s="163">
        <f t="shared" si="73"/>
        <v>0</v>
      </c>
      <c r="G79" s="163">
        <f t="shared" si="73"/>
        <v>0</v>
      </c>
      <c r="H79" s="163">
        <f t="shared" si="73"/>
        <v>0</v>
      </c>
      <c r="I79" s="163">
        <f t="shared" si="73"/>
        <v>0</v>
      </c>
      <c r="J79" s="163">
        <f t="shared" si="73"/>
        <v>0</v>
      </c>
      <c r="K79" s="163">
        <f t="shared" si="73"/>
        <v>0</v>
      </c>
      <c r="L79" s="163">
        <f t="shared" si="73"/>
        <v>0</v>
      </c>
      <c r="M79" s="163">
        <f t="shared" si="73"/>
        <v>0</v>
      </c>
      <c r="N79" s="163">
        <f t="shared" si="73"/>
        <v>0</v>
      </c>
      <c r="O79" s="163">
        <f t="shared" si="73"/>
        <v>0</v>
      </c>
      <c r="P79" s="163">
        <f t="shared" si="73"/>
        <v>0</v>
      </c>
      <c r="Q79" s="163">
        <f t="shared" si="73"/>
        <v>0</v>
      </c>
      <c r="R79" s="163">
        <f t="shared" si="73"/>
        <v>0</v>
      </c>
      <c r="S79" s="163">
        <f t="shared" si="73"/>
        <v>0</v>
      </c>
      <c r="T79" s="163">
        <f t="shared" si="73"/>
        <v>0</v>
      </c>
      <c r="U79" s="163">
        <f t="shared" si="73"/>
        <v>0</v>
      </c>
      <c r="V79" s="163">
        <f t="shared" si="73"/>
        <v>0</v>
      </c>
      <c r="W79" s="163">
        <f t="shared" si="73"/>
        <v>0</v>
      </c>
      <c r="X79" s="163">
        <f t="shared" si="73"/>
        <v>0</v>
      </c>
      <c r="Y79" s="163">
        <f t="shared" si="73"/>
        <v>0</v>
      </c>
      <c r="Z79" s="163">
        <f t="shared" si="73"/>
        <v>0</v>
      </c>
      <c r="AA79" s="163">
        <f t="shared" si="73"/>
        <v>0</v>
      </c>
      <c r="AB79" s="163">
        <f t="shared" si="73"/>
        <v>0</v>
      </c>
      <c r="AC79" s="163">
        <f t="shared" si="73"/>
        <v>0</v>
      </c>
      <c r="AD79" s="163">
        <f t="shared" si="73"/>
        <v>0</v>
      </c>
      <c r="AE79" s="163">
        <f t="shared" si="73"/>
        <v>0</v>
      </c>
      <c r="AF79" s="163">
        <f t="shared" si="73"/>
        <v>0</v>
      </c>
      <c r="AG79" s="163">
        <f t="shared" si="73"/>
        <v>0</v>
      </c>
      <c r="AH79" s="229">
        <f>SUM(C79:AG79)</f>
        <v>0</v>
      </c>
      <c r="AI79" s="229"/>
      <c r="AJ79" s="174" t="s">
        <v>69</v>
      </c>
      <c r="AK79" s="133"/>
      <c r="AL79" s="133"/>
    </row>
    <row r="80" spans="1:77" ht="15.95" hidden="1" customHeight="1" x14ac:dyDescent="0.25">
      <c r="A80" s="164" t="s">
        <v>75</v>
      </c>
      <c r="B80" s="165" t="s">
        <v>29</v>
      </c>
      <c r="C80" s="141" t="str">
        <f t="shared" ref="C80:AG80" si="74">IF(C12=$R32,$S32*24,IF(C12=$R33,$S33*24,IF(C12=$R34,$S34*24,IF(C12=$R35,$S35*24,IF(C12=$R36,$S36*24,IF(C12=$R37,$S37*24,IF(C12=$R38,$S38*24,IF(C12=$R39,$S39*24,IF(C12=$R40,$S40*24,"")))))))))</f>
        <v/>
      </c>
      <c r="D80" s="141">
        <f t="shared" si="74"/>
        <v>19</v>
      </c>
      <c r="E80" s="141">
        <f t="shared" si="74"/>
        <v>19</v>
      </c>
      <c r="F80" s="141" t="str">
        <f t="shared" si="74"/>
        <v/>
      </c>
      <c r="G80" s="141" t="str">
        <f t="shared" si="74"/>
        <v/>
      </c>
      <c r="H80" s="141">
        <f t="shared" si="74"/>
        <v>22</v>
      </c>
      <c r="I80" s="141">
        <f t="shared" si="74"/>
        <v>22</v>
      </c>
      <c r="J80" s="141">
        <f t="shared" si="74"/>
        <v>22</v>
      </c>
      <c r="K80" s="141" t="str">
        <f t="shared" si="74"/>
        <v/>
      </c>
      <c r="L80" s="141" t="str">
        <f t="shared" si="74"/>
        <v/>
      </c>
      <c r="M80" s="141">
        <f t="shared" si="74"/>
        <v>19</v>
      </c>
      <c r="N80" s="141">
        <f t="shared" si="74"/>
        <v>19</v>
      </c>
      <c r="O80" s="141" t="str">
        <f t="shared" si="74"/>
        <v/>
      </c>
      <c r="P80" s="141" t="str">
        <f t="shared" si="74"/>
        <v/>
      </c>
      <c r="Q80" s="141" t="str">
        <f t="shared" si="74"/>
        <v/>
      </c>
      <c r="R80" s="141">
        <f t="shared" si="74"/>
        <v>19</v>
      </c>
      <c r="S80" s="141">
        <f t="shared" si="74"/>
        <v>19</v>
      </c>
      <c r="T80" s="141">
        <f t="shared" si="74"/>
        <v>22</v>
      </c>
      <c r="U80" s="141" t="str">
        <f t="shared" si="74"/>
        <v/>
      </c>
      <c r="V80" s="141">
        <f t="shared" si="74"/>
        <v>22</v>
      </c>
      <c r="W80" s="141">
        <f t="shared" si="74"/>
        <v>22</v>
      </c>
      <c r="X80" s="141">
        <f t="shared" si="74"/>
        <v>22</v>
      </c>
      <c r="Y80" s="141">
        <f t="shared" si="74"/>
        <v>22</v>
      </c>
      <c r="Z80" s="141" t="str">
        <f t="shared" si="74"/>
        <v/>
      </c>
      <c r="AA80" s="141">
        <f t="shared" si="74"/>
        <v>19</v>
      </c>
      <c r="AB80" s="141">
        <f t="shared" si="74"/>
        <v>19</v>
      </c>
      <c r="AC80" s="141" t="str">
        <f t="shared" si="74"/>
        <v/>
      </c>
      <c r="AD80" s="141" t="str">
        <f t="shared" si="74"/>
        <v/>
      </c>
      <c r="AE80" s="141" t="str">
        <f t="shared" si="74"/>
        <v/>
      </c>
      <c r="AF80" s="141">
        <f t="shared" si="74"/>
        <v>19</v>
      </c>
      <c r="AG80" s="141" t="str">
        <f t="shared" si="74"/>
        <v/>
      </c>
      <c r="AH80" s="154" t="s">
        <v>12</v>
      </c>
      <c r="AI80" s="133"/>
      <c r="AJ80" s="170"/>
      <c r="AK80" s="133"/>
      <c r="AL80" s="133"/>
    </row>
    <row r="81" spans="1:38" ht="15.95" hidden="1" customHeight="1" x14ac:dyDescent="0.25">
      <c r="A81" s="166" t="s">
        <v>76</v>
      </c>
      <c r="B81" s="167" t="s">
        <v>30</v>
      </c>
      <c r="C81" s="141" t="str">
        <f t="shared" ref="C81:AG81" si="75">IF(C12=$R32,$V32*24,IF(C12=$R33,$V33*24,IF(C12=$R34,$V34*24,IF(C12=$R35,$V35*24,IF(C12=$R36,$V36*24,IF(C12=$R37,$V37*24,IF(C12=$R38,$V38*24,IF(C12=$R39,$V39*24,IF(C12=$R40,$V40*24,"")))))))))</f>
        <v/>
      </c>
      <c r="D81" s="141">
        <f t="shared" si="75"/>
        <v>7</v>
      </c>
      <c r="E81" s="141">
        <f t="shared" si="75"/>
        <v>7</v>
      </c>
      <c r="F81" s="141" t="str">
        <f t="shared" si="75"/>
        <v/>
      </c>
      <c r="G81" s="141" t="str">
        <f t="shared" si="75"/>
        <v/>
      </c>
      <c r="H81" s="141">
        <f t="shared" si="75"/>
        <v>6</v>
      </c>
      <c r="I81" s="141">
        <f t="shared" si="75"/>
        <v>6</v>
      </c>
      <c r="J81" s="141">
        <f t="shared" si="75"/>
        <v>6</v>
      </c>
      <c r="K81" s="141" t="str">
        <f t="shared" si="75"/>
        <v/>
      </c>
      <c r="L81" s="141" t="str">
        <f t="shared" si="75"/>
        <v/>
      </c>
      <c r="M81" s="141">
        <f t="shared" si="75"/>
        <v>7</v>
      </c>
      <c r="N81" s="141">
        <f t="shared" si="75"/>
        <v>7</v>
      </c>
      <c r="O81" s="141" t="str">
        <f t="shared" si="75"/>
        <v/>
      </c>
      <c r="P81" s="141" t="str">
        <f t="shared" si="75"/>
        <v/>
      </c>
      <c r="Q81" s="141" t="str">
        <f t="shared" si="75"/>
        <v/>
      </c>
      <c r="R81" s="141">
        <f t="shared" si="75"/>
        <v>7</v>
      </c>
      <c r="S81" s="141">
        <f t="shared" si="75"/>
        <v>7</v>
      </c>
      <c r="T81" s="141">
        <f t="shared" si="75"/>
        <v>6</v>
      </c>
      <c r="U81" s="141" t="str">
        <f t="shared" si="75"/>
        <v/>
      </c>
      <c r="V81" s="141">
        <f t="shared" si="75"/>
        <v>6</v>
      </c>
      <c r="W81" s="141">
        <f t="shared" si="75"/>
        <v>6</v>
      </c>
      <c r="X81" s="141">
        <f t="shared" si="75"/>
        <v>6</v>
      </c>
      <c r="Y81" s="141">
        <f t="shared" si="75"/>
        <v>6</v>
      </c>
      <c r="Z81" s="141" t="str">
        <f t="shared" si="75"/>
        <v/>
      </c>
      <c r="AA81" s="141">
        <f t="shared" si="75"/>
        <v>7</v>
      </c>
      <c r="AB81" s="141">
        <f t="shared" si="75"/>
        <v>7</v>
      </c>
      <c r="AC81" s="141" t="str">
        <f t="shared" si="75"/>
        <v/>
      </c>
      <c r="AD81" s="141" t="str">
        <f t="shared" si="75"/>
        <v/>
      </c>
      <c r="AE81" s="141" t="str">
        <f t="shared" si="75"/>
        <v/>
      </c>
      <c r="AF81" s="141">
        <f t="shared" si="75"/>
        <v>7</v>
      </c>
      <c r="AG81" s="141" t="str">
        <f t="shared" si="75"/>
        <v/>
      </c>
      <c r="AH81" s="154" t="s">
        <v>12</v>
      </c>
      <c r="AI81" s="133"/>
      <c r="AJ81" s="170"/>
      <c r="AK81" s="133"/>
      <c r="AL81" s="133"/>
    </row>
    <row r="82" spans="1:38" ht="15.95" hidden="1" customHeight="1" x14ac:dyDescent="0.25">
      <c r="A82" s="153"/>
      <c r="B82" s="168" t="s">
        <v>34</v>
      </c>
      <c r="C82" s="169" t="str">
        <f t="shared" ref="C82:AD82" si="76">IF(C12=$R32,$BD32*24,IF(C12=$R33,$BD33*24,IF(C12=$R34,$BD34*24,IF(C12=$R35,$BD35*24,IF(C12=$R36,$BD36*24,IF(C12=$R37,$BD37*24,IF(C12=$R38,$BD38*24,IF(C12=$R39,$BD39*24,IF(C12=$R40,$BD40*24,"")))))))))</f>
        <v/>
      </c>
      <c r="D82" s="169">
        <f t="shared" si="76"/>
        <v>8</v>
      </c>
      <c r="E82" s="169">
        <f t="shared" si="76"/>
        <v>8</v>
      </c>
      <c r="F82" s="169" t="str">
        <f t="shared" si="76"/>
        <v/>
      </c>
      <c r="G82" s="169" t="str">
        <f t="shared" si="76"/>
        <v/>
      </c>
      <c r="H82" s="169">
        <f t="shared" si="76"/>
        <v>8</v>
      </c>
      <c r="I82" s="169">
        <f t="shared" si="76"/>
        <v>8</v>
      </c>
      <c r="J82" s="169">
        <f t="shared" si="76"/>
        <v>8</v>
      </c>
      <c r="K82" s="169" t="str">
        <f t="shared" si="76"/>
        <v/>
      </c>
      <c r="L82" s="169" t="str">
        <f t="shared" si="76"/>
        <v/>
      </c>
      <c r="M82" s="169">
        <f t="shared" si="76"/>
        <v>8</v>
      </c>
      <c r="N82" s="169">
        <f t="shared" si="76"/>
        <v>8</v>
      </c>
      <c r="O82" s="169" t="str">
        <f t="shared" si="76"/>
        <v/>
      </c>
      <c r="P82" s="169" t="str">
        <f t="shared" si="76"/>
        <v/>
      </c>
      <c r="Q82" s="169" t="str">
        <f t="shared" si="76"/>
        <v/>
      </c>
      <c r="R82" s="169">
        <f t="shared" si="76"/>
        <v>8</v>
      </c>
      <c r="S82" s="169">
        <f t="shared" si="76"/>
        <v>8</v>
      </c>
      <c r="T82" s="169">
        <f t="shared" si="76"/>
        <v>8</v>
      </c>
      <c r="U82" s="169" t="str">
        <f t="shared" si="76"/>
        <v/>
      </c>
      <c r="V82" s="169">
        <f t="shared" si="76"/>
        <v>8</v>
      </c>
      <c r="W82" s="169">
        <f t="shared" si="76"/>
        <v>8</v>
      </c>
      <c r="X82" s="169">
        <f t="shared" si="76"/>
        <v>8</v>
      </c>
      <c r="Y82" s="169">
        <f t="shared" si="76"/>
        <v>8</v>
      </c>
      <c r="Z82" s="169" t="str">
        <f t="shared" si="76"/>
        <v/>
      </c>
      <c r="AA82" s="169">
        <f t="shared" si="76"/>
        <v>8</v>
      </c>
      <c r="AB82" s="169">
        <f t="shared" si="76"/>
        <v>8</v>
      </c>
      <c r="AC82" s="169" t="str">
        <f t="shared" si="76"/>
        <v/>
      </c>
      <c r="AD82" s="169" t="str">
        <f t="shared" si="76"/>
        <v/>
      </c>
      <c r="AE82" s="169" t="str">
        <f>IF(AE12=$R32,$BD32*24,IF(AE12=$R33,$BD33*24,IF(AE12=$R34,$BD34*24,IF(AE12=$R35,$BD35*24,IF(AE12=$R36,$BD36*24,IF(AE12=$R37,$BD37*24,IF(AE12=$R38,$BD38*24,IF(AE12=$R39,$BD39*24,IF(AE12=$R40,$BD40*24,"")))))))))</f>
        <v/>
      </c>
      <c r="AF82" s="169">
        <f>IF(AF12=$R32,$BD32*24,IF(AF12=$R33,$BD33*24,IF(AF12=$R34,$BD34*24,IF(AF12=$R35,$BD35*24,IF(AF12=$R36,$BD36*24,IF(AF12=$R37,$BD37*24,IF(AF12=$R38,$BD38*24,IF(AF12=$R39,$BD39*24,IF(AF12=$R40,$BD40*24,"")))))))))</f>
        <v>8</v>
      </c>
      <c r="AG82" s="169" t="str">
        <f>IF(AG12=$R32,$BD32*24,IF(AG12=$R33,$BD33*24,IF(AG12=$R34,$BD34*24,IF(AG12=$R35,$BD35*24,IF(AG12=$R36,$BD36*24,IF(AG12=$R37,$BD37*24,IF(AG12=$R38,$BD38*24,IF(AG12=$R39,$BD39*24,IF(AG12=$R40,$BD40*24,"")))))))))</f>
        <v/>
      </c>
      <c r="AH82" s="148">
        <f>SUM(C82:AG82)</f>
        <v>136</v>
      </c>
      <c r="AI82" s="133"/>
      <c r="AJ82" s="170"/>
      <c r="AK82" s="133"/>
      <c r="AL82" s="133"/>
    </row>
    <row r="83" spans="1:38" ht="15.95" hidden="1" customHeight="1" x14ac:dyDescent="0.25">
      <c r="A83" s="153"/>
      <c r="B83" s="167" t="s">
        <v>59</v>
      </c>
      <c r="C83" s="141">
        <f t="shared" ref="C83:AG83" si="77">IF(C12="V",$C36,IF(C12="PR",$C38,0))</f>
        <v>0</v>
      </c>
      <c r="D83" s="141">
        <f t="shared" si="77"/>
        <v>0</v>
      </c>
      <c r="E83" s="141">
        <f t="shared" si="77"/>
        <v>0</v>
      </c>
      <c r="F83" s="141">
        <f t="shared" si="77"/>
        <v>0</v>
      </c>
      <c r="G83" s="141">
        <f t="shared" si="77"/>
        <v>0</v>
      </c>
      <c r="H83" s="141">
        <f t="shared" si="77"/>
        <v>0</v>
      </c>
      <c r="I83" s="141">
        <f t="shared" si="77"/>
        <v>0</v>
      </c>
      <c r="J83" s="141">
        <f t="shared" si="77"/>
        <v>0</v>
      </c>
      <c r="K83" s="141">
        <f t="shared" si="77"/>
        <v>0</v>
      </c>
      <c r="L83" s="141">
        <f t="shared" si="77"/>
        <v>0</v>
      </c>
      <c r="M83" s="141">
        <f t="shared" si="77"/>
        <v>0</v>
      </c>
      <c r="N83" s="141">
        <f t="shared" si="77"/>
        <v>0</v>
      </c>
      <c r="O83" s="141">
        <f t="shared" si="77"/>
        <v>0</v>
      </c>
      <c r="P83" s="141">
        <f t="shared" si="77"/>
        <v>0</v>
      </c>
      <c r="Q83" s="141">
        <f t="shared" si="77"/>
        <v>0</v>
      </c>
      <c r="R83" s="141">
        <f t="shared" si="77"/>
        <v>0</v>
      </c>
      <c r="S83" s="141">
        <f t="shared" si="77"/>
        <v>0</v>
      </c>
      <c r="T83" s="141">
        <f t="shared" si="77"/>
        <v>0</v>
      </c>
      <c r="U83" s="141">
        <f t="shared" si="77"/>
        <v>0</v>
      </c>
      <c r="V83" s="141">
        <f t="shared" si="77"/>
        <v>0</v>
      </c>
      <c r="W83" s="141">
        <f t="shared" si="77"/>
        <v>0</v>
      </c>
      <c r="X83" s="141">
        <f t="shared" si="77"/>
        <v>0</v>
      </c>
      <c r="Y83" s="141">
        <f t="shared" si="77"/>
        <v>0</v>
      </c>
      <c r="Z83" s="141">
        <f t="shared" si="77"/>
        <v>0</v>
      </c>
      <c r="AA83" s="141">
        <f t="shared" si="77"/>
        <v>0</v>
      </c>
      <c r="AB83" s="141">
        <f t="shared" si="77"/>
        <v>0</v>
      </c>
      <c r="AC83" s="141">
        <f t="shared" si="77"/>
        <v>0</v>
      </c>
      <c r="AD83" s="141">
        <f t="shared" si="77"/>
        <v>0</v>
      </c>
      <c r="AE83" s="141">
        <f t="shared" si="77"/>
        <v>0</v>
      </c>
      <c r="AF83" s="141">
        <f t="shared" si="77"/>
        <v>0</v>
      </c>
      <c r="AG83" s="141">
        <f t="shared" si="77"/>
        <v>0</v>
      </c>
      <c r="AH83" s="226">
        <f>SUM(C83:AG83)</f>
        <v>0</v>
      </c>
      <c r="AI83" s="226"/>
      <c r="AJ83" s="170" t="s">
        <v>12</v>
      </c>
      <c r="AK83" s="133"/>
      <c r="AL83" s="133"/>
    </row>
    <row r="84" spans="1:38" ht="15.95" hidden="1" customHeight="1" x14ac:dyDescent="0.25">
      <c r="A84" s="150" t="s">
        <v>60</v>
      </c>
      <c r="B84" s="167" t="s">
        <v>61</v>
      </c>
      <c r="C84" s="151">
        <f t="shared" ref="C84:AD84" si="78">IF(C12=$R32,$BC32,IF(C12=$R33,$BC33,IF(C12=$R34,$BC34,IF(C12=$R35,$BC35,IF(C12=$R36,$BC36,IF(C12=$R37,$BC37,IF(C12=$R38,$BC38,IF(C12=$R39,$BC39,IF(C12=$R40,$BC40,0)))))))))</f>
        <v>0</v>
      </c>
      <c r="D84" s="151">
        <f t="shared" si="78"/>
        <v>12</v>
      </c>
      <c r="E84" s="151">
        <f t="shared" si="78"/>
        <v>12</v>
      </c>
      <c r="F84" s="151">
        <f t="shared" si="78"/>
        <v>0</v>
      </c>
      <c r="G84" s="151">
        <f t="shared" si="78"/>
        <v>0</v>
      </c>
      <c r="H84" s="151">
        <f t="shared" si="78"/>
        <v>7.9999999999999716</v>
      </c>
      <c r="I84" s="151">
        <f t="shared" si="78"/>
        <v>7.9999999999999716</v>
      </c>
      <c r="J84" s="151">
        <f t="shared" si="78"/>
        <v>7.9999999999999716</v>
      </c>
      <c r="K84" s="151">
        <f t="shared" si="78"/>
        <v>0</v>
      </c>
      <c r="L84" s="151">
        <f t="shared" si="78"/>
        <v>0</v>
      </c>
      <c r="M84" s="151">
        <f t="shared" si="78"/>
        <v>12</v>
      </c>
      <c r="N84" s="151">
        <f t="shared" si="78"/>
        <v>12</v>
      </c>
      <c r="O84" s="151">
        <f t="shared" si="78"/>
        <v>0</v>
      </c>
      <c r="P84" s="151">
        <f t="shared" si="78"/>
        <v>0</v>
      </c>
      <c r="Q84" s="151">
        <f t="shared" si="78"/>
        <v>0</v>
      </c>
      <c r="R84" s="151">
        <f t="shared" si="78"/>
        <v>12</v>
      </c>
      <c r="S84" s="151">
        <f t="shared" si="78"/>
        <v>12</v>
      </c>
      <c r="T84" s="151">
        <f t="shared" si="78"/>
        <v>7.9999999999999716</v>
      </c>
      <c r="U84" s="151">
        <f t="shared" si="78"/>
        <v>0</v>
      </c>
      <c r="V84" s="151">
        <f t="shared" si="78"/>
        <v>7.9999999999999716</v>
      </c>
      <c r="W84" s="151">
        <f t="shared" si="78"/>
        <v>7.9999999999999716</v>
      </c>
      <c r="X84" s="151">
        <f t="shared" si="78"/>
        <v>7.9999999999999716</v>
      </c>
      <c r="Y84" s="151">
        <f t="shared" si="78"/>
        <v>7.9999999999999716</v>
      </c>
      <c r="Z84" s="151">
        <f t="shared" si="78"/>
        <v>0</v>
      </c>
      <c r="AA84" s="151">
        <f t="shared" si="78"/>
        <v>12</v>
      </c>
      <c r="AB84" s="151">
        <f t="shared" si="78"/>
        <v>12</v>
      </c>
      <c r="AC84" s="151">
        <f t="shared" si="78"/>
        <v>0</v>
      </c>
      <c r="AD84" s="151">
        <f t="shared" si="78"/>
        <v>0</v>
      </c>
      <c r="AE84" s="151">
        <f>IF(AE12=$R32,$BC32,IF(AE12=$R33,$BC33,IF(AE12=$R34,$BC34,IF(AE12=$R35,$BC35,IF(AE12=$R36,$BC36,IF(AE12=$R37,$BC37,IF(AE12=$R38,$BC38,IF(AE12=$R39,$BC39,IF(AE12=$R40,$BC40,0)))))))))</f>
        <v>0</v>
      </c>
      <c r="AF84" s="151">
        <f>IF(AF12=$R32,$BC32,IF(AF12=$R33,$BC33,IF(AF12=$R34,$BC34,IF(AF12=$R35,$BC35,IF(AF12=$R36,$BC36,IF(AF12=$R37,$BC37,IF(AF12=$R38,$BC38,IF(AF12=$R39,$BC39,IF(AF12=$R40,$BC40,0)))))))))</f>
        <v>12</v>
      </c>
      <c r="AG84" s="151">
        <f>IF(AG12=$R32,$BC32,IF(AG12=$R33,$BC33,IF(AG12=$R34,$BC34,IF(AG12=$R35,$BC35,IF(AG12=$R36,$BC36,IF(AG12=$R37,$BC37,IF(AG12=$R38,$BC38,IF(AG12=$R39,$BC39,IF(AG12=$R40,$BC40,0)))))))))</f>
        <v>0</v>
      </c>
      <c r="AH84" s="226">
        <f>SUM(C84:AG84)</f>
        <v>171.99999999999977</v>
      </c>
      <c r="AI84" s="226"/>
      <c r="AJ84" s="175" t="s">
        <v>62</v>
      </c>
      <c r="AK84" s="133" t="s">
        <v>12</v>
      </c>
      <c r="AL84" s="133"/>
    </row>
    <row r="85" spans="1:38" ht="15.95" hidden="1" customHeight="1" x14ac:dyDescent="0.25">
      <c r="A85" s="153" t="s">
        <v>48</v>
      </c>
      <c r="B85" s="149" t="s">
        <v>63</v>
      </c>
      <c r="C85" s="141">
        <f t="shared" ref="C85:AG85" si="79">IF(C46=1,IF(C80&lt;C81,C84,0))</f>
        <v>0</v>
      </c>
      <c r="D85" s="141" t="b">
        <f t="shared" si="79"/>
        <v>0</v>
      </c>
      <c r="E85" s="141" t="b">
        <f t="shared" si="79"/>
        <v>0</v>
      </c>
      <c r="F85" s="141" t="b">
        <f t="shared" si="79"/>
        <v>0</v>
      </c>
      <c r="G85" s="141" t="b">
        <f t="shared" si="79"/>
        <v>0</v>
      </c>
      <c r="H85" s="141" t="b">
        <f t="shared" si="79"/>
        <v>0</v>
      </c>
      <c r="I85" s="141">
        <f t="shared" si="79"/>
        <v>0</v>
      </c>
      <c r="J85" s="141">
        <f t="shared" si="79"/>
        <v>0</v>
      </c>
      <c r="K85" s="141" t="b">
        <f t="shared" si="79"/>
        <v>0</v>
      </c>
      <c r="L85" s="141" t="b">
        <f t="shared" si="79"/>
        <v>0</v>
      </c>
      <c r="M85" s="141" t="b">
        <f t="shared" si="79"/>
        <v>0</v>
      </c>
      <c r="N85" s="141" t="b">
        <f t="shared" si="79"/>
        <v>0</v>
      </c>
      <c r="O85" s="141" t="b">
        <f t="shared" si="79"/>
        <v>0</v>
      </c>
      <c r="P85" s="141">
        <f t="shared" si="79"/>
        <v>0</v>
      </c>
      <c r="Q85" s="141">
        <f t="shared" si="79"/>
        <v>0</v>
      </c>
      <c r="R85" s="141" t="b">
        <f t="shared" si="79"/>
        <v>0</v>
      </c>
      <c r="S85" s="141" t="b">
        <f t="shared" si="79"/>
        <v>0</v>
      </c>
      <c r="T85" s="141" t="b">
        <f t="shared" si="79"/>
        <v>0</v>
      </c>
      <c r="U85" s="141" t="b">
        <f t="shared" si="79"/>
        <v>0</v>
      </c>
      <c r="V85" s="141" t="b">
        <f t="shared" si="79"/>
        <v>0</v>
      </c>
      <c r="W85" s="141">
        <f t="shared" si="79"/>
        <v>0</v>
      </c>
      <c r="X85" s="141">
        <f t="shared" si="79"/>
        <v>0</v>
      </c>
      <c r="Y85" s="141" t="b">
        <f t="shared" si="79"/>
        <v>0</v>
      </c>
      <c r="Z85" s="141" t="b">
        <f t="shared" si="79"/>
        <v>0</v>
      </c>
      <c r="AA85" s="141" t="b">
        <f t="shared" si="79"/>
        <v>0</v>
      </c>
      <c r="AB85" s="141" t="b">
        <f t="shared" si="79"/>
        <v>0</v>
      </c>
      <c r="AC85" s="141" t="b">
        <f t="shared" si="79"/>
        <v>0</v>
      </c>
      <c r="AD85" s="141">
        <f t="shared" si="79"/>
        <v>0</v>
      </c>
      <c r="AE85" s="141">
        <f t="shared" si="79"/>
        <v>0</v>
      </c>
      <c r="AF85" s="141" t="b">
        <f t="shared" si="79"/>
        <v>0</v>
      </c>
      <c r="AG85" s="141" t="b">
        <f t="shared" si="79"/>
        <v>0</v>
      </c>
      <c r="AH85" s="154" t="s">
        <v>12</v>
      </c>
      <c r="AI85" s="133"/>
      <c r="AJ85" s="170"/>
      <c r="AK85" s="133"/>
      <c r="AL85" s="133"/>
    </row>
    <row r="86" spans="1:38" ht="15.95" hidden="1" customHeight="1" x14ac:dyDescent="0.25">
      <c r="A86" s="176"/>
      <c r="B86" s="149" t="s">
        <v>64</v>
      </c>
      <c r="C86" s="141">
        <f t="shared" ref="C86:AG86" si="80">IF(C46=1,IF(C80&gt;C81,24-C80,0),0)</f>
        <v>0</v>
      </c>
      <c r="D86" s="141">
        <f t="shared" si="80"/>
        <v>0</v>
      </c>
      <c r="E86" s="141">
        <f t="shared" si="80"/>
        <v>0</v>
      </c>
      <c r="F86" s="141">
        <f t="shared" si="80"/>
        <v>0</v>
      </c>
      <c r="G86" s="141">
        <f t="shared" si="80"/>
        <v>0</v>
      </c>
      <c r="H86" s="141">
        <f t="shared" si="80"/>
        <v>0</v>
      </c>
      <c r="I86" s="141">
        <f t="shared" si="80"/>
        <v>2</v>
      </c>
      <c r="J86" s="141">
        <f t="shared" si="80"/>
        <v>2</v>
      </c>
      <c r="K86" s="141">
        <f t="shared" si="80"/>
        <v>0</v>
      </c>
      <c r="L86" s="141">
        <f t="shared" si="80"/>
        <v>0</v>
      </c>
      <c r="M86" s="141">
        <f t="shared" si="80"/>
        <v>0</v>
      </c>
      <c r="N86" s="141">
        <f t="shared" si="80"/>
        <v>0</v>
      </c>
      <c r="O86" s="141">
        <f t="shared" si="80"/>
        <v>0</v>
      </c>
      <c r="P86" s="141">
        <f t="shared" si="80"/>
        <v>0</v>
      </c>
      <c r="Q86" s="141">
        <f t="shared" si="80"/>
        <v>0</v>
      </c>
      <c r="R86" s="141">
        <f t="shared" si="80"/>
        <v>0</v>
      </c>
      <c r="S86" s="141">
        <f t="shared" si="80"/>
        <v>0</v>
      </c>
      <c r="T86" s="141">
        <f t="shared" si="80"/>
        <v>0</v>
      </c>
      <c r="U86" s="141">
        <f t="shared" si="80"/>
        <v>0</v>
      </c>
      <c r="V86" s="141">
        <f t="shared" si="80"/>
        <v>0</v>
      </c>
      <c r="W86" s="141">
        <f t="shared" si="80"/>
        <v>2</v>
      </c>
      <c r="X86" s="141">
        <f t="shared" si="80"/>
        <v>2</v>
      </c>
      <c r="Y86" s="141">
        <f t="shared" si="80"/>
        <v>0</v>
      </c>
      <c r="Z86" s="141">
        <f t="shared" si="80"/>
        <v>0</v>
      </c>
      <c r="AA86" s="141">
        <f t="shared" si="80"/>
        <v>0</v>
      </c>
      <c r="AB86" s="141">
        <f t="shared" si="80"/>
        <v>0</v>
      </c>
      <c r="AC86" s="141">
        <f t="shared" si="80"/>
        <v>0</v>
      </c>
      <c r="AD86" s="141">
        <f t="shared" si="80"/>
        <v>0</v>
      </c>
      <c r="AE86" s="141">
        <f t="shared" si="80"/>
        <v>0</v>
      </c>
      <c r="AF86" s="141">
        <f t="shared" si="80"/>
        <v>0</v>
      </c>
      <c r="AG86" s="141">
        <f t="shared" si="80"/>
        <v>0</v>
      </c>
      <c r="AH86" s="154" t="s">
        <v>12</v>
      </c>
      <c r="AI86" s="133"/>
      <c r="AJ86" s="170"/>
      <c r="AK86" s="133"/>
      <c r="AL86" s="133"/>
    </row>
    <row r="87" spans="1:38" ht="15.95" hidden="1" customHeight="1" x14ac:dyDescent="0.25">
      <c r="A87" s="176"/>
      <c r="B87" s="149" t="s">
        <v>65</v>
      </c>
      <c r="C87" s="141">
        <f t="shared" ref="C87:AG87" si="81">IF(D46=1,IF(C80&gt;C81,C81,0),0)</f>
        <v>0</v>
      </c>
      <c r="D87" s="141">
        <f t="shared" si="81"/>
        <v>0</v>
      </c>
      <c r="E87" s="141">
        <f t="shared" si="81"/>
        <v>0</v>
      </c>
      <c r="F87" s="141">
        <f t="shared" si="81"/>
        <v>0</v>
      </c>
      <c r="G87" s="141">
        <f t="shared" si="81"/>
        <v>0</v>
      </c>
      <c r="H87" s="141">
        <f t="shared" si="81"/>
        <v>6</v>
      </c>
      <c r="I87" s="141">
        <f t="shared" si="81"/>
        <v>6</v>
      </c>
      <c r="J87" s="141">
        <f t="shared" si="81"/>
        <v>0</v>
      </c>
      <c r="K87" s="141">
        <f t="shared" si="81"/>
        <v>0</v>
      </c>
      <c r="L87" s="141">
        <f t="shared" si="81"/>
        <v>0</v>
      </c>
      <c r="M87" s="141">
        <f t="shared" si="81"/>
        <v>0</v>
      </c>
      <c r="N87" s="141">
        <f t="shared" si="81"/>
        <v>0</v>
      </c>
      <c r="O87" s="141">
        <f t="shared" si="81"/>
        <v>0</v>
      </c>
      <c r="P87" s="141">
        <f t="shared" si="81"/>
        <v>0</v>
      </c>
      <c r="Q87" s="141">
        <f t="shared" si="81"/>
        <v>0</v>
      </c>
      <c r="R87" s="141">
        <f t="shared" si="81"/>
        <v>0</v>
      </c>
      <c r="S87" s="141">
        <f t="shared" si="81"/>
        <v>0</v>
      </c>
      <c r="T87" s="141">
        <f t="shared" si="81"/>
        <v>0</v>
      </c>
      <c r="U87" s="141">
        <f t="shared" si="81"/>
        <v>0</v>
      </c>
      <c r="V87" s="141">
        <f t="shared" si="81"/>
        <v>6</v>
      </c>
      <c r="W87" s="141">
        <f t="shared" si="81"/>
        <v>6</v>
      </c>
      <c r="X87" s="141">
        <f>IF(Y46=1,IF(X80&gt;X81,X81,0),0)</f>
        <v>0</v>
      </c>
      <c r="Y87" s="141">
        <f t="shared" si="81"/>
        <v>0</v>
      </c>
      <c r="Z87" s="141">
        <f t="shared" si="81"/>
        <v>0</v>
      </c>
      <c r="AA87" s="141">
        <f t="shared" si="81"/>
        <v>0</v>
      </c>
      <c r="AB87" s="141">
        <f t="shared" si="81"/>
        <v>0</v>
      </c>
      <c r="AC87" s="141">
        <f t="shared" si="81"/>
        <v>0</v>
      </c>
      <c r="AD87" s="141">
        <f t="shared" si="81"/>
        <v>0</v>
      </c>
      <c r="AE87" s="141">
        <f t="shared" si="81"/>
        <v>0</v>
      </c>
      <c r="AF87" s="141">
        <f t="shared" si="81"/>
        <v>0</v>
      </c>
      <c r="AG87" s="141">
        <f t="shared" si="81"/>
        <v>0</v>
      </c>
      <c r="AH87" s="154" t="s">
        <v>12</v>
      </c>
      <c r="AI87" s="133"/>
      <c r="AJ87" s="170"/>
      <c r="AK87" s="133"/>
      <c r="AL87" s="133"/>
    </row>
    <row r="88" spans="1:38" ht="15.95" hidden="1" customHeight="1" x14ac:dyDescent="0.25">
      <c r="A88" s="176"/>
      <c r="B88" s="149" t="s">
        <v>67</v>
      </c>
      <c r="C88" s="171">
        <f t="shared" ref="C88:AG88" si="82">SUM(C85:C87)</f>
        <v>0</v>
      </c>
      <c r="D88" s="171">
        <f t="shared" si="82"/>
        <v>0</v>
      </c>
      <c r="E88" s="171">
        <f t="shared" si="82"/>
        <v>0</v>
      </c>
      <c r="F88" s="171">
        <f t="shared" si="82"/>
        <v>0</v>
      </c>
      <c r="G88" s="171">
        <f t="shared" si="82"/>
        <v>0</v>
      </c>
      <c r="H88" s="171">
        <f t="shared" si="82"/>
        <v>6</v>
      </c>
      <c r="I88" s="171">
        <f t="shared" si="82"/>
        <v>8</v>
      </c>
      <c r="J88" s="171">
        <f t="shared" si="82"/>
        <v>2</v>
      </c>
      <c r="K88" s="171">
        <f t="shared" si="82"/>
        <v>0</v>
      </c>
      <c r="L88" s="171">
        <f t="shared" si="82"/>
        <v>0</v>
      </c>
      <c r="M88" s="171">
        <f t="shared" si="82"/>
        <v>0</v>
      </c>
      <c r="N88" s="171">
        <f t="shared" si="82"/>
        <v>0</v>
      </c>
      <c r="O88" s="171">
        <f t="shared" si="82"/>
        <v>0</v>
      </c>
      <c r="P88" s="171">
        <f t="shared" si="82"/>
        <v>0</v>
      </c>
      <c r="Q88" s="171">
        <f t="shared" si="82"/>
        <v>0</v>
      </c>
      <c r="R88" s="171">
        <f t="shared" si="82"/>
        <v>0</v>
      </c>
      <c r="S88" s="171">
        <f t="shared" si="82"/>
        <v>0</v>
      </c>
      <c r="T88" s="171">
        <f t="shared" si="82"/>
        <v>0</v>
      </c>
      <c r="U88" s="171">
        <f t="shared" si="82"/>
        <v>0</v>
      </c>
      <c r="V88" s="171">
        <f t="shared" si="82"/>
        <v>6</v>
      </c>
      <c r="W88" s="171">
        <f t="shared" si="82"/>
        <v>8</v>
      </c>
      <c r="X88" s="171">
        <f t="shared" si="82"/>
        <v>2</v>
      </c>
      <c r="Y88" s="171">
        <f t="shared" si="82"/>
        <v>0</v>
      </c>
      <c r="Z88" s="171">
        <f t="shared" si="82"/>
        <v>0</v>
      </c>
      <c r="AA88" s="171">
        <f t="shared" si="82"/>
        <v>0</v>
      </c>
      <c r="AB88" s="171">
        <f t="shared" si="82"/>
        <v>0</v>
      </c>
      <c r="AC88" s="171">
        <f t="shared" si="82"/>
        <v>0</v>
      </c>
      <c r="AD88" s="171">
        <f t="shared" si="82"/>
        <v>0</v>
      </c>
      <c r="AE88" s="171">
        <f t="shared" si="82"/>
        <v>0</v>
      </c>
      <c r="AF88" s="171">
        <f t="shared" si="82"/>
        <v>0</v>
      </c>
      <c r="AG88" s="171">
        <f t="shared" si="82"/>
        <v>0</v>
      </c>
      <c r="AH88" s="154" t="s">
        <v>12</v>
      </c>
      <c r="AI88" s="133"/>
      <c r="AJ88" s="170"/>
      <c r="AK88" s="133"/>
      <c r="AL88" s="133"/>
    </row>
    <row r="89" spans="1:38" ht="15.95" hidden="1" customHeight="1" x14ac:dyDescent="0.25">
      <c r="A89" s="177"/>
      <c r="B89" s="160" t="s">
        <v>68</v>
      </c>
      <c r="C89" s="161">
        <f t="shared" ref="C89:AG89" si="83">IF(C12="V",IF(C12="",0,1),0)</f>
        <v>0</v>
      </c>
      <c r="D89" s="161">
        <f t="shared" si="83"/>
        <v>0</v>
      </c>
      <c r="E89" s="161">
        <f t="shared" si="83"/>
        <v>0</v>
      </c>
      <c r="F89" s="161">
        <f t="shared" si="83"/>
        <v>0</v>
      </c>
      <c r="G89" s="161">
        <f t="shared" si="83"/>
        <v>0</v>
      </c>
      <c r="H89" s="161">
        <f t="shared" si="83"/>
        <v>0</v>
      </c>
      <c r="I89" s="161">
        <f t="shared" si="83"/>
        <v>0</v>
      </c>
      <c r="J89" s="161">
        <f t="shared" si="83"/>
        <v>0</v>
      </c>
      <c r="K89" s="161">
        <f t="shared" si="83"/>
        <v>0</v>
      </c>
      <c r="L89" s="161">
        <f t="shared" si="83"/>
        <v>0</v>
      </c>
      <c r="M89" s="161">
        <f t="shared" si="83"/>
        <v>0</v>
      </c>
      <c r="N89" s="161">
        <f t="shared" si="83"/>
        <v>0</v>
      </c>
      <c r="O89" s="161">
        <f t="shared" si="83"/>
        <v>0</v>
      </c>
      <c r="P89" s="161">
        <f t="shared" si="83"/>
        <v>0</v>
      </c>
      <c r="Q89" s="161">
        <f t="shared" si="83"/>
        <v>0</v>
      </c>
      <c r="R89" s="161">
        <f t="shared" si="83"/>
        <v>0</v>
      </c>
      <c r="S89" s="161">
        <f t="shared" si="83"/>
        <v>0</v>
      </c>
      <c r="T89" s="161">
        <f t="shared" si="83"/>
        <v>0</v>
      </c>
      <c r="U89" s="161">
        <f t="shared" si="83"/>
        <v>0</v>
      </c>
      <c r="V89" s="161">
        <f t="shared" si="83"/>
        <v>0</v>
      </c>
      <c r="W89" s="161">
        <f t="shared" si="83"/>
        <v>0</v>
      </c>
      <c r="X89" s="161">
        <f t="shared" si="83"/>
        <v>0</v>
      </c>
      <c r="Y89" s="161">
        <f t="shared" si="83"/>
        <v>0</v>
      </c>
      <c r="Z89" s="161">
        <f t="shared" si="83"/>
        <v>0</v>
      </c>
      <c r="AA89" s="161">
        <f t="shared" si="83"/>
        <v>0</v>
      </c>
      <c r="AB89" s="161">
        <f t="shared" si="83"/>
        <v>0</v>
      </c>
      <c r="AC89" s="161">
        <f t="shared" si="83"/>
        <v>0</v>
      </c>
      <c r="AD89" s="161">
        <f t="shared" si="83"/>
        <v>0</v>
      </c>
      <c r="AE89" s="161">
        <f t="shared" si="83"/>
        <v>0</v>
      </c>
      <c r="AF89" s="161">
        <f t="shared" si="83"/>
        <v>0</v>
      </c>
      <c r="AG89" s="161">
        <f t="shared" si="83"/>
        <v>0</v>
      </c>
      <c r="AH89" s="154"/>
      <c r="AI89" s="133"/>
      <c r="AJ89" s="170"/>
      <c r="AK89" s="133"/>
      <c r="AL89" s="133"/>
    </row>
    <row r="90" spans="1:38" ht="15.95" hidden="1" customHeight="1" x14ac:dyDescent="0.25">
      <c r="A90" s="173"/>
      <c r="B90" s="130" t="s">
        <v>16</v>
      </c>
      <c r="C90" s="163">
        <f t="shared" ref="C90:AG90" si="84">IF(C12="PR",IF(C12="",0,1),0)</f>
        <v>0</v>
      </c>
      <c r="D90" s="163">
        <f t="shared" si="84"/>
        <v>0</v>
      </c>
      <c r="E90" s="163">
        <f t="shared" si="84"/>
        <v>0</v>
      </c>
      <c r="F90" s="163">
        <f t="shared" si="84"/>
        <v>0</v>
      </c>
      <c r="G90" s="163">
        <f t="shared" si="84"/>
        <v>0</v>
      </c>
      <c r="H90" s="163">
        <f t="shared" si="84"/>
        <v>0</v>
      </c>
      <c r="I90" s="163">
        <f t="shared" si="84"/>
        <v>0</v>
      </c>
      <c r="J90" s="163">
        <f t="shared" si="84"/>
        <v>0</v>
      </c>
      <c r="K90" s="163">
        <f t="shared" si="84"/>
        <v>0</v>
      </c>
      <c r="L90" s="163">
        <f t="shared" si="84"/>
        <v>0</v>
      </c>
      <c r="M90" s="163">
        <f t="shared" si="84"/>
        <v>0</v>
      </c>
      <c r="N90" s="163">
        <f t="shared" si="84"/>
        <v>0</v>
      </c>
      <c r="O90" s="163">
        <f t="shared" si="84"/>
        <v>0</v>
      </c>
      <c r="P90" s="163">
        <f t="shared" si="84"/>
        <v>0</v>
      </c>
      <c r="Q90" s="163">
        <f t="shared" si="84"/>
        <v>0</v>
      </c>
      <c r="R90" s="163">
        <f t="shared" si="84"/>
        <v>0</v>
      </c>
      <c r="S90" s="163">
        <f t="shared" si="84"/>
        <v>0</v>
      </c>
      <c r="T90" s="163">
        <f t="shared" si="84"/>
        <v>0</v>
      </c>
      <c r="U90" s="163">
        <f t="shared" si="84"/>
        <v>0</v>
      </c>
      <c r="V90" s="163">
        <f t="shared" si="84"/>
        <v>0</v>
      </c>
      <c r="W90" s="163">
        <f t="shared" si="84"/>
        <v>0</v>
      </c>
      <c r="X90" s="163">
        <f t="shared" si="84"/>
        <v>0</v>
      </c>
      <c r="Y90" s="163">
        <f t="shared" si="84"/>
        <v>0</v>
      </c>
      <c r="Z90" s="163">
        <f t="shared" si="84"/>
        <v>0</v>
      </c>
      <c r="AA90" s="163">
        <f t="shared" si="84"/>
        <v>0</v>
      </c>
      <c r="AB90" s="163">
        <f t="shared" si="84"/>
        <v>0</v>
      </c>
      <c r="AC90" s="163">
        <f t="shared" si="84"/>
        <v>0</v>
      </c>
      <c r="AD90" s="163">
        <f t="shared" si="84"/>
        <v>0</v>
      </c>
      <c r="AE90" s="163">
        <f t="shared" si="84"/>
        <v>0</v>
      </c>
      <c r="AF90" s="163">
        <f t="shared" si="84"/>
        <v>0</v>
      </c>
      <c r="AG90" s="163">
        <f t="shared" si="84"/>
        <v>0</v>
      </c>
      <c r="AH90" s="229">
        <f>SUM(C90:AG90)</f>
        <v>0</v>
      </c>
      <c r="AI90" s="229"/>
      <c r="AJ90" s="174" t="s">
        <v>69</v>
      </c>
      <c r="AK90" s="133"/>
      <c r="AL90" s="133"/>
    </row>
    <row r="91" spans="1:38" ht="15.95" hidden="1" customHeight="1" x14ac:dyDescent="0.25">
      <c r="A91" s="164" t="s">
        <v>77</v>
      </c>
      <c r="B91" s="165" t="s">
        <v>29</v>
      </c>
      <c r="C91" s="141" t="str">
        <f t="shared" ref="C91:AG91" si="85">IF(C13=$R32,$S32*24,IF(C13=$R33,$S33*24,IF(C13=$R34,$S34*24,IF(C13=$R35,$S35*24,IF(C13=$R36,$S36*24,IF(C13=$R37,$S37*24,IF(C13=$R38,$S38*24,IF(C13=$R39,$S39*24,IF(C13=$R40,$S40*24,"")))))))))</f>
        <v/>
      </c>
      <c r="D91" s="141">
        <f t="shared" si="85"/>
        <v>6</v>
      </c>
      <c r="E91" s="141">
        <f t="shared" si="85"/>
        <v>6</v>
      </c>
      <c r="F91" s="141" t="str">
        <f t="shared" si="85"/>
        <v/>
      </c>
      <c r="G91" s="141">
        <f t="shared" si="85"/>
        <v>6</v>
      </c>
      <c r="H91" s="141">
        <f t="shared" si="85"/>
        <v>6</v>
      </c>
      <c r="I91" s="141">
        <f t="shared" si="85"/>
        <v>6</v>
      </c>
      <c r="J91" s="141">
        <f t="shared" si="85"/>
        <v>6</v>
      </c>
      <c r="K91" s="141" t="str">
        <f t="shared" si="85"/>
        <v/>
      </c>
      <c r="L91" s="141" t="str">
        <f t="shared" si="85"/>
        <v/>
      </c>
      <c r="M91" s="141">
        <f t="shared" si="85"/>
        <v>6</v>
      </c>
      <c r="N91" s="141">
        <f t="shared" si="85"/>
        <v>6</v>
      </c>
      <c r="O91" s="141" t="str">
        <f t="shared" si="85"/>
        <v/>
      </c>
      <c r="P91" s="141" t="str">
        <f t="shared" si="85"/>
        <v/>
      </c>
      <c r="Q91" s="141" t="str">
        <f t="shared" si="85"/>
        <v/>
      </c>
      <c r="R91" s="141">
        <f t="shared" si="85"/>
        <v>6</v>
      </c>
      <c r="S91" s="141">
        <f t="shared" si="85"/>
        <v>6</v>
      </c>
      <c r="T91" s="141" t="str">
        <f t="shared" si="85"/>
        <v/>
      </c>
      <c r="U91" s="141" t="str">
        <f t="shared" si="85"/>
        <v/>
      </c>
      <c r="V91" s="141">
        <f t="shared" si="85"/>
        <v>6</v>
      </c>
      <c r="W91" s="141">
        <f t="shared" si="85"/>
        <v>6</v>
      </c>
      <c r="X91" s="141">
        <f t="shared" si="85"/>
        <v>6</v>
      </c>
      <c r="Y91" s="141" t="str">
        <f t="shared" si="85"/>
        <v/>
      </c>
      <c r="Z91" s="141" t="str">
        <f t="shared" si="85"/>
        <v/>
      </c>
      <c r="AA91" s="141">
        <f t="shared" si="85"/>
        <v>6</v>
      </c>
      <c r="AB91" s="141">
        <f t="shared" si="85"/>
        <v>6</v>
      </c>
      <c r="AC91" s="141" t="str">
        <f t="shared" si="85"/>
        <v/>
      </c>
      <c r="AD91" s="141" t="str">
        <f t="shared" si="85"/>
        <v/>
      </c>
      <c r="AE91" s="141" t="str">
        <f t="shared" si="85"/>
        <v/>
      </c>
      <c r="AF91" s="141">
        <f t="shared" si="85"/>
        <v>6</v>
      </c>
      <c r="AG91" s="141" t="str">
        <f t="shared" si="85"/>
        <v/>
      </c>
      <c r="AH91" s="154" t="s">
        <v>12</v>
      </c>
      <c r="AI91" s="133"/>
      <c r="AJ91" s="170"/>
      <c r="AK91" s="133"/>
      <c r="AL91" s="133"/>
    </row>
    <row r="92" spans="1:38" ht="15.95" hidden="1" customHeight="1" x14ac:dyDescent="0.25">
      <c r="A92" s="166" t="s">
        <v>78</v>
      </c>
      <c r="B92" s="167" t="s">
        <v>30</v>
      </c>
      <c r="C92" s="141" t="str">
        <f t="shared" ref="C92:AG92" si="86">IF(C13=$R32,$V32*24,IF(C13=$R33,$V33*24,IF(C13=$R34,$V34*24,IF(C13=$R35,$V35*24,IF(C13=$R36,$V36*24,IF(C13=$R37,$V37*24,IF(C13=$R38,$V38*24,IF(C13=$R39,$V39*24,IF(C13=$R40,$V40*24,"")))))))))</f>
        <v/>
      </c>
      <c r="D92" s="141">
        <f t="shared" si="86"/>
        <v>18</v>
      </c>
      <c r="E92" s="141">
        <f t="shared" si="86"/>
        <v>18</v>
      </c>
      <c r="F92" s="141" t="str">
        <f t="shared" si="86"/>
        <v/>
      </c>
      <c r="G92" s="141">
        <f t="shared" si="86"/>
        <v>18</v>
      </c>
      <c r="H92" s="141">
        <f t="shared" si="86"/>
        <v>18</v>
      </c>
      <c r="I92" s="141">
        <f t="shared" si="86"/>
        <v>18</v>
      </c>
      <c r="J92" s="141">
        <f t="shared" si="86"/>
        <v>18</v>
      </c>
      <c r="K92" s="141" t="str">
        <f t="shared" si="86"/>
        <v/>
      </c>
      <c r="L92" s="141" t="str">
        <f t="shared" si="86"/>
        <v/>
      </c>
      <c r="M92" s="141">
        <f t="shared" si="86"/>
        <v>18</v>
      </c>
      <c r="N92" s="141">
        <f t="shared" si="86"/>
        <v>18</v>
      </c>
      <c r="O92" s="141" t="str">
        <f t="shared" si="86"/>
        <v/>
      </c>
      <c r="P92" s="141" t="str">
        <f t="shared" si="86"/>
        <v/>
      </c>
      <c r="Q92" s="141" t="str">
        <f t="shared" si="86"/>
        <v/>
      </c>
      <c r="R92" s="141">
        <f t="shared" si="86"/>
        <v>18</v>
      </c>
      <c r="S92" s="141">
        <f t="shared" si="86"/>
        <v>18</v>
      </c>
      <c r="T92" s="141" t="str">
        <f t="shared" si="86"/>
        <v/>
      </c>
      <c r="U92" s="141" t="str">
        <f t="shared" si="86"/>
        <v/>
      </c>
      <c r="V92" s="141">
        <f t="shared" si="86"/>
        <v>18</v>
      </c>
      <c r="W92" s="141">
        <f t="shared" si="86"/>
        <v>18</v>
      </c>
      <c r="X92" s="141">
        <f t="shared" si="86"/>
        <v>18</v>
      </c>
      <c r="Y92" s="141" t="str">
        <f t="shared" si="86"/>
        <v/>
      </c>
      <c r="Z92" s="141" t="str">
        <f t="shared" si="86"/>
        <v/>
      </c>
      <c r="AA92" s="141">
        <f t="shared" si="86"/>
        <v>18</v>
      </c>
      <c r="AB92" s="141">
        <f t="shared" si="86"/>
        <v>18</v>
      </c>
      <c r="AC92" s="141" t="str">
        <f t="shared" si="86"/>
        <v/>
      </c>
      <c r="AD92" s="141" t="str">
        <f t="shared" si="86"/>
        <v/>
      </c>
      <c r="AE92" s="141" t="str">
        <f t="shared" si="86"/>
        <v/>
      </c>
      <c r="AF92" s="141">
        <f t="shared" si="86"/>
        <v>18</v>
      </c>
      <c r="AG92" s="141" t="str">
        <f t="shared" si="86"/>
        <v/>
      </c>
      <c r="AH92" s="154" t="s">
        <v>12</v>
      </c>
      <c r="AI92" s="133"/>
      <c r="AJ92" s="170"/>
      <c r="AK92" s="133"/>
      <c r="AL92" s="133"/>
    </row>
    <row r="93" spans="1:38" ht="15.95" hidden="1" customHeight="1" x14ac:dyDescent="0.25">
      <c r="A93" s="153"/>
      <c r="B93" s="168" t="s">
        <v>34</v>
      </c>
      <c r="C93" s="169" t="str">
        <f t="shared" ref="C93:AD93" si="87">IF(C13=$R32,$BD32*24,IF(C13=$R33,$BD33*24,IF(C13=$R34,$BD34*24,IF(C13=$R35,$BD35*24,IF(C13=$R36,$BD36*24,IF(C13=$R37,$BD37*24,IF(C13=$R38,$BD38*24,IF(C13=$R39,$BD39*24,IF(C13=$R40,$BD40*24,"")))))))))</f>
        <v/>
      </c>
      <c r="D93" s="169">
        <f t="shared" si="87"/>
        <v>0</v>
      </c>
      <c r="E93" s="169">
        <f t="shared" si="87"/>
        <v>0</v>
      </c>
      <c r="F93" s="169" t="str">
        <f t="shared" si="87"/>
        <v/>
      </c>
      <c r="G93" s="169">
        <f t="shared" si="87"/>
        <v>0</v>
      </c>
      <c r="H93" s="169">
        <f t="shared" si="87"/>
        <v>0</v>
      </c>
      <c r="I93" s="169">
        <f t="shared" si="87"/>
        <v>0</v>
      </c>
      <c r="J93" s="169">
        <f t="shared" si="87"/>
        <v>0</v>
      </c>
      <c r="K93" s="169" t="str">
        <f t="shared" si="87"/>
        <v/>
      </c>
      <c r="L93" s="169" t="str">
        <f t="shared" si="87"/>
        <v/>
      </c>
      <c r="M93" s="169">
        <f t="shared" si="87"/>
        <v>0</v>
      </c>
      <c r="N93" s="169">
        <f t="shared" si="87"/>
        <v>0</v>
      </c>
      <c r="O93" s="169" t="str">
        <f t="shared" si="87"/>
        <v/>
      </c>
      <c r="P93" s="169" t="str">
        <f t="shared" si="87"/>
        <v/>
      </c>
      <c r="Q93" s="169" t="str">
        <f t="shared" si="87"/>
        <v/>
      </c>
      <c r="R93" s="169">
        <f t="shared" si="87"/>
        <v>0</v>
      </c>
      <c r="S93" s="169">
        <f t="shared" si="87"/>
        <v>0</v>
      </c>
      <c r="T93" s="169" t="str">
        <f t="shared" si="87"/>
        <v/>
      </c>
      <c r="U93" s="169" t="str">
        <f t="shared" si="87"/>
        <v/>
      </c>
      <c r="V93" s="169">
        <f t="shared" si="87"/>
        <v>0</v>
      </c>
      <c r="W93" s="169">
        <f t="shared" si="87"/>
        <v>0</v>
      </c>
      <c r="X93" s="169">
        <f t="shared" si="87"/>
        <v>0</v>
      </c>
      <c r="Y93" s="169" t="str">
        <f t="shared" si="87"/>
        <v/>
      </c>
      <c r="Z93" s="169" t="str">
        <f t="shared" si="87"/>
        <v/>
      </c>
      <c r="AA93" s="169">
        <f t="shared" si="87"/>
        <v>0</v>
      </c>
      <c r="AB93" s="169">
        <f t="shared" si="87"/>
        <v>0</v>
      </c>
      <c r="AC93" s="169" t="str">
        <f t="shared" si="87"/>
        <v/>
      </c>
      <c r="AD93" s="169" t="str">
        <f t="shared" si="87"/>
        <v/>
      </c>
      <c r="AE93" s="169" t="str">
        <f>IF(AE13=$R32,$BD32*24,IF(AE13=$R33,$BD33*24,IF(AE13=$R34,$BD34*24,IF(AE13=$R35,$BD35*24,IF(AE13=$R36,$BD36*24,IF(AE13=$R37,$BD37*24,IF(AE13=$R38,$BD38*24,IF(AE13=$R39,$BD39*24,IF(AE13=$R40,$BD40*24,"")))))))))</f>
        <v/>
      </c>
      <c r="AF93" s="169">
        <f>IF(AF13=$R32,$BD32*24,IF(AF13=$R33,$BD33*24,IF(AF13=$R34,$BD34*24,IF(AF13=$R35,$BD35*24,IF(AF13=$R36,$BD36*24,IF(AF13=$R37,$BD37*24,IF(AF13=$R38,$BD38*24,IF(AF13=$R39,$BD39*24,IF(AF13=$R40,$BD40*24,"")))))))))</f>
        <v>0</v>
      </c>
      <c r="AG93" s="169" t="str">
        <f>IF(AG13=$R32,$BD32*24,IF(AG13=$R33,$BD33*24,IF(AG13=$R34,$BD34*24,IF(AG13=$R35,$BD35*24,IF(AG13=$R36,$BD36*24,IF(AG13=$R37,$BD37*24,IF(AG13=$R38,$BD38*24,IF(AG13=$R39,$BD39*24,IF(AG13=$R40,$BD40*24,"")))))))))</f>
        <v/>
      </c>
      <c r="AH93" s="148">
        <f>SUM(C93:AG93)</f>
        <v>0</v>
      </c>
      <c r="AI93" s="133"/>
      <c r="AJ93" s="170"/>
      <c r="AK93" s="133"/>
      <c r="AL93" s="133"/>
    </row>
    <row r="94" spans="1:38" ht="15.95" hidden="1" customHeight="1" x14ac:dyDescent="0.25">
      <c r="A94" s="153"/>
      <c r="B94" s="167" t="s">
        <v>59</v>
      </c>
      <c r="C94" s="141">
        <f t="shared" ref="C94:AG94" si="88">IF(C13="V",$C36,IF(C13="PR",$C38,0))</f>
        <v>0</v>
      </c>
      <c r="D94" s="141">
        <f t="shared" si="88"/>
        <v>0</v>
      </c>
      <c r="E94" s="141">
        <f t="shared" si="88"/>
        <v>0</v>
      </c>
      <c r="F94" s="141">
        <f t="shared" si="88"/>
        <v>0</v>
      </c>
      <c r="G94" s="141">
        <f t="shared" si="88"/>
        <v>0</v>
      </c>
      <c r="H94" s="141">
        <f t="shared" si="88"/>
        <v>0</v>
      </c>
      <c r="I94" s="141">
        <f t="shared" si="88"/>
        <v>0</v>
      </c>
      <c r="J94" s="141">
        <f t="shared" si="88"/>
        <v>0</v>
      </c>
      <c r="K94" s="141">
        <f t="shared" si="88"/>
        <v>0</v>
      </c>
      <c r="L94" s="141">
        <f t="shared" si="88"/>
        <v>0</v>
      </c>
      <c r="M94" s="141">
        <f t="shared" si="88"/>
        <v>0</v>
      </c>
      <c r="N94" s="141">
        <f t="shared" si="88"/>
        <v>0</v>
      </c>
      <c r="O94" s="141">
        <f t="shared" si="88"/>
        <v>0</v>
      </c>
      <c r="P94" s="141">
        <f t="shared" si="88"/>
        <v>0</v>
      </c>
      <c r="Q94" s="141">
        <f t="shared" si="88"/>
        <v>0</v>
      </c>
      <c r="R94" s="141">
        <f t="shared" si="88"/>
        <v>0</v>
      </c>
      <c r="S94" s="141">
        <f t="shared" si="88"/>
        <v>0</v>
      </c>
      <c r="T94" s="141">
        <f t="shared" si="88"/>
        <v>0</v>
      </c>
      <c r="U94" s="141">
        <f t="shared" si="88"/>
        <v>0</v>
      </c>
      <c r="V94" s="141">
        <f t="shared" si="88"/>
        <v>0</v>
      </c>
      <c r="W94" s="141">
        <f t="shared" si="88"/>
        <v>0</v>
      </c>
      <c r="X94" s="141">
        <f t="shared" si="88"/>
        <v>0</v>
      </c>
      <c r="Y94" s="141">
        <f t="shared" si="88"/>
        <v>0</v>
      </c>
      <c r="Z94" s="141">
        <f t="shared" si="88"/>
        <v>0</v>
      </c>
      <c r="AA94" s="141">
        <f t="shared" si="88"/>
        <v>0</v>
      </c>
      <c r="AB94" s="141">
        <f t="shared" si="88"/>
        <v>0</v>
      </c>
      <c r="AC94" s="141">
        <f t="shared" si="88"/>
        <v>0</v>
      </c>
      <c r="AD94" s="141">
        <f t="shared" si="88"/>
        <v>0</v>
      </c>
      <c r="AE94" s="141">
        <f t="shared" si="88"/>
        <v>0</v>
      </c>
      <c r="AF94" s="141">
        <f t="shared" si="88"/>
        <v>0</v>
      </c>
      <c r="AG94" s="141">
        <f t="shared" si="88"/>
        <v>0</v>
      </c>
      <c r="AH94" s="231">
        <f>SUM(C94:AG94)</f>
        <v>0</v>
      </c>
      <c r="AI94" s="231"/>
      <c r="AJ94" s="170" t="s">
        <v>12</v>
      </c>
      <c r="AK94" s="133"/>
      <c r="AL94" s="133"/>
    </row>
    <row r="95" spans="1:38" ht="15.95" hidden="1" customHeight="1" x14ac:dyDescent="0.25">
      <c r="A95" s="150" t="s">
        <v>60</v>
      </c>
      <c r="B95" s="167" t="s">
        <v>61</v>
      </c>
      <c r="C95" s="151">
        <f t="shared" ref="C95:AD95" si="89">IF(C13=$R32,$BC32,IF(C13=$R33,$BC33,IF(C13=$R34,$BC34,IF(C13=$R35,$BC35,IF(C13=$R36,$BC36,IF(C13=$R37,$BC37,IF(C13=$R38,$BC38,IF(C13=$R39,$BC39,IF(C13=$R40,$BC40,0)))))))))</f>
        <v>0</v>
      </c>
      <c r="D95" s="151">
        <f t="shared" si="89"/>
        <v>12</v>
      </c>
      <c r="E95" s="151">
        <f t="shared" si="89"/>
        <v>12</v>
      </c>
      <c r="F95" s="151">
        <f t="shared" si="89"/>
        <v>0</v>
      </c>
      <c r="G95" s="151">
        <f t="shared" si="89"/>
        <v>12</v>
      </c>
      <c r="H95" s="151">
        <f t="shared" si="89"/>
        <v>12</v>
      </c>
      <c r="I95" s="151">
        <f t="shared" si="89"/>
        <v>12</v>
      </c>
      <c r="J95" s="151">
        <f t="shared" si="89"/>
        <v>12</v>
      </c>
      <c r="K95" s="151">
        <f t="shared" si="89"/>
        <v>0</v>
      </c>
      <c r="L95" s="151">
        <f t="shared" si="89"/>
        <v>0</v>
      </c>
      <c r="M95" s="151">
        <f t="shared" si="89"/>
        <v>12</v>
      </c>
      <c r="N95" s="151">
        <f t="shared" si="89"/>
        <v>12</v>
      </c>
      <c r="O95" s="151">
        <f t="shared" si="89"/>
        <v>0</v>
      </c>
      <c r="P95" s="151">
        <f t="shared" si="89"/>
        <v>0</v>
      </c>
      <c r="Q95" s="151">
        <f t="shared" si="89"/>
        <v>0</v>
      </c>
      <c r="R95" s="151">
        <f t="shared" si="89"/>
        <v>12</v>
      </c>
      <c r="S95" s="151">
        <f t="shared" si="89"/>
        <v>12</v>
      </c>
      <c r="T95" s="151">
        <f t="shared" si="89"/>
        <v>0</v>
      </c>
      <c r="U95" s="151">
        <f t="shared" si="89"/>
        <v>0</v>
      </c>
      <c r="V95" s="151">
        <f t="shared" si="89"/>
        <v>12</v>
      </c>
      <c r="W95" s="151">
        <f t="shared" si="89"/>
        <v>12</v>
      </c>
      <c r="X95" s="151">
        <f t="shared" si="89"/>
        <v>12</v>
      </c>
      <c r="Y95" s="151">
        <f t="shared" si="89"/>
        <v>0</v>
      </c>
      <c r="Z95" s="151">
        <f t="shared" si="89"/>
        <v>0</v>
      </c>
      <c r="AA95" s="151">
        <f t="shared" si="89"/>
        <v>12</v>
      </c>
      <c r="AB95" s="151">
        <f t="shared" si="89"/>
        <v>12</v>
      </c>
      <c r="AC95" s="151">
        <f t="shared" si="89"/>
        <v>0</v>
      </c>
      <c r="AD95" s="151">
        <f t="shared" si="89"/>
        <v>0</v>
      </c>
      <c r="AE95" s="151">
        <f>IF(AE13=$R32,$BC32,IF(AE13=$R33,$BC33,IF(AE13=$R34,$BC34,IF(AE13=$R35,$BC35,IF(AE13=$R36,$BC36,IF(AE13=$R37,$BC37,IF(AE13=$R38,$BC38,IF(AE13=$R39,$BC39,IF(AE13=$R40,$BC40,0)))))))))</f>
        <v>0</v>
      </c>
      <c r="AF95" s="151">
        <f>IF(AF13=$R32,$BC32,IF(AF13=$R33,$BC33,IF(AF13=$R34,$BC34,IF(AF13=$R35,$BC35,IF(AF13=$R36,$BC36,IF(AF13=$R37,$BC37,IF(AF13=$R38,$BC38,IF(AF13=$R39,$BC39,IF(AF13=$R40,$BC40,0)))))))))</f>
        <v>12</v>
      </c>
      <c r="AG95" s="151">
        <f>IF(AG13=$R32,$BC32,IF(AG13=$R33,$BC33,IF(AG13=$R34,$BC34,IF(AG13=$R35,$BC35,IF(AG13=$R36,$BC36,IF(AG13=$R37,$BC37,IF(AG13=$R38,$BC38,IF(AG13=$R39,$BC39,IF(AG13=$R40,$BC40,0)))))))))</f>
        <v>0</v>
      </c>
      <c r="AH95" s="226">
        <f>SUM(C95:AG95)</f>
        <v>192</v>
      </c>
      <c r="AI95" s="226"/>
      <c r="AJ95" s="175" t="s">
        <v>62</v>
      </c>
      <c r="AK95" s="133" t="s">
        <v>12</v>
      </c>
      <c r="AL95" s="133"/>
    </row>
    <row r="96" spans="1:38" ht="15.95" hidden="1" customHeight="1" x14ac:dyDescent="0.25">
      <c r="A96" s="153" t="s">
        <v>48</v>
      </c>
      <c r="B96" s="149" t="s">
        <v>63</v>
      </c>
      <c r="C96" s="141">
        <f t="shared" ref="C96:AG96" si="90">IF(C46=1,IF(C91&lt;C92,C95,0))</f>
        <v>0</v>
      </c>
      <c r="D96" s="141" t="b">
        <f t="shared" si="90"/>
        <v>0</v>
      </c>
      <c r="E96" s="141" t="b">
        <f t="shared" si="90"/>
        <v>0</v>
      </c>
      <c r="F96" s="141" t="b">
        <f t="shared" si="90"/>
        <v>0</v>
      </c>
      <c r="G96" s="141" t="b">
        <f t="shared" si="90"/>
        <v>0</v>
      </c>
      <c r="H96" s="141" t="b">
        <f t="shared" si="90"/>
        <v>0</v>
      </c>
      <c r="I96" s="141">
        <f t="shared" si="90"/>
        <v>12</v>
      </c>
      <c r="J96" s="141">
        <f t="shared" si="90"/>
        <v>12</v>
      </c>
      <c r="K96" s="141" t="b">
        <f t="shared" si="90"/>
        <v>0</v>
      </c>
      <c r="L96" s="141" t="b">
        <f t="shared" si="90"/>
        <v>0</v>
      </c>
      <c r="M96" s="141" t="b">
        <f t="shared" si="90"/>
        <v>0</v>
      </c>
      <c r="N96" s="141" t="b">
        <f t="shared" si="90"/>
        <v>0</v>
      </c>
      <c r="O96" s="141" t="b">
        <f t="shared" si="90"/>
        <v>0</v>
      </c>
      <c r="P96" s="141">
        <f t="shared" si="90"/>
        <v>0</v>
      </c>
      <c r="Q96" s="141">
        <f t="shared" si="90"/>
        <v>0</v>
      </c>
      <c r="R96" s="141" t="b">
        <f t="shared" si="90"/>
        <v>0</v>
      </c>
      <c r="S96" s="141" t="b">
        <f t="shared" si="90"/>
        <v>0</v>
      </c>
      <c r="T96" s="141" t="b">
        <f t="shared" si="90"/>
        <v>0</v>
      </c>
      <c r="U96" s="141" t="b">
        <f t="shared" si="90"/>
        <v>0</v>
      </c>
      <c r="V96" s="141" t="b">
        <f t="shared" si="90"/>
        <v>0</v>
      </c>
      <c r="W96" s="141">
        <f t="shared" si="90"/>
        <v>12</v>
      </c>
      <c r="X96" s="141">
        <f t="shared" si="90"/>
        <v>12</v>
      </c>
      <c r="Y96" s="141" t="b">
        <f t="shared" si="90"/>
        <v>0</v>
      </c>
      <c r="Z96" s="141" t="b">
        <f t="shared" si="90"/>
        <v>0</v>
      </c>
      <c r="AA96" s="141" t="b">
        <f t="shared" si="90"/>
        <v>0</v>
      </c>
      <c r="AB96" s="141" t="b">
        <f t="shared" si="90"/>
        <v>0</v>
      </c>
      <c r="AC96" s="141" t="b">
        <f t="shared" si="90"/>
        <v>0</v>
      </c>
      <c r="AD96" s="141">
        <f t="shared" si="90"/>
        <v>0</v>
      </c>
      <c r="AE96" s="141">
        <f t="shared" si="90"/>
        <v>0</v>
      </c>
      <c r="AF96" s="141" t="b">
        <f t="shared" si="90"/>
        <v>0</v>
      </c>
      <c r="AG96" s="141" t="b">
        <f t="shared" si="90"/>
        <v>0</v>
      </c>
      <c r="AH96" s="154" t="s">
        <v>12</v>
      </c>
      <c r="AI96" s="133"/>
      <c r="AJ96" s="170"/>
      <c r="AK96" s="133"/>
      <c r="AL96" s="133"/>
    </row>
    <row r="97" spans="1:57" ht="15.95" hidden="1" customHeight="1" x14ac:dyDescent="0.25">
      <c r="A97" s="176"/>
      <c r="B97" s="149" t="s">
        <v>64</v>
      </c>
      <c r="C97" s="141">
        <f t="shared" ref="C97:AG97" si="91">IF(C46=1,IF(C91&gt;C92,24-C91,0),0)</f>
        <v>0</v>
      </c>
      <c r="D97" s="141">
        <f t="shared" si="91"/>
        <v>0</v>
      </c>
      <c r="E97" s="141">
        <f t="shared" si="91"/>
        <v>0</v>
      </c>
      <c r="F97" s="141">
        <f t="shared" si="91"/>
        <v>0</v>
      </c>
      <c r="G97" s="141">
        <f t="shared" si="91"/>
        <v>0</v>
      </c>
      <c r="H97" s="141">
        <f t="shared" si="91"/>
        <v>0</v>
      </c>
      <c r="I97" s="141">
        <f t="shared" si="91"/>
        <v>0</v>
      </c>
      <c r="J97" s="141">
        <f t="shared" si="91"/>
        <v>0</v>
      </c>
      <c r="K97" s="141">
        <f t="shared" si="91"/>
        <v>0</v>
      </c>
      <c r="L97" s="141">
        <f t="shared" si="91"/>
        <v>0</v>
      </c>
      <c r="M97" s="141">
        <f t="shared" si="91"/>
        <v>0</v>
      </c>
      <c r="N97" s="141">
        <f t="shared" si="91"/>
        <v>0</v>
      </c>
      <c r="O97" s="141">
        <f t="shared" si="91"/>
        <v>0</v>
      </c>
      <c r="P97" s="141">
        <f t="shared" si="91"/>
        <v>0</v>
      </c>
      <c r="Q97" s="141">
        <f t="shared" si="91"/>
        <v>0</v>
      </c>
      <c r="R97" s="141">
        <f t="shared" si="91"/>
        <v>0</v>
      </c>
      <c r="S97" s="141">
        <f t="shared" si="91"/>
        <v>0</v>
      </c>
      <c r="T97" s="141">
        <f t="shared" si="91"/>
        <v>0</v>
      </c>
      <c r="U97" s="141">
        <f t="shared" si="91"/>
        <v>0</v>
      </c>
      <c r="V97" s="141">
        <f t="shared" si="91"/>
        <v>0</v>
      </c>
      <c r="W97" s="141">
        <f t="shared" si="91"/>
        <v>0</v>
      </c>
      <c r="X97" s="141">
        <f t="shared" si="91"/>
        <v>0</v>
      </c>
      <c r="Y97" s="141">
        <f t="shared" si="91"/>
        <v>0</v>
      </c>
      <c r="Z97" s="141">
        <f t="shared" si="91"/>
        <v>0</v>
      </c>
      <c r="AA97" s="141">
        <f t="shared" si="91"/>
        <v>0</v>
      </c>
      <c r="AB97" s="141">
        <f t="shared" si="91"/>
        <v>0</v>
      </c>
      <c r="AC97" s="141">
        <f t="shared" si="91"/>
        <v>0</v>
      </c>
      <c r="AD97" s="141">
        <f t="shared" si="91"/>
        <v>0</v>
      </c>
      <c r="AE97" s="141">
        <f t="shared" si="91"/>
        <v>0</v>
      </c>
      <c r="AF97" s="141">
        <f t="shared" si="91"/>
        <v>0</v>
      </c>
      <c r="AG97" s="141">
        <f t="shared" si="91"/>
        <v>0</v>
      </c>
      <c r="AH97" s="154" t="s">
        <v>12</v>
      </c>
      <c r="AI97" s="133"/>
      <c r="AJ97" s="170"/>
      <c r="AK97" s="133"/>
      <c r="AL97" s="133"/>
    </row>
    <row r="98" spans="1:57" ht="15.95" hidden="1" customHeight="1" x14ac:dyDescent="0.25">
      <c r="A98" s="176"/>
      <c r="B98" s="149" t="s">
        <v>65</v>
      </c>
      <c r="C98" s="141">
        <f t="shared" ref="C98:AG98" si="92">IF(D46=1,IF(C91&gt;C92,C92,0),0)</f>
        <v>0</v>
      </c>
      <c r="D98" s="141">
        <f t="shared" si="92"/>
        <v>0</v>
      </c>
      <c r="E98" s="141">
        <f t="shared" si="92"/>
        <v>0</v>
      </c>
      <c r="F98" s="141">
        <f t="shared" si="92"/>
        <v>0</v>
      </c>
      <c r="G98" s="141">
        <f t="shared" si="92"/>
        <v>0</v>
      </c>
      <c r="H98" s="141">
        <f t="shared" si="92"/>
        <v>0</v>
      </c>
      <c r="I98" s="141">
        <f t="shared" si="92"/>
        <v>0</v>
      </c>
      <c r="J98" s="141">
        <f t="shared" si="92"/>
        <v>0</v>
      </c>
      <c r="K98" s="141">
        <f t="shared" si="92"/>
        <v>0</v>
      </c>
      <c r="L98" s="141">
        <f t="shared" si="92"/>
        <v>0</v>
      </c>
      <c r="M98" s="141">
        <f t="shared" si="92"/>
        <v>0</v>
      </c>
      <c r="N98" s="141">
        <f t="shared" si="92"/>
        <v>0</v>
      </c>
      <c r="O98" s="141">
        <f t="shared" si="92"/>
        <v>0</v>
      </c>
      <c r="P98" s="141">
        <f t="shared" si="92"/>
        <v>0</v>
      </c>
      <c r="Q98" s="141">
        <f t="shared" si="92"/>
        <v>0</v>
      </c>
      <c r="R98" s="141">
        <f t="shared" si="92"/>
        <v>0</v>
      </c>
      <c r="S98" s="141">
        <f t="shared" si="92"/>
        <v>0</v>
      </c>
      <c r="T98" s="141">
        <f t="shared" si="92"/>
        <v>0</v>
      </c>
      <c r="U98" s="141">
        <f t="shared" si="92"/>
        <v>0</v>
      </c>
      <c r="V98" s="141">
        <f t="shared" si="92"/>
        <v>0</v>
      </c>
      <c r="W98" s="141">
        <f t="shared" si="92"/>
        <v>0</v>
      </c>
      <c r="X98" s="141">
        <f>IF(Y46=1,IF(X91&gt;X92,X92,0),0)</f>
        <v>0</v>
      </c>
      <c r="Y98" s="141">
        <f t="shared" si="92"/>
        <v>0</v>
      </c>
      <c r="Z98" s="141">
        <f t="shared" si="92"/>
        <v>0</v>
      </c>
      <c r="AA98" s="141">
        <f t="shared" si="92"/>
        <v>0</v>
      </c>
      <c r="AB98" s="141">
        <f t="shared" si="92"/>
        <v>0</v>
      </c>
      <c r="AC98" s="141">
        <f t="shared" si="92"/>
        <v>0</v>
      </c>
      <c r="AD98" s="141">
        <f t="shared" si="92"/>
        <v>0</v>
      </c>
      <c r="AE98" s="141">
        <f t="shared" si="92"/>
        <v>0</v>
      </c>
      <c r="AF98" s="141">
        <f t="shared" si="92"/>
        <v>0</v>
      </c>
      <c r="AG98" s="141">
        <f t="shared" si="92"/>
        <v>0</v>
      </c>
      <c r="AH98" s="154" t="s">
        <v>12</v>
      </c>
      <c r="AI98" s="133"/>
      <c r="AJ98" s="170"/>
      <c r="AK98" s="133"/>
      <c r="AL98" s="133"/>
    </row>
    <row r="99" spans="1:57" ht="15.95" hidden="1" customHeight="1" x14ac:dyDescent="0.25">
      <c r="A99" s="176"/>
      <c r="B99" s="149" t="s">
        <v>67</v>
      </c>
      <c r="C99" s="178">
        <f t="shared" ref="C99:AG99" si="93">SUM(C96:C98)</f>
        <v>0</v>
      </c>
      <c r="D99" s="178">
        <f t="shared" si="93"/>
        <v>0</v>
      </c>
      <c r="E99" s="178">
        <f t="shared" si="93"/>
        <v>0</v>
      </c>
      <c r="F99" s="178">
        <f t="shared" si="93"/>
        <v>0</v>
      </c>
      <c r="G99" s="178">
        <f t="shared" si="93"/>
        <v>0</v>
      </c>
      <c r="H99" s="178">
        <f t="shared" si="93"/>
        <v>0</v>
      </c>
      <c r="I99" s="178">
        <f t="shared" si="93"/>
        <v>12</v>
      </c>
      <c r="J99" s="178">
        <f t="shared" si="93"/>
        <v>12</v>
      </c>
      <c r="K99" s="178">
        <f t="shared" si="93"/>
        <v>0</v>
      </c>
      <c r="L99" s="178">
        <f t="shared" si="93"/>
        <v>0</v>
      </c>
      <c r="M99" s="178">
        <f t="shared" si="93"/>
        <v>0</v>
      </c>
      <c r="N99" s="178">
        <f t="shared" si="93"/>
        <v>0</v>
      </c>
      <c r="O99" s="178">
        <f t="shared" si="93"/>
        <v>0</v>
      </c>
      <c r="P99" s="178">
        <f t="shared" si="93"/>
        <v>0</v>
      </c>
      <c r="Q99" s="178">
        <f t="shared" si="93"/>
        <v>0</v>
      </c>
      <c r="R99" s="178">
        <f t="shared" si="93"/>
        <v>0</v>
      </c>
      <c r="S99" s="178">
        <f t="shared" si="93"/>
        <v>0</v>
      </c>
      <c r="T99" s="178">
        <f t="shared" si="93"/>
        <v>0</v>
      </c>
      <c r="U99" s="178">
        <f t="shared" si="93"/>
        <v>0</v>
      </c>
      <c r="V99" s="178">
        <f t="shared" si="93"/>
        <v>0</v>
      </c>
      <c r="W99" s="178">
        <f t="shared" si="93"/>
        <v>12</v>
      </c>
      <c r="X99" s="178">
        <f t="shared" si="93"/>
        <v>12</v>
      </c>
      <c r="Y99" s="178">
        <f t="shared" si="93"/>
        <v>0</v>
      </c>
      <c r="Z99" s="178">
        <f t="shared" si="93"/>
        <v>0</v>
      </c>
      <c r="AA99" s="178">
        <f t="shared" si="93"/>
        <v>0</v>
      </c>
      <c r="AB99" s="178">
        <f t="shared" si="93"/>
        <v>0</v>
      </c>
      <c r="AC99" s="178">
        <f t="shared" si="93"/>
        <v>0</v>
      </c>
      <c r="AD99" s="178">
        <f t="shared" si="93"/>
        <v>0</v>
      </c>
      <c r="AE99" s="178">
        <f t="shared" si="93"/>
        <v>0</v>
      </c>
      <c r="AF99" s="178">
        <f t="shared" si="93"/>
        <v>0</v>
      </c>
      <c r="AG99" s="178">
        <f t="shared" si="93"/>
        <v>0</v>
      </c>
      <c r="AH99" s="154" t="s">
        <v>12</v>
      </c>
      <c r="AI99" s="133"/>
      <c r="AJ99" s="170"/>
      <c r="AK99" s="133"/>
      <c r="AL99" s="133"/>
    </row>
    <row r="100" spans="1:57" ht="15.95" hidden="1" customHeight="1" x14ac:dyDescent="0.25">
      <c r="A100" s="177"/>
      <c r="B100" s="160" t="s">
        <v>68</v>
      </c>
      <c r="C100" s="161">
        <f t="shared" ref="C100:AG100" si="94">IF(C13="V",IF(C13="",0,1),0)</f>
        <v>0</v>
      </c>
      <c r="D100" s="161">
        <f t="shared" si="94"/>
        <v>0</v>
      </c>
      <c r="E100" s="161">
        <f t="shared" si="94"/>
        <v>0</v>
      </c>
      <c r="F100" s="161">
        <f t="shared" si="94"/>
        <v>0</v>
      </c>
      <c r="G100" s="161">
        <f t="shared" si="94"/>
        <v>0</v>
      </c>
      <c r="H100" s="161">
        <f t="shared" si="94"/>
        <v>0</v>
      </c>
      <c r="I100" s="161">
        <f t="shared" si="94"/>
        <v>0</v>
      </c>
      <c r="J100" s="161">
        <f t="shared" si="94"/>
        <v>0</v>
      </c>
      <c r="K100" s="161">
        <f t="shared" si="94"/>
        <v>0</v>
      </c>
      <c r="L100" s="161">
        <f t="shared" si="94"/>
        <v>0</v>
      </c>
      <c r="M100" s="161">
        <f t="shared" si="94"/>
        <v>0</v>
      </c>
      <c r="N100" s="161">
        <f t="shared" si="94"/>
        <v>0</v>
      </c>
      <c r="O100" s="161">
        <f t="shared" si="94"/>
        <v>0</v>
      </c>
      <c r="P100" s="161">
        <f t="shared" si="94"/>
        <v>0</v>
      </c>
      <c r="Q100" s="161">
        <f t="shared" si="94"/>
        <v>0</v>
      </c>
      <c r="R100" s="161">
        <f t="shared" si="94"/>
        <v>0</v>
      </c>
      <c r="S100" s="161">
        <f t="shared" si="94"/>
        <v>0</v>
      </c>
      <c r="T100" s="161">
        <f t="shared" si="94"/>
        <v>0</v>
      </c>
      <c r="U100" s="161">
        <f t="shared" si="94"/>
        <v>0</v>
      </c>
      <c r="V100" s="161">
        <f t="shared" si="94"/>
        <v>0</v>
      </c>
      <c r="W100" s="161">
        <f t="shared" si="94"/>
        <v>0</v>
      </c>
      <c r="X100" s="161">
        <f t="shared" si="94"/>
        <v>0</v>
      </c>
      <c r="Y100" s="161">
        <f t="shared" si="94"/>
        <v>0</v>
      </c>
      <c r="Z100" s="161">
        <f t="shared" si="94"/>
        <v>0</v>
      </c>
      <c r="AA100" s="161">
        <f t="shared" si="94"/>
        <v>0</v>
      </c>
      <c r="AB100" s="161">
        <f t="shared" si="94"/>
        <v>0</v>
      </c>
      <c r="AC100" s="161">
        <f t="shared" si="94"/>
        <v>0</v>
      </c>
      <c r="AD100" s="161">
        <f t="shared" si="94"/>
        <v>0</v>
      </c>
      <c r="AE100" s="161">
        <f t="shared" si="94"/>
        <v>0</v>
      </c>
      <c r="AF100" s="161">
        <f t="shared" si="94"/>
        <v>0</v>
      </c>
      <c r="AG100" s="161">
        <f t="shared" si="94"/>
        <v>0</v>
      </c>
      <c r="AH100" s="154" t="s">
        <v>12</v>
      </c>
      <c r="AI100" s="133"/>
      <c r="AJ100" s="170"/>
      <c r="AK100" s="133"/>
      <c r="AL100" s="133"/>
    </row>
    <row r="101" spans="1:57" ht="15.95" hidden="1" customHeight="1" x14ac:dyDescent="0.25">
      <c r="A101" s="173"/>
      <c r="B101" s="130" t="s">
        <v>16</v>
      </c>
      <c r="C101" s="179">
        <f t="shared" ref="C101:AG101" si="95">IF(C13="PR",IF(C13="",0,1),0)</f>
        <v>0</v>
      </c>
      <c r="D101" s="179">
        <f t="shared" si="95"/>
        <v>0</v>
      </c>
      <c r="E101" s="179">
        <f t="shared" si="95"/>
        <v>0</v>
      </c>
      <c r="F101" s="179">
        <f t="shared" si="95"/>
        <v>0</v>
      </c>
      <c r="G101" s="179">
        <f t="shared" si="95"/>
        <v>0</v>
      </c>
      <c r="H101" s="179">
        <f t="shared" si="95"/>
        <v>0</v>
      </c>
      <c r="I101" s="179">
        <f t="shared" si="95"/>
        <v>0</v>
      </c>
      <c r="J101" s="179">
        <f t="shared" si="95"/>
        <v>0</v>
      </c>
      <c r="K101" s="179">
        <f t="shared" si="95"/>
        <v>0</v>
      </c>
      <c r="L101" s="179">
        <f t="shared" si="95"/>
        <v>0</v>
      </c>
      <c r="M101" s="179">
        <f t="shared" si="95"/>
        <v>0</v>
      </c>
      <c r="N101" s="179">
        <f t="shared" si="95"/>
        <v>0</v>
      </c>
      <c r="O101" s="179">
        <f t="shared" si="95"/>
        <v>0</v>
      </c>
      <c r="P101" s="179">
        <f t="shared" si="95"/>
        <v>0</v>
      </c>
      <c r="Q101" s="179">
        <f t="shared" si="95"/>
        <v>0</v>
      </c>
      <c r="R101" s="179">
        <f t="shared" si="95"/>
        <v>0</v>
      </c>
      <c r="S101" s="179">
        <f t="shared" si="95"/>
        <v>0</v>
      </c>
      <c r="T101" s="179">
        <f t="shared" si="95"/>
        <v>0</v>
      </c>
      <c r="U101" s="179">
        <f t="shared" si="95"/>
        <v>0</v>
      </c>
      <c r="V101" s="179">
        <f t="shared" si="95"/>
        <v>0</v>
      </c>
      <c r="W101" s="179">
        <f t="shared" si="95"/>
        <v>0</v>
      </c>
      <c r="X101" s="179">
        <f t="shared" si="95"/>
        <v>0</v>
      </c>
      <c r="Y101" s="179">
        <f t="shared" si="95"/>
        <v>0</v>
      </c>
      <c r="Z101" s="179">
        <f t="shared" si="95"/>
        <v>0</v>
      </c>
      <c r="AA101" s="179">
        <f t="shared" si="95"/>
        <v>0</v>
      </c>
      <c r="AB101" s="179">
        <f t="shared" si="95"/>
        <v>0</v>
      </c>
      <c r="AC101" s="179">
        <f t="shared" si="95"/>
        <v>0</v>
      </c>
      <c r="AD101" s="179">
        <f t="shared" si="95"/>
        <v>0</v>
      </c>
      <c r="AE101" s="179">
        <f t="shared" si="95"/>
        <v>0</v>
      </c>
      <c r="AF101" s="179">
        <f t="shared" si="95"/>
        <v>0</v>
      </c>
      <c r="AG101" s="179">
        <f t="shared" si="95"/>
        <v>0</v>
      </c>
      <c r="AH101" s="229">
        <f>SUM(C101:AG101)</f>
        <v>0</v>
      </c>
      <c r="AI101" s="229"/>
      <c r="AJ101" s="174" t="s">
        <v>69</v>
      </c>
      <c r="AK101" s="133"/>
      <c r="AL101" s="133"/>
    </row>
    <row r="102" spans="1:57" ht="15.95" hidden="1" customHeight="1" x14ac:dyDescent="0.25">
      <c r="A102" s="164" t="s">
        <v>79</v>
      </c>
      <c r="B102" s="165" t="s">
        <v>29</v>
      </c>
      <c r="C102" s="141" t="str">
        <f t="shared" ref="C102:AG102" si="96">IF(C14=$R32,$S32*24,IF(C14=$R33,$S33*24,IF(C14=$R34,$S34*24,IF(C14=$R35,$S35*24,IF(C14=$R36,$S36*24,IF(C14=$R37,$S37*24,IF(C14=$R38,$S38*24,IF(C14=$R39,$S39*24,IF(C14=$R40,$S40*24,"")))))))))</f>
        <v/>
      </c>
      <c r="D102" s="141" t="str">
        <f t="shared" si="96"/>
        <v/>
      </c>
      <c r="E102" s="141" t="str">
        <f t="shared" si="96"/>
        <v/>
      </c>
      <c r="F102" s="141" t="str">
        <f t="shared" si="96"/>
        <v/>
      </c>
      <c r="G102" s="141" t="str">
        <f t="shared" si="96"/>
        <v/>
      </c>
      <c r="H102" s="141" t="str">
        <f t="shared" si="96"/>
        <v/>
      </c>
      <c r="I102" s="141" t="str">
        <f t="shared" si="96"/>
        <v/>
      </c>
      <c r="J102" s="141" t="str">
        <f t="shared" si="96"/>
        <v/>
      </c>
      <c r="K102" s="141" t="str">
        <f t="shared" si="96"/>
        <v/>
      </c>
      <c r="L102" s="141" t="str">
        <f t="shared" si="96"/>
        <v/>
      </c>
      <c r="M102" s="141" t="str">
        <f t="shared" si="96"/>
        <v/>
      </c>
      <c r="N102" s="141" t="str">
        <f t="shared" si="96"/>
        <v/>
      </c>
      <c r="O102" s="141" t="str">
        <f t="shared" si="96"/>
        <v/>
      </c>
      <c r="P102" s="141" t="str">
        <f t="shared" si="96"/>
        <v/>
      </c>
      <c r="Q102" s="141" t="str">
        <f t="shared" si="96"/>
        <v/>
      </c>
      <c r="R102" s="141" t="str">
        <f t="shared" si="96"/>
        <v/>
      </c>
      <c r="S102" s="141" t="str">
        <f t="shared" si="96"/>
        <v/>
      </c>
      <c r="T102" s="141">
        <f t="shared" si="96"/>
        <v>6</v>
      </c>
      <c r="U102" s="141">
        <f t="shared" si="96"/>
        <v>6</v>
      </c>
      <c r="V102" s="141" t="str">
        <f t="shared" si="96"/>
        <v/>
      </c>
      <c r="W102" s="141" t="str">
        <f t="shared" si="96"/>
        <v/>
      </c>
      <c r="X102" s="141" t="str">
        <f t="shared" si="96"/>
        <v/>
      </c>
      <c r="Y102" s="141">
        <f t="shared" si="96"/>
        <v>6</v>
      </c>
      <c r="Z102" s="141">
        <f t="shared" si="96"/>
        <v>6</v>
      </c>
      <c r="AA102" s="141">
        <f t="shared" si="96"/>
        <v>18</v>
      </c>
      <c r="AB102" s="141" t="str">
        <f t="shared" si="96"/>
        <v/>
      </c>
      <c r="AC102" s="141">
        <f t="shared" si="96"/>
        <v>6</v>
      </c>
      <c r="AD102" s="141">
        <f t="shared" si="96"/>
        <v>6</v>
      </c>
      <c r="AE102" s="141">
        <f t="shared" si="96"/>
        <v>6</v>
      </c>
      <c r="AF102" s="141" t="str">
        <f t="shared" si="96"/>
        <v/>
      </c>
      <c r="AG102" s="141" t="str">
        <f t="shared" si="96"/>
        <v/>
      </c>
      <c r="AH102" s="154" t="s">
        <v>12</v>
      </c>
      <c r="AI102" s="133"/>
      <c r="AJ102" s="170"/>
      <c r="AK102" s="133"/>
      <c r="AL102" s="133"/>
    </row>
    <row r="103" spans="1:57" ht="15.95" hidden="1" customHeight="1" x14ac:dyDescent="0.25">
      <c r="A103" s="166" t="s">
        <v>80</v>
      </c>
      <c r="B103" s="167" t="s">
        <v>30</v>
      </c>
      <c r="C103" s="141" t="str">
        <f t="shared" ref="C103:AG103" si="97">IF(C14=$R32,$V32*24,IF(C14=$R33,$V33*24,IF(C14=$R34,$V34*24,IF(C14=$R35,$V35*24,IF(C14=$R36,$V36*24,IF(C14=$R37,$V37*24,IF(C14=$R38,$V38*24,IF(C14=$R39,$V39*24,IF(C14=$R40,$V40*24,"")))))))))</f>
        <v/>
      </c>
      <c r="D103" s="141" t="str">
        <f t="shared" si="97"/>
        <v/>
      </c>
      <c r="E103" s="141" t="str">
        <f t="shared" si="97"/>
        <v/>
      </c>
      <c r="F103" s="141" t="str">
        <f t="shared" si="97"/>
        <v/>
      </c>
      <c r="G103" s="141" t="str">
        <f t="shared" si="97"/>
        <v/>
      </c>
      <c r="H103" s="141" t="str">
        <f t="shared" si="97"/>
        <v/>
      </c>
      <c r="I103" s="141" t="str">
        <f t="shared" si="97"/>
        <v/>
      </c>
      <c r="J103" s="141" t="str">
        <f t="shared" si="97"/>
        <v/>
      </c>
      <c r="K103" s="141" t="str">
        <f t="shared" si="97"/>
        <v/>
      </c>
      <c r="L103" s="141" t="str">
        <f t="shared" si="97"/>
        <v/>
      </c>
      <c r="M103" s="141" t="str">
        <f t="shared" si="97"/>
        <v/>
      </c>
      <c r="N103" s="141" t="str">
        <f t="shared" si="97"/>
        <v/>
      </c>
      <c r="O103" s="141" t="str">
        <f t="shared" si="97"/>
        <v/>
      </c>
      <c r="P103" s="141" t="str">
        <f t="shared" si="97"/>
        <v/>
      </c>
      <c r="Q103" s="141" t="str">
        <f t="shared" si="97"/>
        <v/>
      </c>
      <c r="R103" s="141" t="str">
        <f t="shared" si="97"/>
        <v/>
      </c>
      <c r="S103" s="141" t="str">
        <f t="shared" si="97"/>
        <v/>
      </c>
      <c r="T103" s="141">
        <f t="shared" si="97"/>
        <v>18</v>
      </c>
      <c r="U103" s="141">
        <f t="shared" si="97"/>
        <v>18</v>
      </c>
      <c r="V103" s="141" t="str">
        <f t="shared" si="97"/>
        <v/>
      </c>
      <c r="W103" s="141" t="str">
        <f t="shared" si="97"/>
        <v/>
      </c>
      <c r="X103" s="141" t="str">
        <f t="shared" si="97"/>
        <v/>
      </c>
      <c r="Y103" s="141">
        <f t="shared" si="97"/>
        <v>18</v>
      </c>
      <c r="Z103" s="141">
        <f t="shared" si="97"/>
        <v>18</v>
      </c>
      <c r="AA103" s="141">
        <f t="shared" si="97"/>
        <v>6</v>
      </c>
      <c r="AB103" s="141" t="str">
        <f t="shared" si="97"/>
        <v/>
      </c>
      <c r="AC103" s="141">
        <f t="shared" si="97"/>
        <v>18</v>
      </c>
      <c r="AD103" s="141">
        <f t="shared" si="97"/>
        <v>18</v>
      </c>
      <c r="AE103" s="141">
        <f t="shared" si="97"/>
        <v>18</v>
      </c>
      <c r="AF103" s="141" t="str">
        <f t="shared" si="97"/>
        <v/>
      </c>
      <c r="AG103" s="141" t="str">
        <f t="shared" si="97"/>
        <v/>
      </c>
      <c r="AH103" s="154" t="s">
        <v>12</v>
      </c>
      <c r="AI103" s="133"/>
      <c r="AJ103" s="170"/>
      <c r="AK103" s="133"/>
      <c r="AL103" s="133"/>
    </row>
    <row r="104" spans="1:57" ht="15.95" hidden="1" customHeight="1" x14ac:dyDescent="0.25">
      <c r="A104" s="153"/>
      <c r="B104" s="168" t="s">
        <v>34</v>
      </c>
      <c r="C104" s="169" t="str">
        <f t="shared" ref="C104:AD104" si="98">IF(C14=$R32,$BD32*24,IF(C14=$R33,$BD33*24,IF(C14=$R34,$BD34*24,IF(C14=$R35,$BD35*24,IF(C14=$R36,$BD36*24,IF(C14=$R37,$BD37*24,IF(C14=$R38,$BD38*24,IF(C14=$R39,$BD39*24,IF(C14=$R40,$BD40*24,"")))))))))</f>
        <v/>
      </c>
      <c r="D104" s="169" t="str">
        <f t="shared" si="98"/>
        <v/>
      </c>
      <c r="E104" s="169" t="str">
        <f t="shared" si="98"/>
        <v/>
      </c>
      <c r="F104" s="169" t="str">
        <f t="shared" si="98"/>
        <v/>
      </c>
      <c r="G104" s="169" t="str">
        <f t="shared" si="98"/>
        <v/>
      </c>
      <c r="H104" s="169" t="str">
        <f t="shared" si="98"/>
        <v/>
      </c>
      <c r="I104" s="169" t="str">
        <f t="shared" si="98"/>
        <v/>
      </c>
      <c r="J104" s="169" t="str">
        <f t="shared" si="98"/>
        <v/>
      </c>
      <c r="K104" s="169" t="str">
        <f t="shared" si="98"/>
        <v/>
      </c>
      <c r="L104" s="169" t="str">
        <f t="shared" si="98"/>
        <v/>
      </c>
      <c r="M104" s="169" t="str">
        <f t="shared" si="98"/>
        <v/>
      </c>
      <c r="N104" s="169" t="str">
        <f t="shared" si="98"/>
        <v/>
      </c>
      <c r="O104" s="169" t="str">
        <f t="shared" si="98"/>
        <v/>
      </c>
      <c r="P104" s="169" t="str">
        <f t="shared" si="98"/>
        <v/>
      </c>
      <c r="Q104" s="169" t="str">
        <f t="shared" si="98"/>
        <v/>
      </c>
      <c r="R104" s="169" t="str">
        <f t="shared" si="98"/>
        <v/>
      </c>
      <c r="S104" s="169" t="str">
        <f t="shared" si="98"/>
        <v/>
      </c>
      <c r="T104" s="169">
        <f t="shared" si="98"/>
        <v>0</v>
      </c>
      <c r="U104" s="169">
        <f t="shared" si="98"/>
        <v>0</v>
      </c>
      <c r="V104" s="169" t="str">
        <f t="shared" si="98"/>
        <v/>
      </c>
      <c r="W104" s="169" t="str">
        <f t="shared" si="98"/>
        <v/>
      </c>
      <c r="X104" s="169" t="str">
        <f t="shared" si="98"/>
        <v/>
      </c>
      <c r="Y104" s="169">
        <f t="shared" si="98"/>
        <v>0</v>
      </c>
      <c r="Z104" s="169">
        <f t="shared" si="98"/>
        <v>0</v>
      </c>
      <c r="AA104" s="169">
        <f t="shared" si="98"/>
        <v>8</v>
      </c>
      <c r="AB104" s="169" t="str">
        <f t="shared" si="98"/>
        <v/>
      </c>
      <c r="AC104" s="169">
        <f t="shared" si="98"/>
        <v>0</v>
      </c>
      <c r="AD104" s="169">
        <f t="shared" si="98"/>
        <v>0</v>
      </c>
      <c r="AE104" s="169">
        <f>IF(AE14=$R32,$BD32*24,IF(AE14=$R33,$BD33*24,IF(AE14=$R34,$BD34*24,IF(AE14=$R35,$BD35*24,IF(AE14=$R36,$BD36*24,IF(AE14=$R37,$BD37*24,IF(AE14=$R38,$BD38*24,IF(AE14=$R39,$BD39*24,IF(AE14=$R40,$BD40*24,"")))))))))</f>
        <v>0</v>
      </c>
      <c r="AF104" s="169" t="str">
        <f>IF(AF14=$R32,$BD32*24,IF(AF14=$R33,$BD33*24,IF(AF14=$R34,$BD34*24,IF(AF14=$R35,$BD35*24,IF(AF14=$R36,$BD36*24,IF(AF14=$R37,$BD37*24,IF(AF14=$R38,$BD38*24,IF(AF14=$R39,$BD39*24,IF(AF14=$R40,$BD40*24,"")))))))))</f>
        <v/>
      </c>
      <c r="AG104" s="169" t="str">
        <f>IF(AG14=$R32,$BD32*24,IF(AG14=$R33,$BD33*24,IF(AG14=$R34,$BD34*24,IF(AG14=$R35,$BD35*24,IF(AG14=$R36,$BD36*24,IF(AG14=$R37,$BD37*24,IF(AG14=$R38,$BD38*24,IF(AG14=$R39,$BD39*24,IF(AG14=$R40,$BD40*24,"")))))))))</f>
        <v/>
      </c>
      <c r="AH104" s="148">
        <f>SUM(C104:AG104)</f>
        <v>8</v>
      </c>
      <c r="AI104" s="133"/>
      <c r="AJ104" s="170"/>
      <c r="AK104" s="133"/>
      <c r="AL104" s="133"/>
    </row>
    <row r="105" spans="1:57" ht="15.95" hidden="1" customHeight="1" x14ac:dyDescent="0.25">
      <c r="A105" s="153"/>
      <c r="B105" s="167" t="s">
        <v>59</v>
      </c>
      <c r="C105" s="141">
        <f t="shared" ref="C105:AG105" si="99">IF(C14="V",$C36,IF(C14="PR",$C38,0))</f>
        <v>5.22</v>
      </c>
      <c r="D105" s="141">
        <f t="shared" si="99"/>
        <v>5.22</v>
      </c>
      <c r="E105" s="141">
        <f t="shared" si="99"/>
        <v>5.22</v>
      </c>
      <c r="F105" s="141">
        <f t="shared" si="99"/>
        <v>5.22</v>
      </c>
      <c r="G105" s="141">
        <f t="shared" si="99"/>
        <v>5.22</v>
      </c>
      <c r="H105" s="141">
        <f t="shared" si="99"/>
        <v>5.22</v>
      </c>
      <c r="I105" s="141">
        <f t="shared" si="99"/>
        <v>5.22</v>
      </c>
      <c r="J105" s="141">
        <f t="shared" si="99"/>
        <v>5.22</v>
      </c>
      <c r="K105" s="141">
        <f t="shared" si="99"/>
        <v>5.22</v>
      </c>
      <c r="L105" s="141">
        <f t="shared" si="99"/>
        <v>5.22</v>
      </c>
      <c r="M105" s="141">
        <f t="shared" si="99"/>
        <v>5.22</v>
      </c>
      <c r="N105" s="141">
        <f t="shared" si="99"/>
        <v>5.22</v>
      </c>
      <c r="O105" s="141">
        <f t="shared" si="99"/>
        <v>5.22</v>
      </c>
      <c r="P105" s="141">
        <f t="shared" si="99"/>
        <v>5.22</v>
      </c>
      <c r="Q105" s="141">
        <f t="shared" si="99"/>
        <v>5.22</v>
      </c>
      <c r="R105" s="141">
        <f t="shared" si="99"/>
        <v>0</v>
      </c>
      <c r="S105" s="141">
        <f t="shared" si="99"/>
        <v>0</v>
      </c>
      <c r="T105" s="141">
        <f t="shared" si="99"/>
        <v>0</v>
      </c>
      <c r="U105" s="141">
        <f t="shared" si="99"/>
        <v>0</v>
      </c>
      <c r="V105" s="141">
        <f t="shared" si="99"/>
        <v>0</v>
      </c>
      <c r="W105" s="141">
        <f t="shared" si="99"/>
        <v>0</v>
      </c>
      <c r="X105" s="141">
        <f t="shared" si="99"/>
        <v>0</v>
      </c>
      <c r="Y105" s="141">
        <f t="shared" si="99"/>
        <v>0</v>
      </c>
      <c r="Z105" s="141">
        <f t="shared" si="99"/>
        <v>0</v>
      </c>
      <c r="AA105" s="141">
        <f t="shared" si="99"/>
        <v>0</v>
      </c>
      <c r="AB105" s="141">
        <f t="shared" si="99"/>
        <v>0</v>
      </c>
      <c r="AC105" s="141">
        <f t="shared" si="99"/>
        <v>0</v>
      </c>
      <c r="AD105" s="141">
        <f t="shared" si="99"/>
        <v>0</v>
      </c>
      <c r="AE105" s="141">
        <f t="shared" si="99"/>
        <v>0</v>
      </c>
      <c r="AF105" s="141">
        <f t="shared" si="99"/>
        <v>0</v>
      </c>
      <c r="AG105" s="141">
        <f t="shared" si="99"/>
        <v>0</v>
      </c>
      <c r="AH105" s="226">
        <f>SUM(C105:AG105)</f>
        <v>78.3</v>
      </c>
      <c r="AI105" s="226"/>
      <c r="AJ105" s="230">
        <f>SUM(AH50+AH61+AH72+AH83+AH94+AH105)</f>
        <v>156.6</v>
      </c>
      <c r="AK105" s="230"/>
      <c r="AL105" s="133" t="s">
        <v>56</v>
      </c>
      <c r="AM105" s="1" t="s">
        <v>12</v>
      </c>
    </row>
    <row r="106" spans="1:57" ht="15.95" hidden="1" customHeight="1" x14ac:dyDescent="0.25">
      <c r="A106" s="150" t="s">
        <v>60</v>
      </c>
      <c r="B106" s="167" t="s">
        <v>61</v>
      </c>
      <c r="C106" s="151">
        <f t="shared" ref="C106:AD106" si="100">IF(C14=$R32,$BC32,IF(C14=$R33,$BC33,IF(C14=$R34,$BC34,IF(C14=$R35,$BC35,IF(C14=$R36,$BC36,IF(C14=$R37,$BC37,IF(C14=$R38,$BC38,IF(C14=$R39,$BC39,IF(C14=$R40,$BC40,0)))))))))</f>
        <v>0</v>
      </c>
      <c r="D106" s="151">
        <f t="shared" si="100"/>
        <v>0</v>
      </c>
      <c r="E106" s="151">
        <f t="shared" si="100"/>
        <v>0</v>
      </c>
      <c r="F106" s="151">
        <f t="shared" si="100"/>
        <v>0</v>
      </c>
      <c r="G106" s="151">
        <f t="shared" si="100"/>
        <v>0</v>
      </c>
      <c r="H106" s="151">
        <f t="shared" si="100"/>
        <v>0</v>
      </c>
      <c r="I106" s="151">
        <f t="shared" si="100"/>
        <v>0</v>
      </c>
      <c r="J106" s="151">
        <f t="shared" si="100"/>
        <v>0</v>
      </c>
      <c r="K106" s="151">
        <f t="shared" si="100"/>
        <v>0</v>
      </c>
      <c r="L106" s="151">
        <f t="shared" si="100"/>
        <v>0</v>
      </c>
      <c r="M106" s="151">
        <f t="shared" si="100"/>
        <v>0</v>
      </c>
      <c r="N106" s="151">
        <f t="shared" si="100"/>
        <v>0</v>
      </c>
      <c r="O106" s="151">
        <f t="shared" si="100"/>
        <v>0</v>
      </c>
      <c r="P106" s="151">
        <f t="shared" si="100"/>
        <v>0</v>
      </c>
      <c r="Q106" s="151">
        <f t="shared" si="100"/>
        <v>0</v>
      </c>
      <c r="R106" s="151">
        <f t="shared" si="100"/>
        <v>0</v>
      </c>
      <c r="S106" s="151">
        <f t="shared" si="100"/>
        <v>0</v>
      </c>
      <c r="T106" s="151">
        <f t="shared" si="100"/>
        <v>12</v>
      </c>
      <c r="U106" s="151">
        <f t="shared" si="100"/>
        <v>12</v>
      </c>
      <c r="V106" s="151">
        <f t="shared" si="100"/>
        <v>0</v>
      </c>
      <c r="W106" s="151">
        <f t="shared" si="100"/>
        <v>0</v>
      </c>
      <c r="X106" s="151">
        <f t="shared" si="100"/>
        <v>0</v>
      </c>
      <c r="Y106" s="151">
        <f t="shared" si="100"/>
        <v>12</v>
      </c>
      <c r="Z106" s="151">
        <f t="shared" si="100"/>
        <v>12</v>
      </c>
      <c r="AA106" s="151">
        <f t="shared" si="100"/>
        <v>12</v>
      </c>
      <c r="AB106" s="151">
        <f t="shared" si="100"/>
        <v>0</v>
      </c>
      <c r="AC106" s="151">
        <f t="shared" si="100"/>
        <v>12</v>
      </c>
      <c r="AD106" s="151">
        <f t="shared" si="100"/>
        <v>12</v>
      </c>
      <c r="AE106" s="151">
        <f>IF(AE14=$R32,$BC32,IF(AE14=$R33,$BC33,IF(AE14=$R34,$BC34,IF(AE14=$R35,$BC35,IF(AE14=$R36,$BC36,IF(AE14=$R37,$BC37,IF(AE14=$R38,$BC38,IF(AE14=$R39,$BC39,IF(AE14=$R40,$BC40,0)))))))))</f>
        <v>12</v>
      </c>
      <c r="AF106" s="151">
        <f>IF(AF14=$R32,$BC32,IF(AF14=$R33,$BC33,IF(AF14=$R34,$BC34,IF(AF14=$R35,$BC35,IF(AF14=$R36,$BC36,IF(AF14=$R37,$BC37,IF(AF14=$R38,$BC38,IF(AF14=$R39,$BC39,IF(AF14=$R40,$BC40,0)))))))))</f>
        <v>0</v>
      </c>
      <c r="AG106" s="151">
        <f>IF(AG14=$R32,$BC32,IF(AG14=$R33,$BC33,IF(AG14=$R34,$BC34,IF(AG14=$R35,$BC35,IF(AG14=$R36,$BC36,IF(AG14=$R37,$BC37,IF(AG14=$R38,$BC38,IF(AG14=$R39,$BC39,IF(AG14=$R40,$BC40,0)))))))))</f>
        <v>0</v>
      </c>
      <c r="AH106" s="226">
        <f>SUM(C106:AG106)</f>
        <v>96</v>
      </c>
      <c r="AI106" s="226"/>
      <c r="AJ106" s="174" t="s">
        <v>62</v>
      </c>
      <c r="AK106" s="133" t="s">
        <v>12</v>
      </c>
      <c r="AL106" s="133"/>
    </row>
    <row r="107" spans="1:57" ht="15.95" hidden="1" customHeight="1" x14ac:dyDescent="0.25">
      <c r="A107" s="153" t="s">
        <v>48</v>
      </c>
      <c r="B107" s="149" t="s">
        <v>63</v>
      </c>
      <c r="C107" s="141">
        <f t="shared" ref="C107:AG107" si="101">IF(C46=1,IF(C102&lt;C103,C106,0))</f>
        <v>0</v>
      </c>
      <c r="D107" s="141" t="b">
        <f t="shared" si="101"/>
        <v>0</v>
      </c>
      <c r="E107" s="141" t="b">
        <f t="shared" si="101"/>
        <v>0</v>
      </c>
      <c r="F107" s="141" t="b">
        <f t="shared" si="101"/>
        <v>0</v>
      </c>
      <c r="G107" s="141" t="b">
        <f t="shared" si="101"/>
        <v>0</v>
      </c>
      <c r="H107" s="141" t="b">
        <f t="shared" si="101"/>
        <v>0</v>
      </c>
      <c r="I107" s="141">
        <f t="shared" si="101"/>
        <v>0</v>
      </c>
      <c r="J107" s="141">
        <f t="shared" si="101"/>
        <v>0</v>
      </c>
      <c r="K107" s="141" t="b">
        <f t="shared" si="101"/>
        <v>0</v>
      </c>
      <c r="L107" s="141" t="b">
        <f t="shared" si="101"/>
        <v>0</v>
      </c>
      <c r="M107" s="141" t="b">
        <f t="shared" si="101"/>
        <v>0</v>
      </c>
      <c r="N107" s="141" t="b">
        <f t="shared" si="101"/>
        <v>0</v>
      </c>
      <c r="O107" s="141" t="b">
        <f t="shared" si="101"/>
        <v>0</v>
      </c>
      <c r="P107" s="141">
        <f t="shared" si="101"/>
        <v>0</v>
      </c>
      <c r="Q107" s="141">
        <f t="shared" si="101"/>
        <v>0</v>
      </c>
      <c r="R107" s="141" t="b">
        <f t="shared" si="101"/>
        <v>0</v>
      </c>
      <c r="S107" s="141" t="b">
        <f t="shared" si="101"/>
        <v>0</v>
      </c>
      <c r="T107" s="141" t="b">
        <f t="shared" si="101"/>
        <v>0</v>
      </c>
      <c r="U107" s="141" t="b">
        <f t="shared" si="101"/>
        <v>0</v>
      </c>
      <c r="V107" s="141" t="b">
        <f t="shared" si="101"/>
        <v>0</v>
      </c>
      <c r="W107" s="141">
        <f t="shared" si="101"/>
        <v>0</v>
      </c>
      <c r="X107" s="141">
        <f t="shared" si="101"/>
        <v>0</v>
      </c>
      <c r="Y107" s="141" t="b">
        <f t="shared" si="101"/>
        <v>0</v>
      </c>
      <c r="Z107" s="141" t="b">
        <f t="shared" si="101"/>
        <v>0</v>
      </c>
      <c r="AA107" s="141" t="b">
        <f t="shared" si="101"/>
        <v>0</v>
      </c>
      <c r="AB107" s="141" t="b">
        <f t="shared" si="101"/>
        <v>0</v>
      </c>
      <c r="AC107" s="141" t="b">
        <f t="shared" si="101"/>
        <v>0</v>
      </c>
      <c r="AD107" s="141">
        <f t="shared" si="101"/>
        <v>12</v>
      </c>
      <c r="AE107" s="141">
        <f t="shared" si="101"/>
        <v>12</v>
      </c>
      <c r="AF107" s="141" t="b">
        <f t="shared" si="101"/>
        <v>0</v>
      </c>
      <c r="AG107" s="141" t="b">
        <f t="shared" si="101"/>
        <v>0</v>
      </c>
      <c r="AH107" s="154" t="s">
        <v>12</v>
      </c>
      <c r="AI107" s="133"/>
      <c r="AJ107" s="170"/>
      <c r="AK107" s="133"/>
      <c r="AL107" s="133"/>
      <c r="BE107" s="31"/>
    </row>
    <row r="108" spans="1:57" ht="15.95" hidden="1" customHeight="1" x14ac:dyDescent="0.25">
      <c r="A108" s="176"/>
      <c r="B108" s="149" t="s">
        <v>64</v>
      </c>
      <c r="C108" s="141">
        <f>IF(C46=1,IF(C113&gt;C114,24-C113,0),0)</f>
        <v>0</v>
      </c>
      <c r="D108" s="141">
        <f t="shared" ref="D108:AG108" si="102">IF(D46=1,IF(D102&gt;D103,24-D102,0),0)</f>
        <v>0</v>
      </c>
      <c r="E108" s="141">
        <f t="shared" si="102"/>
        <v>0</v>
      </c>
      <c r="F108" s="141">
        <f t="shared" si="102"/>
        <v>0</v>
      </c>
      <c r="G108" s="141">
        <f t="shared" si="102"/>
        <v>0</v>
      </c>
      <c r="H108" s="141">
        <f t="shared" si="102"/>
        <v>0</v>
      </c>
      <c r="I108" s="141">
        <f t="shared" si="102"/>
        <v>0</v>
      </c>
      <c r="J108" s="141">
        <f t="shared" si="102"/>
        <v>0</v>
      </c>
      <c r="K108" s="141">
        <f t="shared" si="102"/>
        <v>0</v>
      </c>
      <c r="L108" s="141">
        <f t="shared" si="102"/>
        <v>0</v>
      </c>
      <c r="M108" s="141">
        <f t="shared" si="102"/>
        <v>0</v>
      </c>
      <c r="N108" s="141">
        <f t="shared" si="102"/>
        <v>0</v>
      </c>
      <c r="O108" s="141">
        <f t="shared" si="102"/>
        <v>0</v>
      </c>
      <c r="P108" s="141">
        <f t="shared" si="102"/>
        <v>0</v>
      </c>
      <c r="Q108" s="141">
        <f t="shared" si="102"/>
        <v>0</v>
      </c>
      <c r="R108" s="141">
        <f t="shared" si="102"/>
        <v>0</v>
      </c>
      <c r="S108" s="141">
        <f t="shared" si="102"/>
        <v>0</v>
      </c>
      <c r="T108" s="141">
        <f t="shared" si="102"/>
        <v>0</v>
      </c>
      <c r="U108" s="141">
        <f t="shared" si="102"/>
        <v>0</v>
      </c>
      <c r="V108" s="141">
        <f t="shared" si="102"/>
        <v>0</v>
      </c>
      <c r="W108" s="141">
        <f t="shared" si="102"/>
        <v>0</v>
      </c>
      <c r="X108" s="141">
        <f t="shared" si="102"/>
        <v>0</v>
      </c>
      <c r="Y108" s="141">
        <f t="shared" si="102"/>
        <v>0</v>
      </c>
      <c r="Z108" s="141">
        <f t="shared" si="102"/>
        <v>0</v>
      </c>
      <c r="AA108" s="141">
        <f t="shared" si="102"/>
        <v>0</v>
      </c>
      <c r="AB108" s="141">
        <f t="shared" si="102"/>
        <v>0</v>
      </c>
      <c r="AC108" s="141">
        <f t="shared" si="102"/>
        <v>0</v>
      </c>
      <c r="AD108" s="141">
        <f t="shared" si="102"/>
        <v>0</v>
      </c>
      <c r="AE108" s="141">
        <f t="shared" si="102"/>
        <v>0</v>
      </c>
      <c r="AF108" s="141">
        <f t="shared" si="102"/>
        <v>0</v>
      </c>
      <c r="AG108" s="141">
        <f t="shared" si="102"/>
        <v>0</v>
      </c>
      <c r="AH108" s="154" t="s">
        <v>12</v>
      </c>
      <c r="AI108" s="133"/>
      <c r="AJ108" s="170"/>
      <c r="AK108" s="133"/>
      <c r="AL108" s="133"/>
    </row>
    <row r="109" spans="1:57" ht="15.95" hidden="1" customHeight="1" x14ac:dyDescent="0.25">
      <c r="A109" s="176"/>
      <c r="B109" s="149" t="s">
        <v>65</v>
      </c>
      <c r="C109" s="141">
        <f t="shared" ref="C109:AG109" si="103">IF(D46=1,IF(C102&gt;C103,C103,0),0)</f>
        <v>0</v>
      </c>
      <c r="D109" s="141">
        <f t="shared" si="103"/>
        <v>0</v>
      </c>
      <c r="E109" s="141">
        <f t="shared" si="103"/>
        <v>0</v>
      </c>
      <c r="F109" s="141">
        <f t="shared" si="103"/>
        <v>0</v>
      </c>
      <c r="G109" s="141">
        <f t="shared" si="103"/>
        <v>0</v>
      </c>
      <c r="H109" s="141">
        <f t="shared" si="103"/>
        <v>0</v>
      </c>
      <c r="I109" s="141">
        <f t="shared" si="103"/>
        <v>0</v>
      </c>
      <c r="J109" s="141">
        <f t="shared" si="103"/>
        <v>0</v>
      </c>
      <c r="K109" s="141">
        <f t="shared" si="103"/>
        <v>0</v>
      </c>
      <c r="L109" s="141">
        <f t="shared" si="103"/>
        <v>0</v>
      </c>
      <c r="M109" s="141">
        <f t="shared" si="103"/>
        <v>0</v>
      </c>
      <c r="N109" s="141">
        <f t="shared" si="103"/>
        <v>0</v>
      </c>
      <c r="O109" s="141">
        <f t="shared" si="103"/>
        <v>0</v>
      </c>
      <c r="P109" s="141">
        <f t="shared" si="103"/>
        <v>0</v>
      </c>
      <c r="Q109" s="141">
        <f t="shared" si="103"/>
        <v>0</v>
      </c>
      <c r="R109" s="141">
        <f t="shared" si="103"/>
        <v>0</v>
      </c>
      <c r="S109" s="141">
        <f t="shared" si="103"/>
        <v>0</v>
      </c>
      <c r="T109" s="141">
        <f t="shared" si="103"/>
        <v>0</v>
      </c>
      <c r="U109" s="141">
        <f t="shared" si="103"/>
        <v>0</v>
      </c>
      <c r="V109" s="141">
        <f t="shared" si="103"/>
        <v>0</v>
      </c>
      <c r="W109" s="141">
        <f t="shared" si="103"/>
        <v>0</v>
      </c>
      <c r="X109" s="141">
        <f>IF(Y46=1,IF(X102&gt;X103,X103,0),0)</f>
        <v>0</v>
      </c>
      <c r="Y109" s="141">
        <f t="shared" si="103"/>
        <v>0</v>
      </c>
      <c r="Z109" s="141">
        <f t="shared" si="103"/>
        <v>0</v>
      </c>
      <c r="AA109" s="141">
        <f t="shared" si="103"/>
        <v>0</v>
      </c>
      <c r="AB109" s="141">
        <f t="shared" si="103"/>
        <v>0</v>
      </c>
      <c r="AC109" s="141">
        <f t="shared" si="103"/>
        <v>0</v>
      </c>
      <c r="AD109" s="141">
        <f t="shared" si="103"/>
        <v>0</v>
      </c>
      <c r="AE109" s="141">
        <f t="shared" si="103"/>
        <v>0</v>
      </c>
      <c r="AF109" s="141">
        <f t="shared" si="103"/>
        <v>0</v>
      </c>
      <c r="AG109" s="141">
        <f t="shared" si="103"/>
        <v>0</v>
      </c>
      <c r="AH109" s="154" t="s">
        <v>12</v>
      </c>
      <c r="AI109" s="133"/>
      <c r="AJ109" s="170"/>
      <c r="AK109" s="133"/>
      <c r="AL109" s="133"/>
    </row>
    <row r="110" spans="1:57" ht="15.95" hidden="1" customHeight="1" x14ac:dyDescent="0.25">
      <c r="A110" s="176"/>
      <c r="B110" s="149" t="s">
        <v>67</v>
      </c>
      <c r="C110" s="171">
        <f t="shared" ref="C110:AG110" si="104">SUM(C107:C109)</f>
        <v>0</v>
      </c>
      <c r="D110" s="171">
        <f t="shared" si="104"/>
        <v>0</v>
      </c>
      <c r="E110" s="171">
        <f t="shared" si="104"/>
        <v>0</v>
      </c>
      <c r="F110" s="171">
        <f t="shared" si="104"/>
        <v>0</v>
      </c>
      <c r="G110" s="171">
        <f t="shared" si="104"/>
        <v>0</v>
      </c>
      <c r="H110" s="171">
        <f t="shared" si="104"/>
        <v>0</v>
      </c>
      <c r="I110" s="171">
        <f t="shared" si="104"/>
        <v>0</v>
      </c>
      <c r="J110" s="171">
        <f t="shared" si="104"/>
        <v>0</v>
      </c>
      <c r="K110" s="171">
        <f t="shared" si="104"/>
        <v>0</v>
      </c>
      <c r="L110" s="171">
        <f t="shared" si="104"/>
        <v>0</v>
      </c>
      <c r="M110" s="171">
        <f t="shared" si="104"/>
        <v>0</v>
      </c>
      <c r="N110" s="171">
        <f t="shared" si="104"/>
        <v>0</v>
      </c>
      <c r="O110" s="171">
        <f t="shared" si="104"/>
        <v>0</v>
      </c>
      <c r="P110" s="171">
        <f t="shared" si="104"/>
        <v>0</v>
      </c>
      <c r="Q110" s="171">
        <f t="shared" si="104"/>
        <v>0</v>
      </c>
      <c r="R110" s="171">
        <f t="shared" si="104"/>
        <v>0</v>
      </c>
      <c r="S110" s="171">
        <f t="shared" si="104"/>
        <v>0</v>
      </c>
      <c r="T110" s="171">
        <f t="shared" si="104"/>
        <v>0</v>
      </c>
      <c r="U110" s="171">
        <f t="shared" si="104"/>
        <v>0</v>
      </c>
      <c r="V110" s="171">
        <f t="shared" si="104"/>
        <v>0</v>
      </c>
      <c r="W110" s="171">
        <f t="shared" si="104"/>
        <v>0</v>
      </c>
      <c r="X110" s="171">
        <f t="shared" si="104"/>
        <v>0</v>
      </c>
      <c r="Y110" s="171">
        <f t="shared" si="104"/>
        <v>0</v>
      </c>
      <c r="Z110" s="171">
        <f t="shared" si="104"/>
        <v>0</v>
      </c>
      <c r="AA110" s="171">
        <f t="shared" si="104"/>
        <v>0</v>
      </c>
      <c r="AB110" s="171">
        <f t="shared" si="104"/>
        <v>0</v>
      </c>
      <c r="AC110" s="171">
        <f t="shared" si="104"/>
        <v>0</v>
      </c>
      <c r="AD110" s="171">
        <f t="shared" si="104"/>
        <v>12</v>
      </c>
      <c r="AE110" s="171">
        <f t="shared" si="104"/>
        <v>12</v>
      </c>
      <c r="AF110" s="171">
        <f t="shared" si="104"/>
        <v>0</v>
      </c>
      <c r="AG110" s="171">
        <f t="shared" si="104"/>
        <v>0</v>
      </c>
      <c r="AH110" s="154" t="s">
        <v>12</v>
      </c>
      <c r="AI110" s="133"/>
      <c r="AJ110" s="170"/>
      <c r="AK110" s="133"/>
      <c r="AL110" s="133"/>
    </row>
    <row r="111" spans="1:57" ht="15.95" hidden="1" customHeight="1" x14ac:dyDescent="0.25">
      <c r="A111" s="177"/>
      <c r="B111" s="160" t="s">
        <v>68</v>
      </c>
      <c r="C111" s="161">
        <f t="shared" ref="C111:AG111" si="105">IF(C14="V",IF(C14="",0,1),0)</f>
        <v>1</v>
      </c>
      <c r="D111" s="161">
        <f t="shared" si="105"/>
        <v>1</v>
      </c>
      <c r="E111" s="161">
        <f t="shared" si="105"/>
        <v>1</v>
      </c>
      <c r="F111" s="161">
        <f t="shared" si="105"/>
        <v>1</v>
      </c>
      <c r="G111" s="161">
        <f t="shared" si="105"/>
        <v>1</v>
      </c>
      <c r="H111" s="161">
        <f t="shared" si="105"/>
        <v>1</v>
      </c>
      <c r="I111" s="161">
        <f t="shared" si="105"/>
        <v>1</v>
      </c>
      <c r="J111" s="161">
        <f t="shared" si="105"/>
        <v>1</v>
      </c>
      <c r="K111" s="161">
        <f t="shared" si="105"/>
        <v>1</v>
      </c>
      <c r="L111" s="161">
        <f t="shared" si="105"/>
        <v>1</v>
      </c>
      <c r="M111" s="161">
        <f t="shared" si="105"/>
        <v>1</v>
      </c>
      <c r="N111" s="161">
        <f t="shared" si="105"/>
        <v>1</v>
      </c>
      <c r="O111" s="161">
        <f t="shared" si="105"/>
        <v>1</v>
      </c>
      <c r="P111" s="161">
        <f t="shared" si="105"/>
        <v>1</v>
      </c>
      <c r="Q111" s="161">
        <f t="shared" si="105"/>
        <v>1</v>
      </c>
      <c r="R111" s="161">
        <f t="shared" si="105"/>
        <v>0</v>
      </c>
      <c r="S111" s="161">
        <f t="shared" si="105"/>
        <v>0</v>
      </c>
      <c r="T111" s="161">
        <f t="shared" si="105"/>
        <v>0</v>
      </c>
      <c r="U111" s="161">
        <f t="shared" si="105"/>
        <v>0</v>
      </c>
      <c r="V111" s="161">
        <f t="shared" si="105"/>
        <v>0</v>
      </c>
      <c r="W111" s="161">
        <f t="shared" si="105"/>
        <v>0</v>
      </c>
      <c r="X111" s="161">
        <f t="shared" si="105"/>
        <v>0</v>
      </c>
      <c r="Y111" s="161">
        <f t="shared" si="105"/>
        <v>0</v>
      </c>
      <c r="Z111" s="161">
        <f t="shared" si="105"/>
        <v>0</v>
      </c>
      <c r="AA111" s="161">
        <f t="shared" si="105"/>
        <v>0</v>
      </c>
      <c r="AB111" s="161">
        <f t="shared" si="105"/>
        <v>0</v>
      </c>
      <c r="AC111" s="161">
        <f t="shared" si="105"/>
        <v>0</v>
      </c>
      <c r="AD111" s="161">
        <f t="shared" si="105"/>
        <v>0</v>
      </c>
      <c r="AE111" s="161">
        <f t="shared" si="105"/>
        <v>0</v>
      </c>
      <c r="AF111" s="161">
        <f t="shared" si="105"/>
        <v>0</v>
      </c>
      <c r="AG111" s="161">
        <f t="shared" si="105"/>
        <v>0</v>
      </c>
      <c r="AH111" s="154" t="s">
        <v>12</v>
      </c>
      <c r="AI111" s="133"/>
      <c r="AJ111" s="170"/>
      <c r="AK111" s="133"/>
      <c r="AL111" s="133"/>
    </row>
    <row r="112" spans="1:57" ht="15.95" hidden="1" customHeight="1" x14ac:dyDescent="0.25">
      <c r="A112" s="180"/>
      <c r="B112" s="181" t="s">
        <v>16</v>
      </c>
      <c r="C112" s="182">
        <f t="shared" ref="C112:AG112" si="106">IF(C14="PR",IF(C14="",0,1),0)</f>
        <v>0</v>
      </c>
      <c r="D112" s="182">
        <f t="shared" si="106"/>
        <v>0</v>
      </c>
      <c r="E112" s="182">
        <f t="shared" si="106"/>
        <v>0</v>
      </c>
      <c r="F112" s="182">
        <f t="shared" si="106"/>
        <v>0</v>
      </c>
      <c r="G112" s="182">
        <f t="shared" si="106"/>
        <v>0</v>
      </c>
      <c r="H112" s="182">
        <f t="shared" si="106"/>
        <v>0</v>
      </c>
      <c r="I112" s="182">
        <f t="shared" si="106"/>
        <v>0</v>
      </c>
      <c r="J112" s="182">
        <f t="shared" si="106"/>
        <v>0</v>
      </c>
      <c r="K112" s="182">
        <f t="shared" si="106"/>
        <v>0</v>
      </c>
      <c r="L112" s="182">
        <f t="shared" si="106"/>
        <v>0</v>
      </c>
      <c r="M112" s="182">
        <f t="shared" si="106"/>
        <v>0</v>
      </c>
      <c r="N112" s="182">
        <f t="shared" si="106"/>
        <v>0</v>
      </c>
      <c r="O112" s="182">
        <f t="shared" si="106"/>
        <v>0</v>
      </c>
      <c r="P112" s="182">
        <f t="shared" si="106"/>
        <v>0</v>
      </c>
      <c r="Q112" s="182">
        <f t="shared" si="106"/>
        <v>0</v>
      </c>
      <c r="R112" s="182">
        <f t="shared" si="106"/>
        <v>0</v>
      </c>
      <c r="S112" s="182">
        <f t="shared" si="106"/>
        <v>0</v>
      </c>
      <c r="T112" s="182">
        <f t="shared" si="106"/>
        <v>0</v>
      </c>
      <c r="U112" s="182">
        <f t="shared" si="106"/>
        <v>0</v>
      </c>
      <c r="V112" s="182">
        <f t="shared" si="106"/>
        <v>0</v>
      </c>
      <c r="W112" s="182">
        <f t="shared" si="106"/>
        <v>0</v>
      </c>
      <c r="X112" s="182">
        <f t="shared" si="106"/>
        <v>0</v>
      </c>
      <c r="Y112" s="182">
        <f t="shared" si="106"/>
        <v>0</v>
      </c>
      <c r="Z112" s="182">
        <f t="shared" si="106"/>
        <v>0</v>
      </c>
      <c r="AA112" s="182">
        <f t="shared" si="106"/>
        <v>0</v>
      </c>
      <c r="AB112" s="182">
        <f t="shared" si="106"/>
        <v>0</v>
      </c>
      <c r="AC112" s="182">
        <f t="shared" si="106"/>
        <v>0</v>
      </c>
      <c r="AD112" s="182">
        <f t="shared" si="106"/>
        <v>0</v>
      </c>
      <c r="AE112" s="182">
        <f t="shared" si="106"/>
        <v>0</v>
      </c>
      <c r="AF112" s="182">
        <f t="shared" si="106"/>
        <v>0</v>
      </c>
      <c r="AG112" s="182">
        <f t="shared" si="106"/>
        <v>0</v>
      </c>
      <c r="AH112" s="227">
        <f>SUM(C112:AG112)</f>
        <v>0</v>
      </c>
      <c r="AI112" s="227"/>
      <c r="AJ112" s="174" t="s">
        <v>69</v>
      </c>
      <c r="AK112" s="133"/>
      <c r="AL112" s="133"/>
    </row>
    <row r="113" spans="1:57" s="31" customFormat="1" ht="15.95" hidden="1" customHeight="1" x14ac:dyDescent="0.25">
      <c r="A113" s="164" t="s">
        <v>81</v>
      </c>
      <c r="B113" s="165" t="s">
        <v>29</v>
      </c>
      <c r="C113" s="141" t="str">
        <f t="shared" ref="C113:AG113" si="107">IF(C15=$R32,$S32*24,IF(C15=$R33,$S33*24,IF(C15=$R34,$S34*24,IF(C15=$R35,$S35*24,IF(C15=$R36,$S36*24,IF(C15=$R37,$S37*24,IF(C15=$R38,$S38*24,IF(C15=$R39,$S39*24,IF(C15=$R40,$S40*24,"")))))))))</f>
        <v/>
      </c>
      <c r="D113" s="141">
        <f t="shared" si="107"/>
        <v>18</v>
      </c>
      <c r="E113" s="141">
        <f t="shared" si="107"/>
        <v>18</v>
      </c>
      <c r="F113" s="141" t="str">
        <f t="shared" si="107"/>
        <v/>
      </c>
      <c r="G113" s="141" t="str">
        <f t="shared" si="107"/>
        <v/>
      </c>
      <c r="H113" s="141">
        <f t="shared" si="107"/>
        <v>18</v>
      </c>
      <c r="I113" s="141">
        <f t="shared" si="107"/>
        <v>18</v>
      </c>
      <c r="J113" s="141">
        <f t="shared" si="107"/>
        <v>18</v>
      </c>
      <c r="K113" s="141" t="str">
        <f t="shared" si="107"/>
        <v/>
      </c>
      <c r="L113" s="141">
        <f t="shared" si="107"/>
        <v>6</v>
      </c>
      <c r="M113" s="141">
        <f t="shared" si="107"/>
        <v>18</v>
      </c>
      <c r="N113" s="141">
        <f t="shared" si="107"/>
        <v>18</v>
      </c>
      <c r="O113" s="141" t="str">
        <f t="shared" si="107"/>
        <v/>
      </c>
      <c r="P113" s="141">
        <f t="shared" si="107"/>
        <v>6</v>
      </c>
      <c r="Q113" s="141">
        <f t="shared" si="107"/>
        <v>6</v>
      </c>
      <c r="R113" s="141">
        <f t="shared" si="107"/>
        <v>18</v>
      </c>
      <c r="S113" s="141">
        <f t="shared" si="107"/>
        <v>18</v>
      </c>
      <c r="T113" s="141" t="str">
        <f t="shared" si="107"/>
        <v/>
      </c>
      <c r="U113" s="141" t="str">
        <f t="shared" si="107"/>
        <v/>
      </c>
      <c r="V113" s="141">
        <f t="shared" si="107"/>
        <v>18</v>
      </c>
      <c r="W113" s="141">
        <f t="shared" si="107"/>
        <v>18</v>
      </c>
      <c r="X113" s="141">
        <f t="shared" si="107"/>
        <v>18</v>
      </c>
      <c r="Y113" s="141" t="str">
        <f t="shared" si="107"/>
        <v/>
      </c>
      <c r="Z113" s="141" t="str">
        <f t="shared" si="107"/>
        <v/>
      </c>
      <c r="AA113" s="141" t="str">
        <f t="shared" si="107"/>
        <v/>
      </c>
      <c r="AB113" s="141">
        <f t="shared" si="107"/>
        <v>18</v>
      </c>
      <c r="AC113" s="141" t="str">
        <f t="shared" si="107"/>
        <v/>
      </c>
      <c r="AD113" s="141" t="str">
        <f t="shared" si="107"/>
        <v/>
      </c>
      <c r="AE113" s="141" t="str">
        <f t="shared" si="107"/>
        <v/>
      </c>
      <c r="AF113" s="141">
        <f t="shared" si="107"/>
        <v>18</v>
      </c>
      <c r="AG113" s="141" t="str">
        <f t="shared" si="107"/>
        <v/>
      </c>
      <c r="AH113" s="154" t="s">
        <v>12</v>
      </c>
      <c r="AI113" s="133"/>
      <c r="AJ113" s="170"/>
      <c r="AK113" s="133"/>
      <c r="AL113" s="133"/>
      <c r="BE113" s="1"/>
    </row>
    <row r="114" spans="1:57" ht="15.95" hidden="1" customHeight="1" x14ac:dyDescent="0.25">
      <c r="A114" s="166" t="s">
        <v>82</v>
      </c>
      <c r="B114" s="167" t="s">
        <v>30</v>
      </c>
      <c r="C114" s="141" t="str">
        <f t="shared" ref="C114:AG114" si="108">IF(C15=$R32,$V32*24,IF(C15=$R33,$V33*24,IF(C15=$R34,$V34*24,IF(C15=$R35,$V35*24,IF(C15=$R36,$V36*24,IF(C15=$R37,$V37*24,IF(C15=$R38,$V38*24,IF(C15=$R39,$V39*24,IF(C15=$R40,$V40*24,"")))))))))</f>
        <v/>
      </c>
      <c r="D114" s="141">
        <f t="shared" si="108"/>
        <v>6</v>
      </c>
      <c r="E114" s="141">
        <f t="shared" si="108"/>
        <v>6</v>
      </c>
      <c r="F114" s="141" t="str">
        <f t="shared" si="108"/>
        <v/>
      </c>
      <c r="G114" s="141" t="str">
        <f t="shared" si="108"/>
        <v/>
      </c>
      <c r="H114" s="141">
        <f t="shared" si="108"/>
        <v>6</v>
      </c>
      <c r="I114" s="141">
        <f t="shared" si="108"/>
        <v>6</v>
      </c>
      <c r="J114" s="141">
        <f t="shared" si="108"/>
        <v>6</v>
      </c>
      <c r="K114" s="141" t="str">
        <f t="shared" si="108"/>
        <v/>
      </c>
      <c r="L114" s="141">
        <f t="shared" si="108"/>
        <v>18</v>
      </c>
      <c r="M114" s="141">
        <f t="shared" si="108"/>
        <v>6</v>
      </c>
      <c r="N114" s="141">
        <f t="shared" si="108"/>
        <v>6</v>
      </c>
      <c r="O114" s="141" t="str">
        <f t="shared" si="108"/>
        <v/>
      </c>
      <c r="P114" s="141">
        <f t="shared" si="108"/>
        <v>18</v>
      </c>
      <c r="Q114" s="141">
        <f t="shared" si="108"/>
        <v>18</v>
      </c>
      <c r="R114" s="141">
        <f t="shared" si="108"/>
        <v>6</v>
      </c>
      <c r="S114" s="141">
        <f t="shared" si="108"/>
        <v>6</v>
      </c>
      <c r="T114" s="141" t="str">
        <f t="shared" si="108"/>
        <v/>
      </c>
      <c r="U114" s="141" t="str">
        <f t="shared" si="108"/>
        <v/>
      </c>
      <c r="V114" s="141">
        <f t="shared" si="108"/>
        <v>6</v>
      </c>
      <c r="W114" s="141">
        <f t="shared" si="108"/>
        <v>6</v>
      </c>
      <c r="X114" s="141">
        <f t="shared" si="108"/>
        <v>6</v>
      </c>
      <c r="Y114" s="141" t="str">
        <f t="shared" si="108"/>
        <v/>
      </c>
      <c r="Z114" s="141" t="str">
        <f t="shared" si="108"/>
        <v/>
      </c>
      <c r="AA114" s="141" t="str">
        <f t="shared" si="108"/>
        <v/>
      </c>
      <c r="AB114" s="141">
        <f t="shared" si="108"/>
        <v>6</v>
      </c>
      <c r="AC114" s="141" t="str">
        <f t="shared" si="108"/>
        <v/>
      </c>
      <c r="AD114" s="141" t="str">
        <f t="shared" si="108"/>
        <v/>
      </c>
      <c r="AE114" s="141" t="str">
        <f t="shared" si="108"/>
        <v/>
      </c>
      <c r="AF114" s="141">
        <f t="shared" si="108"/>
        <v>6</v>
      </c>
      <c r="AG114" s="141" t="str">
        <f t="shared" si="108"/>
        <v/>
      </c>
      <c r="AH114" s="154" t="s">
        <v>12</v>
      </c>
      <c r="AI114" s="133"/>
      <c r="AJ114" s="170"/>
      <c r="AK114" s="133"/>
      <c r="AL114" s="133"/>
    </row>
    <row r="115" spans="1:57" ht="15.95" hidden="1" customHeight="1" x14ac:dyDescent="0.25">
      <c r="A115" s="153"/>
      <c r="B115" s="168" t="s">
        <v>34</v>
      </c>
      <c r="C115" s="169" t="str">
        <f t="shared" ref="C115:AD115" si="109">IF(C15=$R32,$BD32*24,IF(C15=$R33,$BD33*24,IF(C15=$R34,$BD34*24,IF(C15=$R35,$BD35*24,IF(C15=$R36,$BD36*24,IF(C15=$R37,$BD37*24,IF(C15=$R38,$BD38*24,IF(C15=$R39,$BD39*24,IF(C15=$R40,$BD40*24,"")))))))))</f>
        <v/>
      </c>
      <c r="D115" s="169">
        <f t="shared" si="109"/>
        <v>8</v>
      </c>
      <c r="E115" s="169">
        <f t="shared" si="109"/>
        <v>8</v>
      </c>
      <c r="F115" s="169" t="str">
        <f t="shared" si="109"/>
        <v/>
      </c>
      <c r="G115" s="169" t="str">
        <f t="shared" si="109"/>
        <v/>
      </c>
      <c r="H115" s="169">
        <f t="shared" si="109"/>
        <v>8</v>
      </c>
      <c r="I115" s="169">
        <f t="shared" si="109"/>
        <v>8</v>
      </c>
      <c r="J115" s="169">
        <f t="shared" si="109"/>
        <v>8</v>
      </c>
      <c r="K115" s="169" t="str">
        <f t="shared" si="109"/>
        <v/>
      </c>
      <c r="L115" s="169">
        <f t="shared" si="109"/>
        <v>0</v>
      </c>
      <c r="M115" s="169">
        <f t="shared" si="109"/>
        <v>8</v>
      </c>
      <c r="N115" s="169">
        <f t="shared" si="109"/>
        <v>8</v>
      </c>
      <c r="O115" s="169" t="str">
        <f t="shared" si="109"/>
        <v/>
      </c>
      <c r="P115" s="169">
        <f t="shared" si="109"/>
        <v>0</v>
      </c>
      <c r="Q115" s="169">
        <f t="shared" si="109"/>
        <v>0</v>
      </c>
      <c r="R115" s="169">
        <f t="shared" si="109"/>
        <v>8</v>
      </c>
      <c r="S115" s="169">
        <f t="shared" si="109"/>
        <v>8</v>
      </c>
      <c r="T115" s="169" t="str">
        <f t="shared" si="109"/>
        <v/>
      </c>
      <c r="U115" s="169" t="str">
        <f t="shared" si="109"/>
        <v/>
      </c>
      <c r="V115" s="169">
        <f t="shared" si="109"/>
        <v>8</v>
      </c>
      <c r="W115" s="169">
        <f t="shared" si="109"/>
        <v>8</v>
      </c>
      <c r="X115" s="169">
        <f t="shared" si="109"/>
        <v>8</v>
      </c>
      <c r="Y115" s="169" t="str">
        <f t="shared" si="109"/>
        <v/>
      </c>
      <c r="Z115" s="169" t="str">
        <f t="shared" si="109"/>
        <v/>
      </c>
      <c r="AA115" s="169" t="str">
        <f t="shared" si="109"/>
        <v/>
      </c>
      <c r="AB115" s="169">
        <f t="shared" si="109"/>
        <v>8</v>
      </c>
      <c r="AC115" s="169" t="str">
        <f t="shared" si="109"/>
        <v/>
      </c>
      <c r="AD115" s="169" t="str">
        <f t="shared" si="109"/>
        <v/>
      </c>
      <c r="AE115" s="169" t="str">
        <f>IF(AE15=$R32,$BD32*24,IF(AE15=$R33,$BD33*24,IF(AE15=$R34,$BD34*24,IF(AE15=$R35,$BD35*24,IF(AE15=$R36,$BD36*24,IF(AE15=$R37,$BD37*24,IF(AE15=$R38,$BD38*24,IF(AE15=$R39,$BD39*24,IF(AE15=$R40,$BD40*24,"")))))))))</f>
        <v/>
      </c>
      <c r="AF115" s="169">
        <f>IF(AF15=$R32,$BD32*24,IF(AF15=$R33,$BD33*24,IF(AF15=$R34,$BD34*24,IF(AF15=$R35,$BD35*24,IF(AF15=$R36,$BD36*24,IF(AF15=$R37,$BD37*24,IF(AF15=$R38,$BD38*24,IF(AF15=$R39,$BD39*24,IF(AF15=$R40,$BD40*24,"")))))))))</f>
        <v>8</v>
      </c>
      <c r="AG115" s="169" t="str">
        <f>IF(AG15=$R32,$BD32*24,IF(AG15=$R33,$BD33*24,IF(AG15=$R34,$BD34*24,IF(AG15=$R35,$BD35*24,IF(AG15=$R36,$BD36*24,IF(AG15=$R37,$BD37*24,IF(AG15=$R38,$BD38*24,IF(AG15=$R39,$BD39*24,IF(AG15=$R40,$BD40*24,"")))))))))</f>
        <v/>
      </c>
      <c r="AH115" s="148">
        <f>SUM(C115:AG115)</f>
        <v>112</v>
      </c>
      <c r="AI115" s="133"/>
      <c r="AJ115" s="170"/>
      <c r="AK115" s="133"/>
      <c r="AL115" s="133"/>
    </row>
    <row r="116" spans="1:57" ht="15.95" hidden="1" customHeight="1" x14ac:dyDescent="0.25">
      <c r="A116" s="153"/>
      <c r="B116" s="167" t="s">
        <v>59</v>
      </c>
      <c r="C116" s="141">
        <f t="shared" ref="C116:AG116" si="110">IF(C15="V",$C36,IF(C15="PR",$C38,0))</f>
        <v>0</v>
      </c>
      <c r="D116" s="141">
        <f t="shared" si="110"/>
        <v>0</v>
      </c>
      <c r="E116" s="141">
        <f t="shared" si="110"/>
        <v>0</v>
      </c>
      <c r="F116" s="141">
        <f t="shared" si="110"/>
        <v>0</v>
      </c>
      <c r="G116" s="141">
        <f t="shared" si="110"/>
        <v>0</v>
      </c>
      <c r="H116" s="141">
        <f t="shared" si="110"/>
        <v>0</v>
      </c>
      <c r="I116" s="141">
        <f t="shared" si="110"/>
        <v>0</v>
      </c>
      <c r="J116" s="141">
        <f t="shared" si="110"/>
        <v>0</v>
      </c>
      <c r="K116" s="141">
        <f t="shared" si="110"/>
        <v>0</v>
      </c>
      <c r="L116" s="141">
        <f t="shared" si="110"/>
        <v>0</v>
      </c>
      <c r="M116" s="141">
        <f t="shared" si="110"/>
        <v>0</v>
      </c>
      <c r="N116" s="141">
        <f t="shared" si="110"/>
        <v>0</v>
      </c>
      <c r="O116" s="141">
        <f t="shared" si="110"/>
        <v>0</v>
      </c>
      <c r="P116" s="141">
        <f t="shared" si="110"/>
        <v>0</v>
      </c>
      <c r="Q116" s="141">
        <f t="shared" si="110"/>
        <v>0</v>
      </c>
      <c r="R116" s="141">
        <f t="shared" si="110"/>
        <v>0</v>
      </c>
      <c r="S116" s="141">
        <f t="shared" si="110"/>
        <v>0</v>
      </c>
      <c r="T116" s="141">
        <f t="shared" si="110"/>
        <v>0</v>
      </c>
      <c r="U116" s="141">
        <f t="shared" si="110"/>
        <v>0</v>
      </c>
      <c r="V116" s="141">
        <f t="shared" si="110"/>
        <v>0</v>
      </c>
      <c r="W116" s="141">
        <f t="shared" si="110"/>
        <v>0</v>
      </c>
      <c r="X116" s="141">
        <f t="shared" si="110"/>
        <v>0</v>
      </c>
      <c r="Y116" s="141">
        <f t="shared" si="110"/>
        <v>0</v>
      </c>
      <c r="Z116" s="141">
        <f t="shared" si="110"/>
        <v>0</v>
      </c>
      <c r="AA116" s="141">
        <f t="shared" si="110"/>
        <v>0</v>
      </c>
      <c r="AB116" s="141">
        <f t="shared" si="110"/>
        <v>0</v>
      </c>
      <c r="AC116" s="141">
        <f t="shared" si="110"/>
        <v>0</v>
      </c>
      <c r="AD116" s="141">
        <f t="shared" si="110"/>
        <v>0</v>
      </c>
      <c r="AE116" s="141">
        <f t="shared" si="110"/>
        <v>0</v>
      </c>
      <c r="AF116" s="141">
        <f t="shared" si="110"/>
        <v>0</v>
      </c>
      <c r="AG116" s="141">
        <f t="shared" si="110"/>
        <v>0</v>
      </c>
      <c r="AH116" s="226">
        <f>SUM(C116:AG116)</f>
        <v>0</v>
      </c>
      <c r="AI116" s="226"/>
      <c r="AJ116" s="230">
        <f>SUM(AH61+AH72+AH83+AH94+AH105+AH116)</f>
        <v>156.6</v>
      </c>
      <c r="AK116" s="230"/>
      <c r="AL116" s="133" t="s">
        <v>56</v>
      </c>
    </row>
    <row r="117" spans="1:57" ht="15.95" hidden="1" customHeight="1" x14ac:dyDescent="0.25">
      <c r="A117" s="150" t="s">
        <v>60</v>
      </c>
      <c r="B117" s="167" t="s">
        <v>61</v>
      </c>
      <c r="C117" s="151">
        <f t="shared" ref="C117:AD117" si="111">IF(C15=$R32,$BC32,IF(C15=$R33,$BC33,IF(C15=$R34,$BC34,IF(C15=$R35,$BC35,IF(C15=$R36,$BC36,IF(C15=$R37,$BC37,IF(C15=$R38,$BC38,IF(C15=$R39,$BC39,IF(C15=$R40,$BC40,0)))))))))</f>
        <v>0</v>
      </c>
      <c r="D117" s="151">
        <f t="shared" si="111"/>
        <v>12</v>
      </c>
      <c r="E117" s="151">
        <f t="shared" si="111"/>
        <v>12</v>
      </c>
      <c r="F117" s="151">
        <f t="shared" si="111"/>
        <v>0</v>
      </c>
      <c r="G117" s="151">
        <f t="shared" si="111"/>
        <v>0</v>
      </c>
      <c r="H117" s="151">
        <f t="shared" si="111"/>
        <v>12</v>
      </c>
      <c r="I117" s="151">
        <f t="shared" si="111"/>
        <v>12</v>
      </c>
      <c r="J117" s="151">
        <f t="shared" si="111"/>
        <v>12</v>
      </c>
      <c r="K117" s="151">
        <f t="shared" si="111"/>
        <v>0</v>
      </c>
      <c r="L117" s="151">
        <f t="shared" si="111"/>
        <v>12</v>
      </c>
      <c r="M117" s="151">
        <f t="shared" si="111"/>
        <v>12</v>
      </c>
      <c r="N117" s="151">
        <f t="shared" si="111"/>
        <v>12</v>
      </c>
      <c r="O117" s="151">
        <f t="shared" si="111"/>
        <v>0</v>
      </c>
      <c r="P117" s="151">
        <f t="shared" si="111"/>
        <v>12</v>
      </c>
      <c r="Q117" s="151">
        <f t="shared" si="111"/>
        <v>12</v>
      </c>
      <c r="R117" s="151">
        <f t="shared" si="111"/>
        <v>12</v>
      </c>
      <c r="S117" s="151">
        <f t="shared" si="111"/>
        <v>12</v>
      </c>
      <c r="T117" s="151">
        <f t="shared" si="111"/>
        <v>0</v>
      </c>
      <c r="U117" s="151">
        <f t="shared" si="111"/>
        <v>0</v>
      </c>
      <c r="V117" s="151">
        <f t="shared" si="111"/>
        <v>12</v>
      </c>
      <c r="W117" s="151">
        <f t="shared" si="111"/>
        <v>12</v>
      </c>
      <c r="X117" s="151">
        <f t="shared" si="111"/>
        <v>12</v>
      </c>
      <c r="Y117" s="151">
        <f t="shared" si="111"/>
        <v>0</v>
      </c>
      <c r="Z117" s="151">
        <f t="shared" si="111"/>
        <v>0</v>
      </c>
      <c r="AA117" s="151">
        <f t="shared" si="111"/>
        <v>0</v>
      </c>
      <c r="AB117" s="151">
        <f t="shared" si="111"/>
        <v>12</v>
      </c>
      <c r="AC117" s="151">
        <f t="shared" si="111"/>
        <v>0</v>
      </c>
      <c r="AD117" s="151">
        <f t="shared" si="111"/>
        <v>0</v>
      </c>
      <c r="AE117" s="151">
        <f>IF(AE15=$R32,$BC32,IF(AE15=$R33,$BC33,IF(AE15=$R34,$BC34,IF(AE15=$R35,$BC35,IF(AE15=$R36,$BC36,IF(AE15=$R37,$BC37,IF(AE15=$R38,$BC38,IF(AE15=$R39,$BC39,IF(AE15=$R40,$BC40,0)))))))))</f>
        <v>0</v>
      </c>
      <c r="AF117" s="151">
        <f>IF(AF15=$R32,$BC32,IF(AF15=$R33,$BC33,IF(AF15=$R34,$BC34,IF(AF15=$R35,$BC35,IF(AF15=$R36,$BC36,IF(AF15=$R37,$BC37,IF(AF15=$R38,$BC38,IF(AF15=$R39,$BC39,IF(AF15=$R40,$BC40,0)))))))))</f>
        <v>12</v>
      </c>
      <c r="AG117" s="151">
        <f>IF(AG15=$R32,$BC32,IF(AG15=$R33,$BC33,IF(AG15=$R34,$BC34,IF(AG15=$R35,$BC35,IF(AG15=$R36,$BC36,IF(AG15=$R37,$BC37,IF(AG15=$R38,$BC38,IF(AG15=$R39,$BC39,IF(AG15=$R40,$BC40,0)))))))))</f>
        <v>0</v>
      </c>
      <c r="AH117" s="226">
        <f>SUM(C117:AG117)</f>
        <v>204</v>
      </c>
      <c r="AI117" s="226"/>
      <c r="AJ117" s="174" t="s">
        <v>62</v>
      </c>
      <c r="AK117" s="133" t="s">
        <v>12</v>
      </c>
      <c r="AL117" s="133"/>
    </row>
    <row r="118" spans="1:57" ht="15.95" hidden="1" customHeight="1" x14ac:dyDescent="0.25">
      <c r="A118" s="153" t="s">
        <v>48</v>
      </c>
      <c r="B118" s="149" t="s">
        <v>63</v>
      </c>
      <c r="C118" s="141">
        <f t="shared" ref="C118:AG118" si="112">IF(C46=1,IF(C113&lt;C114,C117,0))</f>
        <v>0</v>
      </c>
      <c r="D118" s="141" t="b">
        <f t="shared" si="112"/>
        <v>0</v>
      </c>
      <c r="E118" s="141" t="b">
        <f t="shared" si="112"/>
        <v>0</v>
      </c>
      <c r="F118" s="141" t="b">
        <f t="shared" si="112"/>
        <v>0</v>
      </c>
      <c r="G118" s="141" t="b">
        <f t="shared" si="112"/>
        <v>0</v>
      </c>
      <c r="H118" s="141" t="b">
        <f t="shared" si="112"/>
        <v>0</v>
      </c>
      <c r="I118" s="141">
        <f t="shared" si="112"/>
        <v>0</v>
      </c>
      <c r="J118" s="141">
        <f t="shared" si="112"/>
        <v>0</v>
      </c>
      <c r="K118" s="141" t="b">
        <f t="shared" si="112"/>
        <v>0</v>
      </c>
      <c r="L118" s="141" t="b">
        <f t="shared" si="112"/>
        <v>0</v>
      </c>
      <c r="M118" s="141" t="b">
        <f t="shared" si="112"/>
        <v>0</v>
      </c>
      <c r="N118" s="141" t="b">
        <f t="shared" si="112"/>
        <v>0</v>
      </c>
      <c r="O118" s="141" t="b">
        <f t="shared" si="112"/>
        <v>0</v>
      </c>
      <c r="P118" s="141">
        <f t="shared" si="112"/>
        <v>12</v>
      </c>
      <c r="Q118" s="141">
        <f t="shared" si="112"/>
        <v>12</v>
      </c>
      <c r="R118" s="141" t="b">
        <f t="shared" si="112"/>
        <v>0</v>
      </c>
      <c r="S118" s="141" t="b">
        <f t="shared" si="112"/>
        <v>0</v>
      </c>
      <c r="T118" s="141" t="b">
        <f t="shared" si="112"/>
        <v>0</v>
      </c>
      <c r="U118" s="141" t="b">
        <f t="shared" si="112"/>
        <v>0</v>
      </c>
      <c r="V118" s="141" t="b">
        <f t="shared" si="112"/>
        <v>0</v>
      </c>
      <c r="W118" s="141">
        <f t="shared" si="112"/>
        <v>0</v>
      </c>
      <c r="X118" s="141">
        <f t="shared" si="112"/>
        <v>0</v>
      </c>
      <c r="Y118" s="141" t="b">
        <f t="shared" si="112"/>
        <v>0</v>
      </c>
      <c r="Z118" s="141" t="b">
        <f t="shared" si="112"/>
        <v>0</v>
      </c>
      <c r="AA118" s="141" t="b">
        <f t="shared" si="112"/>
        <v>0</v>
      </c>
      <c r="AB118" s="141" t="b">
        <f t="shared" si="112"/>
        <v>0</v>
      </c>
      <c r="AC118" s="141" t="b">
        <f t="shared" si="112"/>
        <v>0</v>
      </c>
      <c r="AD118" s="141">
        <f t="shared" si="112"/>
        <v>0</v>
      </c>
      <c r="AE118" s="141">
        <f t="shared" si="112"/>
        <v>0</v>
      </c>
      <c r="AF118" s="141" t="b">
        <f t="shared" si="112"/>
        <v>0</v>
      </c>
      <c r="AG118" s="141" t="b">
        <f t="shared" si="112"/>
        <v>0</v>
      </c>
      <c r="AH118" s="154" t="s">
        <v>12</v>
      </c>
      <c r="AI118" s="133"/>
      <c r="AJ118" s="170"/>
      <c r="AK118" s="133"/>
      <c r="AL118" s="133"/>
    </row>
    <row r="119" spans="1:57" ht="15.95" hidden="1" customHeight="1" x14ac:dyDescent="0.25">
      <c r="A119" s="176"/>
      <c r="B119" s="149" t="s">
        <v>64</v>
      </c>
      <c r="C119" s="141">
        <f t="shared" ref="C119:AG119" si="113">IF(C46=1,IF(C113&gt;C114,24-C113,0),0)</f>
        <v>0</v>
      </c>
      <c r="D119" s="141">
        <f t="shared" si="113"/>
        <v>0</v>
      </c>
      <c r="E119" s="141">
        <f t="shared" si="113"/>
        <v>0</v>
      </c>
      <c r="F119" s="141">
        <f t="shared" si="113"/>
        <v>0</v>
      </c>
      <c r="G119" s="141">
        <f t="shared" si="113"/>
        <v>0</v>
      </c>
      <c r="H119" s="141">
        <f t="shared" si="113"/>
        <v>0</v>
      </c>
      <c r="I119" s="141">
        <f t="shared" si="113"/>
        <v>6</v>
      </c>
      <c r="J119" s="141">
        <f t="shared" si="113"/>
        <v>6</v>
      </c>
      <c r="K119" s="141">
        <f t="shared" si="113"/>
        <v>0</v>
      </c>
      <c r="L119" s="141">
        <f t="shared" si="113"/>
        <v>0</v>
      </c>
      <c r="M119" s="141">
        <f t="shared" si="113"/>
        <v>0</v>
      </c>
      <c r="N119" s="141">
        <f t="shared" si="113"/>
        <v>0</v>
      </c>
      <c r="O119" s="141">
        <f t="shared" si="113"/>
        <v>0</v>
      </c>
      <c r="P119" s="141">
        <f t="shared" si="113"/>
        <v>0</v>
      </c>
      <c r="Q119" s="141">
        <f t="shared" si="113"/>
        <v>0</v>
      </c>
      <c r="R119" s="141">
        <f t="shared" si="113"/>
        <v>0</v>
      </c>
      <c r="S119" s="141">
        <f t="shared" si="113"/>
        <v>0</v>
      </c>
      <c r="T119" s="141">
        <f t="shared" si="113"/>
        <v>0</v>
      </c>
      <c r="U119" s="141">
        <f t="shared" si="113"/>
        <v>0</v>
      </c>
      <c r="V119" s="141">
        <f t="shared" si="113"/>
        <v>0</v>
      </c>
      <c r="W119" s="141">
        <f t="shared" si="113"/>
        <v>6</v>
      </c>
      <c r="X119" s="141">
        <f t="shared" si="113"/>
        <v>6</v>
      </c>
      <c r="Y119" s="141">
        <f t="shared" si="113"/>
        <v>0</v>
      </c>
      <c r="Z119" s="141">
        <f t="shared" si="113"/>
        <v>0</v>
      </c>
      <c r="AA119" s="141">
        <f t="shared" si="113"/>
        <v>0</v>
      </c>
      <c r="AB119" s="141">
        <f t="shared" si="113"/>
        <v>0</v>
      </c>
      <c r="AC119" s="141">
        <f t="shared" si="113"/>
        <v>0</v>
      </c>
      <c r="AD119" s="141">
        <f t="shared" si="113"/>
        <v>0</v>
      </c>
      <c r="AE119" s="141">
        <f t="shared" si="113"/>
        <v>0</v>
      </c>
      <c r="AF119" s="141">
        <f t="shared" si="113"/>
        <v>0</v>
      </c>
      <c r="AG119" s="141">
        <f t="shared" si="113"/>
        <v>0</v>
      </c>
      <c r="AH119" s="154" t="s">
        <v>12</v>
      </c>
      <c r="AI119" s="133"/>
      <c r="AJ119" s="170"/>
      <c r="AK119" s="133"/>
      <c r="AL119" s="133"/>
    </row>
    <row r="120" spans="1:57" ht="15.95" hidden="1" customHeight="1" x14ac:dyDescent="0.25">
      <c r="A120" s="176"/>
      <c r="B120" s="149" t="s">
        <v>65</v>
      </c>
      <c r="C120" s="141">
        <f t="shared" ref="C120:AG120" si="114">IF(D46=1,IF(C113&gt;C114,C114,0),0)</f>
        <v>0</v>
      </c>
      <c r="D120" s="141">
        <f t="shared" si="114"/>
        <v>0</v>
      </c>
      <c r="E120" s="141">
        <f t="shared" si="114"/>
        <v>0</v>
      </c>
      <c r="F120" s="141">
        <f t="shared" si="114"/>
        <v>0</v>
      </c>
      <c r="G120" s="141">
        <f t="shared" si="114"/>
        <v>0</v>
      </c>
      <c r="H120" s="141">
        <f t="shared" si="114"/>
        <v>6</v>
      </c>
      <c r="I120" s="141">
        <f t="shared" si="114"/>
        <v>6</v>
      </c>
      <c r="J120" s="141">
        <f t="shared" si="114"/>
        <v>0</v>
      </c>
      <c r="K120" s="141">
        <f t="shared" si="114"/>
        <v>0</v>
      </c>
      <c r="L120" s="141">
        <f t="shared" si="114"/>
        <v>0</v>
      </c>
      <c r="M120" s="141">
        <f t="shared" si="114"/>
        <v>0</v>
      </c>
      <c r="N120" s="141">
        <f t="shared" si="114"/>
        <v>0</v>
      </c>
      <c r="O120" s="141">
        <f t="shared" si="114"/>
        <v>0</v>
      </c>
      <c r="P120" s="141">
        <f t="shared" si="114"/>
        <v>0</v>
      </c>
      <c r="Q120" s="141">
        <f t="shared" si="114"/>
        <v>0</v>
      </c>
      <c r="R120" s="141">
        <f t="shared" si="114"/>
        <v>0</v>
      </c>
      <c r="S120" s="141">
        <f t="shared" si="114"/>
        <v>0</v>
      </c>
      <c r="T120" s="141">
        <f t="shared" si="114"/>
        <v>0</v>
      </c>
      <c r="U120" s="141">
        <f t="shared" si="114"/>
        <v>0</v>
      </c>
      <c r="V120" s="141">
        <f t="shared" si="114"/>
        <v>6</v>
      </c>
      <c r="W120" s="141">
        <f t="shared" si="114"/>
        <v>6</v>
      </c>
      <c r="X120" s="141">
        <f>IF(Y46=1,IF(X113&gt;X114,X114,0),0)</f>
        <v>0</v>
      </c>
      <c r="Y120" s="141">
        <f t="shared" si="114"/>
        <v>0</v>
      </c>
      <c r="Z120" s="141">
        <f t="shared" si="114"/>
        <v>0</v>
      </c>
      <c r="AA120" s="141">
        <f t="shared" si="114"/>
        <v>0</v>
      </c>
      <c r="AB120" s="141">
        <f t="shared" si="114"/>
        <v>0</v>
      </c>
      <c r="AC120" s="141">
        <f t="shared" si="114"/>
        <v>0</v>
      </c>
      <c r="AD120" s="141">
        <f t="shared" si="114"/>
        <v>0</v>
      </c>
      <c r="AE120" s="141">
        <f t="shared" si="114"/>
        <v>0</v>
      </c>
      <c r="AF120" s="141">
        <f t="shared" si="114"/>
        <v>0</v>
      </c>
      <c r="AG120" s="141">
        <f t="shared" si="114"/>
        <v>0</v>
      </c>
      <c r="AH120" s="154" t="s">
        <v>12</v>
      </c>
      <c r="AI120" s="133"/>
      <c r="AJ120" s="170"/>
      <c r="AK120" s="133"/>
      <c r="AL120" s="133"/>
    </row>
    <row r="121" spans="1:57" ht="15.95" hidden="1" customHeight="1" x14ac:dyDescent="0.25">
      <c r="A121" s="176"/>
      <c r="B121" s="149" t="s">
        <v>67</v>
      </c>
      <c r="C121" s="171">
        <f t="shared" ref="C121:AG121" si="115">SUM(C118:C120)</f>
        <v>0</v>
      </c>
      <c r="D121" s="171">
        <f t="shared" si="115"/>
        <v>0</v>
      </c>
      <c r="E121" s="171">
        <f t="shared" si="115"/>
        <v>0</v>
      </c>
      <c r="F121" s="171">
        <f t="shared" si="115"/>
        <v>0</v>
      </c>
      <c r="G121" s="171">
        <f t="shared" si="115"/>
        <v>0</v>
      </c>
      <c r="H121" s="171">
        <f t="shared" si="115"/>
        <v>6</v>
      </c>
      <c r="I121" s="171">
        <f t="shared" si="115"/>
        <v>12</v>
      </c>
      <c r="J121" s="171">
        <f t="shared" si="115"/>
        <v>6</v>
      </c>
      <c r="K121" s="171">
        <f t="shared" si="115"/>
        <v>0</v>
      </c>
      <c r="L121" s="171">
        <f t="shared" si="115"/>
        <v>0</v>
      </c>
      <c r="M121" s="171">
        <f t="shared" si="115"/>
        <v>0</v>
      </c>
      <c r="N121" s="171">
        <f t="shared" si="115"/>
        <v>0</v>
      </c>
      <c r="O121" s="171">
        <f t="shared" si="115"/>
        <v>0</v>
      </c>
      <c r="P121" s="171">
        <f t="shared" si="115"/>
        <v>12</v>
      </c>
      <c r="Q121" s="171">
        <f t="shared" si="115"/>
        <v>12</v>
      </c>
      <c r="R121" s="171">
        <f t="shared" si="115"/>
        <v>0</v>
      </c>
      <c r="S121" s="171">
        <f t="shared" si="115"/>
        <v>0</v>
      </c>
      <c r="T121" s="171">
        <f t="shared" si="115"/>
        <v>0</v>
      </c>
      <c r="U121" s="171">
        <f t="shared" si="115"/>
        <v>0</v>
      </c>
      <c r="V121" s="171">
        <f t="shared" si="115"/>
        <v>6</v>
      </c>
      <c r="W121" s="171">
        <f t="shared" si="115"/>
        <v>12</v>
      </c>
      <c r="X121" s="171">
        <f t="shared" si="115"/>
        <v>6</v>
      </c>
      <c r="Y121" s="171">
        <f t="shared" si="115"/>
        <v>0</v>
      </c>
      <c r="Z121" s="171">
        <f t="shared" si="115"/>
        <v>0</v>
      </c>
      <c r="AA121" s="171">
        <f t="shared" si="115"/>
        <v>0</v>
      </c>
      <c r="AB121" s="171">
        <f t="shared" si="115"/>
        <v>0</v>
      </c>
      <c r="AC121" s="171">
        <f t="shared" si="115"/>
        <v>0</v>
      </c>
      <c r="AD121" s="171">
        <f t="shared" si="115"/>
        <v>0</v>
      </c>
      <c r="AE121" s="171">
        <f t="shared" si="115"/>
        <v>0</v>
      </c>
      <c r="AF121" s="171">
        <f t="shared" si="115"/>
        <v>0</v>
      </c>
      <c r="AG121" s="171">
        <f t="shared" si="115"/>
        <v>0</v>
      </c>
      <c r="AH121" s="154" t="s">
        <v>12</v>
      </c>
      <c r="AI121" s="133"/>
      <c r="AJ121" s="170"/>
      <c r="AK121" s="133"/>
      <c r="AL121" s="133"/>
    </row>
    <row r="122" spans="1:57" ht="15.95" hidden="1" customHeight="1" x14ac:dyDescent="0.25">
      <c r="A122" s="177"/>
      <c r="B122" s="160" t="s">
        <v>68</v>
      </c>
      <c r="C122" s="182">
        <f t="shared" ref="C122:AG122" si="116">IF(C15="V",IF(C15="",0,1),0)</f>
        <v>0</v>
      </c>
      <c r="D122" s="182">
        <f t="shared" si="116"/>
        <v>0</v>
      </c>
      <c r="E122" s="182">
        <f t="shared" si="116"/>
        <v>0</v>
      </c>
      <c r="F122" s="182">
        <f t="shared" si="116"/>
        <v>0</v>
      </c>
      <c r="G122" s="182">
        <f t="shared" si="116"/>
        <v>0</v>
      </c>
      <c r="H122" s="182">
        <f t="shared" si="116"/>
        <v>0</v>
      </c>
      <c r="I122" s="182">
        <f t="shared" si="116"/>
        <v>0</v>
      </c>
      <c r="J122" s="182">
        <f t="shared" si="116"/>
        <v>0</v>
      </c>
      <c r="K122" s="182">
        <f t="shared" si="116"/>
        <v>0</v>
      </c>
      <c r="L122" s="182">
        <f t="shared" si="116"/>
        <v>0</v>
      </c>
      <c r="M122" s="182">
        <f t="shared" si="116"/>
        <v>0</v>
      </c>
      <c r="N122" s="182">
        <f t="shared" si="116"/>
        <v>0</v>
      </c>
      <c r="O122" s="182">
        <f t="shared" si="116"/>
        <v>0</v>
      </c>
      <c r="P122" s="182">
        <f t="shared" si="116"/>
        <v>0</v>
      </c>
      <c r="Q122" s="182">
        <f t="shared" si="116"/>
        <v>0</v>
      </c>
      <c r="R122" s="182">
        <f t="shared" si="116"/>
        <v>0</v>
      </c>
      <c r="S122" s="182">
        <f t="shared" si="116"/>
        <v>0</v>
      </c>
      <c r="T122" s="182">
        <f t="shared" si="116"/>
        <v>0</v>
      </c>
      <c r="U122" s="182">
        <f t="shared" si="116"/>
        <v>0</v>
      </c>
      <c r="V122" s="182">
        <f t="shared" si="116"/>
        <v>0</v>
      </c>
      <c r="W122" s="182">
        <f t="shared" si="116"/>
        <v>0</v>
      </c>
      <c r="X122" s="182">
        <f t="shared" si="116"/>
        <v>0</v>
      </c>
      <c r="Y122" s="182">
        <f t="shared" si="116"/>
        <v>0</v>
      </c>
      <c r="Z122" s="182">
        <f t="shared" si="116"/>
        <v>0</v>
      </c>
      <c r="AA122" s="182">
        <f t="shared" si="116"/>
        <v>0</v>
      </c>
      <c r="AB122" s="182">
        <f t="shared" si="116"/>
        <v>0</v>
      </c>
      <c r="AC122" s="182">
        <f t="shared" si="116"/>
        <v>0</v>
      </c>
      <c r="AD122" s="182">
        <f t="shared" si="116"/>
        <v>0</v>
      </c>
      <c r="AE122" s="182">
        <f t="shared" si="116"/>
        <v>0</v>
      </c>
      <c r="AF122" s="182">
        <f t="shared" si="116"/>
        <v>0</v>
      </c>
      <c r="AG122" s="182">
        <f t="shared" si="116"/>
        <v>0</v>
      </c>
      <c r="AH122" s="154" t="s">
        <v>12</v>
      </c>
      <c r="AI122" s="133"/>
      <c r="AJ122" s="170"/>
      <c r="AK122" s="133"/>
      <c r="AL122" s="133"/>
    </row>
    <row r="123" spans="1:57" ht="15.95" hidden="1" customHeight="1" x14ac:dyDescent="0.25">
      <c r="A123" s="180"/>
      <c r="B123" s="181" t="s">
        <v>16</v>
      </c>
      <c r="C123" s="182">
        <f t="shared" ref="C123:AG123" si="117">IF(C15="PR",IF(C15="",0,1),0)</f>
        <v>0</v>
      </c>
      <c r="D123" s="182">
        <f t="shared" si="117"/>
        <v>0</v>
      </c>
      <c r="E123" s="182">
        <f t="shared" si="117"/>
        <v>0</v>
      </c>
      <c r="F123" s="182">
        <f t="shared" si="117"/>
        <v>0</v>
      </c>
      <c r="G123" s="182">
        <f t="shared" si="117"/>
        <v>0</v>
      </c>
      <c r="H123" s="182">
        <f t="shared" si="117"/>
        <v>0</v>
      </c>
      <c r="I123" s="182">
        <f t="shared" si="117"/>
        <v>0</v>
      </c>
      <c r="J123" s="182">
        <f t="shared" si="117"/>
        <v>0</v>
      </c>
      <c r="K123" s="182">
        <f t="shared" si="117"/>
        <v>0</v>
      </c>
      <c r="L123" s="182">
        <f t="shared" si="117"/>
        <v>0</v>
      </c>
      <c r="M123" s="182">
        <f t="shared" si="117"/>
        <v>0</v>
      </c>
      <c r="N123" s="182">
        <f t="shared" si="117"/>
        <v>0</v>
      </c>
      <c r="O123" s="182">
        <f t="shared" si="117"/>
        <v>0</v>
      </c>
      <c r="P123" s="182">
        <f t="shared" si="117"/>
        <v>0</v>
      </c>
      <c r="Q123" s="182">
        <f t="shared" si="117"/>
        <v>0</v>
      </c>
      <c r="R123" s="182">
        <f t="shared" si="117"/>
        <v>0</v>
      </c>
      <c r="S123" s="182">
        <f t="shared" si="117"/>
        <v>0</v>
      </c>
      <c r="T123" s="182">
        <f t="shared" si="117"/>
        <v>0</v>
      </c>
      <c r="U123" s="182">
        <f t="shared" si="117"/>
        <v>0</v>
      </c>
      <c r="V123" s="182">
        <f t="shared" si="117"/>
        <v>0</v>
      </c>
      <c r="W123" s="182">
        <f t="shared" si="117"/>
        <v>0</v>
      </c>
      <c r="X123" s="182">
        <f t="shared" si="117"/>
        <v>0</v>
      </c>
      <c r="Y123" s="182">
        <f t="shared" si="117"/>
        <v>0</v>
      </c>
      <c r="Z123" s="182">
        <f t="shared" si="117"/>
        <v>0</v>
      </c>
      <c r="AA123" s="182">
        <f t="shared" si="117"/>
        <v>0</v>
      </c>
      <c r="AB123" s="182">
        <f t="shared" si="117"/>
        <v>0</v>
      </c>
      <c r="AC123" s="182">
        <f t="shared" si="117"/>
        <v>0</v>
      </c>
      <c r="AD123" s="182">
        <f t="shared" si="117"/>
        <v>0</v>
      </c>
      <c r="AE123" s="182">
        <f t="shared" si="117"/>
        <v>0</v>
      </c>
      <c r="AF123" s="182">
        <f t="shared" si="117"/>
        <v>0</v>
      </c>
      <c r="AG123" s="182">
        <f t="shared" si="117"/>
        <v>0</v>
      </c>
      <c r="AH123" s="227">
        <f>SUM(C123:AG123)</f>
        <v>0</v>
      </c>
      <c r="AI123" s="227"/>
      <c r="AJ123" s="174" t="s">
        <v>69</v>
      </c>
      <c r="AK123" s="133"/>
      <c r="AL123" s="133"/>
    </row>
    <row r="124" spans="1:57" ht="15.95" hidden="1" customHeight="1" x14ac:dyDescent="0.25">
      <c r="A124" s="164" t="s">
        <v>83</v>
      </c>
      <c r="B124" s="165" t="s">
        <v>29</v>
      </c>
      <c r="C124" s="141">
        <f t="shared" ref="C124:AG124" si="118">IF(C16=$R32,$S32*24,IF(C16=$R33,$S33*24,IF(C16=$R34,$S34*24,IF(C16=$R35,$S35*24,IF(C16=$R36,$S36*24,IF(C16=$R37,$S37*24,IF(C16=$R38,$S38*24,IF(C16=$R39,$S39*24,IF(C16=$R40,$S40*24,"")))))))))</f>
        <v>18</v>
      </c>
      <c r="D124" s="141" t="str">
        <f t="shared" si="118"/>
        <v/>
      </c>
      <c r="E124" s="141" t="str">
        <f t="shared" si="118"/>
        <v/>
      </c>
      <c r="F124" s="141">
        <f t="shared" si="118"/>
        <v>18</v>
      </c>
      <c r="G124" s="141">
        <f t="shared" si="118"/>
        <v>18</v>
      </c>
      <c r="H124" s="141" t="str">
        <f t="shared" si="118"/>
        <v/>
      </c>
      <c r="I124" s="141" t="str">
        <f t="shared" si="118"/>
        <v/>
      </c>
      <c r="J124" s="141" t="str">
        <f t="shared" si="118"/>
        <v/>
      </c>
      <c r="K124" s="141">
        <f t="shared" si="118"/>
        <v>18</v>
      </c>
      <c r="L124" s="141">
        <f t="shared" si="118"/>
        <v>18</v>
      </c>
      <c r="M124" s="141" t="str">
        <f t="shared" si="118"/>
        <v/>
      </c>
      <c r="N124" s="141" t="str">
        <f t="shared" si="118"/>
        <v/>
      </c>
      <c r="O124" s="141">
        <f t="shared" si="118"/>
        <v>18</v>
      </c>
      <c r="P124" s="141">
        <f t="shared" si="118"/>
        <v>18</v>
      </c>
      <c r="Q124" s="141">
        <f t="shared" si="118"/>
        <v>18</v>
      </c>
      <c r="R124" s="141" t="str">
        <f t="shared" si="118"/>
        <v/>
      </c>
      <c r="S124" s="141" t="str">
        <f t="shared" si="118"/>
        <v/>
      </c>
      <c r="T124" s="141">
        <f t="shared" si="118"/>
        <v>18</v>
      </c>
      <c r="U124" s="141">
        <f t="shared" si="118"/>
        <v>18</v>
      </c>
      <c r="V124" s="141" t="str">
        <f t="shared" si="118"/>
        <v/>
      </c>
      <c r="W124" s="141" t="str">
        <f t="shared" si="118"/>
        <v/>
      </c>
      <c r="X124" s="141" t="str">
        <f t="shared" si="118"/>
        <v/>
      </c>
      <c r="Y124" s="141">
        <f t="shared" si="118"/>
        <v>18</v>
      </c>
      <c r="Z124" s="141">
        <f t="shared" si="118"/>
        <v>18</v>
      </c>
      <c r="AA124" s="141" t="str">
        <f t="shared" si="118"/>
        <v/>
      </c>
      <c r="AB124" s="141" t="str">
        <f t="shared" si="118"/>
        <v/>
      </c>
      <c r="AC124" s="141">
        <f t="shared" si="118"/>
        <v>18</v>
      </c>
      <c r="AD124" s="141">
        <f t="shared" si="118"/>
        <v>18</v>
      </c>
      <c r="AE124" s="141">
        <f t="shared" si="118"/>
        <v>18</v>
      </c>
      <c r="AF124" s="141" t="str">
        <f t="shared" si="118"/>
        <v/>
      </c>
      <c r="AG124" s="141" t="str">
        <f t="shared" si="118"/>
        <v/>
      </c>
      <c r="AH124" s="154" t="s">
        <v>12</v>
      </c>
      <c r="AI124" s="133"/>
      <c r="AJ124" s="170"/>
      <c r="AK124" s="133"/>
      <c r="AL124" s="133"/>
    </row>
    <row r="125" spans="1:57" ht="15.95" hidden="1" customHeight="1" x14ac:dyDescent="0.25">
      <c r="A125" s="166" t="s">
        <v>84</v>
      </c>
      <c r="B125" s="167" t="s">
        <v>30</v>
      </c>
      <c r="C125" s="141">
        <f t="shared" ref="C125:AG125" si="119">IF(C16=$R32,$V32*24,IF(C16=$R33,$V33*24,IF(C16=$R34,$V34*24,IF(C16=$R35,$V35*24,IF(C16=$R36,$V36*24,IF(C16=$R37,$V37*24,IF(C16=$R38,$V38*24,IF(C16=$R39,$V39*24,IF(C16=$R40,$V40*24,"")))))))))</f>
        <v>6</v>
      </c>
      <c r="D125" s="141" t="str">
        <f t="shared" si="119"/>
        <v/>
      </c>
      <c r="E125" s="141" t="str">
        <f t="shared" si="119"/>
        <v/>
      </c>
      <c r="F125" s="141">
        <f t="shared" si="119"/>
        <v>6</v>
      </c>
      <c r="G125" s="141">
        <f t="shared" si="119"/>
        <v>6</v>
      </c>
      <c r="H125" s="141" t="str">
        <f t="shared" si="119"/>
        <v/>
      </c>
      <c r="I125" s="141" t="str">
        <f t="shared" si="119"/>
        <v/>
      </c>
      <c r="J125" s="141" t="str">
        <f t="shared" si="119"/>
        <v/>
      </c>
      <c r="K125" s="141">
        <f t="shared" si="119"/>
        <v>6</v>
      </c>
      <c r="L125" s="141">
        <f t="shared" si="119"/>
        <v>6</v>
      </c>
      <c r="M125" s="141" t="str">
        <f t="shared" si="119"/>
        <v/>
      </c>
      <c r="N125" s="141" t="str">
        <f t="shared" si="119"/>
        <v/>
      </c>
      <c r="O125" s="141">
        <f t="shared" si="119"/>
        <v>6</v>
      </c>
      <c r="P125" s="141">
        <f t="shared" si="119"/>
        <v>6</v>
      </c>
      <c r="Q125" s="141">
        <f t="shared" si="119"/>
        <v>6</v>
      </c>
      <c r="R125" s="141" t="str">
        <f t="shared" si="119"/>
        <v/>
      </c>
      <c r="S125" s="141" t="str">
        <f t="shared" si="119"/>
        <v/>
      </c>
      <c r="T125" s="141">
        <f t="shared" si="119"/>
        <v>6</v>
      </c>
      <c r="U125" s="141">
        <f t="shared" si="119"/>
        <v>6</v>
      </c>
      <c r="V125" s="141" t="str">
        <f t="shared" si="119"/>
        <v/>
      </c>
      <c r="W125" s="141" t="str">
        <f t="shared" si="119"/>
        <v/>
      </c>
      <c r="X125" s="141" t="str">
        <f t="shared" si="119"/>
        <v/>
      </c>
      <c r="Y125" s="141">
        <f t="shared" si="119"/>
        <v>6</v>
      </c>
      <c r="Z125" s="141">
        <f t="shared" si="119"/>
        <v>6</v>
      </c>
      <c r="AA125" s="141" t="str">
        <f t="shared" si="119"/>
        <v/>
      </c>
      <c r="AB125" s="141" t="str">
        <f t="shared" si="119"/>
        <v/>
      </c>
      <c r="AC125" s="141">
        <f t="shared" si="119"/>
        <v>6</v>
      </c>
      <c r="AD125" s="141">
        <f t="shared" si="119"/>
        <v>6</v>
      </c>
      <c r="AE125" s="141">
        <f t="shared" si="119"/>
        <v>6</v>
      </c>
      <c r="AF125" s="141" t="str">
        <f t="shared" si="119"/>
        <v/>
      </c>
      <c r="AG125" s="141" t="str">
        <f t="shared" si="119"/>
        <v/>
      </c>
      <c r="AH125" s="154" t="s">
        <v>12</v>
      </c>
      <c r="AI125" s="133"/>
      <c r="AJ125" s="170"/>
      <c r="AK125" s="133"/>
      <c r="AL125" s="133"/>
    </row>
    <row r="126" spans="1:57" ht="15.95" hidden="1" customHeight="1" x14ac:dyDescent="0.25">
      <c r="A126" s="153"/>
      <c r="B126" s="168" t="s">
        <v>34</v>
      </c>
      <c r="C126" s="169">
        <f t="shared" ref="C126:AD126" si="120">IF(C16=$R32,$BD32*24,IF(C16=$R33,$BD33*24,IF(C16=$R34,$BD34*24,IF(C16=$R35,$BD35*24,IF(C16=$R36,$BD36*24,IF(C16=$R37,$BD37*24,IF(C16=$R38,$BD38*24,IF(C16=$R39,$BD39*24,IF(C16=$R40,$BD40*24,"")))))))))</f>
        <v>8</v>
      </c>
      <c r="D126" s="169" t="str">
        <f t="shared" si="120"/>
        <v/>
      </c>
      <c r="E126" s="169" t="str">
        <f t="shared" si="120"/>
        <v/>
      </c>
      <c r="F126" s="169">
        <f t="shared" si="120"/>
        <v>8</v>
      </c>
      <c r="G126" s="169">
        <f t="shared" si="120"/>
        <v>8</v>
      </c>
      <c r="H126" s="169" t="str">
        <f t="shared" si="120"/>
        <v/>
      </c>
      <c r="I126" s="169" t="str">
        <f t="shared" si="120"/>
        <v/>
      </c>
      <c r="J126" s="169" t="str">
        <f t="shared" si="120"/>
        <v/>
      </c>
      <c r="K126" s="169">
        <f t="shared" si="120"/>
        <v>8</v>
      </c>
      <c r="L126" s="169">
        <f t="shared" si="120"/>
        <v>8</v>
      </c>
      <c r="M126" s="169" t="str">
        <f t="shared" si="120"/>
        <v/>
      </c>
      <c r="N126" s="169" t="str">
        <f t="shared" si="120"/>
        <v/>
      </c>
      <c r="O126" s="169">
        <f t="shared" si="120"/>
        <v>8</v>
      </c>
      <c r="P126" s="169">
        <f t="shared" si="120"/>
        <v>8</v>
      </c>
      <c r="Q126" s="169">
        <f t="shared" si="120"/>
        <v>8</v>
      </c>
      <c r="R126" s="169" t="str">
        <f t="shared" si="120"/>
        <v/>
      </c>
      <c r="S126" s="169" t="str">
        <f t="shared" si="120"/>
        <v/>
      </c>
      <c r="T126" s="169">
        <f t="shared" si="120"/>
        <v>8</v>
      </c>
      <c r="U126" s="169">
        <f t="shared" si="120"/>
        <v>8</v>
      </c>
      <c r="V126" s="169" t="str">
        <f t="shared" si="120"/>
        <v/>
      </c>
      <c r="W126" s="169" t="str">
        <f t="shared" si="120"/>
        <v/>
      </c>
      <c r="X126" s="169" t="str">
        <f t="shared" si="120"/>
        <v/>
      </c>
      <c r="Y126" s="169">
        <f t="shared" si="120"/>
        <v>8</v>
      </c>
      <c r="Z126" s="169">
        <f t="shared" si="120"/>
        <v>8</v>
      </c>
      <c r="AA126" s="169" t="str">
        <f t="shared" si="120"/>
        <v/>
      </c>
      <c r="AB126" s="169" t="str">
        <f t="shared" si="120"/>
        <v/>
      </c>
      <c r="AC126" s="169">
        <f t="shared" si="120"/>
        <v>8</v>
      </c>
      <c r="AD126" s="169">
        <f t="shared" si="120"/>
        <v>8</v>
      </c>
      <c r="AE126" s="169">
        <f>IF(AE16=$R32,$BD32*24,IF(AE16=$R33,$BD33*24,IF(AE16=$R34,$BD34*24,IF(AE16=$R35,$BD35*24,IF(AE16=$R36,$BD36*24,IF(AE16=$R37,$BD37*24,IF(AE16=$R38,$BD38*24,IF(AE16=$R39,$BD39*24,IF(AE16=$R40,$BD40*24,"")))))))))</f>
        <v>8</v>
      </c>
      <c r="AF126" s="169" t="str">
        <f>IF(AF16=$R32,$BD32*24,IF(AF16=$R33,$BD33*24,IF(AF16=$R34,$BD34*24,IF(AF16=$R35,$BD35*24,IF(AF16=$R36,$BD36*24,IF(AF16=$R37,$BD37*24,IF(AF16=$R38,$BD38*24,IF(AF16=$R39,$BD39*24,IF(AF16=$R40,$BD40*24,"")))))))))</f>
        <v/>
      </c>
      <c r="AG126" s="169" t="str">
        <f>IF(AG16=$R32,$BD32*24,IF(AG16=$R33,$BD33*24,IF(AG16=$R34,$BD34*24,IF(AG16=$R35,$BD35*24,IF(AG16=$R36,$BD36*24,IF(AG16=$R37,$BD37*24,IF(AG16=$R38,$BD38*24,IF(AG16=$R39,$BD39*24,IF(AG16=$R40,$BD40*24,"")))))))))</f>
        <v/>
      </c>
      <c r="AH126" s="148">
        <f>SUM(C126:AG126)</f>
        <v>120</v>
      </c>
      <c r="AI126" s="133"/>
      <c r="AJ126" s="170"/>
      <c r="AK126" s="133"/>
      <c r="AL126" s="133"/>
    </row>
    <row r="127" spans="1:57" ht="15.95" hidden="1" customHeight="1" x14ac:dyDescent="0.25">
      <c r="A127" s="153"/>
      <c r="B127" s="167" t="s">
        <v>59</v>
      </c>
      <c r="C127" s="141">
        <f t="shared" ref="C127:AG127" si="121">IF(C16="V",$C36,IF(C16="PR",$C38,0))</f>
        <v>0</v>
      </c>
      <c r="D127" s="141">
        <f t="shared" si="121"/>
        <v>0</v>
      </c>
      <c r="E127" s="141">
        <f t="shared" si="121"/>
        <v>0</v>
      </c>
      <c r="F127" s="141">
        <f t="shared" si="121"/>
        <v>0</v>
      </c>
      <c r="G127" s="141">
        <f t="shared" si="121"/>
        <v>0</v>
      </c>
      <c r="H127" s="141">
        <f t="shared" si="121"/>
        <v>0</v>
      </c>
      <c r="I127" s="141">
        <f t="shared" si="121"/>
        <v>0</v>
      </c>
      <c r="J127" s="141">
        <f t="shared" si="121"/>
        <v>0</v>
      </c>
      <c r="K127" s="141">
        <f t="shared" si="121"/>
        <v>0</v>
      </c>
      <c r="L127" s="141">
        <f t="shared" si="121"/>
        <v>0</v>
      </c>
      <c r="M127" s="141">
        <f t="shared" si="121"/>
        <v>0</v>
      </c>
      <c r="N127" s="141">
        <f t="shared" si="121"/>
        <v>0</v>
      </c>
      <c r="O127" s="141">
        <f t="shared" si="121"/>
        <v>0</v>
      </c>
      <c r="P127" s="141">
        <f t="shared" si="121"/>
        <v>0</v>
      </c>
      <c r="Q127" s="141">
        <f t="shared" si="121"/>
        <v>0</v>
      </c>
      <c r="R127" s="141">
        <f t="shared" si="121"/>
        <v>0</v>
      </c>
      <c r="S127" s="141">
        <f t="shared" si="121"/>
        <v>0</v>
      </c>
      <c r="T127" s="141">
        <f t="shared" si="121"/>
        <v>0</v>
      </c>
      <c r="U127" s="141">
        <f t="shared" si="121"/>
        <v>0</v>
      </c>
      <c r="V127" s="141">
        <f t="shared" si="121"/>
        <v>0</v>
      </c>
      <c r="W127" s="141">
        <f t="shared" si="121"/>
        <v>0</v>
      </c>
      <c r="X127" s="141">
        <f t="shared" si="121"/>
        <v>0</v>
      </c>
      <c r="Y127" s="141">
        <f t="shared" si="121"/>
        <v>0</v>
      </c>
      <c r="Z127" s="141">
        <f t="shared" si="121"/>
        <v>0</v>
      </c>
      <c r="AA127" s="141">
        <f t="shared" si="121"/>
        <v>0</v>
      </c>
      <c r="AB127" s="141">
        <f t="shared" si="121"/>
        <v>0</v>
      </c>
      <c r="AC127" s="141">
        <f t="shared" si="121"/>
        <v>0</v>
      </c>
      <c r="AD127" s="141">
        <f t="shared" si="121"/>
        <v>0</v>
      </c>
      <c r="AE127" s="141">
        <f t="shared" si="121"/>
        <v>0</v>
      </c>
      <c r="AF127" s="141">
        <f t="shared" si="121"/>
        <v>0</v>
      </c>
      <c r="AG127" s="141">
        <f t="shared" si="121"/>
        <v>0</v>
      </c>
      <c r="AH127" s="226">
        <f>SUM(C127:AG127)</f>
        <v>0</v>
      </c>
      <c r="AI127" s="226"/>
      <c r="AJ127" s="230">
        <f>SUM(AH72+AH83+AH94+AH105+AH116+AH127)</f>
        <v>78.3</v>
      </c>
      <c r="AK127" s="230"/>
      <c r="AL127" s="133" t="s">
        <v>56</v>
      </c>
    </row>
    <row r="128" spans="1:57" ht="15.95" hidden="1" customHeight="1" x14ac:dyDescent="0.25">
      <c r="A128" s="150" t="s">
        <v>60</v>
      </c>
      <c r="B128" s="167" t="s">
        <v>61</v>
      </c>
      <c r="C128" s="151">
        <f t="shared" ref="C128:AD128" si="122">IF(C16=$R32,$BC32,IF(C16=$R33,$BC33,IF(C16=$R34,$BC34,IF(C16=$R35,$BC35,IF(C16=$R36,$BC36,IF(C16=$R37,$BC37,IF(C16=$R38,$BC38,IF(C16=$R39,$BC39,IF(C16=$R40,$BC40,0)))))))))</f>
        <v>12</v>
      </c>
      <c r="D128" s="151">
        <f t="shared" si="122"/>
        <v>0</v>
      </c>
      <c r="E128" s="151">
        <f t="shared" si="122"/>
        <v>0</v>
      </c>
      <c r="F128" s="151">
        <f t="shared" si="122"/>
        <v>12</v>
      </c>
      <c r="G128" s="151">
        <f t="shared" si="122"/>
        <v>12</v>
      </c>
      <c r="H128" s="151">
        <f t="shared" si="122"/>
        <v>0</v>
      </c>
      <c r="I128" s="151">
        <f t="shared" si="122"/>
        <v>0</v>
      </c>
      <c r="J128" s="151">
        <f t="shared" si="122"/>
        <v>0</v>
      </c>
      <c r="K128" s="151">
        <f t="shared" si="122"/>
        <v>12</v>
      </c>
      <c r="L128" s="151">
        <f t="shared" si="122"/>
        <v>12</v>
      </c>
      <c r="M128" s="151">
        <f t="shared" si="122"/>
        <v>0</v>
      </c>
      <c r="N128" s="151">
        <f t="shared" si="122"/>
        <v>0</v>
      </c>
      <c r="O128" s="151">
        <f t="shared" si="122"/>
        <v>12</v>
      </c>
      <c r="P128" s="151">
        <f t="shared" si="122"/>
        <v>12</v>
      </c>
      <c r="Q128" s="151">
        <f t="shared" si="122"/>
        <v>12</v>
      </c>
      <c r="R128" s="151">
        <f t="shared" si="122"/>
        <v>0</v>
      </c>
      <c r="S128" s="151">
        <f t="shared" si="122"/>
        <v>0</v>
      </c>
      <c r="T128" s="151">
        <f t="shared" si="122"/>
        <v>12</v>
      </c>
      <c r="U128" s="151">
        <f t="shared" si="122"/>
        <v>12</v>
      </c>
      <c r="V128" s="151">
        <f t="shared" si="122"/>
        <v>0</v>
      </c>
      <c r="W128" s="151">
        <f t="shared" si="122"/>
        <v>0</v>
      </c>
      <c r="X128" s="151">
        <f t="shared" si="122"/>
        <v>0</v>
      </c>
      <c r="Y128" s="151">
        <f t="shared" si="122"/>
        <v>12</v>
      </c>
      <c r="Z128" s="151">
        <f t="shared" si="122"/>
        <v>12</v>
      </c>
      <c r="AA128" s="151">
        <f t="shared" si="122"/>
        <v>0</v>
      </c>
      <c r="AB128" s="151">
        <f t="shared" si="122"/>
        <v>0</v>
      </c>
      <c r="AC128" s="151">
        <f t="shared" si="122"/>
        <v>12</v>
      </c>
      <c r="AD128" s="151">
        <f t="shared" si="122"/>
        <v>12</v>
      </c>
      <c r="AE128" s="151">
        <f>IF(AE16=$R32,$BC32,IF(AE16=$R33,$BC33,IF(AE16=$R34,$BC34,IF(AE16=$R35,$BC35,IF(AE16=$R36,$BC36,IF(AE16=$R37,$BC37,IF(AE16=$R38,$BC38,IF(AE16=$R39,$BC39,IF(AE16=$R40,$BC40,0)))))))))</f>
        <v>12</v>
      </c>
      <c r="AF128" s="151">
        <f>IF(AF16=$R32,$BC32,IF(AF16=$R33,$BC33,IF(AF16=$R34,$BC34,IF(AF16=$R35,$BC35,IF(AF16=$R36,$BC36,IF(AF16=$R37,$BC37,IF(AF16=$R38,$BC38,IF(AF16=$R39,$BC39,IF(AF16=$R40,$BC40,0)))))))))</f>
        <v>0</v>
      </c>
      <c r="AG128" s="151">
        <f>IF(AG16=$R32,$BC32,IF(AG16=$R33,$BC33,IF(AG16=$R34,$BC34,IF(AG16=$R35,$BC35,IF(AG16=$R36,$BC36,IF(AG16=$R37,$BC37,IF(AG16=$R38,$BC38,IF(AG16=$R39,$BC39,IF(AG16=$R40,$BC40,0)))))))))</f>
        <v>0</v>
      </c>
      <c r="AH128" s="226">
        <f>SUM(C128:AG128)</f>
        <v>180</v>
      </c>
      <c r="AI128" s="226"/>
      <c r="AJ128" s="174" t="s">
        <v>62</v>
      </c>
      <c r="AK128" s="133" t="s">
        <v>12</v>
      </c>
      <c r="AL128" s="133"/>
    </row>
    <row r="129" spans="1:38" ht="15.95" hidden="1" customHeight="1" x14ac:dyDescent="0.25">
      <c r="A129" s="153" t="s">
        <v>48</v>
      </c>
      <c r="B129" s="149" t="s">
        <v>63</v>
      </c>
      <c r="C129" s="141">
        <f t="shared" ref="C129:AG129" si="123">IF(C46=1,IF(C124&lt;C125,C128,0))</f>
        <v>0</v>
      </c>
      <c r="D129" s="141" t="b">
        <f t="shared" si="123"/>
        <v>0</v>
      </c>
      <c r="E129" s="141" t="b">
        <f t="shared" si="123"/>
        <v>0</v>
      </c>
      <c r="F129" s="141" t="b">
        <f t="shared" si="123"/>
        <v>0</v>
      </c>
      <c r="G129" s="141" t="b">
        <f t="shared" si="123"/>
        <v>0</v>
      </c>
      <c r="H129" s="141" t="b">
        <f t="shared" si="123"/>
        <v>0</v>
      </c>
      <c r="I129" s="141">
        <f t="shared" si="123"/>
        <v>0</v>
      </c>
      <c r="J129" s="141">
        <f t="shared" si="123"/>
        <v>0</v>
      </c>
      <c r="K129" s="141" t="b">
        <f t="shared" si="123"/>
        <v>0</v>
      </c>
      <c r="L129" s="141" t="b">
        <f t="shared" si="123"/>
        <v>0</v>
      </c>
      <c r="M129" s="141" t="b">
        <f t="shared" si="123"/>
        <v>0</v>
      </c>
      <c r="N129" s="141" t="b">
        <f t="shared" si="123"/>
        <v>0</v>
      </c>
      <c r="O129" s="141" t="b">
        <f t="shared" si="123"/>
        <v>0</v>
      </c>
      <c r="P129" s="141">
        <f t="shared" si="123"/>
        <v>0</v>
      </c>
      <c r="Q129" s="141">
        <f t="shared" si="123"/>
        <v>0</v>
      </c>
      <c r="R129" s="141" t="b">
        <f t="shared" si="123"/>
        <v>0</v>
      </c>
      <c r="S129" s="141" t="b">
        <f t="shared" si="123"/>
        <v>0</v>
      </c>
      <c r="T129" s="141" t="b">
        <f t="shared" si="123"/>
        <v>0</v>
      </c>
      <c r="U129" s="141" t="b">
        <f t="shared" si="123"/>
        <v>0</v>
      </c>
      <c r="V129" s="141" t="b">
        <f t="shared" si="123"/>
        <v>0</v>
      </c>
      <c r="W129" s="141">
        <f t="shared" si="123"/>
        <v>0</v>
      </c>
      <c r="X129" s="141">
        <f t="shared" si="123"/>
        <v>0</v>
      </c>
      <c r="Y129" s="141" t="b">
        <f t="shared" si="123"/>
        <v>0</v>
      </c>
      <c r="Z129" s="141" t="b">
        <f t="shared" si="123"/>
        <v>0</v>
      </c>
      <c r="AA129" s="141" t="b">
        <f t="shared" si="123"/>
        <v>0</v>
      </c>
      <c r="AB129" s="141" t="b">
        <f t="shared" si="123"/>
        <v>0</v>
      </c>
      <c r="AC129" s="141" t="b">
        <f t="shared" si="123"/>
        <v>0</v>
      </c>
      <c r="AD129" s="141">
        <f t="shared" si="123"/>
        <v>0</v>
      </c>
      <c r="AE129" s="141">
        <f t="shared" si="123"/>
        <v>0</v>
      </c>
      <c r="AF129" s="141" t="b">
        <f t="shared" si="123"/>
        <v>0</v>
      </c>
      <c r="AG129" s="141" t="b">
        <f t="shared" si="123"/>
        <v>0</v>
      </c>
      <c r="AH129" s="154" t="s">
        <v>12</v>
      </c>
      <c r="AI129" s="133"/>
      <c r="AJ129" s="170"/>
      <c r="AK129" s="133"/>
      <c r="AL129" s="133"/>
    </row>
    <row r="130" spans="1:38" ht="15.95" hidden="1" customHeight="1" x14ac:dyDescent="0.25">
      <c r="A130" s="176"/>
      <c r="B130" s="149" t="s">
        <v>64</v>
      </c>
      <c r="C130" s="141">
        <f t="shared" ref="C130:AG130" si="124">IF(C46=1,IF(C124&gt;C125,24-C124,0),0)</f>
        <v>6</v>
      </c>
      <c r="D130" s="141">
        <f t="shared" si="124"/>
        <v>0</v>
      </c>
      <c r="E130" s="141">
        <f t="shared" si="124"/>
        <v>0</v>
      </c>
      <c r="F130" s="141">
        <f t="shared" si="124"/>
        <v>0</v>
      </c>
      <c r="G130" s="141">
        <f t="shared" si="124"/>
        <v>0</v>
      </c>
      <c r="H130" s="141">
        <f t="shared" si="124"/>
        <v>0</v>
      </c>
      <c r="I130" s="141">
        <f t="shared" si="124"/>
        <v>0</v>
      </c>
      <c r="J130" s="141">
        <f t="shared" si="124"/>
        <v>0</v>
      </c>
      <c r="K130" s="141">
        <f t="shared" si="124"/>
        <v>0</v>
      </c>
      <c r="L130" s="141">
        <f t="shared" si="124"/>
        <v>0</v>
      </c>
      <c r="M130" s="141">
        <f t="shared" si="124"/>
        <v>0</v>
      </c>
      <c r="N130" s="141">
        <f t="shared" si="124"/>
        <v>0</v>
      </c>
      <c r="O130" s="141">
        <f t="shared" si="124"/>
        <v>0</v>
      </c>
      <c r="P130" s="141">
        <f t="shared" si="124"/>
        <v>6</v>
      </c>
      <c r="Q130" s="141">
        <f t="shared" si="124"/>
        <v>6</v>
      </c>
      <c r="R130" s="141">
        <f t="shared" si="124"/>
        <v>0</v>
      </c>
      <c r="S130" s="141">
        <f t="shared" si="124"/>
        <v>0</v>
      </c>
      <c r="T130" s="141">
        <f t="shared" si="124"/>
        <v>0</v>
      </c>
      <c r="U130" s="141">
        <f t="shared" si="124"/>
        <v>0</v>
      </c>
      <c r="V130" s="141">
        <f t="shared" si="124"/>
        <v>0</v>
      </c>
      <c r="W130" s="141">
        <f t="shared" si="124"/>
        <v>0</v>
      </c>
      <c r="X130" s="141">
        <f t="shared" si="124"/>
        <v>0</v>
      </c>
      <c r="Y130" s="141">
        <f t="shared" si="124"/>
        <v>0</v>
      </c>
      <c r="Z130" s="141">
        <f t="shared" si="124"/>
        <v>0</v>
      </c>
      <c r="AA130" s="141">
        <f t="shared" si="124"/>
        <v>0</v>
      </c>
      <c r="AB130" s="141">
        <f t="shared" si="124"/>
        <v>0</v>
      </c>
      <c r="AC130" s="141">
        <f t="shared" si="124"/>
        <v>0</v>
      </c>
      <c r="AD130" s="141">
        <f t="shared" si="124"/>
        <v>6</v>
      </c>
      <c r="AE130" s="141">
        <f t="shared" si="124"/>
        <v>6</v>
      </c>
      <c r="AF130" s="141">
        <f t="shared" si="124"/>
        <v>0</v>
      </c>
      <c r="AG130" s="141">
        <f t="shared" si="124"/>
        <v>0</v>
      </c>
      <c r="AH130" s="154" t="s">
        <v>12</v>
      </c>
      <c r="AI130" s="133"/>
      <c r="AJ130" s="170"/>
      <c r="AK130" s="133"/>
      <c r="AL130" s="133"/>
    </row>
    <row r="131" spans="1:38" ht="15.95" hidden="1" customHeight="1" x14ac:dyDescent="0.25">
      <c r="A131" s="176"/>
      <c r="B131" s="149" t="s">
        <v>65</v>
      </c>
      <c r="C131" s="141">
        <f t="shared" ref="C131:AG131" si="125">IF(D46=1,IF(C124&gt;C125,C125,0),0)</f>
        <v>0</v>
      </c>
      <c r="D131" s="141">
        <f t="shared" si="125"/>
        <v>0</v>
      </c>
      <c r="E131" s="141">
        <f t="shared" si="125"/>
        <v>0</v>
      </c>
      <c r="F131" s="141">
        <f t="shared" si="125"/>
        <v>0</v>
      </c>
      <c r="G131" s="141">
        <f t="shared" si="125"/>
        <v>0</v>
      </c>
      <c r="H131" s="141">
        <f t="shared" si="125"/>
        <v>0</v>
      </c>
      <c r="I131" s="141">
        <f t="shared" si="125"/>
        <v>0</v>
      </c>
      <c r="J131" s="141">
        <f t="shared" si="125"/>
        <v>0</v>
      </c>
      <c r="K131" s="141">
        <f t="shared" si="125"/>
        <v>0</v>
      </c>
      <c r="L131" s="141">
        <f t="shared" si="125"/>
        <v>0</v>
      </c>
      <c r="M131" s="141">
        <f t="shared" si="125"/>
        <v>0</v>
      </c>
      <c r="N131" s="141">
        <f t="shared" si="125"/>
        <v>0</v>
      </c>
      <c r="O131" s="141">
        <f t="shared" si="125"/>
        <v>6</v>
      </c>
      <c r="P131" s="141">
        <f t="shared" si="125"/>
        <v>6</v>
      </c>
      <c r="Q131" s="141">
        <f t="shared" si="125"/>
        <v>0</v>
      </c>
      <c r="R131" s="141">
        <f t="shared" si="125"/>
        <v>0</v>
      </c>
      <c r="S131" s="141">
        <f t="shared" si="125"/>
        <v>0</v>
      </c>
      <c r="T131" s="141">
        <f t="shared" si="125"/>
        <v>0</v>
      </c>
      <c r="U131" s="141">
        <f t="shared" si="125"/>
        <v>0</v>
      </c>
      <c r="V131" s="141">
        <f t="shared" si="125"/>
        <v>0</v>
      </c>
      <c r="W131" s="141">
        <f t="shared" si="125"/>
        <v>0</v>
      </c>
      <c r="X131" s="141">
        <f>IF(Y46=1,IF(X124&gt;X125,X125,0),0)</f>
        <v>0</v>
      </c>
      <c r="Y131" s="141">
        <f t="shared" si="125"/>
        <v>0</v>
      </c>
      <c r="Z131" s="141">
        <f t="shared" si="125"/>
        <v>0</v>
      </c>
      <c r="AA131" s="141">
        <f t="shared" si="125"/>
        <v>0</v>
      </c>
      <c r="AB131" s="141">
        <f t="shared" si="125"/>
        <v>0</v>
      </c>
      <c r="AC131" s="141">
        <f t="shared" si="125"/>
        <v>6</v>
      </c>
      <c r="AD131" s="141">
        <f t="shared" si="125"/>
        <v>6</v>
      </c>
      <c r="AE131" s="141">
        <f t="shared" si="125"/>
        <v>0</v>
      </c>
      <c r="AF131" s="141">
        <f t="shared" si="125"/>
        <v>0</v>
      </c>
      <c r="AG131" s="141">
        <f t="shared" si="125"/>
        <v>0</v>
      </c>
      <c r="AH131" s="154" t="s">
        <v>12</v>
      </c>
      <c r="AI131" s="133"/>
      <c r="AJ131" s="170"/>
      <c r="AK131" s="133"/>
      <c r="AL131" s="133"/>
    </row>
    <row r="132" spans="1:38" ht="15.95" hidden="1" customHeight="1" x14ac:dyDescent="0.25">
      <c r="A132" s="176"/>
      <c r="B132" s="149" t="s">
        <v>67</v>
      </c>
      <c r="C132" s="171">
        <f t="shared" ref="C132:AG132" si="126">SUM(C129:C131)</f>
        <v>6</v>
      </c>
      <c r="D132" s="171">
        <f t="shared" si="126"/>
        <v>0</v>
      </c>
      <c r="E132" s="171">
        <f t="shared" si="126"/>
        <v>0</v>
      </c>
      <c r="F132" s="171">
        <f t="shared" si="126"/>
        <v>0</v>
      </c>
      <c r="G132" s="171">
        <f t="shared" si="126"/>
        <v>0</v>
      </c>
      <c r="H132" s="171">
        <f t="shared" si="126"/>
        <v>0</v>
      </c>
      <c r="I132" s="171">
        <f t="shared" si="126"/>
        <v>0</v>
      </c>
      <c r="J132" s="171">
        <f t="shared" si="126"/>
        <v>0</v>
      </c>
      <c r="K132" s="171">
        <f t="shared" si="126"/>
        <v>0</v>
      </c>
      <c r="L132" s="171">
        <f t="shared" si="126"/>
        <v>0</v>
      </c>
      <c r="M132" s="171">
        <f t="shared" si="126"/>
        <v>0</v>
      </c>
      <c r="N132" s="171">
        <f t="shared" si="126"/>
        <v>0</v>
      </c>
      <c r="O132" s="171">
        <f t="shared" si="126"/>
        <v>6</v>
      </c>
      <c r="P132" s="171">
        <f t="shared" si="126"/>
        <v>12</v>
      </c>
      <c r="Q132" s="171">
        <f t="shared" si="126"/>
        <v>6</v>
      </c>
      <c r="R132" s="171">
        <f t="shared" si="126"/>
        <v>0</v>
      </c>
      <c r="S132" s="171">
        <f t="shared" si="126"/>
        <v>0</v>
      </c>
      <c r="T132" s="171">
        <f t="shared" si="126"/>
        <v>0</v>
      </c>
      <c r="U132" s="171">
        <f t="shared" si="126"/>
        <v>0</v>
      </c>
      <c r="V132" s="171">
        <f t="shared" si="126"/>
        <v>0</v>
      </c>
      <c r="W132" s="171">
        <f t="shared" si="126"/>
        <v>0</v>
      </c>
      <c r="X132" s="171">
        <f t="shared" si="126"/>
        <v>0</v>
      </c>
      <c r="Y132" s="171">
        <f t="shared" si="126"/>
        <v>0</v>
      </c>
      <c r="Z132" s="171">
        <f t="shared" si="126"/>
        <v>0</v>
      </c>
      <c r="AA132" s="171">
        <f t="shared" si="126"/>
        <v>0</v>
      </c>
      <c r="AB132" s="171">
        <f t="shared" si="126"/>
        <v>0</v>
      </c>
      <c r="AC132" s="171">
        <f t="shared" si="126"/>
        <v>6</v>
      </c>
      <c r="AD132" s="171">
        <f t="shared" si="126"/>
        <v>12</v>
      </c>
      <c r="AE132" s="171">
        <f t="shared" si="126"/>
        <v>6</v>
      </c>
      <c r="AF132" s="171">
        <f t="shared" si="126"/>
        <v>0</v>
      </c>
      <c r="AG132" s="171">
        <f t="shared" si="126"/>
        <v>0</v>
      </c>
      <c r="AH132" s="154" t="s">
        <v>12</v>
      </c>
      <c r="AI132" s="133"/>
      <c r="AJ132" s="170"/>
      <c r="AK132" s="133"/>
      <c r="AL132" s="133"/>
    </row>
    <row r="133" spans="1:38" ht="15.95" hidden="1" customHeight="1" x14ac:dyDescent="0.25">
      <c r="A133" s="177"/>
      <c r="B133" s="160" t="s">
        <v>68</v>
      </c>
      <c r="C133" s="161">
        <f t="shared" ref="C133:AG133" si="127">IF(C16="V",IF(C16="",0,1),0)</f>
        <v>0</v>
      </c>
      <c r="D133" s="161">
        <f t="shared" si="127"/>
        <v>0</v>
      </c>
      <c r="E133" s="161">
        <f t="shared" si="127"/>
        <v>0</v>
      </c>
      <c r="F133" s="161">
        <f t="shared" si="127"/>
        <v>0</v>
      </c>
      <c r="G133" s="161">
        <f t="shared" si="127"/>
        <v>0</v>
      </c>
      <c r="H133" s="161">
        <f t="shared" si="127"/>
        <v>0</v>
      </c>
      <c r="I133" s="161">
        <f t="shared" si="127"/>
        <v>0</v>
      </c>
      <c r="J133" s="161">
        <f t="shared" si="127"/>
        <v>0</v>
      </c>
      <c r="K133" s="161">
        <f t="shared" si="127"/>
        <v>0</v>
      </c>
      <c r="L133" s="161">
        <f t="shared" si="127"/>
        <v>0</v>
      </c>
      <c r="M133" s="161">
        <f t="shared" si="127"/>
        <v>0</v>
      </c>
      <c r="N133" s="161">
        <f t="shared" si="127"/>
        <v>0</v>
      </c>
      <c r="O133" s="161">
        <f t="shared" si="127"/>
        <v>0</v>
      </c>
      <c r="P133" s="161">
        <f t="shared" si="127"/>
        <v>0</v>
      </c>
      <c r="Q133" s="161">
        <f t="shared" si="127"/>
        <v>0</v>
      </c>
      <c r="R133" s="161">
        <f t="shared" si="127"/>
        <v>0</v>
      </c>
      <c r="S133" s="161">
        <f t="shared" si="127"/>
        <v>0</v>
      </c>
      <c r="T133" s="161">
        <f t="shared" si="127"/>
        <v>0</v>
      </c>
      <c r="U133" s="161">
        <f t="shared" si="127"/>
        <v>0</v>
      </c>
      <c r="V133" s="161">
        <f t="shared" si="127"/>
        <v>0</v>
      </c>
      <c r="W133" s="161">
        <f t="shared" si="127"/>
        <v>0</v>
      </c>
      <c r="X133" s="161">
        <f t="shared" si="127"/>
        <v>0</v>
      </c>
      <c r="Y133" s="161">
        <f t="shared" si="127"/>
        <v>0</v>
      </c>
      <c r="Z133" s="161">
        <f t="shared" si="127"/>
        <v>0</v>
      </c>
      <c r="AA133" s="161">
        <f t="shared" si="127"/>
        <v>0</v>
      </c>
      <c r="AB133" s="161">
        <f t="shared" si="127"/>
        <v>0</v>
      </c>
      <c r="AC133" s="161">
        <f t="shared" si="127"/>
        <v>0</v>
      </c>
      <c r="AD133" s="161">
        <f t="shared" si="127"/>
        <v>0</v>
      </c>
      <c r="AE133" s="161">
        <f t="shared" si="127"/>
        <v>0</v>
      </c>
      <c r="AF133" s="161">
        <f t="shared" si="127"/>
        <v>0</v>
      </c>
      <c r="AG133" s="161">
        <f t="shared" si="127"/>
        <v>0</v>
      </c>
      <c r="AH133" s="154" t="s">
        <v>12</v>
      </c>
      <c r="AI133" s="133"/>
      <c r="AJ133" s="170"/>
      <c r="AK133" s="133"/>
      <c r="AL133" s="133"/>
    </row>
    <row r="134" spans="1:38" ht="15.95" hidden="1" customHeight="1" x14ac:dyDescent="0.25">
      <c r="A134" s="180"/>
      <c r="B134" s="181" t="s">
        <v>16</v>
      </c>
      <c r="C134" s="182">
        <f t="shared" ref="C134:AG134" si="128">IF(C16="PR",IF(C16="",0,1),0)</f>
        <v>0</v>
      </c>
      <c r="D134" s="182">
        <f t="shared" si="128"/>
        <v>0</v>
      </c>
      <c r="E134" s="182">
        <f t="shared" si="128"/>
        <v>0</v>
      </c>
      <c r="F134" s="182">
        <f t="shared" si="128"/>
        <v>0</v>
      </c>
      <c r="G134" s="182">
        <f t="shared" si="128"/>
        <v>0</v>
      </c>
      <c r="H134" s="182">
        <f t="shared" si="128"/>
        <v>0</v>
      </c>
      <c r="I134" s="182">
        <f t="shared" si="128"/>
        <v>0</v>
      </c>
      <c r="J134" s="182">
        <f t="shared" si="128"/>
        <v>0</v>
      </c>
      <c r="K134" s="182">
        <f t="shared" si="128"/>
        <v>0</v>
      </c>
      <c r="L134" s="182">
        <f t="shared" si="128"/>
        <v>0</v>
      </c>
      <c r="M134" s="182">
        <f t="shared" si="128"/>
        <v>0</v>
      </c>
      <c r="N134" s="182">
        <f t="shared" si="128"/>
        <v>0</v>
      </c>
      <c r="O134" s="182">
        <f t="shared" si="128"/>
        <v>0</v>
      </c>
      <c r="P134" s="182">
        <f t="shared" si="128"/>
        <v>0</v>
      </c>
      <c r="Q134" s="182">
        <f t="shared" si="128"/>
        <v>0</v>
      </c>
      <c r="R134" s="182">
        <f t="shared" si="128"/>
        <v>0</v>
      </c>
      <c r="S134" s="182">
        <f t="shared" si="128"/>
        <v>0</v>
      </c>
      <c r="T134" s="182">
        <f t="shared" si="128"/>
        <v>0</v>
      </c>
      <c r="U134" s="182">
        <f t="shared" si="128"/>
        <v>0</v>
      </c>
      <c r="V134" s="182">
        <f t="shared" si="128"/>
        <v>0</v>
      </c>
      <c r="W134" s="182">
        <f t="shared" si="128"/>
        <v>0</v>
      </c>
      <c r="X134" s="182">
        <f t="shared" si="128"/>
        <v>0</v>
      </c>
      <c r="Y134" s="182">
        <f t="shared" si="128"/>
        <v>0</v>
      </c>
      <c r="Z134" s="182">
        <f t="shared" si="128"/>
        <v>0</v>
      </c>
      <c r="AA134" s="182">
        <f t="shared" si="128"/>
        <v>0</v>
      </c>
      <c r="AB134" s="182">
        <f t="shared" si="128"/>
        <v>0</v>
      </c>
      <c r="AC134" s="182">
        <f t="shared" si="128"/>
        <v>0</v>
      </c>
      <c r="AD134" s="182">
        <f t="shared" si="128"/>
        <v>0</v>
      </c>
      <c r="AE134" s="182">
        <f t="shared" si="128"/>
        <v>0</v>
      </c>
      <c r="AF134" s="182">
        <f t="shared" si="128"/>
        <v>0</v>
      </c>
      <c r="AG134" s="182">
        <f t="shared" si="128"/>
        <v>0</v>
      </c>
      <c r="AH134" s="227">
        <f>SUM(C134:AG134)</f>
        <v>0</v>
      </c>
      <c r="AI134" s="227"/>
      <c r="AJ134" s="174" t="s">
        <v>69</v>
      </c>
      <c r="AK134" s="133"/>
      <c r="AL134" s="133"/>
    </row>
    <row r="135" spans="1:38" ht="15.95" hidden="1" customHeight="1" x14ac:dyDescent="0.25">
      <c r="A135" s="164" t="s">
        <v>85</v>
      </c>
      <c r="B135" s="165" t="s">
        <v>29</v>
      </c>
      <c r="C135" s="141" t="str">
        <f t="shared" ref="C135:AG135" si="129">IF(C17=$R32,$S32*24,IF(C17=$R33,$S33*24,IF(C17=$R34,$S34*24,IF(C17=$R35,$S35*24,IF(C17=$R36,$S36*24,IF(C17=$R37,$S37*24,IF(C17=$R38,$S38*24,IF(C17=$R39,$S39*24,IF(C17=$R40,$S40*24,"")))))))))</f>
        <v/>
      </c>
      <c r="D135" s="141">
        <f t="shared" si="129"/>
        <v>22</v>
      </c>
      <c r="E135" s="141">
        <f t="shared" si="129"/>
        <v>22</v>
      </c>
      <c r="F135" s="141">
        <f t="shared" si="129"/>
        <v>22</v>
      </c>
      <c r="G135" s="141">
        <f t="shared" si="129"/>
        <v>22</v>
      </c>
      <c r="H135" s="141" t="str">
        <f t="shared" si="129"/>
        <v/>
      </c>
      <c r="I135" s="141" t="str">
        <f t="shared" si="129"/>
        <v/>
      </c>
      <c r="J135" s="141" t="str">
        <f t="shared" si="129"/>
        <v/>
      </c>
      <c r="K135" s="141">
        <f t="shared" si="129"/>
        <v>22</v>
      </c>
      <c r="L135" s="141">
        <f t="shared" si="129"/>
        <v>22</v>
      </c>
      <c r="M135" s="141">
        <f t="shared" si="129"/>
        <v>22</v>
      </c>
      <c r="N135" s="141" t="str">
        <f t="shared" si="129"/>
        <v/>
      </c>
      <c r="O135" s="141">
        <f t="shared" si="129"/>
        <v>22</v>
      </c>
      <c r="P135" s="141">
        <f t="shared" si="129"/>
        <v>22</v>
      </c>
      <c r="Q135" s="141">
        <f t="shared" si="129"/>
        <v>22</v>
      </c>
      <c r="R135" s="141">
        <f t="shared" si="129"/>
        <v>22</v>
      </c>
      <c r="S135" s="141">
        <f t="shared" si="129"/>
        <v>22</v>
      </c>
      <c r="T135" s="141" t="str">
        <f t="shared" si="129"/>
        <v/>
      </c>
      <c r="U135" s="141">
        <f t="shared" si="129"/>
        <v>22</v>
      </c>
      <c r="V135" s="141" t="str">
        <f t="shared" si="129"/>
        <v/>
      </c>
      <c r="W135" s="141" t="str">
        <f t="shared" si="129"/>
        <v/>
      </c>
      <c r="X135" s="141" t="str">
        <f t="shared" si="129"/>
        <v/>
      </c>
      <c r="Y135" s="141" t="str">
        <f t="shared" si="129"/>
        <v/>
      </c>
      <c r="Z135" s="141">
        <f t="shared" si="129"/>
        <v>22</v>
      </c>
      <c r="AA135" s="141">
        <f t="shared" si="129"/>
        <v>22</v>
      </c>
      <c r="AB135" s="141">
        <f t="shared" si="129"/>
        <v>22</v>
      </c>
      <c r="AC135" s="141">
        <f t="shared" si="129"/>
        <v>22</v>
      </c>
      <c r="AD135" s="141">
        <f t="shared" si="129"/>
        <v>22</v>
      </c>
      <c r="AE135" s="141">
        <f t="shared" si="129"/>
        <v>22</v>
      </c>
      <c r="AF135" s="141">
        <f t="shared" si="129"/>
        <v>22</v>
      </c>
      <c r="AG135" s="141" t="str">
        <f t="shared" si="129"/>
        <v/>
      </c>
      <c r="AH135" s="154" t="s">
        <v>12</v>
      </c>
      <c r="AI135" s="133"/>
      <c r="AJ135" s="170"/>
      <c r="AK135" s="133"/>
      <c r="AL135" s="133"/>
    </row>
    <row r="136" spans="1:38" ht="15.95" hidden="1" customHeight="1" x14ac:dyDescent="0.25">
      <c r="A136" s="166" t="s">
        <v>86</v>
      </c>
      <c r="B136" s="167" t="s">
        <v>30</v>
      </c>
      <c r="C136" s="141" t="str">
        <f t="shared" ref="C136:AG136" si="130">IF(C17=$R32,$V32*24,IF(C17=$R33,$V33*24,IF(C17=$R34,$V34*24,IF(C17=$R35,$V35*24,IF(C17=$R36,$V36*24,IF(C17=$R37,$V37*24,IF(C17=$R38,$V38*24,IF(C17=$R39,$V39*24,IF(C17=$R40,$V40*24,"")))))))))</f>
        <v/>
      </c>
      <c r="D136" s="141">
        <f t="shared" si="130"/>
        <v>6</v>
      </c>
      <c r="E136" s="141">
        <f t="shared" si="130"/>
        <v>6</v>
      </c>
      <c r="F136" s="141">
        <f t="shared" si="130"/>
        <v>6</v>
      </c>
      <c r="G136" s="141">
        <f t="shared" si="130"/>
        <v>6</v>
      </c>
      <c r="H136" s="141" t="str">
        <f t="shared" si="130"/>
        <v/>
      </c>
      <c r="I136" s="141" t="str">
        <f t="shared" si="130"/>
        <v/>
      </c>
      <c r="J136" s="141" t="str">
        <f t="shared" si="130"/>
        <v/>
      </c>
      <c r="K136" s="141">
        <f t="shared" si="130"/>
        <v>6</v>
      </c>
      <c r="L136" s="141">
        <f t="shared" si="130"/>
        <v>6</v>
      </c>
      <c r="M136" s="141">
        <f t="shared" si="130"/>
        <v>6</v>
      </c>
      <c r="N136" s="141" t="str">
        <f t="shared" si="130"/>
        <v/>
      </c>
      <c r="O136" s="141">
        <f t="shared" si="130"/>
        <v>6</v>
      </c>
      <c r="P136" s="141">
        <f t="shared" si="130"/>
        <v>6</v>
      </c>
      <c r="Q136" s="141">
        <f t="shared" si="130"/>
        <v>6</v>
      </c>
      <c r="R136" s="141">
        <f t="shared" si="130"/>
        <v>6</v>
      </c>
      <c r="S136" s="141">
        <f t="shared" si="130"/>
        <v>6</v>
      </c>
      <c r="T136" s="141" t="str">
        <f t="shared" si="130"/>
        <v/>
      </c>
      <c r="U136" s="141">
        <f t="shared" si="130"/>
        <v>6</v>
      </c>
      <c r="V136" s="141" t="str">
        <f t="shared" si="130"/>
        <v/>
      </c>
      <c r="W136" s="141" t="str">
        <f t="shared" si="130"/>
        <v/>
      </c>
      <c r="X136" s="141" t="str">
        <f t="shared" si="130"/>
        <v/>
      </c>
      <c r="Y136" s="141" t="str">
        <f t="shared" si="130"/>
        <v/>
      </c>
      <c r="Z136" s="141">
        <f t="shared" si="130"/>
        <v>6</v>
      </c>
      <c r="AA136" s="141">
        <f t="shared" si="130"/>
        <v>6</v>
      </c>
      <c r="AB136" s="141">
        <f t="shared" si="130"/>
        <v>6</v>
      </c>
      <c r="AC136" s="141">
        <f t="shared" si="130"/>
        <v>6</v>
      </c>
      <c r="AD136" s="141">
        <f t="shared" si="130"/>
        <v>6</v>
      </c>
      <c r="AE136" s="141">
        <f t="shared" si="130"/>
        <v>6</v>
      </c>
      <c r="AF136" s="141">
        <f t="shared" si="130"/>
        <v>6</v>
      </c>
      <c r="AG136" s="141" t="str">
        <f t="shared" si="130"/>
        <v/>
      </c>
      <c r="AH136" s="154" t="s">
        <v>12</v>
      </c>
      <c r="AI136" s="133"/>
      <c r="AJ136" s="170"/>
      <c r="AK136" s="133"/>
      <c r="AL136" s="133"/>
    </row>
    <row r="137" spans="1:38" ht="15.95" hidden="1" customHeight="1" x14ac:dyDescent="0.25">
      <c r="A137" s="153"/>
      <c r="B137" s="168" t="s">
        <v>34</v>
      </c>
      <c r="C137" s="169" t="str">
        <f t="shared" ref="C137:AD137" si="131">IF(C17=$R32,$BD32*24,IF(C17=$R33,$BD33*24,IF(C17=$R34,$BD34*24,IF(C17=$R35,$BD35*24,IF(C17=$R36,$BD36*24,IF(C17=$R37,$BD37*24,IF(C17=$R38,$BD38*24,IF(C17=$R39,$BD39*24,IF(C17=$R40,$BD40*24,"")))))))))</f>
        <v/>
      </c>
      <c r="D137" s="169">
        <f t="shared" si="131"/>
        <v>8</v>
      </c>
      <c r="E137" s="169">
        <f t="shared" si="131"/>
        <v>8</v>
      </c>
      <c r="F137" s="169">
        <f t="shared" si="131"/>
        <v>8</v>
      </c>
      <c r="G137" s="169">
        <f t="shared" si="131"/>
        <v>8</v>
      </c>
      <c r="H137" s="169" t="str">
        <f t="shared" si="131"/>
        <v/>
      </c>
      <c r="I137" s="169" t="str">
        <f t="shared" si="131"/>
        <v/>
      </c>
      <c r="J137" s="169" t="str">
        <f t="shared" si="131"/>
        <v/>
      </c>
      <c r="K137" s="169">
        <f t="shared" si="131"/>
        <v>8</v>
      </c>
      <c r="L137" s="169">
        <f t="shared" si="131"/>
        <v>8</v>
      </c>
      <c r="M137" s="169">
        <f t="shared" si="131"/>
        <v>8</v>
      </c>
      <c r="N137" s="169" t="str">
        <f t="shared" si="131"/>
        <v/>
      </c>
      <c r="O137" s="169">
        <f t="shared" si="131"/>
        <v>8</v>
      </c>
      <c r="P137" s="169">
        <f t="shared" si="131"/>
        <v>8</v>
      </c>
      <c r="Q137" s="169">
        <f t="shared" si="131"/>
        <v>8</v>
      </c>
      <c r="R137" s="169">
        <f t="shared" si="131"/>
        <v>8</v>
      </c>
      <c r="S137" s="169">
        <f t="shared" si="131"/>
        <v>8</v>
      </c>
      <c r="T137" s="169" t="str">
        <f t="shared" si="131"/>
        <v/>
      </c>
      <c r="U137" s="169">
        <f t="shared" si="131"/>
        <v>8</v>
      </c>
      <c r="V137" s="169" t="str">
        <f t="shared" si="131"/>
        <v/>
      </c>
      <c r="W137" s="169" t="str">
        <f t="shared" si="131"/>
        <v/>
      </c>
      <c r="X137" s="169" t="str">
        <f t="shared" si="131"/>
        <v/>
      </c>
      <c r="Y137" s="169" t="str">
        <f t="shared" si="131"/>
        <v/>
      </c>
      <c r="Z137" s="169">
        <f t="shared" si="131"/>
        <v>8</v>
      </c>
      <c r="AA137" s="169">
        <f t="shared" si="131"/>
        <v>8</v>
      </c>
      <c r="AB137" s="169">
        <f t="shared" si="131"/>
        <v>8</v>
      </c>
      <c r="AC137" s="169">
        <f t="shared" si="131"/>
        <v>8</v>
      </c>
      <c r="AD137" s="169">
        <f t="shared" si="131"/>
        <v>8</v>
      </c>
      <c r="AE137" s="169">
        <f>IF(AE17=$R32,$BD32*24,IF(AE17=$R33,$BD33*24,IF(AE17=$R34,$BD34*24,IF(AE17=$R35,$BD35*24,IF(AE17=$R36,$BD36*24,IF(AE17=$R37,$BD37*24,IF(AE17=$R38,$BD38*24,IF(AE17=$R39,$BD39*24,IF(AE17=$R40,$BD40*24,"")))))))))</f>
        <v>8</v>
      </c>
      <c r="AF137" s="169">
        <f>IF(AF17=$R32,$BD32*24,IF(AF17=$R33,$BD33*24,IF(AF17=$R34,$BD34*24,IF(AF17=$R35,$BD35*24,IF(AF17=$R36,$BD36*24,IF(AF17=$R37,$BD37*24,IF(AF17=$R38,$BD38*24,IF(AF17=$R39,$BD39*24,IF(AF17=$R40,$BD40*24,"")))))))))</f>
        <v>8</v>
      </c>
      <c r="AG137" s="169" t="str">
        <f>IF(AG17=$R32,$BD32*24,IF(AG17=$R33,$BD33*24,IF(AG17=$R34,$BD34*24,IF(AG17=$R35,$BD35*24,IF(AG17=$R36,$BD36*24,IF(AG17=$R37,$BD37*24,IF(AG17=$R38,$BD38*24,IF(AG17=$R39,$BD39*24,IF(AG17=$R40,$BD40*24,"")))))))))</f>
        <v/>
      </c>
      <c r="AH137" s="148">
        <f>SUM(C137:AG137)</f>
        <v>160</v>
      </c>
      <c r="AI137" s="133"/>
      <c r="AJ137" s="170"/>
      <c r="AK137" s="133"/>
      <c r="AL137" s="133"/>
    </row>
    <row r="138" spans="1:38" ht="15.95" hidden="1" customHeight="1" x14ac:dyDescent="0.25">
      <c r="A138" s="153"/>
      <c r="B138" s="167" t="s">
        <v>59</v>
      </c>
      <c r="C138" s="141">
        <f t="shared" ref="C138:AG138" si="132">IF(C17="V",$C36,IF(C17="PR",$C38,0))</f>
        <v>0</v>
      </c>
      <c r="D138" s="141">
        <f t="shared" si="132"/>
        <v>0</v>
      </c>
      <c r="E138" s="141">
        <f t="shared" si="132"/>
        <v>0</v>
      </c>
      <c r="F138" s="141">
        <f t="shared" si="132"/>
        <v>0</v>
      </c>
      <c r="G138" s="141">
        <f t="shared" si="132"/>
        <v>0</v>
      </c>
      <c r="H138" s="141">
        <f t="shared" si="132"/>
        <v>0</v>
      </c>
      <c r="I138" s="141">
        <f t="shared" si="132"/>
        <v>0</v>
      </c>
      <c r="J138" s="141">
        <f t="shared" si="132"/>
        <v>0</v>
      </c>
      <c r="K138" s="141">
        <f t="shared" si="132"/>
        <v>0</v>
      </c>
      <c r="L138" s="141">
        <f t="shared" si="132"/>
        <v>0</v>
      </c>
      <c r="M138" s="141">
        <f t="shared" si="132"/>
        <v>0</v>
      </c>
      <c r="N138" s="141">
        <f t="shared" si="132"/>
        <v>0</v>
      </c>
      <c r="O138" s="141">
        <f t="shared" si="132"/>
        <v>0</v>
      </c>
      <c r="P138" s="141">
        <f t="shared" si="132"/>
        <v>0</v>
      </c>
      <c r="Q138" s="141">
        <f t="shared" si="132"/>
        <v>0</v>
      </c>
      <c r="R138" s="141">
        <f t="shared" si="132"/>
        <v>0</v>
      </c>
      <c r="S138" s="141">
        <f t="shared" si="132"/>
        <v>0</v>
      </c>
      <c r="T138" s="141">
        <f t="shared" si="132"/>
        <v>0</v>
      </c>
      <c r="U138" s="141">
        <f t="shared" si="132"/>
        <v>0</v>
      </c>
      <c r="V138" s="141">
        <f t="shared" si="132"/>
        <v>0</v>
      </c>
      <c r="W138" s="141">
        <f t="shared" si="132"/>
        <v>0</v>
      </c>
      <c r="X138" s="141">
        <f t="shared" si="132"/>
        <v>0</v>
      </c>
      <c r="Y138" s="141">
        <f t="shared" si="132"/>
        <v>0</v>
      </c>
      <c r="Z138" s="141">
        <f t="shared" si="132"/>
        <v>0</v>
      </c>
      <c r="AA138" s="141">
        <f t="shared" si="132"/>
        <v>0</v>
      </c>
      <c r="AB138" s="141">
        <f t="shared" si="132"/>
        <v>0</v>
      </c>
      <c r="AC138" s="141">
        <f t="shared" si="132"/>
        <v>0</v>
      </c>
      <c r="AD138" s="141">
        <f t="shared" si="132"/>
        <v>0</v>
      </c>
      <c r="AE138" s="141">
        <f t="shared" si="132"/>
        <v>0</v>
      </c>
      <c r="AF138" s="141">
        <f t="shared" si="132"/>
        <v>0</v>
      </c>
      <c r="AG138" s="141">
        <f t="shared" si="132"/>
        <v>0</v>
      </c>
      <c r="AH138" s="226">
        <f>SUM(C138:AG138)</f>
        <v>0</v>
      </c>
      <c r="AI138" s="226"/>
      <c r="AJ138" s="230">
        <f>SUM(AH83+AH94+AH105+AH116+AH127+AH138)</f>
        <v>78.3</v>
      </c>
      <c r="AK138" s="230"/>
      <c r="AL138" s="133" t="s">
        <v>56</v>
      </c>
    </row>
    <row r="139" spans="1:38" ht="15.95" hidden="1" customHeight="1" x14ac:dyDescent="0.25">
      <c r="A139" s="150" t="s">
        <v>60</v>
      </c>
      <c r="B139" s="167" t="s">
        <v>61</v>
      </c>
      <c r="C139" s="151">
        <f t="shared" ref="C139:AD139" si="133">IF(C17=$R32,$BC32,IF(C17=$R33,$BC33,IF(C17=$R34,$BC34,IF(C17=$R35,$BC35,IF(C17=$R36,$BC36,IF(C17=$R37,$BC37,IF(C17=$R38,$BC38,IF(C17=$R39,$BC39,IF(C17=$R40,$BC40,0)))))))))</f>
        <v>0</v>
      </c>
      <c r="D139" s="151">
        <f t="shared" si="133"/>
        <v>7.9999999999999716</v>
      </c>
      <c r="E139" s="151">
        <f t="shared" si="133"/>
        <v>7.9999999999999716</v>
      </c>
      <c r="F139" s="151">
        <f t="shared" si="133"/>
        <v>7.9999999999999716</v>
      </c>
      <c r="G139" s="151">
        <f t="shared" si="133"/>
        <v>7.9999999999999716</v>
      </c>
      <c r="H139" s="151">
        <f t="shared" si="133"/>
        <v>0</v>
      </c>
      <c r="I139" s="151">
        <f t="shared" si="133"/>
        <v>0</v>
      </c>
      <c r="J139" s="151">
        <f t="shared" si="133"/>
        <v>0</v>
      </c>
      <c r="K139" s="151">
        <f t="shared" si="133"/>
        <v>7.9999999999999716</v>
      </c>
      <c r="L139" s="151">
        <f t="shared" si="133"/>
        <v>7.9999999999999716</v>
      </c>
      <c r="M139" s="151">
        <f t="shared" si="133"/>
        <v>7.9999999999999716</v>
      </c>
      <c r="N139" s="151">
        <f t="shared" si="133"/>
        <v>0</v>
      </c>
      <c r="O139" s="151">
        <f t="shared" si="133"/>
        <v>7.9999999999999716</v>
      </c>
      <c r="P139" s="151">
        <f t="shared" si="133"/>
        <v>7.9999999999999716</v>
      </c>
      <c r="Q139" s="151">
        <f t="shared" si="133"/>
        <v>7.9999999999999716</v>
      </c>
      <c r="R139" s="151">
        <f t="shared" si="133"/>
        <v>7.9999999999999716</v>
      </c>
      <c r="S139" s="151">
        <f t="shared" si="133"/>
        <v>7.9999999999999716</v>
      </c>
      <c r="T139" s="151">
        <f t="shared" si="133"/>
        <v>0</v>
      </c>
      <c r="U139" s="151">
        <f t="shared" si="133"/>
        <v>7.9999999999999716</v>
      </c>
      <c r="V139" s="151">
        <f t="shared" si="133"/>
        <v>0</v>
      </c>
      <c r="W139" s="151">
        <f t="shared" si="133"/>
        <v>0</v>
      </c>
      <c r="X139" s="151">
        <f t="shared" si="133"/>
        <v>0</v>
      </c>
      <c r="Y139" s="151">
        <f t="shared" si="133"/>
        <v>0</v>
      </c>
      <c r="Z139" s="151">
        <f t="shared" si="133"/>
        <v>7.9999999999999716</v>
      </c>
      <c r="AA139" s="151">
        <f t="shared" si="133"/>
        <v>7.9999999999999716</v>
      </c>
      <c r="AB139" s="151">
        <f t="shared" si="133"/>
        <v>7.9999999999999716</v>
      </c>
      <c r="AC139" s="151">
        <f t="shared" si="133"/>
        <v>7.9999999999999716</v>
      </c>
      <c r="AD139" s="151">
        <f t="shared" si="133"/>
        <v>7.9999999999999716</v>
      </c>
      <c r="AE139" s="151">
        <f>IF(AE17=$R32,$BC32,IF(AE17=$R33,$BC33,IF(AE17=$R34,$BC34,IF(AE17=$R35,$BC35,IF(AE17=$R36,$BC36,IF(AE17=$R37,$BC37,IF(AE17=$R38,$BC38,IF(AE17=$R39,$BC39,IF(AE17=$R40,$BC40,0)))))))))</f>
        <v>7.9999999999999716</v>
      </c>
      <c r="AF139" s="151">
        <f>IF(AF17=$R32,$BC32,IF(AF17=$R33,$BC33,IF(AF17=$R34,$BC34,IF(AF17=$R35,$BC35,IF(AF17=$R36,$BC36,IF(AF17=$R37,$BC37,IF(AF17=$R38,$BC38,IF(AF17=$R39,$BC39,IF(AF17=$R40,$BC40,0)))))))))</f>
        <v>7.9999999999999716</v>
      </c>
      <c r="AG139" s="151">
        <f>IF(AG17=$R32,$BC32,IF(AG17=$R33,$BC33,IF(AG17=$R34,$BC34,IF(AG17=$R35,$BC35,IF(AG17=$R36,$BC36,IF(AG17=$R37,$BC37,IF(AG17=$R38,$BC38,IF(AG17=$R39,$BC39,IF(AG17=$R40,$BC40,0)))))))))</f>
        <v>0</v>
      </c>
      <c r="AH139" s="226">
        <f>SUM(C139:AG139)</f>
        <v>159.99999999999943</v>
      </c>
      <c r="AI139" s="226"/>
      <c r="AJ139" s="174" t="s">
        <v>62</v>
      </c>
      <c r="AK139" s="133" t="s">
        <v>12</v>
      </c>
      <c r="AL139" s="133"/>
    </row>
    <row r="140" spans="1:38" ht="15.95" hidden="1" customHeight="1" x14ac:dyDescent="0.25">
      <c r="A140" s="153" t="s">
        <v>48</v>
      </c>
      <c r="B140" s="149" t="s">
        <v>63</v>
      </c>
      <c r="C140" s="141">
        <f t="shared" ref="C140:AG140" si="134">IF(C46=1,IF(C135&lt;C136,C139,0))</f>
        <v>0</v>
      </c>
      <c r="D140" s="141" t="b">
        <f t="shared" si="134"/>
        <v>0</v>
      </c>
      <c r="E140" s="141" t="b">
        <f t="shared" si="134"/>
        <v>0</v>
      </c>
      <c r="F140" s="141" t="b">
        <f t="shared" si="134"/>
        <v>0</v>
      </c>
      <c r="G140" s="141" t="b">
        <f t="shared" si="134"/>
        <v>0</v>
      </c>
      <c r="H140" s="141" t="b">
        <f t="shared" si="134"/>
        <v>0</v>
      </c>
      <c r="I140" s="141">
        <f t="shared" si="134"/>
        <v>0</v>
      </c>
      <c r="J140" s="141">
        <f t="shared" si="134"/>
        <v>0</v>
      </c>
      <c r="K140" s="141" t="b">
        <f t="shared" si="134"/>
        <v>0</v>
      </c>
      <c r="L140" s="141" t="b">
        <f t="shared" si="134"/>
        <v>0</v>
      </c>
      <c r="M140" s="141" t="b">
        <f t="shared" si="134"/>
        <v>0</v>
      </c>
      <c r="N140" s="141" t="b">
        <f t="shared" si="134"/>
        <v>0</v>
      </c>
      <c r="O140" s="141" t="b">
        <f t="shared" si="134"/>
        <v>0</v>
      </c>
      <c r="P140" s="141">
        <f t="shared" si="134"/>
        <v>0</v>
      </c>
      <c r="Q140" s="141">
        <f t="shared" si="134"/>
        <v>0</v>
      </c>
      <c r="R140" s="141" t="b">
        <f t="shared" si="134"/>
        <v>0</v>
      </c>
      <c r="S140" s="141" t="b">
        <f t="shared" si="134"/>
        <v>0</v>
      </c>
      <c r="T140" s="141" t="b">
        <f t="shared" si="134"/>
        <v>0</v>
      </c>
      <c r="U140" s="141" t="b">
        <f t="shared" si="134"/>
        <v>0</v>
      </c>
      <c r="V140" s="141" t="b">
        <f t="shared" si="134"/>
        <v>0</v>
      </c>
      <c r="W140" s="141">
        <f t="shared" si="134"/>
        <v>0</v>
      </c>
      <c r="X140" s="141">
        <f t="shared" si="134"/>
        <v>0</v>
      </c>
      <c r="Y140" s="141" t="b">
        <f t="shared" si="134"/>
        <v>0</v>
      </c>
      <c r="Z140" s="141" t="b">
        <f t="shared" si="134"/>
        <v>0</v>
      </c>
      <c r="AA140" s="141" t="b">
        <f t="shared" si="134"/>
        <v>0</v>
      </c>
      <c r="AB140" s="141" t="b">
        <f t="shared" si="134"/>
        <v>0</v>
      </c>
      <c r="AC140" s="141" t="b">
        <f t="shared" si="134"/>
        <v>0</v>
      </c>
      <c r="AD140" s="141">
        <f t="shared" si="134"/>
        <v>0</v>
      </c>
      <c r="AE140" s="141">
        <f t="shared" si="134"/>
        <v>0</v>
      </c>
      <c r="AF140" s="141" t="b">
        <f t="shared" si="134"/>
        <v>0</v>
      </c>
      <c r="AG140" s="141" t="b">
        <f t="shared" si="134"/>
        <v>0</v>
      </c>
      <c r="AH140" s="154" t="s">
        <v>12</v>
      </c>
      <c r="AI140" s="133"/>
      <c r="AJ140" s="170"/>
      <c r="AK140" s="133"/>
      <c r="AL140" s="133"/>
    </row>
    <row r="141" spans="1:38" ht="15.95" hidden="1" customHeight="1" x14ac:dyDescent="0.25">
      <c r="A141" s="176"/>
      <c r="B141" s="149" t="s">
        <v>64</v>
      </c>
      <c r="C141" s="141">
        <f t="shared" ref="C141:AG141" si="135">IF(C46=1,IF(C135&gt;C136,24-C135,0),0)</f>
        <v>0</v>
      </c>
      <c r="D141" s="141">
        <f t="shared" si="135"/>
        <v>0</v>
      </c>
      <c r="E141" s="141">
        <f t="shared" si="135"/>
        <v>0</v>
      </c>
      <c r="F141" s="141">
        <f t="shared" si="135"/>
        <v>0</v>
      </c>
      <c r="G141" s="141">
        <f t="shared" si="135"/>
        <v>0</v>
      </c>
      <c r="H141" s="141">
        <f t="shared" si="135"/>
        <v>0</v>
      </c>
      <c r="I141" s="141">
        <f t="shared" si="135"/>
        <v>0</v>
      </c>
      <c r="J141" s="141">
        <f t="shared" si="135"/>
        <v>0</v>
      </c>
      <c r="K141" s="141">
        <f t="shared" si="135"/>
        <v>0</v>
      </c>
      <c r="L141" s="141">
        <f t="shared" si="135"/>
        <v>0</v>
      </c>
      <c r="M141" s="141">
        <f t="shared" si="135"/>
        <v>0</v>
      </c>
      <c r="N141" s="141">
        <f t="shared" si="135"/>
        <v>0</v>
      </c>
      <c r="O141" s="141">
        <f t="shared" si="135"/>
        <v>0</v>
      </c>
      <c r="P141" s="141">
        <f t="shared" si="135"/>
        <v>2</v>
      </c>
      <c r="Q141" s="141">
        <f t="shared" si="135"/>
        <v>2</v>
      </c>
      <c r="R141" s="141">
        <f t="shared" si="135"/>
        <v>0</v>
      </c>
      <c r="S141" s="141">
        <f t="shared" si="135"/>
        <v>0</v>
      </c>
      <c r="T141" s="141">
        <f t="shared" si="135"/>
        <v>0</v>
      </c>
      <c r="U141" s="141">
        <f t="shared" si="135"/>
        <v>0</v>
      </c>
      <c r="V141" s="141">
        <f t="shared" si="135"/>
        <v>0</v>
      </c>
      <c r="W141" s="141">
        <f t="shared" si="135"/>
        <v>0</v>
      </c>
      <c r="X141" s="141">
        <f t="shared" si="135"/>
        <v>0</v>
      </c>
      <c r="Y141" s="141">
        <f t="shared" si="135"/>
        <v>0</v>
      </c>
      <c r="Z141" s="141">
        <f t="shared" si="135"/>
        <v>0</v>
      </c>
      <c r="AA141" s="141">
        <f t="shared" si="135"/>
        <v>0</v>
      </c>
      <c r="AB141" s="141">
        <f t="shared" si="135"/>
        <v>0</v>
      </c>
      <c r="AC141" s="141">
        <f t="shared" si="135"/>
        <v>0</v>
      </c>
      <c r="AD141" s="141">
        <f t="shared" si="135"/>
        <v>2</v>
      </c>
      <c r="AE141" s="141">
        <f t="shared" si="135"/>
        <v>2</v>
      </c>
      <c r="AF141" s="141">
        <f t="shared" si="135"/>
        <v>0</v>
      </c>
      <c r="AG141" s="141">
        <f t="shared" si="135"/>
        <v>0</v>
      </c>
      <c r="AH141" s="154" t="s">
        <v>12</v>
      </c>
      <c r="AI141" s="133"/>
      <c r="AJ141" s="170"/>
      <c r="AK141" s="133"/>
      <c r="AL141" s="133"/>
    </row>
    <row r="142" spans="1:38" ht="15.95" hidden="1" customHeight="1" x14ac:dyDescent="0.25">
      <c r="A142" s="176"/>
      <c r="B142" s="149" t="s">
        <v>65</v>
      </c>
      <c r="C142" s="141">
        <f t="shared" ref="C142:AG142" si="136">IF(D46=1,IF(C135&gt;C136,C136,0),0)</f>
        <v>0</v>
      </c>
      <c r="D142" s="141">
        <f t="shared" si="136"/>
        <v>0</v>
      </c>
      <c r="E142" s="141">
        <f t="shared" si="136"/>
        <v>0</v>
      </c>
      <c r="F142" s="141">
        <f t="shared" si="136"/>
        <v>0</v>
      </c>
      <c r="G142" s="141">
        <f t="shared" si="136"/>
        <v>0</v>
      </c>
      <c r="H142" s="141">
        <f t="shared" si="136"/>
        <v>0</v>
      </c>
      <c r="I142" s="141">
        <f t="shared" si="136"/>
        <v>0</v>
      </c>
      <c r="J142" s="141">
        <f t="shared" si="136"/>
        <v>0</v>
      </c>
      <c r="K142" s="141">
        <f t="shared" si="136"/>
        <v>0</v>
      </c>
      <c r="L142" s="141">
        <f t="shared" si="136"/>
        <v>0</v>
      </c>
      <c r="M142" s="141">
        <f t="shared" si="136"/>
        <v>0</v>
      </c>
      <c r="N142" s="141">
        <f t="shared" si="136"/>
        <v>0</v>
      </c>
      <c r="O142" s="141">
        <f t="shared" si="136"/>
        <v>6</v>
      </c>
      <c r="P142" s="141">
        <f t="shared" si="136"/>
        <v>6</v>
      </c>
      <c r="Q142" s="141">
        <f t="shared" si="136"/>
        <v>0</v>
      </c>
      <c r="R142" s="141">
        <f t="shared" si="136"/>
        <v>0</v>
      </c>
      <c r="S142" s="141">
        <f t="shared" si="136"/>
        <v>0</v>
      </c>
      <c r="T142" s="141">
        <f t="shared" si="136"/>
        <v>0</v>
      </c>
      <c r="U142" s="141">
        <f t="shared" si="136"/>
        <v>0</v>
      </c>
      <c r="V142" s="141">
        <f t="shared" si="136"/>
        <v>0</v>
      </c>
      <c r="W142" s="141">
        <f t="shared" si="136"/>
        <v>0</v>
      </c>
      <c r="X142" s="141">
        <f>IF(Y46=1,IF(X135&gt;X136,X136,0),0)</f>
        <v>0</v>
      </c>
      <c r="Y142" s="141">
        <f t="shared" si="136"/>
        <v>0</v>
      </c>
      <c r="Z142" s="141">
        <f t="shared" si="136"/>
        <v>0</v>
      </c>
      <c r="AA142" s="141">
        <f t="shared" si="136"/>
        <v>0</v>
      </c>
      <c r="AB142" s="141">
        <f t="shared" si="136"/>
        <v>0</v>
      </c>
      <c r="AC142" s="141">
        <f t="shared" si="136"/>
        <v>6</v>
      </c>
      <c r="AD142" s="141">
        <f t="shared" si="136"/>
        <v>6</v>
      </c>
      <c r="AE142" s="141">
        <f t="shared" si="136"/>
        <v>0</v>
      </c>
      <c r="AF142" s="141">
        <f t="shared" si="136"/>
        <v>0</v>
      </c>
      <c r="AG142" s="141">
        <f t="shared" si="136"/>
        <v>0</v>
      </c>
      <c r="AH142" s="154" t="s">
        <v>12</v>
      </c>
      <c r="AI142" s="133"/>
      <c r="AJ142" s="170"/>
      <c r="AK142" s="133"/>
      <c r="AL142" s="133"/>
    </row>
    <row r="143" spans="1:38" ht="15.95" hidden="1" customHeight="1" x14ac:dyDescent="0.25">
      <c r="A143" s="176"/>
      <c r="B143" s="149" t="s">
        <v>67</v>
      </c>
      <c r="C143" s="171">
        <f>SUM(C140:C142)</f>
        <v>0</v>
      </c>
      <c r="D143" s="171">
        <f t="shared" ref="D143:AG143" si="137">SUM(D140:D142)</f>
        <v>0</v>
      </c>
      <c r="E143" s="171">
        <f t="shared" si="137"/>
        <v>0</v>
      </c>
      <c r="F143" s="171">
        <f t="shared" si="137"/>
        <v>0</v>
      </c>
      <c r="G143" s="171">
        <f t="shared" si="137"/>
        <v>0</v>
      </c>
      <c r="H143" s="171">
        <f t="shared" si="137"/>
        <v>0</v>
      </c>
      <c r="I143" s="171">
        <f t="shared" si="137"/>
        <v>0</v>
      </c>
      <c r="J143" s="171">
        <f t="shared" si="137"/>
        <v>0</v>
      </c>
      <c r="K143" s="171">
        <f t="shared" si="137"/>
        <v>0</v>
      </c>
      <c r="L143" s="171">
        <f t="shared" si="137"/>
        <v>0</v>
      </c>
      <c r="M143" s="171">
        <f t="shared" si="137"/>
        <v>0</v>
      </c>
      <c r="N143" s="171">
        <f t="shared" si="137"/>
        <v>0</v>
      </c>
      <c r="O143" s="171">
        <f t="shared" si="137"/>
        <v>6</v>
      </c>
      <c r="P143" s="171">
        <f t="shared" si="137"/>
        <v>8</v>
      </c>
      <c r="Q143" s="171">
        <f t="shared" si="137"/>
        <v>2</v>
      </c>
      <c r="R143" s="171">
        <f t="shared" si="137"/>
        <v>0</v>
      </c>
      <c r="S143" s="171">
        <f t="shared" si="137"/>
        <v>0</v>
      </c>
      <c r="T143" s="171">
        <f t="shared" si="137"/>
        <v>0</v>
      </c>
      <c r="U143" s="171">
        <f t="shared" si="137"/>
        <v>0</v>
      </c>
      <c r="V143" s="171">
        <f t="shared" si="137"/>
        <v>0</v>
      </c>
      <c r="W143" s="171">
        <f t="shared" si="137"/>
        <v>0</v>
      </c>
      <c r="X143" s="171">
        <f t="shared" si="137"/>
        <v>0</v>
      </c>
      <c r="Y143" s="171">
        <f t="shared" si="137"/>
        <v>0</v>
      </c>
      <c r="Z143" s="171">
        <f t="shared" si="137"/>
        <v>0</v>
      </c>
      <c r="AA143" s="171">
        <f t="shared" si="137"/>
        <v>0</v>
      </c>
      <c r="AB143" s="171">
        <f t="shared" si="137"/>
        <v>0</v>
      </c>
      <c r="AC143" s="171">
        <f t="shared" si="137"/>
        <v>6</v>
      </c>
      <c r="AD143" s="171">
        <f t="shared" si="137"/>
        <v>8</v>
      </c>
      <c r="AE143" s="171">
        <f t="shared" si="137"/>
        <v>2</v>
      </c>
      <c r="AF143" s="171">
        <f t="shared" si="137"/>
        <v>0</v>
      </c>
      <c r="AG143" s="171">
        <f t="shared" si="137"/>
        <v>0</v>
      </c>
      <c r="AH143" s="154" t="s">
        <v>12</v>
      </c>
      <c r="AI143" s="133"/>
      <c r="AJ143" s="170"/>
      <c r="AK143" s="133"/>
      <c r="AL143" s="133"/>
    </row>
    <row r="144" spans="1:38" ht="15.95" hidden="1" customHeight="1" x14ac:dyDescent="0.25">
      <c r="A144" s="177"/>
      <c r="B144" s="160" t="s">
        <v>68</v>
      </c>
      <c r="C144" s="161">
        <f t="shared" ref="C144:AG144" si="138">IF(C17="V",IF(C17="",0,1),0)</f>
        <v>0</v>
      </c>
      <c r="D144" s="161">
        <f t="shared" si="138"/>
        <v>0</v>
      </c>
      <c r="E144" s="161">
        <f t="shared" si="138"/>
        <v>0</v>
      </c>
      <c r="F144" s="161">
        <f t="shared" si="138"/>
        <v>0</v>
      </c>
      <c r="G144" s="161">
        <f t="shared" si="138"/>
        <v>0</v>
      </c>
      <c r="H144" s="161">
        <f t="shared" si="138"/>
        <v>0</v>
      </c>
      <c r="I144" s="161">
        <f t="shared" si="138"/>
        <v>0</v>
      </c>
      <c r="J144" s="161">
        <f t="shared" si="138"/>
        <v>0</v>
      </c>
      <c r="K144" s="161">
        <f t="shared" si="138"/>
        <v>0</v>
      </c>
      <c r="L144" s="161">
        <f t="shared" si="138"/>
        <v>0</v>
      </c>
      <c r="M144" s="161">
        <f t="shared" si="138"/>
        <v>0</v>
      </c>
      <c r="N144" s="161">
        <f t="shared" si="138"/>
        <v>0</v>
      </c>
      <c r="O144" s="161">
        <f t="shared" si="138"/>
        <v>0</v>
      </c>
      <c r="P144" s="161">
        <f t="shared" si="138"/>
        <v>0</v>
      </c>
      <c r="Q144" s="161">
        <f t="shared" si="138"/>
        <v>0</v>
      </c>
      <c r="R144" s="161">
        <f t="shared" si="138"/>
        <v>0</v>
      </c>
      <c r="S144" s="161">
        <f t="shared" si="138"/>
        <v>0</v>
      </c>
      <c r="T144" s="161">
        <f t="shared" si="138"/>
        <v>0</v>
      </c>
      <c r="U144" s="161">
        <f t="shared" si="138"/>
        <v>0</v>
      </c>
      <c r="V144" s="161">
        <f t="shared" si="138"/>
        <v>0</v>
      </c>
      <c r="W144" s="161">
        <f t="shared" si="138"/>
        <v>0</v>
      </c>
      <c r="X144" s="161">
        <f t="shared" si="138"/>
        <v>0</v>
      </c>
      <c r="Y144" s="161">
        <f t="shared" si="138"/>
        <v>0</v>
      </c>
      <c r="Z144" s="161">
        <f t="shared" si="138"/>
        <v>0</v>
      </c>
      <c r="AA144" s="161">
        <f t="shared" si="138"/>
        <v>0</v>
      </c>
      <c r="AB144" s="161">
        <f t="shared" si="138"/>
        <v>0</v>
      </c>
      <c r="AC144" s="161">
        <f t="shared" si="138"/>
        <v>0</v>
      </c>
      <c r="AD144" s="161">
        <f t="shared" si="138"/>
        <v>0</v>
      </c>
      <c r="AE144" s="161">
        <f t="shared" si="138"/>
        <v>0</v>
      </c>
      <c r="AF144" s="161">
        <f t="shared" si="138"/>
        <v>0</v>
      </c>
      <c r="AG144" s="161">
        <f t="shared" si="138"/>
        <v>0</v>
      </c>
      <c r="AH144" s="154" t="s">
        <v>12</v>
      </c>
      <c r="AI144" s="133"/>
      <c r="AJ144" s="170"/>
      <c r="AK144" s="133"/>
      <c r="AL144" s="133"/>
    </row>
    <row r="145" spans="1:38" ht="15.95" hidden="1" customHeight="1" x14ac:dyDescent="0.25">
      <c r="A145" s="180"/>
      <c r="B145" s="181" t="s">
        <v>16</v>
      </c>
      <c r="C145" s="182">
        <f t="shared" ref="C145:AG145" si="139">IF(C17="PR",IF(C17="",0,1),0)</f>
        <v>0</v>
      </c>
      <c r="D145" s="182">
        <f t="shared" si="139"/>
        <v>0</v>
      </c>
      <c r="E145" s="182">
        <f t="shared" si="139"/>
        <v>0</v>
      </c>
      <c r="F145" s="182">
        <f t="shared" si="139"/>
        <v>0</v>
      </c>
      <c r="G145" s="182">
        <f t="shared" si="139"/>
        <v>0</v>
      </c>
      <c r="H145" s="182">
        <f t="shared" si="139"/>
        <v>0</v>
      </c>
      <c r="I145" s="182">
        <f t="shared" si="139"/>
        <v>0</v>
      </c>
      <c r="J145" s="182">
        <f t="shared" si="139"/>
        <v>0</v>
      </c>
      <c r="K145" s="182">
        <f t="shared" si="139"/>
        <v>0</v>
      </c>
      <c r="L145" s="182">
        <f t="shared" si="139"/>
        <v>0</v>
      </c>
      <c r="M145" s="182">
        <f t="shared" si="139"/>
        <v>0</v>
      </c>
      <c r="N145" s="182">
        <f t="shared" si="139"/>
        <v>0</v>
      </c>
      <c r="O145" s="182">
        <f t="shared" si="139"/>
        <v>0</v>
      </c>
      <c r="P145" s="182">
        <f t="shared" si="139"/>
        <v>0</v>
      </c>
      <c r="Q145" s="182">
        <f t="shared" si="139"/>
        <v>0</v>
      </c>
      <c r="R145" s="182">
        <f t="shared" si="139"/>
        <v>0</v>
      </c>
      <c r="S145" s="182">
        <f t="shared" si="139"/>
        <v>0</v>
      </c>
      <c r="T145" s="182">
        <f t="shared" si="139"/>
        <v>0</v>
      </c>
      <c r="U145" s="182">
        <f t="shared" si="139"/>
        <v>0</v>
      </c>
      <c r="V145" s="182">
        <f t="shared" si="139"/>
        <v>0</v>
      </c>
      <c r="W145" s="182">
        <f t="shared" si="139"/>
        <v>0</v>
      </c>
      <c r="X145" s="182">
        <f t="shared" si="139"/>
        <v>0</v>
      </c>
      <c r="Y145" s="182">
        <f t="shared" si="139"/>
        <v>0</v>
      </c>
      <c r="Z145" s="182">
        <f t="shared" si="139"/>
        <v>0</v>
      </c>
      <c r="AA145" s="182">
        <f t="shared" si="139"/>
        <v>0</v>
      </c>
      <c r="AB145" s="182">
        <f t="shared" si="139"/>
        <v>0</v>
      </c>
      <c r="AC145" s="182">
        <f t="shared" si="139"/>
        <v>0</v>
      </c>
      <c r="AD145" s="182">
        <f t="shared" si="139"/>
        <v>0</v>
      </c>
      <c r="AE145" s="182">
        <f t="shared" si="139"/>
        <v>0</v>
      </c>
      <c r="AF145" s="182">
        <f t="shared" si="139"/>
        <v>0</v>
      </c>
      <c r="AG145" s="182">
        <f t="shared" si="139"/>
        <v>0</v>
      </c>
      <c r="AH145" s="227">
        <f>SUM(C145:AG145)</f>
        <v>0</v>
      </c>
      <c r="AI145" s="227"/>
      <c r="AJ145" s="174" t="s">
        <v>69</v>
      </c>
      <c r="AK145" s="133"/>
      <c r="AL145" s="133"/>
    </row>
    <row r="146" spans="1:38" ht="15.95" hidden="1" customHeight="1" x14ac:dyDescent="0.25">
      <c r="A146" s="164" t="s">
        <v>87</v>
      </c>
      <c r="B146" s="165" t="s">
        <v>29</v>
      </c>
      <c r="C146" s="141">
        <f t="shared" ref="C146:AG146" si="140">IF(C18=$R32,$S32*24,IF(C18=$R33,$S33*24,IF(C18=$R34,$S34*24,IF(C18=$R35,$S35*24,IF(C18=$R36,$S36*24,IF(C18=$R37,$S37*24,IF(C18=$R38,$S38*24,IF(C18=$R39,$S39*24,IF(C18=$R40,$S40*24,"")))))))))</f>
        <v>22</v>
      </c>
      <c r="D146" s="141" t="str">
        <f t="shared" si="140"/>
        <v/>
      </c>
      <c r="E146" s="141" t="str">
        <f t="shared" si="140"/>
        <v/>
      </c>
      <c r="F146" s="141" t="str">
        <f t="shared" si="140"/>
        <v/>
      </c>
      <c r="G146" s="141" t="str">
        <f t="shared" si="140"/>
        <v/>
      </c>
      <c r="H146" s="141">
        <f t="shared" si="140"/>
        <v>19</v>
      </c>
      <c r="I146" s="141">
        <f t="shared" si="140"/>
        <v>19</v>
      </c>
      <c r="J146" s="141">
        <f t="shared" si="140"/>
        <v>19</v>
      </c>
      <c r="K146" s="141" t="str">
        <f t="shared" si="140"/>
        <v/>
      </c>
      <c r="L146" s="141" t="str">
        <f t="shared" si="140"/>
        <v/>
      </c>
      <c r="M146" s="141" t="str">
        <f t="shared" si="140"/>
        <v/>
      </c>
      <c r="N146" s="141">
        <f t="shared" si="140"/>
        <v>22</v>
      </c>
      <c r="O146" s="141" t="str">
        <f t="shared" si="140"/>
        <v/>
      </c>
      <c r="P146" s="141" t="str">
        <f t="shared" si="140"/>
        <v/>
      </c>
      <c r="Q146" s="141" t="str">
        <f t="shared" si="140"/>
        <v/>
      </c>
      <c r="R146" s="141" t="str">
        <f t="shared" si="140"/>
        <v/>
      </c>
      <c r="S146" s="141" t="str">
        <f t="shared" si="140"/>
        <v/>
      </c>
      <c r="T146" s="141">
        <f t="shared" si="140"/>
        <v>19</v>
      </c>
      <c r="U146" s="141">
        <f t="shared" si="140"/>
        <v>19</v>
      </c>
      <c r="V146" s="141">
        <f t="shared" si="140"/>
        <v>19</v>
      </c>
      <c r="W146" s="141">
        <f t="shared" si="140"/>
        <v>19</v>
      </c>
      <c r="X146" s="141">
        <f t="shared" si="140"/>
        <v>19</v>
      </c>
      <c r="Y146" s="141">
        <f t="shared" si="140"/>
        <v>19</v>
      </c>
      <c r="Z146" s="141">
        <f t="shared" si="140"/>
        <v>19</v>
      </c>
      <c r="AA146" s="141" t="str">
        <f t="shared" si="140"/>
        <v/>
      </c>
      <c r="AB146" s="141" t="str">
        <f t="shared" si="140"/>
        <v/>
      </c>
      <c r="AC146" s="141">
        <f t="shared" si="140"/>
        <v>19</v>
      </c>
      <c r="AD146" s="141">
        <f t="shared" si="140"/>
        <v>19</v>
      </c>
      <c r="AE146" s="141">
        <f t="shared" si="140"/>
        <v>19</v>
      </c>
      <c r="AF146" s="141" t="str">
        <f t="shared" si="140"/>
        <v/>
      </c>
      <c r="AG146" s="141" t="str">
        <f t="shared" si="140"/>
        <v/>
      </c>
      <c r="AH146" s="154" t="s">
        <v>12</v>
      </c>
      <c r="AI146" s="133"/>
      <c r="AJ146" s="170"/>
      <c r="AK146" s="133"/>
      <c r="AL146" s="133"/>
    </row>
    <row r="147" spans="1:38" ht="15.95" hidden="1" customHeight="1" x14ac:dyDescent="0.25">
      <c r="A147" s="166" t="s">
        <v>88</v>
      </c>
      <c r="B147" s="167" t="s">
        <v>30</v>
      </c>
      <c r="C147" s="141">
        <f t="shared" ref="C147:AG147" si="141">IF(C18=$R32,$V32*24,IF(C18=$R33,$V33*24,IF(C18=$R34,$V34*24,IF(C18=$R35,$V35*24,IF(C18=$R36,$V36*24,IF(C18=$R37,$V37*24,IF(C18=$R38,$V38*24,IF(C18=$R39,$V39*24,IF(C18=$R40,$V40*24,"")))))))))</f>
        <v>6</v>
      </c>
      <c r="D147" s="141" t="str">
        <f t="shared" si="141"/>
        <v/>
      </c>
      <c r="E147" s="141" t="str">
        <f t="shared" si="141"/>
        <v/>
      </c>
      <c r="F147" s="141" t="str">
        <f t="shared" si="141"/>
        <v/>
      </c>
      <c r="G147" s="141" t="str">
        <f t="shared" si="141"/>
        <v/>
      </c>
      <c r="H147" s="141">
        <f t="shared" si="141"/>
        <v>7</v>
      </c>
      <c r="I147" s="141">
        <f t="shared" si="141"/>
        <v>7</v>
      </c>
      <c r="J147" s="141">
        <f t="shared" si="141"/>
        <v>7</v>
      </c>
      <c r="K147" s="141" t="str">
        <f t="shared" si="141"/>
        <v/>
      </c>
      <c r="L147" s="141" t="str">
        <f t="shared" si="141"/>
        <v/>
      </c>
      <c r="M147" s="141" t="str">
        <f t="shared" si="141"/>
        <v/>
      </c>
      <c r="N147" s="141">
        <f t="shared" si="141"/>
        <v>6</v>
      </c>
      <c r="O147" s="141" t="str">
        <f t="shared" si="141"/>
        <v/>
      </c>
      <c r="P147" s="141" t="str">
        <f t="shared" si="141"/>
        <v/>
      </c>
      <c r="Q147" s="141" t="str">
        <f t="shared" si="141"/>
        <v/>
      </c>
      <c r="R147" s="141" t="str">
        <f t="shared" si="141"/>
        <v/>
      </c>
      <c r="S147" s="141" t="str">
        <f t="shared" si="141"/>
        <v/>
      </c>
      <c r="T147" s="141">
        <f t="shared" si="141"/>
        <v>7</v>
      </c>
      <c r="U147" s="141">
        <f t="shared" si="141"/>
        <v>7</v>
      </c>
      <c r="V147" s="141">
        <f t="shared" si="141"/>
        <v>7</v>
      </c>
      <c r="W147" s="141">
        <f t="shared" si="141"/>
        <v>7</v>
      </c>
      <c r="X147" s="141">
        <f t="shared" si="141"/>
        <v>7</v>
      </c>
      <c r="Y147" s="141">
        <f t="shared" si="141"/>
        <v>7</v>
      </c>
      <c r="Z147" s="141">
        <f t="shared" si="141"/>
        <v>7</v>
      </c>
      <c r="AA147" s="141" t="str">
        <f t="shared" si="141"/>
        <v/>
      </c>
      <c r="AB147" s="141" t="str">
        <f t="shared" si="141"/>
        <v/>
      </c>
      <c r="AC147" s="141">
        <f t="shared" si="141"/>
        <v>7</v>
      </c>
      <c r="AD147" s="141">
        <f t="shared" si="141"/>
        <v>7</v>
      </c>
      <c r="AE147" s="141">
        <f t="shared" si="141"/>
        <v>7</v>
      </c>
      <c r="AF147" s="141" t="str">
        <f t="shared" si="141"/>
        <v/>
      </c>
      <c r="AG147" s="141" t="str">
        <f t="shared" si="141"/>
        <v/>
      </c>
      <c r="AH147" s="154" t="s">
        <v>12</v>
      </c>
      <c r="AI147" s="133"/>
      <c r="AJ147" s="170"/>
      <c r="AK147" s="133"/>
      <c r="AL147" s="133"/>
    </row>
    <row r="148" spans="1:38" ht="15.95" hidden="1" customHeight="1" x14ac:dyDescent="0.25">
      <c r="A148" s="153"/>
      <c r="B148" s="168" t="s">
        <v>34</v>
      </c>
      <c r="C148" s="169">
        <f t="shared" ref="C148:AD148" si="142">IF(C18=$R32,$BD32*24,IF(C18=$R33,$BD33*24,IF(C18=$R34,$BD34*24,IF(C18=$R35,$BD35*24,IF(C18=$R36,$BD36*24,IF(C18=$R37,$BD37*24,IF(C18=$R38,$BD38*24,IF(C18=$R39,$BD39*24,IF(C18=$R40,$BD40*24,"")))))))))</f>
        <v>8</v>
      </c>
      <c r="D148" s="169" t="str">
        <f t="shared" si="142"/>
        <v/>
      </c>
      <c r="E148" s="169" t="str">
        <f t="shared" si="142"/>
        <v/>
      </c>
      <c r="F148" s="169" t="str">
        <f t="shared" si="142"/>
        <v/>
      </c>
      <c r="G148" s="169" t="str">
        <f t="shared" si="142"/>
        <v/>
      </c>
      <c r="H148" s="169">
        <f t="shared" si="142"/>
        <v>8</v>
      </c>
      <c r="I148" s="169">
        <f t="shared" si="142"/>
        <v>8</v>
      </c>
      <c r="J148" s="169">
        <f t="shared" si="142"/>
        <v>8</v>
      </c>
      <c r="K148" s="169" t="str">
        <f t="shared" si="142"/>
        <v/>
      </c>
      <c r="L148" s="169" t="str">
        <f t="shared" si="142"/>
        <v/>
      </c>
      <c r="M148" s="169" t="str">
        <f t="shared" si="142"/>
        <v/>
      </c>
      <c r="N148" s="169">
        <f t="shared" si="142"/>
        <v>8</v>
      </c>
      <c r="O148" s="169" t="str">
        <f t="shared" si="142"/>
        <v/>
      </c>
      <c r="P148" s="169" t="str">
        <f t="shared" si="142"/>
        <v/>
      </c>
      <c r="Q148" s="169" t="str">
        <f t="shared" si="142"/>
        <v/>
      </c>
      <c r="R148" s="169" t="str">
        <f t="shared" si="142"/>
        <v/>
      </c>
      <c r="S148" s="169" t="str">
        <f t="shared" si="142"/>
        <v/>
      </c>
      <c r="T148" s="169">
        <f t="shared" si="142"/>
        <v>8</v>
      </c>
      <c r="U148" s="169">
        <f t="shared" si="142"/>
        <v>8</v>
      </c>
      <c r="V148" s="169">
        <f t="shared" si="142"/>
        <v>8</v>
      </c>
      <c r="W148" s="169">
        <f t="shared" si="142"/>
        <v>8</v>
      </c>
      <c r="X148" s="169">
        <f t="shared" si="142"/>
        <v>8</v>
      </c>
      <c r="Y148" s="169">
        <f t="shared" si="142"/>
        <v>8</v>
      </c>
      <c r="Z148" s="169">
        <f t="shared" si="142"/>
        <v>8</v>
      </c>
      <c r="AA148" s="169" t="str">
        <f t="shared" si="142"/>
        <v/>
      </c>
      <c r="AB148" s="169" t="str">
        <f t="shared" si="142"/>
        <v/>
      </c>
      <c r="AC148" s="169">
        <f t="shared" si="142"/>
        <v>8</v>
      </c>
      <c r="AD148" s="169">
        <f t="shared" si="142"/>
        <v>8</v>
      </c>
      <c r="AE148" s="169">
        <f>IF(AE18=$R32,$BD32*24,IF(AE18=$R33,$BD33*24,IF(AE18=$R34,$BD34*24,IF(AE18=$R35,$BD35*24,IF(AE18=$R36,$BD36*24,IF(AE18=$R37,$BD37*24,IF(AE18=$R38,$BD38*24,IF(AE18=$R39,$BD39*24,IF(AE18=$R40,$BD40*24,"")))))))))</f>
        <v>8</v>
      </c>
      <c r="AF148" s="169" t="str">
        <f>IF(AF18=$R32,$BD32*24,IF(AF18=$R33,$BD33*24,IF(AF18=$R34,$BD34*24,IF(AF18=$R35,$BD35*24,IF(AF18=$R36,$BD36*24,IF(AF18=$R37,$BD37*24,IF(AF18=$R38,$BD38*24,IF(AF18=$R39,$BD39*24,IF(AF18=$R40,$BD40*24,"")))))))))</f>
        <v/>
      </c>
      <c r="AG148" s="169" t="str">
        <f>IF(AG18=$R32,$BD32*24,IF(AG18=$R33,$BD33*24,IF(AG18=$R34,$BD34*24,IF(AG18=$R35,$BD35*24,IF(AG18=$R36,$BD36*24,IF(AG18=$R37,$BD37*24,IF(AG18=$R38,$BD38*24,IF(AG18=$R39,$BD39*24,IF(AG18=$R40,$BD40*24,"")))))))))</f>
        <v/>
      </c>
      <c r="AH148" s="148">
        <f>SUM(C148:AG148)</f>
        <v>120</v>
      </c>
      <c r="AI148" s="133"/>
      <c r="AJ148" s="170"/>
      <c r="AK148" s="133"/>
      <c r="AL148" s="133"/>
    </row>
    <row r="149" spans="1:38" ht="15.95" hidden="1" customHeight="1" x14ac:dyDescent="0.25">
      <c r="A149" s="153"/>
      <c r="B149" s="167" t="s">
        <v>59</v>
      </c>
      <c r="C149" s="141">
        <f t="shared" ref="C149:AG149" si="143">IF(C18="V",$C36,IF(C18="PR",$C38,0))</f>
        <v>0</v>
      </c>
      <c r="D149" s="141">
        <f t="shared" si="143"/>
        <v>0</v>
      </c>
      <c r="E149" s="141">
        <f t="shared" si="143"/>
        <v>0</v>
      </c>
      <c r="F149" s="141">
        <f t="shared" si="143"/>
        <v>0</v>
      </c>
      <c r="G149" s="141">
        <f t="shared" si="143"/>
        <v>0</v>
      </c>
      <c r="H149" s="141">
        <f t="shared" si="143"/>
        <v>0</v>
      </c>
      <c r="I149" s="141">
        <f t="shared" si="143"/>
        <v>0</v>
      </c>
      <c r="J149" s="141">
        <f t="shared" si="143"/>
        <v>0</v>
      </c>
      <c r="K149" s="141">
        <f t="shared" si="143"/>
        <v>0</v>
      </c>
      <c r="L149" s="141">
        <f t="shared" si="143"/>
        <v>0</v>
      </c>
      <c r="M149" s="141">
        <f t="shared" si="143"/>
        <v>0</v>
      </c>
      <c r="N149" s="141">
        <f t="shared" si="143"/>
        <v>0</v>
      </c>
      <c r="O149" s="141">
        <f t="shared" si="143"/>
        <v>0</v>
      </c>
      <c r="P149" s="141">
        <f t="shared" si="143"/>
        <v>0</v>
      </c>
      <c r="Q149" s="141">
        <f t="shared" si="143"/>
        <v>0</v>
      </c>
      <c r="R149" s="141">
        <f t="shared" si="143"/>
        <v>0</v>
      </c>
      <c r="S149" s="141">
        <f t="shared" si="143"/>
        <v>0</v>
      </c>
      <c r="T149" s="141">
        <f t="shared" si="143"/>
        <v>0</v>
      </c>
      <c r="U149" s="141">
        <f t="shared" si="143"/>
        <v>0</v>
      </c>
      <c r="V149" s="141">
        <f t="shared" si="143"/>
        <v>0</v>
      </c>
      <c r="W149" s="141">
        <f t="shared" si="143"/>
        <v>0</v>
      </c>
      <c r="X149" s="141">
        <f t="shared" si="143"/>
        <v>0</v>
      </c>
      <c r="Y149" s="141">
        <f t="shared" si="143"/>
        <v>0</v>
      </c>
      <c r="Z149" s="141">
        <f t="shared" si="143"/>
        <v>0</v>
      </c>
      <c r="AA149" s="141">
        <f t="shared" si="143"/>
        <v>0</v>
      </c>
      <c r="AB149" s="141">
        <f t="shared" si="143"/>
        <v>0</v>
      </c>
      <c r="AC149" s="141">
        <f t="shared" si="143"/>
        <v>0</v>
      </c>
      <c r="AD149" s="141">
        <f t="shared" si="143"/>
        <v>0</v>
      </c>
      <c r="AE149" s="141">
        <f t="shared" si="143"/>
        <v>0</v>
      </c>
      <c r="AF149" s="141">
        <f t="shared" si="143"/>
        <v>0</v>
      </c>
      <c r="AG149" s="141">
        <f t="shared" si="143"/>
        <v>0</v>
      </c>
      <c r="AH149" s="226">
        <f>SUM(C149:AG149)</f>
        <v>0</v>
      </c>
      <c r="AI149" s="226"/>
      <c r="AJ149" s="230">
        <f>SUM(AH94+AH105+AH116+AH127+AH138+AH149)</f>
        <v>78.3</v>
      </c>
      <c r="AK149" s="230"/>
      <c r="AL149" s="133" t="s">
        <v>56</v>
      </c>
    </row>
    <row r="150" spans="1:38" ht="15.95" hidden="1" customHeight="1" x14ac:dyDescent="0.25">
      <c r="A150" s="150" t="s">
        <v>60</v>
      </c>
      <c r="B150" s="167" t="s">
        <v>61</v>
      </c>
      <c r="C150" s="151">
        <f t="shared" ref="C150:AD150" si="144">IF(C18=$R32,$BC32,IF(C18=$R33,$BC33,IF(C18=$R34,$BC34,IF(C18=$R35,$BC35,IF(C18=$R36,$BC36,IF(C18=$R37,$BC37,IF(C18=$R38,$BC38,IF(C18=$R39,$BC39,IF(C18=$R40,$BC40,0)))))))))</f>
        <v>7.9999999999999716</v>
      </c>
      <c r="D150" s="151">
        <f t="shared" si="144"/>
        <v>0</v>
      </c>
      <c r="E150" s="151">
        <f t="shared" si="144"/>
        <v>0</v>
      </c>
      <c r="F150" s="151">
        <f t="shared" si="144"/>
        <v>0</v>
      </c>
      <c r="G150" s="151">
        <f t="shared" si="144"/>
        <v>0</v>
      </c>
      <c r="H150" s="151">
        <f t="shared" si="144"/>
        <v>12</v>
      </c>
      <c r="I150" s="151">
        <f t="shared" si="144"/>
        <v>12</v>
      </c>
      <c r="J150" s="151">
        <f t="shared" si="144"/>
        <v>12</v>
      </c>
      <c r="K150" s="151">
        <f t="shared" si="144"/>
        <v>0</v>
      </c>
      <c r="L150" s="151">
        <f t="shared" si="144"/>
        <v>0</v>
      </c>
      <c r="M150" s="151">
        <f t="shared" si="144"/>
        <v>0</v>
      </c>
      <c r="N150" s="151">
        <f t="shared" si="144"/>
        <v>7.9999999999999716</v>
      </c>
      <c r="O150" s="151">
        <f t="shared" si="144"/>
        <v>0</v>
      </c>
      <c r="P150" s="151">
        <f t="shared" si="144"/>
        <v>0</v>
      </c>
      <c r="Q150" s="151">
        <f t="shared" si="144"/>
        <v>0</v>
      </c>
      <c r="R150" s="151">
        <f t="shared" si="144"/>
        <v>0</v>
      </c>
      <c r="S150" s="151">
        <f t="shared" si="144"/>
        <v>0</v>
      </c>
      <c r="T150" s="151">
        <f t="shared" si="144"/>
        <v>12</v>
      </c>
      <c r="U150" s="151">
        <f t="shared" si="144"/>
        <v>12</v>
      </c>
      <c r="V150" s="151">
        <f t="shared" si="144"/>
        <v>12</v>
      </c>
      <c r="W150" s="151">
        <f t="shared" si="144"/>
        <v>12</v>
      </c>
      <c r="X150" s="151">
        <f t="shared" si="144"/>
        <v>12</v>
      </c>
      <c r="Y150" s="151">
        <f t="shared" si="144"/>
        <v>12</v>
      </c>
      <c r="Z150" s="151">
        <f t="shared" si="144"/>
        <v>12</v>
      </c>
      <c r="AA150" s="151">
        <f t="shared" si="144"/>
        <v>0</v>
      </c>
      <c r="AB150" s="151">
        <f t="shared" si="144"/>
        <v>0</v>
      </c>
      <c r="AC150" s="151">
        <f t="shared" si="144"/>
        <v>12</v>
      </c>
      <c r="AD150" s="151">
        <f t="shared" si="144"/>
        <v>12</v>
      </c>
      <c r="AE150" s="151">
        <f>IF(AE18=$R32,$BC32,IF(AE18=$R33,$BC33,IF(AE18=$R34,$BC34,IF(AE18=$R35,$BC35,IF(AE18=$R36,$BC36,IF(AE18=$R37,$BC37,IF(AE18=$R38,$BC38,IF(AE18=$R39,$BC39,IF(AE18=$R40,$BC40,0)))))))))</f>
        <v>12</v>
      </c>
      <c r="AF150" s="151">
        <f>IF(AF18=$R32,$BC32,IF(AF18=$R33,$BC33,IF(AF18=$R34,$BC34,IF(AF18=$R35,$BC35,IF(AF18=$R36,$BC36,IF(AF18=$R37,$BC37,IF(AF18=$R38,$BC38,IF(AF18=$R39,$BC39,IF(AF18=$R40,$BC40,0)))))))))</f>
        <v>0</v>
      </c>
      <c r="AG150" s="151">
        <f>IF(AG18=$R32,$BC32,IF(AG18=$R33,$BC33,IF(AG18=$R34,$BC34,IF(AG18=$R35,$BC35,IF(AG18=$R36,$BC36,IF(AG18=$R37,$BC37,IF(AG18=$R38,$BC38,IF(AG18=$R39,$BC39,IF(AG18=$R40,$BC40,0)))))))))</f>
        <v>0</v>
      </c>
      <c r="AH150" s="226">
        <f>SUM(C150:AG150)</f>
        <v>171.99999999999994</v>
      </c>
      <c r="AI150" s="226"/>
      <c r="AJ150" s="174" t="s">
        <v>62</v>
      </c>
      <c r="AK150" s="133" t="s">
        <v>12</v>
      </c>
      <c r="AL150" s="133"/>
    </row>
    <row r="151" spans="1:38" ht="15.95" hidden="1" customHeight="1" x14ac:dyDescent="0.25">
      <c r="A151" s="153" t="s">
        <v>48</v>
      </c>
      <c r="B151" s="149" t="s">
        <v>63</v>
      </c>
      <c r="C151" s="141">
        <f>IF(C46=1,IF(C146&lt;C147,C150,0))</f>
        <v>0</v>
      </c>
      <c r="D151" s="141" t="b">
        <f t="shared" ref="D151:AG151" si="145">IF(D46=1,IF(D146&lt;D147,D150,0))</f>
        <v>0</v>
      </c>
      <c r="E151" s="141" t="b">
        <f t="shared" si="145"/>
        <v>0</v>
      </c>
      <c r="F151" s="141" t="b">
        <f t="shared" si="145"/>
        <v>0</v>
      </c>
      <c r="G151" s="141" t="b">
        <f t="shared" si="145"/>
        <v>0</v>
      </c>
      <c r="H151" s="141" t="b">
        <f t="shared" si="145"/>
        <v>0</v>
      </c>
      <c r="I151" s="141">
        <f t="shared" si="145"/>
        <v>0</v>
      </c>
      <c r="J151" s="141">
        <f t="shared" si="145"/>
        <v>0</v>
      </c>
      <c r="K151" s="141" t="b">
        <f t="shared" si="145"/>
        <v>0</v>
      </c>
      <c r="L151" s="141" t="b">
        <f t="shared" si="145"/>
        <v>0</v>
      </c>
      <c r="M151" s="141" t="b">
        <f t="shared" si="145"/>
        <v>0</v>
      </c>
      <c r="N151" s="141" t="b">
        <f t="shared" si="145"/>
        <v>0</v>
      </c>
      <c r="O151" s="141" t="b">
        <f t="shared" si="145"/>
        <v>0</v>
      </c>
      <c r="P151" s="141">
        <f t="shared" si="145"/>
        <v>0</v>
      </c>
      <c r="Q151" s="141">
        <f t="shared" si="145"/>
        <v>0</v>
      </c>
      <c r="R151" s="141" t="b">
        <f t="shared" si="145"/>
        <v>0</v>
      </c>
      <c r="S151" s="141" t="b">
        <f t="shared" si="145"/>
        <v>0</v>
      </c>
      <c r="T151" s="141" t="b">
        <f t="shared" si="145"/>
        <v>0</v>
      </c>
      <c r="U151" s="141" t="b">
        <f t="shared" si="145"/>
        <v>0</v>
      </c>
      <c r="V151" s="141" t="b">
        <f t="shared" si="145"/>
        <v>0</v>
      </c>
      <c r="W151" s="141">
        <f t="shared" si="145"/>
        <v>0</v>
      </c>
      <c r="X151" s="141">
        <f t="shared" si="145"/>
        <v>0</v>
      </c>
      <c r="Y151" s="141" t="b">
        <f t="shared" si="145"/>
        <v>0</v>
      </c>
      <c r="Z151" s="141" t="b">
        <f t="shared" si="145"/>
        <v>0</v>
      </c>
      <c r="AA151" s="141" t="b">
        <f t="shared" si="145"/>
        <v>0</v>
      </c>
      <c r="AB151" s="141" t="b">
        <f t="shared" si="145"/>
        <v>0</v>
      </c>
      <c r="AC151" s="141" t="b">
        <f t="shared" si="145"/>
        <v>0</v>
      </c>
      <c r="AD151" s="141">
        <f t="shared" si="145"/>
        <v>0</v>
      </c>
      <c r="AE151" s="141">
        <f t="shared" si="145"/>
        <v>0</v>
      </c>
      <c r="AF151" s="141" t="b">
        <f t="shared" si="145"/>
        <v>0</v>
      </c>
      <c r="AG151" s="141" t="b">
        <f t="shared" si="145"/>
        <v>0</v>
      </c>
      <c r="AH151" s="154" t="s">
        <v>12</v>
      </c>
      <c r="AI151" s="133"/>
      <c r="AJ151" s="170"/>
      <c r="AK151" s="133"/>
      <c r="AL151" s="133"/>
    </row>
    <row r="152" spans="1:38" ht="15.95" hidden="1" customHeight="1" x14ac:dyDescent="0.25">
      <c r="A152" s="176"/>
      <c r="B152" s="149" t="s">
        <v>64</v>
      </c>
      <c r="C152" s="141">
        <f t="shared" ref="C152:AG152" si="146">IF(C46=1,IF(C146&gt;C147,24-C146,0),0)</f>
        <v>2</v>
      </c>
      <c r="D152" s="141">
        <f t="shared" si="146"/>
        <v>0</v>
      </c>
      <c r="E152" s="141">
        <f t="shared" si="146"/>
        <v>0</v>
      </c>
      <c r="F152" s="141">
        <f t="shared" si="146"/>
        <v>0</v>
      </c>
      <c r="G152" s="141">
        <f t="shared" si="146"/>
        <v>0</v>
      </c>
      <c r="H152" s="141">
        <f t="shared" si="146"/>
        <v>0</v>
      </c>
      <c r="I152" s="141">
        <f t="shared" si="146"/>
        <v>5</v>
      </c>
      <c r="J152" s="141">
        <f t="shared" si="146"/>
        <v>5</v>
      </c>
      <c r="K152" s="141">
        <f t="shared" si="146"/>
        <v>0</v>
      </c>
      <c r="L152" s="141">
        <f t="shared" si="146"/>
        <v>0</v>
      </c>
      <c r="M152" s="141">
        <f t="shared" si="146"/>
        <v>0</v>
      </c>
      <c r="N152" s="141">
        <f t="shared" si="146"/>
        <v>0</v>
      </c>
      <c r="O152" s="141">
        <f t="shared" si="146"/>
        <v>0</v>
      </c>
      <c r="P152" s="141">
        <f t="shared" si="146"/>
        <v>0</v>
      </c>
      <c r="Q152" s="141">
        <f t="shared" si="146"/>
        <v>0</v>
      </c>
      <c r="R152" s="141">
        <f t="shared" si="146"/>
        <v>0</v>
      </c>
      <c r="S152" s="141">
        <f t="shared" si="146"/>
        <v>0</v>
      </c>
      <c r="T152" s="141">
        <f t="shared" si="146"/>
        <v>0</v>
      </c>
      <c r="U152" s="141">
        <f t="shared" si="146"/>
        <v>0</v>
      </c>
      <c r="V152" s="141">
        <f t="shared" si="146"/>
        <v>0</v>
      </c>
      <c r="W152" s="141">
        <f t="shared" si="146"/>
        <v>5</v>
      </c>
      <c r="X152" s="141">
        <f t="shared" si="146"/>
        <v>5</v>
      </c>
      <c r="Y152" s="141">
        <f t="shared" si="146"/>
        <v>0</v>
      </c>
      <c r="Z152" s="141">
        <f t="shared" si="146"/>
        <v>0</v>
      </c>
      <c r="AA152" s="141">
        <f t="shared" si="146"/>
        <v>0</v>
      </c>
      <c r="AB152" s="141">
        <f t="shared" si="146"/>
        <v>0</v>
      </c>
      <c r="AC152" s="141">
        <f t="shared" si="146"/>
        <v>0</v>
      </c>
      <c r="AD152" s="141">
        <f t="shared" si="146"/>
        <v>5</v>
      </c>
      <c r="AE152" s="141">
        <f t="shared" si="146"/>
        <v>5</v>
      </c>
      <c r="AF152" s="141">
        <f t="shared" si="146"/>
        <v>0</v>
      </c>
      <c r="AG152" s="141">
        <f t="shared" si="146"/>
        <v>0</v>
      </c>
      <c r="AH152" s="154" t="s">
        <v>12</v>
      </c>
      <c r="AI152" s="133"/>
      <c r="AJ152" s="170"/>
      <c r="AK152" s="133"/>
      <c r="AL152" s="133"/>
    </row>
    <row r="153" spans="1:38" ht="15.95" hidden="1" customHeight="1" x14ac:dyDescent="0.25">
      <c r="A153" s="176"/>
      <c r="B153" s="149" t="s">
        <v>65</v>
      </c>
      <c r="C153" s="141">
        <f t="shared" ref="C153:AG153" si="147">IF(D46=1,IF(C146&gt;C147,C147,0),0)</f>
        <v>0</v>
      </c>
      <c r="D153" s="141">
        <f t="shared" si="147"/>
        <v>0</v>
      </c>
      <c r="E153" s="141">
        <f t="shared" si="147"/>
        <v>0</v>
      </c>
      <c r="F153" s="141">
        <f t="shared" si="147"/>
        <v>0</v>
      </c>
      <c r="G153" s="141">
        <f t="shared" si="147"/>
        <v>0</v>
      </c>
      <c r="H153" s="141">
        <f t="shared" si="147"/>
        <v>7</v>
      </c>
      <c r="I153" s="141">
        <f t="shared" si="147"/>
        <v>7</v>
      </c>
      <c r="J153" s="141">
        <f t="shared" si="147"/>
        <v>0</v>
      </c>
      <c r="K153" s="141">
        <f t="shared" si="147"/>
        <v>0</v>
      </c>
      <c r="L153" s="141">
        <f t="shared" si="147"/>
        <v>0</v>
      </c>
      <c r="M153" s="141">
        <f t="shared" si="147"/>
        <v>0</v>
      </c>
      <c r="N153" s="141">
        <f t="shared" si="147"/>
        <v>0</v>
      </c>
      <c r="O153" s="141">
        <f t="shared" si="147"/>
        <v>0</v>
      </c>
      <c r="P153" s="141">
        <f t="shared" si="147"/>
        <v>0</v>
      </c>
      <c r="Q153" s="141">
        <f t="shared" si="147"/>
        <v>0</v>
      </c>
      <c r="R153" s="141">
        <f t="shared" si="147"/>
        <v>0</v>
      </c>
      <c r="S153" s="141">
        <f t="shared" si="147"/>
        <v>0</v>
      </c>
      <c r="T153" s="141">
        <f t="shared" si="147"/>
        <v>0</v>
      </c>
      <c r="U153" s="141">
        <f t="shared" si="147"/>
        <v>0</v>
      </c>
      <c r="V153" s="141">
        <f t="shared" si="147"/>
        <v>7</v>
      </c>
      <c r="W153" s="141">
        <f t="shared" si="147"/>
        <v>7</v>
      </c>
      <c r="X153" s="141">
        <f>IF(Y46=1,IF(X146&gt;X147,X147,0),0)</f>
        <v>0</v>
      </c>
      <c r="Y153" s="141">
        <f t="shared" si="147"/>
        <v>0</v>
      </c>
      <c r="Z153" s="141">
        <f t="shared" si="147"/>
        <v>0</v>
      </c>
      <c r="AA153" s="141">
        <f t="shared" si="147"/>
        <v>0</v>
      </c>
      <c r="AB153" s="141">
        <f t="shared" si="147"/>
        <v>0</v>
      </c>
      <c r="AC153" s="141">
        <f t="shared" si="147"/>
        <v>7</v>
      </c>
      <c r="AD153" s="141">
        <f t="shared" si="147"/>
        <v>7</v>
      </c>
      <c r="AE153" s="141">
        <f t="shared" si="147"/>
        <v>0</v>
      </c>
      <c r="AF153" s="141">
        <f t="shared" si="147"/>
        <v>0</v>
      </c>
      <c r="AG153" s="141">
        <f t="shared" si="147"/>
        <v>0</v>
      </c>
      <c r="AH153" s="154" t="s">
        <v>12</v>
      </c>
      <c r="AI153" s="133"/>
      <c r="AJ153" s="170"/>
      <c r="AK153" s="133"/>
      <c r="AL153" s="133"/>
    </row>
    <row r="154" spans="1:38" ht="15.95" hidden="1" customHeight="1" x14ac:dyDescent="0.25">
      <c r="A154" s="176"/>
      <c r="B154" s="149" t="s">
        <v>67</v>
      </c>
      <c r="C154" s="171">
        <f>SUM(C151:C153)</f>
        <v>2</v>
      </c>
      <c r="D154" s="171">
        <f t="shared" ref="D154:AG154" si="148">SUM(D151:D153)</f>
        <v>0</v>
      </c>
      <c r="E154" s="171">
        <f t="shared" si="148"/>
        <v>0</v>
      </c>
      <c r="F154" s="171">
        <f t="shared" si="148"/>
        <v>0</v>
      </c>
      <c r="G154" s="171">
        <f t="shared" si="148"/>
        <v>0</v>
      </c>
      <c r="H154" s="171">
        <f t="shared" si="148"/>
        <v>7</v>
      </c>
      <c r="I154" s="171">
        <f t="shared" si="148"/>
        <v>12</v>
      </c>
      <c r="J154" s="171">
        <f t="shared" si="148"/>
        <v>5</v>
      </c>
      <c r="K154" s="171">
        <f t="shared" si="148"/>
        <v>0</v>
      </c>
      <c r="L154" s="171">
        <f t="shared" si="148"/>
        <v>0</v>
      </c>
      <c r="M154" s="171">
        <f t="shared" si="148"/>
        <v>0</v>
      </c>
      <c r="N154" s="171">
        <f t="shared" si="148"/>
        <v>0</v>
      </c>
      <c r="O154" s="171">
        <f t="shared" si="148"/>
        <v>0</v>
      </c>
      <c r="P154" s="171">
        <f t="shared" si="148"/>
        <v>0</v>
      </c>
      <c r="Q154" s="171">
        <f t="shared" si="148"/>
        <v>0</v>
      </c>
      <c r="R154" s="171">
        <f t="shared" si="148"/>
        <v>0</v>
      </c>
      <c r="S154" s="171">
        <f t="shared" si="148"/>
        <v>0</v>
      </c>
      <c r="T154" s="171">
        <f t="shared" si="148"/>
        <v>0</v>
      </c>
      <c r="U154" s="171">
        <f t="shared" si="148"/>
        <v>0</v>
      </c>
      <c r="V154" s="171">
        <f t="shared" si="148"/>
        <v>7</v>
      </c>
      <c r="W154" s="171">
        <f t="shared" si="148"/>
        <v>12</v>
      </c>
      <c r="X154" s="171">
        <f t="shared" si="148"/>
        <v>5</v>
      </c>
      <c r="Y154" s="171">
        <f t="shared" si="148"/>
        <v>0</v>
      </c>
      <c r="Z154" s="171">
        <f t="shared" si="148"/>
        <v>0</v>
      </c>
      <c r="AA154" s="171">
        <f t="shared" si="148"/>
        <v>0</v>
      </c>
      <c r="AB154" s="171">
        <f t="shared" si="148"/>
        <v>0</v>
      </c>
      <c r="AC154" s="171">
        <f t="shared" si="148"/>
        <v>7</v>
      </c>
      <c r="AD154" s="171">
        <f t="shared" si="148"/>
        <v>12</v>
      </c>
      <c r="AE154" s="171">
        <f t="shared" si="148"/>
        <v>5</v>
      </c>
      <c r="AF154" s="171">
        <f t="shared" si="148"/>
        <v>0</v>
      </c>
      <c r="AG154" s="171">
        <f t="shared" si="148"/>
        <v>0</v>
      </c>
      <c r="AH154" s="154" t="s">
        <v>12</v>
      </c>
      <c r="AI154" s="133"/>
      <c r="AJ154" s="170"/>
      <c r="AK154" s="133"/>
      <c r="AL154" s="133"/>
    </row>
    <row r="155" spans="1:38" ht="15.95" hidden="1" customHeight="1" x14ac:dyDescent="0.25">
      <c r="A155" s="177"/>
      <c r="B155" s="160" t="s">
        <v>68</v>
      </c>
      <c r="C155" s="161">
        <f t="shared" ref="C155:AG155" si="149">IF(C18="V",IF(C18="",0,1),0)</f>
        <v>0</v>
      </c>
      <c r="D155" s="161">
        <f t="shared" si="149"/>
        <v>0</v>
      </c>
      <c r="E155" s="161">
        <f t="shared" si="149"/>
        <v>0</v>
      </c>
      <c r="F155" s="161">
        <f t="shared" si="149"/>
        <v>0</v>
      </c>
      <c r="G155" s="161">
        <f t="shared" si="149"/>
        <v>0</v>
      </c>
      <c r="H155" s="161">
        <f t="shared" si="149"/>
        <v>0</v>
      </c>
      <c r="I155" s="161">
        <f t="shared" si="149"/>
        <v>0</v>
      </c>
      <c r="J155" s="161">
        <f t="shared" si="149"/>
        <v>0</v>
      </c>
      <c r="K155" s="161">
        <f t="shared" si="149"/>
        <v>0</v>
      </c>
      <c r="L155" s="161">
        <f t="shared" si="149"/>
        <v>0</v>
      </c>
      <c r="M155" s="161">
        <f t="shared" si="149"/>
        <v>0</v>
      </c>
      <c r="N155" s="161">
        <f t="shared" si="149"/>
        <v>0</v>
      </c>
      <c r="O155" s="161">
        <f t="shared" si="149"/>
        <v>0</v>
      </c>
      <c r="P155" s="161">
        <f t="shared" si="149"/>
        <v>0</v>
      </c>
      <c r="Q155" s="161">
        <f t="shared" si="149"/>
        <v>0</v>
      </c>
      <c r="R155" s="161">
        <f t="shared" si="149"/>
        <v>0</v>
      </c>
      <c r="S155" s="161">
        <f t="shared" si="149"/>
        <v>0</v>
      </c>
      <c r="T155" s="161">
        <f t="shared" si="149"/>
        <v>0</v>
      </c>
      <c r="U155" s="161">
        <f t="shared" si="149"/>
        <v>0</v>
      </c>
      <c r="V155" s="161">
        <f t="shared" si="149"/>
        <v>0</v>
      </c>
      <c r="W155" s="161">
        <f t="shared" si="149"/>
        <v>0</v>
      </c>
      <c r="X155" s="161">
        <f t="shared" si="149"/>
        <v>0</v>
      </c>
      <c r="Y155" s="161">
        <f t="shared" si="149"/>
        <v>0</v>
      </c>
      <c r="Z155" s="161">
        <f t="shared" si="149"/>
        <v>0</v>
      </c>
      <c r="AA155" s="161">
        <f t="shared" si="149"/>
        <v>0</v>
      </c>
      <c r="AB155" s="161">
        <f t="shared" si="149"/>
        <v>0</v>
      </c>
      <c r="AC155" s="161">
        <f t="shared" si="149"/>
        <v>0</v>
      </c>
      <c r="AD155" s="161">
        <f t="shared" si="149"/>
        <v>0</v>
      </c>
      <c r="AE155" s="161">
        <f t="shared" si="149"/>
        <v>0</v>
      </c>
      <c r="AF155" s="161">
        <f t="shared" si="149"/>
        <v>0</v>
      </c>
      <c r="AG155" s="161">
        <f t="shared" si="149"/>
        <v>0</v>
      </c>
      <c r="AH155" s="154" t="s">
        <v>12</v>
      </c>
      <c r="AI155" s="133"/>
      <c r="AJ155" s="170"/>
      <c r="AK155" s="133"/>
      <c r="AL155" s="133"/>
    </row>
    <row r="156" spans="1:38" ht="15.95" hidden="1" customHeight="1" x14ac:dyDescent="0.25">
      <c r="A156" s="180"/>
      <c r="B156" s="181" t="s">
        <v>16</v>
      </c>
      <c r="C156" s="182">
        <f t="shared" ref="C156:AG156" si="150">IF(C18="PR",IF(C18="",0,1),0)</f>
        <v>0</v>
      </c>
      <c r="D156" s="182">
        <f t="shared" si="150"/>
        <v>0</v>
      </c>
      <c r="E156" s="182">
        <f t="shared" si="150"/>
        <v>0</v>
      </c>
      <c r="F156" s="182">
        <f t="shared" si="150"/>
        <v>0</v>
      </c>
      <c r="G156" s="182">
        <f t="shared" si="150"/>
        <v>0</v>
      </c>
      <c r="H156" s="182">
        <f t="shared" si="150"/>
        <v>0</v>
      </c>
      <c r="I156" s="182">
        <f t="shared" si="150"/>
        <v>0</v>
      </c>
      <c r="J156" s="182">
        <f t="shared" si="150"/>
        <v>0</v>
      </c>
      <c r="K156" s="182">
        <f t="shared" si="150"/>
        <v>0</v>
      </c>
      <c r="L156" s="182">
        <f t="shared" si="150"/>
        <v>0</v>
      </c>
      <c r="M156" s="182">
        <f t="shared" si="150"/>
        <v>0</v>
      </c>
      <c r="N156" s="182">
        <f t="shared" si="150"/>
        <v>0</v>
      </c>
      <c r="O156" s="182">
        <f t="shared" si="150"/>
        <v>0</v>
      </c>
      <c r="P156" s="182">
        <f t="shared" si="150"/>
        <v>0</v>
      </c>
      <c r="Q156" s="182">
        <f t="shared" si="150"/>
        <v>0</v>
      </c>
      <c r="R156" s="182">
        <f t="shared" si="150"/>
        <v>0</v>
      </c>
      <c r="S156" s="182">
        <f t="shared" si="150"/>
        <v>0</v>
      </c>
      <c r="T156" s="182">
        <f t="shared" si="150"/>
        <v>0</v>
      </c>
      <c r="U156" s="182">
        <f t="shared" si="150"/>
        <v>0</v>
      </c>
      <c r="V156" s="182">
        <f t="shared" si="150"/>
        <v>0</v>
      </c>
      <c r="W156" s="182">
        <f t="shared" si="150"/>
        <v>0</v>
      </c>
      <c r="X156" s="182">
        <f t="shared" si="150"/>
        <v>0</v>
      </c>
      <c r="Y156" s="182">
        <f t="shared" si="150"/>
        <v>0</v>
      </c>
      <c r="Z156" s="182">
        <f t="shared" si="150"/>
        <v>0</v>
      </c>
      <c r="AA156" s="182">
        <f t="shared" si="150"/>
        <v>0</v>
      </c>
      <c r="AB156" s="182">
        <f t="shared" si="150"/>
        <v>0</v>
      </c>
      <c r="AC156" s="182">
        <f t="shared" si="150"/>
        <v>0</v>
      </c>
      <c r="AD156" s="182">
        <f t="shared" si="150"/>
        <v>0</v>
      </c>
      <c r="AE156" s="182">
        <f t="shared" si="150"/>
        <v>0</v>
      </c>
      <c r="AF156" s="182">
        <f t="shared" si="150"/>
        <v>0</v>
      </c>
      <c r="AG156" s="182">
        <f t="shared" si="150"/>
        <v>0</v>
      </c>
      <c r="AH156" s="227">
        <f>SUM(C156:AG156)</f>
        <v>0</v>
      </c>
      <c r="AI156" s="227"/>
      <c r="AJ156" s="174" t="s">
        <v>69</v>
      </c>
      <c r="AK156" s="133"/>
      <c r="AL156" s="133"/>
    </row>
    <row r="157" spans="1:38" ht="15.95" hidden="1" customHeight="1" x14ac:dyDescent="0.25">
      <c r="A157" s="164" t="s">
        <v>126</v>
      </c>
      <c r="B157" s="165" t="s">
        <v>29</v>
      </c>
      <c r="C157" s="141" t="str">
        <f>IF(C19=$R32,$S32*24,IF(C19=$R33,$S33*24,IF(C19=$R34,$S34*24,IF(C19=$R35,$S35*24,IF(C19=$R36,$S36*24,IF(C19=$R37,$S37*24,IF(C19=$R38,$S38*24,IF(C19=$R39,$S39*24,IF(C19=$R40,$S40*24,"")))))))))</f>
        <v/>
      </c>
      <c r="D157" s="141" t="str">
        <f t="shared" ref="D157:AG157" si="151">IF(D19=$R32,$S32*24,IF(D19=$R33,$S33*24,IF(D19=$R34,$S34*24,IF(D19=$R35,$S35*24,IF(D19=$R36,$S36*24,IF(D19=$R37,$S37*24,IF(D19=$R38,$S38*24,IF(D19=$R39,$S39*24,IF(D19=$R40,$S40*24,"")))))))))</f>
        <v/>
      </c>
      <c r="E157" s="141" t="str">
        <f t="shared" si="151"/>
        <v/>
      </c>
      <c r="F157" s="141" t="str">
        <f t="shared" si="151"/>
        <v/>
      </c>
      <c r="G157" s="141" t="str">
        <f t="shared" si="151"/>
        <v/>
      </c>
      <c r="H157" s="141" t="str">
        <f t="shared" si="151"/>
        <v/>
      </c>
      <c r="I157" s="141" t="str">
        <f t="shared" si="151"/>
        <v/>
      </c>
      <c r="J157" s="141" t="str">
        <f t="shared" si="151"/>
        <v/>
      </c>
      <c r="K157" s="141" t="str">
        <f t="shared" si="151"/>
        <v/>
      </c>
      <c r="L157" s="141" t="str">
        <f t="shared" si="151"/>
        <v/>
      </c>
      <c r="M157" s="141" t="str">
        <f t="shared" si="151"/>
        <v/>
      </c>
      <c r="N157" s="141" t="str">
        <f t="shared" si="151"/>
        <v/>
      </c>
      <c r="O157" s="141" t="str">
        <f t="shared" si="151"/>
        <v/>
      </c>
      <c r="P157" s="141" t="str">
        <f t="shared" si="151"/>
        <v/>
      </c>
      <c r="Q157" s="141" t="str">
        <f t="shared" si="151"/>
        <v/>
      </c>
      <c r="R157" s="141" t="str">
        <f t="shared" si="151"/>
        <v/>
      </c>
      <c r="S157" s="141" t="str">
        <f t="shared" si="151"/>
        <v/>
      </c>
      <c r="T157" s="141" t="str">
        <f t="shared" si="151"/>
        <v/>
      </c>
      <c r="U157" s="141" t="str">
        <f t="shared" si="151"/>
        <v/>
      </c>
      <c r="V157" s="141" t="str">
        <f t="shared" si="151"/>
        <v/>
      </c>
      <c r="W157" s="141" t="str">
        <f t="shared" si="151"/>
        <v/>
      </c>
      <c r="X157" s="141" t="str">
        <f t="shared" si="151"/>
        <v/>
      </c>
      <c r="Y157" s="141" t="str">
        <f t="shared" si="151"/>
        <v/>
      </c>
      <c r="Z157" s="141" t="str">
        <f t="shared" si="151"/>
        <v/>
      </c>
      <c r="AA157" s="141" t="str">
        <f t="shared" si="151"/>
        <v/>
      </c>
      <c r="AB157" s="141" t="str">
        <f t="shared" si="151"/>
        <v/>
      </c>
      <c r="AC157" s="141" t="str">
        <f t="shared" si="151"/>
        <v/>
      </c>
      <c r="AD157" s="141" t="str">
        <f t="shared" si="151"/>
        <v/>
      </c>
      <c r="AE157" s="141" t="str">
        <f t="shared" si="151"/>
        <v/>
      </c>
      <c r="AF157" s="141" t="str">
        <f t="shared" si="151"/>
        <v/>
      </c>
      <c r="AG157" s="141" t="str">
        <f t="shared" si="151"/>
        <v/>
      </c>
      <c r="AH157" s="154" t="s">
        <v>12</v>
      </c>
      <c r="AI157" s="133"/>
      <c r="AJ157" s="170"/>
      <c r="AK157" s="133"/>
      <c r="AL157" s="133"/>
    </row>
    <row r="158" spans="1:38" ht="15.95" hidden="1" customHeight="1" x14ac:dyDescent="0.25">
      <c r="A158" s="166" t="s">
        <v>128</v>
      </c>
      <c r="B158" s="167" t="s">
        <v>30</v>
      </c>
      <c r="C158" s="141" t="str">
        <f>IF(C19=$R32,$V32*24,IF(C19=$R33,$V33*24,IF(C19=$R34,$V34*24,IF(C19=$R35,$V35*24,IF(C19=$R36,$V36*24,IF(C19=$R37,$V37*24,IF(C19=$R38,$V38*24,IF(C19=$R39,$V39*24,IF(C19=$R40,$V40*24,"")))))))))</f>
        <v/>
      </c>
      <c r="D158" s="141" t="str">
        <f t="shared" ref="D158:AG158" si="152">IF(D19=$R32,$V32*24,IF(D19=$R33,$V33*24,IF(D19=$R34,$V34*24,IF(D19=$R35,$V35*24,IF(D19=$R36,$V36*24,IF(D19=$R37,$V37*24,IF(D19=$R38,$V38*24,IF(D19=$R39,$V39*24,IF(D19=$R40,$V40*24,"")))))))))</f>
        <v/>
      </c>
      <c r="E158" s="141" t="str">
        <f t="shared" si="152"/>
        <v/>
      </c>
      <c r="F158" s="141" t="str">
        <f t="shared" si="152"/>
        <v/>
      </c>
      <c r="G158" s="141" t="str">
        <f t="shared" si="152"/>
        <v/>
      </c>
      <c r="H158" s="141" t="str">
        <f t="shared" si="152"/>
        <v/>
      </c>
      <c r="I158" s="141" t="str">
        <f t="shared" si="152"/>
        <v/>
      </c>
      <c r="J158" s="141" t="str">
        <f t="shared" si="152"/>
        <v/>
      </c>
      <c r="K158" s="141" t="str">
        <f t="shared" si="152"/>
        <v/>
      </c>
      <c r="L158" s="141" t="str">
        <f t="shared" si="152"/>
        <v/>
      </c>
      <c r="M158" s="141" t="str">
        <f t="shared" si="152"/>
        <v/>
      </c>
      <c r="N158" s="141" t="str">
        <f t="shared" si="152"/>
        <v/>
      </c>
      <c r="O158" s="141" t="str">
        <f t="shared" si="152"/>
        <v/>
      </c>
      <c r="P158" s="141" t="str">
        <f t="shared" si="152"/>
        <v/>
      </c>
      <c r="Q158" s="141" t="str">
        <f t="shared" si="152"/>
        <v/>
      </c>
      <c r="R158" s="141" t="str">
        <f t="shared" si="152"/>
        <v/>
      </c>
      <c r="S158" s="141" t="str">
        <f t="shared" si="152"/>
        <v/>
      </c>
      <c r="T158" s="141" t="str">
        <f t="shared" si="152"/>
        <v/>
      </c>
      <c r="U158" s="141" t="str">
        <f t="shared" si="152"/>
        <v/>
      </c>
      <c r="V158" s="141" t="str">
        <f t="shared" si="152"/>
        <v/>
      </c>
      <c r="W158" s="141" t="str">
        <f t="shared" si="152"/>
        <v/>
      </c>
      <c r="X158" s="141" t="str">
        <f t="shared" si="152"/>
        <v/>
      </c>
      <c r="Y158" s="141" t="str">
        <f t="shared" si="152"/>
        <v/>
      </c>
      <c r="Z158" s="141" t="str">
        <f t="shared" si="152"/>
        <v/>
      </c>
      <c r="AA158" s="141" t="str">
        <f t="shared" si="152"/>
        <v/>
      </c>
      <c r="AB158" s="141" t="str">
        <f t="shared" si="152"/>
        <v/>
      </c>
      <c r="AC158" s="141" t="str">
        <f t="shared" si="152"/>
        <v/>
      </c>
      <c r="AD158" s="141" t="str">
        <f t="shared" si="152"/>
        <v/>
      </c>
      <c r="AE158" s="141" t="str">
        <f t="shared" si="152"/>
        <v/>
      </c>
      <c r="AF158" s="141" t="str">
        <f t="shared" si="152"/>
        <v/>
      </c>
      <c r="AG158" s="141" t="str">
        <f t="shared" si="152"/>
        <v/>
      </c>
      <c r="AH158" s="154" t="s">
        <v>12</v>
      </c>
      <c r="AI158" s="133"/>
      <c r="AJ158" s="170"/>
      <c r="AK158" s="133"/>
      <c r="AL158" s="133"/>
    </row>
    <row r="159" spans="1:38" ht="15.95" hidden="1" customHeight="1" x14ac:dyDescent="0.25">
      <c r="A159" s="153"/>
      <c r="B159" s="183" t="s">
        <v>34</v>
      </c>
      <c r="C159" s="169" t="str">
        <f t="shared" ref="C159:AD159" si="153">IF(C19=$R32,$BD32*24,IF(C19=$R33,$BD33*24,IF(C19=$R34,$BD34*24,IF(C19=$R35,$BD35*24,IF(C19=$R36,$BD36*24,IF(C19=$R37,$BD37*24,IF(C19=$R38,$BD38*24,IF(C19=$R39,$BD39*24,IF(C19=$R40,$BD40*24,"")))))))))</f>
        <v/>
      </c>
      <c r="D159" s="169" t="str">
        <f t="shared" si="153"/>
        <v/>
      </c>
      <c r="E159" s="169" t="str">
        <f t="shared" si="153"/>
        <v/>
      </c>
      <c r="F159" s="169" t="str">
        <f t="shared" si="153"/>
        <v/>
      </c>
      <c r="G159" s="169" t="str">
        <f t="shared" si="153"/>
        <v/>
      </c>
      <c r="H159" s="169" t="str">
        <f t="shared" si="153"/>
        <v/>
      </c>
      <c r="I159" s="169" t="str">
        <f t="shared" si="153"/>
        <v/>
      </c>
      <c r="J159" s="169" t="str">
        <f t="shared" si="153"/>
        <v/>
      </c>
      <c r="K159" s="169" t="str">
        <f t="shared" si="153"/>
        <v/>
      </c>
      <c r="L159" s="169" t="str">
        <f t="shared" si="153"/>
        <v/>
      </c>
      <c r="M159" s="169" t="str">
        <f t="shared" si="153"/>
        <v/>
      </c>
      <c r="N159" s="169" t="str">
        <f t="shared" si="153"/>
        <v/>
      </c>
      <c r="O159" s="169" t="str">
        <f t="shared" si="153"/>
        <v/>
      </c>
      <c r="P159" s="169" t="str">
        <f t="shared" si="153"/>
        <v/>
      </c>
      <c r="Q159" s="169" t="str">
        <f t="shared" si="153"/>
        <v/>
      </c>
      <c r="R159" s="169" t="str">
        <f t="shared" si="153"/>
        <v/>
      </c>
      <c r="S159" s="169" t="str">
        <f t="shared" si="153"/>
        <v/>
      </c>
      <c r="T159" s="169" t="str">
        <f t="shared" si="153"/>
        <v/>
      </c>
      <c r="U159" s="169" t="str">
        <f t="shared" si="153"/>
        <v/>
      </c>
      <c r="V159" s="169" t="str">
        <f t="shared" si="153"/>
        <v/>
      </c>
      <c r="W159" s="169" t="str">
        <f t="shared" si="153"/>
        <v/>
      </c>
      <c r="X159" s="169" t="str">
        <f t="shared" si="153"/>
        <v/>
      </c>
      <c r="Y159" s="169" t="str">
        <f t="shared" si="153"/>
        <v/>
      </c>
      <c r="Z159" s="169" t="str">
        <f t="shared" si="153"/>
        <v/>
      </c>
      <c r="AA159" s="169" t="str">
        <f t="shared" si="153"/>
        <v/>
      </c>
      <c r="AB159" s="169" t="str">
        <f t="shared" si="153"/>
        <v/>
      </c>
      <c r="AC159" s="169" t="str">
        <f t="shared" si="153"/>
        <v/>
      </c>
      <c r="AD159" s="169" t="str">
        <f t="shared" si="153"/>
        <v/>
      </c>
      <c r="AE159" s="169" t="str">
        <f>IF(AE19=$R32,$BD32*24,IF(AE19=$R33,$BD33*24,IF(AE19=$R34,$BD34*24,IF(AE19=$R35,$BD35*24,IF(AE19=$R36,$BD36*24,IF(AE19=$R37,$BD37*24,IF(AE19=$R38,$BD38*24,IF(AE19=$R39,$BD39*24,IF(AE19=$R40,$BD40*24,"")))))))))</f>
        <v/>
      </c>
      <c r="AF159" s="169" t="str">
        <f>IF(AF19=$R32,$BD32*24,IF(AF19=$R33,$BD33*24,IF(AF19=$R34,$BD34*24,IF(AF19=$R35,$BD35*24,IF(AF19=$R36,$BD36*24,IF(AF19=$R37,$BD37*24,IF(AF19=$R38,$BD38*24,IF(AF19=$R39,$BD39*24,IF(AF19=$R40,$BD40*24,"")))))))))</f>
        <v/>
      </c>
      <c r="AG159" s="169" t="str">
        <f>IF(AG19=$R32,$BD32*24,IF(AG19=$R33,$BD33*24,IF(AG19=$R34,$BD34*24,IF(AG19=$R35,$BD35*24,IF(AG19=$R36,$BD36*24,IF(AG19=$R37,$BD37*24,IF(AG19=$R38,$BD38*24,IF(AG19=$R39,$BD39*24,IF(AG19=$R40,$BD40*24,"")))))))))</f>
        <v/>
      </c>
      <c r="AH159" s="148">
        <f>SUM(C159:AG159)</f>
        <v>0</v>
      </c>
      <c r="AI159" s="133"/>
      <c r="AJ159" s="170"/>
      <c r="AK159" s="133"/>
      <c r="AL159" s="133"/>
    </row>
    <row r="160" spans="1:38" ht="15.95" hidden="1" customHeight="1" x14ac:dyDescent="0.25">
      <c r="A160" s="153"/>
      <c r="B160" s="167" t="s">
        <v>59</v>
      </c>
      <c r="C160" s="141">
        <f>IF(C19="V",$C36,IF(C19="PR",$C38,0))</f>
        <v>0</v>
      </c>
      <c r="D160" s="141">
        <f t="shared" ref="D160:AG160" si="154">IF(D19="V",$C36,IF(D19="PR",$C38,0))</f>
        <v>0</v>
      </c>
      <c r="E160" s="141">
        <f t="shared" si="154"/>
        <v>0</v>
      </c>
      <c r="F160" s="141">
        <f t="shared" si="154"/>
        <v>0</v>
      </c>
      <c r="G160" s="141">
        <f t="shared" si="154"/>
        <v>0</v>
      </c>
      <c r="H160" s="141">
        <f t="shared" si="154"/>
        <v>0</v>
      </c>
      <c r="I160" s="141">
        <f t="shared" si="154"/>
        <v>0</v>
      </c>
      <c r="J160" s="141">
        <f t="shared" si="154"/>
        <v>0</v>
      </c>
      <c r="K160" s="141">
        <f t="shared" si="154"/>
        <v>0</v>
      </c>
      <c r="L160" s="141">
        <f t="shared" si="154"/>
        <v>0</v>
      </c>
      <c r="M160" s="141">
        <f t="shared" si="154"/>
        <v>0</v>
      </c>
      <c r="N160" s="141">
        <f t="shared" si="154"/>
        <v>0</v>
      </c>
      <c r="O160" s="141">
        <f t="shared" si="154"/>
        <v>0</v>
      </c>
      <c r="P160" s="141">
        <f t="shared" si="154"/>
        <v>0</v>
      </c>
      <c r="Q160" s="141">
        <f t="shared" si="154"/>
        <v>0</v>
      </c>
      <c r="R160" s="141">
        <f t="shared" si="154"/>
        <v>0</v>
      </c>
      <c r="S160" s="141">
        <f t="shared" si="154"/>
        <v>0</v>
      </c>
      <c r="T160" s="141">
        <f t="shared" si="154"/>
        <v>0</v>
      </c>
      <c r="U160" s="141">
        <f t="shared" si="154"/>
        <v>0</v>
      </c>
      <c r="V160" s="141">
        <f t="shared" si="154"/>
        <v>0</v>
      </c>
      <c r="W160" s="141">
        <f t="shared" si="154"/>
        <v>0</v>
      </c>
      <c r="X160" s="141">
        <f t="shared" si="154"/>
        <v>0</v>
      </c>
      <c r="Y160" s="141">
        <f t="shared" si="154"/>
        <v>0</v>
      </c>
      <c r="Z160" s="141">
        <f t="shared" si="154"/>
        <v>0</v>
      </c>
      <c r="AA160" s="141">
        <f t="shared" si="154"/>
        <v>0</v>
      </c>
      <c r="AB160" s="141">
        <f t="shared" si="154"/>
        <v>0</v>
      </c>
      <c r="AC160" s="141">
        <f t="shared" si="154"/>
        <v>0</v>
      </c>
      <c r="AD160" s="141">
        <f t="shared" si="154"/>
        <v>0</v>
      </c>
      <c r="AE160" s="141">
        <f t="shared" si="154"/>
        <v>0</v>
      </c>
      <c r="AF160" s="141">
        <f t="shared" si="154"/>
        <v>0</v>
      </c>
      <c r="AG160" s="141">
        <f t="shared" si="154"/>
        <v>0</v>
      </c>
      <c r="AH160" s="226">
        <f>SUM(C160:AG160)</f>
        <v>0</v>
      </c>
      <c r="AI160" s="226"/>
      <c r="AJ160" s="230">
        <f>SUM(AH105+AH116+AH127+AH138+AH149+AH160)</f>
        <v>78.3</v>
      </c>
      <c r="AK160" s="230"/>
      <c r="AL160" s="133" t="s">
        <v>56</v>
      </c>
    </row>
    <row r="161" spans="1:38" ht="15.95" hidden="1" customHeight="1" x14ac:dyDescent="0.25">
      <c r="A161" s="150" t="s">
        <v>60</v>
      </c>
      <c r="B161" s="167" t="s">
        <v>61</v>
      </c>
      <c r="C161" s="151">
        <f t="shared" ref="C161:AD161" si="155">IF(C19=$R32,$BC32,IF(C19=$R33,$BC33,IF(C19=$R34,$BC34,IF(C19=$R35,$BC35,IF(C19=$R36,$BC36,IF(C19=$R37,$BC37,IF(C19=$R38,$BC38,IF(C19=$R39,$BC39,IF(C19=$R40,$BC40,0)))))))))</f>
        <v>0</v>
      </c>
      <c r="D161" s="151">
        <f t="shared" si="155"/>
        <v>0</v>
      </c>
      <c r="E161" s="151">
        <f t="shared" si="155"/>
        <v>0</v>
      </c>
      <c r="F161" s="151">
        <f t="shared" si="155"/>
        <v>0</v>
      </c>
      <c r="G161" s="151">
        <f t="shared" si="155"/>
        <v>0</v>
      </c>
      <c r="H161" s="151">
        <f t="shared" si="155"/>
        <v>0</v>
      </c>
      <c r="I161" s="151">
        <f t="shared" si="155"/>
        <v>0</v>
      </c>
      <c r="J161" s="151">
        <f t="shared" si="155"/>
        <v>0</v>
      </c>
      <c r="K161" s="151">
        <f t="shared" si="155"/>
        <v>0</v>
      </c>
      <c r="L161" s="151">
        <f t="shared" si="155"/>
        <v>0</v>
      </c>
      <c r="M161" s="151">
        <f t="shared" si="155"/>
        <v>0</v>
      </c>
      <c r="N161" s="151">
        <f t="shared" si="155"/>
        <v>0</v>
      </c>
      <c r="O161" s="151">
        <f t="shared" si="155"/>
        <v>0</v>
      </c>
      <c r="P161" s="151">
        <f t="shared" si="155"/>
        <v>0</v>
      </c>
      <c r="Q161" s="151">
        <f t="shared" si="155"/>
        <v>0</v>
      </c>
      <c r="R161" s="151">
        <f t="shared" si="155"/>
        <v>0</v>
      </c>
      <c r="S161" s="151">
        <f t="shared" si="155"/>
        <v>0</v>
      </c>
      <c r="T161" s="151">
        <f t="shared" si="155"/>
        <v>0</v>
      </c>
      <c r="U161" s="151">
        <f t="shared" si="155"/>
        <v>0</v>
      </c>
      <c r="V161" s="151">
        <f t="shared" si="155"/>
        <v>0</v>
      </c>
      <c r="W161" s="151">
        <f t="shared" si="155"/>
        <v>0</v>
      </c>
      <c r="X161" s="151">
        <f t="shared" si="155"/>
        <v>0</v>
      </c>
      <c r="Y161" s="151">
        <f t="shared" si="155"/>
        <v>0</v>
      </c>
      <c r="Z161" s="151">
        <f t="shared" si="155"/>
        <v>0</v>
      </c>
      <c r="AA161" s="151">
        <f t="shared" si="155"/>
        <v>0</v>
      </c>
      <c r="AB161" s="151">
        <f t="shared" si="155"/>
        <v>0</v>
      </c>
      <c r="AC161" s="151">
        <f t="shared" si="155"/>
        <v>0</v>
      </c>
      <c r="AD161" s="151">
        <f t="shared" si="155"/>
        <v>0</v>
      </c>
      <c r="AE161" s="151">
        <f>IF(AE19=$R32,$BC32,IF(AE19=$R33,$BC33,IF(AE19=$R34,$BC34,IF(AE19=$R35,$BC35,IF(AE19=$R36,$BC36,IF(AE19=$R37,$BC37,IF(AE19=$R38,$BC38,IF(AE19=$R39,$BC39,IF(AE19=$R40,$BC40,0)))))))))</f>
        <v>0</v>
      </c>
      <c r="AF161" s="151">
        <f>IF(AF19=$R32,$BC32,IF(AF19=$R33,$BC33,IF(AF19=$R34,$BC34,IF(AF19=$R35,$BC35,IF(AF19=$R36,$BC36,IF(AF19=$R37,$BC37,IF(AF19=$R38,$BC38,IF(AF19=$R39,$BC39,IF(AF19=$R40,$BC40,0)))))))))</f>
        <v>0</v>
      </c>
      <c r="AG161" s="151">
        <f>IF(AG19=$R32,$BC32,IF(AG19=$R33,$BC33,IF(AG19=$R34,$BC34,IF(AG19=$R35,$BC35,IF(AG19=$R36,$BC36,IF(AG19=$R37,$BC37,IF(AG19=$R38,$BC38,IF(AG19=$R39,$BC39,IF(AG19=$R40,$BC40,0)))))))))</f>
        <v>0</v>
      </c>
      <c r="AH161" s="226">
        <f>SUM(C161:AG161)</f>
        <v>0</v>
      </c>
      <c r="AI161" s="226"/>
      <c r="AJ161" s="174" t="s">
        <v>62</v>
      </c>
      <c r="AK161" s="133" t="s">
        <v>12</v>
      </c>
      <c r="AL161" s="133"/>
    </row>
    <row r="162" spans="1:38" ht="15.95" hidden="1" customHeight="1" x14ac:dyDescent="0.25">
      <c r="A162" s="153" t="s">
        <v>48</v>
      </c>
      <c r="B162" s="149" t="s">
        <v>63</v>
      </c>
      <c r="C162" s="141">
        <f>IF(C46=1,IF(C157&lt;C158,C161,0))</f>
        <v>0</v>
      </c>
      <c r="D162" s="141" t="b">
        <f t="shared" ref="D162:AG162" si="156">IF(D46=1,IF(D157&lt;D158,D161,0))</f>
        <v>0</v>
      </c>
      <c r="E162" s="141" t="b">
        <f t="shared" si="156"/>
        <v>0</v>
      </c>
      <c r="F162" s="141" t="b">
        <f t="shared" si="156"/>
        <v>0</v>
      </c>
      <c r="G162" s="141" t="b">
        <f t="shared" si="156"/>
        <v>0</v>
      </c>
      <c r="H162" s="141" t="b">
        <f t="shared" si="156"/>
        <v>0</v>
      </c>
      <c r="I162" s="141">
        <f t="shared" si="156"/>
        <v>0</v>
      </c>
      <c r="J162" s="141">
        <f t="shared" si="156"/>
        <v>0</v>
      </c>
      <c r="K162" s="141" t="b">
        <f t="shared" si="156"/>
        <v>0</v>
      </c>
      <c r="L162" s="141" t="b">
        <f t="shared" si="156"/>
        <v>0</v>
      </c>
      <c r="M162" s="141" t="b">
        <f t="shared" si="156"/>
        <v>0</v>
      </c>
      <c r="N162" s="141" t="b">
        <f t="shared" si="156"/>
        <v>0</v>
      </c>
      <c r="O162" s="141" t="b">
        <f t="shared" si="156"/>
        <v>0</v>
      </c>
      <c r="P162" s="141">
        <f t="shared" si="156"/>
        <v>0</v>
      </c>
      <c r="Q162" s="141">
        <f t="shared" si="156"/>
        <v>0</v>
      </c>
      <c r="R162" s="141" t="b">
        <f t="shared" si="156"/>
        <v>0</v>
      </c>
      <c r="S162" s="141" t="b">
        <f t="shared" si="156"/>
        <v>0</v>
      </c>
      <c r="T162" s="141" t="b">
        <f t="shared" si="156"/>
        <v>0</v>
      </c>
      <c r="U162" s="141" t="b">
        <f t="shared" si="156"/>
        <v>0</v>
      </c>
      <c r="V162" s="141" t="b">
        <f t="shared" si="156"/>
        <v>0</v>
      </c>
      <c r="W162" s="141">
        <f t="shared" si="156"/>
        <v>0</v>
      </c>
      <c r="X162" s="141">
        <f t="shared" si="156"/>
        <v>0</v>
      </c>
      <c r="Y162" s="141" t="b">
        <f t="shared" si="156"/>
        <v>0</v>
      </c>
      <c r="Z162" s="141" t="b">
        <f t="shared" si="156"/>
        <v>0</v>
      </c>
      <c r="AA162" s="141" t="b">
        <f t="shared" si="156"/>
        <v>0</v>
      </c>
      <c r="AB162" s="141" t="b">
        <f t="shared" si="156"/>
        <v>0</v>
      </c>
      <c r="AC162" s="141" t="b">
        <f t="shared" si="156"/>
        <v>0</v>
      </c>
      <c r="AD162" s="141">
        <f t="shared" si="156"/>
        <v>0</v>
      </c>
      <c r="AE162" s="141">
        <f t="shared" si="156"/>
        <v>0</v>
      </c>
      <c r="AF162" s="141" t="b">
        <f t="shared" si="156"/>
        <v>0</v>
      </c>
      <c r="AG162" s="141" t="b">
        <f t="shared" si="156"/>
        <v>0</v>
      </c>
      <c r="AH162" s="154" t="s">
        <v>12</v>
      </c>
      <c r="AI162" s="133"/>
      <c r="AJ162" s="170"/>
      <c r="AK162" s="133"/>
      <c r="AL162" s="133"/>
    </row>
    <row r="163" spans="1:38" ht="15.95" hidden="1" customHeight="1" x14ac:dyDescent="0.25">
      <c r="A163" s="176"/>
      <c r="B163" s="149" t="s">
        <v>64</v>
      </c>
      <c r="C163" s="141">
        <f>IF(C46=1,IF(C157&gt;C158,24-C157,0),0)</f>
        <v>0</v>
      </c>
      <c r="D163" s="141">
        <f t="shared" ref="D163:AG163" si="157">IF(D46=1,IF(D157&gt;D158,24-D157,0),0)</f>
        <v>0</v>
      </c>
      <c r="E163" s="141">
        <f t="shared" si="157"/>
        <v>0</v>
      </c>
      <c r="F163" s="141">
        <f t="shared" si="157"/>
        <v>0</v>
      </c>
      <c r="G163" s="141">
        <f t="shared" si="157"/>
        <v>0</v>
      </c>
      <c r="H163" s="141">
        <f t="shared" si="157"/>
        <v>0</v>
      </c>
      <c r="I163" s="141">
        <f t="shared" si="157"/>
        <v>0</v>
      </c>
      <c r="J163" s="141">
        <f t="shared" si="157"/>
        <v>0</v>
      </c>
      <c r="K163" s="141">
        <f t="shared" si="157"/>
        <v>0</v>
      </c>
      <c r="L163" s="141">
        <f t="shared" si="157"/>
        <v>0</v>
      </c>
      <c r="M163" s="141">
        <f t="shared" si="157"/>
        <v>0</v>
      </c>
      <c r="N163" s="141">
        <f t="shared" si="157"/>
        <v>0</v>
      </c>
      <c r="O163" s="141">
        <f t="shared" si="157"/>
        <v>0</v>
      </c>
      <c r="P163" s="141">
        <f t="shared" si="157"/>
        <v>0</v>
      </c>
      <c r="Q163" s="141">
        <f t="shared" si="157"/>
        <v>0</v>
      </c>
      <c r="R163" s="141">
        <f t="shared" si="157"/>
        <v>0</v>
      </c>
      <c r="S163" s="141">
        <f t="shared" si="157"/>
        <v>0</v>
      </c>
      <c r="T163" s="141">
        <f t="shared" si="157"/>
        <v>0</v>
      </c>
      <c r="U163" s="141">
        <f t="shared" si="157"/>
        <v>0</v>
      </c>
      <c r="V163" s="141">
        <f t="shared" si="157"/>
        <v>0</v>
      </c>
      <c r="W163" s="141">
        <f t="shared" si="157"/>
        <v>0</v>
      </c>
      <c r="X163" s="141">
        <f t="shared" si="157"/>
        <v>0</v>
      </c>
      <c r="Y163" s="141">
        <f t="shared" si="157"/>
        <v>0</v>
      </c>
      <c r="Z163" s="141">
        <f t="shared" si="157"/>
        <v>0</v>
      </c>
      <c r="AA163" s="141">
        <f t="shared" si="157"/>
        <v>0</v>
      </c>
      <c r="AB163" s="141">
        <f t="shared" si="157"/>
        <v>0</v>
      </c>
      <c r="AC163" s="141">
        <f t="shared" si="157"/>
        <v>0</v>
      </c>
      <c r="AD163" s="141">
        <f t="shared" si="157"/>
        <v>0</v>
      </c>
      <c r="AE163" s="141">
        <f t="shared" si="157"/>
        <v>0</v>
      </c>
      <c r="AF163" s="141">
        <f t="shared" si="157"/>
        <v>0</v>
      </c>
      <c r="AG163" s="141">
        <f t="shared" si="157"/>
        <v>0</v>
      </c>
      <c r="AH163" s="154" t="s">
        <v>12</v>
      </c>
      <c r="AI163" s="133"/>
      <c r="AJ163" s="170"/>
      <c r="AK163" s="133"/>
      <c r="AL163" s="133"/>
    </row>
    <row r="164" spans="1:38" ht="15.95" hidden="1" customHeight="1" x14ac:dyDescent="0.25">
      <c r="A164" s="176"/>
      <c r="B164" s="149" t="s">
        <v>65</v>
      </c>
      <c r="C164" s="141">
        <f>IF(C46=1,IF(C157&gt;C158,C158,0),0)</f>
        <v>0</v>
      </c>
      <c r="D164" s="141">
        <f t="shared" ref="D164:AG164" si="158">IF(D46=1,IF(D157&gt;D158,D158,0),0)</f>
        <v>0</v>
      </c>
      <c r="E164" s="141">
        <f t="shared" si="158"/>
        <v>0</v>
      </c>
      <c r="F164" s="141">
        <f t="shared" si="158"/>
        <v>0</v>
      </c>
      <c r="G164" s="141">
        <f t="shared" si="158"/>
        <v>0</v>
      </c>
      <c r="H164" s="141">
        <f t="shared" si="158"/>
        <v>0</v>
      </c>
      <c r="I164" s="141">
        <f t="shared" si="158"/>
        <v>0</v>
      </c>
      <c r="J164" s="141">
        <f t="shared" si="158"/>
        <v>0</v>
      </c>
      <c r="K164" s="141">
        <f t="shared" si="158"/>
        <v>0</v>
      </c>
      <c r="L164" s="141">
        <f t="shared" si="158"/>
        <v>0</v>
      </c>
      <c r="M164" s="141">
        <f t="shared" si="158"/>
        <v>0</v>
      </c>
      <c r="N164" s="141">
        <f t="shared" si="158"/>
        <v>0</v>
      </c>
      <c r="O164" s="141">
        <f t="shared" si="158"/>
        <v>0</v>
      </c>
      <c r="P164" s="141">
        <f t="shared" si="158"/>
        <v>0</v>
      </c>
      <c r="Q164" s="141">
        <f t="shared" si="158"/>
        <v>0</v>
      </c>
      <c r="R164" s="141">
        <f t="shared" si="158"/>
        <v>0</v>
      </c>
      <c r="S164" s="141">
        <f t="shared" si="158"/>
        <v>0</v>
      </c>
      <c r="T164" s="141">
        <f t="shared" si="158"/>
        <v>0</v>
      </c>
      <c r="U164" s="141">
        <f t="shared" si="158"/>
        <v>0</v>
      </c>
      <c r="V164" s="141">
        <f t="shared" si="158"/>
        <v>0</v>
      </c>
      <c r="W164" s="141">
        <f t="shared" si="158"/>
        <v>0</v>
      </c>
      <c r="X164" s="141">
        <f t="shared" si="158"/>
        <v>0</v>
      </c>
      <c r="Y164" s="141">
        <f t="shared" si="158"/>
        <v>0</v>
      </c>
      <c r="Z164" s="141">
        <f t="shared" si="158"/>
        <v>0</v>
      </c>
      <c r="AA164" s="141">
        <f t="shared" si="158"/>
        <v>0</v>
      </c>
      <c r="AB164" s="141">
        <f t="shared" si="158"/>
        <v>0</v>
      </c>
      <c r="AC164" s="141">
        <f t="shared" si="158"/>
        <v>0</v>
      </c>
      <c r="AD164" s="141">
        <f t="shared" si="158"/>
        <v>0</v>
      </c>
      <c r="AE164" s="141">
        <f t="shared" si="158"/>
        <v>0</v>
      </c>
      <c r="AF164" s="141">
        <f t="shared" si="158"/>
        <v>0</v>
      </c>
      <c r="AG164" s="141">
        <f t="shared" si="158"/>
        <v>0</v>
      </c>
      <c r="AH164" s="154" t="s">
        <v>12</v>
      </c>
      <c r="AI164" s="133"/>
      <c r="AJ164" s="170"/>
      <c r="AK164" s="133"/>
      <c r="AL164" s="133"/>
    </row>
    <row r="165" spans="1:38" ht="15.95" hidden="1" customHeight="1" x14ac:dyDescent="0.25">
      <c r="A165" s="176"/>
      <c r="B165" s="149" t="s">
        <v>67</v>
      </c>
      <c r="C165" s="171">
        <f t="shared" ref="C165:AG165" si="159">SUM(C162:C164)</f>
        <v>0</v>
      </c>
      <c r="D165" s="171">
        <f t="shared" si="159"/>
        <v>0</v>
      </c>
      <c r="E165" s="171">
        <f t="shared" si="159"/>
        <v>0</v>
      </c>
      <c r="F165" s="171">
        <f t="shared" si="159"/>
        <v>0</v>
      </c>
      <c r="G165" s="171">
        <f t="shared" si="159"/>
        <v>0</v>
      </c>
      <c r="H165" s="171">
        <f t="shared" si="159"/>
        <v>0</v>
      </c>
      <c r="I165" s="171">
        <f t="shared" si="159"/>
        <v>0</v>
      </c>
      <c r="J165" s="171">
        <f t="shared" si="159"/>
        <v>0</v>
      </c>
      <c r="K165" s="171">
        <f t="shared" si="159"/>
        <v>0</v>
      </c>
      <c r="L165" s="171">
        <f t="shared" si="159"/>
        <v>0</v>
      </c>
      <c r="M165" s="171">
        <f t="shared" si="159"/>
        <v>0</v>
      </c>
      <c r="N165" s="171">
        <f t="shared" si="159"/>
        <v>0</v>
      </c>
      <c r="O165" s="171">
        <f t="shared" si="159"/>
        <v>0</v>
      </c>
      <c r="P165" s="171">
        <f t="shared" si="159"/>
        <v>0</v>
      </c>
      <c r="Q165" s="171">
        <f t="shared" si="159"/>
        <v>0</v>
      </c>
      <c r="R165" s="171">
        <f t="shared" si="159"/>
        <v>0</v>
      </c>
      <c r="S165" s="171">
        <f t="shared" si="159"/>
        <v>0</v>
      </c>
      <c r="T165" s="171">
        <f t="shared" si="159"/>
        <v>0</v>
      </c>
      <c r="U165" s="171">
        <f t="shared" si="159"/>
        <v>0</v>
      </c>
      <c r="V165" s="171">
        <f t="shared" si="159"/>
        <v>0</v>
      </c>
      <c r="W165" s="171">
        <f t="shared" si="159"/>
        <v>0</v>
      </c>
      <c r="X165" s="171">
        <f t="shared" si="159"/>
        <v>0</v>
      </c>
      <c r="Y165" s="171">
        <f t="shared" si="159"/>
        <v>0</v>
      </c>
      <c r="Z165" s="171">
        <f t="shared" si="159"/>
        <v>0</v>
      </c>
      <c r="AA165" s="171">
        <f t="shared" si="159"/>
        <v>0</v>
      </c>
      <c r="AB165" s="171">
        <f t="shared" si="159"/>
        <v>0</v>
      </c>
      <c r="AC165" s="171">
        <f t="shared" si="159"/>
        <v>0</v>
      </c>
      <c r="AD165" s="171">
        <f t="shared" si="159"/>
        <v>0</v>
      </c>
      <c r="AE165" s="171">
        <f t="shared" si="159"/>
        <v>0</v>
      </c>
      <c r="AF165" s="171">
        <f t="shared" si="159"/>
        <v>0</v>
      </c>
      <c r="AG165" s="171">
        <f t="shared" si="159"/>
        <v>0</v>
      </c>
      <c r="AH165" s="154" t="s">
        <v>12</v>
      </c>
      <c r="AI165" s="133"/>
      <c r="AJ165" s="170"/>
      <c r="AK165" s="133"/>
      <c r="AL165" s="133"/>
    </row>
    <row r="166" spans="1:38" ht="15.95" hidden="1" customHeight="1" x14ac:dyDescent="0.25">
      <c r="A166" s="177"/>
      <c r="B166" s="160" t="s">
        <v>68</v>
      </c>
      <c r="C166" s="161">
        <f>IF(C19="V",IF(C19="",0,1),0)</f>
        <v>0</v>
      </c>
      <c r="D166" s="161">
        <f t="shared" ref="D166:AG166" si="160">IF(D19="V",IF(D19="",0,1),0)</f>
        <v>0</v>
      </c>
      <c r="E166" s="161">
        <f t="shared" si="160"/>
        <v>0</v>
      </c>
      <c r="F166" s="161">
        <f t="shared" si="160"/>
        <v>0</v>
      </c>
      <c r="G166" s="161">
        <f t="shared" si="160"/>
        <v>0</v>
      </c>
      <c r="H166" s="161">
        <f t="shared" si="160"/>
        <v>0</v>
      </c>
      <c r="I166" s="161">
        <f t="shared" si="160"/>
        <v>0</v>
      </c>
      <c r="J166" s="161">
        <f t="shared" si="160"/>
        <v>0</v>
      </c>
      <c r="K166" s="161">
        <f t="shared" si="160"/>
        <v>0</v>
      </c>
      <c r="L166" s="161">
        <f t="shared" si="160"/>
        <v>0</v>
      </c>
      <c r="M166" s="161">
        <f t="shared" si="160"/>
        <v>0</v>
      </c>
      <c r="N166" s="161">
        <f t="shared" si="160"/>
        <v>0</v>
      </c>
      <c r="O166" s="161">
        <f t="shared" si="160"/>
        <v>0</v>
      </c>
      <c r="P166" s="161">
        <f t="shared" si="160"/>
        <v>0</v>
      </c>
      <c r="Q166" s="161">
        <f t="shared" si="160"/>
        <v>0</v>
      </c>
      <c r="R166" s="161">
        <f t="shared" si="160"/>
        <v>0</v>
      </c>
      <c r="S166" s="161">
        <f t="shared" si="160"/>
        <v>0</v>
      </c>
      <c r="T166" s="161">
        <f t="shared" si="160"/>
        <v>0</v>
      </c>
      <c r="U166" s="161">
        <f t="shared" si="160"/>
        <v>0</v>
      </c>
      <c r="V166" s="161">
        <f t="shared" si="160"/>
        <v>0</v>
      </c>
      <c r="W166" s="161">
        <f t="shared" si="160"/>
        <v>0</v>
      </c>
      <c r="X166" s="161">
        <f t="shared" si="160"/>
        <v>0</v>
      </c>
      <c r="Y166" s="161">
        <f t="shared" si="160"/>
        <v>0</v>
      </c>
      <c r="Z166" s="161">
        <f t="shared" si="160"/>
        <v>0</v>
      </c>
      <c r="AA166" s="161">
        <f t="shared" si="160"/>
        <v>0</v>
      </c>
      <c r="AB166" s="161">
        <f t="shared" si="160"/>
        <v>0</v>
      </c>
      <c r="AC166" s="161">
        <f t="shared" si="160"/>
        <v>0</v>
      </c>
      <c r="AD166" s="161">
        <f t="shared" si="160"/>
        <v>0</v>
      </c>
      <c r="AE166" s="161">
        <f t="shared" si="160"/>
        <v>0</v>
      </c>
      <c r="AF166" s="161">
        <f t="shared" si="160"/>
        <v>0</v>
      </c>
      <c r="AG166" s="161">
        <f t="shared" si="160"/>
        <v>0</v>
      </c>
      <c r="AH166" s="154" t="s">
        <v>12</v>
      </c>
      <c r="AI166" s="133"/>
      <c r="AJ166" s="170"/>
      <c r="AK166" s="133"/>
      <c r="AL166" s="133"/>
    </row>
    <row r="167" spans="1:38" ht="15.95" hidden="1" customHeight="1" x14ac:dyDescent="0.25">
      <c r="A167" s="180"/>
      <c r="B167" s="181" t="s">
        <v>16</v>
      </c>
      <c r="C167" s="182">
        <f>IF(C19="PR",IF(C19="",0,1),0)</f>
        <v>0</v>
      </c>
      <c r="D167" s="182">
        <f t="shared" ref="D167:AG167" si="161">IF(D19="PR",IF(D19="",0,1),0)</f>
        <v>0</v>
      </c>
      <c r="E167" s="182">
        <f t="shared" si="161"/>
        <v>0</v>
      </c>
      <c r="F167" s="182">
        <f t="shared" si="161"/>
        <v>0</v>
      </c>
      <c r="G167" s="182">
        <f t="shared" si="161"/>
        <v>0</v>
      </c>
      <c r="H167" s="182">
        <f t="shared" si="161"/>
        <v>0</v>
      </c>
      <c r="I167" s="182">
        <f t="shared" si="161"/>
        <v>0</v>
      </c>
      <c r="J167" s="182">
        <f t="shared" si="161"/>
        <v>0</v>
      </c>
      <c r="K167" s="182">
        <f t="shared" si="161"/>
        <v>0</v>
      </c>
      <c r="L167" s="182">
        <f t="shared" si="161"/>
        <v>0</v>
      </c>
      <c r="M167" s="182">
        <f t="shared" si="161"/>
        <v>0</v>
      </c>
      <c r="N167" s="182">
        <f t="shared" si="161"/>
        <v>0</v>
      </c>
      <c r="O167" s="182">
        <f t="shared" si="161"/>
        <v>0</v>
      </c>
      <c r="P167" s="182">
        <f t="shared" si="161"/>
        <v>0</v>
      </c>
      <c r="Q167" s="182">
        <f t="shared" si="161"/>
        <v>0</v>
      </c>
      <c r="R167" s="182">
        <f t="shared" si="161"/>
        <v>0</v>
      </c>
      <c r="S167" s="182">
        <f t="shared" si="161"/>
        <v>0</v>
      </c>
      <c r="T167" s="182">
        <f t="shared" si="161"/>
        <v>0</v>
      </c>
      <c r="U167" s="182">
        <f t="shared" si="161"/>
        <v>0</v>
      </c>
      <c r="V167" s="182">
        <f t="shared" si="161"/>
        <v>0</v>
      </c>
      <c r="W167" s="182">
        <f t="shared" si="161"/>
        <v>0</v>
      </c>
      <c r="X167" s="182">
        <f t="shared" si="161"/>
        <v>0</v>
      </c>
      <c r="Y167" s="182">
        <f t="shared" si="161"/>
        <v>0</v>
      </c>
      <c r="Z167" s="182">
        <f t="shared" si="161"/>
        <v>0</v>
      </c>
      <c r="AA167" s="182">
        <f t="shared" si="161"/>
        <v>0</v>
      </c>
      <c r="AB167" s="182">
        <f t="shared" si="161"/>
        <v>0</v>
      </c>
      <c r="AC167" s="182">
        <f t="shared" si="161"/>
        <v>0</v>
      </c>
      <c r="AD167" s="182">
        <f t="shared" si="161"/>
        <v>0</v>
      </c>
      <c r="AE167" s="182">
        <f t="shared" si="161"/>
        <v>0</v>
      </c>
      <c r="AF167" s="182">
        <f t="shared" si="161"/>
        <v>0</v>
      </c>
      <c r="AG167" s="182">
        <f t="shared" si="161"/>
        <v>0</v>
      </c>
      <c r="AH167" s="227">
        <f>SUM(C167:AG167)</f>
        <v>0</v>
      </c>
      <c r="AI167" s="227"/>
      <c r="AJ167" s="174" t="s">
        <v>69</v>
      </c>
      <c r="AK167" s="133"/>
      <c r="AL167" s="133"/>
    </row>
    <row r="168" spans="1:38" ht="15.95" hidden="1" customHeight="1" x14ac:dyDescent="0.25">
      <c r="A168" s="164" t="s">
        <v>127</v>
      </c>
      <c r="B168" s="165" t="s">
        <v>29</v>
      </c>
      <c r="C168" s="141" t="str">
        <f>IF(C20=$R32,$S32*24,IF(C20=$R33,$S33*24,IF(C20=$R34,$S34*24,IF(C20=$R35,$S35*24,IF(C20=$R36,$S36*24,IF(C20=$R37,$S37*24,IF(C20=$R38,$S38*24,IF(C20=$R39,$S39*24,IF(C20=$R40,$S40*24,"")))))))))</f>
        <v/>
      </c>
      <c r="D168" s="141" t="str">
        <f t="shared" ref="D168:AG168" si="162">IF(D20=$R32,$S32*24,IF(D20=$R33,$S33*24,IF(D20=$R34,$S34*24,IF(D20=$R35,$S35*24,IF(D20=$R36,$S36*24,IF(D20=$R37,$S37*24,IF(D20=$R38,$S38*24,IF(D20=$R39,$S39*24,IF(D20=$R40,$S40*24,"")))))))))</f>
        <v/>
      </c>
      <c r="E168" s="141" t="str">
        <f t="shared" si="162"/>
        <v/>
      </c>
      <c r="F168" s="141" t="str">
        <f t="shared" si="162"/>
        <v/>
      </c>
      <c r="G168" s="141" t="str">
        <f t="shared" si="162"/>
        <v/>
      </c>
      <c r="H168" s="141" t="str">
        <f t="shared" si="162"/>
        <v/>
      </c>
      <c r="I168" s="141" t="str">
        <f t="shared" si="162"/>
        <v/>
      </c>
      <c r="J168" s="141" t="str">
        <f t="shared" si="162"/>
        <v/>
      </c>
      <c r="K168" s="141" t="str">
        <f t="shared" si="162"/>
        <v/>
      </c>
      <c r="L168" s="141" t="str">
        <f t="shared" si="162"/>
        <v/>
      </c>
      <c r="M168" s="141" t="str">
        <f t="shared" si="162"/>
        <v/>
      </c>
      <c r="N168" s="141" t="str">
        <f t="shared" si="162"/>
        <v/>
      </c>
      <c r="O168" s="141" t="str">
        <f t="shared" si="162"/>
        <v/>
      </c>
      <c r="P168" s="141" t="str">
        <f t="shared" si="162"/>
        <v/>
      </c>
      <c r="Q168" s="141" t="str">
        <f t="shared" si="162"/>
        <v/>
      </c>
      <c r="R168" s="141" t="str">
        <f t="shared" si="162"/>
        <v/>
      </c>
      <c r="S168" s="141" t="str">
        <f t="shared" si="162"/>
        <v/>
      </c>
      <c r="T168" s="141" t="str">
        <f t="shared" si="162"/>
        <v/>
      </c>
      <c r="U168" s="141" t="str">
        <f t="shared" si="162"/>
        <v/>
      </c>
      <c r="V168" s="141" t="str">
        <f t="shared" si="162"/>
        <v/>
      </c>
      <c r="W168" s="141" t="str">
        <f t="shared" si="162"/>
        <v/>
      </c>
      <c r="X168" s="141" t="str">
        <f t="shared" si="162"/>
        <v/>
      </c>
      <c r="Y168" s="141" t="str">
        <f t="shared" si="162"/>
        <v/>
      </c>
      <c r="Z168" s="141" t="str">
        <f t="shared" si="162"/>
        <v/>
      </c>
      <c r="AA168" s="141" t="str">
        <f t="shared" si="162"/>
        <v/>
      </c>
      <c r="AB168" s="141" t="str">
        <f t="shared" si="162"/>
        <v/>
      </c>
      <c r="AC168" s="141" t="str">
        <f t="shared" si="162"/>
        <v/>
      </c>
      <c r="AD168" s="141" t="str">
        <f t="shared" si="162"/>
        <v/>
      </c>
      <c r="AE168" s="141" t="str">
        <f t="shared" si="162"/>
        <v/>
      </c>
      <c r="AF168" s="141" t="str">
        <f t="shared" si="162"/>
        <v/>
      </c>
      <c r="AG168" s="141" t="str">
        <f t="shared" si="162"/>
        <v/>
      </c>
      <c r="AH168" s="154" t="s">
        <v>12</v>
      </c>
      <c r="AI168" s="133"/>
      <c r="AJ168" s="170"/>
      <c r="AK168" s="133"/>
      <c r="AL168" s="133"/>
    </row>
    <row r="169" spans="1:38" ht="15.95" hidden="1" customHeight="1" x14ac:dyDescent="0.25">
      <c r="A169" s="166" t="s">
        <v>129</v>
      </c>
      <c r="B169" s="167" t="s">
        <v>30</v>
      </c>
      <c r="C169" s="141" t="str">
        <f>IF(C20=$R32,$V32*24,IF(C20=$R33,$V33*24,IF(C20=$R34,$V34*24,IF(C20=$R35,$V35*24,IF(C20=$R36,$V36*24,IF(C20=$R37,$V37*24,IF(C20=$R38,$V38*24,IF(C20=$R39,$V39*24,IF(C20=$R40,$V40*24,"")))))))))</f>
        <v/>
      </c>
      <c r="D169" s="141" t="str">
        <f t="shared" ref="D169:AG169" si="163">IF(D20=$R32,$V32*24,IF(D20=$R33,$V33*24,IF(D20=$R34,$V34*24,IF(D20=$R35,$V35*24,IF(D20=$R36,$V36*24,IF(D20=$R37,$V37*24,IF(D20=$R38,$V38*24,IF(D20=$R39,$V39*24,IF(D20=$R40,$V40*24,"")))))))))</f>
        <v/>
      </c>
      <c r="E169" s="141" t="str">
        <f t="shared" si="163"/>
        <v/>
      </c>
      <c r="F169" s="141" t="str">
        <f t="shared" si="163"/>
        <v/>
      </c>
      <c r="G169" s="141" t="str">
        <f t="shared" si="163"/>
        <v/>
      </c>
      <c r="H169" s="141" t="str">
        <f t="shared" si="163"/>
        <v/>
      </c>
      <c r="I169" s="141" t="str">
        <f t="shared" si="163"/>
        <v/>
      </c>
      <c r="J169" s="141" t="str">
        <f t="shared" si="163"/>
        <v/>
      </c>
      <c r="K169" s="141" t="str">
        <f t="shared" si="163"/>
        <v/>
      </c>
      <c r="L169" s="141" t="str">
        <f t="shared" si="163"/>
        <v/>
      </c>
      <c r="M169" s="141" t="str">
        <f t="shared" si="163"/>
        <v/>
      </c>
      <c r="N169" s="141" t="str">
        <f t="shared" si="163"/>
        <v/>
      </c>
      <c r="O169" s="141" t="str">
        <f t="shared" si="163"/>
        <v/>
      </c>
      <c r="P169" s="141" t="str">
        <f t="shared" si="163"/>
        <v/>
      </c>
      <c r="Q169" s="141" t="str">
        <f t="shared" si="163"/>
        <v/>
      </c>
      <c r="R169" s="141" t="str">
        <f t="shared" si="163"/>
        <v/>
      </c>
      <c r="S169" s="141" t="str">
        <f t="shared" si="163"/>
        <v/>
      </c>
      <c r="T169" s="141" t="str">
        <f t="shared" si="163"/>
        <v/>
      </c>
      <c r="U169" s="141" t="str">
        <f t="shared" si="163"/>
        <v/>
      </c>
      <c r="V169" s="141" t="str">
        <f t="shared" si="163"/>
        <v/>
      </c>
      <c r="W169" s="141" t="str">
        <f t="shared" si="163"/>
        <v/>
      </c>
      <c r="X169" s="141" t="str">
        <f t="shared" si="163"/>
        <v/>
      </c>
      <c r="Y169" s="141" t="str">
        <f t="shared" si="163"/>
        <v/>
      </c>
      <c r="Z169" s="141" t="str">
        <f t="shared" si="163"/>
        <v/>
      </c>
      <c r="AA169" s="141" t="str">
        <f t="shared" si="163"/>
        <v/>
      </c>
      <c r="AB169" s="141" t="str">
        <f t="shared" si="163"/>
        <v/>
      </c>
      <c r="AC169" s="141" t="str">
        <f t="shared" si="163"/>
        <v/>
      </c>
      <c r="AD169" s="141" t="str">
        <f t="shared" si="163"/>
        <v/>
      </c>
      <c r="AE169" s="141" t="str">
        <f t="shared" si="163"/>
        <v/>
      </c>
      <c r="AF169" s="141" t="str">
        <f t="shared" si="163"/>
        <v/>
      </c>
      <c r="AG169" s="141" t="str">
        <f t="shared" si="163"/>
        <v/>
      </c>
      <c r="AH169" s="154" t="s">
        <v>12</v>
      </c>
      <c r="AI169" s="133"/>
      <c r="AJ169" s="170"/>
      <c r="AK169" s="133"/>
      <c r="AL169" s="133"/>
    </row>
    <row r="170" spans="1:38" ht="15.95" hidden="1" customHeight="1" x14ac:dyDescent="0.25">
      <c r="A170" s="153"/>
      <c r="B170" s="183" t="s">
        <v>34</v>
      </c>
      <c r="C170" s="169" t="str">
        <f t="shared" ref="C170:AD170" si="164">IF(C20=$R32,$BD32*24,IF(C20=$R33,$BD33*24,IF(C20=$R34,$BD34*24,IF(C20=$R35,$BD35*24,IF(C20=$R36,$BD36*24,IF(C20=$R37,$BD37*24,IF(C20=$R38,$BD38*24,IF(C20=$R39,$BD39*24,IF(C20=$R40,$BD40*24,"")))))))))</f>
        <v/>
      </c>
      <c r="D170" s="169" t="str">
        <f t="shared" si="164"/>
        <v/>
      </c>
      <c r="E170" s="169" t="str">
        <f t="shared" si="164"/>
        <v/>
      </c>
      <c r="F170" s="169" t="str">
        <f t="shared" si="164"/>
        <v/>
      </c>
      <c r="G170" s="169" t="str">
        <f t="shared" si="164"/>
        <v/>
      </c>
      <c r="H170" s="169" t="str">
        <f t="shared" si="164"/>
        <v/>
      </c>
      <c r="I170" s="169" t="str">
        <f t="shared" si="164"/>
        <v/>
      </c>
      <c r="J170" s="169" t="str">
        <f t="shared" si="164"/>
        <v/>
      </c>
      <c r="K170" s="169" t="str">
        <f t="shared" si="164"/>
        <v/>
      </c>
      <c r="L170" s="169" t="str">
        <f t="shared" si="164"/>
        <v/>
      </c>
      <c r="M170" s="169" t="str">
        <f t="shared" si="164"/>
        <v/>
      </c>
      <c r="N170" s="169" t="str">
        <f t="shared" si="164"/>
        <v/>
      </c>
      <c r="O170" s="169" t="str">
        <f t="shared" si="164"/>
        <v/>
      </c>
      <c r="P170" s="169" t="str">
        <f t="shared" si="164"/>
        <v/>
      </c>
      <c r="Q170" s="169" t="str">
        <f t="shared" si="164"/>
        <v/>
      </c>
      <c r="R170" s="169" t="str">
        <f t="shared" si="164"/>
        <v/>
      </c>
      <c r="S170" s="169" t="str">
        <f t="shared" si="164"/>
        <v/>
      </c>
      <c r="T170" s="169" t="str">
        <f t="shared" si="164"/>
        <v/>
      </c>
      <c r="U170" s="169" t="str">
        <f t="shared" si="164"/>
        <v/>
      </c>
      <c r="V170" s="169" t="str">
        <f t="shared" si="164"/>
        <v/>
      </c>
      <c r="W170" s="169" t="str">
        <f t="shared" si="164"/>
        <v/>
      </c>
      <c r="X170" s="169" t="str">
        <f t="shared" si="164"/>
        <v/>
      </c>
      <c r="Y170" s="169" t="str">
        <f t="shared" si="164"/>
        <v/>
      </c>
      <c r="Z170" s="169" t="str">
        <f t="shared" si="164"/>
        <v/>
      </c>
      <c r="AA170" s="169" t="str">
        <f t="shared" si="164"/>
        <v/>
      </c>
      <c r="AB170" s="169" t="str">
        <f t="shared" si="164"/>
        <v/>
      </c>
      <c r="AC170" s="169" t="str">
        <f t="shared" si="164"/>
        <v/>
      </c>
      <c r="AD170" s="169" t="str">
        <f t="shared" si="164"/>
        <v/>
      </c>
      <c r="AE170" s="169" t="str">
        <f>IF(AE20=$R32,$BD32*24,IF(AE20=$R33,$BD33*24,IF(AE20=$R34,$BD34*24,IF(AE20=$R35,$BD35*24,IF(AE20=$R36,$BD36*24,IF(AE20=$R37,$BD37*24,IF(AE20=$R38,$BD38*24,IF(AE20=$R39,$BD39*24,IF(AE20=$R40,$BD40*24,"")))))))))</f>
        <v/>
      </c>
      <c r="AF170" s="169" t="str">
        <f>IF(AF20=$R32,$BD32*24,IF(AF20=$R33,$BD33*24,IF(AF20=$R34,$BD34*24,IF(AF20=$R35,$BD35*24,IF(AF20=$R36,$BD36*24,IF(AF20=$R37,$BD37*24,IF(AF20=$R38,$BD38*24,IF(AF20=$R39,$BD39*24,IF(AF20=$R40,$BD40*24,"")))))))))</f>
        <v/>
      </c>
      <c r="AG170" s="169" t="str">
        <f>IF(AG20=$R32,$BD32*24,IF(AG20=$R33,$BD33*24,IF(AG20=$R34,$BD34*24,IF(AG20=$R35,$BD35*24,IF(AG20=$R36,$BD36*24,IF(AG20=$R37,$BD37*24,IF(AG20=$R38,$BD38*24,IF(AG20=$R39,$BD39*24,IF(AG20=$R40,$BD40*24,"")))))))))</f>
        <v/>
      </c>
      <c r="AH170" s="148">
        <f>SUM(C170:AG170)</f>
        <v>0</v>
      </c>
      <c r="AI170" s="133"/>
      <c r="AJ170" s="170"/>
      <c r="AK170" s="133"/>
      <c r="AL170" s="133"/>
    </row>
    <row r="171" spans="1:38" ht="15.95" hidden="1" customHeight="1" x14ac:dyDescent="0.25">
      <c r="A171" s="153"/>
      <c r="B171" s="167" t="s">
        <v>59</v>
      </c>
      <c r="C171" s="141">
        <f>IF(C20="V",$C36,IF(C20="PR",$C38,0))</f>
        <v>0</v>
      </c>
      <c r="D171" s="141">
        <f t="shared" ref="D171:AG171" si="165">IF(D20="V",$C36,IF(D20="PR",$C38,0))</f>
        <v>0</v>
      </c>
      <c r="E171" s="141">
        <f t="shared" si="165"/>
        <v>0</v>
      </c>
      <c r="F171" s="141">
        <f t="shared" si="165"/>
        <v>0</v>
      </c>
      <c r="G171" s="141">
        <f t="shared" si="165"/>
        <v>0</v>
      </c>
      <c r="H171" s="141">
        <f t="shared" si="165"/>
        <v>0</v>
      </c>
      <c r="I171" s="141">
        <f t="shared" si="165"/>
        <v>0</v>
      </c>
      <c r="J171" s="141">
        <f t="shared" si="165"/>
        <v>0</v>
      </c>
      <c r="K171" s="141">
        <f t="shared" si="165"/>
        <v>0</v>
      </c>
      <c r="L171" s="141">
        <f t="shared" si="165"/>
        <v>0</v>
      </c>
      <c r="M171" s="141">
        <f t="shared" si="165"/>
        <v>0</v>
      </c>
      <c r="N171" s="141">
        <f t="shared" si="165"/>
        <v>0</v>
      </c>
      <c r="O171" s="141">
        <f t="shared" si="165"/>
        <v>0</v>
      </c>
      <c r="P171" s="141">
        <f t="shared" si="165"/>
        <v>0</v>
      </c>
      <c r="Q171" s="141">
        <f t="shared" si="165"/>
        <v>0</v>
      </c>
      <c r="R171" s="141">
        <f t="shared" si="165"/>
        <v>0</v>
      </c>
      <c r="S171" s="141">
        <f t="shared" si="165"/>
        <v>0</v>
      </c>
      <c r="T171" s="141">
        <f t="shared" si="165"/>
        <v>0</v>
      </c>
      <c r="U171" s="141">
        <f t="shared" si="165"/>
        <v>0</v>
      </c>
      <c r="V171" s="141">
        <f t="shared" si="165"/>
        <v>0</v>
      </c>
      <c r="W171" s="141">
        <f t="shared" si="165"/>
        <v>0</v>
      </c>
      <c r="X171" s="141">
        <f t="shared" si="165"/>
        <v>0</v>
      </c>
      <c r="Y171" s="141">
        <f t="shared" si="165"/>
        <v>0</v>
      </c>
      <c r="Z171" s="141">
        <f t="shared" si="165"/>
        <v>0</v>
      </c>
      <c r="AA171" s="141">
        <f t="shared" si="165"/>
        <v>0</v>
      </c>
      <c r="AB171" s="141">
        <f t="shared" si="165"/>
        <v>0</v>
      </c>
      <c r="AC171" s="141">
        <f t="shared" si="165"/>
        <v>0</v>
      </c>
      <c r="AD171" s="141">
        <f t="shared" si="165"/>
        <v>0</v>
      </c>
      <c r="AE171" s="141">
        <f t="shared" si="165"/>
        <v>0</v>
      </c>
      <c r="AF171" s="141">
        <f t="shared" si="165"/>
        <v>0</v>
      </c>
      <c r="AG171" s="141">
        <f t="shared" si="165"/>
        <v>0</v>
      </c>
      <c r="AH171" s="226">
        <f>SUM(C171:AG171)</f>
        <v>0</v>
      </c>
      <c r="AI171" s="226"/>
      <c r="AJ171" s="230">
        <f>SUM(AH116+AH127+AH138+AH149+AH160+AH171)</f>
        <v>0</v>
      </c>
      <c r="AK171" s="230"/>
      <c r="AL171" s="133" t="s">
        <v>56</v>
      </c>
    </row>
    <row r="172" spans="1:38" ht="15.95" hidden="1" customHeight="1" x14ac:dyDescent="0.25">
      <c r="A172" s="150" t="s">
        <v>60</v>
      </c>
      <c r="B172" s="167" t="s">
        <v>61</v>
      </c>
      <c r="C172" s="151">
        <f t="shared" ref="C172:AD172" si="166">IF(C20=$R32,$BC32,IF(C20=$R33,$BC33,IF(C20=$R34,$BC34,IF(C20=$R35,$BC35,IF(C20=$R36,$BC36,IF(C20=$R37,$BC37,IF(C20=$R38,$BC38,IF(C20=$R39,$BC39,IF(C20=$R40,$BC40,0)))))))))</f>
        <v>0</v>
      </c>
      <c r="D172" s="151">
        <f t="shared" si="166"/>
        <v>0</v>
      </c>
      <c r="E172" s="151">
        <f t="shared" si="166"/>
        <v>0</v>
      </c>
      <c r="F172" s="151">
        <f t="shared" si="166"/>
        <v>0</v>
      </c>
      <c r="G172" s="151">
        <f t="shared" si="166"/>
        <v>0</v>
      </c>
      <c r="H172" s="151">
        <f t="shared" si="166"/>
        <v>0</v>
      </c>
      <c r="I172" s="151">
        <f t="shared" si="166"/>
        <v>0</v>
      </c>
      <c r="J172" s="151">
        <f t="shared" si="166"/>
        <v>0</v>
      </c>
      <c r="K172" s="151">
        <f t="shared" si="166"/>
        <v>0</v>
      </c>
      <c r="L172" s="151">
        <f t="shared" si="166"/>
        <v>0</v>
      </c>
      <c r="M172" s="151">
        <f t="shared" si="166"/>
        <v>0</v>
      </c>
      <c r="N172" s="151">
        <f t="shared" si="166"/>
        <v>0</v>
      </c>
      <c r="O172" s="151">
        <f t="shared" si="166"/>
        <v>0</v>
      </c>
      <c r="P172" s="151">
        <f t="shared" si="166"/>
        <v>0</v>
      </c>
      <c r="Q172" s="151">
        <f t="shared" si="166"/>
        <v>0</v>
      </c>
      <c r="R172" s="151">
        <f t="shared" si="166"/>
        <v>0</v>
      </c>
      <c r="S172" s="151">
        <f t="shared" si="166"/>
        <v>0</v>
      </c>
      <c r="T172" s="151">
        <f t="shared" si="166"/>
        <v>0</v>
      </c>
      <c r="U172" s="151">
        <f t="shared" si="166"/>
        <v>0</v>
      </c>
      <c r="V172" s="151">
        <f t="shared" si="166"/>
        <v>0</v>
      </c>
      <c r="W172" s="151">
        <f t="shared" si="166"/>
        <v>0</v>
      </c>
      <c r="X172" s="151">
        <f t="shared" si="166"/>
        <v>0</v>
      </c>
      <c r="Y172" s="151">
        <f t="shared" si="166"/>
        <v>0</v>
      </c>
      <c r="Z172" s="151">
        <f t="shared" si="166"/>
        <v>0</v>
      </c>
      <c r="AA172" s="151">
        <f t="shared" si="166"/>
        <v>0</v>
      </c>
      <c r="AB172" s="151">
        <f t="shared" si="166"/>
        <v>0</v>
      </c>
      <c r="AC172" s="151">
        <f t="shared" si="166"/>
        <v>0</v>
      </c>
      <c r="AD172" s="151">
        <f t="shared" si="166"/>
        <v>0</v>
      </c>
      <c r="AE172" s="151">
        <f>IF(AE20=$R32,$BC32,IF(AE20=$R33,$BC33,IF(AE20=$R34,$BC34,IF(AE20=$R35,$BC35,IF(AE20=$R36,$BC36,IF(AE20=$R37,$BC37,IF(AE20=$R38,$BC38,IF(AE20=$R39,$BC39,IF(AE20=$R40,$BC40,0)))))))))</f>
        <v>0</v>
      </c>
      <c r="AF172" s="151">
        <f>IF(AF20=$R32,$BC32,IF(AF20=$R33,$BC33,IF(AF20=$R34,$BC34,IF(AF20=$R35,$BC35,IF(AF20=$R36,$BC36,IF(AF20=$R37,$BC37,IF(AF20=$R38,$BC38,IF(AF20=$R39,$BC39,IF(AF20=$R40,$BC40,0)))))))))</f>
        <v>0</v>
      </c>
      <c r="AG172" s="151">
        <f>IF(AG20=$R32,$BC32,IF(AG20=$R33,$BC33,IF(AG20=$R34,$BC34,IF(AG20=$R35,$BC35,IF(AG20=$R36,$BC36,IF(AG20=$R37,$BC37,IF(AG20=$R38,$BC38,IF(AG20=$R39,$BC39,IF(AG20=$R40,$BC40,0)))))))))</f>
        <v>0</v>
      </c>
      <c r="AH172" s="226">
        <f>SUM(C172:AG172)</f>
        <v>0</v>
      </c>
      <c r="AI172" s="226"/>
      <c r="AJ172" s="174" t="s">
        <v>62</v>
      </c>
      <c r="AK172" s="133" t="s">
        <v>12</v>
      </c>
      <c r="AL172" s="133"/>
    </row>
    <row r="173" spans="1:38" ht="15.95" hidden="1" customHeight="1" x14ac:dyDescent="0.25">
      <c r="A173" s="153" t="s">
        <v>48</v>
      </c>
      <c r="B173" s="149" t="s">
        <v>63</v>
      </c>
      <c r="C173" s="141">
        <f>IF(C46=1,IF(C168&lt;C169,C172,0))</f>
        <v>0</v>
      </c>
      <c r="D173" s="141" t="b">
        <f t="shared" ref="D173:AG173" si="167">IF(D46=1,IF(D168&lt;D169,D172,0))</f>
        <v>0</v>
      </c>
      <c r="E173" s="141" t="b">
        <f t="shared" si="167"/>
        <v>0</v>
      </c>
      <c r="F173" s="141" t="b">
        <f t="shared" si="167"/>
        <v>0</v>
      </c>
      <c r="G173" s="141" t="b">
        <f t="shared" si="167"/>
        <v>0</v>
      </c>
      <c r="H173" s="141" t="b">
        <f t="shared" si="167"/>
        <v>0</v>
      </c>
      <c r="I173" s="141">
        <f t="shared" si="167"/>
        <v>0</v>
      </c>
      <c r="J173" s="141">
        <f t="shared" si="167"/>
        <v>0</v>
      </c>
      <c r="K173" s="141" t="b">
        <f t="shared" si="167"/>
        <v>0</v>
      </c>
      <c r="L173" s="141" t="b">
        <f t="shared" si="167"/>
        <v>0</v>
      </c>
      <c r="M173" s="141" t="b">
        <f t="shared" si="167"/>
        <v>0</v>
      </c>
      <c r="N173" s="141" t="b">
        <f t="shared" si="167"/>
        <v>0</v>
      </c>
      <c r="O173" s="141" t="b">
        <f t="shared" si="167"/>
        <v>0</v>
      </c>
      <c r="P173" s="141">
        <f t="shared" si="167"/>
        <v>0</v>
      </c>
      <c r="Q173" s="141">
        <f t="shared" si="167"/>
        <v>0</v>
      </c>
      <c r="R173" s="141" t="b">
        <f t="shared" si="167"/>
        <v>0</v>
      </c>
      <c r="S173" s="141" t="b">
        <f t="shared" si="167"/>
        <v>0</v>
      </c>
      <c r="T173" s="141" t="b">
        <f t="shared" si="167"/>
        <v>0</v>
      </c>
      <c r="U173" s="141" t="b">
        <f t="shared" si="167"/>
        <v>0</v>
      </c>
      <c r="V173" s="141" t="b">
        <f t="shared" si="167"/>
        <v>0</v>
      </c>
      <c r="W173" s="141">
        <f t="shared" si="167"/>
        <v>0</v>
      </c>
      <c r="X173" s="141">
        <f t="shared" si="167"/>
        <v>0</v>
      </c>
      <c r="Y173" s="141" t="b">
        <f t="shared" si="167"/>
        <v>0</v>
      </c>
      <c r="Z173" s="141" t="b">
        <f t="shared" si="167"/>
        <v>0</v>
      </c>
      <c r="AA173" s="141" t="b">
        <f t="shared" si="167"/>
        <v>0</v>
      </c>
      <c r="AB173" s="141" t="b">
        <f t="shared" si="167"/>
        <v>0</v>
      </c>
      <c r="AC173" s="141" t="b">
        <f t="shared" si="167"/>
        <v>0</v>
      </c>
      <c r="AD173" s="141">
        <f t="shared" si="167"/>
        <v>0</v>
      </c>
      <c r="AE173" s="141">
        <f t="shared" si="167"/>
        <v>0</v>
      </c>
      <c r="AF173" s="141" t="b">
        <f t="shared" si="167"/>
        <v>0</v>
      </c>
      <c r="AG173" s="141" t="b">
        <f t="shared" si="167"/>
        <v>0</v>
      </c>
      <c r="AH173" s="154" t="s">
        <v>12</v>
      </c>
      <c r="AI173" s="133"/>
      <c r="AJ173" s="170"/>
      <c r="AK173" s="133"/>
      <c r="AL173" s="133"/>
    </row>
    <row r="174" spans="1:38" ht="15.95" hidden="1" customHeight="1" x14ac:dyDescent="0.25">
      <c r="A174" s="176"/>
      <c r="B174" s="149" t="s">
        <v>64</v>
      </c>
      <c r="C174" s="141">
        <f>IF(C46=1,IF(C168&gt;C169,24-C168,0),0)</f>
        <v>0</v>
      </c>
      <c r="D174" s="141">
        <f t="shared" ref="D174:AG174" si="168">IF(D46=1,IF(D168&gt;D169,24-D168,0),0)</f>
        <v>0</v>
      </c>
      <c r="E174" s="141">
        <f t="shared" si="168"/>
        <v>0</v>
      </c>
      <c r="F174" s="141">
        <f t="shared" si="168"/>
        <v>0</v>
      </c>
      <c r="G174" s="141">
        <f t="shared" si="168"/>
        <v>0</v>
      </c>
      <c r="H174" s="141">
        <f t="shared" si="168"/>
        <v>0</v>
      </c>
      <c r="I174" s="141">
        <f t="shared" si="168"/>
        <v>0</v>
      </c>
      <c r="J174" s="141">
        <f t="shared" si="168"/>
        <v>0</v>
      </c>
      <c r="K174" s="141">
        <f t="shared" si="168"/>
        <v>0</v>
      </c>
      <c r="L174" s="141">
        <f t="shared" si="168"/>
        <v>0</v>
      </c>
      <c r="M174" s="141">
        <f t="shared" si="168"/>
        <v>0</v>
      </c>
      <c r="N174" s="141">
        <f t="shared" si="168"/>
        <v>0</v>
      </c>
      <c r="O174" s="141">
        <f t="shared" si="168"/>
        <v>0</v>
      </c>
      <c r="P174" s="141">
        <f t="shared" si="168"/>
        <v>0</v>
      </c>
      <c r="Q174" s="141">
        <f t="shared" si="168"/>
        <v>0</v>
      </c>
      <c r="R174" s="141">
        <f t="shared" si="168"/>
        <v>0</v>
      </c>
      <c r="S174" s="141">
        <f t="shared" si="168"/>
        <v>0</v>
      </c>
      <c r="T174" s="141">
        <f t="shared" si="168"/>
        <v>0</v>
      </c>
      <c r="U174" s="141">
        <f t="shared" si="168"/>
        <v>0</v>
      </c>
      <c r="V174" s="141">
        <f t="shared" si="168"/>
        <v>0</v>
      </c>
      <c r="W174" s="141">
        <f t="shared" si="168"/>
        <v>0</v>
      </c>
      <c r="X174" s="141">
        <f t="shared" si="168"/>
        <v>0</v>
      </c>
      <c r="Y174" s="141">
        <f t="shared" si="168"/>
        <v>0</v>
      </c>
      <c r="Z174" s="141">
        <f t="shared" si="168"/>
        <v>0</v>
      </c>
      <c r="AA174" s="141">
        <f t="shared" si="168"/>
        <v>0</v>
      </c>
      <c r="AB174" s="141">
        <f t="shared" si="168"/>
        <v>0</v>
      </c>
      <c r="AC174" s="141">
        <f t="shared" si="168"/>
        <v>0</v>
      </c>
      <c r="AD174" s="141">
        <f t="shared" si="168"/>
        <v>0</v>
      </c>
      <c r="AE174" s="141">
        <f t="shared" si="168"/>
        <v>0</v>
      </c>
      <c r="AF174" s="141">
        <f t="shared" si="168"/>
        <v>0</v>
      </c>
      <c r="AG174" s="141">
        <f t="shared" si="168"/>
        <v>0</v>
      </c>
      <c r="AH174" s="154" t="s">
        <v>12</v>
      </c>
      <c r="AI174" s="133"/>
      <c r="AJ174" s="170"/>
      <c r="AK174" s="133"/>
      <c r="AL174" s="133"/>
    </row>
    <row r="175" spans="1:38" ht="15.95" hidden="1" customHeight="1" x14ac:dyDescent="0.25">
      <c r="A175" s="176"/>
      <c r="B175" s="149" t="s">
        <v>65</v>
      </c>
      <c r="C175" s="141">
        <f>IF(C46=1,IF(C168&gt;C169,C169,0),0)</f>
        <v>0</v>
      </c>
      <c r="D175" s="141">
        <f t="shared" ref="D175:AG175" si="169">IF(D46=1,IF(D168&gt;D169,D169,0),0)</f>
        <v>0</v>
      </c>
      <c r="E175" s="141">
        <f t="shared" si="169"/>
        <v>0</v>
      </c>
      <c r="F175" s="141">
        <f t="shared" si="169"/>
        <v>0</v>
      </c>
      <c r="G175" s="141">
        <f t="shared" si="169"/>
        <v>0</v>
      </c>
      <c r="H175" s="141">
        <f t="shared" si="169"/>
        <v>0</v>
      </c>
      <c r="I175" s="141">
        <f t="shared" si="169"/>
        <v>0</v>
      </c>
      <c r="J175" s="141">
        <f t="shared" si="169"/>
        <v>0</v>
      </c>
      <c r="K175" s="141">
        <f t="shared" si="169"/>
        <v>0</v>
      </c>
      <c r="L175" s="141">
        <f t="shared" si="169"/>
        <v>0</v>
      </c>
      <c r="M175" s="141">
        <f t="shared" si="169"/>
        <v>0</v>
      </c>
      <c r="N175" s="141">
        <f t="shared" si="169"/>
        <v>0</v>
      </c>
      <c r="O175" s="141">
        <f t="shared" si="169"/>
        <v>0</v>
      </c>
      <c r="P175" s="141">
        <f t="shared" si="169"/>
        <v>0</v>
      </c>
      <c r="Q175" s="141">
        <f t="shared" si="169"/>
        <v>0</v>
      </c>
      <c r="R175" s="141">
        <f t="shared" si="169"/>
        <v>0</v>
      </c>
      <c r="S175" s="141">
        <f t="shared" si="169"/>
        <v>0</v>
      </c>
      <c r="T175" s="141">
        <f t="shared" si="169"/>
        <v>0</v>
      </c>
      <c r="U175" s="141">
        <f t="shared" si="169"/>
        <v>0</v>
      </c>
      <c r="V175" s="141">
        <f t="shared" si="169"/>
        <v>0</v>
      </c>
      <c r="W175" s="141">
        <f t="shared" si="169"/>
        <v>0</v>
      </c>
      <c r="X175" s="141">
        <f t="shared" si="169"/>
        <v>0</v>
      </c>
      <c r="Y175" s="141">
        <f t="shared" si="169"/>
        <v>0</v>
      </c>
      <c r="Z175" s="141">
        <f t="shared" si="169"/>
        <v>0</v>
      </c>
      <c r="AA175" s="141">
        <f t="shared" si="169"/>
        <v>0</v>
      </c>
      <c r="AB175" s="141">
        <f t="shared" si="169"/>
        <v>0</v>
      </c>
      <c r="AC175" s="141">
        <f t="shared" si="169"/>
        <v>0</v>
      </c>
      <c r="AD175" s="141">
        <f t="shared" si="169"/>
        <v>0</v>
      </c>
      <c r="AE175" s="141">
        <f t="shared" si="169"/>
        <v>0</v>
      </c>
      <c r="AF175" s="141">
        <f t="shared" si="169"/>
        <v>0</v>
      </c>
      <c r="AG175" s="141">
        <f t="shared" si="169"/>
        <v>0</v>
      </c>
      <c r="AH175" s="154" t="s">
        <v>12</v>
      </c>
      <c r="AI175" s="133"/>
      <c r="AJ175" s="170"/>
      <c r="AK175" s="133"/>
      <c r="AL175" s="133"/>
    </row>
    <row r="176" spans="1:38" ht="15.95" hidden="1" customHeight="1" x14ac:dyDescent="0.25">
      <c r="A176" s="176"/>
      <c r="B176" s="149" t="s">
        <v>67</v>
      </c>
      <c r="C176" s="171">
        <f>SUM(C173:C175)</f>
        <v>0</v>
      </c>
      <c r="D176" s="171">
        <f t="shared" ref="D176:AG176" si="170">SUM(D173:D175)</f>
        <v>0</v>
      </c>
      <c r="E176" s="171">
        <f t="shared" si="170"/>
        <v>0</v>
      </c>
      <c r="F176" s="171">
        <f t="shared" si="170"/>
        <v>0</v>
      </c>
      <c r="G176" s="171">
        <f t="shared" si="170"/>
        <v>0</v>
      </c>
      <c r="H176" s="171">
        <f t="shared" si="170"/>
        <v>0</v>
      </c>
      <c r="I176" s="171">
        <f t="shared" si="170"/>
        <v>0</v>
      </c>
      <c r="J176" s="171">
        <f t="shared" si="170"/>
        <v>0</v>
      </c>
      <c r="K176" s="171">
        <f t="shared" si="170"/>
        <v>0</v>
      </c>
      <c r="L176" s="171">
        <f t="shared" si="170"/>
        <v>0</v>
      </c>
      <c r="M176" s="171">
        <f t="shared" si="170"/>
        <v>0</v>
      </c>
      <c r="N176" s="171">
        <f t="shared" si="170"/>
        <v>0</v>
      </c>
      <c r="O176" s="171">
        <f t="shared" si="170"/>
        <v>0</v>
      </c>
      <c r="P176" s="171">
        <f t="shared" si="170"/>
        <v>0</v>
      </c>
      <c r="Q176" s="171">
        <f t="shared" si="170"/>
        <v>0</v>
      </c>
      <c r="R176" s="171">
        <f t="shared" si="170"/>
        <v>0</v>
      </c>
      <c r="S176" s="171">
        <f t="shared" si="170"/>
        <v>0</v>
      </c>
      <c r="T176" s="171">
        <f t="shared" si="170"/>
        <v>0</v>
      </c>
      <c r="U176" s="171">
        <f t="shared" si="170"/>
        <v>0</v>
      </c>
      <c r="V176" s="171">
        <f t="shared" si="170"/>
        <v>0</v>
      </c>
      <c r="W176" s="171">
        <f t="shared" si="170"/>
        <v>0</v>
      </c>
      <c r="X176" s="171">
        <f t="shared" si="170"/>
        <v>0</v>
      </c>
      <c r="Y176" s="171">
        <f t="shared" si="170"/>
        <v>0</v>
      </c>
      <c r="Z176" s="171">
        <f t="shared" si="170"/>
        <v>0</v>
      </c>
      <c r="AA176" s="171">
        <f t="shared" si="170"/>
        <v>0</v>
      </c>
      <c r="AB176" s="171">
        <f t="shared" si="170"/>
        <v>0</v>
      </c>
      <c r="AC176" s="171">
        <f t="shared" si="170"/>
        <v>0</v>
      </c>
      <c r="AD176" s="171">
        <f t="shared" si="170"/>
        <v>0</v>
      </c>
      <c r="AE176" s="171">
        <f t="shared" si="170"/>
        <v>0</v>
      </c>
      <c r="AF176" s="171">
        <f t="shared" si="170"/>
        <v>0</v>
      </c>
      <c r="AG176" s="171">
        <f t="shared" si="170"/>
        <v>0</v>
      </c>
      <c r="AH176" s="154" t="s">
        <v>12</v>
      </c>
      <c r="AI176" s="133"/>
      <c r="AJ176" s="170"/>
      <c r="AK176" s="133"/>
      <c r="AL176" s="133"/>
    </row>
    <row r="177" spans="1:38" ht="15.95" hidden="1" customHeight="1" x14ac:dyDescent="0.25">
      <c r="A177" s="177"/>
      <c r="B177" s="160" t="s">
        <v>68</v>
      </c>
      <c r="C177" s="161">
        <f>IF(C20="V",IF(C20="",0,1),0)</f>
        <v>0</v>
      </c>
      <c r="D177" s="161">
        <f t="shared" ref="D177:AG177" si="171">IF(D20="V",IF(D20="",0,1),0)</f>
        <v>0</v>
      </c>
      <c r="E177" s="161">
        <f t="shared" si="171"/>
        <v>0</v>
      </c>
      <c r="F177" s="161">
        <f t="shared" si="171"/>
        <v>0</v>
      </c>
      <c r="G177" s="161">
        <f t="shared" si="171"/>
        <v>0</v>
      </c>
      <c r="H177" s="161">
        <f t="shared" si="171"/>
        <v>0</v>
      </c>
      <c r="I177" s="161">
        <f t="shared" si="171"/>
        <v>0</v>
      </c>
      <c r="J177" s="161">
        <f t="shared" si="171"/>
        <v>0</v>
      </c>
      <c r="K177" s="161">
        <f t="shared" si="171"/>
        <v>0</v>
      </c>
      <c r="L177" s="161">
        <f t="shared" si="171"/>
        <v>0</v>
      </c>
      <c r="M177" s="161">
        <f t="shared" si="171"/>
        <v>0</v>
      </c>
      <c r="N177" s="161">
        <f t="shared" si="171"/>
        <v>0</v>
      </c>
      <c r="O177" s="161">
        <f t="shared" si="171"/>
        <v>0</v>
      </c>
      <c r="P177" s="161">
        <f t="shared" si="171"/>
        <v>0</v>
      </c>
      <c r="Q177" s="161">
        <f t="shared" si="171"/>
        <v>0</v>
      </c>
      <c r="R177" s="161">
        <f t="shared" si="171"/>
        <v>0</v>
      </c>
      <c r="S177" s="161">
        <f t="shared" si="171"/>
        <v>0</v>
      </c>
      <c r="T177" s="161">
        <f t="shared" si="171"/>
        <v>0</v>
      </c>
      <c r="U177" s="161">
        <f t="shared" si="171"/>
        <v>0</v>
      </c>
      <c r="V177" s="161">
        <f t="shared" si="171"/>
        <v>0</v>
      </c>
      <c r="W177" s="161">
        <f t="shared" si="171"/>
        <v>0</v>
      </c>
      <c r="X177" s="161">
        <f t="shared" si="171"/>
        <v>0</v>
      </c>
      <c r="Y177" s="161">
        <f t="shared" si="171"/>
        <v>0</v>
      </c>
      <c r="Z177" s="161">
        <f t="shared" si="171"/>
        <v>0</v>
      </c>
      <c r="AA177" s="161">
        <f t="shared" si="171"/>
        <v>0</v>
      </c>
      <c r="AB177" s="161">
        <f t="shared" si="171"/>
        <v>0</v>
      </c>
      <c r="AC177" s="161">
        <f t="shared" si="171"/>
        <v>0</v>
      </c>
      <c r="AD177" s="161">
        <f t="shared" si="171"/>
        <v>0</v>
      </c>
      <c r="AE177" s="161">
        <f t="shared" si="171"/>
        <v>0</v>
      </c>
      <c r="AF177" s="161">
        <f t="shared" si="171"/>
        <v>0</v>
      </c>
      <c r="AG177" s="161">
        <f t="shared" si="171"/>
        <v>0</v>
      </c>
      <c r="AH177" s="154" t="s">
        <v>12</v>
      </c>
      <c r="AI177" s="133"/>
      <c r="AJ177" s="170"/>
      <c r="AK177" s="133"/>
      <c r="AL177" s="133"/>
    </row>
    <row r="178" spans="1:38" ht="15.95" hidden="1" customHeight="1" x14ac:dyDescent="0.25">
      <c r="A178" s="180"/>
      <c r="B178" s="181" t="s">
        <v>16</v>
      </c>
      <c r="C178" s="182">
        <f>IF(C20="PR",IF(C20="",0,1),0)</f>
        <v>0</v>
      </c>
      <c r="D178" s="182">
        <f t="shared" ref="D178:AG178" si="172">IF(D20="PR",IF(D20="",0,1),0)</f>
        <v>0</v>
      </c>
      <c r="E178" s="182">
        <f t="shared" si="172"/>
        <v>0</v>
      </c>
      <c r="F178" s="182">
        <f t="shared" si="172"/>
        <v>0</v>
      </c>
      <c r="G178" s="182">
        <f t="shared" si="172"/>
        <v>0</v>
      </c>
      <c r="H178" s="182">
        <f t="shared" si="172"/>
        <v>0</v>
      </c>
      <c r="I178" s="182">
        <f t="shared" si="172"/>
        <v>0</v>
      </c>
      <c r="J178" s="182">
        <f t="shared" si="172"/>
        <v>0</v>
      </c>
      <c r="K178" s="182">
        <f t="shared" si="172"/>
        <v>0</v>
      </c>
      <c r="L178" s="182">
        <f t="shared" si="172"/>
        <v>0</v>
      </c>
      <c r="M178" s="182">
        <f t="shared" si="172"/>
        <v>0</v>
      </c>
      <c r="N178" s="182">
        <f t="shared" si="172"/>
        <v>0</v>
      </c>
      <c r="O178" s="182">
        <f t="shared" si="172"/>
        <v>0</v>
      </c>
      <c r="P178" s="182">
        <f t="shared" si="172"/>
        <v>0</v>
      </c>
      <c r="Q178" s="182">
        <f t="shared" si="172"/>
        <v>0</v>
      </c>
      <c r="R178" s="182">
        <f t="shared" si="172"/>
        <v>0</v>
      </c>
      <c r="S178" s="182">
        <f t="shared" si="172"/>
        <v>0</v>
      </c>
      <c r="T178" s="182">
        <f t="shared" si="172"/>
        <v>0</v>
      </c>
      <c r="U178" s="182">
        <f t="shared" si="172"/>
        <v>0</v>
      </c>
      <c r="V178" s="182">
        <f t="shared" si="172"/>
        <v>0</v>
      </c>
      <c r="W178" s="182">
        <f t="shared" si="172"/>
        <v>0</v>
      </c>
      <c r="X178" s="182">
        <f t="shared" si="172"/>
        <v>0</v>
      </c>
      <c r="Y178" s="182">
        <f t="shared" si="172"/>
        <v>0</v>
      </c>
      <c r="Z178" s="182">
        <f t="shared" si="172"/>
        <v>0</v>
      </c>
      <c r="AA178" s="182">
        <f t="shared" si="172"/>
        <v>0</v>
      </c>
      <c r="AB178" s="182">
        <f t="shared" si="172"/>
        <v>0</v>
      </c>
      <c r="AC178" s="182">
        <f t="shared" si="172"/>
        <v>0</v>
      </c>
      <c r="AD178" s="182">
        <f t="shared" si="172"/>
        <v>0</v>
      </c>
      <c r="AE178" s="182">
        <f t="shared" si="172"/>
        <v>0</v>
      </c>
      <c r="AF178" s="182">
        <f t="shared" si="172"/>
        <v>0</v>
      </c>
      <c r="AG178" s="182">
        <f t="shared" si="172"/>
        <v>0</v>
      </c>
      <c r="AH178" s="227">
        <f>SUM(C178:AG178)</f>
        <v>0</v>
      </c>
      <c r="AI178" s="227"/>
      <c r="AJ178" s="174" t="s">
        <v>69</v>
      </c>
      <c r="AK178" s="133"/>
      <c r="AL178" s="133"/>
    </row>
    <row r="179" spans="1:38" ht="15.95" hidden="1" customHeight="1" x14ac:dyDescent="0.25">
      <c r="A179" s="116"/>
      <c r="B179" s="184"/>
      <c r="C179" s="185"/>
      <c r="D179" s="185"/>
      <c r="E179" s="185"/>
      <c r="F179" s="185"/>
      <c r="G179" s="186"/>
      <c r="H179" s="185"/>
      <c r="I179" s="185"/>
      <c r="J179" s="185"/>
      <c r="K179" s="185"/>
      <c r="L179" s="185"/>
      <c r="M179" s="185"/>
      <c r="N179" s="186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185"/>
      <c r="AF179" s="185"/>
      <c r="AG179" s="185"/>
      <c r="AH179" s="133"/>
      <c r="AI179" s="133"/>
      <c r="AJ179" s="133"/>
      <c r="AK179" s="133"/>
      <c r="AL179" s="133"/>
    </row>
    <row r="180" spans="1:38" ht="15.95" hidden="1" customHeight="1" x14ac:dyDescent="0.25">
      <c r="A180" s="116"/>
      <c r="B180" s="184"/>
      <c r="C180" s="185"/>
      <c r="D180" s="185"/>
      <c r="E180" s="185"/>
      <c r="F180" s="185"/>
      <c r="G180" s="186"/>
      <c r="H180" s="185"/>
      <c r="I180" s="185"/>
      <c r="J180" s="185"/>
      <c r="K180" s="185"/>
      <c r="L180" s="185"/>
      <c r="M180" s="185"/>
      <c r="N180" s="186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185"/>
      <c r="AF180" s="185"/>
      <c r="AG180" s="185"/>
      <c r="AH180" s="116"/>
      <c r="AI180" s="116"/>
      <c r="AJ180" s="116"/>
      <c r="AK180" s="116"/>
      <c r="AL180" s="116"/>
    </row>
    <row r="181" spans="1:38" ht="15.95" hidden="1" customHeight="1" x14ac:dyDescent="0.25">
      <c r="A181" s="116"/>
      <c r="B181" s="184"/>
      <c r="C181" s="185"/>
      <c r="D181" s="185"/>
      <c r="E181" s="185"/>
      <c r="F181" s="185"/>
      <c r="G181" s="186"/>
      <c r="H181" s="185"/>
      <c r="I181" s="185"/>
      <c r="J181" s="185"/>
      <c r="K181" s="185"/>
      <c r="L181" s="185"/>
      <c r="M181" s="185"/>
      <c r="N181" s="186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/>
      <c r="AH181" s="116"/>
      <c r="AI181" s="116"/>
      <c r="AJ181" s="116"/>
      <c r="AK181" s="116"/>
      <c r="AL181" s="116"/>
    </row>
    <row r="182" spans="1:38" ht="15.95" hidden="1" customHeight="1" x14ac:dyDescent="0.25">
      <c r="A182" s="116"/>
      <c r="B182" s="126"/>
      <c r="C182" s="116"/>
      <c r="D182" s="116"/>
      <c r="E182" s="116"/>
      <c r="F182" s="116"/>
      <c r="G182" s="114"/>
      <c r="H182" s="116"/>
      <c r="I182" s="116"/>
      <c r="J182" s="116"/>
      <c r="K182" s="116"/>
      <c r="L182" s="116"/>
      <c r="M182" s="116"/>
      <c r="N182" s="114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  <c r="AH182" s="116"/>
      <c r="AI182" s="116"/>
      <c r="AJ182" s="116"/>
      <c r="AK182" s="116"/>
      <c r="AL182" s="116"/>
    </row>
    <row r="183" spans="1:38" ht="15.95" hidden="1" customHeight="1" x14ac:dyDescent="0.25">
      <c r="A183" s="116"/>
      <c r="B183" s="126"/>
      <c r="C183" s="116"/>
      <c r="D183" s="116"/>
      <c r="E183" s="116"/>
      <c r="F183" s="116"/>
      <c r="G183" s="114"/>
      <c r="H183" s="116"/>
      <c r="I183" s="116"/>
      <c r="J183" s="116"/>
      <c r="K183" s="116"/>
      <c r="L183" s="116"/>
      <c r="M183" s="116"/>
      <c r="N183" s="114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  <c r="AI183" s="116"/>
      <c r="AJ183" s="116"/>
      <c r="AK183" s="116"/>
      <c r="AL183" s="116"/>
    </row>
    <row r="184" spans="1:38" ht="15.95" hidden="1" customHeight="1" x14ac:dyDescent="0.25">
      <c r="A184" s="116"/>
      <c r="B184" s="126"/>
      <c r="C184" s="116"/>
      <c r="D184" s="116"/>
      <c r="E184" s="116"/>
      <c r="F184" s="116"/>
      <c r="G184" s="114"/>
      <c r="H184" s="116"/>
      <c r="I184" s="116"/>
      <c r="J184" s="116"/>
      <c r="K184" s="116"/>
      <c r="L184" s="116"/>
      <c r="M184" s="116"/>
      <c r="N184" s="114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  <c r="AI184" s="116"/>
      <c r="AJ184" s="116"/>
      <c r="AK184" s="116"/>
      <c r="AL184" s="116"/>
    </row>
    <row r="185" spans="1:38" ht="15.95" hidden="1" customHeight="1" x14ac:dyDescent="0.25">
      <c r="A185" s="116"/>
      <c r="B185" s="116"/>
      <c r="C185" s="116"/>
      <c r="D185" s="116"/>
      <c r="E185" s="116"/>
      <c r="F185" s="116"/>
      <c r="G185" s="114"/>
      <c r="H185" s="116"/>
      <c r="I185" s="116"/>
      <c r="J185" s="116"/>
      <c r="K185" s="116"/>
      <c r="L185" s="116"/>
      <c r="M185" s="116"/>
      <c r="N185" s="114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  <c r="AI185" s="116"/>
      <c r="AJ185" s="116"/>
      <c r="AK185" s="116"/>
      <c r="AL185" s="116"/>
    </row>
    <row r="186" spans="1:38" ht="15.95" hidden="1" customHeight="1" x14ac:dyDescent="0.25">
      <c r="A186" s="116"/>
      <c r="B186" s="116"/>
      <c r="C186" s="228" t="s">
        <v>89</v>
      </c>
      <c r="D186" s="228"/>
      <c r="E186" s="228"/>
      <c r="F186" s="228"/>
      <c r="G186" s="228"/>
      <c r="H186" s="228"/>
      <c r="I186" s="228"/>
      <c r="J186" s="228"/>
      <c r="K186" s="228"/>
      <c r="L186" s="228"/>
      <c r="M186" s="116"/>
      <c r="N186" s="114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  <c r="AH186" s="116"/>
      <c r="AI186" s="116"/>
      <c r="AJ186" s="116"/>
      <c r="AK186" s="116"/>
      <c r="AL186" s="116"/>
    </row>
    <row r="187" spans="1:38" ht="15.95" hidden="1" customHeight="1" x14ac:dyDescent="0.25">
      <c r="A187" s="180"/>
      <c r="B187" s="181" t="s">
        <v>90</v>
      </c>
      <c r="C187" s="187" t="str">
        <f t="shared" ref="C187:AG187" si="173">IF(C49&gt;=4,IF(C49="",0,8),IF(C49&gt;=0.1,IF(C49="",0,C49),""))</f>
        <v/>
      </c>
      <c r="D187" s="187">
        <f t="shared" si="173"/>
        <v>0</v>
      </c>
      <c r="E187" s="187" t="str">
        <f t="shared" si="173"/>
        <v/>
      </c>
      <c r="F187" s="187" t="str">
        <f t="shared" si="173"/>
        <v/>
      </c>
      <c r="G187" s="187" t="str">
        <f t="shared" si="173"/>
        <v/>
      </c>
      <c r="H187" s="187">
        <f t="shared" si="173"/>
        <v>0</v>
      </c>
      <c r="I187" s="187">
        <f t="shared" si="173"/>
        <v>0</v>
      </c>
      <c r="J187" s="187">
        <f t="shared" si="173"/>
        <v>0</v>
      </c>
      <c r="K187" s="187" t="str">
        <f t="shared" si="173"/>
        <v/>
      </c>
      <c r="L187" s="187" t="str">
        <f t="shared" si="173"/>
        <v/>
      </c>
      <c r="M187" s="187" t="str">
        <f t="shared" si="173"/>
        <v/>
      </c>
      <c r="N187" s="187">
        <f t="shared" si="173"/>
        <v>0</v>
      </c>
      <c r="O187" s="187" t="str">
        <f t="shared" si="173"/>
        <v/>
      </c>
      <c r="P187" s="187" t="str">
        <f t="shared" si="173"/>
        <v/>
      </c>
      <c r="Q187" s="187" t="str">
        <f t="shared" si="173"/>
        <v/>
      </c>
      <c r="R187" s="187">
        <f t="shared" si="173"/>
        <v>0</v>
      </c>
      <c r="S187" s="187">
        <f t="shared" si="173"/>
        <v>0</v>
      </c>
      <c r="T187" s="187" t="str">
        <f t="shared" si="173"/>
        <v/>
      </c>
      <c r="U187" s="187" t="str">
        <f t="shared" si="173"/>
        <v/>
      </c>
      <c r="V187" s="187">
        <f t="shared" si="173"/>
        <v>0</v>
      </c>
      <c r="W187" s="187">
        <f t="shared" si="173"/>
        <v>0</v>
      </c>
      <c r="X187" s="187">
        <f t="shared" si="173"/>
        <v>0</v>
      </c>
      <c r="Y187" s="187" t="str">
        <f t="shared" si="173"/>
        <v/>
      </c>
      <c r="Z187" s="187" t="str">
        <f t="shared" si="173"/>
        <v/>
      </c>
      <c r="AA187" s="187">
        <f t="shared" si="173"/>
        <v>0</v>
      </c>
      <c r="AB187" s="187">
        <f t="shared" si="173"/>
        <v>0</v>
      </c>
      <c r="AC187" s="187" t="str">
        <f t="shared" si="173"/>
        <v/>
      </c>
      <c r="AD187" s="187" t="str">
        <f t="shared" si="173"/>
        <v/>
      </c>
      <c r="AE187" s="187" t="str">
        <f t="shared" si="173"/>
        <v/>
      </c>
      <c r="AF187" s="187">
        <f t="shared" si="173"/>
        <v>0</v>
      </c>
      <c r="AG187" s="187">
        <f t="shared" si="173"/>
        <v>0</v>
      </c>
      <c r="AH187" s="188">
        <f t="shared" ref="AH187" si="174">SUM(C187:AG187)</f>
        <v>0</v>
      </c>
      <c r="AI187" s="116" t="s">
        <v>91</v>
      </c>
      <c r="AJ187" s="116"/>
      <c r="AK187" s="116"/>
      <c r="AL187" s="116"/>
    </row>
    <row r="188" spans="1:38" ht="15.95" hidden="1" customHeight="1" x14ac:dyDescent="0.25">
      <c r="A188" s="116"/>
      <c r="B188" s="181" t="s">
        <v>92</v>
      </c>
      <c r="C188" s="189">
        <v>1</v>
      </c>
      <c r="D188" s="189">
        <v>2</v>
      </c>
      <c r="E188" s="189">
        <v>3</v>
      </c>
      <c r="F188" s="189">
        <v>4</v>
      </c>
      <c r="G188" s="189">
        <v>5</v>
      </c>
      <c r="H188" s="189">
        <v>6</v>
      </c>
      <c r="I188" s="189">
        <v>7</v>
      </c>
      <c r="J188" s="189">
        <v>8</v>
      </c>
      <c r="K188" s="189">
        <v>9</v>
      </c>
      <c r="L188" s="189">
        <v>10</v>
      </c>
      <c r="M188" s="189">
        <v>11</v>
      </c>
      <c r="N188" s="189">
        <v>12</v>
      </c>
      <c r="O188" s="189">
        <v>13</v>
      </c>
      <c r="P188" s="189">
        <v>14</v>
      </c>
      <c r="Q188" s="189">
        <v>15</v>
      </c>
      <c r="R188" s="189">
        <v>16</v>
      </c>
      <c r="S188" s="189">
        <v>17</v>
      </c>
      <c r="T188" s="189">
        <v>18</v>
      </c>
      <c r="U188" s="189">
        <v>19</v>
      </c>
      <c r="V188" s="189">
        <v>20</v>
      </c>
      <c r="W188" s="189">
        <v>21</v>
      </c>
      <c r="X188" s="189">
        <v>22</v>
      </c>
      <c r="Y188" s="189">
        <v>23</v>
      </c>
      <c r="Z188" s="189">
        <v>24</v>
      </c>
      <c r="AA188" s="189">
        <v>25</v>
      </c>
      <c r="AB188" s="189">
        <v>26</v>
      </c>
      <c r="AC188" s="189">
        <v>27</v>
      </c>
      <c r="AD188" s="189">
        <v>28</v>
      </c>
      <c r="AE188" s="189">
        <v>29</v>
      </c>
      <c r="AF188" s="189">
        <v>30</v>
      </c>
      <c r="AG188" s="189">
        <v>31</v>
      </c>
      <c r="AH188" s="116"/>
      <c r="AI188" s="116"/>
      <c r="AJ188" s="116"/>
      <c r="AK188" s="116"/>
      <c r="AL188" s="116"/>
    </row>
    <row r="189" spans="1:38" ht="15.95" hidden="1" customHeight="1" x14ac:dyDescent="0.25">
      <c r="A189" s="116"/>
      <c r="B189" s="116"/>
      <c r="C189" s="116"/>
      <c r="D189" s="116"/>
      <c r="E189" s="116"/>
      <c r="F189" s="116"/>
      <c r="G189" s="114"/>
      <c r="H189" s="116"/>
      <c r="I189" s="116"/>
      <c r="J189" s="116"/>
      <c r="K189" s="116"/>
      <c r="L189" s="116"/>
      <c r="M189" s="116"/>
      <c r="N189" s="114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  <c r="AH189" s="116"/>
      <c r="AI189" s="116"/>
      <c r="AJ189" s="116"/>
      <c r="AK189" s="116"/>
      <c r="AL189" s="116"/>
    </row>
    <row r="190" spans="1:38" ht="15.95" hidden="1" customHeight="1" x14ac:dyDescent="0.25">
      <c r="A190" s="116"/>
      <c r="B190" s="116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  <c r="AB190" s="221"/>
      <c r="AC190" s="221"/>
      <c r="AD190" s="221"/>
      <c r="AE190" s="221"/>
      <c r="AF190" s="221"/>
      <c r="AG190" s="221"/>
      <c r="AH190" s="116"/>
      <c r="AI190" s="116"/>
      <c r="AJ190" s="116"/>
      <c r="AK190" s="116"/>
      <c r="AL190" s="116"/>
    </row>
    <row r="191" spans="1:38" ht="15.95" hidden="1" customHeight="1" x14ac:dyDescent="0.25">
      <c r="A191" s="116"/>
      <c r="B191" s="181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  <c r="AA191" s="190"/>
      <c r="AB191" s="190"/>
      <c r="AC191" s="190"/>
      <c r="AD191" s="190"/>
      <c r="AE191" s="190"/>
      <c r="AF191" s="190"/>
      <c r="AG191" s="190"/>
      <c r="AH191" s="116"/>
      <c r="AI191" s="116"/>
      <c r="AJ191" s="116"/>
      <c r="AK191" s="116"/>
      <c r="AL191" s="116"/>
    </row>
    <row r="192" spans="1:38" ht="15.95" hidden="1" customHeight="1" x14ac:dyDescent="0.25">
      <c r="A192" s="116"/>
      <c r="B192" s="191"/>
      <c r="C192" s="192"/>
      <c r="D192" s="192"/>
      <c r="E192" s="192"/>
      <c r="F192" s="192"/>
      <c r="G192" s="193"/>
      <c r="H192" s="192"/>
      <c r="I192" s="192"/>
      <c r="J192" s="192"/>
      <c r="K192" s="192"/>
      <c r="L192" s="192"/>
      <c r="M192" s="192"/>
      <c r="N192" s="193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  <c r="AA192" s="192"/>
      <c r="AB192" s="192"/>
      <c r="AC192" s="192"/>
      <c r="AD192" s="192"/>
      <c r="AE192" s="192"/>
      <c r="AF192" s="192"/>
      <c r="AG192" s="192"/>
      <c r="AH192" s="116"/>
      <c r="AI192" s="116"/>
      <c r="AJ192" s="116"/>
      <c r="AK192" s="116"/>
      <c r="AL192" s="116"/>
    </row>
    <row r="193" spans="1:38" ht="15.95" hidden="1" customHeight="1" x14ac:dyDescent="0.25">
      <c r="A193" s="116"/>
      <c r="B193" s="116"/>
      <c r="C193" s="116"/>
      <c r="D193" s="116"/>
      <c r="E193" s="116"/>
      <c r="F193" s="116"/>
      <c r="G193" s="114"/>
      <c r="H193" s="116"/>
      <c r="I193" s="116"/>
      <c r="J193" s="116"/>
      <c r="K193" s="116"/>
      <c r="L193" s="116"/>
      <c r="M193" s="116"/>
      <c r="N193" s="114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  <c r="AH193" s="116"/>
      <c r="AI193" s="116"/>
      <c r="AJ193" s="116"/>
      <c r="AK193" s="116"/>
      <c r="AL193" s="116"/>
    </row>
    <row r="194" spans="1:38" ht="15.95" hidden="1" customHeight="1" x14ac:dyDescent="0.25">
      <c r="A194" s="116"/>
      <c r="B194" s="116"/>
      <c r="C194" s="116"/>
      <c r="D194" s="116"/>
      <c r="E194" s="116"/>
      <c r="F194" s="116"/>
      <c r="G194" s="114"/>
      <c r="H194" s="116"/>
      <c r="I194" s="116"/>
      <c r="J194" s="116"/>
      <c r="K194" s="116"/>
      <c r="L194" s="116"/>
      <c r="M194" s="116"/>
      <c r="N194" s="114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  <c r="AK194" s="116"/>
      <c r="AL194" s="116"/>
    </row>
    <row r="195" spans="1:38" ht="15.95" hidden="1" customHeight="1" x14ac:dyDescent="0.25">
      <c r="A195" s="116"/>
      <c r="B195" s="116"/>
      <c r="C195" s="116"/>
      <c r="D195" s="116"/>
      <c r="E195" s="116"/>
      <c r="F195" s="116"/>
      <c r="G195" s="114"/>
      <c r="H195" s="116"/>
      <c r="I195" s="116"/>
      <c r="J195" s="116"/>
      <c r="K195" s="116"/>
      <c r="L195" s="116"/>
      <c r="M195" s="116"/>
      <c r="N195" s="114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  <c r="AJ195" s="116"/>
      <c r="AK195" s="116"/>
      <c r="AL195" s="116"/>
    </row>
    <row r="196" spans="1:38" ht="15.95" hidden="1" customHeight="1" x14ac:dyDescent="0.25">
      <c r="A196" s="116"/>
      <c r="B196" s="116"/>
      <c r="C196" s="116"/>
      <c r="D196" s="116"/>
      <c r="E196" s="116"/>
      <c r="F196" s="116"/>
      <c r="G196" s="114"/>
      <c r="H196" s="116"/>
      <c r="I196" s="116"/>
      <c r="J196" s="116"/>
      <c r="K196" s="116"/>
      <c r="L196" s="116"/>
      <c r="M196" s="116"/>
      <c r="N196" s="114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  <c r="AJ196" s="116"/>
      <c r="AK196" s="116"/>
      <c r="AL196" s="116"/>
    </row>
    <row r="197" spans="1:38" ht="15.95" hidden="1" customHeight="1" x14ac:dyDescent="0.25">
      <c r="A197" s="116"/>
      <c r="B197" s="116"/>
      <c r="C197" s="116"/>
      <c r="D197" s="116"/>
      <c r="E197" s="116"/>
      <c r="F197" s="116"/>
      <c r="G197" s="114"/>
      <c r="H197" s="116"/>
      <c r="I197" s="116"/>
      <c r="J197" s="116"/>
      <c r="K197" s="116"/>
      <c r="L197" s="116"/>
      <c r="M197" s="116"/>
      <c r="N197" s="114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  <c r="AI197" s="116"/>
      <c r="AJ197" s="116"/>
      <c r="AK197" s="116"/>
      <c r="AL197" s="116"/>
    </row>
    <row r="198" spans="1:38" ht="15.95" hidden="1" customHeight="1" x14ac:dyDescent="0.25">
      <c r="A198" s="116"/>
      <c r="B198" s="116"/>
      <c r="C198" s="116"/>
      <c r="D198" s="116"/>
      <c r="E198" s="116"/>
      <c r="F198" s="116"/>
      <c r="G198" s="114"/>
      <c r="H198" s="116"/>
      <c r="I198" s="116"/>
      <c r="J198" s="116"/>
      <c r="K198" s="116"/>
      <c r="L198" s="116"/>
      <c r="M198" s="116"/>
      <c r="N198" s="114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  <c r="AL198" s="116"/>
    </row>
    <row r="199" spans="1:38" ht="15.95" hidden="1" customHeight="1" x14ac:dyDescent="0.25">
      <c r="A199" s="116"/>
      <c r="B199" s="116"/>
      <c r="C199" s="116"/>
      <c r="D199" s="116"/>
      <c r="E199" s="116"/>
      <c r="F199" s="116"/>
      <c r="G199" s="114"/>
      <c r="H199" s="116"/>
      <c r="I199" s="116"/>
      <c r="J199" s="116"/>
      <c r="K199" s="116"/>
      <c r="L199" s="116"/>
      <c r="M199" s="116"/>
      <c r="N199" s="114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  <c r="AJ199" s="116"/>
      <c r="AK199" s="116"/>
      <c r="AL199" s="116"/>
    </row>
    <row r="200" spans="1:38" ht="15.95" hidden="1" customHeight="1" x14ac:dyDescent="0.25">
      <c r="A200" s="116"/>
      <c r="B200" s="116"/>
      <c r="C200" s="116"/>
      <c r="D200" s="116"/>
      <c r="E200" s="116"/>
      <c r="F200" s="116"/>
      <c r="G200" s="114"/>
      <c r="H200" s="116"/>
      <c r="I200" s="116"/>
      <c r="J200" s="116"/>
      <c r="K200" s="116"/>
      <c r="L200" s="116"/>
      <c r="M200" s="116"/>
      <c r="N200" s="114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  <c r="AI200" s="116"/>
      <c r="AJ200" s="116"/>
      <c r="AK200" s="116"/>
      <c r="AL200" s="116"/>
    </row>
    <row r="201" spans="1:38" ht="20.25" customHeight="1" x14ac:dyDescent="0.25">
      <c r="A201" s="116"/>
      <c r="B201" s="116"/>
      <c r="C201" s="116"/>
      <c r="D201" s="116"/>
      <c r="E201" s="116"/>
      <c r="F201" s="116"/>
      <c r="G201" s="114"/>
      <c r="H201" s="116"/>
      <c r="I201" s="116"/>
      <c r="J201" s="116"/>
      <c r="K201" s="116"/>
      <c r="L201" s="116"/>
      <c r="M201" s="116"/>
      <c r="N201" s="114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  <c r="AK201" s="116"/>
      <c r="AL201" s="116"/>
    </row>
  </sheetData>
  <sheetProtection algorithmName="SHA-512" hashValue="RCKWy/qqOuI1G2/PCsK+9nAOwc2wFurJ9/caw5CORyaMEJABKLT1WyT6wLDgUyVOfMJ82S9LuU0uAhztZbYebg==" saltValue="+HKl1O/C3+jcoJfiSmjAGQ==" spinCount="100000" sheet="1" objects="1" scenarios="1" formatCells="0"/>
  <mergeCells count="148">
    <mergeCell ref="AH171:AI171"/>
    <mergeCell ref="AJ171:AK171"/>
    <mergeCell ref="AH172:AI172"/>
    <mergeCell ref="AH178:AI178"/>
    <mergeCell ref="C186:L186"/>
    <mergeCell ref="C190:AG190"/>
    <mergeCell ref="AH150:AI150"/>
    <mergeCell ref="AH156:AI156"/>
    <mergeCell ref="AH160:AI160"/>
    <mergeCell ref="AJ160:AK160"/>
    <mergeCell ref="AH161:AI161"/>
    <mergeCell ref="AH167:AI167"/>
    <mergeCell ref="AH138:AI138"/>
    <mergeCell ref="AJ138:AK138"/>
    <mergeCell ref="AH139:AI139"/>
    <mergeCell ref="AH145:AI145"/>
    <mergeCell ref="AH149:AI149"/>
    <mergeCell ref="AJ149:AK149"/>
    <mergeCell ref="AH117:AI117"/>
    <mergeCell ref="AH123:AI123"/>
    <mergeCell ref="AH127:AI127"/>
    <mergeCell ref="AJ127:AK127"/>
    <mergeCell ref="AH128:AI128"/>
    <mergeCell ref="AH134:AI134"/>
    <mergeCell ref="AH105:AI105"/>
    <mergeCell ref="AJ105:AK105"/>
    <mergeCell ref="AH106:AI106"/>
    <mergeCell ref="AH112:AI112"/>
    <mergeCell ref="AH116:AI116"/>
    <mergeCell ref="AJ116:AK116"/>
    <mergeCell ref="AH83:AI83"/>
    <mergeCell ref="AH84:AI84"/>
    <mergeCell ref="AH90:AI90"/>
    <mergeCell ref="AH94:AI94"/>
    <mergeCell ref="AH95:AI95"/>
    <mergeCell ref="AH101:AI101"/>
    <mergeCell ref="AH61:AI61"/>
    <mergeCell ref="AH62:AI62"/>
    <mergeCell ref="AH68:AI68"/>
    <mergeCell ref="AH72:AI72"/>
    <mergeCell ref="AH73:AI73"/>
    <mergeCell ref="AH79:AI79"/>
    <mergeCell ref="AI48:AJ48"/>
    <mergeCell ref="AI49:AJ49"/>
    <mergeCell ref="AN49:AO49"/>
    <mergeCell ref="AH50:AI50"/>
    <mergeCell ref="AH51:AI51"/>
    <mergeCell ref="AH57:AI57"/>
    <mergeCell ref="C43:D43"/>
    <mergeCell ref="E43:AI43"/>
    <mergeCell ref="AI45:AJ45"/>
    <mergeCell ref="AI46:AJ46"/>
    <mergeCell ref="AI47:AJ47"/>
    <mergeCell ref="AN47:AO47"/>
    <mergeCell ref="S39:T39"/>
    <mergeCell ref="V39:W39"/>
    <mergeCell ref="S40:T40"/>
    <mergeCell ref="V40:W40"/>
    <mergeCell ref="C42:V42"/>
    <mergeCell ref="W42:AH42"/>
    <mergeCell ref="A37:B37"/>
    <mergeCell ref="C37:N37"/>
    <mergeCell ref="S37:T37"/>
    <mergeCell ref="V37:W37"/>
    <mergeCell ref="A38:B38"/>
    <mergeCell ref="C38:N38"/>
    <mergeCell ref="S38:T38"/>
    <mergeCell ref="V38:W38"/>
    <mergeCell ref="A35:B35"/>
    <mergeCell ref="C35:N35"/>
    <mergeCell ref="S35:T35"/>
    <mergeCell ref="V35:W35"/>
    <mergeCell ref="A36:B36"/>
    <mergeCell ref="C36:N36"/>
    <mergeCell ref="S36:T36"/>
    <mergeCell ref="V36:W36"/>
    <mergeCell ref="A33:B33"/>
    <mergeCell ref="C33:N33"/>
    <mergeCell ref="S33:T33"/>
    <mergeCell ref="V33:W33"/>
    <mergeCell ref="A34:B34"/>
    <mergeCell ref="C34:N34"/>
    <mergeCell ref="S34:T34"/>
    <mergeCell ref="V34:W34"/>
    <mergeCell ref="AR31:AZ31"/>
    <mergeCell ref="D26:E26"/>
    <mergeCell ref="G26:H26"/>
    <mergeCell ref="K26:L26"/>
    <mergeCell ref="N26:O26"/>
    <mergeCell ref="R26:S26"/>
    <mergeCell ref="U26:V26"/>
    <mergeCell ref="W26:X26"/>
    <mergeCell ref="BB31:BC31"/>
    <mergeCell ref="A32:B32"/>
    <mergeCell ref="C32:N32"/>
    <mergeCell ref="S32:T32"/>
    <mergeCell ref="V32:W32"/>
    <mergeCell ref="AD32:AG32"/>
    <mergeCell ref="AI32:AJ32"/>
    <mergeCell ref="Z26:AA26"/>
    <mergeCell ref="AH26:AI26"/>
    <mergeCell ref="AJ26:AL26"/>
    <mergeCell ref="AE27:AF27"/>
    <mergeCell ref="C29:AJ29"/>
    <mergeCell ref="A31:N31"/>
    <mergeCell ref="R31:W31"/>
    <mergeCell ref="AD31:AI31"/>
    <mergeCell ref="AH24:AI24"/>
    <mergeCell ref="AJ24:AL24"/>
    <mergeCell ref="D25:E25"/>
    <mergeCell ref="G25:H25"/>
    <mergeCell ref="K25:L25"/>
    <mergeCell ref="N25:O25"/>
    <mergeCell ref="R25:S25"/>
    <mergeCell ref="U25:V25"/>
    <mergeCell ref="W25:X25"/>
    <mergeCell ref="Z25:AA25"/>
    <mergeCell ref="AH25:AI25"/>
    <mergeCell ref="AJ25:AL25"/>
    <mergeCell ref="C23:H23"/>
    <mergeCell ref="J23:O23"/>
    <mergeCell ref="Q23:AA23"/>
    <mergeCell ref="D24:E24"/>
    <mergeCell ref="G24:H24"/>
    <mergeCell ref="K24:L24"/>
    <mergeCell ref="N24:O24"/>
    <mergeCell ref="R24:S24"/>
    <mergeCell ref="U24:V24"/>
    <mergeCell ref="W24:X24"/>
    <mergeCell ref="Z24:AA24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B3:J3"/>
    <mergeCell ref="B4:O4"/>
    <mergeCell ref="Q4:X4"/>
    <mergeCell ref="Z4:AB4"/>
    <mergeCell ref="AC4:AH4"/>
    <mergeCell ref="A8:B8"/>
    <mergeCell ref="A15:B15"/>
    <mergeCell ref="A16:B16"/>
    <mergeCell ref="A17:B17"/>
  </mergeCells>
  <conditionalFormatting sqref="C7:AG20">
    <cfRule type="expression" dxfId="6" priority="1" stopIfTrue="1">
      <formula>C$46=1</formula>
    </cfRule>
  </conditionalFormatting>
  <hyperlinks>
    <hyperlink ref="C42" r:id="rId1" xr:uid="{00000000-0004-0000-0500-000000000000}"/>
  </hyperlinks>
  <printOptions horizontalCentered="1"/>
  <pageMargins left="7.874015748031496E-2" right="7.874015748031496E-2" top="0.31496062992125984" bottom="0" header="0.51181102362204722" footer="0.51181102362204722"/>
  <pageSetup paperSize="9" scale="97" orientation="landscape" useFirstPageNumber="1" r:id="rId2"/>
  <headerFooter alignWithMargins="0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I201"/>
  <sheetViews>
    <sheetView showGridLines="0" showRowColHeaders="0" topLeftCell="A6" zoomScale="120" zoomScaleNormal="120" zoomScaleSheetLayoutView="75" workbookViewId="0">
      <selection activeCell="AG19" sqref="AG19"/>
    </sheetView>
  </sheetViews>
  <sheetFormatPr baseColWidth="10" defaultColWidth="11.140625" defaultRowHeight="20.25" customHeight="1" x14ac:dyDescent="0.25"/>
  <cols>
    <col min="1" max="2" width="9.7109375" style="1" customWidth="1"/>
    <col min="3" max="6" width="3.28515625" style="1" customWidth="1"/>
    <col min="7" max="7" width="3.28515625" style="2" customWidth="1"/>
    <col min="8" max="13" width="3.28515625" style="1" customWidth="1"/>
    <col min="14" max="14" width="3.28515625" style="2" customWidth="1"/>
    <col min="15" max="33" width="3.28515625" style="1" customWidth="1"/>
    <col min="34" max="34" width="7.7109375" style="1" customWidth="1"/>
    <col min="35" max="38" width="4.7109375" style="1" customWidth="1"/>
    <col min="39" max="59" width="6.7109375" style="1" hidden="1" customWidth="1"/>
    <col min="60" max="83" width="4.7109375" style="1" hidden="1" customWidth="1"/>
    <col min="84" max="95" width="0" style="1" hidden="1" customWidth="1"/>
    <col min="96" max="16384" width="11.140625" style="1"/>
  </cols>
  <sheetData>
    <row r="1" spans="1:84" s="2" customFormat="1" ht="19.5" customHeight="1" x14ac:dyDescent="0.35">
      <c r="B1" s="3"/>
      <c r="M1" s="4"/>
      <c r="U1" s="5"/>
      <c r="V1" s="6"/>
      <c r="Z1" s="7"/>
      <c r="AA1" s="7"/>
      <c r="AB1" s="7"/>
      <c r="AC1" s="7"/>
      <c r="AD1" s="7"/>
      <c r="AE1" s="7"/>
      <c r="AF1" s="7"/>
      <c r="AG1" s="1"/>
      <c r="AH1" s="1"/>
      <c r="AI1" s="1"/>
      <c r="AJ1" s="1"/>
    </row>
    <row r="2" spans="1:84" s="2" customFormat="1" ht="19.5" customHeight="1" x14ac:dyDescent="0.35">
      <c r="B2" s="3"/>
      <c r="M2" s="4"/>
      <c r="U2" s="5"/>
      <c r="V2" s="6"/>
      <c r="Z2" s="7"/>
      <c r="AA2" s="7"/>
      <c r="AB2" s="7"/>
      <c r="AC2" s="7"/>
      <c r="AD2" s="7"/>
      <c r="AE2" s="7"/>
      <c r="AF2" s="7"/>
      <c r="AG2" s="1"/>
      <c r="AH2" s="1"/>
      <c r="AI2" s="1"/>
      <c r="AJ2" s="1"/>
    </row>
    <row r="3" spans="1:84" s="2" customFormat="1" ht="19.5" customHeight="1" x14ac:dyDescent="0.35">
      <c r="B3" s="271" t="str">
        <f t="shared" ref="B3:B4" si="0">C32</f>
        <v>VIGILANT</v>
      </c>
      <c r="C3" s="271"/>
      <c r="D3" s="271"/>
      <c r="E3" s="271"/>
      <c r="F3" s="271"/>
      <c r="G3" s="271"/>
      <c r="H3" s="271"/>
      <c r="I3" s="271"/>
      <c r="J3" s="271"/>
      <c r="M3" s="4"/>
      <c r="U3" s="5"/>
      <c r="V3" s="6"/>
      <c r="Z3" s="7"/>
      <c r="AA3" s="7"/>
      <c r="AB3" s="7"/>
      <c r="AC3" s="7"/>
      <c r="AD3" s="7"/>
      <c r="AE3" s="7"/>
      <c r="AF3" s="7"/>
      <c r="AG3" s="1"/>
      <c r="AH3" s="1"/>
      <c r="AI3" s="1"/>
      <c r="AJ3" s="1"/>
    </row>
    <row r="4" spans="1:84" s="9" customFormat="1" ht="17.25" customHeight="1" x14ac:dyDescent="0.25">
      <c r="A4" s="8"/>
      <c r="B4" s="272" t="str">
        <f t="shared" si="0"/>
        <v>TERRAZAS</v>
      </c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1"/>
      <c r="Q4" s="232">
        <f>DATE($C$34,$C$35,1)</f>
        <v>45839</v>
      </c>
      <c r="R4" s="232"/>
      <c r="S4" s="232"/>
      <c r="T4" s="232"/>
      <c r="U4" s="232"/>
      <c r="V4" s="232"/>
      <c r="W4" s="232"/>
      <c r="X4" s="232"/>
      <c r="Y4" s="1"/>
      <c r="Z4" s="259">
        <f>SUM(AH51+AH62+AH73+AH84+AH95+AH106+AH117+AH128+AH139+AH150+AH161+AH172)</f>
        <v>1983.9999999999991</v>
      </c>
      <c r="AA4" s="259"/>
      <c r="AB4" s="259"/>
      <c r="AC4" s="267" t="s">
        <v>0</v>
      </c>
      <c r="AD4" s="267"/>
      <c r="AE4" s="267"/>
      <c r="AF4" s="267"/>
      <c r="AG4" s="267"/>
      <c r="AH4" s="267"/>
      <c r="AI4" s="1"/>
      <c r="AJ4" s="1"/>
    </row>
    <row r="5" spans="1:84" s="2" customFormat="1" ht="17.25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/>
      <c r="AD5" s="12"/>
      <c r="AE5" s="12" t="str">
        <f>IF(CA59=28,IF(CA59="",0,1),IF(CA59=1,IF(CA59="",0,1),""))</f>
        <v/>
      </c>
      <c r="AF5" s="12" t="str">
        <f>IF(CA59=29,IF(CA59="",0,1),IF(CA59=1,IF(CA59="",0,1),""))</f>
        <v/>
      </c>
      <c r="AG5" s="12" t="str">
        <f>IF(CA59=30,IF(CA59="",0,1),IF(CA59=1,IF(CA59="",0,1),""))</f>
        <v/>
      </c>
      <c r="AH5" s="12">
        <f>IF(CA59=31,IF(CA59="",0,1),IF(CA59=1,IF(CA59="",0,1),""))</f>
        <v>1</v>
      </c>
      <c r="AI5" s="1"/>
      <c r="AJ5" s="1"/>
    </row>
    <row r="6" spans="1:84" s="13" customFormat="1" ht="17.25" customHeight="1" x14ac:dyDescent="0.25">
      <c r="B6" s="14" t="s">
        <v>1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"/>
      <c r="AJ6" s="1"/>
    </row>
    <row r="7" spans="1:84" s="11" customFormat="1" ht="19.5" customHeight="1" x14ac:dyDescent="0.25">
      <c r="A7" s="16"/>
      <c r="B7" s="17" t="s">
        <v>2</v>
      </c>
      <c r="C7" s="18" t="str">
        <f>IF(AV47="LUNES","lu",IF(AV47="MARTES","ma",IF(AV47="MIERCOLES","mi",IF(AV47="JUEVES","ju",IF(AV47="VIERNES","vi",IF(AV47="SABADO","S",IF(AV47="DOMINGO","D","")))))))</f>
        <v>ma</v>
      </c>
      <c r="D7" s="18" t="str">
        <f t="shared" ref="D7:AD7" si="1">IF(C7="lu","ma",IF(C7="ma","mi",IF(C7="mi","ju",IF(C7="ju","vi",IF(C7="vi","S",IF(C7="S","D",IF(C7="D","lu","")))))))</f>
        <v>mi</v>
      </c>
      <c r="E7" s="18" t="str">
        <f t="shared" si="1"/>
        <v>ju</v>
      </c>
      <c r="F7" s="18" t="str">
        <f t="shared" si="1"/>
        <v>vi</v>
      </c>
      <c r="G7" s="18" t="str">
        <f t="shared" si="1"/>
        <v>S</v>
      </c>
      <c r="H7" s="18" t="str">
        <f t="shared" si="1"/>
        <v>D</v>
      </c>
      <c r="I7" s="18" t="str">
        <f t="shared" si="1"/>
        <v>lu</v>
      </c>
      <c r="J7" s="18" t="str">
        <f t="shared" si="1"/>
        <v>ma</v>
      </c>
      <c r="K7" s="18" t="str">
        <f t="shared" si="1"/>
        <v>mi</v>
      </c>
      <c r="L7" s="18" t="str">
        <f t="shared" si="1"/>
        <v>ju</v>
      </c>
      <c r="M7" s="18" t="str">
        <f t="shared" si="1"/>
        <v>vi</v>
      </c>
      <c r="N7" s="18" t="str">
        <f t="shared" si="1"/>
        <v>S</v>
      </c>
      <c r="O7" s="18" t="str">
        <f t="shared" si="1"/>
        <v>D</v>
      </c>
      <c r="P7" s="18" t="str">
        <f t="shared" si="1"/>
        <v>lu</v>
      </c>
      <c r="Q7" s="18" t="str">
        <f t="shared" si="1"/>
        <v>ma</v>
      </c>
      <c r="R7" s="18" t="str">
        <f t="shared" si="1"/>
        <v>mi</v>
      </c>
      <c r="S7" s="18" t="str">
        <f t="shared" si="1"/>
        <v>ju</v>
      </c>
      <c r="T7" s="18" t="str">
        <f t="shared" si="1"/>
        <v>vi</v>
      </c>
      <c r="U7" s="18" t="str">
        <f t="shared" si="1"/>
        <v>S</v>
      </c>
      <c r="V7" s="18" t="str">
        <f t="shared" si="1"/>
        <v>D</v>
      </c>
      <c r="W7" s="18" t="str">
        <f t="shared" si="1"/>
        <v>lu</v>
      </c>
      <c r="X7" s="18" t="str">
        <f t="shared" si="1"/>
        <v>ma</v>
      </c>
      <c r="Y7" s="18" t="str">
        <f t="shared" si="1"/>
        <v>mi</v>
      </c>
      <c r="Z7" s="18" t="str">
        <f t="shared" si="1"/>
        <v>ju</v>
      </c>
      <c r="AA7" s="18" t="str">
        <f t="shared" si="1"/>
        <v>vi</v>
      </c>
      <c r="AB7" s="18" t="str">
        <f t="shared" si="1"/>
        <v>S</v>
      </c>
      <c r="AC7" s="18" t="str">
        <f t="shared" si="1"/>
        <v>D</v>
      </c>
      <c r="AD7" s="18" t="str">
        <f t="shared" si="1"/>
        <v>lu</v>
      </c>
      <c r="AE7" s="18" t="str">
        <f>IF(AE8="","",IF(AD7="lu","ma",IF(AD7="ma","mi",IF(AD7="mi","ju",IF(AD7="ju","vi",IF(AD7="vi","S",IF(AD7="S","D",IF(AD7="D","lu",""))))))))</f>
        <v>ma</v>
      </c>
      <c r="AF7" s="18" t="str">
        <f>IF(AF8="","",IF(AE7="lu","ma",IF(AE7="ma","mi",IF(AE7="mi","ju",IF(AE7="ju","vi",IF(AE7="vi","S",IF(AE7="S","D",IF(AE7="D","lu",""))))))))</f>
        <v>mi</v>
      </c>
      <c r="AG7" s="18" t="str">
        <f>IF(AG8="","",IF(AF7="lu","ma",IF(AF7="ma","mi",IF(AF7="mi","ju",IF(AF7="ju","vi",IF(AF7="vi","S",IF(AF7="S","D",IF(AF7="D","lu",""))))))))</f>
        <v>ju</v>
      </c>
      <c r="AH7" s="16"/>
    </row>
    <row r="8" spans="1:84" s="22" customFormat="1" ht="19.5" customHeight="1" x14ac:dyDescent="0.2">
      <c r="A8" s="270" t="s">
        <v>3</v>
      </c>
      <c r="B8" s="270"/>
      <c r="C8" s="18">
        <v>1</v>
      </c>
      <c r="D8" s="18">
        <v>2</v>
      </c>
      <c r="E8" s="18">
        <v>3</v>
      </c>
      <c r="F8" s="18">
        <v>4</v>
      </c>
      <c r="G8" s="18">
        <v>5</v>
      </c>
      <c r="H8" s="18">
        <v>6</v>
      </c>
      <c r="I8" s="18">
        <v>7</v>
      </c>
      <c r="J8" s="18">
        <v>8</v>
      </c>
      <c r="K8" s="18">
        <v>9</v>
      </c>
      <c r="L8" s="18">
        <v>10</v>
      </c>
      <c r="M8" s="18">
        <v>11</v>
      </c>
      <c r="N8" s="18">
        <v>12</v>
      </c>
      <c r="O8" s="18">
        <v>13</v>
      </c>
      <c r="P8" s="18">
        <v>14</v>
      </c>
      <c r="Q8" s="18">
        <v>15</v>
      </c>
      <c r="R8" s="18">
        <v>16</v>
      </c>
      <c r="S8" s="18">
        <v>17</v>
      </c>
      <c r="T8" s="18">
        <v>18</v>
      </c>
      <c r="U8" s="18">
        <v>19</v>
      </c>
      <c r="V8" s="18">
        <v>20</v>
      </c>
      <c r="W8" s="18">
        <v>21</v>
      </c>
      <c r="X8" s="18">
        <v>22</v>
      </c>
      <c r="Y8" s="18">
        <v>23</v>
      </c>
      <c r="Z8" s="18">
        <v>24</v>
      </c>
      <c r="AA8" s="18">
        <v>25</v>
      </c>
      <c r="AB8" s="18">
        <v>26</v>
      </c>
      <c r="AC8" s="18">
        <v>27</v>
      </c>
      <c r="AD8" s="18">
        <v>28</v>
      </c>
      <c r="AE8" s="18">
        <f>IF(CA59=28,"",IF(CA59=29,29,IF(CA59=30,29,IF(CA59=31,29,""))))</f>
        <v>29</v>
      </c>
      <c r="AF8" s="18">
        <f>IF(CA59=28,"",IF(CA59=29,"",IF(CA59=30,30,IF(CA59=31,30,""))))</f>
        <v>30</v>
      </c>
      <c r="AG8" s="18">
        <f>IF(CA59=28,"",IF(CA59=29,"",IF(CA59=30,"",IF(CA59=31,31,""))))</f>
        <v>31</v>
      </c>
      <c r="AH8" s="19" t="s">
        <v>60</v>
      </c>
      <c r="AI8" s="20" t="s">
        <v>4</v>
      </c>
      <c r="AJ8" s="20" t="s">
        <v>5</v>
      </c>
      <c r="AK8" s="21" t="s">
        <v>6</v>
      </c>
      <c r="AL8" s="21" t="s">
        <v>7</v>
      </c>
    </row>
    <row r="9" spans="1:84" s="2" customFormat="1" ht="20.100000000000001" customHeight="1" x14ac:dyDescent="0.25">
      <c r="A9" s="268" t="s">
        <v>155</v>
      </c>
      <c r="B9" s="268"/>
      <c r="C9" s="23" t="s">
        <v>14</v>
      </c>
      <c r="D9" s="23" t="s">
        <v>14</v>
      </c>
      <c r="E9" s="23" t="s">
        <v>14</v>
      </c>
      <c r="F9" s="23" t="s">
        <v>14</v>
      </c>
      <c r="G9" s="23" t="s">
        <v>14</v>
      </c>
      <c r="H9" s="23" t="s">
        <v>14</v>
      </c>
      <c r="I9" s="23" t="s">
        <v>14</v>
      </c>
      <c r="J9" s="23" t="s">
        <v>14</v>
      </c>
      <c r="K9" s="23" t="s">
        <v>14</v>
      </c>
      <c r="L9" s="23" t="s">
        <v>14</v>
      </c>
      <c r="M9" s="23" t="s">
        <v>14</v>
      </c>
      <c r="N9" s="23" t="s">
        <v>14</v>
      </c>
      <c r="O9" s="23" t="s">
        <v>14</v>
      </c>
      <c r="P9" s="23" t="s">
        <v>14</v>
      </c>
      <c r="Q9" s="23" t="s">
        <v>14</v>
      </c>
      <c r="R9" s="23" t="s">
        <v>14</v>
      </c>
      <c r="S9" s="23" t="s">
        <v>151</v>
      </c>
      <c r="T9" s="24" t="s">
        <v>153</v>
      </c>
      <c r="U9" s="23" t="s">
        <v>153</v>
      </c>
      <c r="V9" s="23" t="s">
        <v>153</v>
      </c>
      <c r="W9" s="23"/>
      <c r="X9" s="23" t="s">
        <v>151</v>
      </c>
      <c r="Y9" s="23" t="s">
        <v>151</v>
      </c>
      <c r="Z9" s="23" t="s">
        <v>151</v>
      </c>
      <c r="AA9" s="23"/>
      <c r="AB9" s="23"/>
      <c r="AC9" s="23"/>
      <c r="AD9" s="23" t="s">
        <v>151</v>
      </c>
      <c r="AE9" s="23" t="s">
        <v>151</v>
      </c>
      <c r="AF9" s="23" t="s">
        <v>152</v>
      </c>
      <c r="AG9" s="23" t="s">
        <v>152</v>
      </c>
      <c r="AH9" s="83">
        <f>SUM(AH50:AH51)</f>
        <v>215.51999999999998</v>
      </c>
      <c r="AI9" s="84">
        <f>AH9-C37</f>
        <v>53.519999999999982</v>
      </c>
      <c r="AJ9" s="84">
        <f>SUM(C55:AG55)</f>
        <v>24</v>
      </c>
      <c r="AK9" s="84">
        <f>AK32</f>
        <v>40</v>
      </c>
      <c r="AL9" s="18">
        <f>SUM(C56:AG56)</f>
        <v>16</v>
      </c>
      <c r="CB9" s="25">
        <f>ROUNDDOWN(AH9,0)</f>
        <v>215</v>
      </c>
      <c r="CC9" s="26">
        <f>AH9-INT(AH9)</f>
        <v>0.51999999999998181</v>
      </c>
      <c r="CD9" s="27">
        <f>CC9/24</f>
        <v>2.1666666666665908E-2</v>
      </c>
      <c r="CE9"/>
      <c r="CF9"/>
    </row>
    <row r="10" spans="1:84" s="2" customFormat="1" ht="20.100000000000001" customHeight="1" x14ac:dyDescent="0.25">
      <c r="A10" s="268" t="s">
        <v>157</v>
      </c>
      <c r="B10" s="268"/>
      <c r="C10" s="23"/>
      <c r="D10" s="23" t="s">
        <v>151</v>
      </c>
      <c r="E10" s="23" t="s">
        <v>151</v>
      </c>
      <c r="F10" s="23"/>
      <c r="G10" s="23"/>
      <c r="H10" s="23"/>
      <c r="I10" s="23" t="s">
        <v>151</v>
      </c>
      <c r="J10" s="23" t="s">
        <v>151</v>
      </c>
      <c r="K10" s="23"/>
      <c r="L10" s="23" t="s">
        <v>151</v>
      </c>
      <c r="M10" s="23" t="s">
        <v>151</v>
      </c>
      <c r="N10" s="23" t="s">
        <v>151</v>
      </c>
      <c r="O10" s="23" t="s">
        <v>151</v>
      </c>
      <c r="P10" s="23"/>
      <c r="Q10" s="23"/>
      <c r="R10" s="23" t="s">
        <v>151</v>
      </c>
      <c r="S10" s="23"/>
      <c r="T10" s="23" t="s">
        <v>151</v>
      </c>
      <c r="U10" s="23" t="s">
        <v>151</v>
      </c>
      <c r="V10" s="23" t="s">
        <v>151</v>
      </c>
      <c r="W10" s="23" t="s">
        <v>151</v>
      </c>
      <c r="X10" s="23" t="s">
        <v>152</v>
      </c>
      <c r="Y10" s="23"/>
      <c r="Z10" s="23"/>
      <c r="AA10" s="23" t="s">
        <v>151</v>
      </c>
      <c r="AB10" s="23" t="s">
        <v>151</v>
      </c>
      <c r="AC10" s="23" t="s">
        <v>151</v>
      </c>
      <c r="AD10" s="23"/>
      <c r="AE10" s="23"/>
      <c r="AF10" s="23" t="s">
        <v>151</v>
      </c>
      <c r="AG10" s="23" t="s">
        <v>151</v>
      </c>
      <c r="AH10" s="83">
        <f>SUM(AH61:AH62)</f>
        <v>227.99999999999997</v>
      </c>
      <c r="AI10" s="84">
        <f>AH10-C37</f>
        <v>65.999999999999972</v>
      </c>
      <c r="AJ10" s="84">
        <f>SUM(C66:AG66)</f>
        <v>71.999999999999986</v>
      </c>
      <c r="AK10" s="84">
        <f t="shared" ref="AK10:AK20" si="2">AK33</f>
        <v>8</v>
      </c>
      <c r="AL10" s="18">
        <f>SUM(C67:AG67)</f>
        <v>0</v>
      </c>
      <c r="CF10"/>
    </row>
    <row r="11" spans="1:84" s="2" customFormat="1" ht="20.100000000000001" customHeight="1" x14ac:dyDescent="0.25">
      <c r="A11" s="268" t="s">
        <v>156</v>
      </c>
      <c r="B11" s="268"/>
      <c r="C11" s="23"/>
      <c r="D11" s="23" t="s">
        <v>153</v>
      </c>
      <c r="E11" s="23" t="s">
        <v>153</v>
      </c>
      <c r="F11" s="23"/>
      <c r="G11" s="23"/>
      <c r="H11" s="23"/>
      <c r="I11" s="23" t="s">
        <v>153</v>
      </c>
      <c r="J11" s="23" t="s">
        <v>153</v>
      </c>
      <c r="K11" s="23"/>
      <c r="L11" s="23"/>
      <c r="M11" s="23" t="s">
        <v>153</v>
      </c>
      <c r="N11" s="23" t="s">
        <v>153</v>
      </c>
      <c r="O11" s="23" t="s">
        <v>153</v>
      </c>
      <c r="P11" s="23"/>
      <c r="Q11" s="23"/>
      <c r="R11" s="23" t="s">
        <v>153</v>
      </c>
      <c r="S11" s="23" t="s">
        <v>153</v>
      </c>
      <c r="T11" s="23"/>
      <c r="U11" s="23"/>
      <c r="V11" s="23"/>
      <c r="W11" s="23" t="s">
        <v>153</v>
      </c>
      <c r="X11" s="23" t="s">
        <v>153</v>
      </c>
      <c r="Y11" s="23"/>
      <c r="Z11" s="23"/>
      <c r="AA11" s="23" t="s">
        <v>153</v>
      </c>
      <c r="AB11" s="23" t="s">
        <v>153</v>
      </c>
      <c r="AC11" s="23" t="s">
        <v>153</v>
      </c>
      <c r="AD11" s="23"/>
      <c r="AE11" s="23"/>
      <c r="AF11" s="23" t="s">
        <v>153</v>
      </c>
      <c r="AG11" s="23" t="s">
        <v>153</v>
      </c>
      <c r="AH11" s="83">
        <f>SUM(AH72:AH73)</f>
        <v>192</v>
      </c>
      <c r="AI11" s="84">
        <f>AH11-C37</f>
        <v>30</v>
      </c>
      <c r="AJ11" s="84">
        <f>SUM(C77:AG77)</f>
        <v>48</v>
      </c>
      <c r="AK11" s="84">
        <f t="shared" si="2"/>
        <v>128</v>
      </c>
      <c r="AL11" s="18">
        <f>SUM(C78:AG78)</f>
        <v>0</v>
      </c>
      <c r="CF11"/>
    </row>
    <row r="12" spans="1:84" s="2" customFormat="1" ht="20.100000000000001" customHeight="1" x14ac:dyDescent="0.25">
      <c r="A12" s="268" t="s">
        <v>174</v>
      </c>
      <c r="B12" s="268"/>
      <c r="C12" s="23" t="s">
        <v>153</v>
      </c>
      <c r="D12" s="23"/>
      <c r="E12" s="23"/>
      <c r="F12" s="23" t="s">
        <v>153</v>
      </c>
      <c r="G12" s="23" t="s">
        <v>153</v>
      </c>
      <c r="H12" s="23" t="s">
        <v>153</v>
      </c>
      <c r="I12" s="23"/>
      <c r="J12" s="23"/>
      <c r="K12" s="23" t="s">
        <v>153</v>
      </c>
      <c r="L12" s="23" t="s">
        <v>153</v>
      </c>
      <c r="M12" s="23"/>
      <c r="N12" s="23"/>
      <c r="O12" s="23"/>
      <c r="P12" s="23" t="s">
        <v>153</v>
      </c>
      <c r="Q12" s="23" t="s">
        <v>153</v>
      </c>
      <c r="R12" s="23"/>
      <c r="S12" s="23"/>
      <c r="T12" s="23" t="s">
        <v>154</v>
      </c>
      <c r="U12" s="23" t="s">
        <v>154</v>
      </c>
      <c r="V12" s="23" t="s">
        <v>154</v>
      </c>
      <c r="W12" s="23"/>
      <c r="X12" s="23"/>
      <c r="Y12" s="23" t="s">
        <v>153</v>
      </c>
      <c r="Z12" s="23" t="s">
        <v>153</v>
      </c>
      <c r="AA12" s="23"/>
      <c r="AB12" s="23"/>
      <c r="AC12" s="23"/>
      <c r="AD12" s="23" t="s">
        <v>153</v>
      </c>
      <c r="AE12" s="23" t="s">
        <v>153</v>
      </c>
      <c r="AF12" s="23"/>
      <c r="AG12" s="23"/>
      <c r="AH12" s="83">
        <f>SUM(AH83:AH84)</f>
        <v>167.99999999999991</v>
      </c>
      <c r="AI12" s="84">
        <f>AH12-C37</f>
        <v>5.9999999999999147</v>
      </c>
      <c r="AJ12" s="84">
        <f>SUM(C88:AG88)</f>
        <v>40</v>
      </c>
      <c r="AK12" s="84">
        <f t="shared" si="2"/>
        <v>120</v>
      </c>
      <c r="AL12" s="18">
        <f>SUM(C89:AG89)</f>
        <v>0</v>
      </c>
      <c r="CF12"/>
    </row>
    <row r="13" spans="1:84" s="2" customFormat="1" ht="20.100000000000001" customHeight="1" x14ac:dyDescent="0.25">
      <c r="A13" s="268" t="s">
        <v>166</v>
      </c>
      <c r="B13" s="268"/>
      <c r="C13" s="23"/>
      <c r="D13" s="23" t="s">
        <v>150</v>
      </c>
      <c r="E13" s="23" t="s">
        <v>150</v>
      </c>
      <c r="F13" s="23" t="s">
        <v>152</v>
      </c>
      <c r="G13" s="23" t="s">
        <v>152</v>
      </c>
      <c r="H13" s="23" t="s">
        <v>152</v>
      </c>
      <c r="I13" s="23"/>
      <c r="J13" s="23" t="s">
        <v>150</v>
      </c>
      <c r="K13" s="23" t="s">
        <v>152</v>
      </c>
      <c r="L13" s="23"/>
      <c r="M13" s="23" t="s">
        <v>150</v>
      </c>
      <c r="N13" s="23" t="s">
        <v>150</v>
      </c>
      <c r="O13" s="23" t="s">
        <v>150</v>
      </c>
      <c r="P13" s="23"/>
      <c r="Q13" s="23"/>
      <c r="R13" s="23" t="s">
        <v>150</v>
      </c>
      <c r="S13" s="23" t="s">
        <v>150</v>
      </c>
      <c r="T13" s="23"/>
      <c r="U13" s="23"/>
      <c r="V13" s="23"/>
      <c r="W13" s="23" t="s">
        <v>150</v>
      </c>
      <c r="X13" s="23" t="s">
        <v>150</v>
      </c>
      <c r="Y13" s="23"/>
      <c r="Z13" s="23"/>
      <c r="AA13" s="23" t="s">
        <v>150</v>
      </c>
      <c r="AB13" s="23" t="s">
        <v>150</v>
      </c>
      <c r="AC13" s="23" t="s">
        <v>150</v>
      </c>
      <c r="AD13" s="23"/>
      <c r="AE13" s="23"/>
      <c r="AF13" s="23" t="s">
        <v>150</v>
      </c>
      <c r="AG13" s="23"/>
      <c r="AH13" s="83">
        <f>SUM(AH94:AH95)</f>
        <v>216</v>
      </c>
      <c r="AI13" s="84">
        <f>AH13-C37</f>
        <v>54</v>
      </c>
      <c r="AJ13" s="84">
        <f>SUM(C99:AG99)</f>
        <v>72</v>
      </c>
      <c r="AK13" s="84">
        <f t="shared" si="2"/>
        <v>32</v>
      </c>
      <c r="AL13" s="18">
        <f>SUM(C100:AG100)</f>
        <v>0</v>
      </c>
      <c r="CB13" s="28"/>
      <c r="CF13"/>
    </row>
    <row r="14" spans="1:84" s="2" customFormat="1" ht="19.5" customHeight="1" x14ac:dyDescent="0.25">
      <c r="A14" s="268" t="s">
        <v>161</v>
      </c>
      <c r="B14" s="268"/>
      <c r="C14" s="23" t="s">
        <v>14</v>
      </c>
      <c r="D14" s="23" t="s">
        <v>14</v>
      </c>
      <c r="E14" s="23" t="s">
        <v>14</v>
      </c>
      <c r="F14" s="23" t="s">
        <v>14</v>
      </c>
      <c r="G14" s="23" t="s">
        <v>14</v>
      </c>
      <c r="H14" s="23" t="s">
        <v>14</v>
      </c>
      <c r="I14" s="23" t="s">
        <v>14</v>
      </c>
      <c r="J14" s="23" t="s">
        <v>14</v>
      </c>
      <c r="K14" s="23" t="s">
        <v>14</v>
      </c>
      <c r="L14" s="23" t="s">
        <v>14</v>
      </c>
      <c r="M14" s="23" t="s">
        <v>14</v>
      </c>
      <c r="N14" s="23" t="s">
        <v>14</v>
      </c>
      <c r="O14" s="23" t="s">
        <v>14</v>
      </c>
      <c r="P14" s="23" t="s">
        <v>14</v>
      </c>
      <c r="Q14" s="23" t="s">
        <v>14</v>
      </c>
      <c r="R14" s="23" t="s">
        <v>14</v>
      </c>
      <c r="S14" s="23" t="s">
        <v>152</v>
      </c>
      <c r="T14" s="23" t="s">
        <v>152</v>
      </c>
      <c r="U14" s="23" t="s">
        <v>152</v>
      </c>
      <c r="V14" s="23" t="s">
        <v>152</v>
      </c>
      <c r="W14" s="23" t="s">
        <v>152</v>
      </c>
      <c r="X14" s="23"/>
      <c r="Y14" s="23" t="s">
        <v>152</v>
      </c>
      <c r="Z14" s="23" t="s">
        <v>152</v>
      </c>
      <c r="AA14" s="23" t="s">
        <v>154</v>
      </c>
      <c r="AB14" s="23" t="s">
        <v>154</v>
      </c>
      <c r="AC14" s="23" t="s">
        <v>154</v>
      </c>
      <c r="AD14" s="23" t="s">
        <v>152</v>
      </c>
      <c r="AE14" s="23" t="s">
        <v>152</v>
      </c>
      <c r="AF14" s="23"/>
      <c r="AG14" s="23" t="s">
        <v>150</v>
      </c>
      <c r="AH14" s="83">
        <f>SUM(AH105:AH106)</f>
        <v>227.51999999999992</v>
      </c>
      <c r="AI14" s="84">
        <f>AH14-C37</f>
        <v>65.519999999999925</v>
      </c>
      <c r="AJ14" s="84">
        <f>SUM(C110:AG110)</f>
        <v>40</v>
      </c>
      <c r="AK14" s="84">
        <f t="shared" si="2"/>
        <v>96</v>
      </c>
      <c r="AL14" s="18">
        <f>SUM(C111:AG111)</f>
        <v>16</v>
      </c>
      <c r="CF14"/>
    </row>
    <row r="15" spans="1:84" s="2" customFormat="1" ht="19.5" customHeight="1" x14ac:dyDescent="0.25">
      <c r="A15" s="268" t="s">
        <v>158</v>
      </c>
      <c r="B15" s="268"/>
      <c r="C15" s="23" t="s">
        <v>150</v>
      </c>
      <c r="D15" s="23"/>
      <c r="E15" s="23"/>
      <c r="F15" s="23" t="s">
        <v>150</v>
      </c>
      <c r="G15" s="23" t="s">
        <v>150</v>
      </c>
      <c r="H15" s="23" t="s">
        <v>150</v>
      </c>
      <c r="I15" s="23"/>
      <c r="J15" s="23"/>
      <c r="K15" s="23" t="s">
        <v>150</v>
      </c>
      <c r="L15" s="23" t="s">
        <v>150</v>
      </c>
      <c r="M15" s="23"/>
      <c r="N15" s="23"/>
      <c r="O15" s="23"/>
      <c r="P15" s="23" t="s">
        <v>150</v>
      </c>
      <c r="Q15" s="23" t="s">
        <v>150</v>
      </c>
      <c r="R15" s="23"/>
      <c r="S15" s="23"/>
      <c r="T15" s="23" t="s">
        <v>150</v>
      </c>
      <c r="U15" s="23" t="s">
        <v>150</v>
      </c>
      <c r="V15" s="23" t="s">
        <v>150</v>
      </c>
      <c r="W15" s="23"/>
      <c r="X15" s="23"/>
      <c r="Y15" s="23" t="s">
        <v>150</v>
      </c>
      <c r="Z15" s="23" t="s">
        <v>150</v>
      </c>
      <c r="AA15" s="23"/>
      <c r="AB15" s="23"/>
      <c r="AC15" s="23"/>
      <c r="AD15" s="23" t="s">
        <v>150</v>
      </c>
      <c r="AE15" s="23" t="s">
        <v>150</v>
      </c>
      <c r="AF15" s="23"/>
      <c r="AG15" s="23"/>
      <c r="AH15" s="83">
        <f>SUM(AH116:AH117)</f>
        <v>180</v>
      </c>
      <c r="AI15" s="84">
        <f>AH15-C37</f>
        <v>18</v>
      </c>
      <c r="AJ15" s="84">
        <f>SUM(C121:AG121)</f>
        <v>48</v>
      </c>
      <c r="AK15" s="84">
        <f t="shared" si="2"/>
        <v>0</v>
      </c>
      <c r="AL15" s="18">
        <f>SUM(C122:AG122)</f>
        <v>0</v>
      </c>
      <c r="CF15"/>
    </row>
    <row r="16" spans="1:84" s="2" customFormat="1" ht="19.5" customHeight="1" x14ac:dyDescent="0.25">
      <c r="A16" s="268" t="s">
        <v>162</v>
      </c>
      <c r="B16" s="268"/>
      <c r="C16" s="23"/>
      <c r="D16" s="23" t="s">
        <v>152</v>
      </c>
      <c r="E16" s="23" t="s">
        <v>152</v>
      </c>
      <c r="F16" s="23"/>
      <c r="G16" s="23"/>
      <c r="H16" s="23"/>
      <c r="I16" s="23" t="s">
        <v>152</v>
      </c>
      <c r="J16" s="23" t="s">
        <v>152</v>
      </c>
      <c r="K16" s="23"/>
      <c r="L16" s="23"/>
      <c r="M16" s="23" t="s">
        <v>152</v>
      </c>
      <c r="N16" s="23" t="s">
        <v>152</v>
      </c>
      <c r="O16" s="23" t="s">
        <v>152</v>
      </c>
      <c r="P16" s="23"/>
      <c r="Q16" s="23"/>
      <c r="R16" s="23" t="s">
        <v>14</v>
      </c>
      <c r="S16" s="23" t="s">
        <v>14</v>
      </c>
      <c r="T16" s="23" t="s">
        <v>14</v>
      </c>
      <c r="U16" s="23" t="s">
        <v>14</v>
      </c>
      <c r="V16" s="23" t="s">
        <v>14</v>
      </c>
      <c r="W16" s="23" t="s">
        <v>14</v>
      </c>
      <c r="X16" s="23" t="s">
        <v>14</v>
      </c>
      <c r="Y16" s="23" t="s">
        <v>14</v>
      </c>
      <c r="Z16" s="23" t="s">
        <v>14</v>
      </c>
      <c r="AA16" s="23" t="s">
        <v>14</v>
      </c>
      <c r="AB16" s="23" t="s">
        <v>14</v>
      </c>
      <c r="AC16" s="23" t="s">
        <v>14</v>
      </c>
      <c r="AD16" s="23" t="s">
        <v>14</v>
      </c>
      <c r="AE16" s="23" t="s">
        <v>14</v>
      </c>
      <c r="AF16" s="23" t="s">
        <v>14</v>
      </c>
      <c r="AG16" s="23" t="s">
        <v>14</v>
      </c>
      <c r="AH16" s="83">
        <f>SUM(AH127:AH128)</f>
        <v>167.51999999999998</v>
      </c>
      <c r="AI16" s="84">
        <f>AH16-C37</f>
        <v>5.5199999999999818</v>
      </c>
      <c r="AJ16" s="84">
        <f>SUM(C132:AG132)</f>
        <v>24</v>
      </c>
      <c r="AK16" s="84">
        <f t="shared" si="2"/>
        <v>56</v>
      </c>
      <c r="AL16" s="18">
        <f>SUM(C133:AG133)</f>
        <v>16</v>
      </c>
      <c r="CF16"/>
    </row>
    <row r="17" spans="1:87" s="2" customFormat="1" ht="19.5" customHeight="1" x14ac:dyDescent="0.25">
      <c r="A17" s="268" t="s">
        <v>163</v>
      </c>
      <c r="B17" s="268"/>
      <c r="C17" s="23" t="s">
        <v>152</v>
      </c>
      <c r="D17" s="23"/>
      <c r="E17" s="23"/>
      <c r="F17" s="23" t="s">
        <v>154</v>
      </c>
      <c r="G17" s="23" t="s">
        <v>154</v>
      </c>
      <c r="H17" s="23" t="s">
        <v>154</v>
      </c>
      <c r="I17" s="23"/>
      <c r="J17" s="23"/>
      <c r="K17" s="23" t="s">
        <v>154</v>
      </c>
      <c r="L17" s="23" t="s">
        <v>154</v>
      </c>
      <c r="M17" s="23"/>
      <c r="N17" s="23"/>
      <c r="O17" s="23"/>
      <c r="P17" s="23" t="s">
        <v>152</v>
      </c>
      <c r="Q17" s="23" t="s">
        <v>152</v>
      </c>
      <c r="R17" s="23" t="s">
        <v>152</v>
      </c>
      <c r="S17" s="23" t="s">
        <v>154</v>
      </c>
      <c r="T17" s="23"/>
      <c r="U17" s="23"/>
      <c r="V17" s="23"/>
      <c r="W17" s="23" t="s">
        <v>154</v>
      </c>
      <c r="X17" s="23" t="s">
        <v>154</v>
      </c>
      <c r="Y17" s="23" t="s">
        <v>154</v>
      </c>
      <c r="Z17" s="23" t="s">
        <v>154</v>
      </c>
      <c r="AA17" s="23" t="s">
        <v>152</v>
      </c>
      <c r="AB17" s="23" t="s">
        <v>152</v>
      </c>
      <c r="AC17" s="23" t="s">
        <v>152</v>
      </c>
      <c r="AD17" s="23" t="s">
        <v>154</v>
      </c>
      <c r="AE17" s="23" t="s">
        <v>154</v>
      </c>
      <c r="AF17" s="23"/>
      <c r="AG17" s="23"/>
      <c r="AH17" s="83">
        <f>SUM(AH138:AH139)</f>
        <v>179.99999999999966</v>
      </c>
      <c r="AI17" s="84">
        <f>AH17-C37</f>
        <v>17.999999999999659</v>
      </c>
      <c r="AJ17" s="84">
        <f>SUM(C143:AG143)</f>
        <v>40</v>
      </c>
      <c r="AK17" s="84">
        <f t="shared" si="2"/>
        <v>152</v>
      </c>
      <c r="AL17" s="18">
        <f>SUM(C144:AG144)</f>
        <v>0</v>
      </c>
      <c r="CF17"/>
    </row>
    <row r="18" spans="1:87" s="2" customFormat="1" ht="19.5" customHeight="1" x14ac:dyDescent="0.25">
      <c r="A18" s="268" t="s">
        <v>169</v>
      </c>
      <c r="B18" s="268"/>
      <c r="C18" s="23" t="s">
        <v>151</v>
      </c>
      <c r="D18" s="23"/>
      <c r="E18" s="23"/>
      <c r="F18" s="23" t="s">
        <v>151</v>
      </c>
      <c r="G18" s="23" t="s">
        <v>151</v>
      </c>
      <c r="H18" s="23" t="s">
        <v>151</v>
      </c>
      <c r="I18" s="23" t="s">
        <v>150</v>
      </c>
      <c r="J18" s="23"/>
      <c r="K18" s="23" t="s">
        <v>151</v>
      </c>
      <c r="L18" s="23" t="s">
        <v>152</v>
      </c>
      <c r="M18" s="23"/>
      <c r="N18" s="23"/>
      <c r="O18" s="23"/>
      <c r="P18" s="23" t="s">
        <v>151</v>
      </c>
      <c r="Q18" s="23" t="s">
        <v>151</v>
      </c>
      <c r="R18" s="23" t="s">
        <v>14</v>
      </c>
      <c r="S18" s="23" t="s">
        <v>14</v>
      </c>
      <c r="T18" s="23" t="s">
        <v>14</v>
      </c>
      <c r="U18" s="23" t="s">
        <v>14</v>
      </c>
      <c r="V18" s="23" t="s">
        <v>14</v>
      </c>
      <c r="W18" s="23" t="s">
        <v>14</v>
      </c>
      <c r="X18" s="23" t="s">
        <v>14</v>
      </c>
      <c r="Y18" s="23" t="s">
        <v>14</v>
      </c>
      <c r="Z18" s="23" t="s">
        <v>14</v>
      </c>
      <c r="AA18" s="23" t="s">
        <v>14</v>
      </c>
      <c r="AB18" s="23" t="s">
        <v>14</v>
      </c>
      <c r="AC18" s="23" t="s">
        <v>14</v>
      </c>
      <c r="AD18" s="23" t="s">
        <v>14</v>
      </c>
      <c r="AE18" s="23" t="s">
        <v>14</v>
      </c>
      <c r="AF18" s="23" t="s">
        <v>14</v>
      </c>
      <c r="AG18" s="23" t="s">
        <v>14</v>
      </c>
      <c r="AH18" s="83">
        <f>SUM(AH149:AH150)</f>
        <v>191.51999999999998</v>
      </c>
      <c r="AI18" s="84">
        <f>AH18-C37</f>
        <v>29.519999999999982</v>
      </c>
      <c r="AJ18" s="84">
        <f>SUM(C154:AG154)</f>
        <v>23.999999999999996</v>
      </c>
      <c r="AK18" s="84">
        <f t="shared" si="2"/>
        <v>8</v>
      </c>
      <c r="AL18" s="18">
        <f>SUM(C155:AG155)</f>
        <v>16</v>
      </c>
      <c r="CF18"/>
    </row>
    <row r="19" spans="1:87" s="2" customFormat="1" ht="19.5" customHeight="1" x14ac:dyDescent="0.25">
      <c r="A19" s="268" t="s">
        <v>175</v>
      </c>
      <c r="B19" s="268"/>
      <c r="C19" s="23" t="s">
        <v>154</v>
      </c>
      <c r="D19" s="23" t="s">
        <v>154</v>
      </c>
      <c r="E19" s="23" t="s">
        <v>154</v>
      </c>
      <c r="F19" s="23"/>
      <c r="G19" s="23"/>
      <c r="H19" s="23"/>
      <c r="I19" s="23" t="s">
        <v>154</v>
      </c>
      <c r="J19" s="23" t="s">
        <v>154</v>
      </c>
      <c r="K19" s="23"/>
      <c r="L19" s="23"/>
      <c r="M19" s="23" t="s">
        <v>154</v>
      </c>
      <c r="N19" s="23" t="s">
        <v>154</v>
      </c>
      <c r="O19" s="23" t="s">
        <v>154</v>
      </c>
      <c r="P19" s="23" t="s">
        <v>154</v>
      </c>
      <c r="Q19" s="23" t="s">
        <v>154</v>
      </c>
      <c r="R19" s="23" t="s">
        <v>154</v>
      </c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 t="s">
        <v>154</v>
      </c>
      <c r="AG19" s="23" t="s">
        <v>154</v>
      </c>
      <c r="AH19" s="83">
        <f>SUM(AH160:AH161)</f>
        <v>103.99999999999963</v>
      </c>
      <c r="AI19" s="84">
        <f>AH19-C37</f>
        <v>-58.000000000000369</v>
      </c>
      <c r="AJ19" s="84">
        <f>SUM(C165:AG165)</f>
        <v>16</v>
      </c>
      <c r="AK19" s="84">
        <f t="shared" si="2"/>
        <v>104</v>
      </c>
      <c r="AL19" s="18">
        <f>SUM(C166:AG166)</f>
        <v>0</v>
      </c>
      <c r="CF19"/>
    </row>
    <row r="20" spans="1:87" s="2" customFormat="1" ht="19.5" customHeight="1" x14ac:dyDescent="0.25">
      <c r="A20" s="268" t="s">
        <v>176</v>
      </c>
      <c r="B20" s="268"/>
      <c r="C20" s="23" t="s">
        <v>167</v>
      </c>
      <c r="D20" s="23" t="s">
        <v>167</v>
      </c>
      <c r="E20" s="23" t="s">
        <v>167</v>
      </c>
      <c r="F20" s="23" t="s">
        <v>167</v>
      </c>
      <c r="G20" s="23" t="s">
        <v>167</v>
      </c>
      <c r="H20" s="23" t="s">
        <v>167</v>
      </c>
      <c r="I20" s="23" t="s">
        <v>167</v>
      </c>
      <c r="J20" s="23" t="s">
        <v>167</v>
      </c>
      <c r="K20" s="23" t="s">
        <v>167</v>
      </c>
      <c r="L20" s="23" t="s">
        <v>167</v>
      </c>
      <c r="M20" s="23" t="s">
        <v>167</v>
      </c>
      <c r="N20" s="23" t="s">
        <v>167</v>
      </c>
      <c r="O20" s="23" t="s">
        <v>167</v>
      </c>
      <c r="P20" s="23" t="s">
        <v>167</v>
      </c>
      <c r="Q20" s="23" t="s">
        <v>167</v>
      </c>
      <c r="R20" s="23" t="s">
        <v>167</v>
      </c>
      <c r="S20" s="23" t="s">
        <v>167</v>
      </c>
      <c r="T20" s="23" t="s">
        <v>167</v>
      </c>
      <c r="U20" s="23" t="s">
        <v>167</v>
      </c>
      <c r="V20" s="23" t="s">
        <v>167</v>
      </c>
      <c r="W20" s="23" t="s">
        <v>167</v>
      </c>
      <c r="X20" s="23" t="s">
        <v>167</v>
      </c>
      <c r="Y20" s="23" t="s">
        <v>167</v>
      </c>
      <c r="Z20" s="23" t="s">
        <v>167</v>
      </c>
      <c r="AA20" s="23" t="s">
        <v>167</v>
      </c>
      <c r="AB20" s="23" t="s">
        <v>167</v>
      </c>
      <c r="AC20" s="23" t="s">
        <v>167</v>
      </c>
      <c r="AD20" s="23" t="s">
        <v>167</v>
      </c>
      <c r="AE20" s="23" t="s">
        <v>167</v>
      </c>
      <c r="AF20" s="23" t="s">
        <v>167</v>
      </c>
      <c r="AG20" s="23" t="s">
        <v>167</v>
      </c>
      <c r="AH20" s="83">
        <f>SUM(AH171:AH172)</f>
        <v>248</v>
      </c>
      <c r="AI20" s="84">
        <f>AH20-C37</f>
        <v>86</v>
      </c>
      <c r="AJ20" s="84">
        <f>SUM(C176:AG176)</f>
        <v>64</v>
      </c>
      <c r="AK20" s="84">
        <f t="shared" si="2"/>
        <v>0</v>
      </c>
      <c r="AL20" s="18">
        <f>SUM(C177:AG177)</f>
        <v>0</v>
      </c>
      <c r="CF20"/>
    </row>
    <row r="21" spans="1:87" s="2" customFormat="1" ht="19.5" customHeight="1" x14ac:dyDescent="0.25">
      <c r="A21" s="10"/>
      <c r="B21" s="29" t="s">
        <v>8</v>
      </c>
      <c r="C21" s="113">
        <f>SUM(C51+C62+C73+C84+C95+C106+C117+C128+C139+C150+C161+C172)</f>
        <v>63.999999999999972</v>
      </c>
      <c r="D21" s="113">
        <f t="shared" ref="D21:AG21" si="3">SUM(D51+D62+D73+D84+D95+D106+D117+D128+D139+D150+D161+D172)</f>
        <v>63.999999999999972</v>
      </c>
      <c r="E21" s="113">
        <f t="shared" si="3"/>
        <v>63.999999999999972</v>
      </c>
      <c r="F21" s="113">
        <f t="shared" si="3"/>
        <v>63.999999999999972</v>
      </c>
      <c r="G21" s="113">
        <f t="shared" si="3"/>
        <v>63.999999999999972</v>
      </c>
      <c r="H21" s="113">
        <f t="shared" si="3"/>
        <v>63.999999999999972</v>
      </c>
      <c r="I21" s="113">
        <f t="shared" si="3"/>
        <v>63.999999999999972</v>
      </c>
      <c r="J21" s="113">
        <f t="shared" si="3"/>
        <v>63.999999999999972</v>
      </c>
      <c r="K21" s="113">
        <f t="shared" si="3"/>
        <v>63.999999999999972</v>
      </c>
      <c r="L21" s="113">
        <f t="shared" si="3"/>
        <v>63.999999999999972</v>
      </c>
      <c r="M21" s="113">
        <f t="shared" si="3"/>
        <v>63.999999999999972</v>
      </c>
      <c r="N21" s="113">
        <f t="shared" si="3"/>
        <v>63.999999999999972</v>
      </c>
      <c r="O21" s="113">
        <f t="shared" si="3"/>
        <v>63.999999999999972</v>
      </c>
      <c r="P21" s="113">
        <f t="shared" si="3"/>
        <v>63.999999999999972</v>
      </c>
      <c r="Q21" s="113">
        <f t="shared" si="3"/>
        <v>63.999999999999972</v>
      </c>
      <c r="R21" s="113">
        <f t="shared" si="3"/>
        <v>63.999999999999972</v>
      </c>
      <c r="S21" s="113">
        <f t="shared" si="3"/>
        <v>63.999999999999972</v>
      </c>
      <c r="T21" s="113">
        <f t="shared" si="3"/>
        <v>63.999999999999972</v>
      </c>
      <c r="U21" s="113">
        <f t="shared" si="3"/>
        <v>63.999999999999972</v>
      </c>
      <c r="V21" s="113">
        <f t="shared" si="3"/>
        <v>63.999999999999972</v>
      </c>
      <c r="W21" s="113">
        <f t="shared" si="3"/>
        <v>63.999999999999972</v>
      </c>
      <c r="X21" s="113">
        <f t="shared" si="3"/>
        <v>63.999999999999972</v>
      </c>
      <c r="Y21" s="113">
        <f t="shared" si="3"/>
        <v>63.999999999999972</v>
      </c>
      <c r="Z21" s="113">
        <f t="shared" si="3"/>
        <v>63.999999999999972</v>
      </c>
      <c r="AA21" s="113">
        <f t="shared" si="3"/>
        <v>63.999999999999972</v>
      </c>
      <c r="AB21" s="113">
        <f t="shared" si="3"/>
        <v>63.999999999999972</v>
      </c>
      <c r="AC21" s="113">
        <f t="shared" si="3"/>
        <v>63.999999999999972</v>
      </c>
      <c r="AD21" s="113">
        <f t="shared" si="3"/>
        <v>63.999999999999972</v>
      </c>
      <c r="AE21" s="113">
        <f t="shared" si="3"/>
        <v>63.999999999999972</v>
      </c>
      <c r="AF21" s="113">
        <f t="shared" si="3"/>
        <v>63.999999999999972</v>
      </c>
      <c r="AG21" s="113">
        <f t="shared" si="3"/>
        <v>63.999999999999972</v>
      </c>
      <c r="AH21" s="30"/>
      <c r="AI21" s="30"/>
      <c r="AJ21" s="30"/>
      <c r="AK21" s="30"/>
      <c r="AL21" s="30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</row>
    <row r="22" spans="1:87" s="2" customFormat="1" ht="19.5" customHeight="1" x14ac:dyDescent="0.25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</row>
    <row r="23" spans="1:87" s="2" customFormat="1" ht="19.5" customHeight="1" x14ac:dyDescent="0.25">
      <c r="A23" s="80"/>
      <c r="B23" s="80"/>
      <c r="C23" s="273" t="s">
        <v>9</v>
      </c>
      <c r="D23" s="273"/>
      <c r="E23" s="273"/>
      <c r="F23" s="273"/>
      <c r="G23" s="273"/>
      <c r="H23" s="273"/>
      <c r="I23" s="82"/>
      <c r="J23" s="274" t="s">
        <v>9</v>
      </c>
      <c r="K23" s="274"/>
      <c r="L23" s="274"/>
      <c r="M23" s="274"/>
      <c r="N23" s="274"/>
      <c r="O23" s="274"/>
      <c r="P23" s="32"/>
      <c r="Q23" s="274" t="s">
        <v>136</v>
      </c>
      <c r="R23" s="274"/>
      <c r="S23" s="274"/>
      <c r="T23" s="274"/>
      <c r="U23" s="274"/>
      <c r="V23" s="274"/>
      <c r="W23" s="274"/>
      <c r="X23" s="274"/>
      <c r="Y23" s="274"/>
      <c r="Z23" s="274"/>
      <c r="AA23" s="274"/>
      <c r="AB23" s="82"/>
      <c r="AC23" s="82"/>
      <c r="AD23" s="82"/>
      <c r="AE23" s="82"/>
      <c r="AF23" s="80"/>
      <c r="AG23" s="80"/>
      <c r="AH23" s="80"/>
      <c r="AI23" s="80"/>
      <c r="AJ23" s="80"/>
      <c r="AK23" s="80"/>
      <c r="AL23" s="80"/>
      <c r="AM23"/>
      <c r="AN23"/>
      <c r="AO23"/>
      <c r="AP23"/>
      <c r="AQ23" s="1" t="s">
        <v>10</v>
      </c>
      <c r="AR23" s="1"/>
      <c r="AS23" s="1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</row>
    <row r="24" spans="1:87" ht="14.45" customHeight="1" x14ac:dyDescent="0.25">
      <c r="A24" s="82"/>
      <c r="B24" s="82"/>
      <c r="C24" s="108" t="str">
        <f t="shared" ref="C24:D26" si="4">R32</f>
        <v>D1</v>
      </c>
      <c r="D24" s="275">
        <f t="shared" si="4"/>
        <v>0.25</v>
      </c>
      <c r="E24" s="275"/>
      <c r="F24" s="33" t="s">
        <v>11</v>
      </c>
      <c r="G24" s="276">
        <f t="shared" ref="G24:G26" si="5">V32</f>
        <v>0.75</v>
      </c>
      <c r="H24" s="276"/>
      <c r="I24" s="105"/>
      <c r="J24" s="107" t="str">
        <f t="shared" ref="J24:K26" si="6">R35</f>
        <v>N2</v>
      </c>
      <c r="K24" s="277">
        <f t="shared" si="6"/>
        <v>0.79166666666666663</v>
      </c>
      <c r="L24" s="278"/>
      <c r="M24" s="110" t="s">
        <v>11</v>
      </c>
      <c r="N24" s="277">
        <f>V35</f>
        <v>0.29166666666666669</v>
      </c>
      <c r="O24" s="279"/>
      <c r="P24" s="32"/>
      <c r="Q24" s="107" t="str">
        <f>R38</f>
        <v>G</v>
      </c>
      <c r="R24" s="280"/>
      <c r="S24" s="280"/>
      <c r="T24" s="109" t="s">
        <v>11</v>
      </c>
      <c r="U24" s="280"/>
      <c r="V24" s="280"/>
      <c r="W24" s="281"/>
      <c r="X24" s="280"/>
      <c r="Y24" s="109" t="s">
        <v>11</v>
      </c>
      <c r="Z24" s="282"/>
      <c r="AA24" s="283"/>
      <c r="AB24" s="106"/>
      <c r="AC24" s="80"/>
      <c r="AD24" s="104"/>
      <c r="AE24" s="104"/>
      <c r="AF24" s="104"/>
      <c r="AG24" s="107" t="s">
        <v>12</v>
      </c>
      <c r="AH24" s="256" t="s">
        <v>1</v>
      </c>
      <c r="AI24" s="257"/>
      <c r="AJ24" s="245"/>
      <c r="AK24" s="245"/>
      <c r="AL24" s="245"/>
      <c r="AM24"/>
      <c r="AN24"/>
      <c r="AO24"/>
      <c r="AP24"/>
      <c r="AQ24" s="1" t="s">
        <v>13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</row>
    <row r="25" spans="1:87" s="2" customFormat="1" ht="14.45" customHeight="1" x14ac:dyDescent="0.25">
      <c r="A25" s="82"/>
      <c r="B25" s="82"/>
      <c r="C25" s="108" t="str">
        <f t="shared" si="4"/>
        <v>N1</v>
      </c>
      <c r="D25" s="275">
        <f t="shared" si="4"/>
        <v>0.75</v>
      </c>
      <c r="E25" s="275"/>
      <c r="F25" s="33" t="s">
        <v>11</v>
      </c>
      <c r="G25" s="276">
        <f t="shared" si="5"/>
        <v>0.25</v>
      </c>
      <c r="H25" s="276"/>
      <c r="I25" s="105"/>
      <c r="J25" s="107" t="str">
        <f t="shared" si="6"/>
        <v>N3</v>
      </c>
      <c r="K25" s="280">
        <f t="shared" si="6"/>
        <v>0.91666666666666663</v>
      </c>
      <c r="L25" s="278"/>
      <c r="M25" s="110" t="s">
        <v>11</v>
      </c>
      <c r="N25" s="280">
        <f>V36</f>
        <v>0.25</v>
      </c>
      <c r="O25" s="279"/>
      <c r="P25" s="32"/>
      <c r="Q25" s="107" t="str">
        <f>R39</f>
        <v>H</v>
      </c>
      <c r="R25" s="280"/>
      <c r="S25" s="280"/>
      <c r="T25" s="109" t="s">
        <v>11</v>
      </c>
      <c r="U25" s="280"/>
      <c r="V25" s="280"/>
      <c r="W25" s="281"/>
      <c r="X25" s="280"/>
      <c r="Y25" s="109" t="s">
        <v>11</v>
      </c>
      <c r="Z25" s="284"/>
      <c r="AA25" s="283"/>
      <c r="AB25" s="106"/>
      <c r="AC25" s="80"/>
      <c r="AD25" s="104"/>
      <c r="AE25" s="104"/>
      <c r="AF25" s="104"/>
      <c r="AG25" s="107" t="s">
        <v>14</v>
      </c>
      <c r="AH25" s="256" t="s">
        <v>59</v>
      </c>
      <c r="AI25" s="257"/>
      <c r="AJ25" s="245"/>
      <c r="AK25" s="245"/>
      <c r="AL25" s="245"/>
      <c r="AM25"/>
      <c r="AN25"/>
      <c r="AO25"/>
      <c r="AP25"/>
      <c r="AQ25" s="1" t="s">
        <v>15</v>
      </c>
      <c r="AR25" s="1"/>
      <c r="AS25" s="1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</row>
    <row r="26" spans="1:87" s="2" customFormat="1" ht="14.45" customHeight="1" x14ac:dyDescent="0.25">
      <c r="A26" s="82"/>
      <c r="B26" s="82"/>
      <c r="C26" s="108" t="str">
        <f t="shared" si="4"/>
        <v>D2</v>
      </c>
      <c r="D26" s="275">
        <f t="shared" si="4"/>
        <v>0.29166666666666669</v>
      </c>
      <c r="E26" s="275"/>
      <c r="F26" s="33" t="s">
        <v>11</v>
      </c>
      <c r="G26" s="276">
        <f t="shared" si="5"/>
        <v>0.79166666666666663</v>
      </c>
      <c r="H26" s="276"/>
      <c r="I26" s="105"/>
      <c r="J26" s="107" t="str">
        <f t="shared" si="6"/>
        <v>P</v>
      </c>
      <c r="K26" s="280">
        <f t="shared" si="6"/>
        <v>0.5</v>
      </c>
      <c r="L26" s="278"/>
      <c r="M26" s="110" t="s">
        <v>11</v>
      </c>
      <c r="N26" s="280">
        <f>V37</f>
        <v>0.83333333333333337</v>
      </c>
      <c r="O26" s="279"/>
      <c r="P26" s="32"/>
      <c r="Q26" s="107" t="str">
        <f>R40</f>
        <v>I</v>
      </c>
      <c r="R26" s="280"/>
      <c r="S26" s="280"/>
      <c r="T26" s="109" t="s">
        <v>11</v>
      </c>
      <c r="U26" s="280"/>
      <c r="V26" s="280"/>
      <c r="W26" s="281"/>
      <c r="X26" s="280"/>
      <c r="Y26" s="109" t="s">
        <v>11</v>
      </c>
      <c r="Z26" s="284"/>
      <c r="AA26" s="283"/>
      <c r="AB26" s="106"/>
      <c r="AC26" s="80"/>
      <c r="AD26" s="104"/>
      <c r="AE26" s="104"/>
      <c r="AF26" s="104"/>
      <c r="AG26" s="107" t="s">
        <v>16</v>
      </c>
      <c r="AH26" s="256" t="s">
        <v>42</v>
      </c>
      <c r="AI26" s="257"/>
      <c r="AJ26" s="245"/>
      <c r="AK26" s="245"/>
      <c r="AL26" s="245"/>
      <c r="AM26"/>
      <c r="AN26"/>
      <c r="AO26"/>
      <c r="AP26"/>
      <c r="AQ26" s="1" t="s">
        <v>17</v>
      </c>
      <c r="AR26" s="1"/>
      <c r="AS26" s="1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</row>
    <row r="27" spans="1:87" s="2" customFormat="1" ht="14.45" customHeight="1" x14ac:dyDescent="0.25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82"/>
      <c r="Z27" s="82"/>
      <c r="AA27" s="82"/>
      <c r="AB27" s="82"/>
      <c r="AC27" s="82"/>
      <c r="AD27" s="82"/>
      <c r="AE27" s="262"/>
      <c r="AF27" s="262"/>
      <c r="AG27" s="82"/>
      <c r="AH27" s="82"/>
      <c r="AI27" s="82"/>
      <c r="AJ27" s="32"/>
      <c r="AK27" s="32"/>
      <c r="AL27" s="32"/>
    </row>
    <row r="28" spans="1:87" s="2" customFormat="1" ht="14.45" customHeight="1" x14ac:dyDescent="0.25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32"/>
      <c r="AK28" s="32"/>
      <c r="AL28" s="32"/>
    </row>
    <row r="29" spans="1:87" s="2" customFormat="1" ht="14.45" customHeight="1" x14ac:dyDescent="0.25">
      <c r="A29" s="82"/>
      <c r="B29" s="81" t="s">
        <v>18</v>
      </c>
      <c r="C29" s="251" t="str">
        <f>E43</f>
        <v xml:space="preserve">*Aquí notas que se vean en el cuadrante... </v>
      </c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  <c r="AA29" s="251"/>
      <c r="AB29" s="251"/>
      <c r="AC29" s="251"/>
      <c r="AD29" s="251"/>
      <c r="AE29" s="251"/>
      <c r="AF29" s="251"/>
      <c r="AG29" s="251"/>
      <c r="AH29" s="251"/>
      <c r="AI29" s="251"/>
      <c r="AJ29" s="251"/>
      <c r="AK29" s="32"/>
      <c r="AL29" s="32"/>
    </row>
    <row r="30" spans="1:87" s="2" customFormat="1" ht="19.5" customHeight="1" x14ac:dyDescent="0.35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32"/>
      <c r="AK30" s="32"/>
      <c r="AL30" s="32"/>
      <c r="AN30" s="5" t="s">
        <v>19</v>
      </c>
      <c r="AO30" s="5"/>
      <c r="AP30" s="5" t="s">
        <v>20</v>
      </c>
      <c r="AQ30" s="5" t="s">
        <v>21</v>
      </c>
      <c r="AR30" s="5"/>
      <c r="AS30" s="5"/>
      <c r="AT30" s="5"/>
      <c r="AU30" s="5"/>
      <c r="AV30" s="5"/>
      <c r="AW30" s="5"/>
      <c r="AX30" s="5" t="s">
        <v>22</v>
      </c>
      <c r="AY30" s="5"/>
      <c r="AZ30" s="5" t="s">
        <v>23</v>
      </c>
      <c r="BA30" s="5"/>
      <c r="BB30" s="5"/>
      <c r="BC30" s="5"/>
      <c r="BD30" s="5" t="s">
        <v>24</v>
      </c>
    </row>
    <row r="31" spans="1:87" s="2" customFormat="1" ht="19.5" customHeight="1" x14ac:dyDescent="0.25">
      <c r="A31" s="252" t="s">
        <v>25</v>
      </c>
      <c r="B31" s="252"/>
      <c r="C31" s="252"/>
      <c r="D31" s="252"/>
      <c r="E31" s="252"/>
      <c r="F31" s="252"/>
      <c r="G31" s="252"/>
      <c r="H31" s="252"/>
      <c r="I31" s="252"/>
      <c r="J31" s="252"/>
      <c r="K31" s="252"/>
      <c r="L31" s="252"/>
      <c r="M31" s="252"/>
      <c r="N31" s="252"/>
      <c r="O31" s="114"/>
      <c r="P31" s="114"/>
      <c r="Q31" s="114"/>
      <c r="R31" s="252" t="s">
        <v>9</v>
      </c>
      <c r="S31" s="252"/>
      <c r="T31" s="252"/>
      <c r="U31" s="252"/>
      <c r="V31" s="252"/>
      <c r="W31" s="252"/>
      <c r="X31" s="115"/>
      <c r="Y31" s="115"/>
      <c r="Z31" s="115"/>
      <c r="AA31" s="115"/>
      <c r="AB31" s="115"/>
      <c r="AC31" s="116"/>
      <c r="AD31" s="253" t="s">
        <v>26</v>
      </c>
      <c r="AE31" s="253"/>
      <c r="AF31" s="253"/>
      <c r="AG31" s="253"/>
      <c r="AH31" s="253"/>
      <c r="AI31" s="253"/>
      <c r="AJ31" s="114"/>
      <c r="AK31" s="212" t="s">
        <v>6</v>
      </c>
      <c r="AL31" s="114"/>
      <c r="AN31" s="97" t="s">
        <v>27</v>
      </c>
      <c r="AO31" s="97" t="s">
        <v>28</v>
      </c>
      <c r="AP31" s="97" t="s">
        <v>29</v>
      </c>
      <c r="AQ31" s="97" t="s">
        <v>30</v>
      </c>
      <c r="AR31" s="261" t="s">
        <v>31</v>
      </c>
      <c r="AS31" s="261"/>
      <c r="AT31" s="261"/>
      <c r="AU31" s="261"/>
      <c r="AV31" s="261"/>
      <c r="AW31" s="261"/>
      <c r="AX31" s="261"/>
      <c r="AY31" s="261"/>
      <c r="AZ31" s="261"/>
      <c r="BA31" s="97" t="s">
        <v>32</v>
      </c>
      <c r="BB31" s="260" t="s">
        <v>33</v>
      </c>
      <c r="BC31" s="260"/>
      <c r="BD31" s="103" t="s">
        <v>34</v>
      </c>
      <c r="BE31" s="56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</row>
    <row r="32" spans="1:87" s="2" customFormat="1" ht="19.5" customHeight="1" x14ac:dyDescent="0.25">
      <c r="A32" s="238" t="s">
        <v>35</v>
      </c>
      <c r="B32" s="238"/>
      <c r="C32" s="242" t="s">
        <v>164</v>
      </c>
      <c r="D32" s="242"/>
      <c r="E32" s="242"/>
      <c r="F32" s="242"/>
      <c r="G32" s="242"/>
      <c r="H32" s="242"/>
      <c r="I32" s="242"/>
      <c r="J32" s="242"/>
      <c r="K32" s="242"/>
      <c r="L32" s="242"/>
      <c r="M32" s="242"/>
      <c r="N32" s="242"/>
      <c r="O32" s="114"/>
      <c r="P32" s="114"/>
      <c r="Q32" s="117"/>
      <c r="R32" s="85" t="s">
        <v>150</v>
      </c>
      <c r="S32" s="240">
        <v>0.25</v>
      </c>
      <c r="T32" s="240"/>
      <c r="U32" s="118" t="s">
        <v>11</v>
      </c>
      <c r="V32" s="241">
        <v>0.75</v>
      </c>
      <c r="W32" s="241"/>
      <c r="X32" s="115"/>
      <c r="Y32" s="115"/>
      <c r="Z32" s="115"/>
      <c r="AA32" s="115"/>
      <c r="AB32" s="115"/>
      <c r="AC32" s="116"/>
      <c r="AD32" s="250" t="s">
        <v>36</v>
      </c>
      <c r="AE32" s="250"/>
      <c r="AF32" s="250"/>
      <c r="AG32" s="250"/>
      <c r="AH32" s="86">
        <v>0.5</v>
      </c>
      <c r="AI32" s="254">
        <f>AH32/24</f>
        <v>2.0833333333333332E-2</v>
      </c>
      <c r="AJ32" s="255"/>
      <c r="AK32" s="217">
        <f>AH49</f>
        <v>40</v>
      </c>
      <c r="AL32" s="214" t="s">
        <v>90</v>
      </c>
      <c r="AM32" s="9"/>
      <c r="AN32" s="34">
        <f t="shared" ref="AN32:AN40" si="7">IF(AS32/24=0,0,AS32/24)</f>
        <v>0</v>
      </c>
      <c r="AO32" s="35">
        <f t="shared" ref="AO32:AO40" si="8">IF(BA32=0,"",BA32)</f>
        <v>0.5</v>
      </c>
      <c r="AP32" s="36">
        <f t="shared" ref="AP32:AP39" si="9">S32*24</f>
        <v>6</v>
      </c>
      <c r="AQ32" s="36">
        <f t="shared" ref="AQ32:AQ40" si="10">V32*24</f>
        <v>18</v>
      </c>
      <c r="AR32" s="36">
        <f t="shared" ref="AR32:AR40" si="11">AS32</f>
        <v>0</v>
      </c>
      <c r="AS32" s="37">
        <f t="shared" ref="AS32:AS40" si="12">IF(AV32&gt;=4,AT32,AT32)</f>
        <v>0</v>
      </c>
      <c r="AT32" s="38">
        <f t="shared" ref="AT32:AT40" si="13">IF(AV32&gt;8,8,AU32)</f>
        <v>0</v>
      </c>
      <c r="AU32" s="39">
        <f t="shared" ref="AU32:AU40" si="14">IF(AV32&lt;0,0,AV32)</f>
        <v>0</v>
      </c>
      <c r="AV32" s="40">
        <f t="shared" ref="AV32:AV40" si="15">IF(AP32=AQ32,0,IF(AP32&gt;AQ32,AW32,IF(AP32&gt;=6,AX32,AQ32-AP32)))</f>
        <v>-12</v>
      </c>
      <c r="AW32" s="36">
        <f t="shared" ref="AW32:AW40" si="16">IF(AP32&lt;6,(AQ32-22+24)+(6-AP32),IF(AP32&gt;=22,AY32,IF(AV2&lt;=6,(AQ32-22)+24,8)))</f>
        <v>20</v>
      </c>
      <c r="AX32" s="41">
        <f t="shared" ref="AX32:AX40" si="17">IF(AQ32&gt;22,AZ32,IF(AP32&lt;AQ32,AP32-AQ32,IF(AP32&gt;6,0,(6-AP32))))</f>
        <v>-12</v>
      </c>
      <c r="AY32" s="36">
        <f t="shared" ref="AY32:AY40" si="18">IF(AQ32&lt;=6,(AQ32-AP32)+24,IF(AQ32&gt;22,8,(6-AP32)+24))</f>
        <v>24</v>
      </c>
      <c r="AZ32" s="42">
        <f t="shared" ref="AZ32:AZ40" si="19">IF(AP32&lt;=6,(6-AP32)+(AQ32-22),IF(AP32&gt;22,(AQ32-AP32),(AQ32-22)))</f>
        <v>-4</v>
      </c>
      <c r="BA32" s="36">
        <f t="shared" ref="BA32:BA40" si="20">IF(V32-S32&gt;=0,V32-S32,V32-S32+24)</f>
        <v>0.5</v>
      </c>
      <c r="BB32" s="36">
        <f t="shared" ref="BB32:BB40" si="21">IF(AO32&lt;1,AO32*24,(AO32-24)*24)</f>
        <v>12</v>
      </c>
      <c r="BC32" s="36">
        <f t="shared" ref="BC32:BC40" si="22">IF(BB32&gt;=0,BB32,BB32+24)</f>
        <v>12</v>
      </c>
      <c r="BD32" s="43">
        <f t="shared" ref="BD32:BD40" si="23">IF(AX32&lt;=0,AN32,IF(AX32&gt;=0.1,AX32/24))</f>
        <v>0</v>
      </c>
      <c r="BE32" s="44" t="str">
        <f t="shared" ref="BE32:BE34" si="24">IF(BD38&gt;=4,IF(BD38="",0,8),IF(BD38&gt;=0.1,IF(BD38="",0,BD38),""))</f>
        <v/>
      </c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</row>
    <row r="33" spans="1:80" s="2" customFormat="1" ht="19.5" customHeight="1" x14ac:dyDescent="0.25">
      <c r="A33" s="238" t="s">
        <v>37</v>
      </c>
      <c r="B33" s="238"/>
      <c r="C33" s="242" t="s">
        <v>165</v>
      </c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114"/>
      <c r="P33" s="114"/>
      <c r="Q33" s="117"/>
      <c r="R33" s="85" t="s">
        <v>152</v>
      </c>
      <c r="S33" s="240">
        <v>0.75</v>
      </c>
      <c r="T33" s="240"/>
      <c r="U33" s="118" t="s">
        <v>11</v>
      </c>
      <c r="V33" s="241">
        <v>0.25</v>
      </c>
      <c r="W33" s="241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4"/>
      <c r="AK33" s="217">
        <f>AH60</f>
        <v>8</v>
      </c>
      <c r="AL33" s="214" t="s">
        <v>138</v>
      </c>
      <c r="AM33" s="9"/>
      <c r="AN33" s="35">
        <f t="shared" si="7"/>
        <v>0.33333333333333331</v>
      </c>
      <c r="AO33" s="35">
        <f t="shared" si="8"/>
        <v>23.5</v>
      </c>
      <c r="AP33" s="36">
        <f t="shared" si="9"/>
        <v>18</v>
      </c>
      <c r="AQ33" s="36">
        <f t="shared" si="10"/>
        <v>6</v>
      </c>
      <c r="AR33" s="36">
        <f t="shared" si="11"/>
        <v>8</v>
      </c>
      <c r="AS33" s="37">
        <f t="shared" si="12"/>
        <v>8</v>
      </c>
      <c r="AT33" s="38">
        <f t="shared" si="13"/>
        <v>8</v>
      </c>
      <c r="AU33" s="39">
        <f t="shared" si="14"/>
        <v>8</v>
      </c>
      <c r="AV33" s="36">
        <f t="shared" si="15"/>
        <v>8</v>
      </c>
      <c r="AW33" s="36">
        <f t="shared" si="16"/>
        <v>8</v>
      </c>
      <c r="AX33" s="41">
        <f t="shared" si="17"/>
        <v>0</v>
      </c>
      <c r="AY33" s="36">
        <f t="shared" si="18"/>
        <v>12</v>
      </c>
      <c r="AZ33" s="36">
        <f t="shared" si="19"/>
        <v>-16</v>
      </c>
      <c r="BA33" s="36">
        <f t="shared" si="20"/>
        <v>23.5</v>
      </c>
      <c r="BB33" s="36">
        <f t="shared" si="21"/>
        <v>-12</v>
      </c>
      <c r="BC33" s="36">
        <f t="shared" si="22"/>
        <v>12</v>
      </c>
      <c r="BD33" s="43">
        <f t="shared" si="23"/>
        <v>0.33333333333333331</v>
      </c>
      <c r="BE33" s="44" t="str">
        <f t="shared" si="24"/>
        <v/>
      </c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</row>
    <row r="34" spans="1:80" s="2" customFormat="1" ht="19.5" customHeight="1" x14ac:dyDescent="0.35">
      <c r="A34" s="238" t="s">
        <v>38</v>
      </c>
      <c r="B34" s="238"/>
      <c r="C34" s="242">
        <v>2025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114"/>
      <c r="P34" s="114"/>
      <c r="Q34" s="117"/>
      <c r="R34" s="85" t="s">
        <v>151</v>
      </c>
      <c r="S34" s="240">
        <v>0.29166666666666669</v>
      </c>
      <c r="T34" s="240"/>
      <c r="U34" s="118" t="s">
        <v>11</v>
      </c>
      <c r="V34" s="241">
        <v>0.79166666666666663</v>
      </c>
      <c r="W34" s="241"/>
      <c r="X34" s="115"/>
      <c r="Y34" s="119"/>
      <c r="Z34" s="119"/>
      <c r="AA34" s="119"/>
      <c r="AB34" s="119"/>
      <c r="AC34" s="119"/>
      <c r="AD34" s="119"/>
      <c r="AE34" s="115"/>
      <c r="AF34" s="115"/>
      <c r="AG34" s="115"/>
      <c r="AH34" s="115"/>
      <c r="AI34" s="115"/>
      <c r="AJ34" s="115"/>
      <c r="AK34" s="217">
        <f>AH71</f>
        <v>128</v>
      </c>
      <c r="AL34" s="214" t="s">
        <v>139</v>
      </c>
      <c r="AM34" s="9"/>
      <c r="AN34" s="35">
        <f t="shared" si="7"/>
        <v>0</v>
      </c>
      <c r="AO34" s="35">
        <f t="shared" si="8"/>
        <v>0.49999999999999994</v>
      </c>
      <c r="AP34" s="36">
        <f t="shared" si="9"/>
        <v>7</v>
      </c>
      <c r="AQ34" s="36">
        <f t="shared" si="10"/>
        <v>19</v>
      </c>
      <c r="AR34" s="36">
        <f t="shared" si="11"/>
        <v>0</v>
      </c>
      <c r="AS34" s="37">
        <f t="shared" si="12"/>
        <v>0</v>
      </c>
      <c r="AT34" s="38">
        <f t="shared" si="13"/>
        <v>0</v>
      </c>
      <c r="AU34" s="39">
        <f t="shared" si="14"/>
        <v>0</v>
      </c>
      <c r="AV34" s="36">
        <f t="shared" si="15"/>
        <v>-12</v>
      </c>
      <c r="AW34" s="36">
        <f t="shared" si="16"/>
        <v>21</v>
      </c>
      <c r="AX34" s="41">
        <f t="shared" si="17"/>
        <v>-12</v>
      </c>
      <c r="AY34" s="36">
        <f t="shared" si="18"/>
        <v>23</v>
      </c>
      <c r="AZ34" s="36">
        <f t="shared" si="19"/>
        <v>-3</v>
      </c>
      <c r="BA34" s="36">
        <f t="shared" si="20"/>
        <v>0.49999999999999994</v>
      </c>
      <c r="BB34" s="36">
        <f t="shared" si="21"/>
        <v>11.999999999999998</v>
      </c>
      <c r="BC34" s="36">
        <f t="shared" si="22"/>
        <v>11.999999999999998</v>
      </c>
      <c r="BD34" s="43">
        <f t="shared" si="23"/>
        <v>0</v>
      </c>
      <c r="BE34" s="44" t="str">
        <f t="shared" si="24"/>
        <v/>
      </c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</row>
    <row r="35" spans="1:80" s="2" customFormat="1" ht="19.5" customHeight="1" x14ac:dyDescent="0.25">
      <c r="A35" s="238" t="s">
        <v>39</v>
      </c>
      <c r="B35" s="238"/>
      <c r="C35" s="242">
        <v>7</v>
      </c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114"/>
      <c r="P35" s="114"/>
      <c r="Q35" s="117"/>
      <c r="R35" s="85" t="s">
        <v>153</v>
      </c>
      <c r="S35" s="240">
        <v>0.79166666666666663</v>
      </c>
      <c r="T35" s="240"/>
      <c r="U35" s="118" t="s">
        <v>11</v>
      </c>
      <c r="V35" s="241">
        <v>0.29166666666666669</v>
      </c>
      <c r="W35" s="241"/>
      <c r="X35" s="115"/>
      <c r="Y35" s="120"/>
      <c r="Z35" s="121"/>
      <c r="AA35" s="121"/>
      <c r="AB35" s="120"/>
      <c r="AC35" s="121"/>
      <c r="AD35" s="121"/>
      <c r="AE35" s="115"/>
      <c r="AF35" s="115"/>
      <c r="AG35" s="115"/>
      <c r="AH35" s="115"/>
      <c r="AI35" s="115"/>
      <c r="AJ35" s="115"/>
      <c r="AK35" s="217">
        <f>AH82</f>
        <v>120</v>
      </c>
      <c r="AL35" s="214" t="s">
        <v>140</v>
      </c>
      <c r="AM35" s="9"/>
      <c r="AN35" s="35">
        <f t="shared" si="7"/>
        <v>0.33333333333333331</v>
      </c>
      <c r="AO35" s="35">
        <f t="shared" si="8"/>
        <v>23.5</v>
      </c>
      <c r="AP35" s="36">
        <f t="shared" si="9"/>
        <v>19</v>
      </c>
      <c r="AQ35" s="36">
        <f t="shared" si="10"/>
        <v>7</v>
      </c>
      <c r="AR35" s="36">
        <f t="shared" si="11"/>
        <v>8</v>
      </c>
      <c r="AS35" s="37">
        <f t="shared" si="12"/>
        <v>8</v>
      </c>
      <c r="AT35" s="38">
        <f t="shared" si="13"/>
        <v>8</v>
      </c>
      <c r="AU35" s="39">
        <f t="shared" si="14"/>
        <v>9</v>
      </c>
      <c r="AV35" s="36">
        <f t="shared" si="15"/>
        <v>9</v>
      </c>
      <c r="AW35" s="36">
        <f t="shared" si="16"/>
        <v>9</v>
      </c>
      <c r="AX35" s="41">
        <f t="shared" si="17"/>
        <v>0</v>
      </c>
      <c r="AY35" s="36">
        <f t="shared" si="18"/>
        <v>11</v>
      </c>
      <c r="AZ35" s="36">
        <f t="shared" si="19"/>
        <v>-15</v>
      </c>
      <c r="BA35" s="36">
        <f t="shared" si="20"/>
        <v>23.5</v>
      </c>
      <c r="BB35" s="36">
        <f t="shared" si="21"/>
        <v>-12</v>
      </c>
      <c r="BC35" s="36">
        <f t="shared" si="22"/>
        <v>12</v>
      </c>
      <c r="BD35" s="43">
        <f t="shared" si="23"/>
        <v>0.33333333333333331</v>
      </c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</row>
    <row r="36" spans="1:80" s="2" customFormat="1" ht="19.5" customHeight="1" x14ac:dyDescent="0.25">
      <c r="A36" s="238" t="s">
        <v>40</v>
      </c>
      <c r="B36" s="238"/>
      <c r="C36" s="239">
        <v>5.22</v>
      </c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114"/>
      <c r="P36" s="114"/>
      <c r="Q36" s="117"/>
      <c r="R36" s="85" t="s">
        <v>154</v>
      </c>
      <c r="S36" s="240">
        <v>0.91666666666666663</v>
      </c>
      <c r="T36" s="240"/>
      <c r="U36" s="118" t="s">
        <v>11</v>
      </c>
      <c r="V36" s="241">
        <v>0.25</v>
      </c>
      <c r="W36" s="241"/>
      <c r="X36" s="115"/>
      <c r="Y36" s="120"/>
      <c r="Z36" s="121"/>
      <c r="AA36" s="121"/>
      <c r="AB36" s="120"/>
      <c r="AC36" s="121"/>
      <c r="AD36" s="121"/>
      <c r="AE36" s="115"/>
      <c r="AF36" s="115"/>
      <c r="AG36" s="115"/>
      <c r="AH36" s="115"/>
      <c r="AI36" s="115"/>
      <c r="AJ36" s="115"/>
      <c r="AK36" s="217">
        <f>AH93</f>
        <v>32</v>
      </c>
      <c r="AL36" s="214" t="s">
        <v>141</v>
      </c>
      <c r="AM36" s="9"/>
      <c r="AN36" s="35">
        <f t="shared" si="7"/>
        <v>0.33333333333333331</v>
      </c>
      <c r="AO36" s="35">
        <f t="shared" si="8"/>
        <v>23.333333333333332</v>
      </c>
      <c r="AP36" s="36">
        <f t="shared" si="9"/>
        <v>22</v>
      </c>
      <c r="AQ36" s="36">
        <f t="shared" si="10"/>
        <v>6</v>
      </c>
      <c r="AR36" s="36">
        <f t="shared" si="11"/>
        <v>8</v>
      </c>
      <c r="AS36" s="37">
        <f t="shared" si="12"/>
        <v>8</v>
      </c>
      <c r="AT36" s="38">
        <f t="shared" si="13"/>
        <v>8</v>
      </c>
      <c r="AU36" s="39">
        <f t="shared" si="14"/>
        <v>8</v>
      </c>
      <c r="AV36" s="36">
        <f t="shared" si="15"/>
        <v>8</v>
      </c>
      <c r="AW36" s="36">
        <f t="shared" si="16"/>
        <v>8</v>
      </c>
      <c r="AX36" s="41">
        <f t="shared" si="17"/>
        <v>0</v>
      </c>
      <c r="AY36" s="36">
        <f t="shared" si="18"/>
        <v>8</v>
      </c>
      <c r="AZ36" s="36">
        <f t="shared" si="19"/>
        <v>-16</v>
      </c>
      <c r="BA36" s="36">
        <f t="shared" si="20"/>
        <v>23.333333333333332</v>
      </c>
      <c r="BB36" s="36">
        <f t="shared" si="21"/>
        <v>-16.000000000000028</v>
      </c>
      <c r="BC36" s="36">
        <f t="shared" si="22"/>
        <v>7.9999999999999716</v>
      </c>
      <c r="BD36" s="43">
        <f t="shared" si="23"/>
        <v>0.33333333333333331</v>
      </c>
      <c r="BE36" s="1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</row>
    <row r="37" spans="1:80" s="2" customFormat="1" ht="19.5" customHeight="1" x14ac:dyDescent="0.25">
      <c r="A37" s="238" t="s">
        <v>41</v>
      </c>
      <c r="B37" s="238"/>
      <c r="C37" s="239">
        <v>162</v>
      </c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116"/>
      <c r="P37" s="116"/>
      <c r="Q37" s="117"/>
      <c r="R37" s="85" t="s">
        <v>167</v>
      </c>
      <c r="S37" s="240">
        <v>0.5</v>
      </c>
      <c r="T37" s="240"/>
      <c r="U37" s="118" t="s">
        <v>11</v>
      </c>
      <c r="V37" s="241">
        <v>0.83333333333333337</v>
      </c>
      <c r="W37" s="241"/>
      <c r="X37" s="115"/>
      <c r="Y37" s="120"/>
      <c r="Z37" s="121"/>
      <c r="AA37" s="121"/>
      <c r="AB37" s="120"/>
      <c r="AC37" s="121"/>
      <c r="AD37" s="121"/>
      <c r="AE37" s="115"/>
      <c r="AF37" s="115"/>
      <c r="AG37" s="115"/>
      <c r="AH37" s="115"/>
      <c r="AI37" s="115"/>
      <c r="AJ37" s="116"/>
      <c r="AK37" s="217">
        <f>AH104</f>
        <v>96</v>
      </c>
      <c r="AL37" s="214" t="s">
        <v>142</v>
      </c>
      <c r="AM37" s="9"/>
      <c r="AN37" s="35">
        <f t="shared" si="7"/>
        <v>0</v>
      </c>
      <c r="AO37" s="35">
        <f t="shared" si="8"/>
        <v>0.33333333333333337</v>
      </c>
      <c r="AP37" s="36">
        <f t="shared" si="9"/>
        <v>12</v>
      </c>
      <c r="AQ37" s="36">
        <f t="shared" si="10"/>
        <v>20</v>
      </c>
      <c r="AR37" s="36">
        <f t="shared" si="11"/>
        <v>0</v>
      </c>
      <c r="AS37" s="37">
        <f t="shared" si="12"/>
        <v>0</v>
      </c>
      <c r="AT37" s="38">
        <f t="shared" si="13"/>
        <v>0</v>
      </c>
      <c r="AU37" s="39">
        <f t="shared" si="14"/>
        <v>0</v>
      </c>
      <c r="AV37" s="36">
        <f t="shared" si="15"/>
        <v>-8</v>
      </c>
      <c r="AW37" s="36">
        <f t="shared" si="16"/>
        <v>22</v>
      </c>
      <c r="AX37" s="41">
        <f t="shared" si="17"/>
        <v>-8</v>
      </c>
      <c r="AY37" s="36">
        <f t="shared" si="18"/>
        <v>18</v>
      </c>
      <c r="AZ37" s="36">
        <f t="shared" si="19"/>
        <v>-2</v>
      </c>
      <c r="BA37" s="36">
        <f t="shared" si="20"/>
        <v>0.33333333333333337</v>
      </c>
      <c r="BB37" s="36">
        <f t="shared" si="21"/>
        <v>8</v>
      </c>
      <c r="BC37" s="36">
        <f t="shared" si="22"/>
        <v>8</v>
      </c>
      <c r="BD37" s="43">
        <f t="shared" si="23"/>
        <v>0</v>
      </c>
      <c r="BE37" s="1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</row>
    <row r="38" spans="1:80" s="2" customFormat="1" ht="20.100000000000001" customHeight="1" x14ac:dyDescent="0.25">
      <c r="A38" s="238" t="s">
        <v>42</v>
      </c>
      <c r="B38" s="238"/>
      <c r="C38" s="239">
        <v>0</v>
      </c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122"/>
      <c r="P38" s="122"/>
      <c r="Q38" s="115"/>
      <c r="R38" s="197" t="str">
        <f>CONTROL!F41</f>
        <v>G</v>
      </c>
      <c r="S38" s="222">
        <f>CONTROL!G41</f>
        <v>0.29166666666666669</v>
      </c>
      <c r="T38" s="222"/>
      <c r="U38" s="118" t="s">
        <v>11</v>
      </c>
      <c r="V38" s="223">
        <f>CONTROL!H41</f>
        <v>0.33333333333333331</v>
      </c>
      <c r="W38" s="223"/>
      <c r="X38" s="115"/>
      <c r="Y38" s="120"/>
      <c r="Z38" s="121"/>
      <c r="AA38" s="121"/>
      <c r="AB38" s="120"/>
      <c r="AC38" s="121"/>
      <c r="AD38" s="121"/>
      <c r="AE38" s="116"/>
      <c r="AF38" s="116"/>
      <c r="AG38" s="116"/>
      <c r="AH38" s="116"/>
      <c r="AI38" s="116"/>
      <c r="AJ38" s="114"/>
      <c r="AK38" s="217">
        <f>AH115</f>
        <v>0</v>
      </c>
      <c r="AL38" s="214" t="s">
        <v>143</v>
      </c>
      <c r="AN38" s="35">
        <f t="shared" si="7"/>
        <v>0</v>
      </c>
      <c r="AO38" s="35">
        <f t="shared" si="8"/>
        <v>4.166666666666663E-2</v>
      </c>
      <c r="AP38" s="36">
        <f t="shared" si="9"/>
        <v>7</v>
      </c>
      <c r="AQ38" s="36">
        <f t="shared" si="10"/>
        <v>8</v>
      </c>
      <c r="AR38" s="36">
        <f t="shared" si="11"/>
        <v>0</v>
      </c>
      <c r="AS38" s="37">
        <f t="shared" si="12"/>
        <v>0</v>
      </c>
      <c r="AT38" s="38">
        <f t="shared" si="13"/>
        <v>0</v>
      </c>
      <c r="AU38" s="39">
        <f t="shared" si="14"/>
        <v>0</v>
      </c>
      <c r="AV38" s="36">
        <f t="shared" si="15"/>
        <v>-1</v>
      </c>
      <c r="AW38" s="36">
        <f t="shared" si="16"/>
        <v>10</v>
      </c>
      <c r="AX38" s="41">
        <f t="shared" si="17"/>
        <v>-1</v>
      </c>
      <c r="AY38" s="36">
        <f t="shared" si="18"/>
        <v>23</v>
      </c>
      <c r="AZ38" s="36">
        <f t="shared" si="19"/>
        <v>-14</v>
      </c>
      <c r="BA38" s="36">
        <f t="shared" si="20"/>
        <v>4.166666666666663E-2</v>
      </c>
      <c r="BB38" s="36">
        <f t="shared" si="21"/>
        <v>0.99999999999999911</v>
      </c>
      <c r="BC38" s="36">
        <f t="shared" si="22"/>
        <v>0.99999999999999911</v>
      </c>
      <c r="BD38" s="43">
        <f t="shared" si="23"/>
        <v>0</v>
      </c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</row>
    <row r="39" spans="1:80" s="2" customFormat="1" ht="20.100000000000001" customHeight="1" x14ac:dyDescent="0.25">
      <c r="A39" s="123"/>
      <c r="B39" s="116"/>
      <c r="C39" s="124"/>
      <c r="D39" s="116"/>
      <c r="E39" s="116"/>
      <c r="F39" s="116"/>
      <c r="G39" s="116"/>
      <c r="H39" s="116"/>
      <c r="I39" s="116"/>
      <c r="J39" s="116"/>
      <c r="K39" s="116"/>
      <c r="L39" s="122"/>
      <c r="M39" s="122"/>
      <c r="N39" s="125"/>
      <c r="O39" s="122"/>
      <c r="P39" s="122"/>
      <c r="Q39" s="115"/>
      <c r="R39" s="197" t="str">
        <f>CONTROL!F42</f>
        <v>H</v>
      </c>
      <c r="S39" s="222">
        <f>CONTROL!G42</f>
        <v>0.33333333333333331</v>
      </c>
      <c r="T39" s="222"/>
      <c r="U39" s="118" t="s">
        <v>11</v>
      </c>
      <c r="V39" s="223">
        <f>CONTROL!H42</f>
        <v>0.375</v>
      </c>
      <c r="W39" s="223"/>
      <c r="X39" s="115"/>
      <c r="Y39" s="120"/>
      <c r="Z39" s="121"/>
      <c r="AA39" s="121"/>
      <c r="AB39" s="120"/>
      <c r="AC39" s="121"/>
      <c r="AD39" s="121"/>
      <c r="AE39" s="116"/>
      <c r="AF39" s="116"/>
      <c r="AG39" s="116"/>
      <c r="AH39" s="116"/>
      <c r="AI39" s="116"/>
      <c r="AJ39" s="114"/>
      <c r="AK39" s="217">
        <f>AH126</f>
        <v>56</v>
      </c>
      <c r="AL39" s="214" t="s">
        <v>144</v>
      </c>
      <c r="AN39" s="35">
        <f t="shared" si="7"/>
        <v>0</v>
      </c>
      <c r="AO39" s="35">
        <f t="shared" si="8"/>
        <v>4.1666666666666685E-2</v>
      </c>
      <c r="AP39" s="36">
        <f t="shared" si="9"/>
        <v>8</v>
      </c>
      <c r="AQ39" s="36">
        <f t="shared" si="10"/>
        <v>9</v>
      </c>
      <c r="AR39" s="36">
        <f t="shared" si="11"/>
        <v>0</v>
      </c>
      <c r="AS39" s="37">
        <f t="shared" si="12"/>
        <v>0</v>
      </c>
      <c r="AT39" s="38">
        <f t="shared" si="13"/>
        <v>0</v>
      </c>
      <c r="AU39" s="39">
        <f t="shared" si="14"/>
        <v>0</v>
      </c>
      <c r="AV39" s="36">
        <f t="shared" si="15"/>
        <v>-1</v>
      </c>
      <c r="AW39" s="36">
        <f t="shared" si="16"/>
        <v>11</v>
      </c>
      <c r="AX39" s="41">
        <f t="shared" si="17"/>
        <v>-1</v>
      </c>
      <c r="AY39" s="36">
        <f t="shared" si="18"/>
        <v>22</v>
      </c>
      <c r="AZ39" s="36">
        <f t="shared" si="19"/>
        <v>-13</v>
      </c>
      <c r="BA39" s="36">
        <f t="shared" si="20"/>
        <v>4.1666666666666685E-2</v>
      </c>
      <c r="BB39" s="36">
        <f t="shared" si="21"/>
        <v>1.0000000000000004</v>
      </c>
      <c r="BC39" s="36">
        <f t="shared" si="22"/>
        <v>1.0000000000000004</v>
      </c>
      <c r="BD39" s="43">
        <f t="shared" si="23"/>
        <v>0</v>
      </c>
      <c r="BE39" s="31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</row>
    <row r="40" spans="1:80" s="2" customFormat="1" ht="20.100000000000001" customHeight="1" x14ac:dyDescent="0.25">
      <c r="A40" s="123"/>
      <c r="B40" s="116"/>
      <c r="C40" s="124"/>
      <c r="D40" s="116"/>
      <c r="E40" s="116"/>
      <c r="F40" s="116"/>
      <c r="G40" s="116"/>
      <c r="H40" s="116"/>
      <c r="I40" s="116"/>
      <c r="J40" s="116"/>
      <c r="K40" s="116"/>
      <c r="L40" s="122"/>
      <c r="M40" s="122"/>
      <c r="N40" s="125"/>
      <c r="O40" s="122"/>
      <c r="P40" s="122"/>
      <c r="Q40" s="115"/>
      <c r="R40" s="197" t="str">
        <f>CONTROL!F43</f>
        <v>I</v>
      </c>
      <c r="S40" s="222">
        <f>CONTROL!G43</f>
        <v>0.41666666666666669</v>
      </c>
      <c r="T40" s="222"/>
      <c r="U40" s="118" t="s">
        <v>11</v>
      </c>
      <c r="V40" s="223">
        <f>CONTROL!H43</f>
        <v>0.45833333333333331</v>
      </c>
      <c r="W40" s="223"/>
      <c r="X40" s="115"/>
      <c r="Y40" s="120"/>
      <c r="Z40" s="121"/>
      <c r="AA40" s="121"/>
      <c r="AB40" s="120"/>
      <c r="AC40" s="121"/>
      <c r="AD40" s="121"/>
      <c r="AE40" s="116"/>
      <c r="AF40" s="116"/>
      <c r="AG40" s="116"/>
      <c r="AH40" s="116"/>
      <c r="AI40" s="116"/>
      <c r="AJ40" s="114"/>
      <c r="AK40" s="217">
        <f>AH137</f>
        <v>152</v>
      </c>
      <c r="AL40" s="214" t="s">
        <v>145</v>
      </c>
      <c r="AN40" s="35">
        <f t="shared" si="7"/>
        <v>0</v>
      </c>
      <c r="AO40" s="35">
        <f t="shared" si="8"/>
        <v>4.166666666666663E-2</v>
      </c>
      <c r="AP40" s="36">
        <f>S40*24+24</f>
        <v>34</v>
      </c>
      <c r="AQ40" s="36">
        <f t="shared" si="10"/>
        <v>11</v>
      </c>
      <c r="AR40" s="36">
        <f t="shared" si="11"/>
        <v>0</v>
      </c>
      <c r="AS40" s="37">
        <f t="shared" si="12"/>
        <v>0</v>
      </c>
      <c r="AT40" s="38">
        <f t="shared" si="13"/>
        <v>0</v>
      </c>
      <c r="AU40" s="39">
        <f t="shared" si="14"/>
        <v>0</v>
      </c>
      <c r="AV40" s="36">
        <f t="shared" si="15"/>
        <v>-4</v>
      </c>
      <c r="AW40" s="36">
        <f t="shared" si="16"/>
        <v>-4</v>
      </c>
      <c r="AX40" s="41">
        <f t="shared" si="17"/>
        <v>0</v>
      </c>
      <c r="AY40" s="36">
        <f t="shared" si="18"/>
        <v>-4</v>
      </c>
      <c r="AZ40" s="36">
        <f t="shared" si="19"/>
        <v>-23</v>
      </c>
      <c r="BA40" s="36">
        <f t="shared" si="20"/>
        <v>4.166666666666663E-2</v>
      </c>
      <c r="BB40" s="36">
        <f t="shared" si="21"/>
        <v>0.99999999999999911</v>
      </c>
      <c r="BC40" s="36">
        <f t="shared" si="22"/>
        <v>0.99999999999999911</v>
      </c>
      <c r="BD40" s="43">
        <f t="shared" si="23"/>
        <v>0</v>
      </c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</row>
    <row r="41" spans="1:80" s="2" customFormat="1" ht="20.100000000000001" customHeight="1" x14ac:dyDescent="0.25">
      <c r="A41" s="123"/>
      <c r="B41" s="116"/>
      <c r="C41" s="124"/>
      <c r="D41" s="116"/>
      <c r="E41" s="116"/>
      <c r="F41" s="116"/>
      <c r="G41" s="116"/>
      <c r="H41" s="116"/>
      <c r="I41" s="116"/>
      <c r="J41" s="116"/>
      <c r="K41" s="116"/>
      <c r="L41" s="122"/>
      <c r="M41" s="122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6"/>
      <c r="AB41" s="116"/>
      <c r="AC41" s="116"/>
      <c r="AD41" s="116"/>
      <c r="AE41" s="116"/>
      <c r="AF41" s="116"/>
      <c r="AG41" s="116"/>
      <c r="AH41" s="116"/>
      <c r="AI41" s="116"/>
      <c r="AJ41" s="114"/>
      <c r="AK41" s="217">
        <f>AH148</f>
        <v>8</v>
      </c>
      <c r="AL41" s="214" t="s">
        <v>146</v>
      </c>
      <c r="AN41" s="10"/>
      <c r="AO41" s="10"/>
      <c r="AP41" s="46">
        <f>S41*24</f>
        <v>0</v>
      </c>
      <c r="AQ41" s="10"/>
      <c r="AR41" s="47">
        <v>1</v>
      </c>
      <c r="AS41" s="47">
        <v>2</v>
      </c>
      <c r="AT41" s="47">
        <v>3</v>
      </c>
      <c r="AU41" s="47">
        <v>4</v>
      </c>
      <c r="AV41" s="47">
        <v>5</v>
      </c>
      <c r="AW41" s="47">
        <v>6</v>
      </c>
      <c r="AX41" s="47">
        <v>7</v>
      </c>
      <c r="AY41" s="47">
        <v>8</v>
      </c>
      <c r="AZ41" s="47">
        <v>9</v>
      </c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</row>
    <row r="42" spans="1:80" ht="20.100000000000001" customHeight="1" x14ac:dyDescent="0.25">
      <c r="A42" s="116"/>
      <c r="B42" s="126"/>
      <c r="C42" s="224" t="s">
        <v>43</v>
      </c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5" t="str">
        <f>CONTROL!B38</f>
        <v>OSCAR ORGEIRA © 20.03.00 EXCEL</v>
      </c>
      <c r="X42" s="225"/>
      <c r="Y42" s="225"/>
      <c r="Z42" s="225"/>
      <c r="AA42" s="225"/>
      <c r="AB42" s="225"/>
      <c r="AC42" s="225"/>
      <c r="AD42" s="225"/>
      <c r="AE42" s="225"/>
      <c r="AF42" s="225"/>
      <c r="AG42" s="225"/>
      <c r="AH42" s="225"/>
      <c r="AI42" s="127"/>
      <c r="AJ42" s="116"/>
      <c r="AK42" s="218">
        <f>AH159</f>
        <v>104</v>
      </c>
      <c r="AL42" s="215" t="s">
        <v>147</v>
      </c>
      <c r="BE42" s="10"/>
    </row>
    <row r="43" spans="1:80" ht="20.100000000000001" customHeight="1" x14ac:dyDescent="0.25">
      <c r="A43" s="116"/>
      <c r="B43" s="116"/>
      <c r="C43" s="234" t="s">
        <v>44</v>
      </c>
      <c r="D43" s="234"/>
      <c r="E43" s="235" t="s">
        <v>45</v>
      </c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  <c r="AA43" s="235"/>
      <c r="AB43" s="235"/>
      <c r="AC43" s="235"/>
      <c r="AD43" s="235"/>
      <c r="AE43" s="235"/>
      <c r="AF43" s="235"/>
      <c r="AG43" s="235"/>
      <c r="AH43" s="235"/>
      <c r="AI43" s="235"/>
      <c r="AJ43" s="116"/>
      <c r="AK43" s="218">
        <f>AH170</f>
        <v>0</v>
      </c>
      <c r="AL43" s="215" t="s">
        <v>148</v>
      </c>
      <c r="BE43" s="10"/>
    </row>
    <row r="44" spans="1:80" s="2" customFormat="1" ht="15.95" hidden="1" customHeight="1" x14ac:dyDescent="0.25">
      <c r="A44" s="123"/>
      <c r="B44" s="114"/>
      <c r="C44" s="128"/>
      <c r="D44" s="114"/>
      <c r="E44" s="114"/>
      <c r="F44" s="114"/>
      <c r="G44" s="114"/>
      <c r="H44" s="114"/>
      <c r="I44" s="114"/>
      <c r="J44" s="114"/>
      <c r="K44" s="114"/>
      <c r="L44" s="125"/>
      <c r="M44" s="125"/>
      <c r="N44" s="125"/>
      <c r="O44" s="125"/>
      <c r="P44" s="125"/>
      <c r="Q44" s="125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N44" s="10"/>
      <c r="AO44" s="10"/>
      <c r="AP44" s="10"/>
      <c r="AQ44" s="10"/>
      <c r="AR44" s="47"/>
      <c r="AS44" s="47"/>
      <c r="AT44" s="47"/>
      <c r="AU44" s="47"/>
      <c r="AV44" s="47"/>
      <c r="AW44" s="47"/>
      <c r="AX44" s="47"/>
      <c r="AY44" s="47"/>
      <c r="AZ44" s="47"/>
      <c r="BA44" s="10"/>
      <c r="BB44" s="10"/>
      <c r="BC44" s="10"/>
      <c r="BD44" s="10"/>
      <c r="BE44" s="48" t="str">
        <f>INDEX({"do";"lu";"ma";"mi";"ju";"vi";"sa"},1+MOD($AR$47+4-2,7))</f>
        <v>ju</v>
      </c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</row>
    <row r="45" spans="1:80" ht="15.95" hidden="1" customHeight="1" x14ac:dyDescent="0.25">
      <c r="A45" s="129"/>
      <c r="B45" s="130" t="s">
        <v>46</v>
      </c>
      <c r="C45" s="131" t="str">
        <f t="shared" ref="C45:AH45" si="25">IF(C7="S",IF(C7="",0,1),IF(C7="D",IF(C7="",0,1),""))</f>
        <v/>
      </c>
      <c r="D45" s="131" t="str">
        <f t="shared" si="25"/>
        <v/>
      </c>
      <c r="E45" s="131" t="str">
        <f t="shared" si="25"/>
        <v/>
      </c>
      <c r="F45" s="131" t="str">
        <f t="shared" si="25"/>
        <v/>
      </c>
      <c r="G45" s="131">
        <f t="shared" si="25"/>
        <v>1</v>
      </c>
      <c r="H45" s="131">
        <f t="shared" si="25"/>
        <v>1</v>
      </c>
      <c r="I45" s="131" t="str">
        <f t="shared" si="25"/>
        <v/>
      </c>
      <c r="J45" s="131" t="str">
        <f t="shared" si="25"/>
        <v/>
      </c>
      <c r="K45" s="131" t="str">
        <f t="shared" si="25"/>
        <v/>
      </c>
      <c r="L45" s="131" t="str">
        <f t="shared" si="25"/>
        <v/>
      </c>
      <c r="M45" s="131" t="str">
        <f t="shared" si="25"/>
        <v/>
      </c>
      <c r="N45" s="131">
        <f t="shared" si="25"/>
        <v>1</v>
      </c>
      <c r="O45" s="131">
        <f t="shared" si="25"/>
        <v>1</v>
      </c>
      <c r="P45" s="131" t="str">
        <f t="shared" si="25"/>
        <v/>
      </c>
      <c r="Q45" s="131" t="str">
        <f t="shared" si="25"/>
        <v/>
      </c>
      <c r="R45" s="131" t="str">
        <f t="shared" si="25"/>
        <v/>
      </c>
      <c r="S45" s="131" t="str">
        <f t="shared" si="25"/>
        <v/>
      </c>
      <c r="T45" s="131" t="str">
        <f t="shared" si="25"/>
        <v/>
      </c>
      <c r="U45" s="131">
        <f t="shared" si="25"/>
        <v>1</v>
      </c>
      <c r="V45" s="131">
        <f t="shared" si="25"/>
        <v>1</v>
      </c>
      <c r="W45" s="131" t="str">
        <f t="shared" si="25"/>
        <v/>
      </c>
      <c r="X45" s="131" t="str">
        <f t="shared" si="25"/>
        <v/>
      </c>
      <c r="Y45" s="131" t="str">
        <f t="shared" si="25"/>
        <v/>
      </c>
      <c r="Z45" s="131" t="str">
        <f t="shared" si="25"/>
        <v/>
      </c>
      <c r="AA45" s="131" t="str">
        <f t="shared" si="25"/>
        <v/>
      </c>
      <c r="AB45" s="131">
        <f t="shared" si="25"/>
        <v>1</v>
      </c>
      <c r="AC45" s="131">
        <f t="shared" si="25"/>
        <v>1</v>
      </c>
      <c r="AD45" s="131" t="str">
        <f t="shared" si="25"/>
        <v/>
      </c>
      <c r="AE45" s="131" t="str">
        <f t="shared" si="25"/>
        <v/>
      </c>
      <c r="AF45" s="131" t="str">
        <f t="shared" si="25"/>
        <v/>
      </c>
      <c r="AG45" s="131" t="str">
        <f t="shared" si="25"/>
        <v/>
      </c>
      <c r="AH45" s="132" t="str">
        <f t="shared" si="25"/>
        <v/>
      </c>
      <c r="AI45" s="236" t="s">
        <v>8</v>
      </c>
      <c r="AJ45" s="236"/>
      <c r="AK45" s="133"/>
      <c r="AL45" s="133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49" t="str">
        <f>IF(MONTH($Q$4)&lt;&gt;MONTH($Q$4-(WEEKDAY($Q$4,1)-($AR$47-1))-IF((WEEKDAY($Q$4,1)-($AR$47-1))&lt;=0,7,0)+(ROW(BE45)-ROW($AN$51))*7+(COLUMN(BE45)-COLUMN($AN$51)+1)),"",$Q$4-(WEEKDAY($Q$4,1)-($AR$47-1))-IF((WEEKDAY($Q$4,1)-($AR$47-1))&lt;=0,7,0)+(ROW(BE45)-ROW($AN$51))*7+(COLUMN(BE45)-COLUMN($AN$51)+1))</f>
        <v/>
      </c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</row>
    <row r="46" spans="1:80" s="2" customFormat="1" ht="15.95" hidden="1" customHeight="1" x14ac:dyDescent="0.25">
      <c r="A46" s="134" t="s">
        <v>47</v>
      </c>
      <c r="B46" s="134" t="s">
        <v>48</v>
      </c>
      <c r="C46" s="135" t="str">
        <f t="shared" ref="C46:AG46" si="26">IF(C6="X",IF(C6="",0,1),IF(C45=1,IF(C45="",0,1),""))</f>
        <v/>
      </c>
      <c r="D46" s="135" t="str">
        <f t="shared" si="26"/>
        <v/>
      </c>
      <c r="E46" s="135" t="str">
        <f t="shared" si="26"/>
        <v/>
      </c>
      <c r="F46" s="135" t="str">
        <f t="shared" si="26"/>
        <v/>
      </c>
      <c r="G46" s="135">
        <f t="shared" si="26"/>
        <v>1</v>
      </c>
      <c r="H46" s="135">
        <f t="shared" si="26"/>
        <v>1</v>
      </c>
      <c r="I46" s="135" t="str">
        <f t="shared" si="26"/>
        <v/>
      </c>
      <c r="J46" s="135" t="str">
        <f t="shared" si="26"/>
        <v/>
      </c>
      <c r="K46" s="135" t="str">
        <f t="shared" si="26"/>
        <v/>
      </c>
      <c r="L46" s="135" t="str">
        <f t="shared" si="26"/>
        <v/>
      </c>
      <c r="M46" s="135" t="str">
        <f t="shared" si="26"/>
        <v/>
      </c>
      <c r="N46" s="135">
        <f t="shared" si="26"/>
        <v>1</v>
      </c>
      <c r="O46" s="135">
        <f t="shared" si="26"/>
        <v>1</v>
      </c>
      <c r="P46" s="135" t="str">
        <f t="shared" si="26"/>
        <v/>
      </c>
      <c r="Q46" s="135" t="str">
        <f t="shared" si="26"/>
        <v/>
      </c>
      <c r="R46" s="135" t="str">
        <f t="shared" si="26"/>
        <v/>
      </c>
      <c r="S46" s="135" t="str">
        <f t="shared" si="26"/>
        <v/>
      </c>
      <c r="T46" s="135" t="str">
        <f t="shared" si="26"/>
        <v/>
      </c>
      <c r="U46" s="135">
        <f t="shared" si="26"/>
        <v>1</v>
      </c>
      <c r="V46" s="135">
        <f t="shared" si="26"/>
        <v>1</v>
      </c>
      <c r="W46" s="135" t="str">
        <f t="shared" si="26"/>
        <v/>
      </c>
      <c r="X46" s="135" t="str">
        <f t="shared" si="26"/>
        <v/>
      </c>
      <c r="Y46" s="135" t="str">
        <f t="shared" si="26"/>
        <v/>
      </c>
      <c r="Z46" s="135" t="str">
        <f t="shared" si="26"/>
        <v/>
      </c>
      <c r="AA46" s="135" t="str">
        <f t="shared" si="26"/>
        <v/>
      </c>
      <c r="AB46" s="135">
        <f t="shared" si="26"/>
        <v>1</v>
      </c>
      <c r="AC46" s="135">
        <f t="shared" si="26"/>
        <v>1</v>
      </c>
      <c r="AD46" s="135" t="str">
        <f t="shared" si="26"/>
        <v/>
      </c>
      <c r="AE46" s="132" t="str">
        <f t="shared" si="26"/>
        <v/>
      </c>
      <c r="AF46" s="132" t="str">
        <f t="shared" si="26"/>
        <v/>
      </c>
      <c r="AG46" s="132" t="str">
        <f t="shared" si="26"/>
        <v/>
      </c>
      <c r="AH46" s="136" t="b">
        <f>IF(AH6="X",IF(AH6="",0,1))</f>
        <v>0</v>
      </c>
      <c r="AI46" s="231">
        <f>(AH32-AH33)*AL46</f>
        <v>4</v>
      </c>
      <c r="AJ46" s="231"/>
      <c r="AK46" s="137" t="s">
        <v>49</v>
      </c>
      <c r="AL46" s="138">
        <f>SUM(C46:AG46)</f>
        <v>8</v>
      </c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</row>
    <row r="47" spans="1:80" s="2" customFormat="1" ht="15.95" hidden="1" customHeight="1" x14ac:dyDescent="0.3">
      <c r="A47" s="139" t="s">
        <v>50</v>
      </c>
      <c r="B47" s="140" t="s">
        <v>29</v>
      </c>
      <c r="C47" s="141" t="str">
        <f t="shared" ref="C47:AG47" si="27">IF(C9=$R32,$S32*24,IF(C9=$R33,$S33*24,IF(C9=$R34,$S34*24,IF(C9=$R35,$S35*24,IF(C9=$R36,$S36*24,IF(C9=$R37,$S37*24,IF(C9=$R38,$S38*24,IF(C9=$R39,$S39*24,IF(C9=$R40,$S40*24,"")))))))))</f>
        <v/>
      </c>
      <c r="D47" s="141" t="str">
        <f t="shared" si="27"/>
        <v/>
      </c>
      <c r="E47" s="141" t="str">
        <f t="shared" si="27"/>
        <v/>
      </c>
      <c r="F47" s="141" t="str">
        <f t="shared" si="27"/>
        <v/>
      </c>
      <c r="G47" s="141" t="str">
        <f t="shared" si="27"/>
        <v/>
      </c>
      <c r="H47" s="141" t="str">
        <f t="shared" si="27"/>
        <v/>
      </c>
      <c r="I47" s="141" t="str">
        <f t="shared" si="27"/>
        <v/>
      </c>
      <c r="J47" s="141" t="str">
        <f t="shared" si="27"/>
        <v/>
      </c>
      <c r="K47" s="141" t="str">
        <f t="shared" si="27"/>
        <v/>
      </c>
      <c r="L47" s="141" t="str">
        <f t="shared" si="27"/>
        <v/>
      </c>
      <c r="M47" s="141" t="str">
        <f t="shared" si="27"/>
        <v/>
      </c>
      <c r="N47" s="141" t="str">
        <f t="shared" si="27"/>
        <v/>
      </c>
      <c r="O47" s="141" t="str">
        <f t="shared" si="27"/>
        <v/>
      </c>
      <c r="P47" s="141" t="str">
        <f t="shared" si="27"/>
        <v/>
      </c>
      <c r="Q47" s="141" t="str">
        <f t="shared" si="27"/>
        <v/>
      </c>
      <c r="R47" s="141" t="str">
        <f t="shared" si="27"/>
        <v/>
      </c>
      <c r="S47" s="141">
        <f t="shared" si="27"/>
        <v>7</v>
      </c>
      <c r="T47" s="141">
        <f t="shared" si="27"/>
        <v>19</v>
      </c>
      <c r="U47" s="141">
        <f t="shared" si="27"/>
        <v>19</v>
      </c>
      <c r="V47" s="141">
        <f t="shared" si="27"/>
        <v>19</v>
      </c>
      <c r="W47" s="141" t="str">
        <f t="shared" si="27"/>
        <v/>
      </c>
      <c r="X47" s="141">
        <f t="shared" si="27"/>
        <v>7</v>
      </c>
      <c r="Y47" s="141">
        <f t="shared" si="27"/>
        <v>7</v>
      </c>
      <c r="Z47" s="141">
        <f t="shared" si="27"/>
        <v>7</v>
      </c>
      <c r="AA47" s="141" t="str">
        <f t="shared" si="27"/>
        <v/>
      </c>
      <c r="AB47" s="141" t="str">
        <f t="shared" si="27"/>
        <v/>
      </c>
      <c r="AC47" s="141" t="str">
        <f t="shared" si="27"/>
        <v/>
      </c>
      <c r="AD47" s="141">
        <f t="shared" si="27"/>
        <v>7</v>
      </c>
      <c r="AE47" s="141">
        <f t="shared" si="27"/>
        <v>7</v>
      </c>
      <c r="AF47" s="141">
        <f t="shared" si="27"/>
        <v>18</v>
      </c>
      <c r="AG47" s="141">
        <f t="shared" si="27"/>
        <v>18</v>
      </c>
      <c r="AH47" s="142" t="s">
        <v>12</v>
      </c>
      <c r="AI47" s="231">
        <f>(CA59-AH46)*AH33</f>
        <v>0</v>
      </c>
      <c r="AJ47" s="231"/>
      <c r="AK47" s="137" t="s">
        <v>51</v>
      </c>
      <c r="AL47" s="137"/>
      <c r="AN47" s="237" t="s">
        <v>52</v>
      </c>
      <c r="AO47" s="237"/>
      <c r="AP47" s="10"/>
      <c r="AQ47" s="50" t="s">
        <v>53</v>
      </c>
      <c r="AR47" s="46">
        <v>2</v>
      </c>
      <c r="AS47" s="51">
        <v>1</v>
      </c>
      <c r="AT47" s="52" t="str">
        <f>IF(AN53="lu","LUNES",IF(AN53="ma","MARTES",IF(AN53="mi","MIERCOLES",IF(AN53="ju","JUEVES",IF(AN53="vi","VIERNES",IF(AN53="sa","SABADO",IF(AN53="do","DOMINGO",IF(AO53="lu","LUNES",IF(AO53="ma","MARTES",IF(AO53="mi","MIERCOLES",IF(AO53="ju","JUEVES",IF(AO53="vi","VIERNES",IF(AO53="sa","SABADO",IF(AO53="do","DOMINGO",IF(AP53="lu","LUNES",IF(AP53="ma","MARTES",IF(AP53="mi","MIERCOLES",IF(AP53="ju","JUEVES",IF(AP53="vi","VIERNES",IF(AP53="sa","SABADO",IF(AP53="do","DOMINGO",IF(AQ53="lu","LUNES",IF(AQ53="ma","MARTES",IF(AQ53="mi","MIERCOLES",IF(AQ53="ju","JUEVES",IF(AQ53="vi","VIERNES",IF(AQ53="sa","SABADO",IF(AQ53="do","DOMINGO",IF(AR53="lu","LUNES",IF(AR53="ma","MARTES",IF(AR53="mi","MIERCOLES",IF(AR53="ju","JUEVES",IF(AR53="vi","VIERNES",IF(AR53="sa","SABADO",IF(AR53="do","DOMINGO","")))))))))))))))))))))))))))))))))))</f>
        <v>MARTES</v>
      </c>
      <c r="AU47" s="50" t="s">
        <v>54</v>
      </c>
      <c r="AV47" s="53" t="str">
        <f>IF(AT47="LUNES","LUNES",IF(AT47="MARTES","MARTES",IF(AT47="MIERCOLES","MIERCOLES",IF(AT47="JUEVES","JUEVES",IF(AT47="VIERNES","VIERNES",IF(AT47="SABADO","SABADO",IF(AT47="DOMINGO","DOMINGO",IF(AT48="LUNES","LUNES",IF(AT48="MARTES","MARTES",IF(AT48="MIERCOLES","MIERCOLES",IF(AT48="JUEVES","JUEVES",IF(AT48="VIERNES","VIERNES",IF(AT48="SABADO","SABADO",IF(AT48="DOMINGO","DOMINGO",""))))))))))))))</f>
        <v>MARTES</v>
      </c>
      <c r="AW47" s="51">
        <v>28</v>
      </c>
      <c r="AX47" s="46">
        <f>$AR$48+27</f>
        <v>45866</v>
      </c>
      <c r="AY47" s="51">
        <v>30</v>
      </c>
      <c r="AZ47" s="46">
        <f>$AR$48+29</f>
        <v>45868</v>
      </c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</row>
    <row r="48" spans="1:80" s="2" customFormat="1" ht="15.95" hidden="1" customHeight="1" x14ac:dyDescent="0.35">
      <c r="A48" s="143" t="s">
        <v>55</v>
      </c>
      <c r="B48" s="144" t="s">
        <v>30</v>
      </c>
      <c r="C48" s="141" t="str">
        <f t="shared" ref="C48:AG48" si="28">IF(C9=$R32,$V32*24,IF(C9=$R33,$V33*24,IF(C9=$R34,$V34*24,IF(C9=$R35,$V35*24,IF(C9=$R36,$V36*24,IF(C9=$R37,$V37*24,IF(C9=$R38,$V38*24,IF(C9=$R39,$V39*24,IF(C9=$R40,$V40*24,"")))))))))</f>
        <v/>
      </c>
      <c r="D48" s="141" t="str">
        <f t="shared" si="28"/>
        <v/>
      </c>
      <c r="E48" s="141" t="str">
        <f t="shared" si="28"/>
        <v/>
      </c>
      <c r="F48" s="141" t="str">
        <f t="shared" si="28"/>
        <v/>
      </c>
      <c r="G48" s="141" t="str">
        <f t="shared" si="28"/>
        <v/>
      </c>
      <c r="H48" s="141" t="str">
        <f t="shared" si="28"/>
        <v/>
      </c>
      <c r="I48" s="141" t="str">
        <f t="shared" si="28"/>
        <v/>
      </c>
      <c r="J48" s="141" t="str">
        <f t="shared" si="28"/>
        <v/>
      </c>
      <c r="K48" s="141" t="str">
        <f t="shared" si="28"/>
        <v/>
      </c>
      <c r="L48" s="141" t="str">
        <f t="shared" si="28"/>
        <v/>
      </c>
      <c r="M48" s="141" t="str">
        <f t="shared" si="28"/>
        <v/>
      </c>
      <c r="N48" s="141" t="str">
        <f t="shared" si="28"/>
        <v/>
      </c>
      <c r="O48" s="141" t="str">
        <f t="shared" si="28"/>
        <v/>
      </c>
      <c r="P48" s="141" t="str">
        <f t="shared" si="28"/>
        <v/>
      </c>
      <c r="Q48" s="141" t="str">
        <f t="shared" si="28"/>
        <v/>
      </c>
      <c r="R48" s="141" t="str">
        <f t="shared" si="28"/>
        <v/>
      </c>
      <c r="S48" s="141">
        <f t="shared" si="28"/>
        <v>19</v>
      </c>
      <c r="T48" s="141">
        <f t="shared" si="28"/>
        <v>7</v>
      </c>
      <c r="U48" s="141">
        <f t="shared" si="28"/>
        <v>7</v>
      </c>
      <c r="V48" s="141">
        <f t="shared" si="28"/>
        <v>7</v>
      </c>
      <c r="W48" s="141" t="str">
        <f t="shared" si="28"/>
        <v/>
      </c>
      <c r="X48" s="141">
        <f t="shared" si="28"/>
        <v>19</v>
      </c>
      <c r="Y48" s="141">
        <f t="shared" si="28"/>
        <v>19</v>
      </c>
      <c r="Z48" s="141">
        <f t="shared" si="28"/>
        <v>19</v>
      </c>
      <c r="AA48" s="141" t="str">
        <f t="shared" si="28"/>
        <v/>
      </c>
      <c r="AB48" s="141" t="str">
        <f t="shared" si="28"/>
        <v/>
      </c>
      <c r="AC48" s="141" t="str">
        <f t="shared" si="28"/>
        <v/>
      </c>
      <c r="AD48" s="141">
        <f t="shared" si="28"/>
        <v>19</v>
      </c>
      <c r="AE48" s="141">
        <f t="shared" si="28"/>
        <v>19</v>
      </c>
      <c r="AF48" s="141">
        <f t="shared" si="28"/>
        <v>6</v>
      </c>
      <c r="AG48" s="141">
        <f t="shared" si="28"/>
        <v>6</v>
      </c>
      <c r="AH48" s="142" t="s">
        <v>12</v>
      </c>
      <c r="AI48" s="230">
        <f>SUM(AI46:AI47)</f>
        <v>4</v>
      </c>
      <c r="AJ48" s="230"/>
      <c r="AK48" s="137" t="s">
        <v>56</v>
      </c>
      <c r="AL48" s="137"/>
      <c r="AN48" s="10"/>
      <c r="AO48" s="10"/>
      <c r="AP48" s="10"/>
      <c r="AQ48" s="50" t="s">
        <v>57</v>
      </c>
      <c r="AR48" s="54">
        <f>DATE($C$34,$C$35,1)</f>
        <v>45839</v>
      </c>
      <c r="AS48" s="51">
        <v>2</v>
      </c>
      <c r="AT48" s="52" t="str">
        <f>IF(AS53="lu","LUNES",IF(AS53="ma","MARTES",IF(AS53="mi","MIERCOLES",IF(AS53="ju","JUEVES",IF(AS53="vi","VIERNES",IF(AS53="sa","SABADO",IF(AS53="do","DOMINGO",IF(AT53="lu","LUNES",IF(AT53="ma","MARTES",IF(AT53="mi","MIERCOLES",IF(AT53="ju","JUEVES",IF(AT53="vi","VIERNES",IF(AT53="sa","SABADO",IF(AT53="do","DOMINGO",""))))))))))))))</f>
        <v/>
      </c>
      <c r="AU48" s="10"/>
      <c r="AV48" s="51"/>
      <c r="AW48" s="51">
        <v>29</v>
      </c>
      <c r="AX48" s="46">
        <f>$AR$48+28</f>
        <v>45867</v>
      </c>
      <c r="AY48" s="51">
        <v>31</v>
      </c>
      <c r="AZ48" s="46">
        <f>$AR$48+30</f>
        <v>45869</v>
      </c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</row>
    <row r="49" spans="1:80" s="2" customFormat="1" ht="15.95" hidden="1" customHeight="1" x14ac:dyDescent="0.25">
      <c r="A49" s="145"/>
      <c r="B49" s="146" t="s">
        <v>34</v>
      </c>
      <c r="C49" s="147" t="str">
        <f t="shared" ref="C49:AD49" si="29">IF(C9=$R32,$BD32*24,IF(C9=$R33,$BD33*24,IF(C9=$R34,$BD34*24,IF(C9=$R35,$BD35*24,IF(C9=$R36,$BD36*24,IF(C9=$R37,$BD37*24,IF(C9=$R38,$BD38*24,IF(C9=$R39,$BD39*24,IF(C9=$R40,$BD40*24,"")))))))))</f>
        <v/>
      </c>
      <c r="D49" s="147" t="str">
        <f t="shared" si="29"/>
        <v/>
      </c>
      <c r="E49" s="147" t="str">
        <f t="shared" si="29"/>
        <v/>
      </c>
      <c r="F49" s="147" t="str">
        <f t="shared" si="29"/>
        <v/>
      </c>
      <c r="G49" s="147" t="str">
        <f t="shared" si="29"/>
        <v/>
      </c>
      <c r="H49" s="147" t="str">
        <f t="shared" si="29"/>
        <v/>
      </c>
      <c r="I49" s="147" t="str">
        <f t="shared" si="29"/>
        <v/>
      </c>
      <c r="J49" s="147" t="str">
        <f t="shared" si="29"/>
        <v/>
      </c>
      <c r="K49" s="147" t="str">
        <f t="shared" si="29"/>
        <v/>
      </c>
      <c r="L49" s="147" t="str">
        <f t="shared" si="29"/>
        <v/>
      </c>
      <c r="M49" s="147" t="str">
        <f t="shared" si="29"/>
        <v/>
      </c>
      <c r="N49" s="147" t="str">
        <f t="shared" si="29"/>
        <v/>
      </c>
      <c r="O49" s="147" t="str">
        <f t="shared" si="29"/>
        <v/>
      </c>
      <c r="P49" s="147" t="str">
        <f t="shared" si="29"/>
        <v/>
      </c>
      <c r="Q49" s="147" t="str">
        <f t="shared" si="29"/>
        <v/>
      </c>
      <c r="R49" s="147" t="str">
        <f t="shared" si="29"/>
        <v/>
      </c>
      <c r="S49" s="147">
        <f t="shared" si="29"/>
        <v>0</v>
      </c>
      <c r="T49" s="147">
        <f t="shared" si="29"/>
        <v>8</v>
      </c>
      <c r="U49" s="147">
        <f t="shared" si="29"/>
        <v>8</v>
      </c>
      <c r="V49" s="147">
        <f t="shared" si="29"/>
        <v>8</v>
      </c>
      <c r="W49" s="147" t="str">
        <f t="shared" si="29"/>
        <v/>
      </c>
      <c r="X49" s="147">
        <f t="shared" si="29"/>
        <v>0</v>
      </c>
      <c r="Y49" s="147">
        <f t="shared" si="29"/>
        <v>0</v>
      </c>
      <c r="Z49" s="147">
        <f t="shared" si="29"/>
        <v>0</v>
      </c>
      <c r="AA49" s="147" t="str">
        <f t="shared" si="29"/>
        <v/>
      </c>
      <c r="AB49" s="147" t="str">
        <f t="shared" si="29"/>
        <v/>
      </c>
      <c r="AC49" s="147" t="str">
        <f t="shared" si="29"/>
        <v/>
      </c>
      <c r="AD49" s="147">
        <f t="shared" si="29"/>
        <v>0</v>
      </c>
      <c r="AE49" s="147">
        <f>IF(AE9=$R32,$BD32*24,IF(AE9=$R33,$BD33*24,IF(AE9=$R34,$BD34*24,IF(AE9=$R35,$BD35*24,IF(AE9=$R36,$BD36*24,IF(AE9=$R37,$BD37*24,IF(AE9=$R38,$BD38*24,IF(AE9=$R39,$BD39*24,IF(AE9=$R40,$BD40*24,"")))))))))</f>
        <v>0</v>
      </c>
      <c r="AF49" s="147">
        <f>IF(AF9=$R32,$BD32*24,IF(AF9=$R33,$BD33*24,IF(AF9=$R34,$BD34*24,IF(AF9=$R35,$BD35*24,IF(AF9=$R36,$BD36*24,IF(AF9=$R37,$BD37*24,IF(AF9=$R38,$BD38*24,IF(AF9=$R39,$BD39*24,IF(AF9=$R40,$BD40*24,"")))))))))</f>
        <v>8</v>
      </c>
      <c r="AG49" s="147">
        <f>IF(AG9=$R32,$BD32*24,IF(AG9=$R33,$BD33*24,IF(AG9=$R34,$BD34*24,IF(AG9=$R35,$BD35*24,IF(AG9=$R36,$BD36*24,IF(AG9=$R37,$BD37*24,IF(AG9=$R38,$BD38*24,IF(AG9=$R39,$BD39*24,IF(AG9=$R40,$BD40*24,"")))))))))</f>
        <v>8</v>
      </c>
      <c r="AH49" s="148">
        <f>SUM(C49:AG49)</f>
        <v>40</v>
      </c>
      <c r="AI49" s="231">
        <f>C37*AF36</f>
        <v>0</v>
      </c>
      <c r="AJ49" s="231"/>
      <c r="AK49" s="137" t="s">
        <v>58</v>
      </c>
      <c r="AL49" s="137"/>
      <c r="AN49" s="232">
        <f>Q4</f>
        <v>45839</v>
      </c>
      <c r="AO49" s="232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</row>
    <row r="50" spans="1:80" s="2" customFormat="1" ht="15.95" hidden="1" customHeight="1" x14ac:dyDescent="0.25">
      <c r="A50" s="145"/>
      <c r="B50" s="149" t="s">
        <v>59</v>
      </c>
      <c r="C50" s="141">
        <f t="shared" ref="C50:AG50" si="30">IF(C9="V",$C36,IF(C9="PR",$C38,0))</f>
        <v>5.22</v>
      </c>
      <c r="D50" s="141">
        <f t="shared" si="30"/>
        <v>5.22</v>
      </c>
      <c r="E50" s="141">
        <f t="shared" si="30"/>
        <v>5.22</v>
      </c>
      <c r="F50" s="141">
        <f t="shared" si="30"/>
        <v>5.22</v>
      </c>
      <c r="G50" s="141">
        <f t="shared" si="30"/>
        <v>5.22</v>
      </c>
      <c r="H50" s="141">
        <f t="shared" si="30"/>
        <v>5.22</v>
      </c>
      <c r="I50" s="141">
        <f t="shared" si="30"/>
        <v>5.22</v>
      </c>
      <c r="J50" s="141">
        <f t="shared" si="30"/>
        <v>5.22</v>
      </c>
      <c r="K50" s="141">
        <f t="shared" si="30"/>
        <v>5.22</v>
      </c>
      <c r="L50" s="141">
        <f t="shared" si="30"/>
        <v>5.22</v>
      </c>
      <c r="M50" s="141">
        <f t="shared" si="30"/>
        <v>5.22</v>
      </c>
      <c r="N50" s="141">
        <f t="shared" si="30"/>
        <v>5.22</v>
      </c>
      <c r="O50" s="141">
        <f t="shared" si="30"/>
        <v>5.22</v>
      </c>
      <c r="P50" s="141">
        <f t="shared" si="30"/>
        <v>5.22</v>
      </c>
      <c r="Q50" s="141">
        <f t="shared" si="30"/>
        <v>5.22</v>
      </c>
      <c r="R50" s="141">
        <f t="shared" si="30"/>
        <v>5.22</v>
      </c>
      <c r="S50" s="141">
        <f t="shared" si="30"/>
        <v>0</v>
      </c>
      <c r="T50" s="141">
        <f t="shared" si="30"/>
        <v>0</v>
      </c>
      <c r="U50" s="141">
        <f t="shared" si="30"/>
        <v>0</v>
      </c>
      <c r="V50" s="141">
        <f t="shared" si="30"/>
        <v>0</v>
      </c>
      <c r="W50" s="141">
        <f t="shared" si="30"/>
        <v>0</v>
      </c>
      <c r="X50" s="141">
        <f t="shared" si="30"/>
        <v>0</v>
      </c>
      <c r="Y50" s="141">
        <f t="shared" si="30"/>
        <v>0</v>
      </c>
      <c r="Z50" s="141">
        <f t="shared" si="30"/>
        <v>0</v>
      </c>
      <c r="AA50" s="141">
        <f t="shared" si="30"/>
        <v>0</v>
      </c>
      <c r="AB50" s="141">
        <f t="shared" si="30"/>
        <v>0</v>
      </c>
      <c r="AC50" s="141">
        <f t="shared" si="30"/>
        <v>0</v>
      </c>
      <c r="AD50" s="141">
        <f t="shared" si="30"/>
        <v>0</v>
      </c>
      <c r="AE50" s="141">
        <f t="shared" si="30"/>
        <v>0</v>
      </c>
      <c r="AF50" s="141">
        <f t="shared" si="30"/>
        <v>0</v>
      </c>
      <c r="AG50" s="141">
        <f t="shared" si="30"/>
        <v>0</v>
      </c>
      <c r="AH50" s="226">
        <f>SUM(C50:AG50)</f>
        <v>83.52</v>
      </c>
      <c r="AI50" s="226"/>
      <c r="AJ50" s="137" t="s">
        <v>12</v>
      </c>
      <c r="AK50" s="137"/>
      <c r="AL50" s="137"/>
      <c r="AN50" s="48" t="str">
        <f>INDEX({"do";"lu";"ma";"mi";"ju";"vi";"sa"},1+MOD($AR$47+1-2,7))</f>
        <v>lu</v>
      </c>
      <c r="AO50" s="48" t="str">
        <f>INDEX({"do";"lu";"ma";"mi";"ju";"vi";"sa"},1+MOD($AR$47+2-2,7))</f>
        <v>ma</v>
      </c>
      <c r="AP50" s="48" t="str">
        <f>INDEX({"do";"lu";"ma";"mi";"ju";"vi";"sa"},1+MOD($AR$47+3-2,7))</f>
        <v>mi</v>
      </c>
      <c r="AQ50" s="48" t="str">
        <f>INDEX({"do";"lu";"ma";"mi";"ju";"vi";"sa"},1+MOD($AR$47+4-2,7))</f>
        <v>ju</v>
      </c>
      <c r="AR50" s="48" t="str">
        <f>INDEX({"do";"lu";"ma";"mi";"ju";"vi";"sa"},1+MOD($AR$47+5-2,7))</f>
        <v>vi</v>
      </c>
      <c r="AS50" s="48" t="str">
        <f>INDEX({"do";"lu";"ma";"mi";"ju";"vi";"sa"},1+MOD($AR$47+6-2,7))</f>
        <v>sa</v>
      </c>
      <c r="AT50" s="48" t="str">
        <f>INDEX({"do";"lu";"ma";"mi";"ju";"vi";"sa"},1+MOD($AR$47+7-2,7))</f>
        <v>do</v>
      </c>
      <c r="AU50" s="48" t="str">
        <f>INDEX({"do";"lu";"ma";"mi";"ju";"vi";"sa"},1+MOD($AR$47+1-2,7))</f>
        <v>lu</v>
      </c>
      <c r="AV50" s="48" t="str">
        <f>INDEX({"do";"lu";"ma";"mi";"ju";"vi";"sa"},1+MOD($AR$47+2-2,7))</f>
        <v>ma</v>
      </c>
      <c r="AW50" s="48" t="str">
        <f>INDEX({"do";"lu";"ma";"mi";"ju";"vi";"sa"},1+MOD($AR$47+3-2,7))</f>
        <v>mi</v>
      </c>
      <c r="AX50" s="48" t="str">
        <f>INDEX({"do";"lu";"ma";"mi";"ju";"vi";"sa"},1+MOD($AR$47+4-2,7))</f>
        <v>ju</v>
      </c>
      <c r="AY50" s="48" t="str">
        <f>INDEX({"do";"lu";"ma";"mi";"ju";"vi";"sa"},1+MOD($AR$47+5-2,7))</f>
        <v>vi</v>
      </c>
      <c r="AZ50" s="48" t="str">
        <f>INDEX({"do";"lu";"ma";"mi";"ju";"vi";"sa"},1+MOD($AR$47+6-2,7))</f>
        <v>sa</v>
      </c>
      <c r="BA50" s="48" t="str">
        <f>INDEX({"do";"lu";"ma";"mi";"ju";"vi";"sa"},1+MOD($AR$47+7-2,7))</f>
        <v>do</v>
      </c>
      <c r="BB50" s="48" t="str">
        <f>INDEX({"do";"lu";"ma";"mi";"ju";"vi";"sa"},1+MOD($AR$47+1-2,7))</f>
        <v>lu</v>
      </c>
      <c r="BC50" s="48" t="str">
        <f>INDEX({"do";"lu";"ma";"mi";"ju";"vi";"sa"},1+MOD($AR$47+2-2,7))</f>
        <v>ma</v>
      </c>
      <c r="BD50" s="48" t="str">
        <f>INDEX({"do";"lu";"ma";"mi";"ju";"vi";"sa"},1+MOD($AR$47+3-2,7))</f>
        <v>mi</v>
      </c>
      <c r="BE50" s="10"/>
      <c r="BF50" s="48" t="str">
        <f>INDEX({"do";"lu";"ma";"mi";"ju";"vi";"sa"},1+MOD($AR$47+5-2,7))</f>
        <v>vi</v>
      </c>
      <c r="BG50" s="48" t="str">
        <f>INDEX({"do";"lu";"ma";"mi";"ju";"vi";"sa"},1+MOD($AR$47+6-2,7))</f>
        <v>sa</v>
      </c>
      <c r="BH50" s="48" t="str">
        <f>INDEX({"do";"lu";"ma";"mi";"ju";"vi";"sa"},1+MOD($AR$47+7-2,7))</f>
        <v>do</v>
      </c>
      <c r="BI50" s="48" t="str">
        <f>INDEX({"do";"lu";"ma";"mi";"ju";"vi";"sa"},1+MOD($AR$47+1-2,7))</f>
        <v>lu</v>
      </c>
      <c r="BJ50" s="48" t="str">
        <f>INDEX({"do";"lu";"ma";"mi";"ju";"vi";"sa"},1+MOD($AR$47+2-2,7))</f>
        <v>ma</v>
      </c>
      <c r="BK50" s="48" t="str">
        <f>INDEX({"do";"lu";"ma";"mi";"ju";"vi";"sa"},1+MOD($AR$47+3-2,7))</f>
        <v>mi</v>
      </c>
      <c r="BL50" s="48" t="str">
        <f>INDEX({"do";"lu";"ma";"mi";"ju";"vi";"sa"},1+MOD($AR$47+4-2,7))</f>
        <v>ju</v>
      </c>
      <c r="BM50" s="48" t="str">
        <f>INDEX({"do";"lu";"ma";"mi";"ju";"vi";"sa"},1+MOD($AR$47+5-2,7))</f>
        <v>vi</v>
      </c>
      <c r="BN50" s="48" t="str">
        <f>INDEX({"do";"lu";"ma";"mi";"ju";"vi";"sa"},1+MOD($AR$47+6-2,7))</f>
        <v>sa</v>
      </c>
      <c r="BO50" s="48" t="str">
        <f>INDEX({"do";"lu";"ma";"mi";"ju";"vi";"sa"},1+MOD($AR$47+7-2,7))</f>
        <v>do</v>
      </c>
      <c r="BP50" s="48" t="str">
        <f>INDEX({"do";"lu";"ma";"mi";"ju";"vi";"sa"},1+MOD($AR$47+1-2,7))</f>
        <v>lu</v>
      </c>
      <c r="BQ50" s="48" t="str">
        <f>INDEX({"do";"lu";"ma";"mi";"ju";"vi";"sa"},1+MOD($AR$47+2-2,7))</f>
        <v>ma</v>
      </c>
      <c r="BR50" s="48" t="str">
        <f>INDEX({"do";"lu";"ma";"mi";"ju";"vi";"sa"},1+MOD($AR$47+3-2,7))</f>
        <v>mi</v>
      </c>
      <c r="BS50" s="48" t="str">
        <f>INDEX({"do";"lu";"ma";"mi";"ju";"vi";"sa"},1+MOD($AR$47+4-2,7))</f>
        <v>ju</v>
      </c>
      <c r="BT50" s="48" t="str">
        <f>INDEX({"do";"lu";"ma";"mi";"ju";"vi";"sa"},1+MOD($AR$47+5-2,7))</f>
        <v>vi</v>
      </c>
      <c r="BU50" s="48" t="str">
        <f>INDEX({"do";"lu";"ma";"mi";"ju";"vi";"sa"},1+MOD($AR$47+6-2,7))</f>
        <v>sa</v>
      </c>
      <c r="BV50" s="48" t="str">
        <f>INDEX({"do";"lu";"ma";"mi";"ju";"vi";"sa"},1+MOD($AR$47+7-2,7))</f>
        <v>do</v>
      </c>
      <c r="BW50" s="48" t="str">
        <f>INDEX({"do";"lu";"ma";"mi";"ju";"vi";"sa"},1+MOD($AR$47+1-2,7))</f>
        <v>lu</v>
      </c>
      <c r="BX50" s="48" t="str">
        <f>INDEX({"do";"lu";"ma";"mi";"ju";"vi";"sa"},1+MOD($AR$47+2-2,7))</f>
        <v>ma</v>
      </c>
      <c r="BY50" s="10"/>
      <c r="BZ50" s="10"/>
      <c r="CA50" s="10"/>
      <c r="CB50" s="10"/>
    </row>
    <row r="51" spans="1:80" s="2" customFormat="1" ht="15.95" hidden="1" customHeight="1" x14ac:dyDescent="0.25">
      <c r="A51" s="150" t="s">
        <v>60</v>
      </c>
      <c r="B51" s="144" t="s">
        <v>61</v>
      </c>
      <c r="C51" s="151">
        <f t="shared" ref="C51:AD51" si="31">IF(C9=$R32,$BC32,IF(C9=$R33,$BC33,IF(C9=$R34,$BC34,IF(C9=$R35,$BC35,IF(C9=$R36,$BC36,IF(C9=$R37,$BC37,IF(C9=$R38,$BC38,IF(C9=$R39,$BC39,IF(C9=$R40,$BC40,0)))))))))</f>
        <v>0</v>
      </c>
      <c r="D51" s="151">
        <f t="shared" si="31"/>
        <v>0</v>
      </c>
      <c r="E51" s="151">
        <f t="shared" si="31"/>
        <v>0</v>
      </c>
      <c r="F51" s="151">
        <f t="shared" si="31"/>
        <v>0</v>
      </c>
      <c r="G51" s="151">
        <f t="shared" si="31"/>
        <v>0</v>
      </c>
      <c r="H51" s="151">
        <f t="shared" si="31"/>
        <v>0</v>
      </c>
      <c r="I51" s="151">
        <f t="shared" si="31"/>
        <v>0</v>
      </c>
      <c r="J51" s="151">
        <f t="shared" si="31"/>
        <v>0</v>
      </c>
      <c r="K51" s="151">
        <f t="shared" si="31"/>
        <v>0</v>
      </c>
      <c r="L51" s="151">
        <f t="shared" si="31"/>
        <v>0</v>
      </c>
      <c r="M51" s="151">
        <f t="shared" si="31"/>
        <v>0</v>
      </c>
      <c r="N51" s="151">
        <f t="shared" si="31"/>
        <v>0</v>
      </c>
      <c r="O51" s="151">
        <f t="shared" si="31"/>
        <v>0</v>
      </c>
      <c r="P51" s="151">
        <f t="shared" si="31"/>
        <v>0</v>
      </c>
      <c r="Q51" s="151">
        <f t="shared" si="31"/>
        <v>0</v>
      </c>
      <c r="R51" s="151">
        <f t="shared" si="31"/>
        <v>0</v>
      </c>
      <c r="S51" s="151">
        <f t="shared" si="31"/>
        <v>11.999999999999998</v>
      </c>
      <c r="T51" s="151">
        <f t="shared" si="31"/>
        <v>12</v>
      </c>
      <c r="U51" s="151">
        <f t="shared" si="31"/>
        <v>12</v>
      </c>
      <c r="V51" s="151">
        <f t="shared" si="31"/>
        <v>12</v>
      </c>
      <c r="W51" s="151">
        <f t="shared" si="31"/>
        <v>0</v>
      </c>
      <c r="X51" s="151">
        <f t="shared" si="31"/>
        <v>11.999999999999998</v>
      </c>
      <c r="Y51" s="151">
        <f t="shared" si="31"/>
        <v>11.999999999999998</v>
      </c>
      <c r="Z51" s="151">
        <f t="shared" si="31"/>
        <v>11.999999999999998</v>
      </c>
      <c r="AA51" s="151">
        <f t="shared" si="31"/>
        <v>0</v>
      </c>
      <c r="AB51" s="151">
        <f t="shared" si="31"/>
        <v>0</v>
      </c>
      <c r="AC51" s="151">
        <f t="shared" si="31"/>
        <v>0</v>
      </c>
      <c r="AD51" s="151">
        <f t="shared" si="31"/>
        <v>11.999999999999998</v>
      </c>
      <c r="AE51" s="151">
        <f>IF(AE9=$R32,$BC32,IF(AE9=$R33,$BC33,IF(AE9=$R34,$BC34,IF(AE9=$R35,$BC35,IF(AE9=$R36,$BC36,IF(AE9=$R37,$BC37,IF(AE9=$R38,$BC38,IF(AE9=$R39,$BC39,IF(AE9=$R40,$BC40,0)))))))))</f>
        <v>11.999999999999998</v>
      </c>
      <c r="AF51" s="151">
        <f>IF(AF9=$R32,$BC32,IF(AF9=$R33,$BC33,IF(AF9=$R34,$BC34,IF(AF9=$R35,$BC35,IF(AF9=$R36,$BC36,IF(AF9=$R37,$BC37,IF(AF9=$R38,$BC38,IF(AF9=$R39,$BC39,IF(AF9=$R40,$BC40,0)))))))))</f>
        <v>12</v>
      </c>
      <c r="AG51" s="151">
        <f>IF(AG9=$R32,$BC32,IF(AG9=$R33,$BC33,IF(AG9=$R34,$BC34,IF(AG9=$R35,$BC35,IF(AG9=$R36,$BC36,IF(AG9=$R37,$BC37,IF(AG9=$R38,$BC38,IF(AG9=$R39,$BC39,IF(AG9=$R40,$BC40,0)))))))))</f>
        <v>12</v>
      </c>
      <c r="AH51" s="226">
        <f>SUM(C51:AG51)</f>
        <v>132</v>
      </c>
      <c r="AI51" s="226"/>
      <c r="AJ51" s="152" t="s">
        <v>62</v>
      </c>
      <c r="AK51" s="137" t="s">
        <v>12</v>
      </c>
      <c r="AL51" s="137"/>
      <c r="AN51" s="49" t="str">
        <f t="shared" ref="AN51:BD51" si="32">IF(MONTH($Q$4)&lt;&gt;MONTH($Q$4-(WEEKDAY($Q$4,1)-($AR$47-1))-IF((WEEKDAY($Q$4,1)-($AR$47-1))&lt;=0,7,0)+(ROW(AN51)-ROW($AN$51))*7+(COLUMN(AN51)-COLUMN($AN$51)+1)),"",$Q$4-(WEEKDAY($Q$4,1)-($AR$47-1))-IF((WEEKDAY($Q$4,1)-($AR$47-1))&lt;=0,7,0)+(ROW(AN51)-ROW($AN$51))*7+(COLUMN(AN51)-COLUMN($AN$51)+1))</f>
        <v/>
      </c>
      <c r="AO51" s="49">
        <f t="shared" si="32"/>
        <v>45839</v>
      </c>
      <c r="AP51" s="49">
        <f t="shared" si="32"/>
        <v>45840</v>
      </c>
      <c r="AQ51" s="49">
        <f t="shared" si="32"/>
        <v>45841</v>
      </c>
      <c r="AR51" s="49">
        <f t="shared" si="32"/>
        <v>45842</v>
      </c>
      <c r="AS51" s="49">
        <f t="shared" si="32"/>
        <v>45843</v>
      </c>
      <c r="AT51" s="49">
        <f t="shared" si="32"/>
        <v>45844</v>
      </c>
      <c r="AU51" s="49">
        <f t="shared" si="32"/>
        <v>45845</v>
      </c>
      <c r="AV51" s="49">
        <f t="shared" si="32"/>
        <v>45846</v>
      </c>
      <c r="AW51" s="49">
        <f t="shared" si="32"/>
        <v>45847</v>
      </c>
      <c r="AX51" s="49">
        <f t="shared" si="32"/>
        <v>45848</v>
      </c>
      <c r="AY51" s="49">
        <f t="shared" si="32"/>
        <v>45849</v>
      </c>
      <c r="AZ51" s="49">
        <f t="shared" si="32"/>
        <v>45850</v>
      </c>
      <c r="BA51" s="49">
        <f t="shared" si="32"/>
        <v>45851</v>
      </c>
      <c r="BB51" s="49">
        <f t="shared" si="32"/>
        <v>45852</v>
      </c>
      <c r="BC51" s="49">
        <f t="shared" si="32"/>
        <v>45853</v>
      </c>
      <c r="BD51" s="49">
        <f t="shared" si="32"/>
        <v>45854</v>
      </c>
      <c r="BE51" s="31"/>
      <c r="BF51" s="49">
        <f t="shared" ref="BF51:BX51" si="33">IF(MONTH($Q$4)&lt;&gt;MONTH($Q$4-(WEEKDAY($Q$4,1)-($AR$47-1))-IF((WEEKDAY($Q$4,1)-($AR$47-1))&lt;=0,7,0)+(ROW(BF51)-ROW($AN$51))*7+(COLUMN(BF51)-COLUMN($AN$51)+1)),"",$Q$4-(WEEKDAY($Q$4,1)-($AR$47-1))-IF((WEEKDAY($Q$4,1)-($AR$47-1))&lt;=0,7,0)+(ROW(BF51)-ROW($AN$51))*7+(COLUMN(BF51)-COLUMN($AN$51)+1))</f>
        <v>45856</v>
      </c>
      <c r="BG51" s="49">
        <f t="shared" si="33"/>
        <v>45857</v>
      </c>
      <c r="BH51" s="49">
        <f t="shared" si="33"/>
        <v>45858</v>
      </c>
      <c r="BI51" s="49">
        <f t="shared" si="33"/>
        <v>45859</v>
      </c>
      <c r="BJ51" s="49">
        <f t="shared" si="33"/>
        <v>45860</v>
      </c>
      <c r="BK51" s="49">
        <f t="shared" si="33"/>
        <v>45861</v>
      </c>
      <c r="BL51" s="49">
        <f t="shared" si="33"/>
        <v>45862</v>
      </c>
      <c r="BM51" s="49">
        <f t="shared" si="33"/>
        <v>45863</v>
      </c>
      <c r="BN51" s="49">
        <f t="shared" si="33"/>
        <v>45864</v>
      </c>
      <c r="BO51" s="49">
        <f t="shared" si="33"/>
        <v>45865</v>
      </c>
      <c r="BP51" s="49">
        <f t="shared" si="33"/>
        <v>45866</v>
      </c>
      <c r="BQ51" s="49">
        <f t="shared" si="33"/>
        <v>45867</v>
      </c>
      <c r="BR51" s="49">
        <f t="shared" si="33"/>
        <v>45868</v>
      </c>
      <c r="BS51" s="49">
        <f t="shared" si="33"/>
        <v>45869</v>
      </c>
      <c r="BT51" s="49" t="str">
        <f t="shared" si="33"/>
        <v/>
      </c>
      <c r="BU51" s="49" t="str">
        <f t="shared" si="33"/>
        <v/>
      </c>
      <c r="BV51" s="49" t="str">
        <f t="shared" si="33"/>
        <v/>
      </c>
      <c r="BW51" s="49" t="str">
        <f t="shared" si="33"/>
        <v/>
      </c>
      <c r="BX51" s="49" t="str">
        <f t="shared" si="33"/>
        <v/>
      </c>
      <c r="BY51" s="10"/>
      <c r="BZ51" s="10"/>
      <c r="CA51" s="10"/>
      <c r="CB51" s="10"/>
    </row>
    <row r="52" spans="1:80" s="2" customFormat="1" ht="15.95" hidden="1" customHeight="1" x14ac:dyDescent="0.25">
      <c r="A52" s="153" t="s">
        <v>48</v>
      </c>
      <c r="B52" s="149" t="s">
        <v>63</v>
      </c>
      <c r="C52" s="141" t="b">
        <f t="shared" ref="C52:AG52" si="34">IF(C46=1,IF(C47&lt;C48,C51,0))</f>
        <v>0</v>
      </c>
      <c r="D52" s="141" t="b">
        <f t="shared" si="34"/>
        <v>0</v>
      </c>
      <c r="E52" s="141" t="b">
        <f t="shared" si="34"/>
        <v>0</v>
      </c>
      <c r="F52" s="141" t="b">
        <f t="shared" si="34"/>
        <v>0</v>
      </c>
      <c r="G52" s="141">
        <f t="shared" si="34"/>
        <v>0</v>
      </c>
      <c r="H52" s="141">
        <f t="shared" si="34"/>
        <v>0</v>
      </c>
      <c r="I52" s="141" t="b">
        <f t="shared" si="34"/>
        <v>0</v>
      </c>
      <c r="J52" s="141" t="b">
        <f t="shared" si="34"/>
        <v>0</v>
      </c>
      <c r="K52" s="141" t="b">
        <f t="shared" si="34"/>
        <v>0</v>
      </c>
      <c r="L52" s="141" t="b">
        <f t="shared" si="34"/>
        <v>0</v>
      </c>
      <c r="M52" s="141" t="b">
        <f t="shared" si="34"/>
        <v>0</v>
      </c>
      <c r="N52" s="141">
        <f t="shared" si="34"/>
        <v>0</v>
      </c>
      <c r="O52" s="141">
        <f t="shared" si="34"/>
        <v>0</v>
      </c>
      <c r="P52" s="141" t="b">
        <f t="shared" si="34"/>
        <v>0</v>
      </c>
      <c r="Q52" s="141" t="b">
        <f t="shared" si="34"/>
        <v>0</v>
      </c>
      <c r="R52" s="141" t="b">
        <f t="shared" si="34"/>
        <v>0</v>
      </c>
      <c r="S52" s="141" t="b">
        <f t="shared" si="34"/>
        <v>0</v>
      </c>
      <c r="T52" s="141" t="b">
        <f t="shared" si="34"/>
        <v>0</v>
      </c>
      <c r="U52" s="141">
        <f t="shared" si="34"/>
        <v>0</v>
      </c>
      <c r="V52" s="141">
        <f t="shared" si="34"/>
        <v>0</v>
      </c>
      <c r="W52" s="141" t="b">
        <f t="shared" si="34"/>
        <v>0</v>
      </c>
      <c r="X52" s="141" t="b">
        <f t="shared" si="34"/>
        <v>0</v>
      </c>
      <c r="Y52" s="141" t="b">
        <f t="shared" si="34"/>
        <v>0</v>
      </c>
      <c r="Z52" s="141" t="b">
        <f t="shared" si="34"/>
        <v>0</v>
      </c>
      <c r="AA52" s="141" t="b">
        <f t="shared" si="34"/>
        <v>0</v>
      </c>
      <c r="AB52" s="141">
        <f t="shared" si="34"/>
        <v>0</v>
      </c>
      <c r="AC52" s="141">
        <f t="shared" si="34"/>
        <v>0</v>
      </c>
      <c r="AD52" s="141" t="b">
        <f t="shared" si="34"/>
        <v>0</v>
      </c>
      <c r="AE52" s="141" t="b">
        <f t="shared" si="34"/>
        <v>0</v>
      </c>
      <c r="AF52" s="141" t="b">
        <f t="shared" si="34"/>
        <v>0</v>
      </c>
      <c r="AG52" s="141" t="b">
        <f t="shared" si="34"/>
        <v>0</v>
      </c>
      <c r="AH52" s="154" t="s">
        <v>12</v>
      </c>
      <c r="AI52" s="133"/>
      <c r="AJ52" s="155"/>
      <c r="AK52" s="156"/>
      <c r="AL52" s="137"/>
      <c r="AN52" s="55" t="str">
        <f t="shared" ref="AN52:AT52" si="35">IF(AN51=$AR$48,IF(AN51="",0,1),"")</f>
        <v/>
      </c>
      <c r="AO52" s="55">
        <f t="shared" si="35"/>
        <v>1</v>
      </c>
      <c r="AP52" s="55" t="str">
        <f t="shared" si="35"/>
        <v/>
      </c>
      <c r="AQ52" s="55" t="str">
        <f t="shared" si="35"/>
        <v/>
      </c>
      <c r="AR52" s="55" t="str">
        <f t="shared" si="35"/>
        <v/>
      </c>
      <c r="AS52" s="55" t="str">
        <f t="shared" si="35"/>
        <v/>
      </c>
      <c r="AT52" s="55" t="str">
        <f t="shared" si="35"/>
        <v/>
      </c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56"/>
      <c r="BF52" s="10"/>
      <c r="BG52" s="10"/>
      <c r="BH52" s="10"/>
      <c r="BI52" s="10"/>
      <c r="BJ52" s="10"/>
      <c r="BK52" s="10"/>
      <c r="BL52" s="10"/>
      <c r="BM52" s="10"/>
      <c r="BN52" s="10"/>
      <c r="BO52" s="96">
        <f t="shared" ref="BO52:BX52" si="36">BO51</f>
        <v>45865</v>
      </c>
      <c r="BP52" s="96">
        <f t="shared" si="36"/>
        <v>45866</v>
      </c>
      <c r="BQ52" s="96">
        <f t="shared" si="36"/>
        <v>45867</v>
      </c>
      <c r="BR52" s="96">
        <f t="shared" si="36"/>
        <v>45868</v>
      </c>
      <c r="BS52" s="96">
        <f t="shared" si="36"/>
        <v>45869</v>
      </c>
      <c r="BT52" s="96" t="str">
        <f t="shared" si="36"/>
        <v/>
      </c>
      <c r="BU52" s="96" t="str">
        <f t="shared" si="36"/>
        <v/>
      </c>
      <c r="BV52" s="96" t="str">
        <f t="shared" si="36"/>
        <v/>
      </c>
      <c r="BW52" s="96" t="str">
        <f t="shared" si="36"/>
        <v/>
      </c>
      <c r="BX52" s="96" t="str">
        <f t="shared" si="36"/>
        <v/>
      </c>
      <c r="BY52" s="10"/>
      <c r="BZ52" s="10"/>
      <c r="CA52" s="10"/>
      <c r="CB52" s="10"/>
    </row>
    <row r="53" spans="1:80" s="2" customFormat="1" ht="15.95" hidden="1" customHeight="1" x14ac:dyDescent="0.25">
      <c r="A53" s="153"/>
      <c r="B53" s="149" t="s">
        <v>64</v>
      </c>
      <c r="C53" s="141">
        <f t="shared" ref="C53:AG53" si="37">IF(C46=1,IF(C47&gt;C48,24-C47,0),0)</f>
        <v>0</v>
      </c>
      <c r="D53" s="141">
        <f t="shared" si="37"/>
        <v>0</v>
      </c>
      <c r="E53" s="141">
        <f t="shared" si="37"/>
        <v>0</v>
      </c>
      <c r="F53" s="141">
        <f t="shared" si="37"/>
        <v>0</v>
      </c>
      <c r="G53" s="141">
        <f t="shared" si="37"/>
        <v>0</v>
      </c>
      <c r="H53" s="141">
        <f t="shared" si="37"/>
        <v>0</v>
      </c>
      <c r="I53" s="141">
        <f t="shared" si="37"/>
        <v>0</v>
      </c>
      <c r="J53" s="141">
        <f t="shared" si="37"/>
        <v>0</v>
      </c>
      <c r="K53" s="141">
        <f t="shared" si="37"/>
        <v>0</v>
      </c>
      <c r="L53" s="141">
        <f t="shared" si="37"/>
        <v>0</v>
      </c>
      <c r="M53" s="141">
        <f t="shared" si="37"/>
        <v>0</v>
      </c>
      <c r="N53" s="141">
        <f t="shared" si="37"/>
        <v>0</v>
      </c>
      <c r="O53" s="141">
        <f t="shared" si="37"/>
        <v>0</v>
      </c>
      <c r="P53" s="141">
        <f t="shared" si="37"/>
        <v>0</v>
      </c>
      <c r="Q53" s="141">
        <f t="shared" si="37"/>
        <v>0</v>
      </c>
      <c r="R53" s="141">
        <f t="shared" si="37"/>
        <v>0</v>
      </c>
      <c r="S53" s="141">
        <f t="shared" si="37"/>
        <v>0</v>
      </c>
      <c r="T53" s="141">
        <f t="shared" si="37"/>
        <v>0</v>
      </c>
      <c r="U53" s="141">
        <f t="shared" si="37"/>
        <v>5</v>
      </c>
      <c r="V53" s="141">
        <f t="shared" si="37"/>
        <v>5</v>
      </c>
      <c r="W53" s="141">
        <f t="shared" si="37"/>
        <v>0</v>
      </c>
      <c r="X53" s="141">
        <f t="shared" si="37"/>
        <v>0</v>
      </c>
      <c r="Y53" s="141">
        <f t="shared" si="37"/>
        <v>0</v>
      </c>
      <c r="Z53" s="141">
        <f t="shared" si="37"/>
        <v>0</v>
      </c>
      <c r="AA53" s="141">
        <f t="shared" si="37"/>
        <v>0</v>
      </c>
      <c r="AB53" s="141">
        <f t="shared" si="37"/>
        <v>0</v>
      </c>
      <c r="AC53" s="141">
        <f t="shared" si="37"/>
        <v>0</v>
      </c>
      <c r="AD53" s="141">
        <f t="shared" si="37"/>
        <v>0</v>
      </c>
      <c r="AE53" s="141">
        <f t="shared" si="37"/>
        <v>0</v>
      </c>
      <c r="AF53" s="141">
        <f t="shared" si="37"/>
        <v>0</v>
      </c>
      <c r="AG53" s="141">
        <f t="shared" si="37"/>
        <v>0</v>
      </c>
      <c r="AH53" s="154" t="s">
        <v>12</v>
      </c>
      <c r="AI53" s="133"/>
      <c r="AJ53" s="155"/>
      <c r="AK53" s="137"/>
      <c r="AL53" s="137"/>
      <c r="AN53" s="57" t="str">
        <f t="shared" ref="AN53:AT53" si="38">IF(AN52=1,IF(AN52="",0,AN50),"")</f>
        <v/>
      </c>
      <c r="AO53" s="57" t="str">
        <f t="shared" si="38"/>
        <v>ma</v>
      </c>
      <c r="AP53" s="57" t="str">
        <f t="shared" si="38"/>
        <v/>
      </c>
      <c r="AQ53" s="57" t="str">
        <f t="shared" si="38"/>
        <v/>
      </c>
      <c r="AR53" s="57" t="str">
        <f t="shared" si="38"/>
        <v/>
      </c>
      <c r="AS53" s="57" t="str">
        <f t="shared" si="38"/>
        <v/>
      </c>
      <c r="AT53" s="57" t="str">
        <f t="shared" si="38"/>
        <v/>
      </c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56"/>
      <c r="BF53" s="10"/>
      <c r="BG53" s="10"/>
      <c r="BH53" s="10"/>
      <c r="BI53" s="10"/>
      <c r="BJ53" s="10"/>
      <c r="BK53" s="10"/>
      <c r="BL53" s="10"/>
      <c r="BM53" s="10"/>
      <c r="BN53" s="10"/>
      <c r="BO53" s="58" t="str">
        <f t="shared" ref="BO53:BX53" si="39">IF(BO52=$AR$48+30,IF(BO52="",0,1),IF(BO52=$AR$48+29,IF(BO52="",0,1),IF(BO52=$AR$48+28,IF(BO52="",0,1),IF(BO52=$AR$48+27,IF(BO52="",0,1),""))))</f>
        <v/>
      </c>
      <c r="BP53" s="58">
        <f t="shared" si="39"/>
        <v>1</v>
      </c>
      <c r="BQ53" s="58">
        <f t="shared" si="39"/>
        <v>1</v>
      </c>
      <c r="BR53" s="58">
        <f t="shared" si="39"/>
        <v>1</v>
      </c>
      <c r="BS53" s="58">
        <f t="shared" si="39"/>
        <v>1</v>
      </c>
      <c r="BT53" s="58" t="str">
        <f t="shared" si="39"/>
        <v/>
      </c>
      <c r="BU53" s="58" t="str">
        <f t="shared" si="39"/>
        <v/>
      </c>
      <c r="BV53" s="58" t="str">
        <f t="shared" si="39"/>
        <v/>
      </c>
      <c r="BW53" s="58" t="str">
        <f t="shared" si="39"/>
        <v/>
      </c>
      <c r="BX53" s="58" t="str">
        <f t="shared" si="39"/>
        <v/>
      </c>
      <c r="BY53" s="10"/>
      <c r="BZ53" s="10"/>
      <c r="CA53" s="10"/>
      <c r="CB53" s="10"/>
    </row>
    <row r="54" spans="1:80" s="2" customFormat="1" ht="15.95" hidden="1" customHeight="1" x14ac:dyDescent="0.25">
      <c r="A54" s="157"/>
      <c r="B54" s="149" t="s">
        <v>65</v>
      </c>
      <c r="C54" s="141">
        <f t="shared" ref="C54:AG54" si="40">IF(D46=1,IF(C47&gt;C48,C48,0),0)</f>
        <v>0</v>
      </c>
      <c r="D54" s="141">
        <f t="shared" si="40"/>
        <v>0</v>
      </c>
      <c r="E54" s="141">
        <f t="shared" si="40"/>
        <v>0</v>
      </c>
      <c r="F54" s="141">
        <f t="shared" si="40"/>
        <v>0</v>
      </c>
      <c r="G54" s="141">
        <f t="shared" si="40"/>
        <v>0</v>
      </c>
      <c r="H54" s="141">
        <f t="shared" si="40"/>
        <v>0</v>
      </c>
      <c r="I54" s="141">
        <f t="shared" si="40"/>
        <v>0</v>
      </c>
      <c r="J54" s="141">
        <f t="shared" si="40"/>
        <v>0</v>
      </c>
      <c r="K54" s="141">
        <f t="shared" si="40"/>
        <v>0</v>
      </c>
      <c r="L54" s="141">
        <f t="shared" si="40"/>
        <v>0</v>
      </c>
      <c r="M54" s="141">
        <f t="shared" si="40"/>
        <v>0</v>
      </c>
      <c r="N54" s="141">
        <f t="shared" si="40"/>
        <v>0</v>
      </c>
      <c r="O54" s="141">
        <f t="shared" si="40"/>
        <v>0</v>
      </c>
      <c r="P54" s="141">
        <f t="shared" si="40"/>
        <v>0</v>
      </c>
      <c r="Q54" s="141">
        <f t="shared" si="40"/>
        <v>0</v>
      </c>
      <c r="R54" s="141">
        <f t="shared" si="40"/>
        <v>0</v>
      </c>
      <c r="S54" s="141">
        <f t="shared" si="40"/>
        <v>0</v>
      </c>
      <c r="T54" s="141">
        <f t="shared" si="40"/>
        <v>7</v>
      </c>
      <c r="U54" s="141">
        <f t="shared" si="40"/>
        <v>7</v>
      </c>
      <c r="V54" s="141">
        <f t="shared" si="40"/>
        <v>0</v>
      </c>
      <c r="W54" s="141">
        <f t="shared" si="40"/>
        <v>0</v>
      </c>
      <c r="X54" s="141">
        <f>IF(Y46=1,IF(X47&gt;X48,X48,0),0)</f>
        <v>0</v>
      </c>
      <c r="Y54" s="141">
        <f t="shared" si="40"/>
        <v>0</v>
      </c>
      <c r="Z54" s="141">
        <f t="shared" si="40"/>
        <v>0</v>
      </c>
      <c r="AA54" s="141">
        <f t="shared" si="40"/>
        <v>0</v>
      </c>
      <c r="AB54" s="141">
        <f t="shared" si="40"/>
        <v>0</v>
      </c>
      <c r="AC54" s="141">
        <f t="shared" si="40"/>
        <v>0</v>
      </c>
      <c r="AD54" s="141">
        <f t="shared" si="40"/>
        <v>0</v>
      </c>
      <c r="AE54" s="141">
        <f t="shared" si="40"/>
        <v>0</v>
      </c>
      <c r="AF54" s="141">
        <f t="shared" si="40"/>
        <v>0</v>
      </c>
      <c r="AG54" s="141">
        <f t="shared" si="40"/>
        <v>0</v>
      </c>
      <c r="AH54" s="154" t="s">
        <v>12</v>
      </c>
      <c r="AI54" s="133"/>
      <c r="AJ54" s="155"/>
      <c r="AK54" s="137"/>
      <c r="AL54" s="137"/>
      <c r="AN54" s="10"/>
      <c r="AO54" s="10"/>
      <c r="AP54" s="10"/>
      <c r="AQ54" s="10"/>
      <c r="AR54" s="47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56"/>
      <c r="BF54" s="10"/>
      <c r="BG54" s="10"/>
      <c r="BH54" s="10"/>
      <c r="BI54" s="10"/>
      <c r="BJ54" s="10"/>
      <c r="BK54" s="10"/>
      <c r="BL54" s="10"/>
      <c r="BM54" s="10"/>
      <c r="BN54" s="10"/>
      <c r="BO54" s="52" t="str">
        <f t="shared" ref="BO54:BX54" si="41">IF(BO53=1,IF(BO53="",0,BO52),"")</f>
        <v/>
      </c>
      <c r="BP54" s="52">
        <f t="shared" si="41"/>
        <v>45866</v>
      </c>
      <c r="BQ54" s="52">
        <f t="shared" si="41"/>
        <v>45867</v>
      </c>
      <c r="BR54" s="52">
        <f t="shared" si="41"/>
        <v>45868</v>
      </c>
      <c r="BS54" s="52">
        <f t="shared" si="41"/>
        <v>45869</v>
      </c>
      <c r="BT54" s="52" t="str">
        <f t="shared" si="41"/>
        <v/>
      </c>
      <c r="BU54" s="52" t="str">
        <f t="shared" si="41"/>
        <v/>
      </c>
      <c r="BV54" s="52" t="str">
        <f t="shared" si="41"/>
        <v/>
      </c>
      <c r="BW54" s="52" t="str">
        <f t="shared" si="41"/>
        <v/>
      </c>
      <c r="BX54" s="52" t="str">
        <f t="shared" si="41"/>
        <v/>
      </c>
      <c r="BY54" s="56"/>
      <c r="BZ54" s="97" t="s">
        <v>66</v>
      </c>
      <c r="CA54" s="56"/>
      <c r="CB54" s="10"/>
    </row>
    <row r="55" spans="1:80" s="2" customFormat="1" ht="15.95" hidden="1" customHeight="1" x14ac:dyDescent="0.25">
      <c r="A55" s="157"/>
      <c r="B55" s="149" t="s">
        <v>67</v>
      </c>
      <c r="C55" s="158">
        <f t="shared" ref="C55:AG55" si="42">SUM(C52:C54)</f>
        <v>0</v>
      </c>
      <c r="D55" s="158">
        <f t="shared" si="42"/>
        <v>0</v>
      </c>
      <c r="E55" s="158">
        <f t="shared" si="42"/>
        <v>0</v>
      </c>
      <c r="F55" s="158">
        <f t="shared" si="42"/>
        <v>0</v>
      </c>
      <c r="G55" s="158">
        <f t="shared" si="42"/>
        <v>0</v>
      </c>
      <c r="H55" s="158">
        <f t="shared" si="42"/>
        <v>0</v>
      </c>
      <c r="I55" s="158">
        <f t="shared" si="42"/>
        <v>0</v>
      </c>
      <c r="J55" s="158">
        <f t="shared" si="42"/>
        <v>0</v>
      </c>
      <c r="K55" s="158">
        <f t="shared" si="42"/>
        <v>0</v>
      </c>
      <c r="L55" s="158">
        <f t="shared" si="42"/>
        <v>0</v>
      </c>
      <c r="M55" s="158">
        <f t="shared" si="42"/>
        <v>0</v>
      </c>
      <c r="N55" s="158">
        <f t="shared" si="42"/>
        <v>0</v>
      </c>
      <c r="O55" s="158">
        <f t="shared" si="42"/>
        <v>0</v>
      </c>
      <c r="P55" s="158">
        <f t="shared" si="42"/>
        <v>0</v>
      </c>
      <c r="Q55" s="158">
        <f t="shared" si="42"/>
        <v>0</v>
      </c>
      <c r="R55" s="158">
        <f t="shared" si="42"/>
        <v>0</v>
      </c>
      <c r="S55" s="158">
        <f t="shared" si="42"/>
        <v>0</v>
      </c>
      <c r="T55" s="158">
        <f t="shared" si="42"/>
        <v>7</v>
      </c>
      <c r="U55" s="158">
        <f t="shared" si="42"/>
        <v>12</v>
      </c>
      <c r="V55" s="158">
        <f t="shared" si="42"/>
        <v>5</v>
      </c>
      <c r="W55" s="158">
        <f t="shared" si="42"/>
        <v>0</v>
      </c>
      <c r="X55" s="158">
        <f t="shared" si="42"/>
        <v>0</v>
      </c>
      <c r="Y55" s="158">
        <f t="shared" si="42"/>
        <v>0</v>
      </c>
      <c r="Z55" s="158">
        <f t="shared" si="42"/>
        <v>0</v>
      </c>
      <c r="AA55" s="158">
        <f t="shared" si="42"/>
        <v>0</v>
      </c>
      <c r="AB55" s="158">
        <f t="shared" si="42"/>
        <v>0</v>
      </c>
      <c r="AC55" s="158">
        <f t="shared" si="42"/>
        <v>0</v>
      </c>
      <c r="AD55" s="158">
        <f t="shared" si="42"/>
        <v>0</v>
      </c>
      <c r="AE55" s="158">
        <f t="shared" si="42"/>
        <v>0</v>
      </c>
      <c r="AF55" s="158">
        <f t="shared" si="42"/>
        <v>0</v>
      </c>
      <c r="AG55" s="158">
        <f t="shared" si="42"/>
        <v>0</v>
      </c>
      <c r="AH55" s="154" t="s">
        <v>12</v>
      </c>
      <c r="AI55" s="133"/>
      <c r="AJ55" s="155"/>
      <c r="AK55" s="137"/>
      <c r="AL55" s="137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59"/>
      <c r="BF55" s="10"/>
      <c r="BG55" s="10"/>
      <c r="BH55" s="10"/>
      <c r="BI55" s="10"/>
      <c r="BJ55" s="10"/>
      <c r="BK55" s="10"/>
      <c r="BL55" s="10"/>
      <c r="BM55" s="10"/>
      <c r="BN55" s="10"/>
      <c r="BO55" s="52" t="str">
        <f t="shared" ref="BO55:BX55" si="43">IF(BO54=$AZ48,IF(BO54="",0,$AZ48),"")</f>
        <v/>
      </c>
      <c r="BP55" s="52" t="str">
        <f t="shared" si="43"/>
        <v/>
      </c>
      <c r="BQ55" s="52" t="str">
        <f t="shared" si="43"/>
        <v/>
      </c>
      <c r="BR55" s="52" t="str">
        <f t="shared" si="43"/>
        <v/>
      </c>
      <c r="BS55" s="52">
        <f t="shared" si="43"/>
        <v>45869</v>
      </c>
      <c r="BT55" s="52" t="str">
        <f t="shared" si="43"/>
        <v/>
      </c>
      <c r="BU55" s="52" t="str">
        <f t="shared" si="43"/>
        <v/>
      </c>
      <c r="BV55" s="52" t="str">
        <f t="shared" si="43"/>
        <v/>
      </c>
      <c r="BW55" s="52" t="str">
        <f t="shared" si="43"/>
        <v/>
      </c>
      <c r="BX55" s="52" t="str">
        <f t="shared" si="43"/>
        <v/>
      </c>
      <c r="BY55" s="52">
        <f t="shared" ref="BY55:BY58" si="44">SUM(BO55:BX55)</f>
        <v>45869</v>
      </c>
      <c r="BZ55" s="98">
        <f t="shared" ref="BZ55:BZ58" si="45">IF(BY55=$AZ$48,IF(BY55="",0,31),IF(BY55=$AZ$47,IF(BY55="",0,30),IF(BY55=$AX$48,IF(BY55="",0,29),IF(BY55=$AX$47,IF(BY55="",0,28)))))</f>
        <v>31</v>
      </c>
      <c r="CA55" s="99">
        <v>31</v>
      </c>
      <c r="CB55" s="10"/>
    </row>
    <row r="56" spans="1:80" s="2" customFormat="1" ht="15.95" hidden="1" customHeight="1" x14ac:dyDescent="0.25">
      <c r="A56" s="159"/>
      <c r="B56" s="160" t="s">
        <v>68</v>
      </c>
      <c r="C56" s="161">
        <f t="shared" ref="C56:AG56" si="46">IF(C9="V",IF(C9="",0,1),0)</f>
        <v>1</v>
      </c>
      <c r="D56" s="161">
        <f t="shared" si="46"/>
        <v>1</v>
      </c>
      <c r="E56" s="161">
        <f t="shared" si="46"/>
        <v>1</v>
      </c>
      <c r="F56" s="161">
        <f t="shared" si="46"/>
        <v>1</v>
      </c>
      <c r="G56" s="161">
        <f t="shared" si="46"/>
        <v>1</v>
      </c>
      <c r="H56" s="161">
        <f t="shared" si="46"/>
        <v>1</v>
      </c>
      <c r="I56" s="161">
        <f t="shared" si="46"/>
        <v>1</v>
      </c>
      <c r="J56" s="161">
        <f t="shared" si="46"/>
        <v>1</v>
      </c>
      <c r="K56" s="161">
        <f t="shared" si="46"/>
        <v>1</v>
      </c>
      <c r="L56" s="161">
        <f t="shared" si="46"/>
        <v>1</v>
      </c>
      <c r="M56" s="161">
        <f t="shared" si="46"/>
        <v>1</v>
      </c>
      <c r="N56" s="161">
        <f t="shared" si="46"/>
        <v>1</v>
      </c>
      <c r="O56" s="161">
        <f t="shared" si="46"/>
        <v>1</v>
      </c>
      <c r="P56" s="161">
        <f t="shared" si="46"/>
        <v>1</v>
      </c>
      <c r="Q56" s="161">
        <f t="shared" si="46"/>
        <v>1</v>
      </c>
      <c r="R56" s="161">
        <f t="shared" si="46"/>
        <v>1</v>
      </c>
      <c r="S56" s="161">
        <f t="shared" si="46"/>
        <v>0</v>
      </c>
      <c r="T56" s="161">
        <f t="shared" si="46"/>
        <v>0</v>
      </c>
      <c r="U56" s="161">
        <f t="shared" si="46"/>
        <v>0</v>
      </c>
      <c r="V56" s="161">
        <f t="shared" si="46"/>
        <v>0</v>
      </c>
      <c r="W56" s="161">
        <f t="shared" si="46"/>
        <v>0</v>
      </c>
      <c r="X56" s="161">
        <f t="shared" si="46"/>
        <v>0</v>
      </c>
      <c r="Y56" s="161">
        <f t="shared" si="46"/>
        <v>0</v>
      </c>
      <c r="Z56" s="161">
        <f t="shared" si="46"/>
        <v>0</v>
      </c>
      <c r="AA56" s="161">
        <f t="shared" si="46"/>
        <v>0</v>
      </c>
      <c r="AB56" s="161">
        <f t="shared" si="46"/>
        <v>0</v>
      </c>
      <c r="AC56" s="161">
        <f t="shared" si="46"/>
        <v>0</v>
      </c>
      <c r="AD56" s="161">
        <f t="shared" si="46"/>
        <v>0</v>
      </c>
      <c r="AE56" s="161">
        <f t="shared" si="46"/>
        <v>0</v>
      </c>
      <c r="AF56" s="161">
        <f t="shared" si="46"/>
        <v>0</v>
      </c>
      <c r="AG56" s="161">
        <f t="shared" si="46"/>
        <v>0</v>
      </c>
      <c r="AH56" s="154" t="s">
        <v>12</v>
      </c>
      <c r="AI56" s="133"/>
      <c r="AJ56" s="155"/>
      <c r="AK56" s="137"/>
      <c r="AL56" s="137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59"/>
      <c r="BF56" s="10"/>
      <c r="BG56" s="10"/>
      <c r="BH56" s="10"/>
      <c r="BI56" s="10"/>
      <c r="BJ56" s="10"/>
      <c r="BK56" s="10"/>
      <c r="BL56" s="10"/>
      <c r="BM56" s="10"/>
      <c r="BN56" s="10"/>
      <c r="BO56" s="52" t="str">
        <f t="shared" ref="BO56:BX56" si="47">IF(BO54=$AZ47,IF(BO54="",0,$AZ47),"")</f>
        <v/>
      </c>
      <c r="BP56" s="52" t="str">
        <f t="shared" si="47"/>
        <v/>
      </c>
      <c r="BQ56" s="52" t="str">
        <f t="shared" si="47"/>
        <v/>
      </c>
      <c r="BR56" s="52">
        <f t="shared" si="47"/>
        <v>45868</v>
      </c>
      <c r="BS56" s="52" t="str">
        <f t="shared" si="47"/>
        <v/>
      </c>
      <c r="BT56" s="52" t="str">
        <f t="shared" si="47"/>
        <v/>
      </c>
      <c r="BU56" s="52" t="str">
        <f t="shared" si="47"/>
        <v/>
      </c>
      <c r="BV56" s="52" t="str">
        <f t="shared" si="47"/>
        <v/>
      </c>
      <c r="BW56" s="52" t="str">
        <f t="shared" si="47"/>
        <v/>
      </c>
      <c r="BX56" s="52" t="str">
        <f t="shared" si="47"/>
        <v/>
      </c>
      <c r="BY56" s="52">
        <f t="shared" si="44"/>
        <v>45868</v>
      </c>
      <c r="BZ56" s="98">
        <f t="shared" si="45"/>
        <v>30</v>
      </c>
      <c r="CA56" s="99">
        <v>30</v>
      </c>
      <c r="CB56" s="10"/>
    </row>
    <row r="57" spans="1:80" ht="15.95" hidden="1" customHeight="1" x14ac:dyDescent="0.25">
      <c r="A57" s="129"/>
      <c r="B57" s="162" t="s">
        <v>16</v>
      </c>
      <c r="C57" s="163">
        <f t="shared" ref="C57:AG57" si="48">IF(C9="PR",IF(C9="",0,1),0)</f>
        <v>0</v>
      </c>
      <c r="D57" s="163">
        <f t="shared" si="48"/>
        <v>0</v>
      </c>
      <c r="E57" s="163">
        <f t="shared" si="48"/>
        <v>0</v>
      </c>
      <c r="F57" s="163">
        <f t="shared" si="48"/>
        <v>0</v>
      </c>
      <c r="G57" s="163">
        <f t="shared" si="48"/>
        <v>0</v>
      </c>
      <c r="H57" s="163">
        <f t="shared" si="48"/>
        <v>0</v>
      </c>
      <c r="I57" s="163">
        <f t="shared" si="48"/>
        <v>0</v>
      </c>
      <c r="J57" s="163">
        <f t="shared" si="48"/>
        <v>0</v>
      </c>
      <c r="K57" s="163">
        <f t="shared" si="48"/>
        <v>0</v>
      </c>
      <c r="L57" s="163">
        <f t="shared" si="48"/>
        <v>0</v>
      </c>
      <c r="M57" s="163">
        <f t="shared" si="48"/>
        <v>0</v>
      </c>
      <c r="N57" s="163">
        <f t="shared" si="48"/>
        <v>0</v>
      </c>
      <c r="O57" s="163">
        <f t="shared" si="48"/>
        <v>0</v>
      </c>
      <c r="P57" s="163">
        <f t="shared" si="48"/>
        <v>0</v>
      </c>
      <c r="Q57" s="163">
        <f t="shared" si="48"/>
        <v>0</v>
      </c>
      <c r="R57" s="163">
        <f t="shared" si="48"/>
        <v>0</v>
      </c>
      <c r="S57" s="163">
        <f t="shared" si="48"/>
        <v>0</v>
      </c>
      <c r="T57" s="163">
        <f t="shared" si="48"/>
        <v>0</v>
      </c>
      <c r="U57" s="163">
        <f t="shared" si="48"/>
        <v>0</v>
      </c>
      <c r="V57" s="163">
        <f t="shared" si="48"/>
        <v>0</v>
      </c>
      <c r="W57" s="163">
        <f t="shared" si="48"/>
        <v>0</v>
      </c>
      <c r="X57" s="163">
        <f t="shared" si="48"/>
        <v>0</v>
      </c>
      <c r="Y57" s="163">
        <f t="shared" si="48"/>
        <v>0</v>
      </c>
      <c r="Z57" s="163">
        <f t="shared" si="48"/>
        <v>0</v>
      </c>
      <c r="AA57" s="163">
        <f t="shared" si="48"/>
        <v>0</v>
      </c>
      <c r="AB57" s="163">
        <f t="shared" si="48"/>
        <v>0</v>
      </c>
      <c r="AC57" s="163">
        <f t="shared" si="48"/>
        <v>0</v>
      </c>
      <c r="AD57" s="163">
        <f t="shared" si="48"/>
        <v>0</v>
      </c>
      <c r="AE57" s="163">
        <f t="shared" si="48"/>
        <v>0</v>
      </c>
      <c r="AF57" s="163">
        <f t="shared" si="48"/>
        <v>0</v>
      </c>
      <c r="AG57" s="163">
        <f t="shared" si="48"/>
        <v>0</v>
      </c>
      <c r="AH57" s="233">
        <f>SUM(C57:AG57)</f>
        <v>0</v>
      </c>
      <c r="AI57" s="233"/>
      <c r="AJ57" s="137" t="s">
        <v>69</v>
      </c>
      <c r="AK57" s="133"/>
      <c r="AL57" s="133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59"/>
      <c r="BF57" s="31"/>
      <c r="BG57" s="31"/>
      <c r="BH57" s="31"/>
      <c r="BI57" s="31"/>
      <c r="BJ57" s="31"/>
      <c r="BK57" s="31"/>
      <c r="BL57" s="31"/>
      <c r="BM57" s="31"/>
      <c r="BN57" s="31"/>
      <c r="BO57" s="52" t="str">
        <f t="shared" ref="BO57:BX57" si="49">IF(BO54=$AX48,IF(BO54="",0,$AX48),"")</f>
        <v/>
      </c>
      <c r="BP57" s="52" t="str">
        <f t="shared" si="49"/>
        <v/>
      </c>
      <c r="BQ57" s="52">
        <f t="shared" si="49"/>
        <v>45867</v>
      </c>
      <c r="BR57" s="52" t="str">
        <f t="shared" si="49"/>
        <v/>
      </c>
      <c r="BS57" s="52" t="str">
        <f t="shared" si="49"/>
        <v/>
      </c>
      <c r="BT57" s="52" t="str">
        <f t="shared" si="49"/>
        <v/>
      </c>
      <c r="BU57" s="52" t="str">
        <f t="shared" si="49"/>
        <v/>
      </c>
      <c r="BV57" s="52" t="str">
        <f t="shared" si="49"/>
        <v/>
      </c>
      <c r="BW57" s="52" t="str">
        <f t="shared" si="49"/>
        <v/>
      </c>
      <c r="BX57" s="52" t="str">
        <f t="shared" si="49"/>
        <v/>
      </c>
      <c r="BY57" s="52">
        <f t="shared" si="44"/>
        <v>45867</v>
      </c>
      <c r="BZ57" s="98">
        <f t="shared" si="45"/>
        <v>29</v>
      </c>
      <c r="CA57" s="99">
        <v>29</v>
      </c>
      <c r="CB57" s="31"/>
    </row>
    <row r="58" spans="1:80" s="59" customFormat="1" ht="15.95" hidden="1" customHeight="1" x14ac:dyDescent="0.25">
      <c r="A58" s="164" t="s">
        <v>70</v>
      </c>
      <c r="B58" s="165" t="s">
        <v>29</v>
      </c>
      <c r="C58" s="141" t="str">
        <f t="shared" ref="C58:AG58" si="50">IF(C10=$R32,$S32*24,IF(C10=$R33,$S33*24,IF(C10=$R34,$S34*24,IF(C10=$R35,$S35*24,IF(C10=$R36,$S36*24,IF(C10=$R37,$S37*24,IF(C10=$R38,$S38*24,IF(C10=$R39,$S39*24,IF(C10=$R40,$S40*24,"")))))))))</f>
        <v/>
      </c>
      <c r="D58" s="141">
        <f t="shared" si="50"/>
        <v>7</v>
      </c>
      <c r="E58" s="141">
        <f t="shared" si="50"/>
        <v>7</v>
      </c>
      <c r="F58" s="141" t="str">
        <f t="shared" si="50"/>
        <v/>
      </c>
      <c r="G58" s="141" t="str">
        <f t="shared" si="50"/>
        <v/>
      </c>
      <c r="H58" s="141" t="str">
        <f t="shared" si="50"/>
        <v/>
      </c>
      <c r="I58" s="141">
        <f t="shared" si="50"/>
        <v>7</v>
      </c>
      <c r="J58" s="141">
        <f t="shared" si="50"/>
        <v>7</v>
      </c>
      <c r="K58" s="141" t="str">
        <f t="shared" si="50"/>
        <v/>
      </c>
      <c r="L58" s="141">
        <f t="shared" si="50"/>
        <v>7</v>
      </c>
      <c r="M58" s="141">
        <f t="shared" si="50"/>
        <v>7</v>
      </c>
      <c r="N58" s="141">
        <f t="shared" si="50"/>
        <v>7</v>
      </c>
      <c r="O58" s="141">
        <f t="shared" si="50"/>
        <v>7</v>
      </c>
      <c r="P58" s="141" t="str">
        <f t="shared" si="50"/>
        <v/>
      </c>
      <c r="Q58" s="141" t="str">
        <f t="shared" si="50"/>
        <v/>
      </c>
      <c r="R58" s="141">
        <f t="shared" si="50"/>
        <v>7</v>
      </c>
      <c r="S58" s="141" t="str">
        <f t="shared" si="50"/>
        <v/>
      </c>
      <c r="T58" s="141">
        <f t="shared" si="50"/>
        <v>7</v>
      </c>
      <c r="U58" s="141">
        <f t="shared" si="50"/>
        <v>7</v>
      </c>
      <c r="V58" s="141">
        <f t="shared" si="50"/>
        <v>7</v>
      </c>
      <c r="W58" s="141">
        <f t="shared" si="50"/>
        <v>7</v>
      </c>
      <c r="X58" s="141">
        <f t="shared" si="50"/>
        <v>18</v>
      </c>
      <c r="Y58" s="141" t="str">
        <f t="shared" si="50"/>
        <v/>
      </c>
      <c r="Z58" s="141" t="str">
        <f t="shared" si="50"/>
        <v/>
      </c>
      <c r="AA58" s="141">
        <f t="shared" si="50"/>
        <v>7</v>
      </c>
      <c r="AB58" s="141">
        <f t="shared" si="50"/>
        <v>7</v>
      </c>
      <c r="AC58" s="141">
        <f t="shared" si="50"/>
        <v>7</v>
      </c>
      <c r="AD58" s="141" t="str">
        <f t="shared" si="50"/>
        <v/>
      </c>
      <c r="AE58" s="141" t="str">
        <f t="shared" si="50"/>
        <v/>
      </c>
      <c r="AF58" s="141">
        <f t="shared" si="50"/>
        <v>7</v>
      </c>
      <c r="AG58" s="141">
        <f t="shared" si="50"/>
        <v>7</v>
      </c>
      <c r="AH58" s="154" t="s">
        <v>12</v>
      </c>
      <c r="AI58" s="133"/>
      <c r="AJ58" s="137"/>
      <c r="AK58" s="137"/>
      <c r="AL58" s="137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1"/>
      <c r="BF58" s="56"/>
      <c r="BG58" s="56"/>
      <c r="BH58" s="56"/>
      <c r="BI58" s="56"/>
      <c r="BJ58" s="56"/>
      <c r="BK58" s="56"/>
      <c r="BL58" s="56"/>
      <c r="BM58" s="56"/>
      <c r="BN58" s="56"/>
      <c r="BO58" s="52" t="str">
        <f t="shared" ref="BO58:BX58" si="51">IF(BO54=$AX47,IF(BO54="",0,$AX47),"")</f>
        <v/>
      </c>
      <c r="BP58" s="52">
        <f t="shared" si="51"/>
        <v>45866</v>
      </c>
      <c r="BQ58" s="52" t="str">
        <f t="shared" si="51"/>
        <v/>
      </c>
      <c r="BR58" s="52" t="str">
        <f t="shared" si="51"/>
        <v/>
      </c>
      <c r="BS58" s="52" t="str">
        <f t="shared" si="51"/>
        <v/>
      </c>
      <c r="BT58" s="52" t="str">
        <f t="shared" si="51"/>
        <v/>
      </c>
      <c r="BU58" s="52" t="str">
        <f t="shared" si="51"/>
        <v/>
      </c>
      <c r="BV58" s="52" t="str">
        <f t="shared" si="51"/>
        <v/>
      </c>
      <c r="BW58" s="52" t="str">
        <f t="shared" si="51"/>
        <v/>
      </c>
      <c r="BX58" s="52" t="str">
        <f t="shared" si="51"/>
        <v/>
      </c>
      <c r="BY58" s="52">
        <f t="shared" si="44"/>
        <v>45866</v>
      </c>
      <c r="BZ58" s="52">
        <f t="shared" si="45"/>
        <v>28</v>
      </c>
      <c r="CA58" s="99">
        <v>28</v>
      </c>
      <c r="CB58" s="56"/>
    </row>
    <row r="59" spans="1:80" s="59" customFormat="1" ht="15.95" hidden="1" customHeight="1" x14ac:dyDescent="0.25">
      <c r="A59" s="166" t="s">
        <v>71</v>
      </c>
      <c r="B59" s="167" t="s">
        <v>30</v>
      </c>
      <c r="C59" s="141" t="str">
        <f t="shared" ref="C59:AG59" si="52">IF(C10=$R32,$V32*24,IF(C10=$R33,$V33*24,IF(C10=$R34,$V34*24,IF(C10=$R35,$V35*24,IF(C10=$R36,$V36*24,IF(C10=$R37,$V37*24,IF(C10=$R38,$V38*24,IF(C10=$R39,$V39*24,IF(C10=$R40,$V40*24,"")))))))))</f>
        <v/>
      </c>
      <c r="D59" s="141">
        <f t="shared" si="52"/>
        <v>19</v>
      </c>
      <c r="E59" s="141">
        <f t="shared" si="52"/>
        <v>19</v>
      </c>
      <c r="F59" s="141" t="str">
        <f t="shared" si="52"/>
        <v/>
      </c>
      <c r="G59" s="141" t="str">
        <f t="shared" si="52"/>
        <v/>
      </c>
      <c r="H59" s="141" t="str">
        <f t="shared" si="52"/>
        <v/>
      </c>
      <c r="I59" s="141">
        <f t="shared" si="52"/>
        <v>19</v>
      </c>
      <c r="J59" s="141">
        <f t="shared" si="52"/>
        <v>19</v>
      </c>
      <c r="K59" s="141" t="str">
        <f t="shared" si="52"/>
        <v/>
      </c>
      <c r="L59" s="141">
        <f t="shared" si="52"/>
        <v>19</v>
      </c>
      <c r="M59" s="141">
        <f t="shared" si="52"/>
        <v>19</v>
      </c>
      <c r="N59" s="141">
        <f t="shared" si="52"/>
        <v>19</v>
      </c>
      <c r="O59" s="141">
        <f t="shared" si="52"/>
        <v>19</v>
      </c>
      <c r="P59" s="141" t="str">
        <f t="shared" si="52"/>
        <v/>
      </c>
      <c r="Q59" s="141" t="str">
        <f t="shared" si="52"/>
        <v/>
      </c>
      <c r="R59" s="141">
        <f t="shared" si="52"/>
        <v>19</v>
      </c>
      <c r="S59" s="141" t="str">
        <f t="shared" si="52"/>
        <v/>
      </c>
      <c r="T59" s="141">
        <f t="shared" si="52"/>
        <v>19</v>
      </c>
      <c r="U59" s="141">
        <f t="shared" si="52"/>
        <v>19</v>
      </c>
      <c r="V59" s="141">
        <f t="shared" si="52"/>
        <v>19</v>
      </c>
      <c r="W59" s="141">
        <f t="shared" si="52"/>
        <v>19</v>
      </c>
      <c r="X59" s="141">
        <f t="shared" si="52"/>
        <v>6</v>
      </c>
      <c r="Y59" s="141" t="str">
        <f t="shared" si="52"/>
        <v/>
      </c>
      <c r="Z59" s="141" t="str">
        <f t="shared" si="52"/>
        <v/>
      </c>
      <c r="AA59" s="141">
        <f t="shared" si="52"/>
        <v>19</v>
      </c>
      <c r="AB59" s="141">
        <f t="shared" si="52"/>
        <v>19</v>
      </c>
      <c r="AC59" s="141">
        <f t="shared" si="52"/>
        <v>19</v>
      </c>
      <c r="AD59" s="141" t="str">
        <f t="shared" si="52"/>
        <v/>
      </c>
      <c r="AE59" s="141" t="str">
        <f t="shared" si="52"/>
        <v/>
      </c>
      <c r="AF59" s="141">
        <f t="shared" si="52"/>
        <v>19</v>
      </c>
      <c r="AG59" s="141">
        <f t="shared" si="52"/>
        <v>19</v>
      </c>
      <c r="AH59" s="154" t="s">
        <v>12</v>
      </c>
      <c r="AI59" s="133"/>
      <c r="AJ59" s="137"/>
      <c r="AK59" s="137"/>
      <c r="AL59" s="137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1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100" t="s">
        <v>56</v>
      </c>
      <c r="BZ59" s="52">
        <f>SUM(BZ55:BZ58)</f>
        <v>118</v>
      </c>
      <c r="CA59" s="53">
        <f>IF(BZ59=118,31,IF(BZ59=90,31,IF(BZ59=61,31,IF(BZ59=31,31,IF(BZ59=87,30,IF(BZ59=59,30,IF(BZ59=30,30,IF(BZ59=57,29,IF(BZ59=29,29,IF(BZ59=28,28,""))))))))))</f>
        <v>31</v>
      </c>
      <c r="CB59" s="10"/>
    </row>
    <row r="60" spans="1:80" s="59" customFormat="1" ht="15.95" hidden="1" customHeight="1" x14ac:dyDescent="0.25">
      <c r="A60" s="153"/>
      <c r="B60" s="168" t="s">
        <v>34</v>
      </c>
      <c r="C60" s="169" t="str">
        <f t="shared" ref="C60:AD60" si="53">IF(C10=$R32,$BD32*24,IF(C10=$R33,$BD33*24,IF(C10=$R34,$BD34*24,IF(C10=$R35,$BD35*24,IF(C10=$R36,$BD36*24,IF(C10=$R37,$BD37*24,IF(C10=$R38,$BD38*24,IF(C10=$R39,$BD39*24,IF(C10=$R40,$BD40*24,"")))))))))</f>
        <v/>
      </c>
      <c r="D60" s="169">
        <f t="shared" si="53"/>
        <v>0</v>
      </c>
      <c r="E60" s="169">
        <f t="shared" si="53"/>
        <v>0</v>
      </c>
      <c r="F60" s="169" t="str">
        <f t="shared" si="53"/>
        <v/>
      </c>
      <c r="G60" s="169" t="str">
        <f t="shared" si="53"/>
        <v/>
      </c>
      <c r="H60" s="169" t="str">
        <f t="shared" si="53"/>
        <v/>
      </c>
      <c r="I60" s="169">
        <f t="shared" si="53"/>
        <v>0</v>
      </c>
      <c r="J60" s="169">
        <f t="shared" si="53"/>
        <v>0</v>
      </c>
      <c r="K60" s="169" t="str">
        <f t="shared" si="53"/>
        <v/>
      </c>
      <c r="L60" s="169">
        <f t="shared" si="53"/>
        <v>0</v>
      </c>
      <c r="M60" s="169">
        <f t="shared" si="53"/>
        <v>0</v>
      </c>
      <c r="N60" s="169">
        <f t="shared" si="53"/>
        <v>0</v>
      </c>
      <c r="O60" s="169">
        <f t="shared" si="53"/>
        <v>0</v>
      </c>
      <c r="P60" s="169" t="str">
        <f t="shared" si="53"/>
        <v/>
      </c>
      <c r="Q60" s="169" t="str">
        <f t="shared" si="53"/>
        <v/>
      </c>
      <c r="R60" s="169">
        <f t="shared" si="53"/>
        <v>0</v>
      </c>
      <c r="S60" s="169" t="str">
        <f t="shared" si="53"/>
        <v/>
      </c>
      <c r="T60" s="169">
        <f t="shared" si="53"/>
        <v>0</v>
      </c>
      <c r="U60" s="169">
        <f t="shared" si="53"/>
        <v>0</v>
      </c>
      <c r="V60" s="169">
        <f t="shared" si="53"/>
        <v>0</v>
      </c>
      <c r="W60" s="169">
        <f t="shared" si="53"/>
        <v>0</v>
      </c>
      <c r="X60" s="169">
        <f t="shared" si="53"/>
        <v>8</v>
      </c>
      <c r="Y60" s="169" t="str">
        <f t="shared" si="53"/>
        <v/>
      </c>
      <c r="Z60" s="169" t="str">
        <f t="shared" si="53"/>
        <v/>
      </c>
      <c r="AA60" s="169">
        <f t="shared" si="53"/>
        <v>0</v>
      </c>
      <c r="AB60" s="169">
        <f t="shared" si="53"/>
        <v>0</v>
      </c>
      <c r="AC60" s="169">
        <f t="shared" si="53"/>
        <v>0</v>
      </c>
      <c r="AD60" s="169" t="str">
        <f t="shared" si="53"/>
        <v/>
      </c>
      <c r="AE60" s="169" t="str">
        <f>IF(AE10=$R32,$BD32*24,IF(AE10=$R33,$BD33*24,IF(AE10=$R34,$BD34*24,IF(AE10=$R35,$BD35*24,IF(AE10=$R36,$BD36*24,IF(AE10=$R37,$BD37*24,IF(AE10=$R38,$BD38*24,IF(AE10=$R39,$BD39*24,IF(AE10=$R40,$BD40*24,"")))))))))</f>
        <v/>
      </c>
      <c r="AF60" s="169">
        <f>IF(AF10=$R32,$BD32*24,IF(AF10=$R33,$BD33*24,IF(AF10=$R34,$BD34*24,IF(AF10=$R35,$BD35*24,IF(AF10=$R36,$BD36*24,IF(AF10=$R37,$BD37*24,IF(AF10=$R38,$BD38*24,IF(AF10=$R39,$BD39*24,IF(AF10=$R40,$BD40*24,"")))))))))</f>
        <v>0</v>
      </c>
      <c r="AG60" s="169">
        <f>IF(AG10=$R32,$BD32*24,IF(AG10=$R33,$BD33*24,IF(AG10=$R34,$BD34*24,IF(AG10=$R35,$BD35*24,IF(AG10=$R36,$BD36*24,IF(AG10=$R37,$BD37*24,IF(AG10=$R38,$BD38*24,IF(AG10=$R39,$BD39*24,IF(AG10=$R40,$BD40*24,"")))))))))</f>
        <v>0</v>
      </c>
      <c r="AH60" s="148">
        <f>SUM(C60:AG60)</f>
        <v>8</v>
      </c>
      <c r="AI60" s="133"/>
      <c r="AJ60" s="137"/>
      <c r="AK60" s="137"/>
      <c r="AL60" s="137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1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101">
        <f>CA59</f>
        <v>31</v>
      </c>
      <c r="CB60" s="56"/>
    </row>
    <row r="61" spans="1:80" s="59" customFormat="1" ht="15.95" hidden="1" customHeight="1" x14ac:dyDescent="0.25">
      <c r="A61" s="153"/>
      <c r="B61" s="167" t="s">
        <v>59</v>
      </c>
      <c r="C61" s="141">
        <f t="shared" ref="C61:AG61" si="54">IF(C10="V",$C36,IF(C10="PR",$C38,0))</f>
        <v>0</v>
      </c>
      <c r="D61" s="141">
        <f t="shared" si="54"/>
        <v>0</v>
      </c>
      <c r="E61" s="141">
        <f t="shared" si="54"/>
        <v>0</v>
      </c>
      <c r="F61" s="141">
        <f t="shared" si="54"/>
        <v>0</v>
      </c>
      <c r="G61" s="141">
        <f t="shared" si="54"/>
        <v>0</v>
      </c>
      <c r="H61" s="141">
        <f t="shared" si="54"/>
        <v>0</v>
      </c>
      <c r="I61" s="141">
        <f t="shared" si="54"/>
        <v>0</v>
      </c>
      <c r="J61" s="141">
        <f t="shared" si="54"/>
        <v>0</v>
      </c>
      <c r="K61" s="141">
        <f t="shared" si="54"/>
        <v>0</v>
      </c>
      <c r="L61" s="141">
        <f t="shared" si="54"/>
        <v>0</v>
      </c>
      <c r="M61" s="141">
        <f t="shared" si="54"/>
        <v>0</v>
      </c>
      <c r="N61" s="141">
        <f t="shared" si="54"/>
        <v>0</v>
      </c>
      <c r="O61" s="141">
        <f t="shared" si="54"/>
        <v>0</v>
      </c>
      <c r="P61" s="141">
        <f t="shared" si="54"/>
        <v>0</v>
      </c>
      <c r="Q61" s="141">
        <f t="shared" si="54"/>
        <v>0</v>
      </c>
      <c r="R61" s="141">
        <f t="shared" si="54"/>
        <v>0</v>
      </c>
      <c r="S61" s="141">
        <f t="shared" si="54"/>
        <v>0</v>
      </c>
      <c r="T61" s="141">
        <f t="shared" si="54"/>
        <v>0</v>
      </c>
      <c r="U61" s="141">
        <f t="shared" si="54"/>
        <v>0</v>
      </c>
      <c r="V61" s="141">
        <f t="shared" si="54"/>
        <v>0</v>
      </c>
      <c r="W61" s="141">
        <f t="shared" si="54"/>
        <v>0</v>
      </c>
      <c r="X61" s="141">
        <f t="shared" si="54"/>
        <v>0</v>
      </c>
      <c r="Y61" s="141">
        <f t="shared" si="54"/>
        <v>0</v>
      </c>
      <c r="Z61" s="141">
        <f t="shared" si="54"/>
        <v>0</v>
      </c>
      <c r="AA61" s="141">
        <f t="shared" si="54"/>
        <v>0</v>
      </c>
      <c r="AB61" s="141">
        <f t="shared" si="54"/>
        <v>0</v>
      </c>
      <c r="AC61" s="141">
        <f t="shared" si="54"/>
        <v>0</v>
      </c>
      <c r="AD61" s="141">
        <f t="shared" si="54"/>
        <v>0</v>
      </c>
      <c r="AE61" s="141">
        <f t="shared" si="54"/>
        <v>0</v>
      </c>
      <c r="AF61" s="141">
        <f t="shared" si="54"/>
        <v>0</v>
      </c>
      <c r="AG61" s="141">
        <f t="shared" si="54"/>
        <v>0</v>
      </c>
      <c r="AH61" s="226">
        <f>SUM(C61:AG61)</f>
        <v>0</v>
      </c>
      <c r="AI61" s="226"/>
      <c r="AJ61" s="137" t="s">
        <v>12</v>
      </c>
      <c r="AK61" s="137"/>
      <c r="AL61" s="137"/>
      <c r="BE61" s="1"/>
      <c r="BU61" s="60" t="str">
        <f>BS50</f>
        <v>ju</v>
      </c>
      <c r="BV61" s="60" t="str">
        <f>BT50</f>
        <v>vi</v>
      </c>
      <c r="BW61" s="60" t="str">
        <f>BU50</f>
        <v>sa</v>
      </c>
      <c r="BX61" s="60" t="str">
        <f>BV50</f>
        <v>do</v>
      </c>
      <c r="BY61" s="60" t="str">
        <f>BW50</f>
        <v>lu</v>
      </c>
    </row>
    <row r="62" spans="1:80" s="59" customFormat="1" ht="15.95" hidden="1" customHeight="1" x14ac:dyDescent="0.25">
      <c r="A62" s="150" t="s">
        <v>60</v>
      </c>
      <c r="B62" s="167" t="s">
        <v>61</v>
      </c>
      <c r="C62" s="151">
        <f t="shared" ref="C62:AD62" si="55">IF(C10=$R32,$BC32,IF(C10=$R33,$BC33,IF(C10=$R34,$BC34,IF(C10=$R35,$BC35,IF(C10=$R36,$BC36,IF(C10=$R37,$BC37,IF(C10=$R38,$BC38,IF(C10=$R39,$BC39,IF(C10=$R40,$BC40,0)))))))))</f>
        <v>0</v>
      </c>
      <c r="D62" s="151">
        <f t="shared" si="55"/>
        <v>11.999999999999998</v>
      </c>
      <c r="E62" s="151">
        <f t="shared" si="55"/>
        <v>11.999999999999998</v>
      </c>
      <c r="F62" s="151">
        <f t="shared" si="55"/>
        <v>0</v>
      </c>
      <c r="G62" s="151">
        <f t="shared" si="55"/>
        <v>0</v>
      </c>
      <c r="H62" s="151">
        <f t="shared" si="55"/>
        <v>0</v>
      </c>
      <c r="I62" s="151">
        <f t="shared" si="55"/>
        <v>11.999999999999998</v>
      </c>
      <c r="J62" s="151">
        <f t="shared" si="55"/>
        <v>11.999999999999998</v>
      </c>
      <c r="K62" s="151">
        <f t="shared" si="55"/>
        <v>0</v>
      </c>
      <c r="L62" s="151">
        <f t="shared" si="55"/>
        <v>11.999999999999998</v>
      </c>
      <c r="M62" s="151">
        <f t="shared" si="55"/>
        <v>11.999999999999998</v>
      </c>
      <c r="N62" s="151">
        <f t="shared" si="55"/>
        <v>11.999999999999998</v>
      </c>
      <c r="O62" s="151">
        <f t="shared" si="55"/>
        <v>11.999999999999998</v>
      </c>
      <c r="P62" s="151">
        <f t="shared" si="55"/>
        <v>0</v>
      </c>
      <c r="Q62" s="151">
        <f t="shared" si="55"/>
        <v>0</v>
      </c>
      <c r="R62" s="151">
        <f t="shared" si="55"/>
        <v>11.999999999999998</v>
      </c>
      <c r="S62" s="151">
        <f t="shared" si="55"/>
        <v>0</v>
      </c>
      <c r="T62" s="151">
        <f t="shared" si="55"/>
        <v>11.999999999999998</v>
      </c>
      <c r="U62" s="151">
        <f t="shared" si="55"/>
        <v>11.999999999999998</v>
      </c>
      <c r="V62" s="151">
        <f t="shared" si="55"/>
        <v>11.999999999999998</v>
      </c>
      <c r="W62" s="151">
        <f t="shared" si="55"/>
        <v>11.999999999999998</v>
      </c>
      <c r="X62" s="151">
        <f t="shared" si="55"/>
        <v>12</v>
      </c>
      <c r="Y62" s="151">
        <f t="shared" si="55"/>
        <v>0</v>
      </c>
      <c r="Z62" s="151">
        <f t="shared" si="55"/>
        <v>0</v>
      </c>
      <c r="AA62" s="151">
        <f t="shared" si="55"/>
        <v>11.999999999999998</v>
      </c>
      <c r="AB62" s="151">
        <f t="shared" si="55"/>
        <v>11.999999999999998</v>
      </c>
      <c r="AC62" s="151">
        <f t="shared" si="55"/>
        <v>11.999999999999998</v>
      </c>
      <c r="AD62" s="151">
        <f t="shared" si="55"/>
        <v>0</v>
      </c>
      <c r="AE62" s="151">
        <f>IF(AE10=$R32,$BC32,IF(AE10=$R33,$BC33,IF(AE10=$R34,$BC34,IF(AE10=$R35,$BC35,IF(AE10=$R36,$BC36,IF(AE10=$R37,$BC37,IF(AE10=$R38,$BC38,IF(AE10=$R39,$BC39,IF(AE10=$R40,$BC40,0)))))))))</f>
        <v>0</v>
      </c>
      <c r="AF62" s="151">
        <f>IF(AF10=$R32,$BC32,IF(AF10=$R33,$BC33,IF(AF10=$R34,$BC34,IF(AF10=$R35,$BC35,IF(AF10=$R36,$BC36,IF(AF10=$R37,$BC37,IF(AF10=$R38,$BC38,IF(AF10=$R39,$BC39,IF(AF10=$R40,$BC40,0)))))))))</f>
        <v>11.999999999999998</v>
      </c>
      <c r="AG62" s="151">
        <f>IF(AG10=$R32,$BC32,IF(AG10=$R33,$BC33,IF(AG10=$R34,$BC34,IF(AG10=$R35,$BC35,IF(AG10=$R36,$BC36,IF(AG10=$R37,$BC37,IF(AG10=$R38,$BC38,IF(AG10=$R39,$BC39,IF(AG10=$R40,$BC40,0)))))))))</f>
        <v>11.999999999999998</v>
      </c>
      <c r="AH62" s="226">
        <f>SUM(C62:AG62)</f>
        <v>227.99999999999997</v>
      </c>
      <c r="AI62" s="226"/>
      <c r="AJ62" s="137" t="s">
        <v>62</v>
      </c>
      <c r="AK62" s="137" t="s">
        <v>12</v>
      </c>
      <c r="AL62" s="137"/>
      <c r="BE62" s="1"/>
      <c r="BU62" s="61">
        <v>28</v>
      </c>
      <c r="BV62" s="61">
        <v>29</v>
      </c>
      <c r="BW62" s="61">
        <v>30</v>
      </c>
      <c r="BX62" s="61">
        <v>31</v>
      </c>
      <c r="BY62" s="61">
        <v>1</v>
      </c>
    </row>
    <row r="63" spans="1:80" s="59" customFormat="1" ht="15.95" hidden="1" customHeight="1" x14ac:dyDescent="0.25">
      <c r="A63" s="153" t="s">
        <v>48</v>
      </c>
      <c r="B63" s="149" t="s">
        <v>63</v>
      </c>
      <c r="C63" s="141" t="b">
        <f t="shared" ref="C63:AG63" si="56">IF(C46=1,IF(C58&lt;C59,C62,0))</f>
        <v>0</v>
      </c>
      <c r="D63" s="141" t="b">
        <f t="shared" si="56"/>
        <v>0</v>
      </c>
      <c r="E63" s="141" t="b">
        <f t="shared" si="56"/>
        <v>0</v>
      </c>
      <c r="F63" s="141" t="b">
        <f t="shared" si="56"/>
        <v>0</v>
      </c>
      <c r="G63" s="141">
        <f t="shared" si="56"/>
        <v>0</v>
      </c>
      <c r="H63" s="141">
        <f t="shared" si="56"/>
        <v>0</v>
      </c>
      <c r="I63" s="141" t="b">
        <f t="shared" si="56"/>
        <v>0</v>
      </c>
      <c r="J63" s="141" t="b">
        <f t="shared" si="56"/>
        <v>0</v>
      </c>
      <c r="K63" s="141" t="b">
        <f t="shared" si="56"/>
        <v>0</v>
      </c>
      <c r="L63" s="141" t="b">
        <f t="shared" si="56"/>
        <v>0</v>
      </c>
      <c r="M63" s="141" t="b">
        <f t="shared" si="56"/>
        <v>0</v>
      </c>
      <c r="N63" s="141">
        <f t="shared" si="56"/>
        <v>11.999999999999998</v>
      </c>
      <c r="O63" s="141">
        <f t="shared" si="56"/>
        <v>11.999999999999998</v>
      </c>
      <c r="P63" s="141" t="b">
        <f t="shared" si="56"/>
        <v>0</v>
      </c>
      <c r="Q63" s="141" t="b">
        <f t="shared" si="56"/>
        <v>0</v>
      </c>
      <c r="R63" s="141" t="b">
        <f t="shared" si="56"/>
        <v>0</v>
      </c>
      <c r="S63" s="141" t="b">
        <f t="shared" si="56"/>
        <v>0</v>
      </c>
      <c r="T63" s="141" t="b">
        <f t="shared" si="56"/>
        <v>0</v>
      </c>
      <c r="U63" s="141">
        <f t="shared" si="56"/>
        <v>11.999999999999998</v>
      </c>
      <c r="V63" s="141">
        <f t="shared" si="56"/>
        <v>11.999999999999998</v>
      </c>
      <c r="W63" s="141" t="b">
        <f t="shared" si="56"/>
        <v>0</v>
      </c>
      <c r="X63" s="141" t="b">
        <f t="shared" si="56"/>
        <v>0</v>
      </c>
      <c r="Y63" s="141" t="b">
        <f t="shared" si="56"/>
        <v>0</v>
      </c>
      <c r="Z63" s="141" t="b">
        <f t="shared" si="56"/>
        <v>0</v>
      </c>
      <c r="AA63" s="141" t="b">
        <f t="shared" si="56"/>
        <v>0</v>
      </c>
      <c r="AB63" s="141">
        <f t="shared" si="56"/>
        <v>11.999999999999998</v>
      </c>
      <c r="AC63" s="141">
        <f t="shared" si="56"/>
        <v>11.999999999999998</v>
      </c>
      <c r="AD63" s="141" t="b">
        <f t="shared" si="56"/>
        <v>0</v>
      </c>
      <c r="AE63" s="141" t="b">
        <f t="shared" si="56"/>
        <v>0</v>
      </c>
      <c r="AF63" s="141" t="b">
        <f t="shared" si="56"/>
        <v>0</v>
      </c>
      <c r="AG63" s="141" t="b">
        <f t="shared" si="56"/>
        <v>0</v>
      </c>
      <c r="AH63" s="142" t="s">
        <v>12</v>
      </c>
      <c r="AI63" s="133"/>
      <c r="AJ63" s="137"/>
      <c r="AK63" s="137"/>
      <c r="AL63" s="137"/>
      <c r="BE63" s="1"/>
      <c r="BV63" s="102" t="str">
        <f>IF(CA59=28,IF(CA59="",0,1),IF(CA59=1,IF(CA59="",0,1),""))</f>
        <v/>
      </c>
      <c r="BW63" s="102" t="str">
        <f>IF(CA59=29,IF(CA59="",0,1),IF(CA59=1,IF(CA59="",0,1),""))</f>
        <v/>
      </c>
      <c r="BX63" s="102" t="str">
        <f>IF(CA59=30,IF(CA59="",0,1),IF(CA59=1,IF(CA59="",0,1),""))</f>
        <v/>
      </c>
      <c r="BY63" s="102">
        <f>IF(CA59=31,IF(CA59="",0,1),IF(CA59=1,IF(CA59="",0,1),""))</f>
        <v>1</v>
      </c>
    </row>
    <row r="64" spans="1:80" ht="15.95" hidden="1" customHeight="1" x14ac:dyDescent="0.25">
      <c r="A64" s="153"/>
      <c r="B64" s="149" t="s">
        <v>64</v>
      </c>
      <c r="C64" s="141">
        <f t="shared" ref="C64:AG64" si="57">IF(C46=1,IF(C58&gt;C59,24-C58,0),0)</f>
        <v>0</v>
      </c>
      <c r="D64" s="141">
        <f t="shared" si="57"/>
        <v>0</v>
      </c>
      <c r="E64" s="141">
        <f t="shared" si="57"/>
        <v>0</v>
      </c>
      <c r="F64" s="141">
        <f t="shared" si="57"/>
        <v>0</v>
      </c>
      <c r="G64" s="141">
        <f t="shared" si="57"/>
        <v>0</v>
      </c>
      <c r="H64" s="141">
        <f t="shared" si="57"/>
        <v>0</v>
      </c>
      <c r="I64" s="141">
        <f t="shared" si="57"/>
        <v>0</v>
      </c>
      <c r="J64" s="141">
        <f t="shared" si="57"/>
        <v>0</v>
      </c>
      <c r="K64" s="141">
        <f t="shared" si="57"/>
        <v>0</v>
      </c>
      <c r="L64" s="141">
        <f t="shared" si="57"/>
        <v>0</v>
      </c>
      <c r="M64" s="141">
        <f t="shared" si="57"/>
        <v>0</v>
      </c>
      <c r="N64" s="141">
        <f t="shared" si="57"/>
        <v>0</v>
      </c>
      <c r="O64" s="141">
        <f t="shared" si="57"/>
        <v>0</v>
      </c>
      <c r="P64" s="141">
        <f t="shared" si="57"/>
        <v>0</v>
      </c>
      <c r="Q64" s="141">
        <f t="shared" si="57"/>
        <v>0</v>
      </c>
      <c r="R64" s="141">
        <f t="shared" si="57"/>
        <v>0</v>
      </c>
      <c r="S64" s="141">
        <f t="shared" si="57"/>
        <v>0</v>
      </c>
      <c r="T64" s="141">
        <f t="shared" si="57"/>
        <v>0</v>
      </c>
      <c r="U64" s="141">
        <f t="shared" si="57"/>
        <v>0</v>
      </c>
      <c r="V64" s="141">
        <f t="shared" si="57"/>
        <v>0</v>
      </c>
      <c r="W64" s="141">
        <f t="shared" si="57"/>
        <v>0</v>
      </c>
      <c r="X64" s="141">
        <f t="shared" si="57"/>
        <v>0</v>
      </c>
      <c r="Y64" s="141">
        <f t="shared" si="57"/>
        <v>0</v>
      </c>
      <c r="Z64" s="141">
        <f t="shared" si="57"/>
        <v>0</v>
      </c>
      <c r="AA64" s="141">
        <f t="shared" si="57"/>
        <v>0</v>
      </c>
      <c r="AB64" s="141">
        <f t="shared" si="57"/>
        <v>0</v>
      </c>
      <c r="AC64" s="141">
        <f t="shared" si="57"/>
        <v>0</v>
      </c>
      <c r="AD64" s="141">
        <f t="shared" si="57"/>
        <v>0</v>
      </c>
      <c r="AE64" s="141">
        <f t="shared" si="57"/>
        <v>0</v>
      </c>
      <c r="AF64" s="141">
        <f t="shared" si="57"/>
        <v>0</v>
      </c>
      <c r="AG64" s="141">
        <f t="shared" si="57"/>
        <v>0</v>
      </c>
      <c r="AH64" s="142" t="s">
        <v>12</v>
      </c>
      <c r="AI64" s="133"/>
      <c r="AJ64" s="170"/>
      <c r="AK64" s="133"/>
      <c r="AL64" s="133"/>
      <c r="BU64" s="45" t="s">
        <v>72</v>
      </c>
      <c r="BV64" s="102" t="b">
        <f>IF(BV61="sa",IF(BV61="",0,"1"),IF(BV61="do",IF(BV61="",0,"1")))</f>
        <v>0</v>
      </c>
      <c r="BW64" s="102" t="str">
        <f>IF(BW61="sa",IF(BW61="",0,"1"),IF(BW61="do",IF(BW61="",0,"1")))</f>
        <v>1</v>
      </c>
      <c r="BX64" s="102" t="str">
        <f>IF(BX61="sa",IF(BX61="",0,"1"),IF(BX61="do",IF(BX61="",0,"1")))</f>
        <v>1</v>
      </c>
      <c r="BY64" s="102" t="b">
        <f>IF(BY61="sa",IF(BY61="",0,"1"),IF(BY61="do",IF(BY61="",0,"1")))</f>
        <v>0</v>
      </c>
    </row>
    <row r="65" spans="1:77" ht="15.95" hidden="1" customHeight="1" x14ac:dyDescent="0.25">
      <c r="A65" s="153"/>
      <c r="B65" s="149" t="s">
        <v>65</v>
      </c>
      <c r="C65" s="141">
        <f t="shared" ref="C65:AG65" si="58">IF(D46=1,IF(C58&gt;C59,C59,0),0)</f>
        <v>0</v>
      </c>
      <c r="D65" s="141">
        <f t="shared" si="58"/>
        <v>0</v>
      </c>
      <c r="E65" s="141">
        <f t="shared" si="58"/>
        <v>0</v>
      </c>
      <c r="F65" s="141">
        <f t="shared" si="58"/>
        <v>0</v>
      </c>
      <c r="G65" s="141">
        <f t="shared" si="58"/>
        <v>0</v>
      </c>
      <c r="H65" s="141">
        <f t="shared" si="58"/>
        <v>0</v>
      </c>
      <c r="I65" s="141">
        <f t="shared" si="58"/>
        <v>0</v>
      </c>
      <c r="J65" s="141">
        <f t="shared" si="58"/>
        <v>0</v>
      </c>
      <c r="K65" s="141">
        <f t="shared" si="58"/>
        <v>0</v>
      </c>
      <c r="L65" s="141">
        <f t="shared" si="58"/>
        <v>0</v>
      </c>
      <c r="M65" s="141">
        <f t="shared" si="58"/>
        <v>0</v>
      </c>
      <c r="N65" s="141">
        <f t="shared" si="58"/>
        <v>0</v>
      </c>
      <c r="O65" s="141">
        <f t="shared" si="58"/>
        <v>0</v>
      </c>
      <c r="P65" s="141">
        <f t="shared" si="58"/>
        <v>0</v>
      </c>
      <c r="Q65" s="141">
        <f t="shared" si="58"/>
        <v>0</v>
      </c>
      <c r="R65" s="141">
        <f t="shared" si="58"/>
        <v>0</v>
      </c>
      <c r="S65" s="141">
        <f t="shared" si="58"/>
        <v>0</v>
      </c>
      <c r="T65" s="141">
        <f t="shared" si="58"/>
        <v>0</v>
      </c>
      <c r="U65" s="141">
        <f t="shared" si="58"/>
        <v>0</v>
      </c>
      <c r="V65" s="141">
        <f t="shared" si="58"/>
        <v>0</v>
      </c>
      <c r="W65" s="141">
        <f t="shared" si="58"/>
        <v>0</v>
      </c>
      <c r="X65" s="141">
        <f>IF(Y46=1,IF(X58&gt;X59,X59,0),0)</f>
        <v>0</v>
      </c>
      <c r="Y65" s="141">
        <f t="shared" si="58"/>
        <v>0</v>
      </c>
      <c r="Z65" s="141">
        <f t="shared" si="58"/>
        <v>0</v>
      </c>
      <c r="AA65" s="141">
        <f t="shared" si="58"/>
        <v>0</v>
      </c>
      <c r="AB65" s="141">
        <f t="shared" si="58"/>
        <v>0</v>
      </c>
      <c r="AC65" s="141">
        <f t="shared" si="58"/>
        <v>0</v>
      </c>
      <c r="AD65" s="141">
        <f t="shared" si="58"/>
        <v>0</v>
      </c>
      <c r="AE65" s="141">
        <f t="shared" si="58"/>
        <v>0</v>
      </c>
      <c r="AF65" s="141">
        <f t="shared" si="58"/>
        <v>0</v>
      </c>
      <c r="AG65" s="141">
        <f t="shared" si="58"/>
        <v>0</v>
      </c>
      <c r="AH65" s="142" t="s">
        <v>12</v>
      </c>
      <c r="AI65" s="133"/>
      <c r="AJ65" s="170"/>
      <c r="AK65" s="133"/>
      <c r="AL65" s="133"/>
    </row>
    <row r="66" spans="1:77" ht="15.95" hidden="1" customHeight="1" x14ac:dyDescent="0.25">
      <c r="A66" s="153"/>
      <c r="B66" s="149" t="s">
        <v>67</v>
      </c>
      <c r="C66" s="171">
        <f t="shared" ref="C66:AG66" si="59">SUM(C63:C65)</f>
        <v>0</v>
      </c>
      <c r="D66" s="171">
        <f t="shared" si="59"/>
        <v>0</v>
      </c>
      <c r="E66" s="171">
        <f t="shared" si="59"/>
        <v>0</v>
      </c>
      <c r="F66" s="171">
        <f t="shared" si="59"/>
        <v>0</v>
      </c>
      <c r="G66" s="171">
        <f t="shared" si="59"/>
        <v>0</v>
      </c>
      <c r="H66" s="171">
        <f t="shared" si="59"/>
        <v>0</v>
      </c>
      <c r="I66" s="171">
        <f t="shared" si="59"/>
        <v>0</v>
      </c>
      <c r="J66" s="171">
        <f t="shared" si="59"/>
        <v>0</v>
      </c>
      <c r="K66" s="171">
        <f t="shared" si="59"/>
        <v>0</v>
      </c>
      <c r="L66" s="171">
        <f t="shared" si="59"/>
        <v>0</v>
      </c>
      <c r="M66" s="171">
        <f t="shared" si="59"/>
        <v>0</v>
      </c>
      <c r="N66" s="171">
        <f t="shared" si="59"/>
        <v>11.999999999999998</v>
      </c>
      <c r="O66" s="171">
        <f t="shared" si="59"/>
        <v>11.999999999999998</v>
      </c>
      <c r="P66" s="171">
        <f t="shared" si="59"/>
        <v>0</v>
      </c>
      <c r="Q66" s="171">
        <f t="shared" si="59"/>
        <v>0</v>
      </c>
      <c r="R66" s="171">
        <f t="shared" si="59"/>
        <v>0</v>
      </c>
      <c r="S66" s="171">
        <f t="shared" si="59"/>
        <v>0</v>
      </c>
      <c r="T66" s="171">
        <f t="shared" si="59"/>
        <v>0</v>
      </c>
      <c r="U66" s="171">
        <f t="shared" si="59"/>
        <v>11.999999999999998</v>
      </c>
      <c r="V66" s="171">
        <f t="shared" si="59"/>
        <v>11.999999999999998</v>
      </c>
      <c r="W66" s="171">
        <f t="shared" si="59"/>
        <v>0</v>
      </c>
      <c r="X66" s="171">
        <f t="shared" si="59"/>
        <v>0</v>
      </c>
      <c r="Y66" s="171">
        <f t="shared" si="59"/>
        <v>0</v>
      </c>
      <c r="Z66" s="171">
        <f t="shared" si="59"/>
        <v>0</v>
      </c>
      <c r="AA66" s="171">
        <f t="shared" si="59"/>
        <v>0</v>
      </c>
      <c r="AB66" s="171">
        <f t="shared" si="59"/>
        <v>11.999999999999998</v>
      </c>
      <c r="AC66" s="171">
        <f t="shared" si="59"/>
        <v>11.999999999999998</v>
      </c>
      <c r="AD66" s="171">
        <f t="shared" si="59"/>
        <v>0</v>
      </c>
      <c r="AE66" s="171">
        <f t="shared" si="59"/>
        <v>0</v>
      </c>
      <c r="AF66" s="171">
        <f t="shared" si="59"/>
        <v>0</v>
      </c>
      <c r="AG66" s="171">
        <f t="shared" si="59"/>
        <v>0</v>
      </c>
      <c r="AH66" s="142" t="s">
        <v>12</v>
      </c>
      <c r="AI66" s="133"/>
      <c r="AJ66" s="170"/>
      <c r="AK66" s="133"/>
      <c r="AL66" s="133"/>
      <c r="BU66" s="62"/>
      <c r="BV66" s="63" t="str">
        <f t="shared" ref="BV66:BY67" si="60">IF(BV65=2,IF(BV65="",0,"X"),IF(BV65=2,IF(BV65="",0,2),""))</f>
        <v/>
      </c>
      <c r="BW66" s="63" t="str">
        <f t="shared" si="60"/>
        <v/>
      </c>
      <c r="BX66" s="63" t="str">
        <f t="shared" si="60"/>
        <v/>
      </c>
      <c r="BY66" s="63" t="str">
        <f t="shared" si="60"/>
        <v/>
      </c>
    </row>
    <row r="67" spans="1:77" ht="15.95" hidden="1" customHeight="1" x14ac:dyDescent="0.25">
      <c r="A67" s="172"/>
      <c r="B67" s="160" t="s">
        <v>68</v>
      </c>
      <c r="C67" s="161">
        <f t="shared" ref="C67:AG67" si="61">IF(C10="V",IF(C10="",0,1),0)</f>
        <v>0</v>
      </c>
      <c r="D67" s="161">
        <f t="shared" si="61"/>
        <v>0</v>
      </c>
      <c r="E67" s="161">
        <f t="shared" si="61"/>
        <v>0</v>
      </c>
      <c r="F67" s="161">
        <f t="shared" si="61"/>
        <v>0</v>
      </c>
      <c r="G67" s="161">
        <f t="shared" si="61"/>
        <v>0</v>
      </c>
      <c r="H67" s="161">
        <f t="shared" si="61"/>
        <v>0</v>
      </c>
      <c r="I67" s="161">
        <f t="shared" si="61"/>
        <v>0</v>
      </c>
      <c r="J67" s="161">
        <f t="shared" si="61"/>
        <v>0</v>
      </c>
      <c r="K67" s="161">
        <f t="shared" si="61"/>
        <v>0</v>
      </c>
      <c r="L67" s="161">
        <f t="shared" si="61"/>
        <v>0</v>
      </c>
      <c r="M67" s="161">
        <f t="shared" si="61"/>
        <v>0</v>
      </c>
      <c r="N67" s="161">
        <f t="shared" si="61"/>
        <v>0</v>
      </c>
      <c r="O67" s="161">
        <f t="shared" si="61"/>
        <v>0</v>
      </c>
      <c r="P67" s="161">
        <f t="shared" si="61"/>
        <v>0</v>
      </c>
      <c r="Q67" s="161">
        <f t="shared" si="61"/>
        <v>0</v>
      </c>
      <c r="R67" s="161">
        <f t="shared" si="61"/>
        <v>0</v>
      </c>
      <c r="S67" s="161">
        <f t="shared" si="61"/>
        <v>0</v>
      </c>
      <c r="T67" s="161">
        <f t="shared" si="61"/>
        <v>0</v>
      </c>
      <c r="U67" s="161">
        <f t="shared" si="61"/>
        <v>0</v>
      </c>
      <c r="V67" s="161">
        <f t="shared" si="61"/>
        <v>0</v>
      </c>
      <c r="W67" s="161">
        <f t="shared" si="61"/>
        <v>0</v>
      </c>
      <c r="X67" s="161">
        <f t="shared" si="61"/>
        <v>0</v>
      </c>
      <c r="Y67" s="161">
        <f t="shared" si="61"/>
        <v>0</v>
      </c>
      <c r="Z67" s="161">
        <f t="shared" si="61"/>
        <v>0</v>
      </c>
      <c r="AA67" s="161">
        <f t="shared" si="61"/>
        <v>0</v>
      </c>
      <c r="AB67" s="161">
        <f t="shared" si="61"/>
        <v>0</v>
      </c>
      <c r="AC67" s="161">
        <f t="shared" si="61"/>
        <v>0</v>
      </c>
      <c r="AD67" s="161">
        <f t="shared" si="61"/>
        <v>0</v>
      </c>
      <c r="AE67" s="161">
        <f t="shared" si="61"/>
        <v>0</v>
      </c>
      <c r="AF67" s="161">
        <f t="shared" si="61"/>
        <v>0</v>
      </c>
      <c r="AG67" s="161">
        <f t="shared" si="61"/>
        <v>0</v>
      </c>
      <c r="AH67" s="142" t="s">
        <v>12</v>
      </c>
      <c r="AI67" s="133"/>
      <c r="AJ67" s="170"/>
      <c r="AK67" s="133"/>
      <c r="AL67" s="133"/>
      <c r="BU67" s="64"/>
      <c r="BV67" s="63" t="str">
        <f t="shared" si="60"/>
        <v/>
      </c>
      <c r="BW67" s="63" t="str">
        <f t="shared" si="60"/>
        <v/>
      </c>
      <c r="BX67" s="63" t="str">
        <f t="shared" si="60"/>
        <v/>
      </c>
      <c r="BY67" s="63" t="str">
        <f t="shared" si="60"/>
        <v/>
      </c>
    </row>
    <row r="68" spans="1:77" ht="15.95" hidden="1" customHeight="1" x14ac:dyDescent="0.25">
      <c r="A68" s="173"/>
      <c r="B68" s="130" t="s">
        <v>16</v>
      </c>
      <c r="C68" s="163">
        <f t="shared" ref="C68:AG68" si="62">IF(C10="PR",IF(C10="",0,1),0)</f>
        <v>0</v>
      </c>
      <c r="D68" s="163">
        <f t="shared" si="62"/>
        <v>0</v>
      </c>
      <c r="E68" s="163">
        <f t="shared" si="62"/>
        <v>0</v>
      </c>
      <c r="F68" s="163">
        <f t="shared" si="62"/>
        <v>0</v>
      </c>
      <c r="G68" s="163">
        <f t="shared" si="62"/>
        <v>0</v>
      </c>
      <c r="H68" s="163">
        <f t="shared" si="62"/>
        <v>0</v>
      </c>
      <c r="I68" s="163">
        <f t="shared" si="62"/>
        <v>0</v>
      </c>
      <c r="J68" s="163">
        <f t="shared" si="62"/>
        <v>0</v>
      </c>
      <c r="K68" s="163">
        <f t="shared" si="62"/>
        <v>0</v>
      </c>
      <c r="L68" s="163">
        <f t="shared" si="62"/>
        <v>0</v>
      </c>
      <c r="M68" s="163">
        <f t="shared" si="62"/>
        <v>0</v>
      </c>
      <c r="N68" s="163">
        <f t="shared" si="62"/>
        <v>0</v>
      </c>
      <c r="O68" s="163">
        <f t="shared" si="62"/>
        <v>0</v>
      </c>
      <c r="P68" s="163">
        <f t="shared" si="62"/>
        <v>0</v>
      </c>
      <c r="Q68" s="163">
        <f t="shared" si="62"/>
        <v>0</v>
      </c>
      <c r="R68" s="163">
        <f t="shared" si="62"/>
        <v>0</v>
      </c>
      <c r="S68" s="163">
        <f t="shared" si="62"/>
        <v>0</v>
      </c>
      <c r="T68" s="163">
        <f t="shared" si="62"/>
        <v>0</v>
      </c>
      <c r="U68" s="163">
        <f t="shared" si="62"/>
        <v>0</v>
      </c>
      <c r="V68" s="163">
        <f t="shared" si="62"/>
        <v>0</v>
      </c>
      <c r="W68" s="163">
        <f t="shared" si="62"/>
        <v>0</v>
      </c>
      <c r="X68" s="163">
        <f t="shared" si="62"/>
        <v>0</v>
      </c>
      <c r="Y68" s="163">
        <f t="shared" si="62"/>
        <v>0</v>
      </c>
      <c r="Z68" s="163">
        <f t="shared" si="62"/>
        <v>0</v>
      </c>
      <c r="AA68" s="163">
        <f t="shared" si="62"/>
        <v>0</v>
      </c>
      <c r="AB68" s="163">
        <f t="shared" si="62"/>
        <v>0</v>
      </c>
      <c r="AC68" s="163">
        <f t="shared" si="62"/>
        <v>0</v>
      </c>
      <c r="AD68" s="163">
        <f t="shared" si="62"/>
        <v>0</v>
      </c>
      <c r="AE68" s="163">
        <f t="shared" si="62"/>
        <v>0</v>
      </c>
      <c r="AF68" s="163">
        <f t="shared" si="62"/>
        <v>0</v>
      </c>
      <c r="AG68" s="163">
        <f t="shared" si="62"/>
        <v>0</v>
      </c>
      <c r="AH68" s="229">
        <f>SUM(C68:AG68)</f>
        <v>0</v>
      </c>
      <c r="AI68" s="229"/>
      <c r="AJ68" s="174" t="s">
        <v>69</v>
      </c>
      <c r="AK68" s="133"/>
      <c r="AL68" s="133"/>
    </row>
    <row r="69" spans="1:77" ht="15.95" hidden="1" customHeight="1" x14ac:dyDescent="0.25">
      <c r="A69" s="164" t="s">
        <v>73</v>
      </c>
      <c r="B69" s="165" t="s">
        <v>29</v>
      </c>
      <c r="C69" s="141" t="str">
        <f t="shared" ref="C69:AG69" si="63">IF(C11=$R32,$S32*24,IF(C11=$R33,$S33*24,IF(C11=$R34,$S34*24,IF(C11=$R35,$S35*24,IF(C11=$R36,$S36*24,IF(C11=$R37,$S37*24,IF(C11=$R38,$S38*24,IF(C11=$R39,$S39*24,IF(C11=$R40,$S40*24,"")))))))))</f>
        <v/>
      </c>
      <c r="D69" s="141">
        <f t="shared" si="63"/>
        <v>19</v>
      </c>
      <c r="E69" s="141">
        <f t="shared" si="63"/>
        <v>19</v>
      </c>
      <c r="F69" s="141" t="str">
        <f t="shared" si="63"/>
        <v/>
      </c>
      <c r="G69" s="141" t="str">
        <f t="shared" si="63"/>
        <v/>
      </c>
      <c r="H69" s="141" t="str">
        <f t="shared" si="63"/>
        <v/>
      </c>
      <c r="I69" s="141">
        <f t="shared" si="63"/>
        <v>19</v>
      </c>
      <c r="J69" s="141">
        <f t="shared" si="63"/>
        <v>19</v>
      </c>
      <c r="K69" s="141" t="str">
        <f t="shared" si="63"/>
        <v/>
      </c>
      <c r="L69" s="141" t="str">
        <f t="shared" si="63"/>
        <v/>
      </c>
      <c r="M69" s="141">
        <f t="shared" si="63"/>
        <v>19</v>
      </c>
      <c r="N69" s="141">
        <f t="shared" si="63"/>
        <v>19</v>
      </c>
      <c r="O69" s="141">
        <f t="shared" si="63"/>
        <v>19</v>
      </c>
      <c r="P69" s="141" t="str">
        <f t="shared" si="63"/>
        <v/>
      </c>
      <c r="Q69" s="141" t="str">
        <f t="shared" si="63"/>
        <v/>
      </c>
      <c r="R69" s="141">
        <f t="shared" si="63"/>
        <v>19</v>
      </c>
      <c r="S69" s="141">
        <f t="shared" si="63"/>
        <v>19</v>
      </c>
      <c r="T69" s="141" t="str">
        <f t="shared" si="63"/>
        <v/>
      </c>
      <c r="U69" s="141" t="str">
        <f t="shared" si="63"/>
        <v/>
      </c>
      <c r="V69" s="141" t="str">
        <f t="shared" si="63"/>
        <v/>
      </c>
      <c r="W69" s="141">
        <f t="shared" si="63"/>
        <v>19</v>
      </c>
      <c r="X69" s="141">
        <f t="shared" si="63"/>
        <v>19</v>
      </c>
      <c r="Y69" s="141" t="str">
        <f t="shared" si="63"/>
        <v/>
      </c>
      <c r="Z69" s="141" t="str">
        <f t="shared" si="63"/>
        <v/>
      </c>
      <c r="AA69" s="141">
        <f t="shared" si="63"/>
        <v>19</v>
      </c>
      <c r="AB69" s="141">
        <f t="shared" si="63"/>
        <v>19</v>
      </c>
      <c r="AC69" s="141">
        <f t="shared" si="63"/>
        <v>19</v>
      </c>
      <c r="AD69" s="141" t="str">
        <f t="shared" si="63"/>
        <v/>
      </c>
      <c r="AE69" s="141" t="str">
        <f t="shared" si="63"/>
        <v/>
      </c>
      <c r="AF69" s="141">
        <f t="shared" si="63"/>
        <v>19</v>
      </c>
      <c r="AG69" s="141">
        <f t="shared" si="63"/>
        <v>19</v>
      </c>
      <c r="AH69" s="154" t="s">
        <v>12</v>
      </c>
      <c r="AI69" s="133"/>
      <c r="AJ69" s="170"/>
      <c r="AK69" s="133"/>
      <c r="AL69" s="133"/>
    </row>
    <row r="70" spans="1:77" ht="15.95" hidden="1" customHeight="1" x14ac:dyDescent="0.25">
      <c r="A70" s="166" t="s">
        <v>74</v>
      </c>
      <c r="B70" s="167" t="s">
        <v>30</v>
      </c>
      <c r="C70" s="141" t="str">
        <f t="shared" ref="C70:AG70" si="64">IF(C11=$R32,$V32*24,IF(C11=$R33,$V33*24,IF(C11=$R34,$V34*24,IF(C11=$R35,$V35*24,IF(C11=$R36,$V36*24,IF(C11=$R37,$V37*24,IF(C11=$R38,$V38*24,IF(C11=$R39,$V39*24,IF(C11=$R40,$V40*24,"")))))))))</f>
        <v/>
      </c>
      <c r="D70" s="141">
        <f t="shared" si="64"/>
        <v>7</v>
      </c>
      <c r="E70" s="141">
        <f t="shared" si="64"/>
        <v>7</v>
      </c>
      <c r="F70" s="141" t="str">
        <f t="shared" si="64"/>
        <v/>
      </c>
      <c r="G70" s="141" t="str">
        <f t="shared" si="64"/>
        <v/>
      </c>
      <c r="H70" s="141" t="str">
        <f t="shared" si="64"/>
        <v/>
      </c>
      <c r="I70" s="141">
        <f t="shared" si="64"/>
        <v>7</v>
      </c>
      <c r="J70" s="141">
        <f t="shared" si="64"/>
        <v>7</v>
      </c>
      <c r="K70" s="141" t="str">
        <f t="shared" si="64"/>
        <v/>
      </c>
      <c r="L70" s="141" t="str">
        <f t="shared" si="64"/>
        <v/>
      </c>
      <c r="M70" s="141">
        <f t="shared" si="64"/>
        <v>7</v>
      </c>
      <c r="N70" s="141">
        <f t="shared" si="64"/>
        <v>7</v>
      </c>
      <c r="O70" s="141">
        <f t="shared" si="64"/>
        <v>7</v>
      </c>
      <c r="P70" s="141" t="str">
        <f t="shared" si="64"/>
        <v/>
      </c>
      <c r="Q70" s="141" t="str">
        <f t="shared" si="64"/>
        <v/>
      </c>
      <c r="R70" s="141">
        <f t="shared" si="64"/>
        <v>7</v>
      </c>
      <c r="S70" s="141">
        <f t="shared" si="64"/>
        <v>7</v>
      </c>
      <c r="T70" s="141" t="str">
        <f t="shared" si="64"/>
        <v/>
      </c>
      <c r="U70" s="141" t="str">
        <f t="shared" si="64"/>
        <v/>
      </c>
      <c r="V70" s="141" t="str">
        <f t="shared" si="64"/>
        <v/>
      </c>
      <c r="W70" s="141">
        <f t="shared" si="64"/>
        <v>7</v>
      </c>
      <c r="X70" s="141">
        <f t="shared" si="64"/>
        <v>7</v>
      </c>
      <c r="Y70" s="141" t="str">
        <f t="shared" si="64"/>
        <v/>
      </c>
      <c r="Z70" s="141" t="str">
        <f t="shared" si="64"/>
        <v/>
      </c>
      <c r="AA70" s="141">
        <f t="shared" si="64"/>
        <v>7</v>
      </c>
      <c r="AB70" s="141">
        <f t="shared" si="64"/>
        <v>7</v>
      </c>
      <c r="AC70" s="141">
        <f t="shared" si="64"/>
        <v>7</v>
      </c>
      <c r="AD70" s="141" t="str">
        <f t="shared" si="64"/>
        <v/>
      </c>
      <c r="AE70" s="141" t="str">
        <f t="shared" si="64"/>
        <v/>
      </c>
      <c r="AF70" s="141">
        <f t="shared" si="64"/>
        <v>7</v>
      </c>
      <c r="AG70" s="141">
        <f t="shared" si="64"/>
        <v>7</v>
      </c>
      <c r="AH70" s="154" t="s">
        <v>12</v>
      </c>
      <c r="AI70" s="133"/>
      <c r="AJ70" s="170"/>
      <c r="AK70" s="133"/>
      <c r="AL70" s="133"/>
    </row>
    <row r="71" spans="1:77" ht="15.95" hidden="1" customHeight="1" x14ac:dyDescent="0.25">
      <c r="A71" s="153"/>
      <c r="B71" s="168" t="s">
        <v>34</v>
      </c>
      <c r="C71" s="169" t="str">
        <f t="shared" ref="C71:AD71" si="65">IF(C11=$R32,$BD32*24,IF(C11=$R33,$BD33*24,IF(C11=$R34,$BD34*24,IF(C11=$R35,$BD35*24,IF(C11=$R36,$BD36*24,IF(C11=$R37,$BD37*24,IF(C11=$R38,$BD38*24,IF(C11=$R39,$BD39*24,IF(C11=$R40,$BD40*24,"")))))))))</f>
        <v/>
      </c>
      <c r="D71" s="169">
        <f t="shared" si="65"/>
        <v>8</v>
      </c>
      <c r="E71" s="169">
        <f t="shared" si="65"/>
        <v>8</v>
      </c>
      <c r="F71" s="169" t="str">
        <f t="shared" si="65"/>
        <v/>
      </c>
      <c r="G71" s="169" t="str">
        <f t="shared" si="65"/>
        <v/>
      </c>
      <c r="H71" s="169" t="str">
        <f t="shared" si="65"/>
        <v/>
      </c>
      <c r="I71" s="169">
        <f t="shared" si="65"/>
        <v>8</v>
      </c>
      <c r="J71" s="169">
        <f t="shared" si="65"/>
        <v>8</v>
      </c>
      <c r="K71" s="169" t="str">
        <f t="shared" si="65"/>
        <v/>
      </c>
      <c r="L71" s="169" t="str">
        <f t="shared" si="65"/>
        <v/>
      </c>
      <c r="M71" s="169">
        <f t="shared" si="65"/>
        <v>8</v>
      </c>
      <c r="N71" s="169">
        <f t="shared" si="65"/>
        <v>8</v>
      </c>
      <c r="O71" s="169">
        <f t="shared" si="65"/>
        <v>8</v>
      </c>
      <c r="P71" s="169" t="str">
        <f t="shared" si="65"/>
        <v/>
      </c>
      <c r="Q71" s="169" t="str">
        <f t="shared" si="65"/>
        <v/>
      </c>
      <c r="R71" s="169">
        <f t="shared" si="65"/>
        <v>8</v>
      </c>
      <c r="S71" s="169">
        <f t="shared" si="65"/>
        <v>8</v>
      </c>
      <c r="T71" s="169" t="str">
        <f t="shared" si="65"/>
        <v/>
      </c>
      <c r="U71" s="169" t="str">
        <f t="shared" si="65"/>
        <v/>
      </c>
      <c r="V71" s="169" t="str">
        <f t="shared" si="65"/>
        <v/>
      </c>
      <c r="W71" s="169">
        <f t="shared" si="65"/>
        <v>8</v>
      </c>
      <c r="X71" s="169">
        <f t="shared" si="65"/>
        <v>8</v>
      </c>
      <c r="Y71" s="169" t="str">
        <f t="shared" si="65"/>
        <v/>
      </c>
      <c r="Z71" s="169" t="str">
        <f t="shared" si="65"/>
        <v/>
      </c>
      <c r="AA71" s="169">
        <f t="shared" si="65"/>
        <v>8</v>
      </c>
      <c r="AB71" s="169">
        <f t="shared" si="65"/>
        <v>8</v>
      </c>
      <c r="AC71" s="169">
        <f t="shared" si="65"/>
        <v>8</v>
      </c>
      <c r="AD71" s="169" t="str">
        <f t="shared" si="65"/>
        <v/>
      </c>
      <c r="AE71" s="169" t="str">
        <f>IF(AE11=$R32,$BD32*24,IF(AE11=$R33,$BD33*24,IF(AE11=$R34,$BD34*24,IF(AE11=$R35,$BD35*24,IF(AE11=$R36,$BD36*24,IF(AE11=$R37,$BD37*24,IF(AE11=$R38,$BD38*24,IF(AE11=$R39,$BD39*24,IF(AE11=$R40,$BD40*24,"")))))))))</f>
        <v/>
      </c>
      <c r="AF71" s="169">
        <f>IF(AF11=$R32,$BD32*24,IF(AF11=$R33,$BD33*24,IF(AF11=$R34,$BD34*24,IF(AF11=$R35,$BD35*24,IF(AF11=$R36,$BD36*24,IF(AF11=$R37,$BD37*24,IF(AF11=$R38,$BD38*24,IF(AF11=$R39,$BD39*24,IF(AF11=$R40,$BD40*24,"")))))))))</f>
        <v>8</v>
      </c>
      <c r="AG71" s="169">
        <f>IF(AG11=$R32,$BD32*24,IF(AG11=$R33,$BD33*24,IF(AG11=$R34,$BD34*24,IF(AG11=$R35,$BD35*24,IF(AG11=$R36,$BD36*24,IF(AG11=$R37,$BD37*24,IF(AG11=$R38,$BD38*24,IF(AG11=$R39,$BD39*24,IF(AG11=$R40,$BD40*24,"")))))))))</f>
        <v>8</v>
      </c>
      <c r="AH71" s="148">
        <f>SUM(C71:AG71)</f>
        <v>128</v>
      </c>
      <c r="AI71" s="133"/>
      <c r="AJ71" s="170"/>
      <c r="AK71" s="133"/>
      <c r="AL71" s="133"/>
    </row>
    <row r="72" spans="1:77" ht="15.95" hidden="1" customHeight="1" x14ac:dyDescent="0.25">
      <c r="A72" s="153"/>
      <c r="B72" s="167" t="s">
        <v>59</v>
      </c>
      <c r="C72" s="141">
        <f t="shared" ref="C72:AG72" si="66">IF(C11="V",$C36,IF(C11="PR",$C38,0))</f>
        <v>0</v>
      </c>
      <c r="D72" s="141">
        <f t="shared" si="66"/>
        <v>0</v>
      </c>
      <c r="E72" s="141">
        <f t="shared" si="66"/>
        <v>0</v>
      </c>
      <c r="F72" s="141">
        <f t="shared" si="66"/>
        <v>0</v>
      </c>
      <c r="G72" s="141">
        <f t="shared" si="66"/>
        <v>0</v>
      </c>
      <c r="H72" s="141">
        <f t="shared" si="66"/>
        <v>0</v>
      </c>
      <c r="I72" s="141">
        <f t="shared" si="66"/>
        <v>0</v>
      </c>
      <c r="J72" s="141">
        <f t="shared" si="66"/>
        <v>0</v>
      </c>
      <c r="K72" s="141">
        <f t="shared" si="66"/>
        <v>0</v>
      </c>
      <c r="L72" s="141">
        <f t="shared" si="66"/>
        <v>0</v>
      </c>
      <c r="M72" s="141">
        <f t="shared" si="66"/>
        <v>0</v>
      </c>
      <c r="N72" s="141">
        <f t="shared" si="66"/>
        <v>0</v>
      </c>
      <c r="O72" s="141">
        <f t="shared" si="66"/>
        <v>0</v>
      </c>
      <c r="P72" s="141">
        <f t="shared" si="66"/>
        <v>0</v>
      </c>
      <c r="Q72" s="141">
        <f t="shared" si="66"/>
        <v>0</v>
      </c>
      <c r="R72" s="141">
        <f t="shared" si="66"/>
        <v>0</v>
      </c>
      <c r="S72" s="141">
        <f t="shared" si="66"/>
        <v>0</v>
      </c>
      <c r="T72" s="141">
        <f t="shared" si="66"/>
        <v>0</v>
      </c>
      <c r="U72" s="141">
        <f t="shared" si="66"/>
        <v>0</v>
      </c>
      <c r="V72" s="141">
        <f t="shared" si="66"/>
        <v>0</v>
      </c>
      <c r="W72" s="141">
        <f t="shared" si="66"/>
        <v>0</v>
      </c>
      <c r="X72" s="141">
        <f t="shared" si="66"/>
        <v>0</v>
      </c>
      <c r="Y72" s="141">
        <f t="shared" si="66"/>
        <v>0</v>
      </c>
      <c r="Z72" s="141">
        <f t="shared" si="66"/>
        <v>0</v>
      </c>
      <c r="AA72" s="141">
        <f t="shared" si="66"/>
        <v>0</v>
      </c>
      <c r="AB72" s="141">
        <f t="shared" si="66"/>
        <v>0</v>
      </c>
      <c r="AC72" s="141">
        <f t="shared" si="66"/>
        <v>0</v>
      </c>
      <c r="AD72" s="141">
        <f t="shared" si="66"/>
        <v>0</v>
      </c>
      <c r="AE72" s="141">
        <f t="shared" si="66"/>
        <v>0</v>
      </c>
      <c r="AF72" s="141">
        <f t="shared" si="66"/>
        <v>0</v>
      </c>
      <c r="AG72" s="141">
        <f t="shared" si="66"/>
        <v>0</v>
      </c>
      <c r="AH72" s="226">
        <f>SUM(C72:AG72)</f>
        <v>0</v>
      </c>
      <c r="AI72" s="226"/>
      <c r="AJ72" s="170" t="s">
        <v>12</v>
      </c>
      <c r="AK72" s="133"/>
      <c r="AL72" s="133"/>
    </row>
    <row r="73" spans="1:77" ht="15.95" hidden="1" customHeight="1" x14ac:dyDescent="0.25">
      <c r="A73" s="150" t="s">
        <v>60</v>
      </c>
      <c r="B73" s="167" t="s">
        <v>61</v>
      </c>
      <c r="C73" s="151">
        <f t="shared" ref="C73:AD73" si="67">IF(C11=$R32,$BC32,IF(C11=$R33,$BC33,IF(C11=$R34,$BC34,IF(C11=$R35,$BC35,IF(C11=$R36,$BC36,IF(C11=$R37,$BC37,IF(C11=$R38,$BC38,IF(C11=$R39,$BC39,IF(C11=$R40,$BC40,0)))))))))</f>
        <v>0</v>
      </c>
      <c r="D73" s="151">
        <f t="shared" si="67"/>
        <v>12</v>
      </c>
      <c r="E73" s="151">
        <f t="shared" si="67"/>
        <v>12</v>
      </c>
      <c r="F73" s="151">
        <f t="shared" si="67"/>
        <v>0</v>
      </c>
      <c r="G73" s="151">
        <f t="shared" si="67"/>
        <v>0</v>
      </c>
      <c r="H73" s="151">
        <f t="shared" si="67"/>
        <v>0</v>
      </c>
      <c r="I73" s="151">
        <f t="shared" si="67"/>
        <v>12</v>
      </c>
      <c r="J73" s="151">
        <f t="shared" si="67"/>
        <v>12</v>
      </c>
      <c r="K73" s="151">
        <f t="shared" si="67"/>
        <v>0</v>
      </c>
      <c r="L73" s="151">
        <f t="shared" si="67"/>
        <v>0</v>
      </c>
      <c r="M73" s="151">
        <f t="shared" si="67"/>
        <v>12</v>
      </c>
      <c r="N73" s="151">
        <f t="shared" si="67"/>
        <v>12</v>
      </c>
      <c r="O73" s="151">
        <f t="shared" si="67"/>
        <v>12</v>
      </c>
      <c r="P73" s="151">
        <f t="shared" si="67"/>
        <v>0</v>
      </c>
      <c r="Q73" s="151">
        <f t="shared" si="67"/>
        <v>0</v>
      </c>
      <c r="R73" s="151">
        <f t="shared" si="67"/>
        <v>12</v>
      </c>
      <c r="S73" s="151">
        <f t="shared" si="67"/>
        <v>12</v>
      </c>
      <c r="T73" s="151">
        <f t="shared" si="67"/>
        <v>0</v>
      </c>
      <c r="U73" s="151">
        <f t="shared" si="67"/>
        <v>0</v>
      </c>
      <c r="V73" s="151">
        <f t="shared" si="67"/>
        <v>0</v>
      </c>
      <c r="W73" s="151">
        <f t="shared" si="67"/>
        <v>12</v>
      </c>
      <c r="X73" s="151">
        <f t="shared" si="67"/>
        <v>12</v>
      </c>
      <c r="Y73" s="151">
        <f t="shared" si="67"/>
        <v>0</v>
      </c>
      <c r="Z73" s="151">
        <f t="shared" si="67"/>
        <v>0</v>
      </c>
      <c r="AA73" s="151">
        <f t="shared" si="67"/>
        <v>12</v>
      </c>
      <c r="AB73" s="151">
        <f t="shared" si="67"/>
        <v>12</v>
      </c>
      <c r="AC73" s="151">
        <f t="shared" si="67"/>
        <v>12</v>
      </c>
      <c r="AD73" s="151">
        <f t="shared" si="67"/>
        <v>0</v>
      </c>
      <c r="AE73" s="151">
        <f>IF(AE11=$R32,$BC32,IF(AE11=$R33,$BC33,IF(AE11=$R34,$BC34,IF(AE11=$R35,$BC35,IF(AE11=$R36,$BC36,IF(AE11=$R37,$BC37,IF(AE11=$R38,$BC38,IF(AE11=$R39,$BC39,IF(AE11=$R40,$BC40,0)))))))))</f>
        <v>0</v>
      </c>
      <c r="AF73" s="151">
        <f>IF(AF11=$R32,$BC32,IF(AF11=$R33,$BC33,IF(AF11=$R34,$BC34,IF(AF11=$R35,$BC35,IF(AF11=$R36,$BC36,IF(AF11=$R37,$BC37,IF(AF11=$R38,$BC38,IF(AF11=$R39,$BC39,IF(AF11=$R40,$BC40,0)))))))))</f>
        <v>12</v>
      </c>
      <c r="AG73" s="151">
        <f>IF(AG11=$R32,$BC32,IF(AG11=$R33,$BC33,IF(AG11=$R34,$BC34,IF(AG11=$R35,$BC35,IF(AG11=$R36,$BC36,IF(AG11=$R37,$BC37,IF(AG11=$R38,$BC38,IF(AG11=$R39,$BC39,IF(AG11=$R40,$BC40,0)))))))))</f>
        <v>12</v>
      </c>
      <c r="AH73" s="226">
        <f>SUM(C73:AG73)</f>
        <v>192</v>
      </c>
      <c r="AI73" s="226"/>
      <c r="AJ73" s="175" t="s">
        <v>62</v>
      </c>
      <c r="AK73" s="133" t="s">
        <v>12</v>
      </c>
      <c r="AL73" s="133"/>
    </row>
    <row r="74" spans="1:77" ht="15.95" hidden="1" customHeight="1" x14ac:dyDescent="0.25">
      <c r="A74" s="153" t="s">
        <v>48</v>
      </c>
      <c r="B74" s="149" t="s">
        <v>63</v>
      </c>
      <c r="C74" s="141" t="b">
        <f t="shared" ref="C74:AG74" si="68">IF(C46=1,IF(C69&lt;C70,C73,0))</f>
        <v>0</v>
      </c>
      <c r="D74" s="141" t="b">
        <f t="shared" si="68"/>
        <v>0</v>
      </c>
      <c r="E74" s="141" t="b">
        <f t="shared" si="68"/>
        <v>0</v>
      </c>
      <c r="F74" s="141" t="b">
        <f t="shared" si="68"/>
        <v>0</v>
      </c>
      <c r="G74" s="141">
        <f t="shared" si="68"/>
        <v>0</v>
      </c>
      <c r="H74" s="141">
        <f t="shared" si="68"/>
        <v>0</v>
      </c>
      <c r="I74" s="141" t="b">
        <f t="shared" si="68"/>
        <v>0</v>
      </c>
      <c r="J74" s="141" t="b">
        <f t="shared" si="68"/>
        <v>0</v>
      </c>
      <c r="K74" s="141" t="b">
        <f t="shared" si="68"/>
        <v>0</v>
      </c>
      <c r="L74" s="141" t="b">
        <f t="shared" si="68"/>
        <v>0</v>
      </c>
      <c r="M74" s="141" t="b">
        <f t="shared" si="68"/>
        <v>0</v>
      </c>
      <c r="N74" s="141">
        <f t="shared" si="68"/>
        <v>0</v>
      </c>
      <c r="O74" s="141">
        <f t="shared" si="68"/>
        <v>0</v>
      </c>
      <c r="P74" s="141" t="b">
        <f t="shared" si="68"/>
        <v>0</v>
      </c>
      <c r="Q74" s="141" t="b">
        <f t="shared" si="68"/>
        <v>0</v>
      </c>
      <c r="R74" s="141" t="b">
        <f t="shared" si="68"/>
        <v>0</v>
      </c>
      <c r="S74" s="141" t="b">
        <f t="shared" si="68"/>
        <v>0</v>
      </c>
      <c r="T74" s="141" t="b">
        <f t="shared" si="68"/>
        <v>0</v>
      </c>
      <c r="U74" s="141">
        <f t="shared" si="68"/>
        <v>0</v>
      </c>
      <c r="V74" s="141">
        <f t="shared" si="68"/>
        <v>0</v>
      </c>
      <c r="W74" s="141" t="b">
        <f t="shared" si="68"/>
        <v>0</v>
      </c>
      <c r="X74" s="141" t="b">
        <f t="shared" si="68"/>
        <v>0</v>
      </c>
      <c r="Y74" s="141" t="b">
        <f t="shared" si="68"/>
        <v>0</v>
      </c>
      <c r="Z74" s="141" t="b">
        <f t="shared" si="68"/>
        <v>0</v>
      </c>
      <c r="AA74" s="141" t="b">
        <f t="shared" si="68"/>
        <v>0</v>
      </c>
      <c r="AB74" s="141">
        <f t="shared" si="68"/>
        <v>0</v>
      </c>
      <c r="AC74" s="141">
        <f t="shared" si="68"/>
        <v>0</v>
      </c>
      <c r="AD74" s="141" t="b">
        <f t="shared" si="68"/>
        <v>0</v>
      </c>
      <c r="AE74" s="141" t="b">
        <f t="shared" si="68"/>
        <v>0</v>
      </c>
      <c r="AF74" s="141" t="b">
        <f t="shared" si="68"/>
        <v>0</v>
      </c>
      <c r="AG74" s="141" t="b">
        <f t="shared" si="68"/>
        <v>0</v>
      </c>
      <c r="AH74" s="154" t="s">
        <v>12</v>
      </c>
      <c r="AI74" s="133"/>
      <c r="AJ74" s="170"/>
      <c r="AK74" s="133"/>
      <c r="AL74" s="133"/>
    </row>
    <row r="75" spans="1:77" ht="15.95" hidden="1" customHeight="1" x14ac:dyDescent="0.25">
      <c r="A75" s="176"/>
      <c r="B75" s="149" t="s">
        <v>64</v>
      </c>
      <c r="C75" s="141">
        <f t="shared" ref="C75:AG75" si="69">IF(C46=1,IF(C69&gt;C70,24-C69,0),0)</f>
        <v>0</v>
      </c>
      <c r="D75" s="141">
        <f t="shared" si="69"/>
        <v>0</v>
      </c>
      <c r="E75" s="141">
        <f t="shared" si="69"/>
        <v>0</v>
      </c>
      <c r="F75" s="141">
        <f t="shared" si="69"/>
        <v>0</v>
      </c>
      <c r="G75" s="141">
        <f t="shared" si="69"/>
        <v>0</v>
      </c>
      <c r="H75" s="141">
        <f t="shared" si="69"/>
        <v>0</v>
      </c>
      <c r="I75" s="141">
        <f t="shared" si="69"/>
        <v>0</v>
      </c>
      <c r="J75" s="141">
        <f t="shared" si="69"/>
        <v>0</v>
      </c>
      <c r="K75" s="141">
        <f t="shared" si="69"/>
        <v>0</v>
      </c>
      <c r="L75" s="141">
        <f t="shared" si="69"/>
        <v>0</v>
      </c>
      <c r="M75" s="141">
        <f t="shared" si="69"/>
        <v>0</v>
      </c>
      <c r="N75" s="141">
        <f t="shared" si="69"/>
        <v>5</v>
      </c>
      <c r="O75" s="141">
        <f t="shared" si="69"/>
        <v>5</v>
      </c>
      <c r="P75" s="141">
        <f t="shared" si="69"/>
        <v>0</v>
      </c>
      <c r="Q75" s="141">
        <f t="shared" si="69"/>
        <v>0</v>
      </c>
      <c r="R75" s="141">
        <f t="shared" si="69"/>
        <v>0</v>
      </c>
      <c r="S75" s="141">
        <f t="shared" si="69"/>
        <v>0</v>
      </c>
      <c r="T75" s="141">
        <f t="shared" si="69"/>
        <v>0</v>
      </c>
      <c r="U75" s="141">
        <f t="shared" si="69"/>
        <v>0</v>
      </c>
      <c r="V75" s="141">
        <f t="shared" si="69"/>
        <v>0</v>
      </c>
      <c r="W75" s="141">
        <f t="shared" si="69"/>
        <v>0</v>
      </c>
      <c r="X75" s="141">
        <f t="shared" si="69"/>
        <v>0</v>
      </c>
      <c r="Y75" s="141">
        <f t="shared" si="69"/>
        <v>0</v>
      </c>
      <c r="Z75" s="141">
        <f t="shared" si="69"/>
        <v>0</v>
      </c>
      <c r="AA75" s="141">
        <f t="shared" si="69"/>
        <v>0</v>
      </c>
      <c r="AB75" s="141">
        <f t="shared" si="69"/>
        <v>5</v>
      </c>
      <c r="AC75" s="141">
        <f t="shared" si="69"/>
        <v>5</v>
      </c>
      <c r="AD75" s="141">
        <f t="shared" si="69"/>
        <v>0</v>
      </c>
      <c r="AE75" s="141">
        <f t="shared" si="69"/>
        <v>0</v>
      </c>
      <c r="AF75" s="141">
        <f t="shared" si="69"/>
        <v>0</v>
      </c>
      <c r="AG75" s="141">
        <f t="shared" si="69"/>
        <v>0</v>
      </c>
      <c r="AH75" s="154" t="s">
        <v>12</v>
      </c>
      <c r="AI75" s="133"/>
      <c r="AJ75" s="170"/>
      <c r="AK75" s="133"/>
      <c r="AL75" s="133"/>
    </row>
    <row r="76" spans="1:77" ht="15.95" hidden="1" customHeight="1" x14ac:dyDescent="0.25">
      <c r="A76" s="176"/>
      <c r="B76" s="149" t="s">
        <v>65</v>
      </c>
      <c r="C76" s="141">
        <f t="shared" ref="C76:AG76" si="70">IF(D46=1,IF(C69&gt;C70,C70,0),0)</f>
        <v>0</v>
      </c>
      <c r="D76" s="141">
        <f t="shared" si="70"/>
        <v>0</v>
      </c>
      <c r="E76" s="141">
        <f t="shared" si="70"/>
        <v>0</v>
      </c>
      <c r="F76" s="141">
        <f t="shared" si="70"/>
        <v>0</v>
      </c>
      <c r="G76" s="141">
        <f t="shared" si="70"/>
        <v>0</v>
      </c>
      <c r="H76" s="141">
        <f t="shared" si="70"/>
        <v>0</v>
      </c>
      <c r="I76" s="141">
        <f t="shared" si="70"/>
        <v>0</v>
      </c>
      <c r="J76" s="141">
        <f t="shared" si="70"/>
        <v>0</v>
      </c>
      <c r="K76" s="141">
        <f t="shared" si="70"/>
        <v>0</v>
      </c>
      <c r="L76" s="141">
        <f t="shared" si="70"/>
        <v>0</v>
      </c>
      <c r="M76" s="141">
        <f t="shared" si="70"/>
        <v>7</v>
      </c>
      <c r="N76" s="141">
        <f t="shared" si="70"/>
        <v>7</v>
      </c>
      <c r="O76" s="141">
        <f t="shared" si="70"/>
        <v>0</v>
      </c>
      <c r="P76" s="141">
        <f t="shared" si="70"/>
        <v>0</v>
      </c>
      <c r="Q76" s="141">
        <f t="shared" si="70"/>
        <v>0</v>
      </c>
      <c r="R76" s="141">
        <f t="shared" si="70"/>
        <v>0</v>
      </c>
      <c r="S76" s="141">
        <f t="shared" si="70"/>
        <v>0</v>
      </c>
      <c r="T76" s="141">
        <f t="shared" si="70"/>
        <v>0</v>
      </c>
      <c r="U76" s="141">
        <f t="shared" si="70"/>
        <v>0</v>
      </c>
      <c r="V76" s="141">
        <f t="shared" si="70"/>
        <v>0</v>
      </c>
      <c r="W76" s="141">
        <f t="shared" si="70"/>
        <v>0</v>
      </c>
      <c r="X76" s="141">
        <f>IF(Y46=1,IF(X69&gt;X70,X70,0),0)</f>
        <v>0</v>
      </c>
      <c r="Y76" s="141">
        <f t="shared" si="70"/>
        <v>0</v>
      </c>
      <c r="Z76" s="141">
        <f t="shared" si="70"/>
        <v>0</v>
      </c>
      <c r="AA76" s="141">
        <f t="shared" si="70"/>
        <v>7</v>
      </c>
      <c r="AB76" s="141">
        <f t="shared" si="70"/>
        <v>7</v>
      </c>
      <c r="AC76" s="141">
        <f t="shared" si="70"/>
        <v>0</v>
      </c>
      <c r="AD76" s="141">
        <f t="shared" si="70"/>
        <v>0</v>
      </c>
      <c r="AE76" s="141">
        <f t="shared" si="70"/>
        <v>0</v>
      </c>
      <c r="AF76" s="141">
        <f t="shared" si="70"/>
        <v>0</v>
      </c>
      <c r="AG76" s="141">
        <f t="shared" si="70"/>
        <v>0</v>
      </c>
      <c r="AH76" s="154" t="s">
        <v>12</v>
      </c>
      <c r="AI76" s="133"/>
      <c r="AJ76" s="170"/>
      <c r="AK76" s="133"/>
      <c r="AL76" s="133"/>
    </row>
    <row r="77" spans="1:77" ht="15.95" hidden="1" customHeight="1" x14ac:dyDescent="0.25">
      <c r="A77" s="176"/>
      <c r="B77" s="149" t="s">
        <v>67</v>
      </c>
      <c r="C77" s="171">
        <f t="shared" ref="C77:AG77" si="71">SUM(C74:C76)</f>
        <v>0</v>
      </c>
      <c r="D77" s="171">
        <f t="shared" si="71"/>
        <v>0</v>
      </c>
      <c r="E77" s="171">
        <f t="shared" si="71"/>
        <v>0</v>
      </c>
      <c r="F77" s="171">
        <f t="shared" si="71"/>
        <v>0</v>
      </c>
      <c r="G77" s="171">
        <f t="shared" si="71"/>
        <v>0</v>
      </c>
      <c r="H77" s="171">
        <f t="shared" si="71"/>
        <v>0</v>
      </c>
      <c r="I77" s="171">
        <f t="shared" si="71"/>
        <v>0</v>
      </c>
      <c r="J77" s="171">
        <f t="shared" si="71"/>
        <v>0</v>
      </c>
      <c r="K77" s="171">
        <f t="shared" si="71"/>
        <v>0</v>
      </c>
      <c r="L77" s="171">
        <f t="shared" si="71"/>
        <v>0</v>
      </c>
      <c r="M77" s="171">
        <f t="shared" si="71"/>
        <v>7</v>
      </c>
      <c r="N77" s="171">
        <f t="shared" si="71"/>
        <v>12</v>
      </c>
      <c r="O77" s="171">
        <f t="shared" si="71"/>
        <v>5</v>
      </c>
      <c r="P77" s="171">
        <f t="shared" si="71"/>
        <v>0</v>
      </c>
      <c r="Q77" s="171">
        <f t="shared" si="71"/>
        <v>0</v>
      </c>
      <c r="R77" s="171">
        <f t="shared" si="71"/>
        <v>0</v>
      </c>
      <c r="S77" s="171">
        <f t="shared" si="71"/>
        <v>0</v>
      </c>
      <c r="T77" s="171">
        <f t="shared" si="71"/>
        <v>0</v>
      </c>
      <c r="U77" s="171">
        <f t="shared" si="71"/>
        <v>0</v>
      </c>
      <c r="V77" s="171">
        <f t="shared" si="71"/>
        <v>0</v>
      </c>
      <c r="W77" s="171">
        <f t="shared" si="71"/>
        <v>0</v>
      </c>
      <c r="X77" s="171">
        <f t="shared" si="71"/>
        <v>0</v>
      </c>
      <c r="Y77" s="171">
        <f t="shared" si="71"/>
        <v>0</v>
      </c>
      <c r="Z77" s="171">
        <f t="shared" si="71"/>
        <v>0</v>
      </c>
      <c r="AA77" s="171">
        <f t="shared" si="71"/>
        <v>7</v>
      </c>
      <c r="AB77" s="171">
        <f t="shared" si="71"/>
        <v>12</v>
      </c>
      <c r="AC77" s="171">
        <f t="shared" si="71"/>
        <v>5</v>
      </c>
      <c r="AD77" s="171">
        <f t="shared" si="71"/>
        <v>0</v>
      </c>
      <c r="AE77" s="171">
        <f t="shared" si="71"/>
        <v>0</v>
      </c>
      <c r="AF77" s="171">
        <f t="shared" si="71"/>
        <v>0</v>
      </c>
      <c r="AG77" s="171">
        <f t="shared" si="71"/>
        <v>0</v>
      </c>
      <c r="AH77" s="154" t="s">
        <v>12</v>
      </c>
      <c r="AI77" s="133"/>
      <c r="AJ77" s="170"/>
      <c r="AK77" s="133"/>
      <c r="AL77" s="133"/>
    </row>
    <row r="78" spans="1:77" ht="15.95" hidden="1" customHeight="1" x14ac:dyDescent="0.25">
      <c r="A78" s="177"/>
      <c r="B78" s="160" t="s">
        <v>68</v>
      </c>
      <c r="C78" s="161">
        <f t="shared" ref="C78:AG78" si="72">IF(C11="V",IF(C11="",0,1),0)</f>
        <v>0</v>
      </c>
      <c r="D78" s="161">
        <f t="shared" si="72"/>
        <v>0</v>
      </c>
      <c r="E78" s="161">
        <f t="shared" si="72"/>
        <v>0</v>
      </c>
      <c r="F78" s="161">
        <f t="shared" si="72"/>
        <v>0</v>
      </c>
      <c r="G78" s="161">
        <f t="shared" si="72"/>
        <v>0</v>
      </c>
      <c r="H78" s="161">
        <f t="shared" si="72"/>
        <v>0</v>
      </c>
      <c r="I78" s="161">
        <f t="shared" si="72"/>
        <v>0</v>
      </c>
      <c r="J78" s="161">
        <f t="shared" si="72"/>
        <v>0</v>
      </c>
      <c r="K78" s="161">
        <f t="shared" si="72"/>
        <v>0</v>
      </c>
      <c r="L78" s="161">
        <f t="shared" si="72"/>
        <v>0</v>
      </c>
      <c r="M78" s="161">
        <f t="shared" si="72"/>
        <v>0</v>
      </c>
      <c r="N78" s="161">
        <f t="shared" si="72"/>
        <v>0</v>
      </c>
      <c r="O78" s="161">
        <f t="shared" si="72"/>
        <v>0</v>
      </c>
      <c r="P78" s="161">
        <f t="shared" si="72"/>
        <v>0</v>
      </c>
      <c r="Q78" s="161">
        <f t="shared" si="72"/>
        <v>0</v>
      </c>
      <c r="R78" s="161">
        <f t="shared" si="72"/>
        <v>0</v>
      </c>
      <c r="S78" s="161">
        <f t="shared" si="72"/>
        <v>0</v>
      </c>
      <c r="T78" s="161">
        <f t="shared" si="72"/>
        <v>0</v>
      </c>
      <c r="U78" s="161">
        <f t="shared" si="72"/>
        <v>0</v>
      </c>
      <c r="V78" s="161">
        <f t="shared" si="72"/>
        <v>0</v>
      </c>
      <c r="W78" s="161">
        <f t="shared" si="72"/>
        <v>0</v>
      </c>
      <c r="X78" s="161">
        <f t="shared" si="72"/>
        <v>0</v>
      </c>
      <c r="Y78" s="161">
        <f t="shared" si="72"/>
        <v>0</v>
      </c>
      <c r="Z78" s="161">
        <f t="shared" si="72"/>
        <v>0</v>
      </c>
      <c r="AA78" s="161">
        <f t="shared" si="72"/>
        <v>0</v>
      </c>
      <c r="AB78" s="161">
        <f t="shared" si="72"/>
        <v>0</v>
      </c>
      <c r="AC78" s="161">
        <f t="shared" si="72"/>
        <v>0</v>
      </c>
      <c r="AD78" s="161">
        <f t="shared" si="72"/>
        <v>0</v>
      </c>
      <c r="AE78" s="161">
        <f t="shared" si="72"/>
        <v>0</v>
      </c>
      <c r="AF78" s="161">
        <f t="shared" si="72"/>
        <v>0</v>
      </c>
      <c r="AG78" s="161">
        <f t="shared" si="72"/>
        <v>0</v>
      </c>
      <c r="AH78" s="154" t="s">
        <v>12</v>
      </c>
      <c r="AI78" s="133"/>
      <c r="AJ78" s="170"/>
      <c r="AK78" s="133"/>
      <c r="AL78" s="133"/>
    </row>
    <row r="79" spans="1:77" ht="15.95" hidden="1" customHeight="1" x14ac:dyDescent="0.25">
      <c r="A79" s="173"/>
      <c r="B79" s="130" t="s">
        <v>16</v>
      </c>
      <c r="C79" s="163">
        <f t="shared" ref="C79:AG79" si="73">IF(C11="PR",IF(C11="",0,1),0)</f>
        <v>0</v>
      </c>
      <c r="D79" s="163">
        <f t="shared" si="73"/>
        <v>0</v>
      </c>
      <c r="E79" s="163">
        <f t="shared" si="73"/>
        <v>0</v>
      </c>
      <c r="F79" s="163">
        <f t="shared" si="73"/>
        <v>0</v>
      </c>
      <c r="G79" s="163">
        <f t="shared" si="73"/>
        <v>0</v>
      </c>
      <c r="H79" s="163">
        <f t="shared" si="73"/>
        <v>0</v>
      </c>
      <c r="I79" s="163">
        <f t="shared" si="73"/>
        <v>0</v>
      </c>
      <c r="J79" s="163">
        <f t="shared" si="73"/>
        <v>0</v>
      </c>
      <c r="K79" s="163">
        <f t="shared" si="73"/>
        <v>0</v>
      </c>
      <c r="L79" s="163">
        <f t="shared" si="73"/>
        <v>0</v>
      </c>
      <c r="M79" s="163">
        <f t="shared" si="73"/>
        <v>0</v>
      </c>
      <c r="N79" s="163">
        <f t="shared" si="73"/>
        <v>0</v>
      </c>
      <c r="O79" s="163">
        <f t="shared" si="73"/>
        <v>0</v>
      </c>
      <c r="P79" s="163">
        <f t="shared" si="73"/>
        <v>0</v>
      </c>
      <c r="Q79" s="163">
        <f t="shared" si="73"/>
        <v>0</v>
      </c>
      <c r="R79" s="163">
        <f t="shared" si="73"/>
        <v>0</v>
      </c>
      <c r="S79" s="163">
        <f t="shared" si="73"/>
        <v>0</v>
      </c>
      <c r="T79" s="163">
        <f t="shared" si="73"/>
        <v>0</v>
      </c>
      <c r="U79" s="163">
        <f t="shared" si="73"/>
        <v>0</v>
      </c>
      <c r="V79" s="163">
        <f t="shared" si="73"/>
        <v>0</v>
      </c>
      <c r="W79" s="163">
        <f t="shared" si="73"/>
        <v>0</v>
      </c>
      <c r="X79" s="163">
        <f t="shared" si="73"/>
        <v>0</v>
      </c>
      <c r="Y79" s="163">
        <f t="shared" si="73"/>
        <v>0</v>
      </c>
      <c r="Z79" s="163">
        <f t="shared" si="73"/>
        <v>0</v>
      </c>
      <c r="AA79" s="163">
        <f t="shared" si="73"/>
        <v>0</v>
      </c>
      <c r="AB79" s="163">
        <f t="shared" si="73"/>
        <v>0</v>
      </c>
      <c r="AC79" s="163">
        <f t="shared" si="73"/>
        <v>0</v>
      </c>
      <c r="AD79" s="163">
        <f t="shared" si="73"/>
        <v>0</v>
      </c>
      <c r="AE79" s="163">
        <f t="shared" si="73"/>
        <v>0</v>
      </c>
      <c r="AF79" s="163">
        <f t="shared" si="73"/>
        <v>0</v>
      </c>
      <c r="AG79" s="163">
        <f t="shared" si="73"/>
        <v>0</v>
      </c>
      <c r="AH79" s="229">
        <f>SUM(C79:AG79)</f>
        <v>0</v>
      </c>
      <c r="AI79" s="229"/>
      <c r="AJ79" s="174" t="s">
        <v>69</v>
      </c>
      <c r="AK79" s="133"/>
      <c r="AL79" s="133"/>
    </row>
    <row r="80" spans="1:77" ht="15.95" hidden="1" customHeight="1" x14ac:dyDescent="0.25">
      <c r="A80" s="164" t="s">
        <v>75</v>
      </c>
      <c r="B80" s="165" t="s">
        <v>29</v>
      </c>
      <c r="C80" s="141">
        <f t="shared" ref="C80:AG80" si="74">IF(C12=$R32,$S32*24,IF(C12=$R33,$S33*24,IF(C12=$R34,$S34*24,IF(C12=$R35,$S35*24,IF(C12=$R36,$S36*24,IF(C12=$R37,$S37*24,IF(C12=$R38,$S38*24,IF(C12=$R39,$S39*24,IF(C12=$R40,$S40*24,"")))))))))</f>
        <v>19</v>
      </c>
      <c r="D80" s="141" t="str">
        <f t="shared" si="74"/>
        <v/>
      </c>
      <c r="E80" s="141" t="str">
        <f t="shared" si="74"/>
        <v/>
      </c>
      <c r="F80" s="141">
        <f t="shared" si="74"/>
        <v>19</v>
      </c>
      <c r="G80" s="141">
        <f t="shared" si="74"/>
        <v>19</v>
      </c>
      <c r="H80" s="141">
        <f t="shared" si="74"/>
        <v>19</v>
      </c>
      <c r="I80" s="141" t="str">
        <f t="shared" si="74"/>
        <v/>
      </c>
      <c r="J80" s="141" t="str">
        <f t="shared" si="74"/>
        <v/>
      </c>
      <c r="K80" s="141">
        <f t="shared" si="74"/>
        <v>19</v>
      </c>
      <c r="L80" s="141">
        <f t="shared" si="74"/>
        <v>19</v>
      </c>
      <c r="M80" s="141" t="str">
        <f t="shared" si="74"/>
        <v/>
      </c>
      <c r="N80" s="141" t="str">
        <f t="shared" si="74"/>
        <v/>
      </c>
      <c r="O80" s="141" t="str">
        <f t="shared" si="74"/>
        <v/>
      </c>
      <c r="P80" s="141">
        <f t="shared" si="74"/>
        <v>19</v>
      </c>
      <c r="Q80" s="141">
        <f t="shared" si="74"/>
        <v>19</v>
      </c>
      <c r="R80" s="141" t="str">
        <f t="shared" si="74"/>
        <v/>
      </c>
      <c r="S80" s="141" t="str">
        <f t="shared" si="74"/>
        <v/>
      </c>
      <c r="T80" s="141">
        <f t="shared" si="74"/>
        <v>22</v>
      </c>
      <c r="U80" s="141">
        <f t="shared" si="74"/>
        <v>22</v>
      </c>
      <c r="V80" s="141">
        <f t="shared" si="74"/>
        <v>22</v>
      </c>
      <c r="W80" s="141" t="str">
        <f t="shared" si="74"/>
        <v/>
      </c>
      <c r="X80" s="141" t="str">
        <f t="shared" si="74"/>
        <v/>
      </c>
      <c r="Y80" s="141">
        <f t="shared" si="74"/>
        <v>19</v>
      </c>
      <c r="Z80" s="141">
        <f t="shared" si="74"/>
        <v>19</v>
      </c>
      <c r="AA80" s="141" t="str">
        <f t="shared" si="74"/>
        <v/>
      </c>
      <c r="AB80" s="141" t="str">
        <f t="shared" si="74"/>
        <v/>
      </c>
      <c r="AC80" s="141" t="str">
        <f t="shared" si="74"/>
        <v/>
      </c>
      <c r="AD80" s="141">
        <f t="shared" si="74"/>
        <v>19</v>
      </c>
      <c r="AE80" s="141">
        <f t="shared" si="74"/>
        <v>19</v>
      </c>
      <c r="AF80" s="141" t="str">
        <f t="shared" si="74"/>
        <v/>
      </c>
      <c r="AG80" s="141" t="str">
        <f t="shared" si="74"/>
        <v/>
      </c>
      <c r="AH80" s="154" t="s">
        <v>12</v>
      </c>
      <c r="AI80" s="133"/>
      <c r="AJ80" s="170"/>
      <c r="AK80" s="133"/>
      <c r="AL80" s="133"/>
    </row>
    <row r="81" spans="1:38" ht="15.95" hidden="1" customHeight="1" x14ac:dyDescent="0.25">
      <c r="A81" s="166" t="s">
        <v>76</v>
      </c>
      <c r="B81" s="167" t="s">
        <v>30</v>
      </c>
      <c r="C81" s="141">
        <f t="shared" ref="C81:AG81" si="75">IF(C12=$R32,$V32*24,IF(C12=$R33,$V33*24,IF(C12=$R34,$V34*24,IF(C12=$R35,$V35*24,IF(C12=$R36,$V36*24,IF(C12=$R37,$V37*24,IF(C12=$R38,$V38*24,IF(C12=$R39,$V39*24,IF(C12=$R40,$V40*24,"")))))))))</f>
        <v>7</v>
      </c>
      <c r="D81" s="141" t="str">
        <f t="shared" si="75"/>
        <v/>
      </c>
      <c r="E81" s="141" t="str">
        <f t="shared" si="75"/>
        <v/>
      </c>
      <c r="F81" s="141">
        <f t="shared" si="75"/>
        <v>7</v>
      </c>
      <c r="G81" s="141">
        <f t="shared" si="75"/>
        <v>7</v>
      </c>
      <c r="H81" s="141">
        <f t="shared" si="75"/>
        <v>7</v>
      </c>
      <c r="I81" s="141" t="str">
        <f t="shared" si="75"/>
        <v/>
      </c>
      <c r="J81" s="141" t="str">
        <f t="shared" si="75"/>
        <v/>
      </c>
      <c r="K81" s="141">
        <f t="shared" si="75"/>
        <v>7</v>
      </c>
      <c r="L81" s="141">
        <f t="shared" si="75"/>
        <v>7</v>
      </c>
      <c r="M81" s="141" t="str">
        <f t="shared" si="75"/>
        <v/>
      </c>
      <c r="N81" s="141" t="str">
        <f t="shared" si="75"/>
        <v/>
      </c>
      <c r="O81" s="141" t="str">
        <f t="shared" si="75"/>
        <v/>
      </c>
      <c r="P81" s="141">
        <f t="shared" si="75"/>
        <v>7</v>
      </c>
      <c r="Q81" s="141">
        <f t="shared" si="75"/>
        <v>7</v>
      </c>
      <c r="R81" s="141" t="str">
        <f t="shared" si="75"/>
        <v/>
      </c>
      <c r="S81" s="141" t="str">
        <f t="shared" si="75"/>
        <v/>
      </c>
      <c r="T81" s="141">
        <f t="shared" si="75"/>
        <v>6</v>
      </c>
      <c r="U81" s="141">
        <f t="shared" si="75"/>
        <v>6</v>
      </c>
      <c r="V81" s="141">
        <f t="shared" si="75"/>
        <v>6</v>
      </c>
      <c r="W81" s="141" t="str">
        <f t="shared" si="75"/>
        <v/>
      </c>
      <c r="X81" s="141" t="str">
        <f t="shared" si="75"/>
        <v/>
      </c>
      <c r="Y81" s="141">
        <f t="shared" si="75"/>
        <v>7</v>
      </c>
      <c r="Z81" s="141">
        <f t="shared" si="75"/>
        <v>7</v>
      </c>
      <c r="AA81" s="141" t="str">
        <f t="shared" si="75"/>
        <v/>
      </c>
      <c r="AB81" s="141" t="str">
        <f t="shared" si="75"/>
        <v/>
      </c>
      <c r="AC81" s="141" t="str">
        <f t="shared" si="75"/>
        <v/>
      </c>
      <c r="AD81" s="141">
        <f t="shared" si="75"/>
        <v>7</v>
      </c>
      <c r="AE81" s="141">
        <f t="shared" si="75"/>
        <v>7</v>
      </c>
      <c r="AF81" s="141" t="str">
        <f t="shared" si="75"/>
        <v/>
      </c>
      <c r="AG81" s="141" t="str">
        <f t="shared" si="75"/>
        <v/>
      </c>
      <c r="AH81" s="154" t="s">
        <v>12</v>
      </c>
      <c r="AI81" s="133"/>
      <c r="AJ81" s="170"/>
      <c r="AK81" s="133"/>
      <c r="AL81" s="133"/>
    </row>
    <row r="82" spans="1:38" ht="15.95" hidden="1" customHeight="1" x14ac:dyDescent="0.25">
      <c r="A82" s="153"/>
      <c r="B82" s="168" t="s">
        <v>34</v>
      </c>
      <c r="C82" s="169">
        <f t="shared" ref="C82:AD82" si="76">IF(C12=$R32,$BD32*24,IF(C12=$R33,$BD33*24,IF(C12=$R34,$BD34*24,IF(C12=$R35,$BD35*24,IF(C12=$R36,$BD36*24,IF(C12=$R37,$BD37*24,IF(C12=$R38,$BD38*24,IF(C12=$R39,$BD39*24,IF(C12=$R40,$BD40*24,"")))))))))</f>
        <v>8</v>
      </c>
      <c r="D82" s="169" t="str">
        <f t="shared" si="76"/>
        <v/>
      </c>
      <c r="E82" s="169" t="str">
        <f t="shared" si="76"/>
        <v/>
      </c>
      <c r="F82" s="169">
        <f t="shared" si="76"/>
        <v>8</v>
      </c>
      <c r="G82" s="169">
        <f t="shared" si="76"/>
        <v>8</v>
      </c>
      <c r="H82" s="169">
        <f t="shared" si="76"/>
        <v>8</v>
      </c>
      <c r="I82" s="169" t="str">
        <f t="shared" si="76"/>
        <v/>
      </c>
      <c r="J82" s="169" t="str">
        <f t="shared" si="76"/>
        <v/>
      </c>
      <c r="K82" s="169">
        <f t="shared" si="76"/>
        <v>8</v>
      </c>
      <c r="L82" s="169">
        <f t="shared" si="76"/>
        <v>8</v>
      </c>
      <c r="M82" s="169" t="str">
        <f t="shared" si="76"/>
        <v/>
      </c>
      <c r="N82" s="169" t="str">
        <f t="shared" si="76"/>
        <v/>
      </c>
      <c r="O82" s="169" t="str">
        <f t="shared" si="76"/>
        <v/>
      </c>
      <c r="P82" s="169">
        <f t="shared" si="76"/>
        <v>8</v>
      </c>
      <c r="Q82" s="169">
        <f t="shared" si="76"/>
        <v>8</v>
      </c>
      <c r="R82" s="169" t="str">
        <f t="shared" si="76"/>
        <v/>
      </c>
      <c r="S82" s="169" t="str">
        <f t="shared" si="76"/>
        <v/>
      </c>
      <c r="T82" s="169">
        <f t="shared" si="76"/>
        <v>8</v>
      </c>
      <c r="U82" s="169">
        <f t="shared" si="76"/>
        <v>8</v>
      </c>
      <c r="V82" s="169">
        <f t="shared" si="76"/>
        <v>8</v>
      </c>
      <c r="W82" s="169" t="str">
        <f t="shared" si="76"/>
        <v/>
      </c>
      <c r="X82" s="169" t="str">
        <f t="shared" si="76"/>
        <v/>
      </c>
      <c r="Y82" s="169">
        <f t="shared" si="76"/>
        <v>8</v>
      </c>
      <c r="Z82" s="169">
        <f t="shared" si="76"/>
        <v>8</v>
      </c>
      <c r="AA82" s="169" t="str">
        <f t="shared" si="76"/>
        <v/>
      </c>
      <c r="AB82" s="169" t="str">
        <f t="shared" si="76"/>
        <v/>
      </c>
      <c r="AC82" s="169" t="str">
        <f t="shared" si="76"/>
        <v/>
      </c>
      <c r="AD82" s="169">
        <f t="shared" si="76"/>
        <v>8</v>
      </c>
      <c r="AE82" s="169">
        <f>IF(AE12=$R32,$BD32*24,IF(AE12=$R33,$BD33*24,IF(AE12=$R34,$BD34*24,IF(AE12=$R35,$BD35*24,IF(AE12=$R36,$BD36*24,IF(AE12=$R37,$BD37*24,IF(AE12=$R38,$BD38*24,IF(AE12=$R39,$BD39*24,IF(AE12=$R40,$BD40*24,"")))))))))</f>
        <v>8</v>
      </c>
      <c r="AF82" s="169" t="str">
        <f>IF(AF12=$R32,$BD32*24,IF(AF12=$R33,$BD33*24,IF(AF12=$R34,$BD34*24,IF(AF12=$R35,$BD35*24,IF(AF12=$R36,$BD36*24,IF(AF12=$R37,$BD37*24,IF(AF12=$R38,$BD38*24,IF(AF12=$R39,$BD39*24,IF(AF12=$R40,$BD40*24,"")))))))))</f>
        <v/>
      </c>
      <c r="AG82" s="169" t="str">
        <f>IF(AG12=$R32,$BD32*24,IF(AG12=$R33,$BD33*24,IF(AG12=$R34,$BD34*24,IF(AG12=$R35,$BD35*24,IF(AG12=$R36,$BD36*24,IF(AG12=$R37,$BD37*24,IF(AG12=$R38,$BD38*24,IF(AG12=$R39,$BD39*24,IF(AG12=$R40,$BD40*24,"")))))))))</f>
        <v/>
      </c>
      <c r="AH82" s="148">
        <f>SUM(C82:AG82)</f>
        <v>120</v>
      </c>
      <c r="AI82" s="133"/>
      <c r="AJ82" s="170"/>
      <c r="AK82" s="133"/>
      <c r="AL82" s="133"/>
    </row>
    <row r="83" spans="1:38" ht="15.95" hidden="1" customHeight="1" x14ac:dyDescent="0.25">
      <c r="A83" s="153"/>
      <c r="B83" s="167" t="s">
        <v>59</v>
      </c>
      <c r="C83" s="141">
        <f t="shared" ref="C83:AG83" si="77">IF(C12="V",$C36,IF(C12="PR",$C38,0))</f>
        <v>0</v>
      </c>
      <c r="D83" s="141">
        <f t="shared" si="77"/>
        <v>0</v>
      </c>
      <c r="E83" s="141">
        <f t="shared" si="77"/>
        <v>0</v>
      </c>
      <c r="F83" s="141">
        <f t="shared" si="77"/>
        <v>0</v>
      </c>
      <c r="G83" s="141">
        <f t="shared" si="77"/>
        <v>0</v>
      </c>
      <c r="H83" s="141">
        <f t="shared" si="77"/>
        <v>0</v>
      </c>
      <c r="I83" s="141">
        <f t="shared" si="77"/>
        <v>0</v>
      </c>
      <c r="J83" s="141">
        <f t="shared" si="77"/>
        <v>0</v>
      </c>
      <c r="K83" s="141">
        <f t="shared" si="77"/>
        <v>0</v>
      </c>
      <c r="L83" s="141">
        <f t="shared" si="77"/>
        <v>0</v>
      </c>
      <c r="M83" s="141">
        <f t="shared" si="77"/>
        <v>0</v>
      </c>
      <c r="N83" s="141">
        <f t="shared" si="77"/>
        <v>0</v>
      </c>
      <c r="O83" s="141">
        <f t="shared" si="77"/>
        <v>0</v>
      </c>
      <c r="P83" s="141">
        <f t="shared" si="77"/>
        <v>0</v>
      </c>
      <c r="Q83" s="141">
        <f t="shared" si="77"/>
        <v>0</v>
      </c>
      <c r="R83" s="141">
        <f t="shared" si="77"/>
        <v>0</v>
      </c>
      <c r="S83" s="141">
        <f t="shared" si="77"/>
        <v>0</v>
      </c>
      <c r="T83" s="141">
        <f t="shared" si="77"/>
        <v>0</v>
      </c>
      <c r="U83" s="141">
        <f t="shared" si="77"/>
        <v>0</v>
      </c>
      <c r="V83" s="141">
        <f t="shared" si="77"/>
        <v>0</v>
      </c>
      <c r="W83" s="141">
        <f t="shared" si="77"/>
        <v>0</v>
      </c>
      <c r="X83" s="141">
        <f t="shared" si="77"/>
        <v>0</v>
      </c>
      <c r="Y83" s="141">
        <f t="shared" si="77"/>
        <v>0</v>
      </c>
      <c r="Z83" s="141">
        <f t="shared" si="77"/>
        <v>0</v>
      </c>
      <c r="AA83" s="141">
        <f t="shared" si="77"/>
        <v>0</v>
      </c>
      <c r="AB83" s="141">
        <f t="shared" si="77"/>
        <v>0</v>
      </c>
      <c r="AC83" s="141">
        <f t="shared" si="77"/>
        <v>0</v>
      </c>
      <c r="AD83" s="141">
        <f t="shared" si="77"/>
        <v>0</v>
      </c>
      <c r="AE83" s="141">
        <f t="shared" si="77"/>
        <v>0</v>
      </c>
      <c r="AF83" s="141">
        <f t="shared" si="77"/>
        <v>0</v>
      </c>
      <c r="AG83" s="141">
        <f t="shared" si="77"/>
        <v>0</v>
      </c>
      <c r="AH83" s="226">
        <f>SUM(C83:AG83)</f>
        <v>0</v>
      </c>
      <c r="AI83" s="226"/>
      <c r="AJ83" s="170" t="s">
        <v>12</v>
      </c>
      <c r="AK83" s="133"/>
      <c r="AL83" s="133"/>
    </row>
    <row r="84" spans="1:38" ht="15.95" hidden="1" customHeight="1" x14ac:dyDescent="0.25">
      <c r="A84" s="150" t="s">
        <v>60</v>
      </c>
      <c r="B84" s="167" t="s">
        <v>61</v>
      </c>
      <c r="C84" s="151">
        <f t="shared" ref="C84:AD84" si="78">IF(C12=$R32,$BC32,IF(C12=$R33,$BC33,IF(C12=$R34,$BC34,IF(C12=$R35,$BC35,IF(C12=$R36,$BC36,IF(C12=$R37,$BC37,IF(C12=$R38,$BC38,IF(C12=$R39,$BC39,IF(C12=$R40,$BC40,0)))))))))</f>
        <v>12</v>
      </c>
      <c r="D84" s="151">
        <f t="shared" si="78"/>
        <v>0</v>
      </c>
      <c r="E84" s="151">
        <f t="shared" si="78"/>
        <v>0</v>
      </c>
      <c r="F84" s="151">
        <f t="shared" si="78"/>
        <v>12</v>
      </c>
      <c r="G84" s="151">
        <f t="shared" si="78"/>
        <v>12</v>
      </c>
      <c r="H84" s="151">
        <f t="shared" si="78"/>
        <v>12</v>
      </c>
      <c r="I84" s="151">
        <f t="shared" si="78"/>
        <v>0</v>
      </c>
      <c r="J84" s="151">
        <f t="shared" si="78"/>
        <v>0</v>
      </c>
      <c r="K84" s="151">
        <f t="shared" si="78"/>
        <v>12</v>
      </c>
      <c r="L84" s="151">
        <f t="shared" si="78"/>
        <v>12</v>
      </c>
      <c r="M84" s="151">
        <f t="shared" si="78"/>
        <v>0</v>
      </c>
      <c r="N84" s="151">
        <f t="shared" si="78"/>
        <v>0</v>
      </c>
      <c r="O84" s="151">
        <f t="shared" si="78"/>
        <v>0</v>
      </c>
      <c r="P84" s="151">
        <f t="shared" si="78"/>
        <v>12</v>
      </c>
      <c r="Q84" s="151">
        <f t="shared" si="78"/>
        <v>12</v>
      </c>
      <c r="R84" s="151">
        <f t="shared" si="78"/>
        <v>0</v>
      </c>
      <c r="S84" s="151">
        <f t="shared" si="78"/>
        <v>0</v>
      </c>
      <c r="T84" s="151">
        <f t="shared" si="78"/>
        <v>7.9999999999999716</v>
      </c>
      <c r="U84" s="151">
        <f t="shared" si="78"/>
        <v>7.9999999999999716</v>
      </c>
      <c r="V84" s="151">
        <f t="shared" si="78"/>
        <v>7.9999999999999716</v>
      </c>
      <c r="W84" s="151">
        <f t="shared" si="78"/>
        <v>0</v>
      </c>
      <c r="X84" s="151">
        <f t="shared" si="78"/>
        <v>0</v>
      </c>
      <c r="Y84" s="151">
        <f t="shared" si="78"/>
        <v>12</v>
      </c>
      <c r="Z84" s="151">
        <f t="shared" si="78"/>
        <v>12</v>
      </c>
      <c r="AA84" s="151">
        <f t="shared" si="78"/>
        <v>0</v>
      </c>
      <c r="AB84" s="151">
        <f t="shared" si="78"/>
        <v>0</v>
      </c>
      <c r="AC84" s="151">
        <f t="shared" si="78"/>
        <v>0</v>
      </c>
      <c r="AD84" s="151">
        <f t="shared" si="78"/>
        <v>12</v>
      </c>
      <c r="AE84" s="151">
        <f>IF(AE12=$R32,$BC32,IF(AE12=$R33,$BC33,IF(AE12=$R34,$BC34,IF(AE12=$R35,$BC35,IF(AE12=$R36,$BC36,IF(AE12=$R37,$BC37,IF(AE12=$R38,$BC38,IF(AE12=$R39,$BC39,IF(AE12=$R40,$BC40,0)))))))))</f>
        <v>12</v>
      </c>
      <c r="AF84" s="151">
        <f>IF(AF12=$R32,$BC32,IF(AF12=$R33,$BC33,IF(AF12=$R34,$BC34,IF(AF12=$R35,$BC35,IF(AF12=$R36,$BC36,IF(AF12=$R37,$BC37,IF(AF12=$R38,$BC38,IF(AF12=$R39,$BC39,IF(AF12=$R40,$BC40,0)))))))))</f>
        <v>0</v>
      </c>
      <c r="AG84" s="151">
        <f>IF(AG12=$R32,$BC32,IF(AG12=$R33,$BC33,IF(AG12=$R34,$BC34,IF(AG12=$R35,$BC35,IF(AG12=$R36,$BC36,IF(AG12=$R37,$BC37,IF(AG12=$R38,$BC38,IF(AG12=$R39,$BC39,IF(AG12=$R40,$BC40,0)))))))))</f>
        <v>0</v>
      </c>
      <c r="AH84" s="226">
        <f>SUM(C84:AG84)</f>
        <v>167.99999999999991</v>
      </c>
      <c r="AI84" s="226"/>
      <c r="AJ84" s="175" t="s">
        <v>62</v>
      </c>
      <c r="AK84" s="133" t="s">
        <v>12</v>
      </c>
      <c r="AL84" s="133"/>
    </row>
    <row r="85" spans="1:38" ht="15.95" hidden="1" customHeight="1" x14ac:dyDescent="0.25">
      <c r="A85" s="153" t="s">
        <v>48</v>
      </c>
      <c r="B85" s="149" t="s">
        <v>63</v>
      </c>
      <c r="C85" s="141" t="b">
        <f t="shared" ref="C85:AG85" si="79">IF(C46=1,IF(C80&lt;C81,C84,0))</f>
        <v>0</v>
      </c>
      <c r="D85" s="141" t="b">
        <f t="shared" si="79"/>
        <v>0</v>
      </c>
      <c r="E85" s="141" t="b">
        <f t="shared" si="79"/>
        <v>0</v>
      </c>
      <c r="F85" s="141" t="b">
        <f t="shared" si="79"/>
        <v>0</v>
      </c>
      <c r="G85" s="141">
        <f t="shared" si="79"/>
        <v>0</v>
      </c>
      <c r="H85" s="141">
        <f t="shared" si="79"/>
        <v>0</v>
      </c>
      <c r="I85" s="141" t="b">
        <f t="shared" si="79"/>
        <v>0</v>
      </c>
      <c r="J85" s="141" t="b">
        <f t="shared" si="79"/>
        <v>0</v>
      </c>
      <c r="K85" s="141" t="b">
        <f t="shared" si="79"/>
        <v>0</v>
      </c>
      <c r="L85" s="141" t="b">
        <f t="shared" si="79"/>
        <v>0</v>
      </c>
      <c r="M85" s="141" t="b">
        <f t="shared" si="79"/>
        <v>0</v>
      </c>
      <c r="N85" s="141">
        <f t="shared" si="79"/>
        <v>0</v>
      </c>
      <c r="O85" s="141">
        <f t="shared" si="79"/>
        <v>0</v>
      </c>
      <c r="P85" s="141" t="b">
        <f t="shared" si="79"/>
        <v>0</v>
      </c>
      <c r="Q85" s="141" t="b">
        <f t="shared" si="79"/>
        <v>0</v>
      </c>
      <c r="R85" s="141" t="b">
        <f t="shared" si="79"/>
        <v>0</v>
      </c>
      <c r="S85" s="141" t="b">
        <f t="shared" si="79"/>
        <v>0</v>
      </c>
      <c r="T85" s="141" t="b">
        <f t="shared" si="79"/>
        <v>0</v>
      </c>
      <c r="U85" s="141">
        <f t="shared" si="79"/>
        <v>0</v>
      </c>
      <c r="V85" s="141">
        <f t="shared" si="79"/>
        <v>0</v>
      </c>
      <c r="W85" s="141" t="b">
        <f t="shared" si="79"/>
        <v>0</v>
      </c>
      <c r="X85" s="141" t="b">
        <f t="shared" si="79"/>
        <v>0</v>
      </c>
      <c r="Y85" s="141" t="b">
        <f t="shared" si="79"/>
        <v>0</v>
      </c>
      <c r="Z85" s="141" t="b">
        <f t="shared" si="79"/>
        <v>0</v>
      </c>
      <c r="AA85" s="141" t="b">
        <f t="shared" si="79"/>
        <v>0</v>
      </c>
      <c r="AB85" s="141">
        <f t="shared" si="79"/>
        <v>0</v>
      </c>
      <c r="AC85" s="141">
        <f t="shared" si="79"/>
        <v>0</v>
      </c>
      <c r="AD85" s="141" t="b">
        <f t="shared" si="79"/>
        <v>0</v>
      </c>
      <c r="AE85" s="141" t="b">
        <f t="shared" si="79"/>
        <v>0</v>
      </c>
      <c r="AF85" s="141" t="b">
        <f t="shared" si="79"/>
        <v>0</v>
      </c>
      <c r="AG85" s="141" t="b">
        <f t="shared" si="79"/>
        <v>0</v>
      </c>
      <c r="AH85" s="154" t="s">
        <v>12</v>
      </c>
      <c r="AI85" s="133"/>
      <c r="AJ85" s="170"/>
      <c r="AK85" s="133"/>
      <c r="AL85" s="133"/>
    </row>
    <row r="86" spans="1:38" ht="15.95" hidden="1" customHeight="1" x14ac:dyDescent="0.25">
      <c r="A86" s="176"/>
      <c r="B86" s="149" t="s">
        <v>64</v>
      </c>
      <c r="C86" s="141">
        <f t="shared" ref="C86:AG86" si="80">IF(C46=1,IF(C80&gt;C81,24-C80,0),0)</f>
        <v>0</v>
      </c>
      <c r="D86" s="141">
        <f t="shared" si="80"/>
        <v>0</v>
      </c>
      <c r="E86" s="141">
        <f t="shared" si="80"/>
        <v>0</v>
      </c>
      <c r="F86" s="141">
        <f t="shared" si="80"/>
        <v>0</v>
      </c>
      <c r="G86" s="141">
        <f t="shared" si="80"/>
        <v>5</v>
      </c>
      <c r="H86" s="141">
        <f t="shared" si="80"/>
        <v>5</v>
      </c>
      <c r="I86" s="141">
        <f t="shared" si="80"/>
        <v>0</v>
      </c>
      <c r="J86" s="141">
        <f t="shared" si="80"/>
        <v>0</v>
      </c>
      <c r="K86" s="141">
        <f t="shared" si="80"/>
        <v>0</v>
      </c>
      <c r="L86" s="141">
        <f t="shared" si="80"/>
        <v>0</v>
      </c>
      <c r="M86" s="141">
        <f t="shared" si="80"/>
        <v>0</v>
      </c>
      <c r="N86" s="141">
        <f t="shared" si="80"/>
        <v>0</v>
      </c>
      <c r="O86" s="141">
        <f t="shared" si="80"/>
        <v>0</v>
      </c>
      <c r="P86" s="141">
        <f t="shared" si="80"/>
        <v>0</v>
      </c>
      <c r="Q86" s="141">
        <f t="shared" si="80"/>
        <v>0</v>
      </c>
      <c r="R86" s="141">
        <f t="shared" si="80"/>
        <v>0</v>
      </c>
      <c r="S86" s="141">
        <f t="shared" si="80"/>
        <v>0</v>
      </c>
      <c r="T86" s="141">
        <f t="shared" si="80"/>
        <v>0</v>
      </c>
      <c r="U86" s="141">
        <f t="shared" si="80"/>
        <v>2</v>
      </c>
      <c r="V86" s="141">
        <f t="shared" si="80"/>
        <v>2</v>
      </c>
      <c r="W86" s="141">
        <f t="shared" si="80"/>
        <v>0</v>
      </c>
      <c r="X86" s="141">
        <f t="shared" si="80"/>
        <v>0</v>
      </c>
      <c r="Y86" s="141">
        <f t="shared" si="80"/>
        <v>0</v>
      </c>
      <c r="Z86" s="141">
        <f t="shared" si="80"/>
        <v>0</v>
      </c>
      <c r="AA86" s="141">
        <f t="shared" si="80"/>
        <v>0</v>
      </c>
      <c r="AB86" s="141">
        <f t="shared" si="80"/>
        <v>0</v>
      </c>
      <c r="AC86" s="141">
        <f t="shared" si="80"/>
        <v>0</v>
      </c>
      <c r="AD86" s="141">
        <f t="shared" si="80"/>
        <v>0</v>
      </c>
      <c r="AE86" s="141">
        <f t="shared" si="80"/>
        <v>0</v>
      </c>
      <c r="AF86" s="141">
        <f t="shared" si="80"/>
        <v>0</v>
      </c>
      <c r="AG86" s="141">
        <f t="shared" si="80"/>
        <v>0</v>
      </c>
      <c r="AH86" s="154" t="s">
        <v>12</v>
      </c>
      <c r="AI86" s="133"/>
      <c r="AJ86" s="170"/>
      <c r="AK86" s="133"/>
      <c r="AL86" s="133"/>
    </row>
    <row r="87" spans="1:38" ht="15.95" hidden="1" customHeight="1" x14ac:dyDescent="0.25">
      <c r="A87" s="176"/>
      <c r="B87" s="149" t="s">
        <v>65</v>
      </c>
      <c r="C87" s="141">
        <f t="shared" ref="C87:AG87" si="81">IF(D46=1,IF(C80&gt;C81,C81,0),0)</f>
        <v>0</v>
      </c>
      <c r="D87" s="141">
        <f t="shared" si="81"/>
        <v>0</v>
      </c>
      <c r="E87" s="141">
        <f t="shared" si="81"/>
        <v>0</v>
      </c>
      <c r="F87" s="141">
        <f t="shared" si="81"/>
        <v>7</v>
      </c>
      <c r="G87" s="141">
        <f t="shared" si="81"/>
        <v>7</v>
      </c>
      <c r="H87" s="141">
        <f t="shared" si="81"/>
        <v>0</v>
      </c>
      <c r="I87" s="141">
        <f t="shared" si="81"/>
        <v>0</v>
      </c>
      <c r="J87" s="141">
        <f t="shared" si="81"/>
        <v>0</v>
      </c>
      <c r="K87" s="141">
        <f t="shared" si="81"/>
        <v>0</v>
      </c>
      <c r="L87" s="141">
        <f t="shared" si="81"/>
        <v>0</v>
      </c>
      <c r="M87" s="141">
        <f t="shared" si="81"/>
        <v>0</v>
      </c>
      <c r="N87" s="141">
        <f t="shared" si="81"/>
        <v>0</v>
      </c>
      <c r="O87" s="141">
        <f t="shared" si="81"/>
        <v>0</v>
      </c>
      <c r="P87" s="141">
        <f t="shared" si="81"/>
        <v>0</v>
      </c>
      <c r="Q87" s="141">
        <f t="shared" si="81"/>
        <v>0</v>
      </c>
      <c r="R87" s="141">
        <f t="shared" si="81"/>
        <v>0</v>
      </c>
      <c r="S87" s="141">
        <f t="shared" si="81"/>
        <v>0</v>
      </c>
      <c r="T87" s="141">
        <f t="shared" si="81"/>
        <v>6</v>
      </c>
      <c r="U87" s="141">
        <f t="shared" si="81"/>
        <v>6</v>
      </c>
      <c r="V87" s="141">
        <f t="shared" si="81"/>
        <v>0</v>
      </c>
      <c r="W87" s="141">
        <f t="shared" si="81"/>
        <v>0</v>
      </c>
      <c r="X87" s="141">
        <f>IF(Y46=1,IF(X80&gt;X81,X81,0),0)</f>
        <v>0</v>
      </c>
      <c r="Y87" s="141">
        <f t="shared" si="81"/>
        <v>0</v>
      </c>
      <c r="Z87" s="141">
        <f t="shared" si="81"/>
        <v>0</v>
      </c>
      <c r="AA87" s="141">
        <f t="shared" si="81"/>
        <v>0</v>
      </c>
      <c r="AB87" s="141">
        <f t="shared" si="81"/>
        <v>0</v>
      </c>
      <c r="AC87" s="141">
        <f t="shared" si="81"/>
        <v>0</v>
      </c>
      <c r="AD87" s="141">
        <f t="shared" si="81"/>
        <v>0</v>
      </c>
      <c r="AE87" s="141">
        <f t="shared" si="81"/>
        <v>0</v>
      </c>
      <c r="AF87" s="141">
        <f t="shared" si="81"/>
        <v>0</v>
      </c>
      <c r="AG87" s="141">
        <f t="shared" si="81"/>
        <v>0</v>
      </c>
      <c r="AH87" s="154" t="s">
        <v>12</v>
      </c>
      <c r="AI87" s="133"/>
      <c r="AJ87" s="170"/>
      <c r="AK87" s="133"/>
      <c r="AL87" s="133"/>
    </row>
    <row r="88" spans="1:38" ht="15.95" hidden="1" customHeight="1" x14ac:dyDescent="0.25">
      <c r="A88" s="176"/>
      <c r="B88" s="149" t="s">
        <v>67</v>
      </c>
      <c r="C88" s="171">
        <f t="shared" ref="C88:AG88" si="82">SUM(C85:C87)</f>
        <v>0</v>
      </c>
      <c r="D88" s="171">
        <f t="shared" si="82"/>
        <v>0</v>
      </c>
      <c r="E88" s="171">
        <f t="shared" si="82"/>
        <v>0</v>
      </c>
      <c r="F88" s="171">
        <f t="shared" si="82"/>
        <v>7</v>
      </c>
      <c r="G88" s="171">
        <f t="shared" si="82"/>
        <v>12</v>
      </c>
      <c r="H88" s="171">
        <f t="shared" si="82"/>
        <v>5</v>
      </c>
      <c r="I88" s="171">
        <f t="shared" si="82"/>
        <v>0</v>
      </c>
      <c r="J88" s="171">
        <f t="shared" si="82"/>
        <v>0</v>
      </c>
      <c r="K88" s="171">
        <f t="shared" si="82"/>
        <v>0</v>
      </c>
      <c r="L88" s="171">
        <f t="shared" si="82"/>
        <v>0</v>
      </c>
      <c r="M88" s="171">
        <f t="shared" si="82"/>
        <v>0</v>
      </c>
      <c r="N88" s="171">
        <f t="shared" si="82"/>
        <v>0</v>
      </c>
      <c r="O88" s="171">
        <f t="shared" si="82"/>
        <v>0</v>
      </c>
      <c r="P88" s="171">
        <f t="shared" si="82"/>
        <v>0</v>
      </c>
      <c r="Q88" s="171">
        <f t="shared" si="82"/>
        <v>0</v>
      </c>
      <c r="R88" s="171">
        <f t="shared" si="82"/>
        <v>0</v>
      </c>
      <c r="S88" s="171">
        <f t="shared" si="82"/>
        <v>0</v>
      </c>
      <c r="T88" s="171">
        <f t="shared" si="82"/>
        <v>6</v>
      </c>
      <c r="U88" s="171">
        <f t="shared" si="82"/>
        <v>8</v>
      </c>
      <c r="V88" s="171">
        <f t="shared" si="82"/>
        <v>2</v>
      </c>
      <c r="W88" s="171">
        <f t="shared" si="82"/>
        <v>0</v>
      </c>
      <c r="X88" s="171">
        <f t="shared" si="82"/>
        <v>0</v>
      </c>
      <c r="Y88" s="171">
        <f t="shared" si="82"/>
        <v>0</v>
      </c>
      <c r="Z88" s="171">
        <f t="shared" si="82"/>
        <v>0</v>
      </c>
      <c r="AA88" s="171">
        <f t="shared" si="82"/>
        <v>0</v>
      </c>
      <c r="AB88" s="171">
        <f t="shared" si="82"/>
        <v>0</v>
      </c>
      <c r="AC88" s="171">
        <f t="shared" si="82"/>
        <v>0</v>
      </c>
      <c r="AD88" s="171">
        <f t="shared" si="82"/>
        <v>0</v>
      </c>
      <c r="AE88" s="171">
        <f t="shared" si="82"/>
        <v>0</v>
      </c>
      <c r="AF88" s="171">
        <f t="shared" si="82"/>
        <v>0</v>
      </c>
      <c r="AG88" s="171">
        <f t="shared" si="82"/>
        <v>0</v>
      </c>
      <c r="AH88" s="154" t="s">
        <v>12</v>
      </c>
      <c r="AI88" s="133"/>
      <c r="AJ88" s="170"/>
      <c r="AK88" s="133"/>
      <c r="AL88" s="133"/>
    </row>
    <row r="89" spans="1:38" ht="15.95" hidden="1" customHeight="1" x14ac:dyDescent="0.25">
      <c r="A89" s="177"/>
      <c r="B89" s="160" t="s">
        <v>68</v>
      </c>
      <c r="C89" s="161">
        <f t="shared" ref="C89:AG89" si="83">IF(C12="V",IF(C12="",0,1),0)</f>
        <v>0</v>
      </c>
      <c r="D89" s="161">
        <f t="shared" si="83"/>
        <v>0</v>
      </c>
      <c r="E89" s="161">
        <f t="shared" si="83"/>
        <v>0</v>
      </c>
      <c r="F89" s="161">
        <f t="shared" si="83"/>
        <v>0</v>
      </c>
      <c r="G89" s="161">
        <f t="shared" si="83"/>
        <v>0</v>
      </c>
      <c r="H89" s="161">
        <f t="shared" si="83"/>
        <v>0</v>
      </c>
      <c r="I89" s="161">
        <f t="shared" si="83"/>
        <v>0</v>
      </c>
      <c r="J89" s="161">
        <f t="shared" si="83"/>
        <v>0</v>
      </c>
      <c r="K89" s="161">
        <f t="shared" si="83"/>
        <v>0</v>
      </c>
      <c r="L89" s="161">
        <f t="shared" si="83"/>
        <v>0</v>
      </c>
      <c r="M89" s="161">
        <f t="shared" si="83"/>
        <v>0</v>
      </c>
      <c r="N89" s="161">
        <f t="shared" si="83"/>
        <v>0</v>
      </c>
      <c r="O89" s="161">
        <f t="shared" si="83"/>
        <v>0</v>
      </c>
      <c r="P89" s="161">
        <f t="shared" si="83"/>
        <v>0</v>
      </c>
      <c r="Q89" s="161">
        <f t="shared" si="83"/>
        <v>0</v>
      </c>
      <c r="R89" s="161">
        <f t="shared" si="83"/>
        <v>0</v>
      </c>
      <c r="S89" s="161">
        <f t="shared" si="83"/>
        <v>0</v>
      </c>
      <c r="T89" s="161">
        <f t="shared" si="83"/>
        <v>0</v>
      </c>
      <c r="U89" s="161">
        <f t="shared" si="83"/>
        <v>0</v>
      </c>
      <c r="V89" s="161">
        <f t="shared" si="83"/>
        <v>0</v>
      </c>
      <c r="W89" s="161">
        <f t="shared" si="83"/>
        <v>0</v>
      </c>
      <c r="X89" s="161">
        <f t="shared" si="83"/>
        <v>0</v>
      </c>
      <c r="Y89" s="161">
        <f t="shared" si="83"/>
        <v>0</v>
      </c>
      <c r="Z89" s="161">
        <f t="shared" si="83"/>
        <v>0</v>
      </c>
      <c r="AA89" s="161">
        <f t="shared" si="83"/>
        <v>0</v>
      </c>
      <c r="AB89" s="161">
        <f t="shared" si="83"/>
        <v>0</v>
      </c>
      <c r="AC89" s="161">
        <f t="shared" si="83"/>
        <v>0</v>
      </c>
      <c r="AD89" s="161">
        <f t="shared" si="83"/>
        <v>0</v>
      </c>
      <c r="AE89" s="161">
        <f t="shared" si="83"/>
        <v>0</v>
      </c>
      <c r="AF89" s="161">
        <f t="shared" si="83"/>
        <v>0</v>
      </c>
      <c r="AG89" s="161">
        <f t="shared" si="83"/>
        <v>0</v>
      </c>
      <c r="AH89" s="154"/>
      <c r="AI89" s="133"/>
      <c r="AJ89" s="170"/>
      <c r="AK89" s="133"/>
      <c r="AL89" s="133"/>
    </row>
    <row r="90" spans="1:38" ht="15.95" hidden="1" customHeight="1" x14ac:dyDescent="0.25">
      <c r="A90" s="173"/>
      <c r="B90" s="130" t="s">
        <v>16</v>
      </c>
      <c r="C90" s="163">
        <f t="shared" ref="C90:AG90" si="84">IF(C12="PR",IF(C12="",0,1),0)</f>
        <v>0</v>
      </c>
      <c r="D90" s="163">
        <f t="shared" si="84"/>
        <v>0</v>
      </c>
      <c r="E90" s="163">
        <f t="shared" si="84"/>
        <v>0</v>
      </c>
      <c r="F90" s="163">
        <f t="shared" si="84"/>
        <v>0</v>
      </c>
      <c r="G90" s="163">
        <f t="shared" si="84"/>
        <v>0</v>
      </c>
      <c r="H90" s="163">
        <f t="shared" si="84"/>
        <v>0</v>
      </c>
      <c r="I90" s="163">
        <f t="shared" si="84"/>
        <v>0</v>
      </c>
      <c r="J90" s="163">
        <f t="shared" si="84"/>
        <v>0</v>
      </c>
      <c r="K90" s="163">
        <f t="shared" si="84"/>
        <v>0</v>
      </c>
      <c r="L90" s="163">
        <f t="shared" si="84"/>
        <v>0</v>
      </c>
      <c r="M90" s="163">
        <f t="shared" si="84"/>
        <v>0</v>
      </c>
      <c r="N90" s="163">
        <f t="shared" si="84"/>
        <v>0</v>
      </c>
      <c r="O90" s="163">
        <f t="shared" si="84"/>
        <v>0</v>
      </c>
      <c r="P90" s="163">
        <f t="shared" si="84"/>
        <v>0</v>
      </c>
      <c r="Q90" s="163">
        <f t="shared" si="84"/>
        <v>0</v>
      </c>
      <c r="R90" s="163">
        <f t="shared" si="84"/>
        <v>0</v>
      </c>
      <c r="S90" s="163">
        <f t="shared" si="84"/>
        <v>0</v>
      </c>
      <c r="T90" s="163">
        <f t="shared" si="84"/>
        <v>0</v>
      </c>
      <c r="U90" s="163">
        <f t="shared" si="84"/>
        <v>0</v>
      </c>
      <c r="V90" s="163">
        <f t="shared" si="84"/>
        <v>0</v>
      </c>
      <c r="W90" s="163">
        <f t="shared" si="84"/>
        <v>0</v>
      </c>
      <c r="X90" s="163">
        <f t="shared" si="84"/>
        <v>0</v>
      </c>
      <c r="Y90" s="163">
        <f t="shared" si="84"/>
        <v>0</v>
      </c>
      <c r="Z90" s="163">
        <f t="shared" si="84"/>
        <v>0</v>
      </c>
      <c r="AA90" s="163">
        <f t="shared" si="84"/>
        <v>0</v>
      </c>
      <c r="AB90" s="163">
        <f t="shared" si="84"/>
        <v>0</v>
      </c>
      <c r="AC90" s="163">
        <f t="shared" si="84"/>
        <v>0</v>
      </c>
      <c r="AD90" s="163">
        <f t="shared" si="84"/>
        <v>0</v>
      </c>
      <c r="AE90" s="163">
        <f t="shared" si="84"/>
        <v>0</v>
      </c>
      <c r="AF90" s="163">
        <f t="shared" si="84"/>
        <v>0</v>
      </c>
      <c r="AG90" s="163">
        <f t="shared" si="84"/>
        <v>0</v>
      </c>
      <c r="AH90" s="229">
        <f>SUM(C90:AG90)</f>
        <v>0</v>
      </c>
      <c r="AI90" s="229"/>
      <c r="AJ90" s="174" t="s">
        <v>69</v>
      </c>
      <c r="AK90" s="133"/>
      <c r="AL90" s="133"/>
    </row>
    <row r="91" spans="1:38" ht="15.95" hidden="1" customHeight="1" x14ac:dyDescent="0.25">
      <c r="A91" s="164" t="s">
        <v>77</v>
      </c>
      <c r="B91" s="165" t="s">
        <v>29</v>
      </c>
      <c r="C91" s="141" t="str">
        <f t="shared" ref="C91:AG91" si="85">IF(C13=$R32,$S32*24,IF(C13=$R33,$S33*24,IF(C13=$R34,$S34*24,IF(C13=$R35,$S35*24,IF(C13=$R36,$S36*24,IF(C13=$R37,$S37*24,IF(C13=$R38,$S38*24,IF(C13=$R39,$S39*24,IF(C13=$R40,$S40*24,"")))))))))</f>
        <v/>
      </c>
      <c r="D91" s="141">
        <f t="shared" si="85"/>
        <v>6</v>
      </c>
      <c r="E91" s="141">
        <f t="shared" si="85"/>
        <v>6</v>
      </c>
      <c r="F91" s="141">
        <f t="shared" si="85"/>
        <v>18</v>
      </c>
      <c r="G91" s="141">
        <f t="shared" si="85"/>
        <v>18</v>
      </c>
      <c r="H91" s="141">
        <f t="shared" si="85"/>
        <v>18</v>
      </c>
      <c r="I91" s="141" t="str">
        <f t="shared" si="85"/>
        <v/>
      </c>
      <c r="J91" s="141">
        <f t="shared" si="85"/>
        <v>6</v>
      </c>
      <c r="K91" s="141">
        <f t="shared" si="85"/>
        <v>18</v>
      </c>
      <c r="L91" s="141" t="str">
        <f t="shared" si="85"/>
        <v/>
      </c>
      <c r="M91" s="141">
        <f t="shared" si="85"/>
        <v>6</v>
      </c>
      <c r="N91" s="141">
        <f t="shared" si="85"/>
        <v>6</v>
      </c>
      <c r="O91" s="141">
        <f t="shared" si="85"/>
        <v>6</v>
      </c>
      <c r="P91" s="141" t="str">
        <f t="shared" si="85"/>
        <v/>
      </c>
      <c r="Q91" s="141" t="str">
        <f t="shared" si="85"/>
        <v/>
      </c>
      <c r="R91" s="141">
        <f t="shared" si="85"/>
        <v>6</v>
      </c>
      <c r="S91" s="141">
        <f t="shared" si="85"/>
        <v>6</v>
      </c>
      <c r="T91" s="141" t="str">
        <f t="shared" si="85"/>
        <v/>
      </c>
      <c r="U91" s="141" t="str">
        <f t="shared" si="85"/>
        <v/>
      </c>
      <c r="V91" s="141" t="str">
        <f t="shared" si="85"/>
        <v/>
      </c>
      <c r="W91" s="141">
        <f t="shared" si="85"/>
        <v>6</v>
      </c>
      <c r="X91" s="141">
        <f t="shared" si="85"/>
        <v>6</v>
      </c>
      <c r="Y91" s="141" t="str">
        <f t="shared" si="85"/>
        <v/>
      </c>
      <c r="Z91" s="141" t="str">
        <f t="shared" si="85"/>
        <v/>
      </c>
      <c r="AA91" s="141">
        <f t="shared" si="85"/>
        <v>6</v>
      </c>
      <c r="AB91" s="141">
        <f t="shared" si="85"/>
        <v>6</v>
      </c>
      <c r="AC91" s="141">
        <f t="shared" si="85"/>
        <v>6</v>
      </c>
      <c r="AD91" s="141" t="str">
        <f t="shared" si="85"/>
        <v/>
      </c>
      <c r="AE91" s="141" t="str">
        <f t="shared" si="85"/>
        <v/>
      </c>
      <c r="AF91" s="141">
        <f t="shared" si="85"/>
        <v>6</v>
      </c>
      <c r="AG91" s="141" t="str">
        <f t="shared" si="85"/>
        <v/>
      </c>
      <c r="AH91" s="154" t="s">
        <v>12</v>
      </c>
      <c r="AI91" s="133"/>
      <c r="AJ91" s="170"/>
      <c r="AK91" s="133"/>
      <c r="AL91" s="133"/>
    </row>
    <row r="92" spans="1:38" ht="15.95" hidden="1" customHeight="1" x14ac:dyDescent="0.25">
      <c r="A92" s="166" t="s">
        <v>78</v>
      </c>
      <c r="B92" s="167" t="s">
        <v>30</v>
      </c>
      <c r="C92" s="141" t="str">
        <f t="shared" ref="C92:AG92" si="86">IF(C13=$R32,$V32*24,IF(C13=$R33,$V33*24,IF(C13=$R34,$V34*24,IF(C13=$R35,$V35*24,IF(C13=$R36,$V36*24,IF(C13=$R37,$V37*24,IF(C13=$R38,$V38*24,IF(C13=$R39,$V39*24,IF(C13=$R40,$V40*24,"")))))))))</f>
        <v/>
      </c>
      <c r="D92" s="141">
        <f t="shared" si="86"/>
        <v>18</v>
      </c>
      <c r="E92" s="141">
        <f t="shared" si="86"/>
        <v>18</v>
      </c>
      <c r="F92" s="141">
        <f t="shared" si="86"/>
        <v>6</v>
      </c>
      <c r="G92" s="141">
        <f t="shared" si="86"/>
        <v>6</v>
      </c>
      <c r="H92" s="141">
        <f t="shared" si="86"/>
        <v>6</v>
      </c>
      <c r="I92" s="141" t="str">
        <f t="shared" si="86"/>
        <v/>
      </c>
      <c r="J92" s="141">
        <f t="shared" si="86"/>
        <v>18</v>
      </c>
      <c r="K92" s="141">
        <f t="shared" si="86"/>
        <v>6</v>
      </c>
      <c r="L92" s="141" t="str">
        <f t="shared" si="86"/>
        <v/>
      </c>
      <c r="M92" s="141">
        <f t="shared" si="86"/>
        <v>18</v>
      </c>
      <c r="N92" s="141">
        <f t="shared" si="86"/>
        <v>18</v>
      </c>
      <c r="O92" s="141">
        <f t="shared" si="86"/>
        <v>18</v>
      </c>
      <c r="P92" s="141" t="str">
        <f t="shared" si="86"/>
        <v/>
      </c>
      <c r="Q92" s="141" t="str">
        <f t="shared" si="86"/>
        <v/>
      </c>
      <c r="R92" s="141">
        <f t="shared" si="86"/>
        <v>18</v>
      </c>
      <c r="S92" s="141">
        <f t="shared" si="86"/>
        <v>18</v>
      </c>
      <c r="T92" s="141" t="str">
        <f t="shared" si="86"/>
        <v/>
      </c>
      <c r="U92" s="141" t="str">
        <f t="shared" si="86"/>
        <v/>
      </c>
      <c r="V92" s="141" t="str">
        <f t="shared" si="86"/>
        <v/>
      </c>
      <c r="W92" s="141">
        <f t="shared" si="86"/>
        <v>18</v>
      </c>
      <c r="X92" s="141">
        <f t="shared" si="86"/>
        <v>18</v>
      </c>
      <c r="Y92" s="141" t="str">
        <f t="shared" si="86"/>
        <v/>
      </c>
      <c r="Z92" s="141" t="str">
        <f t="shared" si="86"/>
        <v/>
      </c>
      <c r="AA92" s="141">
        <f t="shared" si="86"/>
        <v>18</v>
      </c>
      <c r="AB92" s="141">
        <f t="shared" si="86"/>
        <v>18</v>
      </c>
      <c r="AC92" s="141">
        <f t="shared" si="86"/>
        <v>18</v>
      </c>
      <c r="AD92" s="141" t="str">
        <f t="shared" si="86"/>
        <v/>
      </c>
      <c r="AE92" s="141" t="str">
        <f t="shared" si="86"/>
        <v/>
      </c>
      <c r="AF92" s="141">
        <f t="shared" si="86"/>
        <v>18</v>
      </c>
      <c r="AG92" s="141" t="str">
        <f t="shared" si="86"/>
        <v/>
      </c>
      <c r="AH92" s="154" t="s">
        <v>12</v>
      </c>
      <c r="AI92" s="133"/>
      <c r="AJ92" s="170"/>
      <c r="AK92" s="133"/>
      <c r="AL92" s="133"/>
    </row>
    <row r="93" spans="1:38" ht="15.95" hidden="1" customHeight="1" x14ac:dyDescent="0.25">
      <c r="A93" s="153"/>
      <c r="B93" s="168" t="s">
        <v>34</v>
      </c>
      <c r="C93" s="169" t="str">
        <f t="shared" ref="C93:AD93" si="87">IF(C13=$R32,$BD32*24,IF(C13=$R33,$BD33*24,IF(C13=$R34,$BD34*24,IF(C13=$R35,$BD35*24,IF(C13=$R36,$BD36*24,IF(C13=$R37,$BD37*24,IF(C13=$R38,$BD38*24,IF(C13=$R39,$BD39*24,IF(C13=$R40,$BD40*24,"")))))))))</f>
        <v/>
      </c>
      <c r="D93" s="169">
        <f t="shared" si="87"/>
        <v>0</v>
      </c>
      <c r="E93" s="169">
        <f t="shared" si="87"/>
        <v>0</v>
      </c>
      <c r="F93" s="169">
        <f t="shared" si="87"/>
        <v>8</v>
      </c>
      <c r="G93" s="169">
        <f t="shared" si="87"/>
        <v>8</v>
      </c>
      <c r="H93" s="169">
        <f t="shared" si="87"/>
        <v>8</v>
      </c>
      <c r="I93" s="169" t="str">
        <f t="shared" si="87"/>
        <v/>
      </c>
      <c r="J93" s="169">
        <f t="shared" si="87"/>
        <v>0</v>
      </c>
      <c r="K93" s="169">
        <f t="shared" si="87"/>
        <v>8</v>
      </c>
      <c r="L93" s="169" t="str">
        <f t="shared" si="87"/>
        <v/>
      </c>
      <c r="M93" s="169">
        <f t="shared" si="87"/>
        <v>0</v>
      </c>
      <c r="N93" s="169">
        <f t="shared" si="87"/>
        <v>0</v>
      </c>
      <c r="O93" s="169">
        <f t="shared" si="87"/>
        <v>0</v>
      </c>
      <c r="P93" s="169" t="str">
        <f t="shared" si="87"/>
        <v/>
      </c>
      <c r="Q93" s="169" t="str">
        <f t="shared" si="87"/>
        <v/>
      </c>
      <c r="R93" s="169">
        <f t="shared" si="87"/>
        <v>0</v>
      </c>
      <c r="S93" s="169">
        <f t="shared" si="87"/>
        <v>0</v>
      </c>
      <c r="T93" s="169" t="str">
        <f t="shared" si="87"/>
        <v/>
      </c>
      <c r="U93" s="169" t="str">
        <f t="shared" si="87"/>
        <v/>
      </c>
      <c r="V93" s="169" t="str">
        <f t="shared" si="87"/>
        <v/>
      </c>
      <c r="W93" s="169">
        <f t="shared" si="87"/>
        <v>0</v>
      </c>
      <c r="X93" s="169">
        <f t="shared" si="87"/>
        <v>0</v>
      </c>
      <c r="Y93" s="169" t="str">
        <f t="shared" si="87"/>
        <v/>
      </c>
      <c r="Z93" s="169" t="str">
        <f t="shared" si="87"/>
        <v/>
      </c>
      <c r="AA93" s="169">
        <f t="shared" si="87"/>
        <v>0</v>
      </c>
      <c r="AB93" s="169">
        <f t="shared" si="87"/>
        <v>0</v>
      </c>
      <c r="AC93" s="169">
        <f t="shared" si="87"/>
        <v>0</v>
      </c>
      <c r="AD93" s="169" t="str">
        <f t="shared" si="87"/>
        <v/>
      </c>
      <c r="AE93" s="169" t="str">
        <f>IF(AE13=$R32,$BD32*24,IF(AE13=$R33,$BD33*24,IF(AE13=$R34,$BD34*24,IF(AE13=$R35,$BD35*24,IF(AE13=$R36,$BD36*24,IF(AE13=$R37,$BD37*24,IF(AE13=$R38,$BD38*24,IF(AE13=$R39,$BD39*24,IF(AE13=$R40,$BD40*24,"")))))))))</f>
        <v/>
      </c>
      <c r="AF93" s="169">
        <f>IF(AF13=$R32,$BD32*24,IF(AF13=$R33,$BD33*24,IF(AF13=$R34,$BD34*24,IF(AF13=$R35,$BD35*24,IF(AF13=$R36,$BD36*24,IF(AF13=$R37,$BD37*24,IF(AF13=$R38,$BD38*24,IF(AF13=$R39,$BD39*24,IF(AF13=$R40,$BD40*24,"")))))))))</f>
        <v>0</v>
      </c>
      <c r="AG93" s="169" t="str">
        <f>IF(AG13=$R32,$BD32*24,IF(AG13=$R33,$BD33*24,IF(AG13=$R34,$BD34*24,IF(AG13=$R35,$BD35*24,IF(AG13=$R36,$BD36*24,IF(AG13=$R37,$BD37*24,IF(AG13=$R38,$BD38*24,IF(AG13=$R39,$BD39*24,IF(AG13=$R40,$BD40*24,"")))))))))</f>
        <v/>
      </c>
      <c r="AH93" s="148">
        <f>SUM(C93:AG93)</f>
        <v>32</v>
      </c>
      <c r="AI93" s="133"/>
      <c r="AJ93" s="170"/>
      <c r="AK93" s="133"/>
      <c r="AL93" s="133"/>
    </row>
    <row r="94" spans="1:38" ht="15.95" hidden="1" customHeight="1" x14ac:dyDescent="0.25">
      <c r="A94" s="153"/>
      <c r="B94" s="167" t="s">
        <v>59</v>
      </c>
      <c r="C94" s="141">
        <f t="shared" ref="C94:AG94" si="88">IF(C13="V",$C36,IF(C13="PR",$C38,0))</f>
        <v>0</v>
      </c>
      <c r="D94" s="141">
        <f t="shared" si="88"/>
        <v>0</v>
      </c>
      <c r="E94" s="141">
        <f t="shared" si="88"/>
        <v>0</v>
      </c>
      <c r="F94" s="141">
        <f t="shared" si="88"/>
        <v>0</v>
      </c>
      <c r="G94" s="141">
        <f t="shared" si="88"/>
        <v>0</v>
      </c>
      <c r="H94" s="141">
        <f t="shared" si="88"/>
        <v>0</v>
      </c>
      <c r="I94" s="141">
        <f t="shared" si="88"/>
        <v>0</v>
      </c>
      <c r="J94" s="141">
        <f t="shared" si="88"/>
        <v>0</v>
      </c>
      <c r="K94" s="141">
        <f t="shared" si="88"/>
        <v>0</v>
      </c>
      <c r="L94" s="141">
        <f t="shared" si="88"/>
        <v>0</v>
      </c>
      <c r="M94" s="141">
        <f t="shared" si="88"/>
        <v>0</v>
      </c>
      <c r="N94" s="141">
        <f t="shared" si="88"/>
        <v>0</v>
      </c>
      <c r="O94" s="141">
        <f t="shared" si="88"/>
        <v>0</v>
      </c>
      <c r="P94" s="141">
        <f t="shared" si="88"/>
        <v>0</v>
      </c>
      <c r="Q94" s="141">
        <f t="shared" si="88"/>
        <v>0</v>
      </c>
      <c r="R94" s="141">
        <f t="shared" si="88"/>
        <v>0</v>
      </c>
      <c r="S94" s="141">
        <f t="shared" si="88"/>
        <v>0</v>
      </c>
      <c r="T94" s="141">
        <f t="shared" si="88"/>
        <v>0</v>
      </c>
      <c r="U94" s="141">
        <f t="shared" si="88"/>
        <v>0</v>
      </c>
      <c r="V94" s="141">
        <f t="shared" si="88"/>
        <v>0</v>
      </c>
      <c r="W94" s="141">
        <f t="shared" si="88"/>
        <v>0</v>
      </c>
      <c r="X94" s="141">
        <f t="shared" si="88"/>
        <v>0</v>
      </c>
      <c r="Y94" s="141">
        <f t="shared" si="88"/>
        <v>0</v>
      </c>
      <c r="Z94" s="141">
        <f t="shared" si="88"/>
        <v>0</v>
      </c>
      <c r="AA94" s="141">
        <f t="shared" si="88"/>
        <v>0</v>
      </c>
      <c r="AB94" s="141">
        <f t="shared" si="88"/>
        <v>0</v>
      </c>
      <c r="AC94" s="141">
        <f t="shared" si="88"/>
        <v>0</v>
      </c>
      <c r="AD94" s="141">
        <f t="shared" si="88"/>
        <v>0</v>
      </c>
      <c r="AE94" s="141">
        <f t="shared" si="88"/>
        <v>0</v>
      </c>
      <c r="AF94" s="141">
        <f t="shared" si="88"/>
        <v>0</v>
      </c>
      <c r="AG94" s="141">
        <f t="shared" si="88"/>
        <v>0</v>
      </c>
      <c r="AH94" s="231">
        <f>SUM(C94:AG94)</f>
        <v>0</v>
      </c>
      <c r="AI94" s="231"/>
      <c r="AJ94" s="170" t="s">
        <v>12</v>
      </c>
      <c r="AK94" s="133"/>
      <c r="AL94" s="133"/>
    </row>
    <row r="95" spans="1:38" ht="15.95" hidden="1" customHeight="1" x14ac:dyDescent="0.25">
      <c r="A95" s="150" t="s">
        <v>60</v>
      </c>
      <c r="B95" s="167" t="s">
        <v>61</v>
      </c>
      <c r="C95" s="151">
        <f t="shared" ref="C95:AD95" si="89">IF(C13=$R32,$BC32,IF(C13=$R33,$BC33,IF(C13=$R34,$BC34,IF(C13=$R35,$BC35,IF(C13=$R36,$BC36,IF(C13=$R37,$BC37,IF(C13=$R38,$BC38,IF(C13=$R39,$BC39,IF(C13=$R40,$BC40,0)))))))))</f>
        <v>0</v>
      </c>
      <c r="D95" s="151">
        <f t="shared" si="89"/>
        <v>12</v>
      </c>
      <c r="E95" s="151">
        <f t="shared" si="89"/>
        <v>12</v>
      </c>
      <c r="F95" s="151">
        <f t="shared" si="89"/>
        <v>12</v>
      </c>
      <c r="G95" s="151">
        <f t="shared" si="89"/>
        <v>12</v>
      </c>
      <c r="H95" s="151">
        <f t="shared" si="89"/>
        <v>12</v>
      </c>
      <c r="I95" s="151">
        <f t="shared" si="89"/>
        <v>0</v>
      </c>
      <c r="J95" s="151">
        <f t="shared" si="89"/>
        <v>12</v>
      </c>
      <c r="K95" s="151">
        <f t="shared" si="89"/>
        <v>12</v>
      </c>
      <c r="L95" s="151">
        <f t="shared" si="89"/>
        <v>0</v>
      </c>
      <c r="M95" s="151">
        <f t="shared" si="89"/>
        <v>12</v>
      </c>
      <c r="N95" s="151">
        <f t="shared" si="89"/>
        <v>12</v>
      </c>
      <c r="O95" s="151">
        <f t="shared" si="89"/>
        <v>12</v>
      </c>
      <c r="P95" s="151">
        <f t="shared" si="89"/>
        <v>0</v>
      </c>
      <c r="Q95" s="151">
        <f t="shared" si="89"/>
        <v>0</v>
      </c>
      <c r="R95" s="151">
        <f t="shared" si="89"/>
        <v>12</v>
      </c>
      <c r="S95" s="151">
        <f t="shared" si="89"/>
        <v>12</v>
      </c>
      <c r="T95" s="151">
        <f t="shared" si="89"/>
        <v>0</v>
      </c>
      <c r="U95" s="151">
        <f t="shared" si="89"/>
        <v>0</v>
      </c>
      <c r="V95" s="151">
        <f t="shared" si="89"/>
        <v>0</v>
      </c>
      <c r="W95" s="151">
        <f t="shared" si="89"/>
        <v>12</v>
      </c>
      <c r="X95" s="151">
        <f t="shared" si="89"/>
        <v>12</v>
      </c>
      <c r="Y95" s="151">
        <f t="shared" si="89"/>
        <v>0</v>
      </c>
      <c r="Z95" s="151">
        <f t="shared" si="89"/>
        <v>0</v>
      </c>
      <c r="AA95" s="151">
        <f t="shared" si="89"/>
        <v>12</v>
      </c>
      <c r="AB95" s="151">
        <f t="shared" si="89"/>
        <v>12</v>
      </c>
      <c r="AC95" s="151">
        <f t="shared" si="89"/>
        <v>12</v>
      </c>
      <c r="AD95" s="151">
        <f t="shared" si="89"/>
        <v>0</v>
      </c>
      <c r="AE95" s="151">
        <f>IF(AE13=$R32,$BC32,IF(AE13=$R33,$BC33,IF(AE13=$R34,$BC34,IF(AE13=$R35,$BC35,IF(AE13=$R36,$BC36,IF(AE13=$R37,$BC37,IF(AE13=$R38,$BC38,IF(AE13=$R39,$BC39,IF(AE13=$R40,$BC40,0)))))))))</f>
        <v>0</v>
      </c>
      <c r="AF95" s="151">
        <f>IF(AF13=$R32,$BC32,IF(AF13=$R33,$BC33,IF(AF13=$R34,$BC34,IF(AF13=$R35,$BC35,IF(AF13=$R36,$BC36,IF(AF13=$R37,$BC37,IF(AF13=$R38,$BC38,IF(AF13=$R39,$BC39,IF(AF13=$R40,$BC40,0)))))))))</f>
        <v>12</v>
      </c>
      <c r="AG95" s="151">
        <f>IF(AG13=$R32,$BC32,IF(AG13=$R33,$BC33,IF(AG13=$R34,$BC34,IF(AG13=$R35,$BC35,IF(AG13=$R36,$BC36,IF(AG13=$R37,$BC37,IF(AG13=$R38,$BC38,IF(AG13=$R39,$BC39,IF(AG13=$R40,$BC40,0)))))))))</f>
        <v>0</v>
      </c>
      <c r="AH95" s="226">
        <f>SUM(C95:AG95)</f>
        <v>216</v>
      </c>
      <c r="AI95" s="226"/>
      <c r="AJ95" s="175" t="s">
        <v>62</v>
      </c>
      <c r="AK95" s="133" t="s">
        <v>12</v>
      </c>
      <c r="AL95" s="133"/>
    </row>
    <row r="96" spans="1:38" ht="15.95" hidden="1" customHeight="1" x14ac:dyDescent="0.25">
      <c r="A96" s="153" t="s">
        <v>48</v>
      </c>
      <c r="B96" s="149" t="s">
        <v>63</v>
      </c>
      <c r="C96" s="141" t="b">
        <f t="shared" ref="C96:AG96" si="90">IF(C46=1,IF(C91&lt;C92,C95,0))</f>
        <v>0</v>
      </c>
      <c r="D96" s="141" t="b">
        <f t="shared" si="90"/>
        <v>0</v>
      </c>
      <c r="E96" s="141" t="b">
        <f t="shared" si="90"/>
        <v>0</v>
      </c>
      <c r="F96" s="141" t="b">
        <f t="shared" si="90"/>
        <v>0</v>
      </c>
      <c r="G96" s="141">
        <f t="shared" si="90"/>
        <v>0</v>
      </c>
      <c r="H96" s="141">
        <f t="shared" si="90"/>
        <v>0</v>
      </c>
      <c r="I96" s="141" t="b">
        <f t="shared" si="90"/>
        <v>0</v>
      </c>
      <c r="J96" s="141" t="b">
        <f t="shared" si="90"/>
        <v>0</v>
      </c>
      <c r="K96" s="141" t="b">
        <f t="shared" si="90"/>
        <v>0</v>
      </c>
      <c r="L96" s="141" t="b">
        <f t="shared" si="90"/>
        <v>0</v>
      </c>
      <c r="M96" s="141" t="b">
        <f t="shared" si="90"/>
        <v>0</v>
      </c>
      <c r="N96" s="141">
        <f t="shared" si="90"/>
        <v>12</v>
      </c>
      <c r="O96" s="141">
        <f t="shared" si="90"/>
        <v>12</v>
      </c>
      <c r="P96" s="141" t="b">
        <f t="shared" si="90"/>
        <v>0</v>
      </c>
      <c r="Q96" s="141" t="b">
        <f t="shared" si="90"/>
        <v>0</v>
      </c>
      <c r="R96" s="141" t="b">
        <f t="shared" si="90"/>
        <v>0</v>
      </c>
      <c r="S96" s="141" t="b">
        <f t="shared" si="90"/>
        <v>0</v>
      </c>
      <c r="T96" s="141" t="b">
        <f t="shared" si="90"/>
        <v>0</v>
      </c>
      <c r="U96" s="141">
        <f t="shared" si="90"/>
        <v>0</v>
      </c>
      <c r="V96" s="141">
        <f t="shared" si="90"/>
        <v>0</v>
      </c>
      <c r="W96" s="141" t="b">
        <f t="shared" si="90"/>
        <v>0</v>
      </c>
      <c r="X96" s="141" t="b">
        <f t="shared" si="90"/>
        <v>0</v>
      </c>
      <c r="Y96" s="141" t="b">
        <f t="shared" si="90"/>
        <v>0</v>
      </c>
      <c r="Z96" s="141" t="b">
        <f t="shared" si="90"/>
        <v>0</v>
      </c>
      <c r="AA96" s="141" t="b">
        <f t="shared" si="90"/>
        <v>0</v>
      </c>
      <c r="AB96" s="141">
        <f t="shared" si="90"/>
        <v>12</v>
      </c>
      <c r="AC96" s="141">
        <f t="shared" si="90"/>
        <v>12</v>
      </c>
      <c r="AD96" s="141" t="b">
        <f t="shared" si="90"/>
        <v>0</v>
      </c>
      <c r="AE96" s="141" t="b">
        <f t="shared" si="90"/>
        <v>0</v>
      </c>
      <c r="AF96" s="141" t="b">
        <f t="shared" si="90"/>
        <v>0</v>
      </c>
      <c r="AG96" s="141" t="b">
        <f t="shared" si="90"/>
        <v>0</v>
      </c>
      <c r="AH96" s="154" t="s">
        <v>12</v>
      </c>
      <c r="AI96" s="133"/>
      <c r="AJ96" s="170"/>
      <c r="AK96" s="133"/>
      <c r="AL96" s="133"/>
    </row>
    <row r="97" spans="1:57" ht="15.95" hidden="1" customHeight="1" x14ac:dyDescent="0.25">
      <c r="A97" s="176"/>
      <c r="B97" s="149" t="s">
        <v>64</v>
      </c>
      <c r="C97" s="141">
        <f t="shared" ref="C97:AG97" si="91">IF(C46=1,IF(C91&gt;C92,24-C91,0),0)</f>
        <v>0</v>
      </c>
      <c r="D97" s="141">
        <f t="shared" si="91"/>
        <v>0</v>
      </c>
      <c r="E97" s="141">
        <f t="shared" si="91"/>
        <v>0</v>
      </c>
      <c r="F97" s="141">
        <f t="shared" si="91"/>
        <v>0</v>
      </c>
      <c r="G97" s="141">
        <f t="shared" si="91"/>
        <v>6</v>
      </c>
      <c r="H97" s="141">
        <f t="shared" si="91"/>
        <v>6</v>
      </c>
      <c r="I97" s="141">
        <f t="shared" si="91"/>
        <v>0</v>
      </c>
      <c r="J97" s="141">
        <f t="shared" si="91"/>
        <v>0</v>
      </c>
      <c r="K97" s="141">
        <f t="shared" si="91"/>
        <v>0</v>
      </c>
      <c r="L97" s="141">
        <f t="shared" si="91"/>
        <v>0</v>
      </c>
      <c r="M97" s="141">
        <f t="shared" si="91"/>
        <v>0</v>
      </c>
      <c r="N97" s="141">
        <f t="shared" si="91"/>
        <v>0</v>
      </c>
      <c r="O97" s="141">
        <f t="shared" si="91"/>
        <v>0</v>
      </c>
      <c r="P97" s="141">
        <f t="shared" si="91"/>
        <v>0</v>
      </c>
      <c r="Q97" s="141">
        <f t="shared" si="91"/>
        <v>0</v>
      </c>
      <c r="R97" s="141">
        <f t="shared" si="91"/>
        <v>0</v>
      </c>
      <c r="S97" s="141">
        <f t="shared" si="91"/>
        <v>0</v>
      </c>
      <c r="T97" s="141">
        <f t="shared" si="91"/>
        <v>0</v>
      </c>
      <c r="U97" s="141">
        <f t="shared" si="91"/>
        <v>0</v>
      </c>
      <c r="V97" s="141">
        <f t="shared" si="91"/>
        <v>0</v>
      </c>
      <c r="W97" s="141">
        <f t="shared" si="91"/>
        <v>0</v>
      </c>
      <c r="X97" s="141">
        <f t="shared" si="91"/>
        <v>0</v>
      </c>
      <c r="Y97" s="141">
        <f t="shared" si="91"/>
        <v>0</v>
      </c>
      <c r="Z97" s="141">
        <f t="shared" si="91"/>
        <v>0</v>
      </c>
      <c r="AA97" s="141">
        <f t="shared" si="91"/>
        <v>0</v>
      </c>
      <c r="AB97" s="141">
        <f t="shared" si="91"/>
        <v>0</v>
      </c>
      <c r="AC97" s="141">
        <f t="shared" si="91"/>
        <v>0</v>
      </c>
      <c r="AD97" s="141">
        <f t="shared" si="91"/>
        <v>0</v>
      </c>
      <c r="AE97" s="141">
        <f t="shared" si="91"/>
        <v>0</v>
      </c>
      <c r="AF97" s="141">
        <f t="shared" si="91"/>
        <v>0</v>
      </c>
      <c r="AG97" s="141">
        <f t="shared" si="91"/>
        <v>0</v>
      </c>
      <c r="AH97" s="154" t="s">
        <v>12</v>
      </c>
      <c r="AI97" s="133"/>
      <c r="AJ97" s="170"/>
      <c r="AK97" s="133"/>
      <c r="AL97" s="133"/>
    </row>
    <row r="98" spans="1:57" ht="15.95" hidden="1" customHeight="1" x14ac:dyDescent="0.25">
      <c r="A98" s="176"/>
      <c r="B98" s="149" t="s">
        <v>65</v>
      </c>
      <c r="C98" s="141">
        <f t="shared" ref="C98:AG98" si="92">IF(D46=1,IF(C91&gt;C92,C92,0),0)</f>
        <v>0</v>
      </c>
      <c r="D98" s="141">
        <f t="shared" si="92"/>
        <v>0</v>
      </c>
      <c r="E98" s="141">
        <f t="shared" si="92"/>
        <v>0</v>
      </c>
      <c r="F98" s="141">
        <f t="shared" si="92"/>
        <v>6</v>
      </c>
      <c r="G98" s="141">
        <f t="shared" si="92"/>
        <v>6</v>
      </c>
      <c r="H98" s="141">
        <f t="shared" si="92"/>
        <v>0</v>
      </c>
      <c r="I98" s="141">
        <f t="shared" si="92"/>
        <v>0</v>
      </c>
      <c r="J98" s="141">
        <f t="shared" si="92"/>
        <v>0</v>
      </c>
      <c r="K98" s="141">
        <f t="shared" si="92"/>
        <v>0</v>
      </c>
      <c r="L98" s="141">
        <f t="shared" si="92"/>
        <v>0</v>
      </c>
      <c r="M98" s="141">
        <f t="shared" si="92"/>
        <v>0</v>
      </c>
      <c r="N98" s="141">
        <f t="shared" si="92"/>
        <v>0</v>
      </c>
      <c r="O98" s="141">
        <f t="shared" si="92"/>
        <v>0</v>
      </c>
      <c r="P98" s="141">
        <f t="shared" si="92"/>
        <v>0</v>
      </c>
      <c r="Q98" s="141">
        <f t="shared" si="92"/>
        <v>0</v>
      </c>
      <c r="R98" s="141">
        <f t="shared" si="92"/>
        <v>0</v>
      </c>
      <c r="S98" s="141">
        <f t="shared" si="92"/>
        <v>0</v>
      </c>
      <c r="T98" s="141">
        <f t="shared" si="92"/>
        <v>0</v>
      </c>
      <c r="U98" s="141">
        <f t="shared" si="92"/>
        <v>0</v>
      </c>
      <c r="V98" s="141">
        <f t="shared" si="92"/>
        <v>0</v>
      </c>
      <c r="W98" s="141">
        <f t="shared" si="92"/>
        <v>0</v>
      </c>
      <c r="X98" s="141">
        <f>IF(Y46=1,IF(X91&gt;X92,X92,0),0)</f>
        <v>0</v>
      </c>
      <c r="Y98" s="141">
        <f t="shared" si="92"/>
        <v>0</v>
      </c>
      <c r="Z98" s="141">
        <f t="shared" si="92"/>
        <v>0</v>
      </c>
      <c r="AA98" s="141">
        <f t="shared" si="92"/>
        <v>0</v>
      </c>
      <c r="AB98" s="141">
        <f t="shared" si="92"/>
        <v>0</v>
      </c>
      <c r="AC98" s="141">
        <f t="shared" si="92"/>
        <v>0</v>
      </c>
      <c r="AD98" s="141">
        <f t="shared" si="92"/>
        <v>0</v>
      </c>
      <c r="AE98" s="141">
        <f t="shared" si="92"/>
        <v>0</v>
      </c>
      <c r="AF98" s="141">
        <f t="shared" si="92"/>
        <v>0</v>
      </c>
      <c r="AG98" s="141">
        <f t="shared" si="92"/>
        <v>0</v>
      </c>
      <c r="AH98" s="154" t="s">
        <v>12</v>
      </c>
      <c r="AI98" s="133"/>
      <c r="AJ98" s="170"/>
      <c r="AK98" s="133"/>
      <c r="AL98" s="133"/>
    </row>
    <row r="99" spans="1:57" ht="15.95" hidden="1" customHeight="1" x14ac:dyDescent="0.25">
      <c r="A99" s="176"/>
      <c r="B99" s="149" t="s">
        <v>67</v>
      </c>
      <c r="C99" s="178">
        <f t="shared" ref="C99:AG99" si="93">SUM(C96:C98)</f>
        <v>0</v>
      </c>
      <c r="D99" s="178">
        <f t="shared" si="93"/>
        <v>0</v>
      </c>
      <c r="E99" s="178">
        <f t="shared" si="93"/>
        <v>0</v>
      </c>
      <c r="F99" s="178">
        <f t="shared" si="93"/>
        <v>6</v>
      </c>
      <c r="G99" s="178">
        <f t="shared" si="93"/>
        <v>12</v>
      </c>
      <c r="H99" s="178">
        <f t="shared" si="93"/>
        <v>6</v>
      </c>
      <c r="I99" s="178">
        <f t="shared" si="93"/>
        <v>0</v>
      </c>
      <c r="J99" s="178">
        <f t="shared" si="93"/>
        <v>0</v>
      </c>
      <c r="K99" s="178">
        <f t="shared" si="93"/>
        <v>0</v>
      </c>
      <c r="L99" s="178">
        <f t="shared" si="93"/>
        <v>0</v>
      </c>
      <c r="M99" s="178">
        <f t="shared" si="93"/>
        <v>0</v>
      </c>
      <c r="N99" s="178">
        <f t="shared" si="93"/>
        <v>12</v>
      </c>
      <c r="O99" s="178">
        <f t="shared" si="93"/>
        <v>12</v>
      </c>
      <c r="P99" s="178">
        <f t="shared" si="93"/>
        <v>0</v>
      </c>
      <c r="Q99" s="178">
        <f t="shared" si="93"/>
        <v>0</v>
      </c>
      <c r="R99" s="178">
        <f t="shared" si="93"/>
        <v>0</v>
      </c>
      <c r="S99" s="178">
        <f t="shared" si="93"/>
        <v>0</v>
      </c>
      <c r="T99" s="178">
        <f t="shared" si="93"/>
        <v>0</v>
      </c>
      <c r="U99" s="178">
        <f t="shared" si="93"/>
        <v>0</v>
      </c>
      <c r="V99" s="178">
        <f t="shared" si="93"/>
        <v>0</v>
      </c>
      <c r="W99" s="178">
        <f t="shared" si="93"/>
        <v>0</v>
      </c>
      <c r="X99" s="178">
        <f t="shared" si="93"/>
        <v>0</v>
      </c>
      <c r="Y99" s="178">
        <f t="shared" si="93"/>
        <v>0</v>
      </c>
      <c r="Z99" s="178">
        <f t="shared" si="93"/>
        <v>0</v>
      </c>
      <c r="AA99" s="178">
        <f t="shared" si="93"/>
        <v>0</v>
      </c>
      <c r="AB99" s="178">
        <f t="shared" si="93"/>
        <v>12</v>
      </c>
      <c r="AC99" s="178">
        <f t="shared" si="93"/>
        <v>12</v>
      </c>
      <c r="AD99" s="178">
        <f t="shared" si="93"/>
        <v>0</v>
      </c>
      <c r="AE99" s="178">
        <f t="shared" si="93"/>
        <v>0</v>
      </c>
      <c r="AF99" s="178">
        <f t="shared" si="93"/>
        <v>0</v>
      </c>
      <c r="AG99" s="178">
        <f t="shared" si="93"/>
        <v>0</v>
      </c>
      <c r="AH99" s="154" t="s">
        <v>12</v>
      </c>
      <c r="AI99" s="133"/>
      <c r="AJ99" s="170"/>
      <c r="AK99" s="133"/>
      <c r="AL99" s="133"/>
    </row>
    <row r="100" spans="1:57" ht="15.95" hidden="1" customHeight="1" x14ac:dyDescent="0.25">
      <c r="A100" s="177"/>
      <c r="B100" s="160" t="s">
        <v>68</v>
      </c>
      <c r="C100" s="161">
        <f t="shared" ref="C100:AG100" si="94">IF(C13="V",IF(C13="",0,1),0)</f>
        <v>0</v>
      </c>
      <c r="D100" s="161">
        <f t="shared" si="94"/>
        <v>0</v>
      </c>
      <c r="E100" s="161">
        <f t="shared" si="94"/>
        <v>0</v>
      </c>
      <c r="F100" s="161">
        <f t="shared" si="94"/>
        <v>0</v>
      </c>
      <c r="G100" s="161">
        <f t="shared" si="94"/>
        <v>0</v>
      </c>
      <c r="H100" s="161">
        <f t="shared" si="94"/>
        <v>0</v>
      </c>
      <c r="I100" s="161">
        <f t="shared" si="94"/>
        <v>0</v>
      </c>
      <c r="J100" s="161">
        <f t="shared" si="94"/>
        <v>0</v>
      </c>
      <c r="K100" s="161">
        <f t="shared" si="94"/>
        <v>0</v>
      </c>
      <c r="L100" s="161">
        <f t="shared" si="94"/>
        <v>0</v>
      </c>
      <c r="M100" s="161">
        <f t="shared" si="94"/>
        <v>0</v>
      </c>
      <c r="N100" s="161">
        <f t="shared" si="94"/>
        <v>0</v>
      </c>
      <c r="O100" s="161">
        <f t="shared" si="94"/>
        <v>0</v>
      </c>
      <c r="P100" s="161">
        <f t="shared" si="94"/>
        <v>0</v>
      </c>
      <c r="Q100" s="161">
        <f t="shared" si="94"/>
        <v>0</v>
      </c>
      <c r="R100" s="161">
        <f t="shared" si="94"/>
        <v>0</v>
      </c>
      <c r="S100" s="161">
        <f t="shared" si="94"/>
        <v>0</v>
      </c>
      <c r="T100" s="161">
        <f t="shared" si="94"/>
        <v>0</v>
      </c>
      <c r="U100" s="161">
        <f t="shared" si="94"/>
        <v>0</v>
      </c>
      <c r="V100" s="161">
        <f t="shared" si="94"/>
        <v>0</v>
      </c>
      <c r="W100" s="161">
        <f t="shared" si="94"/>
        <v>0</v>
      </c>
      <c r="X100" s="161">
        <f t="shared" si="94"/>
        <v>0</v>
      </c>
      <c r="Y100" s="161">
        <f t="shared" si="94"/>
        <v>0</v>
      </c>
      <c r="Z100" s="161">
        <f t="shared" si="94"/>
        <v>0</v>
      </c>
      <c r="AA100" s="161">
        <f t="shared" si="94"/>
        <v>0</v>
      </c>
      <c r="AB100" s="161">
        <f t="shared" si="94"/>
        <v>0</v>
      </c>
      <c r="AC100" s="161">
        <f t="shared" si="94"/>
        <v>0</v>
      </c>
      <c r="AD100" s="161">
        <f t="shared" si="94"/>
        <v>0</v>
      </c>
      <c r="AE100" s="161">
        <f t="shared" si="94"/>
        <v>0</v>
      </c>
      <c r="AF100" s="161">
        <f t="shared" si="94"/>
        <v>0</v>
      </c>
      <c r="AG100" s="161">
        <f t="shared" si="94"/>
        <v>0</v>
      </c>
      <c r="AH100" s="154" t="s">
        <v>12</v>
      </c>
      <c r="AI100" s="133"/>
      <c r="AJ100" s="170"/>
      <c r="AK100" s="133"/>
      <c r="AL100" s="133"/>
    </row>
    <row r="101" spans="1:57" ht="15.95" hidden="1" customHeight="1" x14ac:dyDescent="0.25">
      <c r="A101" s="173"/>
      <c r="B101" s="130" t="s">
        <v>16</v>
      </c>
      <c r="C101" s="179">
        <f t="shared" ref="C101:AG101" si="95">IF(C13="PR",IF(C13="",0,1),0)</f>
        <v>0</v>
      </c>
      <c r="D101" s="179">
        <f t="shared" si="95"/>
        <v>0</v>
      </c>
      <c r="E101" s="179">
        <f t="shared" si="95"/>
        <v>0</v>
      </c>
      <c r="F101" s="179">
        <f t="shared" si="95"/>
        <v>0</v>
      </c>
      <c r="G101" s="179">
        <f t="shared" si="95"/>
        <v>0</v>
      </c>
      <c r="H101" s="179">
        <f t="shared" si="95"/>
        <v>0</v>
      </c>
      <c r="I101" s="179">
        <f t="shared" si="95"/>
        <v>0</v>
      </c>
      <c r="J101" s="179">
        <f t="shared" si="95"/>
        <v>0</v>
      </c>
      <c r="K101" s="179">
        <f t="shared" si="95"/>
        <v>0</v>
      </c>
      <c r="L101" s="179">
        <f t="shared" si="95"/>
        <v>0</v>
      </c>
      <c r="M101" s="179">
        <f t="shared" si="95"/>
        <v>0</v>
      </c>
      <c r="N101" s="179">
        <f t="shared" si="95"/>
        <v>0</v>
      </c>
      <c r="O101" s="179">
        <f t="shared" si="95"/>
        <v>0</v>
      </c>
      <c r="P101" s="179">
        <f t="shared" si="95"/>
        <v>0</v>
      </c>
      <c r="Q101" s="179">
        <f t="shared" si="95"/>
        <v>0</v>
      </c>
      <c r="R101" s="179">
        <f t="shared" si="95"/>
        <v>0</v>
      </c>
      <c r="S101" s="179">
        <f t="shared" si="95"/>
        <v>0</v>
      </c>
      <c r="T101" s="179">
        <f t="shared" si="95"/>
        <v>0</v>
      </c>
      <c r="U101" s="179">
        <f t="shared" si="95"/>
        <v>0</v>
      </c>
      <c r="V101" s="179">
        <f t="shared" si="95"/>
        <v>0</v>
      </c>
      <c r="W101" s="179">
        <f t="shared" si="95"/>
        <v>0</v>
      </c>
      <c r="X101" s="179">
        <f t="shared" si="95"/>
        <v>0</v>
      </c>
      <c r="Y101" s="179">
        <f t="shared" si="95"/>
        <v>0</v>
      </c>
      <c r="Z101" s="179">
        <f t="shared" si="95"/>
        <v>0</v>
      </c>
      <c r="AA101" s="179">
        <f t="shared" si="95"/>
        <v>0</v>
      </c>
      <c r="AB101" s="179">
        <f t="shared" si="95"/>
        <v>0</v>
      </c>
      <c r="AC101" s="179">
        <f t="shared" si="95"/>
        <v>0</v>
      </c>
      <c r="AD101" s="179">
        <f t="shared" si="95"/>
        <v>0</v>
      </c>
      <c r="AE101" s="179">
        <f t="shared" si="95"/>
        <v>0</v>
      </c>
      <c r="AF101" s="179">
        <f t="shared" si="95"/>
        <v>0</v>
      </c>
      <c r="AG101" s="179">
        <f t="shared" si="95"/>
        <v>0</v>
      </c>
      <c r="AH101" s="229">
        <f>SUM(C101:AG101)</f>
        <v>0</v>
      </c>
      <c r="AI101" s="229"/>
      <c r="AJ101" s="174" t="s">
        <v>69</v>
      </c>
      <c r="AK101" s="133"/>
      <c r="AL101" s="133"/>
    </row>
    <row r="102" spans="1:57" ht="15.95" hidden="1" customHeight="1" x14ac:dyDescent="0.25">
      <c r="A102" s="164" t="s">
        <v>79</v>
      </c>
      <c r="B102" s="165" t="s">
        <v>29</v>
      </c>
      <c r="C102" s="141" t="str">
        <f t="shared" ref="C102:AG102" si="96">IF(C14=$R32,$S32*24,IF(C14=$R33,$S33*24,IF(C14=$R34,$S34*24,IF(C14=$R35,$S35*24,IF(C14=$R36,$S36*24,IF(C14=$R37,$S37*24,IF(C14=$R38,$S38*24,IF(C14=$R39,$S39*24,IF(C14=$R40,$S40*24,"")))))))))</f>
        <v/>
      </c>
      <c r="D102" s="141" t="str">
        <f t="shared" si="96"/>
        <v/>
      </c>
      <c r="E102" s="141" t="str">
        <f t="shared" si="96"/>
        <v/>
      </c>
      <c r="F102" s="141" t="str">
        <f t="shared" si="96"/>
        <v/>
      </c>
      <c r="G102" s="141" t="str">
        <f t="shared" si="96"/>
        <v/>
      </c>
      <c r="H102" s="141" t="str">
        <f t="shared" si="96"/>
        <v/>
      </c>
      <c r="I102" s="141" t="str">
        <f t="shared" si="96"/>
        <v/>
      </c>
      <c r="J102" s="141" t="str">
        <f t="shared" si="96"/>
        <v/>
      </c>
      <c r="K102" s="141" t="str">
        <f t="shared" si="96"/>
        <v/>
      </c>
      <c r="L102" s="141" t="str">
        <f t="shared" si="96"/>
        <v/>
      </c>
      <c r="M102" s="141" t="str">
        <f t="shared" si="96"/>
        <v/>
      </c>
      <c r="N102" s="141" t="str">
        <f t="shared" si="96"/>
        <v/>
      </c>
      <c r="O102" s="141" t="str">
        <f t="shared" si="96"/>
        <v/>
      </c>
      <c r="P102" s="141" t="str">
        <f t="shared" si="96"/>
        <v/>
      </c>
      <c r="Q102" s="141" t="str">
        <f t="shared" si="96"/>
        <v/>
      </c>
      <c r="R102" s="141" t="str">
        <f t="shared" si="96"/>
        <v/>
      </c>
      <c r="S102" s="141">
        <f t="shared" si="96"/>
        <v>18</v>
      </c>
      <c r="T102" s="141">
        <f t="shared" si="96"/>
        <v>18</v>
      </c>
      <c r="U102" s="141">
        <f t="shared" si="96"/>
        <v>18</v>
      </c>
      <c r="V102" s="141">
        <f t="shared" si="96"/>
        <v>18</v>
      </c>
      <c r="W102" s="141">
        <f t="shared" si="96"/>
        <v>18</v>
      </c>
      <c r="X102" s="141" t="str">
        <f t="shared" si="96"/>
        <v/>
      </c>
      <c r="Y102" s="141">
        <f t="shared" si="96"/>
        <v>18</v>
      </c>
      <c r="Z102" s="141">
        <f t="shared" si="96"/>
        <v>18</v>
      </c>
      <c r="AA102" s="141">
        <f t="shared" si="96"/>
        <v>22</v>
      </c>
      <c r="AB102" s="141">
        <f t="shared" si="96"/>
        <v>22</v>
      </c>
      <c r="AC102" s="141">
        <f t="shared" si="96"/>
        <v>22</v>
      </c>
      <c r="AD102" s="141">
        <f t="shared" si="96"/>
        <v>18</v>
      </c>
      <c r="AE102" s="141">
        <f t="shared" si="96"/>
        <v>18</v>
      </c>
      <c r="AF102" s="141" t="str">
        <f t="shared" si="96"/>
        <v/>
      </c>
      <c r="AG102" s="141">
        <f t="shared" si="96"/>
        <v>6</v>
      </c>
      <c r="AH102" s="154" t="s">
        <v>12</v>
      </c>
      <c r="AI102" s="133"/>
      <c r="AJ102" s="170"/>
      <c r="AK102" s="133"/>
      <c r="AL102" s="133"/>
    </row>
    <row r="103" spans="1:57" ht="15.95" hidden="1" customHeight="1" x14ac:dyDescent="0.25">
      <c r="A103" s="166" t="s">
        <v>80</v>
      </c>
      <c r="B103" s="167" t="s">
        <v>30</v>
      </c>
      <c r="C103" s="141" t="str">
        <f t="shared" ref="C103:AG103" si="97">IF(C14=$R32,$V32*24,IF(C14=$R33,$V33*24,IF(C14=$R34,$V34*24,IF(C14=$R35,$V35*24,IF(C14=$R36,$V36*24,IF(C14=$R37,$V37*24,IF(C14=$R38,$V38*24,IF(C14=$R39,$V39*24,IF(C14=$R40,$V40*24,"")))))))))</f>
        <v/>
      </c>
      <c r="D103" s="141" t="str">
        <f t="shared" si="97"/>
        <v/>
      </c>
      <c r="E103" s="141" t="str">
        <f t="shared" si="97"/>
        <v/>
      </c>
      <c r="F103" s="141" t="str">
        <f t="shared" si="97"/>
        <v/>
      </c>
      <c r="G103" s="141" t="str">
        <f t="shared" si="97"/>
        <v/>
      </c>
      <c r="H103" s="141" t="str">
        <f t="shared" si="97"/>
        <v/>
      </c>
      <c r="I103" s="141" t="str">
        <f t="shared" si="97"/>
        <v/>
      </c>
      <c r="J103" s="141" t="str">
        <f t="shared" si="97"/>
        <v/>
      </c>
      <c r="K103" s="141" t="str">
        <f t="shared" si="97"/>
        <v/>
      </c>
      <c r="L103" s="141" t="str">
        <f t="shared" si="97"/>
        <v/>
      </c>
      <c r="M103" s="141" t="str">
        <f t="shared" si="97"/>
        <v/>
      </c>
      <c r="N103" s="141" t="str">
        <f t="shared" si="97"/>
        <v/>
      </c>
      <c r="O103" s="141" t="str">
        <f t="shared" si="97"/>
        <v/>
      </c>
      <c r="P103" s="141" t="str">
        <f t="shared" si="97"/>
        <v/>
      </c>
      <c r="Q103" s="141" t="str">
        <f t="shared" si="97"/>
        <v/>
      </c>
      <c r="R103" s="141" t="str">
        <f t="shared" si="97"/>
        <v/>
      </c>
      <c r="S103" s="141">
        <f t="shared" si="97"/>
        <v>6</v>
      </c>
      <c r="T103" s="141">
        <f t="shared" si="97"/>
        <v>6</v>
      </c>
      <c r="U103" s="141">
        <f t="shared" si="97"/>
        <v>6</v>
      </c>
      <c r="V103" s="141">
        <f t="shared" si="97"/>
        <v>6</v>
      </c>
      <c r="W103" s="141">
        <f t="shared" si="97"/>
        <v>6</v>
      </c>
      <c r="X103" s="141" t="str">
        <f t="shared" si="97"/>
        <v/>
      </c>
      <c r="Y103" s="141">
        <f t="shared" si="97"/>
        <v>6</v>
      </c>
      <c r="Z103" s="141">
        <f t="shared" si="97"/>
        <v>6</v>
      </c>
      <c r="AA103" s="141">
        <f t="shared" si="97"/>
        <v>6</v>
      </c>
      <c r="AB103" s="141">
        <f t="shared" si="97"/>
        <v>6</v>
      </c>
      <c r="AC103" s="141">
        <f t="shared" si="97"/>
        <v>6</v>
      </c>
      <c r="AD103" s="141">
        <f t="shared" si="97"/>
        <v>6</v>
      </c>
      <c r="AE103" s="141">
        <f t="shared" si="97"/>
        <v>6</v>
      </c>
      <c r="AF103" s="141" t="str">
        <f t="shared" si="97"/>
        <v/>
      </c>
      <c r="AG103" s="141">
        <f t="shared" si="97"/>
        <v>18</v>
      </c>
      <c r="AH103" s="154" t="s">
        <v>12</v>
      </c>
      <c r="AI103" s="133"/>
      <c r="AJ103" s="170"/>
      <c r="AK103" s="133"/>
      <c r="AL103" s="133"/>
    </row>
    <row r="104" spans="1:57" ht="15.95" hidden="1" customHeight="1" x14ac:dyDescent="0.25">
      <c r="A104" s="153"/>
      <c r="B104" s="168" t="s">
        <v>34</v>
      </c>
      <c r="C104" s="169" t="str">
        <f t="shared" ref="C104:AD104" si="98">IF(C14=$R32,$BD32*24,IF(C14=$R33,$BD33*24,IF(C14=$R34,$BD34*24,IF(C14=$R35,$BD35*24,IF(C14=$R36,$BD36*24,IF(C14=$R37,$BD37*24,IF(C14=$R38,$BD38*24,IF(C14=$R39,$BD39*24,IF(C14=$R40,$BD40*24,"")))))))))</f>
        <v/>
      </c>
      <c r="D104" s="169" t="str">
        <f t="shared" si="98"/>
        <v/>
      </c>
      <c r="E104" s="169" t="str">
        <f t="shared" si="98"/>
        <v/>
      </c>
      <c r="F104" s="169" t="str">
        <f t="shared" si="98"/>
        <v/>
      </c>
      <c r="G104" s="169" t="str">
        <f t="shared" si="98"/>
        <v/>
      </c>
      <c r="H104" s="169" t="str">
        <f t="shared" si="98"/>
        <v/>
      </c>
      <c r="I104" s="169" t="str">
        <f t="shared" si="98"/>
        <v/>
      </c>
      <c r="J104" s="169" t="str">
        <f t="shared" si="98"/>
        <v/>
      </c>
      <c r="K104" s="169" t="str">
        <f t="shared" si="98"/>
        <v/>
      </c>
      <c r="L104" s="169" t="str">
        <f t="shared" si="98"/>
        <v/>
      </c>
      <c r="M104" s="169" t="str">
        <f t="shared" si="98"/>
        <v/>
      </c>
      <c r="N104" s="169" t="str">
        <f t="shared" si="98"/>
        <v/>
      </c>
      <c r="O104" s="169" t="str">
        <f t="shared" si="98"/>
        <v/>
      </c>
      <c r="P104" s="169" t="str">
        <f t="shared" si="98"/>
        <v/>
      </c>
      <c r="Q104" s="169" t="str">
        <f t="shared" si="98"/>
        <v/>
      </c>
      <c r="R104" s="169" t="str">
        <f t="shared" si="98"/>
        <v/>
      </c>
      <c r="S104" s="169">
        <f t="shared" si="98"/>
        <v>8</v>
      </c>
      <c r="T104" s="169">
        <f t="shared" si="98"/>
        <v>8</v>
      </c>
      <c r="U104" s="169">
        <f t="shared" si="98"/>
        <v>8</v>
      </c>
      <c r="V104" s="169">
        <f t="shared" si="98"/>
        <v>8</v>
      </c>
      <c r="W104" s="169">
        <f t="shared" si="98"/>
        <v>8</v>
      </c>
      <c r="X104" s="169" t="str">
        <f t="shared" si="98"/>
        <v/>
      </c>
      <c r="Y104" s="169">
        <f t="shared" si="98"/>
        <v>8</v>
      </c>
      <c r="Z104" s="169">
        <f t="shared" si="98"/>
        <v>8</v>
      </c>
      <c r="AA104" s="169">
        <f t="shared" si="98"/>
        <v>8</v>
      </c>
      <c r="AB104" s="169">
        <f t="shared" si="98"/>
        <v>8</v>
      </c>
      <c r="AC104" s="169">
        <f t="shared" si="98"/>
        <v>8</v>
      </c>
      <c r="AD104" s="169">
        <f t="shared" si="98"/>
        <v>8</v>
      </c>
      <c r="AE104" s="169">
        <f>IF(AE14=$R32,$BD32*24,IF(AE14=$R33,$BD33*24,IF(AE14=$R34,$BD34*24,IF(AE14=$R35,$BD35*24,IF(AE14=$R36,$BD36*24,IF(AE14=$R37,$BD37*24,IF(AE14=$R38,$BD38*24,IF(AE14=$R39,$BD39*24,IF(AE14=$R40,$BD40*24,"")))))))))</f>
        <v>8</v>
      </c>
      <c r="AF104" s="169" t="str">
        <f>IF(AF14=$R32,$BD32*24,IF(AF14=$R33,$BD33*24,IF(AF14=$R34,$BD34*24,IF(AF14=$R35,$BD35*24,IF(AF14=$R36,$BD36*24,IF(AF14=$R37,$BD37*24,IF(AF14=$R38,$BD38*24,IF(AF14=$R39,$BD39*24,IF(AF14=$R40,$BD40*24,"")))))))))</f>
        <v/>
      </c>
      <c r="AG104" s="169">
        <f>IF(AG14=$R32,$BD32*24,IF(AG14=$R33,$BD33*24,IF(AG14=$R34,$BD34*24,IF(AG14=$R35,$BD35*24,IF(AG14=$R36,$BD36*24,IF(AG14=$R37,$BD37*24,IF(AG14=$R38,$BD38*24,IF(AG14=$R39,$BD39*24,IF(AG14=$R40,$BD40*24,"")))))))))</f>
        <v>0</v>
      </c>
      <c r="AH104" s="148">
        <f>SUM(C104:AG104)</f>
        <v>96</v>
      </c>
      <c r="AI104" s="133"/>
      <c r="AJ104" s="170"/>
      <c r="AK104" s="133"/>
      <c r="AL104" s="133"/>
    </row>
    <row r="105" spans="1:57" ht="15.95" hidden="1" customHeight="1" x14ac:dyDescent="0.25">
      <c r="A105" s="153"/>
      <c r="B105" s="167" t="s">
        <v>59</v>
      </c>
      <c r="C105" s="141">
        <f t="shared" ref="C105:AG105" si="99">IF(C14="V",$C36,IF(C14="PR",$C38,0))</f>
        <v>5.22</v>
      </c>
      <c r="D105" s="141">
        <f t="shared" si="99"/>
        <v>5.22</v>
      </c>
      <c r="E105" s="141">
        <f t="shared" si="99"/>
        <v>5.22</v>
      </c>
      <c r="F105" s="141">
        <f t="shared" si="99"/>
        <v>5.22</v>
      </c>
      <c r="G105" s="141">
        <f t="shared" si="99"/>
        <v>5.22</v>
      </c>
      <c r="H105" s="141">
        <f t="shared" si="99"/>
        <v>5.22</v>
      </c>
      <c r="I105" s="141">
        <f t="shared" si="99"/>
        <v>5.22</v>
      </c>
      <c r="J105" s="141">
        <f t="shared" si="99"/>
        <v>5.22</v>
      </c>
      <c r="K105" s="141">
        <f t="shared" si="99"/>
        <v>5.22</v>
      </c>
      <c r="L105" s="141">
        <f t="shared" si="99"/>
        <v>5.22</v>
      </c>
      <c r="M105" s="141">
        <f t="shared" si="99"/>
        <v>5.22</v>
      </c>
      <c r="N105" s="141">
        <f t="shared" si="99"/>
        <v>5.22</v>
      </c>
      <c r="O105" s="141">
        <f t="shared" si="99"/>
        <v>5.22</v>
      </c>
      <c r="P105" s="141">
        <f t="shared" si="99"/>
        <v>5.22</v>
      </c>
      <c r="Q105" s="141">
        <f t="shared" si="99"/>
        <v>5.22</v>
      </c>
      <c r="R105" s="141">
        <f t="shared" si="99"/>
        <v>5.22</v>
      </c>
      <c r="S105" s="141">
        <f t="shared" si="99"/>
        <v>0</v>
      </c>
      <c r="T105" s="141">
        <f t="shared" si="99"/>
        <v>0</v>
      </c>
      <c r="U105" s="141">
        <f t="shared" si="99"/>
        <v>0</v>
      </c>
      <c r="V105" s="141">
        <f t="shared" si="99"/>
        <v>0</v>
      </c>
      <c r="W105" s="141">
        <f t="shared" si="99"/>
        <v>0</v>
      </c>
      <c r="X105" s="141">
        <f t="shared" si="99"/>
        <v>0</v>
      </c>
      <c r="Y105" s="141">
        <f t="shared" si="99"/>
        <v>0</v>
      </c>
      <c r="Z105" s="141">
        <f t="shared" si="99"/>
        <v>0</v>
      </c>
      <c r="AA105" s="141">
        <f t="shared" si="99"/>
        <v>0</v>
      </c>
      <c r="AB105" s="141">
        <f t="shared" si="99"/>
        <v>0</v>
      </c>
      <c r="AC105" s="141">
        <f t="shared" si="99"/>
        <v>0</v>
      </c>
      <c r="AD105" s="141">
        <f t="shared" si="99"/>
        <v>0</v>
      </c>
      <c r="AE105" s="141">
        <f t="shared" si="99"/>
        <v>0</v>
      </c>
      <c r="AF105" s="141">
        <f t="shared" si="99"/>
        <v>0</v>
      </c>
      <c r="AG105" s="141">
        <f t="shared" si="99"/>
        <v>0</v>
      </c>
      <c r="AH105" s="226">
        <f>SUM(C105:AG105)</f>
        <v>83.52</v>
      </c>
      <c r="AI105" s="226"/>
      <c r="AJ105" s="230">
        <f>SUM(AH50+AH61+AH72+AH83+AH94+AH105)</f>
        <v>167.04</v>
      </c>
      <c r="AK105" s="230"/>
      <c r="AL105" s="133" t="s">
        <v>56</v>
      </c>
      <c r="AM105" s="1" t="s">
        <v>12</v>
      </c>
    </row>
    <row r="106" spans="1:57" ht="15.95" hidden="1" customHeight="1" x14ac:dyDescent="0.25">
      <c r="A106" s="150" t="s">
        <v>60</v>
      </c>
      <c r="B106" s="167" t="s">
        <v>61</v>
      </c>
      <c r="C106" s="151">
        <f t="shared" ref="C106:AD106" si="100">IF(C14=$R32,$BC32,IF(C14=$R33,$BC33,IF(C14=$R34,$BC34,IF(C14=$R35,$BC35,IF(C14=$R36,$BC36,IF(C14=$R37,$BC37,IF(C14=$R38,$BC38,IF(C14=$R39,$BC39,IF(C14=$R40,$BC40,0)))))))))</f>
        <v>0</v>
      </c>
      <c r="D106" s="151">
        <f t="shared" si="100"/>
        <v>0</v>
      </c>
      <c r="E106" s="151">
        <f t="shared" si="100"/>
        <v>0</v>
      </c>
      <c r="F106" s="151">
        <f t="shared" si="100"/>
        <v>0</v>
      </c>
      <c r="G106" s="151">
        <f t="shared" si="100"/>
        <v>0</v>
      </c>
      <c r="H106" s="151">
        <f t="shared" si="100"/>
        <v>0</v>
      </c>
      <c r="I106" s="151">
        <f t="shared" si="100"/>
        <v>0</v>
      </c>
      <c r="J106" s="151">
        <f t="shared" si="100"/>
        <v>0</v>
      </c>
      <c r="K106" s="151">
        <f t="shared" si="100"/>
        <v>0</v>
      </c>
      <c r="L106" s="151">
        <f t="shared" si="100"/>
        <v>0</v>
      </c>
      <c r="M106" s="151">
        <f t="shared" si="100"/>
        <v>0</v>
      </c>
      <c r="N106" s="151">
        <f t="shared" si="100"/>
        <v>0</v>
      </c>
      <c r="O106" s="151">
        <f t="shared" si="100"/>
        <v>0</v>
      </c>
      <c r="P106" s="151">
        <f t="shared" si="100"/>
        <v>0</v>
      </c>
      <c r="Q106" s="151">
        <f t="shared" si="100"/>
        <v>0</v>
      </c>
      <c r="R106" s="151">
        <f t="shared" si="100"/>
        <v>0</v>
      </c>
      <c r="S106" s="151">
        <f t="shared" si="100"/>
        <v>12</v>
      </c>
      <c r="T106" s="151">
        <f t="shared" si="100"/>
        <v>12</v>
      </c>
      <c r="U106" s="151">
        <f t="shared" si="100"/>
        <v>12</v>
      </c>
      <c r="V106" s="151">
        <f t="shared" si="100"/>
        <v>12</v>
      </c>
      <c r="W106" s="151">
        <f t="shared" si="100"/>
        <v>12</v>
      </c>
      <c r="X106" s="151">
        <f t="shared" si="100"/>
        <v>0</v>
      </c>
      <c r="Y106" s="151">
        <f t="shared" si="100"/>
        <v>12</v>
      </c>
      <c r="Z106" s="151">
        <f t="shared" si="100"/>
        <v>12</v>
      </c>
      <c r="AA106" s="151">
        <f t="shared" si="100"/>
        <v>7.9999999999999716</v>
      </c>
      <c r="AB106" s="151">
        <f t="shared" si="100"/>
        <v>7.9999999999999716</v>
      </c>
      <c r="AC106" s="151">
        <f t="shared" si="100"/>
        <v>7.9999999999999716</v>
      </c>
      <c r="AD106" s="151">
        <f t="shared" si="100"/>
        <v>12</v>
      </c>
      <c r="AE106" s="151">
        <f>IF(AE14=$R32,$BC32,IF(AE14=$R33,$BC33,IF(AE14=$R34,$BC34,IF(AE14=$R35,$BC35,IF(AE14=$R36,$BC36,IF(AE14=$R37,$BC37,IF(AE14=$R38,$BC38,IF(AE14=$R39,$BC39,IF(AE14=$R40,$BC40,0)))))))))</f>
        <v>12</v>
      </c>
      <c r="AF106" s="151">
        <f>IF(AF14=$R32,$BC32,IF(AF14=$R33,$BC33,IF(AF14=$R34,$BC34,IF(AF14=$R35,$BC35,IF(AF14=$R36,$BC36,IF(AF14=$R37,$BC37,IF(AF14=$R38,$BC38,IF(AF14=$R39,$BC39,IF(AF14=$R40,$BC40,0)))))))))</f>
        <v>0</v>
      </c>
      <c r="AG106" s="151">
        <f>IF(AG14=$R32,$BC32,IF(AG14=$R33,$BC33,IF(AG14=$R34,$BC34,IF(AG14=$R35,$BC35,IF(AG14=$R36,$BC36,IF(AG14=$R37,$BC37,IF(AG14=$R38,$BC38,IF(AG14=$R39,$BC39,IF(AG14=$R40,$BC40,0)))))))))</f>
        <v>12</v>
      </c>
      <c r="AH106" s="226">
        <f>SUM(C106:AG106)</f>
        <v>143.99999999999991</v>
      </c>
      <c r="AI106" s="226"/>
      <c r="AJ106" s="174" t="s">
        <v>62</v>
      </c>
      <c r="AK106" s="133" t="s">
        <v>12</v>
      </c>
      <c r="AL106" s="133"/>
    </row>
    <row r="107" spans="1:57" ht="15.95" hidden="1" customHeight="1" x14ac:dyDescent="0.25">
      <c r="A107" s="153" t="s">
        <v>48</v>
      </c>
      <c r="B107" s="149" t="s">
        <v>63</v>
      </c>
      <c r="C107" s="141" t="b">
        <f t="shared" ref="C107:AG107" si="101">IF(C46=1,IF(C102&lt;C103,C106,0))</f>
        <v>0</v>
      </c>
      <c r="D107" s="141" t="b">
        <f t="shared" si="101"/>
        <v>0</v>
      </c>
      <c r="E107" s="141" t="b">
        <f t="shared" si="101"/>
        <v>0</v>
      </c>
      <c r="F107" s="141" t="b">
        <f t="shared" si="101"/>
        <v>0</v>
      </c>
      <c r="G107" s="141">
        <f t="shared" si="101"/>
        <v>0</v>
      </c>
      <c r="H107" s="141">
        <f t="shared" si="101"/>
        <v>0</v>
      </c>
      <c r="I107" s="141" t="b">
        <f t="shared" si="101"/>
        <v>0</v>
      </c>
      <c r="J107" s="141" t="b">
        <f t="shared" si="101"/>
        <v>0</v>
      </c>
      <c r="K107" s="141" t="b">
        <f t="shared" si="101"/>
        <v>0</v>
      </c>
      <c r="L107" s="141" t="b">
        <f t="shared" si="101"/>
        <v>0</v>
      </c>
      <c r="M107" s="141" t="b">
        <f t="shared" si="101"/>
        <v>0</v>
      </c>
      <c r="N107" s="141">
        <f t="shared" si="101"/>
        <v>0</v>
      </c>
      <c r="O107" s="141">
        <f t="shared" si="101"/>
        <v>0</v>
      </c>
      <c r="P107" s="141" t="b">
        <f t="shared" si="101"/>
        <v>0</v>
      </c>
      <c r="Q107" s="141" t="b">
        <f t="shared" si="101"/>
        <v>0</v>
      </c>
      <c r="R107" s="141" t="b">
        <f t="shared" si="101"/>
        <v>0</v>
      </c>
      <c r="S107" s="141" t="b">
        <f t="shared" si="101"/>
        <v>0</v>
      </c>
      <c r="T107" s="141" t="b">
        <f t="shared" si="101"/>
        <v>0</v>
      </c>
      <c r="U107" s="141">
        <f t="shared" si="101"/>
        <v>0</v>
      </c>
      <c r="V107" s="141">
        <f t="shared" si="101"/>
        <v>0</v>
      </c>
      <c r="W107" s="141" t="b">
        <f t="shared" si="101"/>
        <v>0</v>
      </c>
      <c r="X107" s="141" t="b">
        <f t="shared" si="101"/>
        <v>0</v>
      </c>
      <c r="Y107" s="141" t="b">
        <f t="shared" si="101"/>
        <v>0</v>
      </c>
      <c r="Z107" s="141" t="b">
        <f t="shared" si="101"/>
        <v>0</v>
      </c>
      <c r="AA107" s="141" t="b">
        <f t="shared" si="101"/>
        <v>0</v>
      </c>
      <c r="AB107" s="141">
        <f t="shared" si="101"/>
        <v>0</v>
      </c>
      <c r="AC107" s="141">
        <f t="shared" si="101"/>
        <v>0</v>
      </c>
      <c r="AD107" s="141" t="b">
        <f t="shared" si="101"/>
        <v>0</v>
      </c>
      <c r="AE107" s="141" t="b">
        <f t="shared" si="101"/>
        <v>0</v>
      </c>
      <c r="AF107" s="141" t="b">
        <f t="shared" si="101"/>
        <v>0</v>
      </c>
      <c r="AG107" s="141" t="b">
        <f t="shared" si="101"/>
        <v>0</v>
      </c>
      <c r="AH107" s="154" t="s">
        <v>12</v>
      </c>
      <c r="AI107" s="133"/>
      <c r="AJ107" s="170"/>
      <c r="AK107" s="133"/>
      <c r="AL107" s="133"/>
      <c r="BE107" s="31"/>
    </row>
    <row r="108" spans="1:57" ht="15.95" hidden="1" customHeight="1" x14ac:dyDescent="0.25">
      <c r="A108" s="176"/>
      <c r="B108" s="149" t="s">
        <v>64</v>
      </c>
      <c r="C108" s="141">
        <f>IF(C46=1,IF(C113&gt;C114,24-C113,0),0)</f>
        <v>0</v>
      </c>
      <c r="D108" s="141">
        <f t="shared" ref="D108:AG108" si="102">IF(D46=1,IF(D102&gt;D103,24-D102,0),0)</f>
        <v>0</v>
      </c>
      <c r="E108" s="141">
        <f t="shared" si="102"/>
        <v>0</v>
      </c>
      <c r="F108" s="141">
        <f t="shared" si="102"/>
        <v>0</v>
      </c>
      <c r="G108" s="141">
        <f t="shared" si="102"/>
        <v>0</v>
      </c>
      <c r="H108" s="141">
        <f t="shared" si="102"/>
        <v>0</v>
      </c>
      <c r="I108" s="141">
        <f t="shared" si="102"/>
        <v>0</v>
      </c>
      <c r="J108" s="141">
        <f t="shared" si="102"/>
        <v>0</v>
      </c>
      <c r="K108" s="141">
        <f t="shared" si="102"/>
        <v>0</v>
      </c>
      <c r="L108" s="141">
        <f t="shared" si="102"/>
        <v>0</v>
      </c>
      <c r="M108" s="141">
        <f t="shared" si="102"/>
        <v>0</v>
      </c>
      <c r="N108" s="141">
        <f t="shared" si="102"/>
        <v>0</v>
      </c>
      <c r="O108" s="141">
        <f t="shared" si="102"/>
        <v>0</v>
      </c>
      <c r="P108" s="141">
        <f t="shared" si="102"/>
        <v>0</v>
      </c>
      <c r="Q108" s="141">
        <f t="shared" si="102"/>
        <v>0</v>
      </c>
      <c r="R108" s="141">
        <f t="shared" si="102"/>
        <v>0</v>
      </c>
      <c r="S108" s="141">
        <f t="shared" si="102"/>
        <v>0</v>
      </c>
      <c r="T108" s="141">
        <f t="shared" si="102"/>
        <v>0</v>
      </c>
      <c r="U108" s="141">
        <f t="shared" si="102"/>
        <v>6</v>
      </c>
      <c r="V108" s="141">
        <f t="shared" si="102"/>
        <v>6</v>
      </c>
      <c r="W108" s="141">
        <f t="shared" si="102"/>
        <v>0</v>
      </c>
      <c r="X108" s="141">
        <f t="shared" si="102"/>
        <v>0</v>
      </c>
      <c r="Y108" s="141">
        <f t="shared" si="102"/>
        <v>0</v>
      </c>
      <c r="Z108" s="141">
        <f t="shared" si="102"/>
        <v>0</v>
      </c>
      <c r="AA108" s="141">
        <f t="shared" si="102"/>
        <v>0</v>
      </c>
      <c r="AB108" s="141">
        <f t="shared" si="102"/>
        <v>2</v>
      </c>
      <c r="AC108" s="141">
        <f t="shared" si="102"/>
        <v>2</v>
      </c>
      <c r="AD108" s="141">
        <f t="shared" si="102"/>
        <v>0</v>
      </c>
      <c r="AE108" s="141">
        <f t="shared" si="102"/>
        <v>0</v>
      </c>
      <c r="AF108" s="141">
        <f t="shared" si="102"/>
        <v>0</v>
      </c>
      <c r="AG108" s="141">
        <f t="shared" si="102"/>
        <v>0</v>
      </c>
      <c r="AH108" s="154" t="s">
        <v>12</v>
      </c>
      <c r="AI108" s="133"/>
      <c r="AJ108" s="170"/>
      <c r="AK108" s="133"/>
      <c r="AL108" s="133"/>
    </row>
    <row r="109" spans="1:57" ht="15.95" hidden="1" customHeight="1" x14ac:dyDescent="0.25">
      <c r="A109" s="176"/>
      <c r="B109" s="149" t="s">
        <v>65</v>
      </c>
      <c r="C109" s="141">
        <f t="shared" ref="C109:AG109" si="103">IF(D46=1,IF(C102&gt;C103,C103,0),0)</f>
        <v>0</v>
      </c>
      <c r="D109" s="141">
        <f t="shared" si="103"/>
        <v>0</v>
      </c>
      <c r="E109" s="141">
        <f t="shared" si="103"/>
        <v>0</v>
      </c>
      <c r="F109" s="141">
        <f t="shared" si="103"/>
        <v>0</v>
      </c>
      <c r="G109" s="141">
        <f t="shared" si="103"/>
        <v>0</v>
      </c>
      <c r="H109" s="141">
        <f t="shared" si="103"/>
        <v>0</v>
      </c>
      <c r="I109" s="141">
        <f t="shared" si="103"/>
        <v>0</v>
      </c>
      <c r="J109" s="141">
        <f t="shared" si="103"/>
        <v>0</v>
      </c>
      <c r="K109" s="141">
        <f t="shared" si="103"/>
        <v>0</v>
      </c>
      <c r="L109" s="141">
        <f t="shared" si="103"/>
        <v>0</v>
      </c>
      <c r="M109" s="141">
        <f t="shared" si="103"/>
        <v>0</v>
      </c>
      <c r="N109" s="141">
        <f t="shared" si="103"/>
        <v>0</v>
      </c>
      <c r="O109" s="141">
        <f t="shared" si="103"/>
        <v>0</v>
      </c>
      <c r="P109" s="141">
        <f t="shared" si="103"/>
        <v>0</v>
      </c>
      <c r="Q109" s="141">
        <f t="shared" si="103"/>
        <v>0</v>
      </c>
      <c r="R109" s="141">
        <f t="shared" si="103"/>
        <v>0</v>
      </c>
      <c r="S109" s="141">
        <f t="shared" si="103"/>
        <v>0</v>
      </c>
      <c r="T109" s="141">
        <f t="shared" si="103"/>
        <v>6</v>
      </c>
      <c r="U109" s="141">
        <f t="shared" si="103"/>
        <v>6</v>
      </c>
      <c r="V109" s="141">
        <f t="shared" si="103"/>
        <v>0</v>
      </c>
      <c r="W109" s="141">
        <f t="shared" si="103"/>
        <v>0</v>
      </c>
      <c r="X109" s="141">
        <f>IF(Y46=1,IF(X102&gt;X103,X103,0),0)</f>
        <v>0</v>
      </c>
      <c r="Y109" s="141">
        <f t="shared" si="103"/>
        <v>0</v>
      </c>
      <c r="Z109" s="141">
        <f t="shared" si="103"/>
        <v>0</v>
      </c>
      <c r="AA109" s="141">
        <f t="shared" si="103"/>
        <v>6</v>
      </c>
      <c r="AB109" s="141">
        <f t="shared" si="103"/>
        <v>6</v>
      </c>
      <c r="AC109" s="141">
        <f t="shared" si="103"/>
        <v>0</v>
      </c>
      <c r="AD109" s="141">
        <f t="shared" si="103"/>
        <v>0</v>
      </c>
      <c r="AE109" s="141">
        <f t="shared" si="103"/>
        <v>0</v>
      </c>
      <c r="AF109" s="141">
        <f t="shared" si="103"/>
        <v>0</v>
      </c>
      <c r="AG109" s="141">
        <f t="shared" si="103"/>
        <v>0</v>
      </c>
      <c r="AH109" s="154" t="s">
        <v>12</v>
      </c>
      <c r="AI109" s="133"/>
      <c r="AJ109" s="170"/>
      <c r="AK109" s="133"/>
      <c r="AL109" s="133"/>
    </row>
    <row r="110" spans="1:57" ht="15.95" hidden="1" customHeight="1" x14ac:dyDescent="0.25">
      <c r="A110" s="176"/>
      <c r="B110" s="149" t="s">
        <v>67</v>
      </c>
      <c r="C110" s="171">
        <f t="shared" ref="C110:AG110" si="104">SUM(C107:C109)</f>
        <v>0</v>
      </c>
      <c r="D110" s="171">
        <f t="shared" si="104"/>
        <v>0</v>
      </c>
      <c r="E110" s="171">
        <f t="shared" si="104"/>
        <v>0</v>
      </c>
      <c r="F110" s="171">
        <f t="shared" si="104"/>
        <v>0</v>
      </c>
      <c r="G110" s="171">
        <f t="shared" si="104"/>
        <v>0</v>
      </c>
      <c r="H110" s="171">
        <f t="shared" si="104"/>
        <v>0</v>
      </c>
      <c r="I110" s="171">
        <f t="shared" si="104"/>
        <v>0</v>
      </c>
      <c r="J110" s="171">
        <f t="shared" si="104"/>
        <v>0</v>
      </c>
      <c r="K110" s="171">
        <f t="shared" si="104"/>
        <v>0</v>
      </c>
      <c r="L110" s="171">
        <f t="shared" si="104"/>
        <v>0</v>
      </c>
      <c r="M110" s="171">
        <f t="shared" si="104"/>
        <v>0</v>
      </c>
      <c r="N110" s="171">
        <f t="shared" si="104"/>
        <v>0</v>
      </c>
      <c r="O110" s="171">
        <f t="shared" si="104"/>
        <v>0</v>
      </c>
      <c r="P110" s="171">
        <f t="shared" si="104"/>
        <v>0</v>
      </c>
      <c r="Q110" s="171">
        <f t="shared" si="104"/>
        <v>0</v>
      </c>
      <c r="R110" s="171">
        <f t="shared" si="104"/>
        <v>0</v>
      </c>
      <c r="S110" s="171">
        <f t="shared" si="104"/>
        <v>0</v>
      </c>
      <c r="T110" s="171">
        <f t="shared" si="104"/>
        <v>6</v>
      </c>
      <c r="U110" s="171">
        <f t="shared" si="104"/>
        <v>12</v>
      </c>
      <c r="V110" s="171">
        <f t="shared" si="104"/>
        <v>6</v>
      </c>
      <c r="W110" s="171">
        <f t="shared" si="104"/>
        <v>0</v>
      </c>
      <c r="X110" s="171">
        <f t="shared" si="104"/>
        <v>0</v>
      </c>
      <c r="Y110" s="171">
        <f t="shared" si="104"/>
        <v>0</v>
      </c>
      <c r="Z110" s="171">
        <f t="shared" si="104"/>
        <v>0</v>
      </c>
      <c r="AA110" s="171">
        <f t="shared" si="104"/>
        <v>6</v>
      </c>
      <c r="AB110" s="171">
        <f t="shared" si="104"/>
        <v>8</v>
      </c>
      <c r="AC110" s="171">
        <f t="shared" si="104"/>
        <v>2</v>
      </c>
      <c r="AD110" s="171">
        <f t="shared" si="104"/>
        <v>0</v>
      </c>
      <c r="AE110" s="171">
        <f t="shared" si="104"/>
        <v>0</v>
      </c>
      <c r="AF110" s="171">
        <f t="shared" si="104"/>
        <v>0</v>
      </c>
      <c r="AG110" s="171">
        <f t="shared" si="104"/>
        <v>0</v>
      </c>
      <c r="AH110" s="154" t="s">
        <v>12</v>
      </c>
      <c r="AI110" s="133"/>
      <c r="AJ110" s="170"/>
      <c r="AK110" s="133"/>
      <c r="AL110" s="133"/>
    </row>
    <row r="111" spans="1:57" ht="15.95" hidden="1" customHeight="1" x14ac:dyDescent="0.25">
      <c r="A111" s="177"/>
      <c r="B111" s="160" t="s">
        <v>68</v>
      </c>
      <c r="C111" s="161">
        <f t="shared" ref="C111:AG111" si="105">IF(C14="V",IF(C14="",0,1),0)</f>
        <v>1</v>
      </c>
      <c r="D111" s="161">
        <f t="shared" si="105"/>
        <v>1</v>
      </c>
      <c r="E111" s="161">
        <f t="shared" si="105"/>
        <v>1</v>
      </c>
      <c r="F111" s="161">
        <f t="shared" si="105"/>
        <v>1</v>
      </c>
      <c r="G111" s="161">
        <f t="shared" si="105"/>
        <v>1</v>
      </c>
      <c r="H111" s="161">
        <f t="shared" si="105"/>
        <v>1</v>
      </c>
      <c r="I111" s="161">
        <f t="shared" si="105"/>
        <v>1</v>
      </c>
      <c r="J111" s="161">
        <f t="shared" si="105"/>
        <v>1</v>
      </c>
      <c r="K111" s="161">
        <f t="shared" si="105"/>
        <v>1</v>
      </c>
      <c r="L111" s="161">
        <f t="shared" si="105"/>
        <v>1</v>
      </c>
      <c r="M111" s="161">
        <f t="shared" si="105"/>
        <v>1</v>
      </c>
      <c r="N111" s="161">
        <f t="shared" si="105"/>
        <v>1</v>
      </c>
      <c r="O111" s="161">
        <f t="shared" si="105"/>
        <v>1</v>
      </c>
      <c r="P111" s="161">
        <f t="shared" si="105"/>
        <v>1</v>
      </c>
      <c r="Q111" s="161">
        <f t="shared" si="105"/>
        <v>1</v>
      </c>
      <c r="R111" s="161">
        <f t="shared" si="105"/>
        <v>1</v>
      </c>
      <c r="S111" s="161">
        <f t="shared" si="105"/>
        <v>0</v>
      </c>
      <c r="T111" s="161">
        <f t="shared" si="105"/>
        <v>0</v>
      </c>
      <c r="U111" s="161">
        <f t="shared" si="105"/>
        <v>0</v>
      </c>
      <c r="V111" s="161">
        <f t="shared" si="105"/>
        <v>0</v>
      </c>
      <c r="W111" s="161">
        <f t="shared" si="105"/>
        <v>0</v>
      </c>
      <c r="X111" s="161">
        <f t="shared" si="105"/>
        <v>0</v>
      </c>
      <c r="Y111" s="161">
        <f t="shared" si="105"/>
        <v>0</v>
      </c>
      <c r="Z111" s="161">
        <f t="shared" si="105"/>
        <v>0</v>
      </c>
      <c r="AA111" s="161">
        <f t="shared" si="105"/>
        <v>0</v>
      </c>
      <c r="AB111" s="161">
        <f t="shared" si="105"/>
        <v>0</v>
      </c>
      <c r="AC111" s="161">
        <f t="shared" si="105"/>
        <v>0</v>
      </c>
      <c r="AD111" s="161">
        <f t="shared" si="105"/>
        <v>0</v>
      </c>
      <c r="AE111" s="161">
        <f t="shared" si="105"/>
        <v>0</v>
      </c>
      <c r="AF111" s="161">
        <f t="shared" si="105"/>
        <v>0</v>
      </c>
      <c r="AG111" s="161">
        <f t="shared" si="105"/>
        <v>0</v>
      </c>
      <c r="AH111" s="154" t="s">
        <v>12</v>
      </c>
      <c r="AI111" s="133"/>
      <c r="AJ111" s="170"/>
      <c r="AK111" s="133"/>
      <c r="AL111" s="133"/>
    </row>
    <row r="112" spans="1:57" ht="15.95" hidden="1" customHeight="1" x14ac:dyDescent="0.25">
      <c r="A112" s="180"/>
      <c r="B112" s="181" t="s">
        <v>16</v>
      </c>
      <c r="C112" s="182">
        <f t="shared" ref="C112:AG112" si="106">IF(C14="PR",IF(C14="",0,1),0)</f>
        <v>0</v>
      </c>
      <c r="D112" s="182">
        <f t="shared" si="106"/>
        <v>0</v>
      </c>
      <c r="E112" s="182">
        <f t="shared" si="106"/>
        <v>0</v>
      </c>
      <c r="F112" s="182">
        <f t="shared" si="106"/>
        <v>0</v>
      </c>
      <c r="G112" s="182">
        <f t="shared" si="106"/>
        <v>0</v>
      </c>
      <c r="H112" s="182">
        <f t="shared" si="106"/>
        <v>0</v>
      </c>
      <c r="I112" s="182">
        <f t="shared" si="106"/>
        <v>0</v>
      </c>
      <c r="J112" s="182">
        <f t="shared" si="106"/>
        <v>0</v>
      </c>
      <c r="K112" s="182">
        <f t="shared" si="106"/>
        <v>0</v>
      </c>
      <c r="L112" s="182">
        <f t="shared" si="106"/>
        <v>0</v>
      </c>
      <c r="M112" s="182">
        <f t="shared" si="106"/>
        <v>0</v>
      </c>
      <c r="N112" s="182">
        <f t="shared" si="106"/>
        <v>0</v>
      </c>
      <c r="O112" s="182">
        <f t="shared" si="106"/>
        <v>0</v>
      </c>
      <c r="P112" s="182">
        <f t="shared" si="106"/>
        <v>0</v>
      </c>
      <c r="Q112" s="182">
        <f t="shared" si="106"/>
        <v>0</v>
      </c>
      <c r="R112" s="182">
        <f t="shared" si="106"/>
        <v>0</v>
      </c>
      <c r="S112" s="182">
        <f t="shared" si="106"/>
        <v>0</v>
      </c>
      <c r="T112" s="182">
        <f t="shared" si="106"/>
        <v>0</v>
      </c>
      <c r="U112" s="182">
        <f t="shared" si="106"/>
        <v>0</v>
      </c>
      <c r="V112" s="182">
        <f t="shared" si="106"/>
        <v>0</v>
      </c>
      <c r="W112" s="182">
        <f t="shared" si="106"/>
        <v>0</v>
      </c>
      <c r="X112" s="182">
        <f t="shared" si="106"/>
        <v>0</v>
      </c>
      <c r="Y112" s="182">
        <f t="shared" si="106"/>
        <v>0</v>
      </c>
      <c r="Z112" s="182">
        <f t="shared" si="106"/>
        <v>0</v>
      </c>
      <c r="AA112" s="182">
        <f t="shared" si="106"/>
        <v>0</v>
      </c>
      <c r="AB112" s="182">
        <f t="shared" si="106"/>
        <v>0</v>
      </c>
      <c r="AC112" s="182">
        <f t="shared" si="106"/>
        <v>0</v>
      </c>
      <c r="AD112" s="182">
        <f t="shared" si="106"/>
        <v>0</v>
      </c>
      <c r="AE112" s="182">
        <f t="shared" si="106"/>
        <v>0</v>
      </c>
      <c r="AF112" s="182">
        <f t="shared" si="106"/>
        <v>0</v>
      </c>
      <c r="AG112" s="182">
        <f t="shared" si="106"/>
        <v>0</v>
      </c>
      <c r="AH112" s="227">
        <f>SUM(C112:AG112)</f>
        <v>0</v>
      </c>
      <c r="AI112" s="227"/>
      <c r="AJ112" s="174" t="s">
        <v>69</v>
      </c>
      <c r="AK112" s="133"/>
      <c r="AL112" s="133"/>
    </row>
    <row r="113" spans="1:57" s="31" customFormat="1" ht="15.95" hidden="1" customHeight="1" x14ac:dyDescent="0.25">
      <c r="A113" s="164" t="s">
        <v>81</v>
      </c>
      <c r="B113" s="165" t="s">
        <v>29</v>
      </c>
      <c r="C113" s="141">
        <f t="shared" ref="C113:AG113" si="107">IF(C15=$R32,$S32*24,IF(C15=$R33,$S33*24,IF(C15=$R34,$S34*24,IF(C15=$R35,$S35*24,IF(C15=$R36,$S36*24,IF(C15=$R37,$S37*24,IF(C15=$R38,$S38*24,IF(C15=$R39,$S39*24,IF(C15=$R40,$S40*24,"")))))))))</f>
        <v>6</v>
      </c>
      <c r="D113" s="141" t="str">
        <f t="shared" si="107"/>
        <v/>
      </c>
      <c r="E113" s="141" t="str">
        <f t="shared" si="107"/>
        <v/>
      </c>
      <c r="F113" s="141">
        <f t="shared" si="107"/>
        <v>6</v>
      </c>
      <c r="G113" s="141">
        <f t="shared" si="107"/>
        <v>6</v>
      </c>
      <c r="H113" s="141">
        <f t="shared" si="107"/>
        <v>6</v>
      </c>
      <c r="I113" s="141" t="str">
        <f t="shared" si="107"/>
        <v/>
      </c>
      <c r="J113" s="141" t="str">
        <f t="shared" si="107"/>
        <v/>
      </c>
      <c r="K113" s="141">
        <f t="shared" si="107"/>
        <v>6</v>
      </c>
      <c r="L113" s="141">
        <f t="shared" si="107"/>
        <v>6</v>
      </c>
      <c r="M113" s="141" t="str">
        <f t="shared" si="107"/>
        <v/>
      </c>
      <c r="N113" s="141" t="str">
        <f t="shared" si="107"/>
        <v/>
      </c>
      <c r="O113" s="141" t="str">
        <f t="shared" si="107"/>
        <v/>
      </c>
      <c r="P113" s="141">
        <f t="shared" si="107"/>
        <v>6</v>
      </c>
      <c r="Q113" s="141">
        <f t="shared" si="107"/>
        <v>6</v>
      </c>
      <c r="R113" s="141" t="str">
        <f t="shared" si="107"/>
        <v/>
      </c>
      <c r="S113" s="141" t="str">
        <f t="shared" si="107"/>
        <v/>
      </c>
      <c r="T113" s="141">
        <f t="shared" si="107"/>
        <v>6</v>
      </c>
      <c r="U113" s="141">
        <f t="shared" si="107"/>
        <v>6</v>
      </c>
      <c r="V113" s="141">
        <f t="shared" si="107"/>
        <v>6</v>
      </c>
      <c r="W113" s="141" t="str">
        <f t="shared" si="107"/>
        <v/>
      </c>
      <c r="X113" s="141" t="str">
        <f t="shared" si="107"/>
        <v/>
      </c>
      <c r="Y113" s="141">
        <f t="shared" si="107"/>
        <v>6</v>
      </c>
      <c r="Z113" s="141">
        <f t="shared" si="107"/>
        <v>6</v>
      </c>
      <c r="AA113" s="141" t="str">
        <f t="shared" si="107"/>
        <v/>
      </c>
      <c r="AB113" s="141" t="str">
        <f t="shared" si="107"/>
        <v/>
      </c>
      <c r="AC113" s="141" t="str">
        <f t="shared" si="107"/>
        <v/>
      </c>
      <c r="AD113" s="141">
        <f t="shared" si="107"/>
        <v>6</v>
      </c>
      <c r="AE113" s="141">
        <f t="shared" si="107"/>
        <v>6</v>
      </c>
      <c r="AF113" s="141" t="str">
        <f t="shared" si="107"/>
        <v/>
      </c>
      <c r="AG113" s="141" t="str">
        <f t="shared" si="107"/>
        <v/>
      </c>
      <c r="AH113" s="154" t="s">
        <v>12</v>
      </c>
      <c r="AI113" s="133"/>
      <c r="AJ113" s="170"/>
      <c r="AK113" s="133"/>
      <c r="AL113" s="133"/>
      <c r="BE113" s="1"/>
    </row>
    <row r="114" spans="1:57" ht="15.95" hidden="1" customHeight="1" x14ac:dyDescent="0.25">
      <c r="A114" s="166" t="s">
        <v>82</v>
      </c>
      <c r="B114" s="167" t="s">
        <v>30</v>
      </c>
      <c r="C114" s="141">
        <f t="shared" ref="C114:AG114" si="108">IF(C15=$R32,$V32*24,IF(C15=$R33,$V33*24,IF(C15=$R34,$V34*24,IF(C15=$R35,$V35*24,IF(C15=$R36,$V36*24,IF(C15=$R37,$V37*24,IF(C15=$R38,$V38*24,IF(C15=$R39,$V39*24,IF(C15=$R40,$V40*24,"")))))))))</f>
        <v>18</v>
      </c>
      <c r="D114" s="141" t="str">
        <f t="shared" si="108"/>
        <v/>
      </c>
      <c r="E114" s="141" t="str">
        <f t="shared" si="108"/>
        <v/>
      </c>
      <c r="F114" s="141">
        <f t="shared" si="108"/>
        <v>18</v>
      </c>
      <c r="G114" s="141">
        <f t="shared" si="108"/>
        <v>18</v>
      </c>
      <c r="H114" s="141">
        <f t="shared" si="108"/>
        <v>18</v>
      </c>
      <c r="I114" s="141" t="str">
        <f t="shared" si="108"/>
        <v/>
      </c>
      <c r="J114" s="141" t="str">
        <f t="shared" si="108"/>
        <v/>
      </c>
      <c r="K114" s="141">
        <f t="shared" si="108"/>
        <v>18</v>
      </c>
      <c r="L114" s="141">
        <f t="shared" si="108"/>
        <v>18</v>
      </c>
      <c r="M114" s="141" t="str">
        <f t="shared" si="108"/>
        <v/>
      </c>
      <c r="N114" s="141" t="str">
        <f t="shared" si="108"/>
        <v/>
      </c>
      <c r="O114" s="141" t="str">
        <f t="shared" si="108"/>
        <v/>
      </c>
      <c r="P114" s="141">
        <f t="shared" si="108"/>
        <v>18</v>
      </c>
      <c r="Q114" s="141">
        <f t="shared" si="108"/>
        <v>18</v>
      </c>
      <c r="R114" s="141" t="str">
        <f t="shared" si="108"/>
        <v/>
      </c>
      <c r="S114" s="141" t="str">
        <f t="shared" si="108"/>
        <v/>
      </c>
      <c r="T114" s="141">
        <f t="shared" si="108"/>
        <v>18</v>
      </c>
      <c r="U114" s="141">
        <f t="shared" si="108"/>
        <v>18</v>
      </c>
      <c r="V114" s="141">
        <f t="shared" si="108"/>
        <v>18</v>
      </c>
      <c r="W114" s="141" t="str">
        <f t="shared" si="108"/>
        <v/>
      </c>
      <c r="X114" s="141" t="str">
        <f t="shared" si="108"/>
        <v/>
      </c>
      <c r="Y114" s="141">
        <f t="shared" si="108"/>
        <v>18</v>
      </c>
      <c r="Z114" s="141">
        <f t="shared" si="108"/>
        <v>18</v>
      </c>
      <c r="AA114" s="141" t="str">
        <f t="shared" si="108"/>
        <v/>
      </c>
      <c r="AB114" s="141" t="str">
        <f t="shared" si="108"/>
        <v/>
      </c>
      <c r="AC114" s="141" t="str">
        <f t="shared" si="108"/>
        <v/>
      </c>
      <c r="AD114" s="141">
        <f t="shared" si="108"/>
        <v>18</v>
      </c>
      <c r="AE114" s="141">
        <f t="shared" si="108"/>
        <v>18</v>
      </c>
      <c r="AF114" s="141" t="str">
        <f t="shared" si="108"/>
        <v/>
      </c>
      <c r="AG114" s="141" t="str">
        <f t="shared" si="108"/>
        <v/>
      </c>
      <c r="AH114" s="154" t="s">
        <v>12</v>
      </c>
      <c r="AI114" s="133"/>
      <c r="AJ114" s="170"/>
      <c r="AK114" s="133"/>
      <c r="AL114" s="133"/>
    </row>
    <row r="115" spans="1:57" ht="15.95" hidden="1" customHeight="1" x14ac:dyDescent="0.25">
      <c r="A115" s="153"/>
      <c r="B115" s="168" t="s">
        <v>34</v>
      </c>
      <c r="C115" s="169">
        <f t="shared" ref="C115:AD115" si="109">IF(C15=$R32,$BD32*24,IF(C15=$R33,$BD33*24,IF(C15=$R34,$BD34*24,IF(C15=$R35,$BD35*24,IF(C15=$R36,$BD36*24,IF(C15=$R37,$BD37*24,IF(C15=$R38,$BD38*24,IF(C15=$R39,$BD39*24,IF(C15=$R40,$BD40*24,"")))))))))</f>
        <v>0</v>
      </c>
      <c r="D115" s="169" t="str">
        <f t="shared" si="109"/>
        <v/>
      </c>
      <c r="E115" s="169" t="str">
        <f t="shared" si="109"/>
        <v/>
      </c>
      <c r="F115" s="169">
        <f t="shared" si="109"/>
        <v>0</v>
      </c>
      <c r="G115" s="169">
        <f t="shared" si="109"/>
        <v>0</v>
      </c>
      <c r="H115" s="169">
        <f t="shared" si="109"/>
        <v>0</v>
      </c>
      <c r="I115" s="169" t="str">
        <f t="shared" si="109"/>
        <v/>
      </c>
      <c r="J115" s="169" t="str">
        <f t="shared" si="109"/>
        <v/>
      </c>
      <c r="K115" s="169">
        <f t="shared" si="109"/>
        <v>0</v>
      </c>
      <c r="L115" s="169">
        <f t="shared" si="109"/>
        <v>0</v>
      </c>
      <c r="M115" s="169" t="str">
        <f t="shared" si="109"/>
        <v/>
      </c>
      <c r="N115" s="169" t="str">
        <f t="shared" si="109"/>
        <v/>
      </c>
      <c r="O115" s="169" t="str">
        <f t="shared" si="109"/>
        <v/>
      </c>
      <c r="P115" s="169">
        <f t="shared" si="109"/>
        <v>0</v>
      </c>
      <c r="Q115" s="169">
        <f t="shared" si="109"/>
        <v>0</v>
      </c>
      <c r="R115" s="169" t="str">
        <f t="shared" si="109"/>
        <v/>
      </c>
      <c r="S115" s="169" t="str">
        <f t="shared" si="109"/>
        <v/>
      </c>
      <c r="T115" s="169">
        <f t="shared" si="109"/>
        <v>0</v>
      </c>
      <c r="U115" s="169">
        <f t="shared" si="109"/>
        <v>0</v>
      </c>
      <c r="V115" s="169">
        <f t="shared" si="109"/>
        <v>0</v>
      </c>
      <c r="W115" s="169" t="str">
        <f t="shared" si="109"/>
        <v/>
      </c>
      <c r="X115" s="169" t="str">
        <f t="shared" si="109"/>
        <v/>
      </c>
      <c r="Y115" s="169">
        <f t="shared" si="109"/>
        <v>0</v>
      </c>
      <c r="Z115" s="169">
        <f t="shared" si="109"/>
        <v>0</v>
      </c>
      <c r="AA115" s="169" t="str">
        <f t="shared" si="109"/>
        <v/>
      </c>
      <c r="AB115" s="169" t="str">
        <f t="shared" si="109"/>
        <v/>
      </c>
      <c r="AC115" s="169" t="str">
        <f t="shared" si="109"/>
        <v/>
      </c>
      <c r="AD115" s="169">
        <f t="shared" si="109"/>
        <v>0</v>
      </c>
      <c r="AE115" s="169">
        <f>IF(AE15=$R32,$BD32*24,IF(AE15=$R33,$BD33*24,IF(AE15=$R34,$BD34*24,IF(AE15=$R35,$BD35*24,IF(AE15=$R36,$BD36*24,IF(AE15=$R37,$BD37*24,IF(AE15=$R38,$BD38*24,IF(AE15=$R39,$BD39*24,IF(AE15=$R40,$BD40*24,"")))))))))</f>
        <v>0</v>
      </c>
      <c r="AF115" s="169" t="str">
        <f>IF(AF15=$R32,$BD32*24,IF(AF15=$R33,$BD33*24,IF(AF15=$R34,$BD34*24,IF(AF15=$R35,$BD35*24,IF(AF15=$R36,$BD36*24,IF(AF15=$R37,$BD37*24,IF(AF15=$R38,$BD38*24,IF(AF15=$R39,$BD39*24,IF(AF15=$R40,$BD40*24,"")))))))))</f>
        <v/>
      </c>
      <c r="AG115" s="169" t="str">
        <f>IF(AG15=$R32,$BD32*24,IF(AG15=$R33,$BD33*24,IF(AG15=$R34,$BD34*24,IF(AG15=$R35,$BD35*24,IF(AG15=$R36,$BD36*24,IF(AG15=$R37,$BD37*24,IF(AG15=$R38,$BD38*24,IF(AG15=$R39,$BD39*24,IF(AG15=$R40,$BD40*24,"")))))))))</f>
        <v/>
      </c>
      <c r="AH115" s="148">
        <f>SUM(C115:AG115)</f>
        <v>0</v>
      </c>
      <c r="AI115" s="133"/>
      <c r="AJ115" s="170"/>
      <c r="AK115" s="133"/>
      <c r="AL115" s="133"/>
    </row>
    <row r="116" spans="1:57" ht="15.95" hidden="1" customHeight="1" x14ac:dyDescent="0.25">
      <c r="A116" s="153"/>
      <c r="B116" s="167" t="s">
        <v>59</v>
      </c>
      <c r="C116" s="141">
        <f t="shared" ref="C116:AG116" si="110">IF(C15="V",$C36,IF(C15="PR",$C38,0))</f>
        <v>0</v>
      </c>
      <c r="D116" s="141">
        <f t="shared" si="110"/>
        <v>0</v>
      </c>
      <c r="E116" s="141">
        <f t="shared" si="110"/>
        <v>0</v>
      </c>
      <c r="F116" s="141">
        <f t="shared" si="110"/>
        <v>0</v>
      </c>
      <c r="G116" s="141">
        <f t="shared" si="110"/>
        <v>0</v>
      </c>
      <c r="H116" s="141">
        <f t="shared" si="110"/>
        <v>0</v>
      </c>
      <c r="I116" s="141">
        <f t="shared" si="110"/>
        <v>0</v>
      </c>
      <c r="J116" s="141">
        <f t="shared" si="110"/>
        <v>0</v>
      </c>
      <c r="K116" s="141">
        <f t="shared" si="110"/>
        <v>0</v>
      </c>
      <c r="L116" s="141">
        <f t="shared" si="110"/>
        <v>0</v>
      </c>
      <c r="M116" s="141">
        <f t="shared" si="110"/>
        <v>0</v>
      </c>
      <c r="N116" s="141">
        <f t="shared" si="110"/>
        <v>0</v>
      </c>
      <c r="O116" s="141">
        <f t="shared" si="110"/>
        <v>0</v>
      </c>
      <c r="P116" s="141">
        <f t="shared" si="110"/>
        <v>0</v>
      </c>
      <c r="Q116" s="141">
        <f t="shared" si="110"/>
        <v>0</v>
      </c>
      <c r="R116" s="141">
        <f t="shared" si="110"/>
        <v>0</v>
      </c>
      <c r="S116" s="141">
        <f t="shared" si="110"/>
        <v>0</v>
      </c>
      <c r="T116" s="141">
        <f t="shared" si="110"/>
        <v>0</v>
      </c>
      <c r="U116" s="141">
        <f t="shared" si="110"/>
        <v>0</v>
      </c>
      <c r="V116" s="141">
        <f t="shared" si="110"/>
        <v>0</v>
      </c>
      <c r="W116" s="141">
        <f t="shared" si="110"/>
        <v>0</v>
      </c>
      <c r="X116" s="141">
        <f t="shared" si="110"/>
        <v>0</v>
      </c>
      <c r="Y116" s="141">
        <f t="shared" si="110"/>
        <v>0</v>
      </c>
      <c r="Z116" s="141">
        <f t="shared" si="110"/>
        <v>0</v>
      </c>
      <c r="AA116" s="141">
        <f t="shared" si="110"/>
        <v>0</v>
      </c>
      <c r="AB116" s="141">
        <f t="shared" si="110"/>
        <v>0</v>
      </c>
      <c r="AC116" s="141">
        <f t="shared" si="110"/>
        <v>0</v>
      </c>
      <c r="AD116" s="141">
        <f t="shared" si="110"/>
        <v>0</v>
      </c>
      <c r="AE116" s="141">
        <f t="shared" si="110"/>
        <v>0</v>
      </c>
      <c r="AF116" s="141">
        <f t="shared" si="110"/>
        <v>0</v>
      </c>
      <c r="AG116" s="141">
        <f t="shared" si="110"/>
        <v>0</v>
      </c>
      <c r="AH116" s="226">
        <f>SUM(C116:AG116)</f>
        <v>0</v>
      </c>
      <c r="AI116" s="226"/>
      <c r="AJ116" s="230">
        <f>SUM(AH61+AH72+AH83+AH94+AH105+AH116)</f>
        <v>83.52</v>
      </c>
      <c r="AK116" s="230"/>
      <c r="AL116" s="133" t="s">
        <v>56</v>
      </c>
    </row>
    <row r="117" spans="1:57" ht="15.95" hidden="1" customHeight="1" x14ac:dyDescent="0.25">
      <c r="A117" s="150" t="s">
        <v>60</v>
      </c>
      <c r="B117" s="167" t="s">
        <v>61</v>
      </c>
      <c r="C117" s="151">
        <f t="shared" ref="C117:AD117" si="111">IF(C15=$R32,$BC32,IF(C15=$R33,$BC33,IF(C15=$R34,$BC34,IF(C15=$R35,$BC35,IF(C15=$R36,$BC36,IF(C15=$R37,$BC37,IF(C15=$R38,$BC38,IF(C15=$R39,$BC39,IF(C15=$R40,$BC40,0)))))))))</f>
        <v>12</v>
      </c>
      <c r="D117" s="151">
        <f t="shared" si="111"/>
        <v>0</v>
      </c>
      <c r="E117" s="151">
        <f t="shared" si="111"/>
        <v>0</v>
      </c>
      <c r="F117" s="151">
        <f t="shared" si="111"/>
        <v>12</v>
      </c>
      <c r="G117" s="151">
        <f t="shared" si="111"/>
        <v>12</v>
      </c>
      <c r="H117" s="151">
        <f t="shared" si="111"/>
        <v>12</v>
      </c>
      <c r="I117" s="151">
        <f t="shared" si="111"/>
        <v>0</v>
      </c>
      <c r="J117" s="151">
        <f t="shared" si="111"/>
        <v>0</v>
      </c>
      <c r="K117" s="151">
        <f t="shared" si="111"/>
        <v>12</v>
      </c>
      <c r="L117" s="151">
        <f t="shared" si="111"/>
        <v>12</v>
      </c>
      <c r="M117" s="151">
        <f t="shared" si="111"/>
        <v>0</v>
      </c>
      <c r="N117" s="151">
        <f t="shared" si="111"/>
        <v>0</v>
      </c>
      <c r="O117" s="151">
        <f t="shared" si="111"/>
        <v>0</v>
      </c>
      <c r="P117" s="151">
        <f t="shared" si="111"/>
        <v>12</v>
      </c>
      <c r="Q117" s="151">
        <f t="shared" si="111"/>
        <v>12</v>
      </c>
      <c r="R117" s="151">
        <f t="shared" si="111"/>
        <v>0</v>
      </c>
      <c r="S117" s="151">
        <f t="shared" si="111"/>
        <v>0</v>
      </c>
      <c r="T117" s="151">
        <f t="shared" si="111"/>
        <v>12</v>
      </c>
      <c r="U117" s="151">
        <f t="shared" si="111"/>
        <v>12</v>
      </c>
      <c r="V117" s="151">
        <f t="shared" si="111"/>
        <v>12</v>
      </c>
      <c r="W117" s="151">
        <f t="shared" si="111"/>
        <v>0</v>
      </c>
      <c r="X117" s="151">
        <f t="shared" si="111"/>
        <v>0</v>
      </c>
      <c r="Y117" s="151">
        <f t="shared" si="111"/>
        <v>12</v>
      </c>
      <c r="Z117" s="151">
        <f t="shared" si="111"/>
        <v>12</v>
      </c>
      <c r="AA117" s="151">
        <f t="shared" si="111"/>
        <v>0</v>
      </c>
      <c r="AB117" s="151">
        <f t="shared" si="111"/>
        <v>0</v>
      </c>
      <c r="AC117" s="151">
        <f t="shared" si="111"/>
        <v>0</v>
      </c>
      <c r="AD117" s="151">
        <f t="shared" si="111"/>
        <v>12</v>
      </c>
      <c r="AE117" s="151">
        <f>IF(AE15=$R32,$BC32,IF(AE15=$R33,$BC33,IF(AE15=$R34,$BC34,IF(AE15=$R35,$BC35,IF(AE15=$R36,$BC36,IF(AE15=$R37,$BC37,IF(AE15=$R38,$BC38,IF(AE15=$R39,$BC39,IF(AE15=$R40,$BC40,0)))))))))</f>
        <v>12</v>
      </c>
      <c r="AF117" s="151">
        <f>IF(AF15=$R32,$BC32,IF(AF15=$R33,$BC33,IF(AF15=$R34,$BC34,IF(AF15=$R35,$BC35,IF(AF15=$R36,$BC36,IF(AF15=$R37,$BC37,IF(AF15=$R38,$BC38,IF(AF15=$R39,$BC39,IF(AF15=$R40,$BC40,0)))))))))</f>
        <v>0</v>
      </c>
      <c r="AG117" s="151">
        <f>IF(AG15=$R32,$BC32,IF(AG15=$R33,$BC33,IF(AG15=$R34,$BC34,IF(AG15=$R35,$BC35,IF(AG15=$R36,$BC36,IF(AG15=$R37,$BC37,IF(AG15=$R38,$BC38,IF(AG15=$R39,$BC39,IF(AG15=$R40,$BC40,0)))))))))</f>
        <v>0</v>
      </c>
      <c r="AH117" s="226">
        <f>SUM(C117:AG117)</f>
        <v>180</v>
      </c>
      <c r="AI117" s="226"/>
      <c r="AJ117" s="174" t="s">
        <v>62</v>
      </c>
      <c r="AK117" s="133" t="s">
        <v>12</v>
      </c>
      <c r="AL117" s="133"/>
    </row>
    <row r="118" spans="1:57" ht="15.95" hidden="1" customHeight="1" x14ac:dyDescent="0.25">
      <c r="A118" s="153" t="s">
        <v>48</v>
      </c>
      <c r="B118" s="149" t="s">
        <v>63</v>
      </c>
      <c r="C118" s="141" t="b">
        <f t="shared" ref="C118:AG118" si="112">IF(C46=1,IF(C113&lt;C114,C117,0))</f>
        <v>0</v>
      </c>
      <c r="D118" s="141" t="b">
        <f t="shared" si="112"/>
        <v>0</v>
      </c>
      <c r="E118" s="141" t="b">
        <f t="shared" si="112"/>
        <v>0</v>
      </c>
      <c r="F118" s="141" t="b">
        <f t="shared" si="112"/>
        <v>0</v>
      </c>
      <c r="G118" s="141">
        <f t="shared" si="112"/>
        <v>12</v>
      </c>
      <c r="H118" s="141">
        <f t="shared" si="112"/>
        <v>12</v>
      </c>
      <c r="I118" s="141" t="b">
        <f t="shared" si="112"/>
        <v>0</v>
      </c>
      <c r="J118" s="141" t="b">
        <f t="shared" si="112"/>
        <v>0</v>
      </c>
      <c r="K118" s="141" t="b">
        <f t="shared" si="112"/>
        <v>0</v>
      </c>
      <c r="L118" s="141" t="b">
        <f t="shared" si="112"/>
        <v>0</v>
      </c>
      <c r="M118" s="141" t="b">
        <f t="shared" si="112"/>
        <v>0</v>
      </c>
      <c r="N118" s="141">
        <f t="shared" si="112"/>
        <v>0</v>
      </c>
      <c r="O118" s="141">
        <f t="shared" si="112"/>
        <v>0</v>
      </c>
      <c r="P118" s="141" t="b">
        <f t="shared" si="112"/>
        <v>0</v>
      </c>
      <c r="Q118" s="141" t="b">
        <f t="shared" si="112"/>
        <v>0</v>
      </c>
      <c r="R118" s="141" t="b">
        <f t="shared" si="112"/>
        <v>0</v>
      </c>
      <c r="S118" s="141" t="b">
        <f t="shared" si="112"/>
        <v>0</v>
      </c>
      <c r="T118" s="141" t="b">
        <f t="shared" si="112"/>
        <v>0</v>
      </c>
      <c r="U118" s="141">
        <f t="shared" si="112"/>
        <v>12</v>
      </c>
      <c r="V118" s="141">
        <f t="shared" si="112"/>
        <v>12</v>
      </c>
      <c r="W118" s="141" t="b">
        <f t="shared" si="112"/>
        <v>0</v>
      </c>
      <c r="X118" s="141" t="b">
        <f t="shared" si="112"/>
        <v>0</v>
      </c>
      <c r="Y118" s="141" t="b">
        <f t="shared" si="112"/>
        <v>0</v>
      </c>
      <c r="Z118" s="141" t="b">
        <f t="shared" si="112"/>
        <v>0</v>
      </c>
      <c r="AA118" s="141" t="b">
        <f t="shared" si="112"/>
        <v>0</v>
      </c>
      <c r="AB118" s="141">
        <f t="shared" si="112"/>
        <v>0</v>
      </c>
      <c r="AC118" s="141">
        <f t="shared" si="112"/>
        <v>0</v>
      </c>
      <c r="AD118" s="141" t="b">
        <f t="shared" si="112"/>
        <v>0</v>
      </c>
      <c r="AE118" s="141" t="b">
        <f t="shared" si="112"/>
        <v>0</v>
      </c>
      <c r="AF118" s="141" t="b">
        <f t="shared" si="112"/>
        <v>0</v>
      </c>
      <c r="AG118" s="141" t="b">
        <f t="shared" si="112"/>
        <v>0</v>
      </c>
      <c r="AH118" s="154" t="s">
        <v>12</v>
      </c>
      <c r="AI118" s="133"/>
      <c r="AJ118" s="170"/>
      <c r="AK118" s="133"/>
      <c r="AL118" s="133"/>
    </row>
    <row r="119" spans="1:57" ht="15.95" hidden="1" customHeight="1" x14ac:dyDescent="0.25">
      <c r="A119" s="176"/>
      <c r="B119" s="149" t="s">
        <v>64</v>
      </c>
      <c r="C119" s="141">
        <f t="shared" ref="C119:AG119" si="113">IF(C46=1,IF(C113&gt;C114,24-C113,0),0)</f>
        <v>0</v>
      </c>
      <c r="D119" s="141">
        <f t="shared" si="113"/>
        <v>0</v>
      </c>
      <c r="E119" s="141">
        <f t="shared" si="113"/>
        <v>0</v>
      </c>
      <c r="F119" s="141">
        <f t="shared" si="113"/>
        <v>0</v>
      </c>
      <c r="G119" s="141">
        <f t="shared" si="113"/>
        <v>0</v>
      </c>
      <c r="H119" s="141">
        <f t="shared" si="113"/>
        <v>0</v>
      </c>
      <c r="I119" s="141">
        <f t="shared" si="113"/>
        <v>0</v>
      </c>
      <c r="J119" s="141">
        <f t="shared" si="113"/>
        <v>0</v>
      </c>
      <c r="K119" s="141">
        <f t="shared" si="113"/>
        <v>0</v>
      </c>
      <c r="L119" s="141">
        <f t="shared" si="113"/>
        <v>0</v>
      </c>
      <c r="M119" s="141">
        <f t="shared" si="113"/>
        <v>0</v>
      </c>
      <c r="N119" s="141">
        <f t="shared" si="113"/>
        <v>0</v>
      </c>
      <c r="O119" s="141">
        <f t="shared" si="113"/>
        <v>0</v>
      </c>
      <c r="P119" s="141">
        <f t="shared" si="113"/>
        <v>0</v>
      </c>
      <c r="Q119" s="141">
        <f t="shared" si="113"/>
        <v>0</v>
      </c>
      <c r="R119" s="141">
        <f t="shared" si="113"/>
        <v>0</v>
      </c>
      <c r="S119" s="141">
        <f t="shared" si="113"/>
        <v>0</v>
      </c>
      <c r="T119" s="141">
        <f t="shared" si="113"/>
        <v>0</v>
      </c>
      <c r="U119" s="141">
        <f t="shared" si="113"/>
        <v>0</v>
      </c>
      <c r="V119" s="141">
        <f t="shared" si="113"/>
        <v>0</v>
      </c>
      <c r="W119" s="141">
        <f t="shared" si="113"/>
        <v>0</v>
      </c>
      <c r="X119" s="141">
        <f t="shared" si="113"/>
        <v>0</v>
      </c>
      <c r="Y119" s="141">
        <f t="shared" si="113"/>
        <v>0</v>
      </c>
      <c r="Z119" s="141">
        <f t="shared" si="113"/>
        <v>0</v>
      </c>
      <c r="AA119" s="141">
        <f t="shared" si="113"/>
        <v>0</v>
      </c>
      <c r="AB119" s="141">
        <f t="shared" si="113"/>
        <v>0</v>
      </c>
      <c r="AC119" s="141">
        <f t="shared" si="113"/>
        <v>0</v>
      </c>
      <c r="AD119" s="141">
        <f t="shared" si="113"/>
        <v>0</v>
      </c>
      <c r="AE119" s="141">
        <f t="shared" si="113"/>
        <v>0</v>
      </c>
      <c r="AF119" s="141">
        <f t="shared" si="113"/>
        <v>0</v>
      </c>
      <c r="AG119" s="141">
        <f t="shared" si="113"/>
        <v>0</v>
      </c>
      <c r="AH119" s="154" t="s">
        <v>12</v>
      </c>
      <c r="AI119" s="133"/>
      <c r="AJ119" s="170"/>
      <c r="AK119" s="133"/>
      <c r="AL119" s="133"/>
    </row>
    <row r="120" spans="1:57" ht="15.95" hidden="1" customHeight="1" x14ac:dyDescent="0.25">
      <c r="A120" s="176"/>
      <c r="B120" s="149" t="s">
        <v>65</v>
      </c>
      <c r="C120" s="141">
        <f t="shared" ref="C120:AG120" si="114">IF(D46=1,IF(C113&gt;C114,C114,0),0)</f>
        <v>0</v>
      </c>
      <c r="D120" s="141">
        <f t="shared" si="114"/>
        <v>0</v>
      </c>
      <c r="E120" s="141">
        <f t="shared" si="114"/>
        <v>0</v>
      </c>
      <c r="F120" s="141">
        <f t="shared" si="114"/>
        <v>0</v>
      </c>
      <c r="G120" s="141">
        <f t="shared" si="114"/>
        <v>0</v>
      </c>
      <c r="H120" s="141">
        <f t="shared" si="114"/>
        <v>0</v>
      </c>
      <c r="I120" s="141">
        <f t="shared" si="114"/>
        <v>0</v>
      </c>
      <c r="J120" s="141">
        <f t="shared" si="114"/>
        <v>0</v>
      </c>
      <c r="K120" s="141">
        <f t="shared" si="114"/>
        <v>0</v>
      </c>
      <c r="L120" s="141">
        <f t="shared" si="114"/>
        <v>0</v>
      </c>
      <c r="M120" s="141">
        <f t="shared" si="114"/>
        <v>0</v>
      </c>
      <c r="N120" s="141">
        <f t="shared" si="114"/>
        <v>0</v>
      </c>
      <c r="O120" s="141">
        <f t="shared" si="114"/>
        <v>0</v>
      </c>
      <c r="P120" s="141">
        <f t="shared" si="114"/>
        <v>0</v>
      </c>
      <c r="Q120" s="141">
        <f t="shared" si="114"/>
        <v>0</v>
      </c>
      <c r="R120" s="141">
        <f t="shared" si="114"/>
        <v>0</v>
      </c>
      <c r="S120" s="141">
        <f t="shared" si="114"/>
        <v>0</v>
      </c>
      <c r="T120" s="141">
        <f t="shared" si="114"/>
        <v>0</v>
      </c>
      <c r="U120" s="141">
        <f t="shared" si="114"/>
        <v>0</v>
      </c>
      <c r="V120" s="141">
        <f t="shared" si="114"/>
        <v>0</v>
      </c>
      <c r="W120" s="141">
        <f t="shared" si="114"/>
        <v>0</v>
      </c>
      <c r="X120" s="141">
        <f>IF(Y46=1,IF(X113&gt;X114,X114,0),0)</f>
        <v>0</v>
      </c>
      <c r="Y120" s="141">
        <f t="shared" si="114"/>
        <v>0</v>
      </c>
      <c r="Z120" s="141">
        <f t="shared" si="114"/>
        <v>0</v>
      </c>
      <c r="AA120" s="141">
        <f t="shared" si="114"/>
        <v>0</v>
      </c>
      <c r="AB120" s="141">
        <f t="shared" si="114"/>
        <v>0</v>
      </c>
      <c r="AC120" s="141">
        <f t="shared" si="114"/>
        <v>0</v>
      </c>
      <c r="AD120" s="141">
        <f t="shared" si="114"/>
        <v>0</v>
      </c>
      <c r="AE120" s="141">
        <f t="shared" si="114"/>
        <v>0</v>
      </c>
      <c r="AF120" s="141">
        <f t="shared" si="114"/>
        <v>0</v>
      </c>
      <c r="AG120" s="141">
        <f t="shared" si="114"/>
        <v>0</v>
      </c>
      <c r="AH120" s="154" t="s">
        <v>12</v>
      </c>
      <c r="AI120" s="133"/>
      <c r="AJ120" s="170"/>
      <c r="AK120" s="133"/>
      <c r="AL120" s="133"/>
    </row>
    <row r="121" spans="1:57" ht="15.95" hidden="1" customHeight="1" x14ac:dyDescent="0.25">
      <c r="A121" s="176"/>
      <c r="B121" s="149" t="s">
        <v>67</v>
      </c>
      <c r="C121" s="171">
        <f t="shared" ref="C121:AG121" si="115">SUM(C118:C120)</f>
        <v>0</v>
      </c>
      <c r="D121" s="171">
        <f t="shared" si="115"/>
        <v>0</v>
      </c>
      <c r="E121" s="171">
        <f t="shared" si="115"/>
        <v>0</v>
      </c>
      <c r="F121" s="171">
        <f t="shared" si="115"/>
        <v>0</v>
      </c>
      <c r="G121" s="171">
        <f t="shared" si="115"/>
        <v>12</v>
      </c>
      <c r="H121" s="171">
        <f t="shared" si="115"/>
        <v>12</v>
      </c>
      <c r="I121" s="171">
        <f t="shared" si="115"/>
        <v>0</v>
      </c>
      <c r="J121" s="171">
        <f t="shared" si="115"/>
        <v>0</v>
      </c>
      <c r="K121" s="171">
        <f t="shared" si="115"/>
        <v>0</v>
      </c>
      <c r="L121" s="171">
        <f t="shared" si="115"/>
        <v>0</v>
      </c>
      <c r="M121" s="171">
        <f t="shared" si="115"/>
        <v>0</v>
      </c>
      <c r="N121" s="171">
        <f t="shared" si="115"/>
        <v>0</v>
      </c>
      <c r="O121" s="171">
        <f t="shared" si="115"/>
        <v>0</v>
      </c>
      <c r="P121" s="171">
        <f t="shared" si="115"/>
        <v>0</v>
      </c>
      <c r="Q121" s="171">
        <f t="shared" si="115"/>
        <v>0</v>
      </c>
      <c r="R121" s="171">
        <f t="shared" si="115"/>
        <v>0</v>
      </c>
      <c r="S121" s="171">
        <f t="shared" si="115"/>
        <v>0</v>
      </c>
      <c r="T121" s="171">
        <f t="shared" si="115"/>
        <v>0</v>
      </c>
      <c r="U121" s="171">
        <f t="shared" si="115"/>
        <v>12</v>
      </c>
      <c r="V121" s="171">
        <f t="shared" si="115"/>
        <v>12</v>
      </c>
      <c r="W121" s="171">
        <f t="shared" si="115"/>
        <v>0</v>
      </c>
      <c r="X121" s="171">
        <f t="shared" si="115"/>
        <v>0</v>
      </c>
      <c r="Y121" s="171">
        <f t="shared" si="115"/>
        <v>0</v>
      </c>
      <c r="Z121" s="171">
        <f t="shared" si="115"/>
        <v>0</v>
      </c>
      <c r="AA121" s="171">
        <f t="shared" si="115"/>
        <v>0</v>
      </c>
      <c r="AB121" s="171">
        <f t="shared" si="115"/>
        <v>0</v>
      </c>
      <c r="AC121" s="171">
        <f t="shared" si="115"/>
        <v>0</v>
      </c>
      <c r="AD121" s="171">
        <f t="shared" si="115"/>
        <v>0</v>
      </c>
      <c r="AE121" s="171">
        <f t="shared" si="115"/>
        <v>0</v>
      </c>
      <c r="AF121" s="171">
        <f t="shared" si="115"/>
        <v>0</v>
      </c>
      <c r="AG121" s="171">
        <f t="shared" si="115"/>
        <v>0</v>
      </c>
      <c r="AH121" s="154" t="s">
        <v>12</v>
      </c>
      <c r="AI121" s="133"/>
      <c r="AJ121" s="170"/>
      <c r="AK121" s="133"/>
      <c r="AL121" s="133"/>
    </row>
    <row r="122" spans="1:57" ht="15.95" hidden="1" customHeight="1" x14ac:dyDescent="0.25">
      <c r="A122" s="177"/>
      <c r="B122" s="160" t="s">
        <v>68</v>
      </c>
      <c r="C122" s="182">
        <f t="shared" ref="C122:AG122" si="116">IF(C15="V",IF(C15="",0,1),0)</f>
        <v>0</v>
      </c>
      <c r="D122" s="182">
        <f t="shared" si="116"/>
        <v>0</v>
      </c>
      <c r="E122" s="182">
        <f t="shared" si="116"/>
        <v>0</v>
      </c>
      <c r="F122" s="182">
        <f t="shared" si="116"/>
        <v>0</v>
      </c>
      <c r="G122" s="182">
        <f t="shared" si="116"/>
        <v>0</v>
      </c>
      <c r="H122" s="182">
        <f t="shared" si="116"/>
        <v>0</v>
      </c>
      <c r="I122" s="182">
        <f t="shared" si="116"/>
        <v>0</v>
      </c>
      <c r="J122" s="182">
        <f t="shared" si="116"/>
        <v>0</v>
      </c>
      <c r="K122" s="182">
        <f t="shared" si="116"/>
        <v>0</v>
      </c>
      <c r="L122" s="182">
        <f t="shared" si="116"/>
        <v>0</v>
      </c>
      <c r="M122" s="182">
        <f t="shared" si="116"/>
        <v>0</v>
      </c>
      <c r="N122" s="182">
        <f t="shared" si="116"/>
        <v>0</v>
      </c>
      <c r="O122" s="182">
        <f t="shared" si="116"/>
        <v>0</v>
      </c>
      <c r="P122" s="182">
        <f t="shared" si="116"/>
        <v>0</v>
      </c>
      <c r="Q122" s="182">
        <f t="shared" si="116"/>
        <v>0</v>
      </c>
      <c r="R122" s="182">
        <f t="shared" si="116"/>
        <v>0</v>
      </c>
      <c r="S122" s="182">
        <f t="shared" si="116"/>
        <v>0</v>
      </c>
      <c r="T122" s="182">
        <f t="shared" si="116"/>
        <v>0</v>
      </c>
      <c r="U122" s="182">
        <f t="shared" si="116"/>
        <v>0</v>
      </c>
      <c r="V122" s="182">
        <f t="shared" si="116"/>
        <v>0</v>
      </c>
      <c r="W122" s="182">
        <f t="shared" si="116"/>
        <v>0</v>
      </c>
      <c r="X122" s="182">
        <f t="shared" si="116"/>
        <v>0</v>
      </c>
      <c r="Y122" s="182">
        <f t="shared" si="116"/>
        <v>0</v>
      </c>
      <c r="Z122" s="182">
        <f t="shared" si="116"/>
        <v>0</v>
      </c>
      <c r="AA122" s="182">
        <f t="shared" si="116"/>
        <v>0</v>
      </c>
      <c r="AB122" s="182">
        <f t="shared" si="116"/>
        <v>0</v>
      </c>
      <c r="AC122" s="182">
        <f t="shared" si="116"/>
        <v>0</v>
      </c>
      <c r="AD122" s="182">
        <f t="shared" si="116"/>
        <v>0</v>
      </c>
      <c r="AE122" s="182">
        <f t="shared" si="116"/>
        <v>0</v>
      </c>
      <c r="AF122" s="182">
        <f t="shared" si="116"/>
        <v>0</v>
      </c>
      <c r="AG122" s="182">
        <f t="shared" si="116"/>
        <v>0</v>
      </c>
      <c r="AH122" s="154" t="s">
        <v>12</v>
      </c>
      <c r="AI122" s="133"/>
      <c r="AJ122" s="170"/>
      <c r="AK122" s="133"/>
      <c r="AL122" s="133"/>
    </row>
    <row r="123" spans="1:57" ht="15.95" hidden="1" customHeight="1" x14ac:dyDescent="0.25">
      <c r="A123" s="180"/>
      <c r="B123" s="181" t="s">
        <v>16</v>
      </c>
      <c r="C123" s="182">
        <f t="shared" ref="C123:AG123" si="117">IF(C15="PR",IF(C15="",0,1),0)</f>
        <v>0</v>
      </c>
      <c r="D123" s="182">
        <f t="shared" si="117"/>
        <v>0</v>
      </c>
      <c r="E123" s="182">
        <f t="shared" si="117"/>
        <v>0</v>
      </c>
      <c r="F123" s="182">
        <f t="shared" si="117"/>
        <v>0</v>
      </c>
      <c r="G123" s="182">
        <f t="shared" si="117"/>
        <v>0</v>
      </c>
      <c r="H123" s="182">
        <f t="shared" si="117"/>
        <v>0</v>
      </c>
      <c r="I123" s="182">
        <f t="shared" si="117"/>
        <v>0</v>
      </c>
      <c r="J123" s="182">
        <f t="shared" si="117"/>
        <v>0</v>
      </c>
      <c r="K123" s="182">
        <f t="shared" si="117"/>
        <v>0</v>
      </c>
      <c r="L123" s="182">
        <f t="shared" si="117"/>
        <v>0</v>
      </c>
      <c r="M123" s="182">
        <f t="shared" si="117"/>
        <v>0</v>
      </c>
      <c r="N123" s="182">
        <f t="shared" si="117"/>
        <v>0</v>
      </c>
      <c r="O123" s="182">
        <f t="shared" si="117"/>
        <v>0</v>
      </c>
      <c r="P123" s="182">
        <f t="shared" si="117"/>
        <v>0</v>
      </c>
      <c r="Q123" s="182">
        <f t="shared" si="117"/>
        <v>0</v>
      </c>
      <c r="R123" s="182">
        <f t="shared" si="117"/>
        <v>0</v>
      </c>
      <c r="S123" s="182">
        <f t="shared" si="117"/>
        <v>0</v>
      </c>
      <c r="T123" s="182">
        <f t="shared" si="117"/>
        <v>0</v>
      </c>
      <c r="U123" s="182">
        <f t="shared" si="117"/>
        <v>0</v>
      </c>
      <c r="V123" s="182">
        <f t="shared" si="117"/>
        <v>0</v>
      </c>
      <c r="W123" s="182">
        <f t="shared" si="117"/>
        <v>0</v>
      </c>
      <c r="X123" s="182">
        <f t="shared" si="117"/>
        <v>0</v>
      </c>
      <c r="Y123" s="182">
        <f t="shared" si="117"/>
        <v>0</v>
      </c>
      <c r="Z123" s="182">
        <f t="shared" si="117"/>
        <v>0</v>
      </c>
      <c r="AA123" s="182">
        <f t="shared" si="117"/>
        <v>0</v>
      </c>
      <c r="AB123" s="182">
        <f t="shared" si="117"/>
        <v>0</v>
      </c>
      <c r="AC123" s="182">
        <f t="shared" si="117"/>
        <v>0</v>
      </c>
      <c r="AD123" s="182">
        <f t="shared" si="117"/>
        <v>0</v>
      </c>
      <c r="AE123" s="182">
        <f t="shared" si="117"/>
        <v>0</v>
      </c>
      <c r="AF123" s="182">
        <f t="shared" si="117"/>
        <v>0</v>
      </c>
      <c r="AG123" s="182">
        <f t="shared" si="117"/>
        <v>0</v>
      </c>
      <c r="AH123" s="227">
        <f>SUM(C123:AG123)</f>
        <v>0</v>
      </c>
      <c r="AI123" s="227"/>
      <c r="AJ123" s="174" t="s">
        <v>69</v>
      </c>
      <c r="AK123" s="133"/>
      <c r="AL123" s="133"/>
    </row>
    <row r="124" spans="1:57" ht="15.95" hidden="1" customHeight="1" x14ac:dyDescent="0.25">
      <c r="A124" s="164" t="s">
        <v>83</v>
      </c>
      <c r="B124" s="165" t="s">
        <v>29</v>
      </c>
      <c r="C124" s="141" t="str">
        <f t="shared" ref="C124:AG124" si="118">IF(C16=$R32,$S32*24,IF(C16=$R33,$S33*24,IF(C16=$R34,$S34*24,IF(C16=$R35,$S35*24,IF(C16=$R36,$S36*24,IF(C16=$R37,$S37*24,IF(C16=$R38,$S38*24,IF(C16=$R39,$S39*24,IF(C16=$R40,$S40*24,"")))))))))</f>
        <v/>
      </c>
      <c r="D124" s="141">
        <f t="shared" si="118"/>
        <v>18</v>
      </c>
      <c r="E124" s="141">
        <f t="shared" si="118"/>
        <v>18</v>
      </c>
      <c r="F124" s="141" t="str">
        <f t="shared" si="118"/>
        <v/>
      </c>
      <c r="G124" s="141" t="str">
        <f t="shared" si="118"/>
        <v/>
      </c>
      <c r="H124" s="141" t="str">
        <f t="shared" si="118"/>
        <v/>
      </c>
      <c r="I124" s="141">
        <f t="shared" si="118"/>
        <v>18</v>
      </c>
      <c r="J124" s="141">
        <f t="shared" si="118"/>
        <v>18</v>
      </c>
      <c r="K124" s="141" t="str">
        <f t="shared" si="118"/>
        <v/>
      </c>
      <c r="L124" s="141" t="str">
        <f t="shared" si="118"/>
        <v/>
      </c>
      <c r="M124" s="141">
        <f t="shared" si="118"/>
        <v>18</v>
      </c>
      <c r="N124" s="141">
        <f t="shared" si="118"/>
        <v>18</v>
      </c>
      <c r="O124" s="141">
        <f t="shared" si="118"/>
        <v>18</v>
      </c>
      <c r="P124" s="141" t="str">
        <f t="shared" si="118"/>
        <v/>
      </c>
      <c r="Q124" s="141" t="str">
        <f t="shared" si="118"/>
        <v/>
      </c>
      <c r="R124" s="141" t="str">
        <f t="shared" si="118"/>
        <v/>
      </c>
      <c r="S124" s="141" t="str">
        <f t="shared" si="118"/>
        <v/>
      </c>
      <c r="T124" s="141" t="str">
        <f t="shared" si="118"/>
        <v/>
      </c>
      <c r="U124" s="141" t="str">
        <f t="shared" si="118"/>
        <v/>
      </c>
      <c r="V124" s="141" t="str">
        <f t="shared" si="118"/>
        <v/>
      </c>
      <c r="W124" s="141" t="str">
        <f t="shared" si="118"/>
        <v/>
      </c>
      <c r="X124" s="141" t="str">
        <f t="shared" si="118"/>
        <v/>
      </c>
      <c r="Y124" s="141" t="str">
        <f t="shared" si="118"/>
        <v/>
      </c>
      <c r="Z124" s="141" t="str">
        <f t="shared" si="118"/>
        <v/>
      </c>
      <c r="AA124" s="141" t="str">
        <f t="shared" si="118"/>
        <v/>
      </c>
      <c r="AB124" s="141" t="str">
        <f t="shared" si="118"/>
        <v/>
      </c>
      <c r="AC124" s="141" t="str">
        <f t="shared" si="118"/>
        <v/>
      </c>
      <c r="AD124" s="141" t="str">
        <f t="shared" si="118"/>
        <v/>
      </c>
      <c r="AE124" s="141" t="str">
        <f t="shared" si="118"/>
        <v/>
      </c>
      <c r="AF124" s="141" t="str">
        <f t="shared" si="118"/>
        <v/>
      </c>
      <c r="AG124" s="141" t="str">
        <f t="shared" si="118"/>
        <v/>
      </c>
      <c r="AH124" s="154" t="s">
        <v>12</v>
      </c>
      <c r="AI124" s="133"/>
      <c r="AJ124" s="170"/>
      <c r="AK124" s="133"/>
      <c r="AL124" s="133"/>
    </row>
    <row r="125" spans="1:57" ht="15.95" hidden="1" customHeight="1" x14ac:dyDescent="0.25">
      <c r="A125" s="166" t="s">
        <v>84</v>
      </c>
      <c r="B125" s="167" t="s">
        <v>30</v>
      </c>
      <c r="C125" s="141" t="str">
        <f t="shared" ref="C125:AG125" si="119">IF(C16=$R32,$V32*24,IF(C16=$R33,$V33*24,IF(C16=$R34,$V34*24,IF(C16=$R35,$V35*24,IF(C16=$R36,$V36*24,IF(C16=$R37,$V37*24,IF(C16=$R38,$V38*24,IF(C16=$R39,$V39*24,IF(C16=$R40,$V40*24,"")))))))))</f>
        <v/>
      </c>
      <c r="D125" s="141">
        <f t="shared" si="119"/>
        <v>6</v>
      </c>
      <c r="E125" s="141">
        <f t="shared" si="119"/>
        <v>6</v>
      </c>
      <c r="F125" s="141" t="str">
        <f t="shared" si="119"/>
        <v/>
      </c>
      <c r="G125" s="141" t="str">
        <f t="shared" si="119"/>
        <v/>
      </c>
      <c r="H125" s="141" t="str">
        <f t="shared" si="119"/>
        <v/>
      </c>
      <c r="I125" s="141">
        <f t="shared" si="119"/>
        <v>6</v>
      </c>
      <c r="J125" s="141">
        <f t="shared" si="119"/>
        <v>6</v>
      </c>
      <c r="K125" s="141" t="str">
        <f t="shared" si="119"/>
        <v/>
      </c>
      <c r="L125" s="141" t="str">
        <f t="shared" si="119"/>
        <v/>
      </c>
      <c r="M125" s="141">
        <f t="shared" si="119"/>
        <v>6</v>
      </c>
      <c r="N125" s="141">
        <f t="shared" si="119"/>
        <v>6</v>
      </c>
      <c r="O125" s="141">
        <f t="shared" si="119"/>
        <v>6</v>
      </c>
      <c r="P125" s="141" t="str">
        <f t="shared" si="119"/>
        <v/>
      </c>
      <c r="Q125" s="141" t="str">
        <f t="shared" si="119"/>
        <v/>
      </c>
      <c r="R125" s="141" t="str">
        <f t="shared" si="119"/>
        <v/>
      </c>
      <c r="S125" s="141" t="str">
        <f t="shared" si="119"/>
        <v/>
      </c>
      <c r="T125" s="141" t="str">
        <f t="shared" si="119"/>
        <v/>
      </c>
      <c r="U125" s="141" t="str">
        <f t="shared" si="119"/>
        <v/>
      </c>
      <c r="V125" s="141" t="str">
        <f t="shared" si="119"/>
        <v/>
      </c>
      <c r="W125" s="141" t="str">
        <f t="shared" si="119"/>
        <v/>
      </c>
      <c r="X125" s="141" t="str">
        <f t="shared" si="119"/>
        <v/>
      </c>
      <c r="Y125" s="141" t="str">
        <f t="shared" si="119"/>
        <v/>
      </c>
      <c r="Z125" s="141" t="str">
        <f t="shared" si="119"/>
        <v/>
      </c>
      <c r="AA125" s="141" t="str">
        <f t="shared" si="119"/>
        <v/>
      </c>
      <c r="AB125" s="141" t="str">
        <f t="shared" si="119"/>
        <v/>
      </c>
      <c r="AC125" s="141" t="str">
        <f t="shared" si="119"/>
        <v/>
      </c>
      <c r="AD125" s="141" t="str">
        <f t="shared" si="119"/>
        <v/>
      </c>
      <c r="AE125" s="141" t="str">
        <f t="shared" si="119"/>
        <v/>
      </c>
      <c r="AF125" s="141" t="str">
        <f t="shared" si="119"/>
        <v/>
      </c>
      <c r="AG125" s="141" t="str">
        <f t="shared" si="119"/>
        <v/>
      </c>
      <c r="AH125" s="154" t="s">
        <v>12</v>
      </c>
      <c r="AI125" s="133"/>
      <c r="AJ125" s="170"/>
      <c r="AK125" s="133"/>
      <c r="AL125" s="133"/>
    </row>
    <row r="126" spans="1:57" ht="15.95" hidden="1" customHeight="1" x14ac:dyDescent="0.25">
      <c r="A126" s="153"/>
      <c r="B126" s="168" t="s">
        <v>34</v>
      </c>
      <c r="C126" s="169" t="str">
        <f t="shared" ref="C126:AD126" si="120">IF(C16=$R32,$BD32*24,IF(C16=$R33,$BD33*24,IF(C16=$R34,$BD34*24,IF(C16=$R35,$BD35*24,IF(C16=$R36,$BD36*24,IF(C16=$R37,$BD37*24,IF(C16=$R38,$BD38*24,IF(C16=$R39,$BD39*24,IF(C16=$R40,$BD40*24,"")))))))))</f>
        <v/>
      </c>
      <c r="D126" s="169">
        <f t="shared" si="120"/>
        <v>8</v>
      </c>
      <c r="E126" s="169">
        <f t="shared" si="120"/>
        <v>8</v>
      </c>
      <c r="F126" s="169" t="str">
        <f t="shared" si="120"/>
        <v/>
      </c>
      <c r="G126" s="169" t="str">
        <f t="shared" si="120"/>
        <v/>
      </c>
      <c r="H126" s="169" t="str">
        <f t="shared" si="120"/>
        <v/>
      </c>
      <c r="I126" s="169">
        <f t="shared" si="120"/>
        <v>8</v>
      </c>
      <c r="J126" s="169">
        <f t="shared" si="120"/>
        <v>8</v>
      </c>
      <c r="K126" s="169" t="str">
        <f t="shared" si="120"/>
        <v/>
      </c>
      <c r="L126" s="169" t="str">
        <f t="shared" si="120"/>
        <v/>
      </c>
      <c r="M126" s="169">
        <f t="shared" si="120"/>
        <v>8</v>
      </c>
      <c r="N126" s="169">
        <f t="shared" si="120"/>
        <v>8</v>
      </c>
      <c r="O126" s="169">
        <f t="shared" si="120"/>
        <v>8</v>
      </c>
      <c r="P126" s="169" t="str">
        <f t="shared" si="120"/>
        <v/>
      </c>
      <c r="Q126" s="169" t="str">
        <f t="shared" si="120"/>
        <v/>
      </c>
      <c r="R126" s="169" t="str">
        <f t="shared" si="120"/>
        <v/>
      </c>
      <c r="S126" s="169" t="str">
        <f t="shared" si="120"/>
        <v/>
      </c>
      <c r="T126" s="169" t="str">
        <f t="shared" si="120"/>
        <v/>
      </c>
      <c r="U126" s="169" t="str">
        <f t="shared" si="120"/>
        <v/>
      </c>
      <c r="V126" s="169" t="str">
        <f t="shared" si="120"/>
        <v/>
      </c>
      <c r="W126" s="169" t="str">
        <f t="shared" si="120"/>
        <v/>
      </c>
      <c r="X126" s="169" t="str">
        <f t="shared" si="120"/>
        <v/>
      </c>
      <c r="Y126" s="169" t="str">
        <f t="shared" si="120"/>
        <v/>
      </c>
      <c r="Z126" s="169" t="str">
        <f t="shared" si="120"/>
        <v/>
      </c>
      <c r="AA126" s="169" t="str">
        <f t="shared" si="120"/>
        <v/>
      </c>
      <c r="AB126" s="169" t="str">
        <f t="shared" si="120"/>
        <v/>
      </c>
      <c r="AC126" s="169" t="str">
        <f t="shared" si="120"/>
        <v/>
      </c>
      <c r="AD126" s="169" t="str">
        <f t="shared" si="120"/>
        <v/>
      </c>
      <c r="AE126" s="169" t="str">
        <f>IF(AE16=$R32,$BD32*24,IF(AE16=$R33,$BD33*24,IF(AE16=$R34,$BD34*24,IF(AE16=$R35,$BD35*24,IF(AE16=$R36,$BD36*24,IF(AE16=$R37,$BD37*24,IF(AE16=$R38,$BD38*24,IF(AE16=$R39,$BD39*24,IF(AE16=$R40,$BD40*24,"")))))))))</f>
        <v/>
      </c>
      <c r="AF126" s="169" t="str">
        <f>IF(AF16=$R32,$BD32*24,IF(AF16=$R33,$BD33*24,IF(AF16=$R34,$BD34*24,IF(AF16=$R35,$BD35*24,IF(AF16=$R36,$BD36*24,IF(AF16=$R37,$BD37*24,IF(AF16=$R38,$BD38*24,IF(AF16=$R39,$BD39*24,IF(AF16=$R40,$BD40*24,"")))))))))</f>
        <v/>
      </c>
      <c r="AG126" s="169" t="str">
        <f>IF(AG16=$R32,$BD32*24,IF(AG16=$R33,$BD33*24,IF(AG16=$R34,$BD34*24,IF(AG16=$R35,$BD35*24,IF(AG16=$R36,$BD36*24,IF(AG16=$R37,$BD37*24,IF(AG16=$R38,$BD38*24,IF(AG16=$R39,$BD39*24,IF(AG16=$R40,$BD40*24,"")))))))))</f>
        <v/>
      </c>
      <c r="AH126" s="148">
        <f>SUM(C126:AG126)</f>
        <v>56</v>
      </c>
      <c r="AI126" s="133"/>
      <c r="AJ126" s="170"/>
      <c r="AK126" s="133"/>
      <c r="AL126" s="133"/>
    </row>
    <row r="127" spans="1:57" ht="15.95" hidden="1" customHeight="1" x14ac:dyDescent="0.25">
      <c r="A127" s="153"/>
      <c r="B127" s="167" t="s">
        <v>59</v>
      </c>
      <c r="C127" s="141">
        <f t="shared" ref="C127:AG127" si="121">IF(C16="V",$C36,IF(C16="PR",$C38,0))</f>
        <v>0</v>
      </c>
      <c r="D127" s="141">
        <f t="shared" si="121"/>
        <v>0</v>
      </c>
      <c r="E127" s="141">
        <f t="shared" si="121"/>
        <v>0</v>
      </c>
      <c r="F127" s="141">
        <f t="shared" si="121"/>
        <v>0</v>
      </c>
      <c r="G127" s="141">
        <f t="shared" si="121"/>
        <v>0</v>
      </c>
      <c r="H127" s="141">
        <f t="shared" si="121"/>
        <v>0</v>
      </c>
      <c r="I127" s="141">
        <f t="shared" si="121"/>
        <v>0</v>
      </c>
      <c r="J127" s="141">
        <f t="shared" si="121"/>
        <v>0</v>
      </c>
      <c r="K127" s="141">
        <f t="shared" si="121"/>
        <v>0</v>
      </c>
      <c r="L127" s="141">
        <f t="shared" si="121"/>
        <v>0</v>
      </c>
      <c r="M127" s="141">
        <f t="shared" si="121"/>
        <v>0</v>
      </c>
      <c r="N127" s="141">
        <f t="shared" si="121"/>
        <v>0</v>
      </c>
      <c r="O127" s="141">
        <f t="shared" si="121"/>
        <v>0</v>
      </c>
      <c r="P127" s="141">
        <f t="shared" si="121"/>
        <v>0</v>
      </c>
      <c r="Q127" s="141">
        <f t="shared" si="121"/>
        <v>0</v>
      </c>
      <c r="R127" s="141">
        <f t="shared" si="121"/>
        <v>5.22</v>
      </c>
      <c r="S127" s="141">
        <f t="shared" si="121"/>
        <v>5.22</v>
      </c>
      <c r="T127" s="141">
        <f t="shared" si="121"/>
        <v>5.22</v>
      </c>
      <c r="U127" s="141">
        <f t="shared" si="121"/>
        <v>5.22</v>
      </c>
      <c r="V127" s="141">
        <f t="shared" si="121"/>
        <v>5.22</v>
      </c>
      <c r="W127" s="141">
        <f t="shared" si="121"/>
        <v>5.22</v>
      </c>
      <c r="X127" s="141">
        <f t="shared" si="121"/>
        <v>5.22</v>
      </c>
      <c r="Y127" s="141">
        <f t="shared" si="121"/>
        <v>5.22</v>
      </c>
      <c r="Z127" s="141">
        <f t="shared" si="121"/>
        <v>5.22</v>
      </c>
      <c r="AA127" s="141">
        <f t="shared" si="121"/>
        <v>5.22</v>
      </c>
      <c r="AB127" s="141">
        <f t="shared" si="121"/>
        <v>5.22</v>
      </c>
      <c r="AC127" s="141">
        <f t="shared" si="121"/>
        <v>5.22</v>
      </c>
      <c r="AD127" s="141">
        <f t="shared" si="121"/>
        <v>5.22</v>
      </c>
      <c r="AE127" s="141">
        <f t="shared" si="121"/>
        <v>5.22</v>
      </c>
      <c r="AF127" s="141">
        <f t="shared" si="121"/>
        <v>5.22</v>
      </c>
      <c r="AG127" s="141">
        <f t="shared" si="121"/>
        <v>5.22</v>
      </c>
      <c r="AH127" s="226">
        <f>SUM(C127:AG127)</f>
        <v>83.52</v>
      </c>
      <c r="AI127" s="226"/>
      <c r="AJ127" s="230">
        <f>SUM(AH72+AH83+AH94+AH105+AH116+AH127)</f>
        <v>167.04</v>
      </c>
      <c r="AK127" s="230"/>
      <c r="AL127" s="133" t="s">
        <v>56</v>
      </c>
    </row>
    <row r="128" spans="1:57" ht="15.95" hidden="1" customHeight="1" x14ac:dyDescent="0.25">
      <c r="A128" s="150" t="s">
        <v>60</v>
      </c>
      <c r="B128" s="167" t="s">
        <v>61</v>
      </c>
      <c r="C128" s="151">
        <f t="shared" ref="C128:AD128" si="122">IF(C16=$R32,$BC32,IF(C16=$R33,$BC33,IF(C16=$R34,$BC34,IF(C16=$R35,$BC35,IF(C16=$R36,$BC36,IF(C16=$R37,$BC37,IF(C16=$R38,$BC38,IF(C16=$R39,$BC39,IF(C16=$R40,$BC40,0)))))))))</f>
        <v>0</v>
      </c>
      <c r="D128" s="151">
        <f t="shared" si="122"/>
        <v>12</v>
      </c>
      <c r="E128" s="151">
        <f t="shared" si="122"/>
        <v>12</v>
      </c>
      <c r="F128" s="151">
        <f t="shared" si="122"/>
        <v>0</v>
      </c>
      <c r="G128" s="151">
        <f t="shared" si="122"/>
        <v>0</v>
      </c>
      <c r="H128" s="151">
        <f t="shared" si="122"/>
        <v>0</v>
      </c>
      <c r="I128" s="151">
        <f t="shared" si="122"/>
        <v>12</v>
      </c>
      <c r="J128" s="151">
        <f t="shared" si="122"/>
        <v>12</v>
      </c>
      <c r="K128" s="151">
        <f t="shared" si="122"/>
        <v>0</v>
      </c>
      <c r="L128" s="151">
        <f t="shared" si="122"/>
        <v>0</v>
      </c>
      <c r="M128" s="151">
        <f t="shared" si="122"/>
        <v>12</v>
      </c>
      <c r="N128" s="151">
        <f t="shared" si="122"/>
        <v>12</v>
      </c>
      <c r="O128" s="151">
        <f t="shared" si="122"/>
        <v>12</v>
      </c>
      <c r="P128" s="151">
        <f t="shared" si="122"/>
        <v>0</v>
      </c>
      <c r="Q128" s="151">
        <f t="shared" si="122"/>
        <v>0</v>
      </c>
      <c r="R128" s="151">
        <f t="shared" si="122"/>
        <v>0</v>
      </c>
      <c r="S128" s="151">
        <f t="shared" si="122"/>
        <v>0</v>
      </c>
      <c r="T128" s="151">
        <f t="shared" si="122"/>
        <v>0</v>
      </c>
      <c r="U128" s="151">
        <f t="shared" si="122"/>
        <v>0</v>
      </c>
      <c r="V128" s="151">
        <f t="shared" si="122"/>
        <v>0</v>
      </c>
      <c r="W128" s="151">
        <f t="shared" si="122"/>
        <v>0</v>
      </c>
      <c r="X128" s="151">
        <f t="shared" si="122"/>
        <v>0</v>
      </c>
      <c r="Y128" s="151">
        <f t="shared" si="122"/>
        <v>0</v>
      </c>
      <c r="Z128" s="151">
        <f t="shared" si="122"/>
        <v>0</v>
      </c>
      <c r="AA128" s="151">
        <f t="shared" si="122"/>
        <v>0</v>
      </c>
      <c r="AB128" s="151">
        <f t="shared" si="122"/>
        <v>0</v>
      </c>
      <c r="AC128" s="151">
        <f t="shared" si="122"/>
        <v>0</v>
      </c>
      <c r="AD128" s="151">
        <f t="shared" si="122"/>
        <v>0</v>
      </c>
      <c r="AE128" s="151">
        <f>IF(AE16=$R32,$BC32,IF(AE16=$R33,$BC33,IF(AE16=$R34,$BC34,IF(AE16=$R35,$BC35,IF(AE16=$R36,$BC36,IF(AE16=$R37,$BC37,IF(AE16=$R38,$BC38,IF(AE16=$R39,$BC39,IF(AE16=$R40,$BC40,0)))))))))</f>
        <v>0</v>
      </c>
      <c r="AF128" s="151">
        <f>IF(AF16=$R32,$BC32,IF(AF16=$R33,$BC33,IF(AF16=$R34,$BC34,IF(AF16=$R35,$BC35,IF(AF16=$R36,$BC36,IF(AF16=$R37,$BC37,IF(AF16=$R38,$BC38,IF(AF16=$R39,$BC39,IF(AF16=$R40,$BC40,0)))))))))</f>
        <v>0</v>
      </c>
      <c r="AG128" s="151">
        <f>IF(AG16=$R32,$BC32,IF(AG16=$R33,$BC33,IF(AG16=$R34,$BC34,IF(AG16=$R35,$BC35,IF(AG16=$R36,$BC36,IF(AG16=$R37,$BC37,IF(AG16=$R38,$BC38,IF(AG16=$R39,$BC39,IF(AG16=$R40,$BC40,0)))))))))</f>
        <v>0</v>
      </c>
      <c r="AH128" s="226">
        <f>SUM(C128:AG128)</f>
        <v>84</v>
      </c>
      <c r="AI128" s="226"/>
      <c r="AJ128" s="174" t="s">
        <v>62</v>
      </c>
      <c r="AK128" s="133" t="s">
        <v>12</v>
      </c>
      <c r="AL128" s="133"/>
    </row>
    <row r="129" spans="1:38" ht="15.95" hidden="1" customHeight="1" x14ac:dyDescent="0.25">
      <c r="A129" s="153" t="s">
        <v>48</v>
      </c>
      <c r="B129" s="149" t="s">
        <v>63</v>
      </c>
      <c r="C129" s="141" t="b">
        <f t="shared" ref="C129:AG129" si="123">IF(C46=1,IF(C124&lt;C125,C128,0))</f>
        <v>0</v>
      </c>
      <c r="D129" s="141" t="b">
        <f t="shared" si="123"/>
        <v>0</v>
      </c>
      <c r="E129" s="141" t="b">
        <f t="shared" si="123"/>
        <v>0</v>
      </c>
      <c r="F129" s="141" t="b">
        <f t="shared" si="123"/>
        <v>0</v>
      </c>
      <c r="G129" s="141">
        <f t="shared" si="123"/>
        <v>0</v>
      </c>
      <c r="H129" s="141">
        <f t="shared" si="123"/>
        <v>0</v>
      </c>
      <c r="I129" s="141" t="b">
        <f t="shared" si="123"/>
        <v>0</v>
      </c>
      <c r="J129" s="141" t="b">
        <f t="shared" si="123"/>
        <v>0</v>
      </c>
      <c r="K129" s="141" t="b">
        <f t="shared" si="123"/>
        <v>0</v>
      </c>
      <c r="L129" s="141" t="b">
        <f t="shared" si="123"/>
        <v>0</v>
      </c>
      <c r="M129" s="141" t="b">
        <f t="shared" si="123"/>
        <v>0</v>
      </c>
      <c r="N129" s="141">
        <f t="shared" si="123"/>
        <v>0</v>
      </c>
      <c r="O129" s="141">
        <f t="shared" si="123"/>
        <v>0</v>
      </c>
      <c r="P129" s="141" t="b">
        <f t="shared" si="123"/>
        <v>0</v>
      </c>
      <c r="Q129" s="141" t="b">
        <f t="shared" si="123"/>
        <v>0</v>
      </c>
      <c r="R129" s="141" t="b">
        <f t="shared" si="123"/>
        <v>0</v>
      </c>
      <c r="S129" s="141" t="b">
        <f t="shared" si="123"/>
        <v>0</v>
      </c>
      <c r="T129" s="141" t="b">
        <f t="shared" si="123"/>
        <v>0</v>
      </c>
      <c r="U129" s="141">
        <f t="shared" si="123"/>
        <v>0</v>
      </c>
      <c r="V129" s="141">
        <f t="shared" si="123"/>
        <v>0</v>
      </c>
      <c r="W129" s="141" t="b">
        <f t="shared" si="123"/>
        <v>0</v>
      </c>
      <c r="X129" s="141" t="b">
        <f t="shared" si="123"/>
        <v>0</v>
      </c>
      <c r="Y129" s="141" t="b">
        <f t="shared" si="123"/>
        <v>0</v>
      </c>
      <c r="Z129" s="141" t="b">
        <f t="shared" si="123"/>
        <v>0</v>
      </c>
      <c r="AA129" s="141" t="b">
        <f t="shared" si="123"/>
        <v>0</v>
      </c>
      <c r="AB129" s="141">
        <f t="shared" si="123"/>
        <v>0</v>
      </c>
      <c r="AC129" s="141">
        <f t="shared" si="123"/>
        <v>0</v>
      </c>
      <c r="AD129" s="141" t="b">
        <f t="shared" si="123"/>
        <v>0</v>
      </c>
      <c r="AE129" s="141" t="b">
        <f t="shared" si="123"/>
        <v>0</v>
      </c>
      <c r="AF129" s="141" t="b">
        <f t="shared" si="123"/>
        <v>0</v>
      </c>
      <c r="AG129" s="141" t="b">
        <f t="shared" si="123"/>
        <v>0</v>
      </c>
      <c r="AH129" s="154" t="s">
        <v>12</v>
      </c>
      <c r="AI129" s="133"/>
      <c r="AJ129" s="170"/>
      <c r="AK129" s="133"/>
      <c r="AL129" s="133"/>
    </row>
    <row r="130" spans="1:38" ht="15.95" hidden="1" customHeight="1" x14ac:dyDescent="0.25">
      <c r="A130" s="176"/>
      <c r="B130" s="149" t="s">
        <v>64</v>
      </c>
      <c r="C130" s="141">
        <f t="shared" ref="C130:AG130" si="124">IF(C46=1,IF(C124&gt;C125,24-C124,0),0)</f>
        <v>0</v>
      </c>
      <c r="D130" s="141">
        <f t="shared" si="124"/>
        <v>0</v>
      </c>
      <c r="E130" s="141">
        <f t="shared" si="124"/>
        <v>0</v>
      </c>
      <c r="F130" s="141">
        <f t="shared" si="124"/>
        <v>0</v>
      </c>
      <c r="G130" s="141">
        <f t="shared" si="124"/>
        <v>0</v>
      </c>
      <c r="H130" s="141">
        <f t="shared" si="124"/>
        <v>0</v>
      </c>
      <c r="I130" s="141">
        <f t="shared" si="124"/>
        <v>0</v>
      </c>
      <c r="J130" s="141">
        <f t="shared" si="124"/>
        <v>0</v>
      </c>
      <c r="K130" s="141">
        <f t="shared" si="124"/>
        <v>0</v>
      </c>
      <c r="L130" s="141">
        <f t="shared" si="124"/>
        <v>0</v>
      </c>
      <c r="M130" s="141">
        <f t="shared" si="124"/>
        <v>0</v>
      </c>
      <c r="N130" s="141">
        <f t="shared" si="124"/>
        <v>6</v>
      </c>
      <c r="O130" s="141">
        <f t="shared" si="124"/>
        <v>6</v>
      </c>
      <c r="P130" s="141">
        <f t="shared" si="124"/>
        <v>0</v>
      </c>
      <c r="Q130" s="141">
        <f t="shared" si="124"/>
        <v>0</v>
      </c>
      <c r="R130" s="141">
        <f t="shared" si="124"/>
        <v>0</v>
      </c>
      <c r="S130" s="141">
        <f t="shared" si="124"/>
        <v>0</v>
      </c>
      <c r="T130" s="141">
        <f t="shared" si="124"/>
        <v>0</v>
      </c>
      <c r="U130" s="141">
        <f t="shared" si="124"/>
        <v>0</v>
      </c>
      <c r="V130" s="141">
        <f t="shared" si="124"/>
        <v>0</v>
      </c>
      <c r="W130" s="141">
        <f t="shared" si="124"/>
        <v>0</v>
      </c>
      <c r="X130" s="141">
        <f t="shared" si="124"/>
        <v>0</v>
      </c>
      <c r="Y130" s="141">
        <f t="shared" si="124"/>
        <v>0</v>
      </c>
      <c r="Z130" s="141">
        <f t="shared" si="124"/>
        <v>0</v>
      </c>
      <c r="AA130" s="141">
        <f t="shared" si="124"/>
        <v>0</v>
      </c>
      <c r="AB130" s="141">
        <f t="shared" si="124"/>
        <v>0</v>
      </c>
      <c r="AC130" s="141">
        <f t="shared" si="124"/>
        <v>0</v>
      </c>
      <c r="AD130" s="141">
        <f t="shared" si="124"/>
        <v>0</v>
      </c>
      <c r="AE130" s="141">
        <f t="shared" si="124"/>
        <v>0</v>
      </c>
      <c r="AF130" s="141">
        <f t="shared" si="124"/>
        <v>0</v>
      </c>
      <c r="AG130" s="141">
        <f t="shared" si="124"/>
        <v>0</v>
      </c>
      <c r="AH130" s="154" t="s">
        <v>12</v>
      </c>
      <c r="AI130" s="133"/>
      <c r="AJ130" s="170"/>
      <c r="AK130" s="133"/>
      <c r="AL130" s="133"/>
    </row>
    <row r="131" spans="1:38" ht="15.95" hidden="1" customHeight="1" x14ac:dyDescent="0.25">
      <c r="A131" s="176"/>
      <c r="B131" s="149" t="s">
        <v>65</v>
      </c>
      <c r="C131" s="141">
        <f t="shared" ref="C131:AG131" si="125">IF(D46=1,IF(C124&gt;C125,C125,0),0)</f>
        <v>0</v>
      </c>
      <c r="D131" s="141">
        <f t="shared" si="125"/>
        <v>0</v>
      </c>
      <c r="E131" s="141">
        <f t="shared" si="125"/>
        <v>0</v>
      </c>
      <c r="F131" s="141">
        <f t="shared" si="125"/>
        <v>0</v>
      </c>
      <c r="G131" s="141">
        <f t="shared" si="125"/>
        <v>0</v>
      </c>
      <c r="H131" s="141">
        <f t="shared" si="125"/>
        <v>0</v>
      </c>
      <c r="I131" s="141">
        <f t="shared" si="125"/>
        <v>0</v>
      </c>
      <c r="J131" s="141">
        <f t="shared" si="125"/>
        <v>0</v>
      </c>
      <c r="K131" s="141">
        <f t="shared" si="125"/>
        <v>0</v>
      </c>
      <c r="L131" s="141">
        <f t="shared" si="125"/>
        <v>0</v>
      </c>
      <c r="M131" s="141">
        <f t="shared" si="125"/>
        <v>6</v>
      </c>
      <c r="N131" s="141">
        <f t="shared" si="125"/>
        <v>6</v>
      </c>
      <c r="O131" s="141">
        <f t="shared" si="125"/>
        <v>0</v>
      </c>
      <c r="P131" s="141">
        <f t="shared" si="125"/>
        <v>0</v>
      </c>
      <c r="Q131" s="141">
        <f t="shared" si="125"/>
        <v>0</v>
      </c>
      <c r="R131" s="141">
        <f t="shared" si="125"/>
        <v>0</v>
      </c>
      <c r="S131" s="141">
        <f t="shared" si="125"/>
        <v>0</v>
      </c>
      <c r="T131" s="141">
        <f t="shared" si="125"/>
        <v>0</v>
      </c>
      <c r="U131" s="141">
        <f t="shared" si="125"/>
        <v>0</v>
      </c>
      <c r="V131" s="141">
        <f t="shared" si="125"/>
        <v>0</v>
      </c>
      <c r="W131" s="141">
        <f t="shared" si="125"/>
        <v>0</v>
      </c>
      <c r="X131" s="141">
        <f>IF(Y46=1,IF(X124&gt;X125,X125,0),0)</f>
        <v>0</v>
      </c>
      <c r="Y131" s="141">
        <f t="shared" si="125"/>
        <v>0</v>
      </c>
      <c r="Z131" s="141">
        <f t="shared" si="125"/>
        <v>0</v>
      </c>
      <c r="AA131" s="141">
        <f t="shared" si="125"/>
        <v>0</v>
      </c>
      <c r="AB131" s="141">
        <f t="shared" si="125"/>
        <v>0</v>
      </c>
      <c r="AC131" s="141">
        <f t="shared" si="125"/>
        <v>0</v>
      </c>
      <c r="AD131" s="141">
        <f t="shared" si="125"/>
        <v>0</v>
      </c>
      <c r="AE131" s="141">
        <f t="shared" si="125"/>
        <v>0</v>
      </c>
      <c r="AF131" s="141">
        <f t="shared" si="125"/>
        <v>0</v>
      </c>
      <c r="AG131" s="141">
        <f t="shared" si="125"/>
        <v>0</v>
      </c>
      <c r="AH131" s="154" t="s">
        <v>12</v>
      </c>
      <c r="AI131" s="133"/>
      <c r="AJ131" s="170"/>
      <c r="AK131" s="133"/>
      <c r="AL131" s="133"/>
    </row>
    <row r="132" spans="1:38" ht="15.95" hidden="1" customHeight="1" x14ac:dyDescent="0.25">
      <c r="A132" s="176"/>
      <c r="B132" s="149" t="s">
        <v>67</v>
      </c>
      <c r="C132" s="171">
        <f t="shared" ref="C132:AG132" si="126">SUM(C129:C131)</f>
        <v>0</v>
      </c>
      <c r="D132" s="171">
        <f t="shared" si="126"/>
        <v>0</v>
      </c>
      <c r="E132" s="171">
        <f t="shared" si="126"/>
        <v>0</v>
      </c>
      <c r="F132" s="171">
        <f t="shared" si="126"/>
        <v>0</v>
      </c>
      <c r="G132" s="171">
        <f t="shared" si="126"/>
        <v>0</v>
      </c>
      <c r="H132" s="171">
        <f t="shared" si="126"/>
        <v>0</v>
      </c>
      <c r="I132" s="171">
        <f t="shared" si="126"/>
        <v>0</v>
      </c>
      <c r="J132" s="171">
        <f t="shared" si="126"/>
        <v>0</v>
      </c>
      <c r="K132" s="171">
        <f t="shared" si="126"/>
        <v>0</v>
      </c>
      <c r="L132" s="171">
        <f t="shared" si="126"/>
        <v>0</v>
      </c>
      <c r="M132" s="171">
        <f t="shared" si="126"/>
        <v>6</v>
      </c>
      <c r="N132" s="171">
        <f t="shared" si="126"/>
        <v>12</v>
      </c>
      <c r="O132" s="171">
        <f t="shared" si="126"/>
        <v>6</v>
      </c>
      <c r="P132" s="171">
        <f t="shared" si="126"/>
        <v>0</v>
      </c>
      <c r="Q132" s="171">
        <f t="shared" si="126"/>
        <v>0</v>
      </c>
      <c r="R132" s="171">
        <f t="shared" si="126"/>
        <v>0</v>
      </c>
      <c r="S132" s="171">
        <f t="shared" si="126"/>
        <v>0</v>
      </c>
      <c r="T132" s="171">
        <f t="shared" si="126"/>
        <v>0</v>
      </c>
      <c r="U132" s="171">
        <f t="shared" si="126"/>
        <v>0</v>
      </c>
      <c r="V132" s="171">
        <f t="shared" si="126"/>
        <v>0</v>
      </c>
      <c r="W132" s="171">
        <f t="shared" si="126"/>
        <v>0</v>
      </c>
      <c r="X132" s="171">
        <f t="shared" si="126"/>
        <v>0</v>
      </c>
      <c r="Y132" s="171">
        <f t="shared" si="126"/>
        <v>0</v>
      </c>
      <c r="Z132" s="171">
        <f t="shared" si="126"/>
        <v>0</v>
      </c>
      <c r="AA132" s="171">
        <f t="shared" si="126"/>
        <v>0</v>
      </c>
      <c r="AB132" s="171">
        <f t="shared" si="126"/>
        <v>0</v>
      </c>
      <c r="AC132" s="171">
        <f t="shared" si="126"/>
        <v>0</v>
      </c>
      <c r="AD132" s="171">
        <f t="shared" si="126"/>
        <v>0</v>
      </c>
      <c r="AE132" s="171">
        <f t="shared" si="126"/>
        <v>0</v>
      </c>
      <c r="AF132" s="171">
        <f t="shared" si="126"/>
        <v>0</v>
      </c>
      <c r="AG132" s="171">
        <f t="shared" si="126"/>
        <v>0</v>
      </c>
      <c r="AH132" s="154" t="s">
        <v>12</v>
      </c>
      <c r="AI132" s="133"/>
      <c r="AJ132" s="170"/>
      <c r="AK132" s="133"/>
      <c r="AL132" s="133"/>
    </row>
    <row r="133" spans="1:38" ht="15.95" hidden="1" customHeight="1" x14ac:dyDescent="0.25">
      <c r="A133" s="177"/>
      <c r="B133" s="160" t="s">
        <v>68</v>
      </c>
      <c r="C133" s="161">
        <f t="shared" ref="C133:AG133" si="127">IF(C16="V",IF(C16="",0,1),0)</f>
        <v>0</v>
      </c>
      <c r="D133" s="161">
        <f t="shared" si="127"/>
        <v>0</v>
      </c>
      <c r="E133" s="161">
        <f t="shared" si="127"/>
        <v>0</v>
      </c>
      <c r="F133" s="161">
        <f t="shared" si="127"/>
        <v>0</v>
      </c>
      <c r="G133" s="161">
        <f t="shared" si="127"/>
        <v>0</v>
      </c>
      <c r="H133" s="161">
        <f t="shared" si="127"/>
        <v>0</v>
      </c>
      <c r="I133" s="161">
        <f t="shared" si="127"/>
        <v>0</v>
      </c>
      <c r="J133" s="161">
        <f t="shared" si="127"/>
        <v>0</v>
      </c>
      <c r="K133" s="161">
        <f t="shared" si="127"/>
        <v>0</v>
      </c>
      <c r="L133" s="161">
        <f t="shared" si="127"/>
        <v>0</v>
      </c>
      <c r="M133" s="161">
        <f t="shared" si="127"/>
        <v>0</v>
      </c>
      <c r="N133" s="161">
        <f t="shared" si="127"/>
        <v>0</v>
      </c>
      <c r="O133" s="161">
        <f t="shared" si="127"/>
        <v>0</v>
      </c>
      <c r="P133" s="161">
        <f t="shared" si="127"/>
        <v>0</v>
      </c>
      <c r="Q133" s="161">
        <f t="shared" si="127"/>
        <v>0</v>
      </c>
      <c r="R133" s="161">
        <f t="shared" si="127"/>
        <v>1</v>
      </c>
      <c r="S133" s="161">
        <f t="shared" si="127"/>
        <v>1</v>
      </c>
      <c r="T133" s="161">
        <f t="shared" si="127"/>
        <v>1</v>
      </c>
      <c r="U133" s="161">
        <f t="shared" si="127"/>
        <v>1</v>
      </c>
      <c r="V133" s="161">
        <f t="shared" si="127"/>
        <v>1</v>
      </c>
      <c r="W133" s="161">
        <f t="shared" si="127"/>
        <v>1</v>
      </c>
      <c r="X133" s="161">
        <f t="shared" si="127"/>
        <v>1</v>
      </c>
      <c r="Y133" s="161">
        <f t="shared" si="127"/>
        <v>1</v>
      </c>
      <c r="Z133" s="161">
        <f t="shared" si="127"/>
        <v>1</v>
      </c>
      <c r="AA133" s="161">
        <f t="shared" si="127"/>
        <v>1</v>
      </c>
      <c r="AB133" s="161">
        <f t="shared" si="127"/>
        <v>1</v>
      </c>
      <c r="AC133" s="161">
        <f t="shared" si="127"/>
        <v>1</v>
      </c>
      <c r="AD133" s="161">
        <f t="shared" si="127"/>
        <v>1</v>
      </c>
      <c r="AE133" s="161">
        <f t="shared" si="127"/>
        <v>1</v>
      </c>
      <c r="AF133" s="161">
        <f t="shared" si="127"/>
        <v>1</v>
      </c>
      <c r="AG133" s="161">
        <f t="shared" si="127"/>
        <v>1</v>
      </c>
      <c r="AH133" s="154" t="s">
        <v>12</v>
      </c>
      <c r="AI133" s="133"/>
      <c r="AJ133" s="170"/>
      <c r="AK133" s="133"/>
      <c r="AL133" s="133"/>
    </row>
    <row r="134" spans="1:38" ht="15.95" hidden="1" customHeight="1" x14ac:dyDescent="0.25">
      <c r="A134" s="180"/>
      <c r="B134" s="181" t="s">
        <v>16</v>
      </c>
      <c r="C134" s="182">
        <f t="shared" ref="C134:AG134" si="128">IF(C16="PR",IF(C16="",0,1),0)</f>
        <v>0</v>
      </c>
      <c r="D134" s="182">
        <f t="shared" si="128"/>
        <v>0</v>
      </c>
      <c r="E134" s="182">
        <f t="shared" si="128"/>
        <v>0</v>
      </c>
      <c r="F134" s="182">
        <f t="shared" si="128"/>
        <v>0</v>
      </c>
      <c r="G134" s="182">
        <f t="shared" si="128"/>
        <v>0</v>
      </c>
      <c r="H134" s="182">
        <f t="shared" si="128"/>
        <v>0</v>
      </c>
      <c r="I134" s="182">
        <f t="shared" si="128"/>
        <v>0</v>
      </c>
      <c r="J134" s="182">
        <f t="shared" si="128"/>
        <v>0</v>
      </c>
      <c r="K134" s="182">
        <f t="shared" si="128"/>
        <v>0</v>
      </c>
      <c r="L134" s="182">
        <f t="shared" si="128"/>
        <v>0</v>
      </c>
      <c r="M134" s="182">
        <f t="shared" si="128"/>
        <v>0</v>
      </c>
      <c r="N134" s="182">
        <f t="shared" si="128"/>
        <v>0</v>
      </c>
      <c r="O134" s="182">
        <f t="shared" si="128"/>
        <v>0</v>
      </c>
      <c r="P134" s="182">
        <f t="shared" si="128"/>
        <v>0</v>
      </c>
      <c r="Q134" s="182">
        <f t="shared" si="128"/>
        <v>0</v>
      </c>
      <c r="R134" s="182">
        <f t="shared" si="128"/>
        <v>0</v>
      </c>
      <c r="S134" s="182">
        <f t="shared" si="128"/>
        <v>0</v>
      </c>
      <c r="T134" s="182">
        <f t="shared" si="128"/>
        <v>0</v>
      </c>
      <c r="U134" s="182">
        <f t="shared" si="128"/>
        <v>0</v>
      </c>
      <c r="V134" s="182">
        <f t="shared" si="128"/>
        <v>0</v>
      </c>
      <c r="W134" s="182">
        <f t="shared" si="128"/>
        <v>0</v>
      </c>
      <c r="X134" s="182">
        <f t="shared" si="128"/>
        <v>0</v>
      </c>
      <c r="Y134" s="182">
        <f t="shared" si="128"/>
        <v>0</v>
      </c>
      <c r="Z134" s="182">
        <f t="shared" si="128"/>
        <v>0</v>
      </c>
      <c r="AA134" s="182">
        <f t="shared" si="128"/>
        <v>0</v>
      </c>
      <c r="AB134" s="182">
        <f t="shared" si="128"/>
        <v>0</v>
      </c>
      <c r="AC134" s="182">
        <f t="shared" si="128"/>
        <v>0</v>
      </c>
      <c r="AD134" s="182">
        <f t="shared" si="128"/>
        <v>0</v>
      </c>
      <c r="AE134" s="182">
        <f t="shared" si="128"/>
        <v>0</v>
      </c>
      <c r="AF134" s="182">
        <f t="shared" si="128"/>
        <v>0</v>
      </c>
      <c r="AG134" s="182">
        <f t="shared" si="128"/>
        <v>0</v>
      </c>
      <c r="AH134" s="227">
        <f>SUM(C134:AG134)</f>
        <v>0</v>
      </c>
      <c r="AI134" s="227"/>
      <c r="AJ134" s="174" t="s">
        <v>69</v>
      </c>
      <c r="AK134" s="133"/>
      <c r="AL134" s="133"/>
    </row>
    <row r="135" spans="1:38" ht="15.95" hidden="1" customHeight="1" x14ac:dyDescent="0.25">
      <c r="A135" s="164" t="s">
        <v>85</v>
      </c>
      <c r="B135" s="165" t="s">
        <v>29</v>
      </c>
      <c r="C135" s="141">
        <f t="shared" ref="C135:AG135" si="129">IF(C17=$R32,$S32*24,IF(C17=$R33,$S33*24,IF(C17=$R34,$S34*24,IF(C17=$R35,$S35*24,IF(C17=$R36,$S36*24,IF(C17=$R37,$S37*24,IF(C17=$R38,$S38*24,IF(C17=$R39,$S39*24,IF(C17=$R40,$S40*24,"")))))))))</f>
        <v>18</v>
      </c>
      <c r="D135" s="141" t="str">
        <f t="shared" si="129"/>
        <v/>
      </c>
      <c r="E135" s="141" t="str">
        <f t="shared" si="129"/>
        <v/>
      </c>
      <c r="F135" s="141">
        <f t="shared" si="129"/>
        <v>22</v>
      </c>
      <c r="G135" s="141">
        <f t="shared" si="129"/>
        <v>22</v>
      </c>
      <c r="H135" s="141">
        <f t="shared" si="129"/>
        <v>22</v>
      </c>
      <c r="I135" s="141" t="str">
        <f t="shared" si="129"/>
        <v/>
      </c>
      <c r="J135" s="141" t="str">
        <f t="shared" si="129"/>
        <v/>
      </c>
      <c r="K135" s="141">
        <f t="shared" si="129"/>
        <v>22</v>
      </c>
      <c r="L135" s="141">
        <f t="shared" si="129"/>
        <v>22</v>
      </c>
      <c r="M135" s="141" t="str">
        <f t="shared" si="129"/>
        <v/>
      </c>
      <c r="N135" s="141" t="str">
        <f t="shared" si="129"/>
        <v/>
      </c>
      <c r="O135" s="141" t="str">
        <f t="shared" si="129"/>
        <v/>
      </c>
      <c r="P135" s="141">
        <f t="shared" si="129"/>
        <v>18</v>
      </c>
      <c r="Q135" s="141">
        <f t="shared" si="129"/>
        <v>18</v>
      </c>
      <c r="R135" s="141">
        <f t="shared" si="129"/>
        <v>18</v>
      </c>
      <c r="S135" s="141">
        <f t="shared" si="129"/>
        <v>22</v>
      </c>
      <c r="T135" s="141" t="str">
        <f t="shared" si="129"/>
        <v/>
      </c>
      <c r="U135" s="141" t="str">
        <f t="shared" si="129"/>
        <v/>
      </c>
      <c r="V135" s="141" t="str">
        <f t="shared" si="129"/>
        <v/>
      </c>
      <c r="W135" s="141">
        <f t="shared" si="129"/>
        <v>22</v>
      </c>
      <c r="X135" s="141">
        <f t="shared" si="129"/>
        <v>22</v>
      </c>
      <c r="Y135" s="141">
        <f t="shared" si="129"/>
        <v>22</v>
      </c>
      <c r="Z135" s="141">
        <f t="shared" si="129"/>
        <v>22</v>
      </c>
      <c r="AA135" s="141">
        <f t="shared" si="129"/>
        <v>18</v>
      </c>
      <c r="AB135" s="141">
        <f t="shared" si="129"/>
        <v>18</v>
      </c>
      <c r="AC135" s="141">
        <f t="shared" si="129"/>
        <v>18</v>
      </c>
      <c r="AD135" s="141">
        <f t="shared" si="129"/>
        <v>22</v>
      </c>
      <c r="AE135" s="141">
        <f t="shared" si="129"/>
        <v>22</v>
      </c>
      <c r="AF135" s="141" t="str">
        <f t="shared" si="129"/>
        <v/>
      </c>
      <c r="AG135" s="141" t="str">
        <f t="shared" si="129"/>
        <v/>
      </c>
      <c r="AH135" s="154" t="s">
        <v>12</v>
      </c>
      <c r="AI135" s="133"/>
      <c r="AJ135" s="170"/>
      <c r="AK135" s="133"/>
      <c r="AL135" s="133"/>
    </row>
    <row r="136" spans="1:38" ht="15.95" hidden="1" customHeight="1" x14ac:dyDescent="0.25">
      <c r="A136" s="166" t="s">
        <v>86</v>
      </c>
      <c r="B136" s="167" t="s">
        <v>30</v>
      </c>
      <c r="C136" s="141">
        <f t="shared" ref="C136:AG136" si="130">IF(C17=$R32,$V32*24,IF(C17=$R33,$V33*24,IF(C17=$R34,$V34*24,IF(C17=$R35,$V35*24,IF(C17=$R36,$V36*24,IF(C17=$R37,$V37*24,IF(C17=$R38,$V38*24,IF(C17=$R39,$V39*24,IF(C17=$R40,$V40*24,"")))))))))</f>
        <v>6</v>
      </c>
      <c r="D136" s="141" t="str">
        <f t="shared" si="130"/>
        <v/>
      </c>
      <c r="E136" s="141" t="str">
        <f t="shared" si="130"/>
        <v/>
      </c>
      <c r="F136" s="141">
        <f t="shared" si="130"/>
        <v>6</v>
      </c>
      <c r="G136" s="141">
        <f t="shared" si="130"/>
        <v>6</v>
      </c>
      <c r="H136" s="141">
        <f t="shared" si="130"/>
        <v>6</v>
      </c>
      <c r="I136" s="141" t="str">
        <f t="shared" si="130"/>
        <v/>
      </c>
      <c r="J136" s="141" t="str">
        <f t="shared" si="130"/>
        <v/>
      </c>
      <c r="K136" s="141">
        <f t="shared" si="130"/>
        <v>6</v>
      </c>
      <c r="L136" s="141">
        <f t="shared" si="130"/>
        <v>6</v>
      </c>
      <c r="M136" s="141" t="str">
        <f t="shared" si="130"/>
        <v/>
      </c>
      <c r="N136" s="141" t="str">
        <f t="shared" si="130"/>
        <v/>
      </c>
      <c r="O136" s="141" t="str">
        <f t="shared" si="130"/>
        <v/>
      </c>
      <c r="P136" s="141">
        <f t="shared" si="130"/>
        <v>6</v>
      </c>
      <c r="Q136" s="141">
        <f t="shared" si="130"/>
        <v>6</v>
      </c>
      <c r="R136" s="141">
        <f t="shared" si="130"/>
        <v>6</v>
      </c>
      <c r="S136" s="141">
        <f t="shared" si="130"/>
        <v>6</v>
      </c>
      <c r="T136" s="141" t="str">
        <f t="shared" si="130"/>
        <v/>
      </c>
      <c r="U136" s="141" t="str">
        <f t="shared" si="130"/>
        <v/>
      </c>
      <c r="V136" s="141" t="str">
        <f t="shared" si="130"/>
        <v/>
      </c>
      <c r="W136" s="141">
        <f t="shared" si="130"/>
        <v>6</v>
      </c>
      <c r="X136" s="141">
        <f t="shared" si="130"/>
        <v>6</v>
      </c>
      <c r="Y136" s="141">
        <f t="shared" si="130"/>
        <v>6</v>
      </c>
      <c r="Z136" s="141">
        <f t="shared" si="130"/>
        <v>6</v>
      </c>
      <c r="AA136" s="141">
        <f t="shared" si="130"/>
        <v>6</v>
      </c>
      <c r="AB136" s="141">
        <f t="shared" si="130"/>
        <v>6</v>
      </c>
      <c r="AC136" s="141">
        <f t="shared" si="130"/>
        <v>6</v>
      </c>
      <c r="AD136" s="141">
        <f t="shared" si="130"/>
        <v>6</v>
      </c>
      <c r="AE136" s="141">
        <f t="shared" si="130"/>
        <v>6</v>
      </c>
      <c r="AF136" s="141" t="str">
        <f t="shared" si="130"/>
        <v/>
      </c>
      <c r="AG136" s="141" t="str">
        <f t="shared" si="130"/>
        <v/>
      </c>
      <c r="AH136" s="154" t="s">
        <v>12</v>
      </c>
      <c r="AI136" s="133"/>
      <c r="AJ136" s="170"/>
      <c r="AK136" s="133"/>
      <c r="AL136" s="133"/>
    </row>
    <row r="137" spans="1:38" ht="15.95" hidden="1" customHeight="1" x14ac:dyDescent="0.25">
      <c r="A137" s="153"/>
      <c r="B137" s="168" t="s">
        <v>34</v>
      </c>
      <c r="C137" s="169">
        <f t="shared" ref="C137:AD137" si="131">IF(C17=$R32,$BD32*24,IF(C17=$R33,$BD33*24,IF(C17=$R34,$BD34*24,IF(C17=$R35,$BD35*24,IF(C17=$R36,$BD36*24,IF(C17=$R37,$BD37*24,IF(C17=$R38,$BD38*24,IF(C17=$R39,$BD39*24,IF(C17=$R40,$BD40*24,"")))))))))</f>
        <v>8</v>
      </c>
      <c r="D137" s="169" t="str">
        <f t="shared" si="131"/>
        <v/>
      </c>
      <c r="E137" s="169" t="str">
        <f t="shared" si="131"/>
        <v/>
      </c>
      <c r="F137" s="169">
        <f t="shared" si="131"/>
        <v>8</v>
      </c>
      <c r="G137" s="169">
        <f t="shared" si="131"/>
        <v>8</v>
      </c>
      <c r="H137" s="169">
        <f t="shared" si="131"/>
        <v>8</v>
      </c>
      <c r="I137" s="169" t="str">
        <f t="shared" si="131"/>
        <v/>
      </c>
      <c r="J137" s="169" t="str">
        <f t="shared" si="131"/>
        <v/>
      </c>
      <c r="K137" s="169">
        <f t="shared" si="131"/>
        <v>8</v>
      </c>
      <c r="L137" s="169">
        <f t="shared" si="131"/>
        <v>8</v>
      </c>
      <c r="M137" s="169" t="str">
        <f t="shared" si="131"/>
        <v/>
      </c>
      <c r="N137" s="169" t="str">
        <f t="shared" si="131"/>
        <v/>
      </c>
      <c r="O137" s="169" t="str">
        <f t="shared" si="131"/>
        <v/>
      </c>
      <c r="P137" s="169">
        <f t="shared" si="131"/>
        <v>8</v>
      </c>
      <c r="Q137" s="169">
        <f t="shared" si="131"/>
        <v>8</v>
      </c>
      <c r="R137" s="169">
        <f t="shared" si="131"/>
        <v>8</v>
      </c>
      <c r="S137" s="169">
        <f t="shared" si="131"/>
        <v>8</v>
      </c>
      <c r="T137" s="169" t="str">
        <f t="shared" si="131"/>
        <v/>
      </c>
      <c r="U137" s="169" t="str">
        <f t="shared" si="131"/>
        <v/>
      </c>
      <c r="V137" s="169" t="str">
        <f t="shared" si="131"/>
        <v/>
      </c>
      <c r="W137" s="169">
        <f t="shared" si="131"/>
        <v>8</v>
      </c>
      <c r="X137" s="169">
        <f t="shared" si="131"/>
        <v>8</v>
      </c>
      <c r="Y137" s="169">
        <f t="shared" si="131"/>
        <v>8</v>
      </c>
      <c r="Z137" s="169">
        <f t="shared" si="131"/>
        <v>8</v>
      </c>
      <c r="AA137" s="169">
        <f t="shared" si="131"/>
        <v>8</v>
      </c>
      <c r="AB137" s="169">
        <f t="shared" si="131"/>
        <v>8</v>
      </c>
      <c r="AC137" s="169">
        <f t="shared" si="131"/>
        <v>8</v>
      </c>
      <c r="AD137" s="169">
        <f t="shared" si="131"/>
        <v>8</v>
      </c>
      <c r="AE137" s="169">
        <f>IF(AE17=$R32,$BD32*24,IF(AE17=$R33,$BD33*24,IF(AE17=$R34,$BD34*24,IF(AE17=$R35,$BD35*24,IF(AE17=$R36,$BD36*24,IF(AE17=$R37,$BD37*24,IF(AE17=$R38,$BD38*24,IF(AE17=$R39,$BD39*24,IF(AE17=$R40,$BD40*24,"")))))))))</f>
        <v>8</v>
      </c>
      <c r="AF137" s="169" t="str">
        <f>IF(AF17=$R32,$BD32*24,IF(AF17=$R33,$BD33*24,IF(AF17=$R34,$BD34*24,IF(AF17=$R35,$BD35*24,IF(AF17=$R36,$BD36*24,IF(AF17=$R37,$BD37*24,IF(AF17=$R38,$BD38*24,IF(AF17=$R39,$BD39*24,IF(AF17=$R40,$BD40*24,"")))))))))</f>
        <v/>
      </c>
      <c r="AG137" s="169" t="str">
        <f>IF(AG17=$R32,$BD32*24,IF(AG17=$R33,$BD33*24,IF(AG17=$R34,$BD34*24,IF(AG17=$R35,$BD35*24,IF(AG17=$R36,$BD36*24,IF(AG17=$R37,$BD37*24,IF(AG17=$R38,$BD38*24,IF(AG17=$R39,$BD39*24,IF(AG17=$R40,$BD40*24,"")))))))))</f>
        <v/>
      </c>
      <c r="AH137" s="148">
        <f>SUM(C137:AG137)</f>
        <v>152</v>
      </c>
      <c r="AI137" s="133"/>
      <c r="AJ137" s="170"/>
      <c r="AK137" s="133"/>
      <c r="AL137" s="133"/>
    </row>
    <row r="138" spans="1:38" ht="15.95" hidden="1" customHeight="1" x14ac:dyDescent="0.25">
      <c r="A138" s="153"/>
      <c r="B138" s="167" t="s">
        <v>59</v>
      </c>
      <c r="C138" s="141">
        <f t="shared" ref="C138:AG138" si="132">IF(C17="V",$C36,IF(C17="PR",$C38,0))</f>
        <v>0</v>
      </c>
      <c r="D138" s="141">
        <f t="shared" si="132"/>
        <v>0</v>
      </c>
      <c r="E138" s="141">
        <f t="shared" si="132"/>
        <v>0</v>
      </c>
      <c r="F138" s="141">
        <f t="shared" si="132"/>
        <v>0</v>
      </c>
      <c r="G138" s="141">
        <f t="shared" si="132"/>
        <v>0</v>
      </c>
      <c r="H138" s="141">
        <f t="shared" si="132"/>
        <v>0</v>
      </c>
      <c r="I138" s="141">
        <f t="shared" si="132"/>
        <v>0</v>
      </c>
      <c r="J138" s="141">
        <f t="shared" si="132"/>
        <v>0</v>
      </c>
      <c r="K138" s="141">
        <f t="shared" si="132"/>
        <v>0</v>
      </c>
      <c r="L138" s="141">
        <f t="shared" si="132"/>
        <v>0</v>
      </c>
      <c r="M138" s="141">
        <f t="shared" si="132"/>
        <v>0</v>
      </c>
      <c r="N138" s="141">
        <f t="shared" si="132"/>
        <v>0</v>
      </c>
      <c r="O138" s="141">
        <f t="shared" si="132"/>
        <v>0</v>
      </c>
      <c r="P138" s="141">
        <f t="shared" si="132"/>
        <v>0</v>
      </c>
      <c r="Q138" s="141">
        <f t="shared" si="132"/>
        <v>0</v>
      </c>
      <c r="R138" s="141">
        <f t="shared" si="132"/>
        <v>0</v>
      </c>
      <c r="S138" s="141">
        <f t="shared" si="132"/>
        <v>0</v>
      </c>
      <c r="T138" s="141">
        <f t="shared" si="132"/>
        <v>0</v>
      </c>
      <c r="U138" s="141">
        <f t="shared" si="132"/>
        <v>0</v>
      </c>
      <c r="V138" s="141">
        <f t="shared" si="132"/>
        <v>0</v>
      </c>
      <c r="W138" s="141">
        <f t="shared" si="132"/>
        <v>0</v>
      </c>
      <c r="X138" s="141">
        <f t="shared" si="132"/>
        <v>0</v>
      </c>
      <c r="Y138" s="141">
        <f t="shared" si="132"/>
        <v>0</v>
      </c>
      <c r="Z138" s="141">
        <f t="shared" si="132"/>
        <v>0</v>
      </c>
      <c r="AA138" s="141">
        <f t="shared" si="132"/>
        <v>0</v>
      </c>
      <c r="AB138" s="141">
        <f t="shared" si="132"/>
        <v>0</v>
      </c>
      <c r="AC138" s="141">
        <f t="shared" si="132"/>
        <v>0</v>
      </c>
      <c r="AD138" s="141">
        <f t="shared" si="132"/>
        <v>0</v>
      </c>
      <c r="AE138" s="141">
        <f t="shared" si="132"/>
        <v>0</v>
      </c>
      <c r="AF138" s="141">
        <f t="shared" si="132"/>
        <v>0</v>
      </c>
      <c r="AG138" s="141">
        <f t="shared" si="132"/>
        <v>0</v>
      </c>
      <c r="AH138" s="226">
        <f>SUM(C138:AG138)</f>
        <v>0</v>
      </c>
      <c r="AI138" s="226"/>
      <c r="AJ138" s="230">
        <f>SUM(AH83+AH94+AH105+AH116+AH127+AH138)</f>
        <v>167.04</v>
      </c>
      <c r="AK138" s="230"/>
      <c r="AL138" s="133" t="s">
        <v>56</v>
      </c>
    </row>
    <row r="139" spans="1:38" ht="15.95" hidden="1" customHeight="1" x14ac:dyDescent="0.25">
      <c r="A139" s="150" t="s">
        <v>60</v>
      </c>
      <c r="B139" s="167" t="s">
        <v>61</v>
      </c>
      <c r="C139" s="151">
        <f t="shared" ref="C139:AD139" si="133">IF(C17=$R32,$BC32,IF(C17=$R33,$BC33,IF(C17=$R34,$BC34,IF(C17=$R35,$BC35,IF(C17=$R36,$BC36,IF(C17=$R37,$BC37,IF(C17=$R38,$BC38,IF(C17=$R39,$BC39,IF(C17=$R40,$BC40,0)))))))))</f>
        <v>12</v>
      </c>
      <c r="D139" s="151">
        <f t="shared" si="133"/>
        <v>0</v>
      </c>
      <c r="E139" s="151">
        <f t="shared" si="133"/>
        <v>0</v>
      </c>
      <c r="F139" s="151">
        <f t="shared" si="133"/>
        <v>7.9999999999999716</v>
      </c>
      <c r="G139" s="151">
        <f t="shared" si="133"/>
        <v>7.9999999999999716</v>
      </c>
      <c r="H139" s="151">
        <f t="shared" si="133"/>
        <v>7.9999999999999716</v>
      </c>
      <c r="I139" s="151">
        <f t="shared" si="133"/>
        <v>0</v>
      </c>
      <c r="J139" s="151">
        <f t="shared" si="133"/>
        <v>0</v>
      </c>
      <c r="K139" s="151">
        <f t="shared" si="133"/>
        <v>7.9999999999999716</v>
      </c>
      <c r="L139" s="151">
        <f t="shared" si="133"/>
        <v>7.9999999999999716</v>
      </c>
      <c r="M139" s="151">
        <f t="shared" si="133"/>
        <v>0</v>
      </c>
      <c r="N139" s="151">
        <f t="shared" si="133"/>
        <v>0</v>
      </c>
      <c r="O139" s="151">
        <f t="shared" si="133"/>
        <v>0</v>
      </c>
      <c r="P139" s="151">
        <f t="shared" si="133"/>
        <v>12</v>
      </c>
      <c r="Q139" s="151">
        <f t="shared" si="133"/>
        <v>12</v>
      </c>
      <c r="R139" s="151">
        <f t="shared" si="133"/>
        <v>12</v>
      </c>
      <c r="S139" s="151">
        <f t="shared" si="133"/>
        <v>7.9999999999999716</v>
      </c>
      <c r="T139" s="151">
        <f t="shared" si="133"/>
        <v>0</v>
      </c>
      <c r="U139" s="151">
        <f t="shared" si="133"/>
        <v>0</v>
      </c>
      <c r="V139" s="151">
        <f t="shared" si="133"/>
        <v>0</v>
      </c>
      <c r="W139" s="151">
        <f t="shared" si="133"/>
        <v>7.9999999999999716</v>
      </c>
      <c r="X139" s="151">
        <f t="shared" si="133"/>
        <v>7.9999999999999716</v>
      </c>
      <c r="Y139" s="151">
        <f t="shared" si="133"/>
        <v>7.9999999999999716</v>
      </c>
      <c r="Z139" s="151">
        <f t="shared" si="133"/>
        <v>7.9999999999999716</v>
      </c>
      <c r="AA139" s="151">
        <f t="shared" si="133"/>
        <v>12</v>
      </c>
      <c r="AB139" s="151">
        <f t="shared" si="133"/>
        <v>12</v>
      </c>
      <c r="AC139" s="151">
        <f t="shared" si="133"/>
        <v>12</v>
      </c>
      <c r="AD139" s="151">
        <f t="shared" si="133"/>
        <v>7.9999999999999716</v>
      </c>
      <c r="AE139" s="151">
        <f>IF(AE17=$R32,$BC32,IF(AE17=$R33,$BC33,IF(AE17=$R34,$BC34,IF(AE17=$R35,$BC35,IF(AE17=$R36,$BC36,IF(AE17=$R37,$BC37,IF(AE17=$R38,$BC38,IF(AE17=$R39,$BC39,IF(AE17=$R40,$BC40,0)))))))))</f>
        <v>7.9999999999999716</v>
      </c>
      <c r="AF139" s="151">
        <f>IF(AF17=$R32,$BC32,IF(AF17=$R33,$BC33,IF(AF17=$R34,$BC34,IF(AF17=$R35,$BC35,IF(AF17=$R36,$BC36,IF(AF17=$R37,$BC37,IF(AF17=$R38,$BC38,IF(AF17=$R39,$BC39,IF(AF17=$R40,$BC40,0)))))))))</f>
        <v>0</v>
      </c>
      <c r="AG139" s="151">
        <f>IF(AG17=$R32,$BC32,IF(AG17=$R33,$BC33,IF(AG17=$R34,$BC34,IF(AG17=$R35,$BC35,IF(AG17=$R36,$BC36,IF(AG17=$R37,$BC37,IF(AG17=$R38,$BC38,IF(AG17=$R39,$BC39,IF(AG17=$R40,$BC40,0)))))))))</f>
        <v>0</v>
      </c>
      <c r="AH139" s="226">
        <f>SUM(C139:AG139)</f>
        <v>179.99999999999966</v>
      </c>
      <c r="AI139" s="226"/>
      <c r="AJ139" s="174" t="s">
        <v>62</v>
      </c>
      <c r="AK139" s="133" t="s">
        <v>12</v>
      </c>
      <c r="AL139" s="133"/>
    </row>
    <row r="140" spans="1:38" ht="15.95" hidden="1" customHeight="1" x14ac:dyDescent="0.25">
      <c r="A140" s="153" t="s">
        <v>48</v>
      </c>
      <c r="B140" s="149" t="s">
        <v>63</v>
      </c>
      <c r="C140" s="141" t="b">
        <f t="shared" ref="C140:AG140" si="134">IF(C46=1,IF(C135&lt;C136,C139,0))</f>
        <v>0</v>
      </c>
      <c r="D140" s="141" t="b">
        <f t="shared" si="134"/>
        <v>0</v>
      </c>
      <c r="E140" s="141" t="b">
        <f t="shared" si="134"/>
        <v>0</v>
      </c>
      <c r="F140" s="141" t="b">
        <f t="shared" si="134"/>
        <v>0</v>
      </c>
      <c r="G140" s="141">
        <f t="shared" si="134"/>
        <v>0</v>
      </c>
      <c r="H140" s="141">
        <f t="shared" si="134"/>
        <v>0</v>
      </c>
      <c r="I140" s="141" t="b">
        <f t="shared" si="134"/>
        <v>0</v>
      </c>
      <c r="J140" s="141" t="b">
        <f t="shared" si="134"/>
        <v>0</v>
      </c>
      <c r="K140" s="141" t="b">
        <f t="shared" si="134"/>
        <v>0</v>
      </c>
      <c r="L140" s="141" t="b">
        <f t="shared" si="134"/>
        <v>0</v>
      </c>
      <c r="M140" s="141" t="b">
        <f t="shared" si="134"/>
        <v>0</v>
      </c>
      <c r="N140" s="141">
        <f t="shared" si="134"/>
        <v>0</v>
      </c>
      <c r="O140" s="141">
        <f t="shared" si="134"/>
        <v>0</v>
      </c>
      <c r="P140" s="141" t="b">
        <f t="shared" si="134"/>
        <v>0</v>
      </c>
      <c r="Q140" s="141" t="b">
        <f t="shared" si="134"/>
        <v>0</v>
      </c>
      <c r="R140" s="141" t="b">
        <f t="shared" si="134"/>
        <v>0</v>
      </c>
      <c r="S140" s="141" t="b">
        <f t="shared" si="134"/>
        <v>0</v>
      </c>
      <c r="T140" s="141" t="b">
        <f t="shared" si="134"/>
        <v>0</v>
      </c>
      <c r="U140" s="141">
        <f t="shared" si="134"/>
        <v>0</v>
      </c>
      <c r="V140" s="141">
        <f t="shared" si="134"/>
        <v>0</v>
      </c>
      <c r="W140" s="141" t="b">
        <f t="shared" si="134"/>
        <v>0</v>
      </c>
      <c r="X140" s="141" t="b">
        <f t="shared" si="134"/>
        <v>0</v>
      </c>
      <c r="Y140" s="141" t="b">
        <f t="shared" si="134"/>
        <v>0</v>
      </c>
      <c r="Z140" s="141" t="b">
        <f t="shared" si="134"/>
        <v>0</v>
      </c>
      <c r="AA140" s="141" t="b">
        <f t="shared" si="134"/>
        <v>0</v>
      </c>
      <c r="AB140" s="141">
        <f t="shared" si="134"/>
        <v>0</v>
      </c>
      <c r="AC140" s="141">
        <f t="shared" si="134"/>
        <v>0</v>
      </c>
      <c r="AD140" s="141" t="b">
        <f t="shared" si="134"/>
        <v>0</v>
      </c>
      <c r="AE140" s="141" t="b">
        <f t="shared" si="134"/>
        <v>0</v>
      </c>
      <c r="AF140" s="141" t="b">
        <f t="shared" si="134"/>
        <v>0</v>
      </c>
      <c r="AG140" s="141" t="b">
        <f t="shared" si="134"/>
        <v>0</v>
      </c>
      <c r="AH140" s="154" t="s">
        <v>12</v>
      </c>
      <c r="AI140" s="133"/>
      <c r="AJ140" s="170"/>
      <c r="AK140" s="133"/>
      <c r="AL140" s="133"/>
    </row>
    <row r="141" spans="1:38" ht="15.95" hidden="1" customHeight="1" x14ac:dyDescent="0.25">
      <c r="A141" s="176"/>
      <c r="B141" s="149" t="s">
        <v>64</v>
      </c>
      <c r="C141" s="141">
        <f t="shared" ref="C141:AG141" si="135">IF(C46=1,IF(C135&gt;C136,24-C135,0),0)</f>
        <v>0</v>
      </c>
      <c r="D141" s="141">
        <f t="shared" si="135"/>
        <v>0</v>
      </c>
      <c r="E141" s="141">
        <f t="shared" si="135"/>
        <v>0</v>
      </c>
      <c r="F141" s="141">
        <f t="shared" si="135"/>
        <v>0</v>
      </c>
      <c r="G141" s="141">
        <f t="shared" si="135"/>
        <v>2</v>
      </c>
      <c r="H141" s="141">
        <f t="shared" si="135"/>
        <v>2</v>
      </c>
      <c r="I141" s="141">
        <f t="shared" si="135"/>
        <v>0</v>
      </c>
      <c r="J141" s="141">
        <f t="shared" si="135"/>
        <v>0</v>
      </c>
      <c r="K141" s="141">
        <f t="shared" si="135"/>
        <v>0</v>
      </c>
      <c r="L141" s="141">
        <f t="shared" si="135"/>
        <v>0</v>
      </c>
      <c r="M141" s="141">
        <f t="shared" si="135"/>
        <v>0</v>
      </c>
      <c r="N141" s="141">
        <f t="shared" si="135"/>
        <v>0</v>
      </c>
      <c r="O141" s="141">
        <f t="shared" si="135"/>
        <v>0</v>
      </c>
      <c r="P141" s="141">
        <f t="shared" si="135"/>
        <v>0</v>
      </c>
      <c r="Q141" s="141">
        <f t="shared" si="135"/>
        <v>0</v>
      </c>
      <c r="R141" s="141">
        <f t="shared" si="135"/>
        <v>0</v>
      </c>
      <c r="S141" s="141">
        <f t="shared" si="135"/>
        <v>0</v>
      </c>
      <c r="T141" s="141">
        <f t="shared" si="135"/>
        <v>0</v>
      </c>
      <c r="U141" s="141">
        <f t="shared" si="135"/>
        <v>0</v>
      </c>
      <c r="V141" s="141">
        <f t="shared" si="135"/>
        <v>0</v>
      </c>
      <c r="W141" s="141">
        <f t="shared" si="135"/>
        <v>0</v>
      </c>
      <c r="X141" s="141">
        <f t="shared" si="135"/>
        <v>0</v>
      </c>
      <c r="Y141" s="141">
        <f t="shared" si="135"/>
        <v>0</v>
      </c>
      <c r="Z141" s="141">
        <f t="shared" si="135"/>
        <v>0</v>
      </c>
      <c r="AA141" s="141">
        <f t="shared" si="135"/>
        <v>0</v>
      </c>
      <c r="AB141" s="141">
        <f t="shared" si="135"/>
        <v>6</v>
      </c>
      <c r="AC141" s="141">
        <f t="shared" si="135"/>
        <v>6</v>
      </c>
      <c r="AD141" s="141">
        <f t="shared" si="135"/>
        <v>0</v>
      </c>
      <c r="AE141" s="141">
        <f t="shared" si="135"/>
        <v>0</v>
      </c>
      <c r="AF141" s="141">
        <f t="shared" si="135"/>
        <v>0</v>
      </c>
      <c r="AG141" s="141">
        <f t="shared" si="135"/>
        <v>0</v>
      </c>
      <c r="AH141" s="154" t="s">
        <v>12</v>
      </c>
      <c r="AI141" s="133"/>
      <c r="AJ141" s="170"/>
      <c r="AK141" s="133"/>
      <c r="AL141" s="133"/>
    </row>
    <row r="142" spans="1:38" ht="15.95" hidden="1" customHeight="1" x14ac:dyDescent="0.25">
      <c r="A142" s="176"/>
      <c r="B142" s="149" t="s">
        <v>65</v>
      </c>
      <c r="C142" s="141">
        <f t="shared" ref="C142:AG142" si="136">IF(D46=1,IF(C135&gt;C136,C136,0),0)</f>
        <v>0</v>
      </c>
      <c r="D142" s="141">
        <f t="shared" si="136"/>
        <v>0</v>
      </c>
      <c r="E142" s="141">
        <f t="shared" si="136"/>
        <v>0</v>
      </c>
      <c r="F142" s="141">
        <f t="shared" si="136"/>
        <v>6</v>
      </c>
      <c r="G142" s="141">
        <f t="shared" si="136"/>
        <v>6</v>
      </c>
      <c r="H142" s="141">
        <f t="shared" si="136"/>
        <v>0</v>
      </c>
      <c r="I142" s="141">
        <f t="shared" si="136"/>
        <v>0</v>
      </c>
      <c r="J142" s="141">
        <f t="shared" si="136"/>
        <v>0</v>
      </c>
      <c r="K142" s="141">
        <f t="shared" si="136"/>
        <v>0</v>
      </c>
      <c r="L142" s="141">
        <f t="shared" si="136"/>
        <v>0</v>
      </c>
      <c r="M142" s="141">
        <f t="shared" si="136"/>
        <v>0</v>
      </c>
      <c r="N142" s="141">
        <f t="shared" si="136"/>
        <v>0</v>
      </c>
      <c r="O142" s="141">
        <f t="shared" si="136"/>
        <v>0</v>
      </c>
      <c r="P142" s="141">
        <f t="shared" si="136"/>
        <v>0</v>
      </c>
      <c r="Q142" s="141">
        <f t="shared" si="136"/>
        <v>0</v>
      </c>
      <c r="R142" s="141">
        <f t="shared" si="136"/>
        <v>0</v>
      </c>
      <c r="S142" s="141">
        <f t="shared" si="136"/>
        <v>0</v>
      </c>
      <c r="T142" s="141">
        <f t="shared" si="136"/>
        <v>0</v>
      </c>
      <c r="U142" s="141">
        <f t="shared" si="136"/>
        <v>0</v>
      </c>
      <c r="V142" s="141">
        <f t="shared" si="136"/>
        <v>0</v>
      </c>
      <c r="W142" s="141">
        <f t="shared" si="136"/>
        <v>0</v>
      </c>
      <c r="X142" s="141">
        <f>IF(Y46=1,IF(X135&gt;X136,X136,0),0)</f>
        <v>0</v>
      </c>
      <c r="Y142" s="141">
        <f t="shared" si="136"/>
        <v>0</v>
      </c>
      <c r="Z142" s="141">
        <f t="shared" si="136"/>
        <v>0</v>
      </c>
      <c r="AA142" s="141">
        <f t="shared" si="136"/>
        <v>6</v>
      </c>
      <c r="AB142" s="141">
        <f t="shared" si="136"/>
        <v>6</v>
      </c>
      <c r="AC142" s="141">
        <f t="shared" si="136"/>
        <v>0</v>
      </c>
      <c r="AD142" s="141">
        <f t="shared" si="136"/>
        <v>0</v>
      </c>
      <c r="AE142" s="141">
        <f t="shared" si="136"/>
        <v>0</v>
      </c>
      <c r="AF142" s="141">
        <f t="shared" si="136"/>
        <v>0</v>
      </c>
      <c r="AG142" s="141">
        <f t="shared" si="136"/>
        <v>0</v>
      </c>
      <c r="AH142" s="154" t="s">
        <v>12</v>
      </c>
      <c r="AI142" s="133"/>
      <c r="AJ142" s="170"/>
      <c r="AK142" s="133"/>
      <c r="AL142" s="133"/>
    </row>
    <row r="143" spans="1:38" ht="15.95" hidden="1" customHeight="1" x14ac:dyDescent="0.25">
      <c r="A143" s="176"/>
      <c r="B143" s="149" t="s">
        <v>67</v>
      </c>
      <c r="C143" s="171">
        <f>SUM(C140:C142)</f>
        <v>0</v>
      </c>
      <c r="D143" s="171">
        <f t="shared" ref="D143:AG143" si="137">SUM(D140:D142)</f>
        <v>0</v>
      </c>
      <c r="E143" s="171">
        <f t="shared" si="137"/>
        <v>0</v>
      </c>
      <c r="F143" s="171">
        <f t="shared" si="137"/>
        <v>6</v>
      </c>
      <c r="G143" s="171">
        <f t="shared" si="137"/>
        <v>8</v>
      </c>
      <c r="H143" s="171">
        <f t="shared" si="137"/>
        <v>2</v>
      </c>
      <c r="I143" s="171">
        <f t="shared" si="137"/>
        <v>0</v>
      </c>
      <c r="J143" s="171">
        <f t="shared" si="137"/>
        <v>0</v>
      </c>
      <c r="K143" s="171">
        <f t="shared" si="137"/>
        <v>0</v>
      </c>
      <c r="L143" s="171">
        <f t="shared" si="137"/>
        <v>0</v>
      </c>
      <c r="M143" s="171">
        <f t="shared" si="137"/>
        <v>0</v>
      </c>
      <c r="N143" s="171">
        <f t="shared" si="137"/>
        <v>0</v>
      </c>
      <c r="O143" s="171">
        <f t="shared" si="137"/>
        <v>0</v>
      </c>
      <c r="P143" s="171">
        <f t="shared" si="137"/>
        <v>0</v>
      </c>
      <c r="Q143" s="171">
        <f t="shared" si="137"/>
        <v>0</v>
      </c>
      <c r="R143" s="171">
        <f t="shared" si="137"/>
        <v>0</v>
      </c>
      <c r="S143" s="171">
        <f t="shared" si="137"/>
        <v>0</v>
      </c>
      <c r="T143" s="171">
        <f t="shared" si="137"/>
        <v>0</v>
      </c>
      <c r="U143" s="171">
        <f t="shared" si="137"/>
        <v>0</v>
      </c>
      <c r="V143" s="171">
        <f t="shared" si="137"/>
        <v>0</v>
      </c>
      <c r="W143" s="171">
        <f t="shared" si="137"/>
        <v>0</v>
      </c>
      <c r="X143" s="171">
        <f t="shared" si="137"/>
        <v>0</v>
      </c>
      <c r="Y143" s="171">
        <f t="shared" si="137"/>
        <v>0</v>
      </c>
      <c r="Z143" s="171">
        <f t="shared" si="137"/>
        <v>0</v>
      </c>
      <c r="AA143" s="171">
        <f t="shared" si="137"/>
        <v>6</v>
      </c>
      <c r="AB143" s="171">
        <f t="shared" si="137"/>
        <v>12</v>
      </c>
      <c r="AC143" s="171">
        <f t="shared" si="137"/>
        <v>6</v>
      </c>
      <c r="AD143" s="171">
        <f t="shared" si="137"/>
        <v>0</v>
      </c>
      <c r="AE143" s="171">
        <f t="shared" si="137"/>
        <v>0</v>
      </c>
      <c r="AF143" s="171">
        <f t="shared" si="137"/>
        <v>0</v>
      </c>
      <c r="AG143" s="171">
        <f t="shared" si="137"/>
        <v>0</v>
      </c>
      <c r="AH143" s="154" t="s">
        <v>12</v>
      </c>
      <c r="AI143" s="133"/>
      <c r="AJ143" s="170"/>
      <c r="AK143" s="133"/>
      <c r="AL143" s="133"/>
    </row>
    <row r="144" spans="1:38" ht="15.95" hidden="1" customHeight="1" x14ac:dyDescent="0.25">
      <c r="A144" s="177"/>
      <c r="B144" s="160" t="s">
        <v>68</v>
      </c>
      <c r="C144" s="161">
        <f t="shared" ref="C144:AG144" si="138">IF(C17="V",IF(C17="",0,1),0)</f>
        <v>0</v>
      </c>
      <c r="D144" s="161">
        <f t="shared" si="138"/>
        <v>0</v>
      </c>
      <c r="E144" s="161">
        <f t="shared" si="138"/>
        <v>0</v>
      </c>
      <c r="F144" s="161">
        <f t="shared" si="138"/>
        <v>0</v>
      </c>
      <c r="G144" s="161">
        <f t="shared" si="138"/>
        <v>0</v>
      </c>
      <c r="H144" s="161">
        <f t="shared" si="138"/>
        <v>0</v>
      </c>
      <c r="I144" s="161">
        <f t="shared" si="138"/>
        <v>0</v>
      </c>
      <c r="J144" s="161">
        <f t="shared" si="138"/>
        <v>0</v>
      </c>
      <c r="K144" s="161">
        <f t="shared" si="138"/>
        <v>0</v>
      </c>
      <c r="L144" s="161">
        <f t="shared" si="138"/>
        <v>0</v>
      </c>
      <c r="M144" s="161">
        <f t="shared" si="138"/>
        <v>0</v>
      </c>
      <c r="N144" s="161">
        <f t="shared" si="138"/>
        <v>0</v>
      </c>
      <c r="O144" s="161">
        <f t="shared" si="138"/>
        <v>0</v>
      </c>
      <c r="P144" s="161">
        <f t="shared" si="138"/>
        <v>0</v>
      </c>
      <c r="Q144" s="161">
        <f t="shared" si="138"/>
        <v>0</v>
      </c>
      <c r="R144" s="161">
        <f t="shared" si="138"/>
        <v>0</v>
      </c>
      <c r="S144" s="161">
        <f t="shared" si="138"/>
        <v>0</v>
      </c>
      <c r="T144" s="161">
        <f t="shared" si="138"/>
        <v>0</v>
      </c>
      <c r="U144" s="161">
        <f t="shared" si="138"/>
        <v>0</v>
      </c>
      <c r="V144" s="161">
        <f t="shared" si="138"/>
        <v>0</v>
      </c>
      <c r="W144" s="161">
        <f t="shared" si="138"/>
        <v>0</v>
      </c>
      <c r="X144" s="161">
        <f t="shared" si="138"/>
        <v>0</v>
      </c>
      <c r="Y144" s="161">
        <f t="shared" si="138"/>
        <v>0</v>
      </c>
      <c r="Z144" s="161">
        <f t="shared" si="138"/>
        <v>0</v>
      </c>
      <c r="AA144" s="161">
        <f t="shared" si="138"/>
        <v>0</v>
      </c>
      <c r="AB144" s="161">
        <f t="shared" si="138"/>
        <v>0</v>
      </c>
      <c r="AC144" s="161">
        <f t="shared" si="138"/>
        <v>0</v>
      </c>
      <c r="AD144" s="161">
        <f t="shared" si="138"/>
        <v>0</v>
      </c>
      <c r="AE144" s="161">
        <f t="shared" si="138"/>
        <v>0</v>
      </c>
      <c r="AF144" s="161">
        <f t="shared" si="138"/>
        <v>0</v>
      </c>
      <c r="AG144" s="161">
        <f t="shared" si="138"/>
        <v>0</v>
      </c>
      <c r="AH144" s="154" t="s">
        <v>12</v>
      </c>
      <c r="AI144" s="133"/>
      <c r="AJ144" s="170"/>
      <c r="AK144" s="133"/>
      <c r="AL144" s="133"/>
    </row>
    <row r="145" spans="1:38" ht="15.95" hidden="1" customHeight="1" x14ac:dyDescent="0.25">
      <c r="A145" s="180"/>
      <c r="B145" s="181" t="s">
        <v>16</v>
      </c>
      <c r="C145" s="182">
        <f t="shared" ref="C145:AG145" si="139">IF(C17="PR",IF(C17="",0,1),0)</f>
        <v>0</v>
      </c>
      <c r="D145" s="182">
        <f t="shared" si="139"/>
        <v>0</v>
      </c>
      <c r="E145" s="182">
        <f t="shared" si="139"/>
        <v>0</v>
      </c>
      <c r="F145" s="182">
        <f t="shared" si="139"/>
        <v>0</v>
      </c>
      <c r="G145" s="182">
        <f t="shared" si="139"/>
        <v>0</v>
      </c>
      <c r="H145" s="182">
        <f t="shared" si="139"/>
        <v>0</v>
      </c>
      <c r="I145" s="182">
        <f t="shared" si="139"/>
        <v>0</v>
      </c>
      <c r="J145" s="182">
        <f t="shared" si="139"/>
        <v>0</v>
      </c>
      <c r="K145" s="182">
        <f t="shared" si="139"/>
        <v>0</v>
      </c>
      <c r="L145" s="182">
        <f t="shared" si="139"/>
        <v>0</v>
      </c>
      <c r="M145" s="182">
        <f t="shared" si="139"/>
        <v>0</v>
      </c>
      <c r="N145" s="182">
        <f t="shared" si="139"/>
        <v>0</v>
      </c>
      <c r="O145" s="182">
        <f t="shared" si="139"/>
        <v>0</v>
      </c>
      <c r="P145" s="182">
        <f t="shared" si="139"/>
        <v>0</v>
      </c>
      <c r="Q145" s="182">
        <f t="shared" si="139"/>
        <v>0</v>
      </c>
      <c r="R145" s="182">
        <f t="shared" si="139"/>
        <v>0</v>
      </c>
      <c r="S145" s="182">
        <f t="shared" si="139"/>
        <v>0</v>
      </c>
      <c r="T145" s="182">
        <f t="shared" si="139"/>
        <v>0</v>
      </c>
      <c r="U145" s="182">
        <f t="shared" si="139"/>
        <v>0</v>
      </c>
      <c r="V145" s="182">
        <f t="shared" si="139"/>
        <v>0</v>
      </c>
      <c r="W145" s="182">
        <f t="shared" si="139"/>
        <v>0</v>
      </c>
      <c r="X145" s="182">
        <f t="shared" si="139"/>
        <v>0</v>
      </c>
      <c r="Y145" s="182">
        <f t="shared" si="139"/>
        <v>0</v>
      </c>
      <c r="Z145" s="182">
        <f t="shared" si="139"/>
        <v>0</v>
      </c>
      <c r="AA145" s="182">
        <f t="shared" si="139"/>
        <v>0</v>
      </c>
      <c r="AB145" s="182">
        <f t="shared" si="139"/>
        <v>0</v>
      </c>
      <c r="AC145" s="182">
        <f t="shared" si="139"/>
        <v>0</v>
      </c>
      <c r="AD145" s="182">
        <f t="shared" si="139"/>
        <v>0</v>
      </c>
      <c r="AE145" s="182">
        <f t="shared" si="139"/>
        <v>0</v>
      </c>
      <c r="AF145" s="182">
        <f t="shared" si="139"/>
        <v>0</v>
      </c>
      <c r="AG145" s="182">
        <f t="shared" si="139"/>
        <v>0</v>
      </c>
      <c r="AH145" s="227">
        <f>SUM(C145:AG145)</f>
        <v>0</v>
      </c>
      <c r="AI145" s="227"/>
      <c r="AJ145" s="174" t="s">
        <v>69</v>
      </c>
      <c r="AK145" s="133"/>
      <c r="AL145" s="133"/>
    </row>
    <row r="146" spans="1:38" ht="15.95" hidden="1" customHeight="1" x14ac:dyDescent="0.25">
      <c r="A146" s="164" t="s">
        <v>87</v>
      </c>
      <c r="B146" s="165" t="s">
        <v>29</v>
      </c>
      <c r="C146" s="141">
        <f t="shared" ref="C146:AG146" si="140">IF(C18=$R32,$S32*24,IF(C18=$R33,$S33*24,IF(C18=$R34,$S34*24,IF(C18=$R35,$S35*24,IF(C18=$R36,$S36*24,IF(C18=$R37,$S37*24,IF(C18=$R38,$S38*24,IF(C18=$R39,$S39*24,IF(C18=$R40,$S40*24,"")))))))))</f>
        <v>7</v>
      </c>
      <c r="D146" s="141" t="str">
        <f t="shared" si="140"/>
        <v/>
      </c>
      <c r="E146" s="141" t="str">
        <f t="shared" si="140"/>
        <v/>
      </c>
      <c r="F146" s="141">
        <f t="shared" si="140"/>
        <v>7</v>
      </c>
      <c r="G146" s="141">
        <f t="shared" si="140"/>
        <v>7</v>
      </c>
      <c r="H146" s="141">
        <f t="shared" si="140"/>
        <v>7</v>
      </c>
      <c r="I146" s="141">
        <f t="shared" si="140"/>
        <v>6</v>
      </c>
      <c r="J146" s="141" t="str">
        <f t="shared" si="140"/>
        <v/>
      </c>
      <c r="K146" s="141">
        <f t="shared" si="140"/>
        <v>7</v>
      </c>
      <c r="L146" s="141">
        <f t="shared" si="140"/>
        <v>18</v>
      </c>
      <c r="M146" s="141" t="str">
        <f t="shared" si="140"/>
        <v/>
      </c>
      <c r="N146" s="141" t="str">
        <f t="shared" si="140"/>
        <v/>
      </c>
      <c r="O146" s="141" t="str">
        <f t="shared" si="140"/>
        <v/>
      </c>
      <c r="P146" s="141">
        <f t="shared" si="140"/>
        <v>7</v>
      </c>
      <c r="Q146" s="141">
        <f t="shared" si="140"/>
        <v>7</v>
      </c>
      <c r="R146" s="141" t="str">
        <f t="shared" si="140"/>
        <v/>
      </c>
      <c r="S146" s="141" t="str">
        <f t="shared" si="140"/>
        <v/>
      </c>
      <c r="T146" s="141" t="str">
        <f t="shared" si="140"/>
        <v/>
      </c>
      <c r="U146" s="141" t="str">
        <f t="shared" si="140"/>
        <v/>
      </c>
      <c r="V146" s="141" t="str">
        <f t="shared" si="140"/>
        <v/>
      </c>
      <c r="W146" s="141" t="str">
        <f t="shared" si="140"/>
        <v/>
      </c>
      <c r="X146" s="141" t="str">
        <f t="shared" si="140"/>
        <v/>
      </c>
      <c r="Y146" s="141" t="str">
        <f t="shared" si="140"/>
        <v/>
      </c>
      <c r="Z146" s="141" t="str">
        <f t="shared" si="140"/>
        <v/>
      </c>
      <c r="AA146" s="141" t="str">
        <f t="shared" si="140"/>
        <v/>
      </c>
      <c r="AB146" s="141" t="str">
        <f t="shared" si="140"/>
        <v/>
      </c>
      <c r="AC146" s="141" t="str">
        <f t="shared" si="140"/>
        <v/>
      </c>
      <c r="AD146" s="141" t="str">
        <f t="shared" si="140"/>
        <v/>
      </c>
      <c r="AE146" s="141" t="str">
        <f t="shared" si="140"/>
        <v/>
      </c>
      <c r="AF146" s="141" t="str">
        <f t="shared" si="140"/>
        <v/>
      </c>
      <c r="AG146" s="141" t="str">
        <f t="shared" si="140"/>
        <v/>
      </c>
      <c r="AH146" s="154" t="s">
        <v>12</v>
      </c>
      <c r="AI146" s="133"/>
      <c r="AJ146" s="170"/>
      <c r="AK146" s="133"/>
      <c r="AL146" s="133"/>
    </row>
    <row r="147" spans="1:38" ht="15.95" hidden="1" customHeight="1" x14ac:dyDescent="0.25">
      <c r="A147" s="166" t="s">
        <v>88</v>
      </c>
      <c r="B147" s="167" t="s">
        <v>30</v>
      </c>
      <c r="C147" s="141">
        <f t="shared" ref="C147:AG147" si="141">IF(C18=$R32,$V32*24,IF(C18=$R33,$V33*24,IF(C18=$R34,$V34*24,IF(C18=$R35,$V35*24,IF(C18=$R36,$V36*24,IF(C18=$R37,$V37*24,IF(C18=$R38,$V38*24,IF(C18=$R39,$V39*24,IF(C18=$R40,$V40*24,"")))))))))</f>
        <v>19</v>
      </c>
      <c r="D147" s="141" t="str">
        <f t="shared" si="141"/>
        <v/>
      </c>
      <c r="E147" s="141" t="str">
        <f t="shared" si="141"/>
        <v/>
      </c>
      <c r="F147" s="141">
        <f t="shared" si="141"/>
        <v>19</v>
      </c>
      <c r="G147" s="141">
        <f t="shared" si="141"/>
        <v>19</v>
      </c>
      <c r="H147" s="141">
        <f t="shared" si="141"/>
        <v>19</v>
      </c>
      <c r="I147" s="141">
        <f t="shared" si="141"/>
        <v>18</v>
      </c>
      <c r="J147" s="141" t="str">
        <f t="shared" si="141"/>
        <v/>
      </c>
      <c r="K147" s="141">
        <f t="shared" si="141"/>
        <v>19</v>
      </c>
      <c r="L147" s="141">
        <f t="shared" si="141"/>
        <v>6</v>
      </c>
      <c r="M147" s="141" t="str">
        <f t="shared" si="141"/>
        <v/>
      </c>
      <c r="N147" s="141" t="str">
        <f t="shared" si="141"/>
        <v/>
      </c>
      <c r="O147" s="141" t="str">
        <f t="shared" si="141"/>
        <v/>
      </c>
      <c r="P147" s="141">
        <f t="shared" si="141"/>
        <v>19</v>
      </c>
      <c r="Q147" s="141">
        <f t="shared" si="141"/>
        <v>19</v>
      </c>
      <c r="R147" s="141" t="str">
        <f t="shared" si="141"/>
        <v/>
      </c>
      <c r="S147" s="141" t="str">
        <f t="shared" si="141"/>
        <v/>
      </c>
      <c r="T147" s="141" t="str">
        <f t="shared" si="141"/>
        <v/>
      </c>
      <c r="U147" s="141" t="str">
        <f t="shared" si="141"/>
        <v/>
      </c>
      <c r="V147" s="141" t="str">
        <f t="shared" si="141"/>
        <v/>
      </c>
      <c r="W147" s="141" t="str">
        <f t="shared" si="141"/>
        <v/>
      </c>
      <c r="X147" s="141" t="str">
        <f t="shared" si="141"/>
        <v/>
      </c>
      <c r="Y147" s="141" t="str">
        <f t="shared" si="141"/>
        <v/>
      </c>
      <c r="Z147" s="141" t="str">
        <f t="shared" si="141"/>
        <v/>
      </c>
      <c r="AA147" s="141" t="str">
        <f t="shared" si="141"/>
        <v/>
      </c>
      <c r="AB147" s="141" t="str">
        <f t="shared" si="141"/>
        <v/>
      </c>
      <c r="AC147" s="141" t="str">
        <f t="shared" si="141"/>
        <v/>
      </c>
      <c r="AD147" s="141" t="str">
        <f t="shared" si="141"/>
        <v/>
      </c>
      <c r="AE147" s="141" t="str">
        <f t="shared" si="141"/>
        <v/>
      </c>
      <c r="AF147" s="141" t="str">
        <f t="shared" si="141"/>
        <v/>
      </c>
      <c r="AG147" s="141" t="str">
        <f t="shared" si="141"/>
        <v/>
      </c>
      <c r="AH147" s="154" t="s">
        <v>12</v>
      </c>
      <c r="AI147" s="133"/>
      <c r="AJ147" s="170"/>
      <c r="AK147" s="133"/>
      <c r="AL147" s="133"/>
    </row>
    <row r="148" spans="1:38" ht="15.95" hidden="1" customHeight="1" x14ac:dyDescent="0.25">
      <c r="A148" s="153"/>
      <c r="B148" s="168" t="s">
        <v>34</v>
      </c>
      <c r="C148" s="169">
        <f t="shared" ref="C148:AD148" si="142">IF(C18=$R32,$BD32*24,IF(C18=$R33,$BD33*24,IF(C18=$R34,$BD34*24,IF(C18=$R35,$BD35*24,IF(C18=$R36,$BD36*24,IF(C18=$R37,$BD37*24,IF(C18=$R38,$BD38*24,IF(C18=$R39,$BD39*24,IF(C18=$R40,$BD40*24,"")))))))))</f>
        <v>0</v>
      </c>
      <c r="D148" s="169" t="str">
        <f t="shared" si="142"/>
        <v/>
      </c>
      <c r="E148" s="169" t="str">
        <f t="shared" si="142"/>
        <v/>
      </c>
      <c r="F148" s="169">
        <f t="shared" si="142"/>
        <v>0</v>
      </c>
      <c r="G148" s="169">
        <f t="shared" si="142"/>
        <v>0</v>
      </c>
      <c r="H148" s="169">
        <f t="shared" si="142"/>
        <v>0</v>
      </c>
      <c r="I148" s="169">
        <f t="shared" si="142"/>
        <v>0</v>
      </c>
      <c r="J148" s="169" t="str">
        <f t="shared" si="142"/>
        <v/>
      </c>
      <c r="K148" s="169">
        <f t="shared" si="142"/>
        <v>0</v>
      </c>
      <c r="L148" s="169">
        <f t="shared" si="142"/>
        <v>8</v>
      </c>
      <c r="M148" s="169" t="str">
        <f t="shared" si="142"/>
        <v/>
      </c>
      <c r="N148" s="169" t="str">
        <f t="shared" si="142"/>
        <v/>
      </c>
      <c r="O148" s="169" t="str">
        <f t="shared" si="142"/>
        <v/>
      </c>
      <c r="P148" s="169">
        <f t="shared" si="142"/>
        <v>0</v>
      </c>
      <c r="Q148" s="169">
        <f t="shared" si="142"/>
        <v>0</v>
      </c>
      <c r="R148" s="169" t="str">
        <f t="shared" si="142"/>
        <v/>
      </c>
      <c r="S148" s="169" t="str">
        <f t="shared" si="142"/>
        <v/>
      </c>
      <c r="T148" s="169" t="str">
        <f t="shared" si="142"/>
        <v/>
      </c>
      <c r="U148" s="169" t="str">
        <f t="shared" si="142"/>
        <v/>
      </c>
      <c r="V148" s="169" t="str">
        <f t="shared" si="142"/>
        <v/>
      </c>
      <c r="W148" s="169" t="str">
        <f t="shared" si="142"/>
        <v/>
      </c>
      <c r="X148" s="169" t="str">
        <f t="shared" si="142"/>
        <v/>
      </c>
      <c r="Y148" s="169" t="str">
        <f t="shared" si="142"/>
        <v/>
      </c>
      <c r="Z148" s="169" t="str">
        <f t="shared" si="142"/>
        <v/>
      </c>
      <c r="AA148" s="169" t="str">
        <f t="shared" si="142"/>
        <v/>
      </c>
      <c r="AB148" s="169" t="str">
        <f t="shared" si="142"/>
        <v/>
      </c>
      <c r="AC148" s="169" t="str">
        <f t="shared" si="142"/>
        <v/>
      </c>
      <c r="AD148" s="169" t="str">
        <f t="shared" si="142"/>
        <v/>
      </c>
      <c r="AE148" s="169" t="str">
        <f>IF(AE18=$R32,$BD32*24,IF(AE18=$R33,$BD33*24,IF(AE18=$R34,$BD34*24,IF(AE18=$R35,$BD35*24,IF(AE18=$R36,$BD36*24,IF(AE18=$R37,$BD37*24,IF(AE18=$R38,$BD38*24,IF(AE18=$R39,$BD39*24,IF(AE18=$R40,$BD40*24,"")))))))))</f>
        <v/>
      </c>
      <c r="AF148" s="169" t="str">
        <f>IF(AF18=$R32,$BD32*24,IF(AF18=$R33,$BD33*24,IF(AF18=$R34,$BD34*24,IF(AF18=$R35,$BD35*24,IF(AF18=$R36,$BD36*24,IF(AF18=$R37,$BD37*24,IF(AF18=$R38,$BD38*24,IF(AF18=$R39,$BD39*24,IF(AF18=$R40,$BD40*24,"")))))))))</f>
        <v/>
      </c>
      <c r="AG148" s="169" t="str">
        <f>IF(AG18=$R32,$BD32*24,IF(AG18=$R33,$BD33*24,IF(AG18=$R34,$BD34*24,IF(AG18=$R35,$BD35*24,IF(AG18=$R36,$BD36*24,IF(AG18=$R37,$BD37*24,IF(AG18=$R38,$BD38*24,IF(AG18=$R39,$BD39*24,IF(AG18=$R40,$BD40*24,"")))))))))</f>
        <v/>
      </c>
      <c r="AH148" s="148">
        <f>SUM(C148:AG148)</f>
        <v>8</v>
      </c>
      <c r="AI148" s="133"/>
      <c r="AJ148" s="170"/>
      <c r="AK148" s="133"/>
      <c r="AL148" s="133"/>
    </row>
    <row r="149" spans="1:38" ht="15.95" hidden="1" customHeight="1" x14ac:dyDescent="0.25">
      <c r="A149" s="153"/>
      <c r="B149" s="167" t="s">
        <v>59</v>
      </c>
      <c r="C149" s="141">
        <f t="shared" ref="C149:AG149" si="143">IF(C18="V",$C36,IF(C18="PR",$C38,0))</f>
        <v>0</v>
      </c>
      <c r="D149" s="141">
        <f t="shared" si="143"/>
        <v>0</v>
      </c>
      <c r="E149" s="141">
        <f t="shared" si="143"/>
        <v>0</v>
      </c>
      <c r="F149" s="141">
        <f t="shared" si="143"/>
        <v>0</v>
      </c>
      <c r="G149" s="141">
        <f t="shared" si="143"/>
        <v>0</v>
      </c>
      <c r="H149" s="141">
        <f t="shared" si="143"/>
        <v>0</v>
      </c>
      <c r="I149" s="141">
        <f t="shared" si="143"/>
        <v>0</v>
      </c>
      <c r="J149" s="141">
        <f t="shared" si="143"/>
        <v>0</v>
      </c>
      <c r="K149" s="141">
        <f t="shared" si="143"/>
        <v>0</v>
      </c>
      <c r="L149" s="141">
        <f t="shared" si="143"/>
        <v>0</v>
      </c>
      <c r="M149" s="141">
        <f t="shared" si="143"/>
        <v>0</v>
      </c>
      <c r="N149" s="141">
        <f t="shared" si="143"/>
        <v>0</v>
      </c>
      <c r="O149" s="141">
        <f t="shared" si="143"/>
        <v>0</v>
      </c>
      <c r="P149" s="141">
        <f t="shared" si="143"/>
        <v>0</v>
      </c>
      <c r="Q149" s="141">
        <f t="shared" si="143"/>
        <v>0</v>
      </c>
      <c r="R149" s="141">
        <f t="shared" si="143"/>
        <v>5.22</v>
      </c>
      <c r="S149" s="141">
        <f t="shared" si="143"/>
        <v>5.22</v>
      </c>
      <c r="T149" s="141">
        <f t="shared" si="143"/>
        <v>5.22</v>
      </c>
      <c r="U149" s="141">
        <f t="shared" si="143"/>
        <v>5.22</v>
      </c>
      <c r="V149" s="141">
        <f t="shared" si="143"/>
        <v>5.22</v>
      </c>
      <c r="W149" s="141">
        <f t="shared" si="143"/>
        <v>5.22</v>
      </c>
      <c r="X149" s="141">
        <f t="shared" si="143"/>
        <v>5.22</v>
      </c>
      <c r="Y149" s="141">
        <f t="shared" si="143"/>
        <v>5.22</v>
      </c>
      <c r="Z149" s="141">
        <f t="shared" si="143"/>
        <v>5.22</v>
      </c>
      <c r="AA149" s="141">
        <f t="shared" si="143"/>
        <v>5.22</v>
      </c>
      <c r="AB149" s="141">
        <f t="shared" si="143"/>
        <v>5.22</v>
      </c>
      <c r="AC149" s="141">
        <f t="shared" si="143"/>
        <v>5.22</v>
      </c>
      <c r="AD149" s="141">
        <f t="shared" si="143"/>
        <v>5.22</v>
      </c>
      <c r="AE149" s="141">
        <f t="shared" si="143"/>
        <v>5.22</v>
      </c>
      <c r="AF149" s="141">
        <f t="shared" si="143"/>
        <v>5.22</v>
      </c>
      <c r="AG149" s="141">
        <f t="shared" si="143"/>
        <v>5.22</v>
      </c>
      <c r="AH149" s="226">
        <f>SUM(C149:AG149)</f>
        <v>83.52</v>
      </c>
      <c r="AI149" s="226"/>
      <c r="AJ149" s="230">
        <f>SUM(AH94+AH105+AH116+AH127+AH138+AH149)</f>
        <v>250.56</v>
      </c>
      <c r="AK149" s="230"/>
      <c r="AL149" s="133" t="s">
        <v>56</v>
      </c>
    </row>
    <row r="150" spans="1:38" ht="15.95" hidden="1" customHeight="1" x14ac:dyDescent="0.25">
      <c r="A150" s="150" t="s">
        <v>60</v>
      </c>
      <c r="B150" s="167" t="s">
        <v>61</v>
      </c>
      <c r="C150" s="151">
        <f t="shared" ref="C150:AD150" si="144">IF(C18=$R32,$BC32,IF(C18=$R33,$BC33,IF(C18=$R34,$BC34,IF(C18=$R35,$BC35,IF(C18=$R36,$BC36,IF(C18=$R37,$BC37,IF(C18=$R38,$BC38,IF(C18=$R39,$BC39,IF(C18=$R40,$BC40,0)))))))))</f>
        <v>11.999999999999998</v>
      </c>
      <c r="D150" s="151">
        <f t="shared" si="144"/>
        <v>0</v>
      </c>
      <c r="E150" s="151">
        <f t="shared" si="144"/>
        <v>0</v>
      </c>
      <c r="F150" s="151">
        <f t="shared" si="144"/>
        <v>11.999999999999998</v>
      </c>
      <c r="G150" s="151">
        <f t="shared" si="144"/>
        <v>11.999999999999998</v>
      </c>
      <c r="H150" s="151">
        <f t="shared" si="144"/>
        <v>11.999999999999998</v>
      </c>
      <c r="I150" s="151">
        <f t="shared" si="144"/>
        <v>12</v>
      </c>
      <c r="J150" s="151">
        <f t="shared" si="144"/>
        <v>0</v>
      </c>
      <c r="K150" s="151">
        <f t="shared" si="144"/>
        <v>11.999999999999998</v>
      </c>
      <c r="L150" s="151">
        <f t="shared" si="144"/>
        <v>12</v>
      </c>
      <c r="M150" s="151">
        <f t="shared" si="144"/>
        <v>0</v>
      </c>
      <c r="N150" s="151">
        <f t="shared" si="144"/>
        <v>0</v>
      </c>
      <c r="O150" s="151">
        <f t="shared" si="144"/>
        <v>0</v>
      </c>
      <c r="P150" s="151">
        <f t="shared" si="144"/>
        <v>11.999999999999998</v>
      </c>
      <c r="Q150" s="151">
        <f t="shared" si="144"/>
        <v>11.999999999999998</v>
      </c>
      <c r="R150" s="151">
        <f t="shared" si="144"/>
        <v>0</v>
      </c>
      <c r="S150" s="151">
        <f t="shared" si="144"/>
        <v>0</v>
      </c>
      <c r="T150" s="151">
        <f t="shared" si="144"/>
        <v>0</v>
      </c>
      <c r="U150" s="151">
        <f t="shared" si="144"/>
        <v>0</v>
      </c>
      <c r="V150" s="151">
        <f t="shared" si="144"/>
        <v>0</v>
      </c>
      <c r="W150" s="151">
        <f t="shared" si="144"/>
        <v>0</v>
      </c>
      <c r="X150" s="151">
        <f t="shared" si="144"/>
        <v>0</v>
      </c>
      <c r="Y150" s="151">
        <f t="shared" si="144"/>
        <v>0</v>
      </c>
      <c r="Z150" s="151">
        <f t="shared" si="144"/>
        <v>0</v>
      </c>
      <c r="AA150" s="151">
        <f t="shared" si="144"/>
        <v>0</v>
      </c>
      <c r="AB150" s="151">
        <f t="shared" si="144"/>
        <v>0</v>
      </c>
      <c r="AC150" s="151">
        <f t="shared" si="144"/>
        <v>0</v>
      </c>
      <c r="AD150" s="151">
        <f t="shared" si="144"/>
        <v>0</v>
      </c>
      <c r="AE150" s="151">
        <f>IF(AE18=$R32,$BC32,IF(AE18=$R33,$BC33,IF(AE18=$R34,$BC34,IF(AE18=$R35,$BC35,IF(AE18=$R36,$BC36,IF(AE18=$R37,$BC37,IF(AE18=$R38,$BC38,IF(AE18=$R39,$BC39,IF(AE18=$R40,$BC40,0)))))))))</f>
        <v>0</v>
      </c>
      <c r="AF150" s="151">
        <f>IF(AF18=$R32,$BC32,IF(AF18=$R33,$BC33,IF(AF18=$R34,$BC34,IF(AF18=$R35,$BC35,IF(AF18=$R36,$BC36,IF(AF18=$R37,$BC37,IF(AF18=$R38,$BC38,IF(AF18=$R39,$BC39,IF(AF18=$R40,$BC40,0)))))))))</f>
        <v>0</v>
      </c>
      <c r="AG150" s="151">
        <f>IF(AG18=$R32,$BC32,IF(AG18=$R33,$BC33,IF(AG18=$R34,$BC34,IF(AG18=$R35,$BC35,IF(AG18=$R36,$BC36,IF(AG18=$R37,$BC37,IF(AG18=$R38,$BC38,IF(AG18=$R39,$BC39,IF(AG18=$R40,$BC40,0)))))))))</f>
        <v>0</v>
      </c>
      <c r="AH150" s="226">
        <f>SUM(C150:AG150)</f>
        <v>107.99999999999999</v>
      </c>
      <c r="AI150" s="226"/>
      <c r="AJ150" s="174" t="s">
        <v>62</v>
      </c>
      <c r="AK150" s="133" t="s">
        <v>12</v>
      </c>
      <c r="AL150" s="133"/>
    </row>
    <row r="151" spans="1:38" ht="15.95" hidden="1" customHeight="1" x14ac:dyDescent="0.25">
      <c r="A151" s="153" t="s">
        <v>48</v>
      </c>
      <c r="B151" s="149" t="s">
        <v>63</v>
      </c>
      <c r="C151" s="141" t="b">
        <f>IF(C46=1,IF(C146&lt;C147,C150,0))</f>
        <v>0</v>
      </c>
      <c r="D151" s="141" t="b">
        <f t="shared" ref="D151:AG151" si="145">IF(D46=1,IF(D146&lt;D147,D150,0))</f>
        <v>0</v>
      </c>
      <c r="E151" s="141" t="b">
        <f t="shared" si="145"/>
        <v>0</v>
      </c>
      <c r="F151" s="141" t="b">
        <f t="shared" si="145"/>
        <v>0</v>
      </c>
      <c r="G151" s="141">
        <f t="shared" si="145"/>
        <v>11.999999999999998</v>
      </c>
      <c r="H151" s="141">
        <f t="shared" si="145"/>
        <v>11.999999999999998</v>
      </c>
      <c r="I151" s="141" t="b">
        <f t="shared" si="145"/>
        <v>0</v>
      </c>
      <c r="J151" s="141" t="b">
        <f t="shared" si="145"/>
        <v>0</v>
      </c>
      <c r="K151" s="141" t="b">
        <f t="shared" si="145"/>
        <v>0</v>
      </c>
      <c r="L151" s="141" t="b">
        <f t="shared" si="145"/>
        <v>0</v>
      </c>
      <c r="M151" s="141" t="b">
        <f t="shared" si="145"/>
        <v>0</v>
      </c>
      <c r="N151" s="141">
        <f t="shared" si="145"/>
        <v>0</v>
      </c>
      <c r="O151" s="141">
        <f t="shared" si="145"/>
        <v>0</v>
      </c>
      <c r="P151" s="141" t="b">
        <f t="shared" si="145"/>
        <v>0</v>
      </c>
      <c r="Q151" s="141" t="b">
        <f t="shared" si="145"/>
        <v>0</v>
      </c>
      <c r="R151" s="141" t="b">
        <f t="shared" si="145"/>
        <v>0</v>
      </c>
      <c r="S151" s="141" t="b">
        <f t="shared" si="145"/>
        <v>0</v>
      </c>
      <c r="T151" s="141" t="b">
        <f t="shared" si="145"/>
        <v>0</v>
      </c>
      <c r="U151" s="141">
        <f t="shared" si="145"/>
        <v>0</v>
      </c>
      <c r="V151" s="141">
        <f t="shared" si="145"/>
        <v>0</v>
      </c>
      <c r="W151" s="141" t="b">
        <f t="shared" si="145"/>
        <v>0</v>
      </c>
      <c r="X151" s="141" t="b">
        <f t="shared" si="145"/>
        <v>0</v>
      </c>
      <c r="Y151" s="141" t="b">
        <f t="shared" si="145"/>
        <v>0</v>
      </c>
      <c r="Z151" s="141" t="b">
        <f t="shared" si="145"/>
        <v>0</v>
      </c>
      <c r="AA151" s="141" t="b">
        <f t="shared" si="145"/>
        <v>0</v>
      </c>
      <c r="AB151" s="141">
        <f t="shared" si="145"/>
        <v>0</v>
      </c>
      <c r="AC151" s="141">
        <f t="shared" si="145"/>
        <v>0</v>
      </c>
      <c r="AD151" s="141" t="b">
        <f t="shared" si="145"/>
        <v>0</v>
      </c>
      <c r="AE151" s="141" t="b">
        <f t="shared" si="145"/>
        <v>0</v>
      </c>
      <c r="AF151" s="141" t="b">
        <f t="shared" si="145"/>
        <v>0</v>
      </c>
      <c r="AG151" s="141" t="b">
        <f t="shared" si="145"/>
        <v>0</v>
      </c>
      <c r="AH151" s="154" t="s">
        <v>12</v>
      </c>
      <c r="AI151" s="133"/>
      <c r="AJ151" s="170"/>
      <c r="AK151" s="133"/>
      <c r="AL151" s="133"/>
    </row>
    <row r="152" spans="1:38" ht="15.95" hidden="1" customHeight="1" x14ac:dyDescent="0.25">
      <c r="A152" s="176"/>
      <c r="B152" s="149" t="s">
        <v>64</v>
      </c>
      <c r="C152" s="141">
        <f t="shared" ref="C152:AG152" si="146">IF(C46=1,IF(C146&gt;C147,24-C146,0),0)</f>
        <v>0</v>
      </c>
      <c r="D152" s="141">
        <f t="shared" si="146"/>
        <v>0</v>
      </c>
      <c r="E152" s="141">
        <f t="shared" si="146"/>
        <v>0</v>
      </c>
      <c r="F152" s="141">
        <f t="shared" si="146"/>
        <v>0</v>
      </c>
      <c r="G152" s="141">
        <f t="shared" si="146"/>
        <v>0</v>
      </c>
      <c r="H152" s="141">
        <f t="shared" si="146"/>
        <v>0</v>
      </c>
      <c r="I152" s="141">
        <f t="shared" si="146"/>
        <v>0</v>
      </c>
      <c r="J152" s="141">
        <f t="shared" si="146"/>
        <v>0</v>
      </c>
      <c r="K152" s="141">
        <f t="shared" si="146"/>
        <v>0</v>
      </c>
      <c r="L152" s="141">
        <f t="shared" si="146"/>
        <v>0</v>
      </c>
      <c r="M152" s="141">
        <f t="shared" si="146"/>
        <v>0</v>
      </c>
      <c r="N152" s="141">
        <f t="shared" si="146"/>
        <v>0</v>
      </c>
      <c r="O152" s="141">
        <f t="shared" si="146"/>
        <v>0</v>
      </c>
      <c r="P152" s="141">
        <f t="shared" si="146"/>
        <v>0</v>
      </c>
      <c r="Q152" s="141">
        <f t="shared" si="146"/>
        <v>0</v>
      </c>
      <c r="R152" s="141">
        <f t="shared" si="146"/>
        <v>0</v>
      </c>
      <c r="S152" s="141">
        <f t="shared" si="146"/>
        <v>0</v>
      </c>
      <c r="T152" s="141">
        <f t="shared" si="146"/>
        <v>0</v>
      </c>
      <c r="U152" s="141">
        <f t="shared" si="146"/>
        <v>0</v>
      </c>
      <c r="V152" s="141">
        <f t="shared" si="146"/>
        <v>0</v>
      </c>
      <c r="W152" s="141">
        <f t="shared" si="146"/>
        <v>0</v>
      </c>
      <c r="X152" s="141">
        <f t="shared" si="146"/>
        <v>0</v>
      </c>
      <c r="Y152" s="141">
        <f t="shared" si="146"/>
        <v>0</v>
      </c>
      <c r="Z152" s="141">
        <f t="shared" si="146"/>
        <v>0</v>
      </c>
      <c r="AA152" s="141">
        <f t="shared" si="146"/>
        <v>0</v>
      </c>
      <c r="AB152" s="141">
        <f t="shared" si="146"/>
        <v>0</v>
      </c>
      <c r="AC152" s="141">
        <f t="shared" si="146"/>
        <v>0</v>
      </c>
      <c r="AD152" s="141">
        <f t="shared" si="146"/>
        <v>0</v>
      </c>
      <c r="AE152" s="141">
        <f t="shared" si="146"/>
        <v>0</v>
      </c>
      <c r="AF152" s="141">
        <f t="shared" si="146"/>
        <v>0</v>
      </c>
      <c r="AG152" s="141">
        <f t="shared" si="146"/>
        <v>0</v>
      </c>
      <c r="AH152" s="154" t="s">
        <v>12</v>
      </c>
      <c r="AI152" s="133"/>
      <c r="AJ152" s="170"/>
      <c r="AK152" s="133"/>
      <c r="AL152" s="133"/>
    </row>
    <row r="153" spans="1:38" ht="15.95" hidden="1" customHeight="1" x14ac:dyDescent="0.25">
      <c r="A153" s="176"/>
      <c r="B153" s="149" t="s">
        <v>65</v>
      </c>
      <c r="C153" s="141">
        <f t="shared" ref="C153:AG153" si="147">IF(D46=1,IF(C146&gt;C147,C147,0),0)</f>
        <v>0</v>
      </c>
      <c r="D153" s="141">
        <f t="shared" si="147"/>
        <v>0</v>
      </c>
      <c r="E153" s="141">
        <f t="shared" si="147"/>
        <v>0</v>
      </c>
      <c r="F153" s="141">
        <f t="shared" si="147"/>
        <v>0</v>
      </c>
      <c r="G153" s="141">
        <f t="shared" si="147"/>
        <v>0</v>
      </c>
      <c r="H153" s="141">
        <f t="shared" si="147"/>
        <v>0</v>
      </c>
      <c r="I153" s="141">
        <f t="shared" si="147"/>
        <v>0</v>
      </c>
      <c r="J153" s="141">
        <f t="shared" si="147"/>
        <v>0</v>
      </c>
      <c r="K153" s="141">
        <f t="shared" si="147"/>
        <v>0</v>
      </c>
      <c r="L153" s="141">
        <f t="shared" si="147"/>
        <v>0</v>
      </c>
      <c r="M153" s="141">
        <f t="shared" si="147"/>
        <v>0</v>
      </c>
      <c r="N153" s="141">
        <f t="shared" si="147"/>
        <v>0</v>
      </c>
      <c r="O153" s="141">
        <f t="shared" si="147"/>
        <v>0</v>
      </c>
      <c r="P153" s="141">
        <f t="shared" si="147"/>
        <v>0</v>
      </c>
      <c r="Q153" s="141">
        <f t="shared" si="147"/>
        <v>0</v>
      </c>
      <c r="R153" s="141">
        <f t="shared" si="147"/>
        <v>0</v>
      </c>
      <c r="S153" s="141">
        <f t="shared" si="147"/>
        <v>0</v>
      </c>
      <c r="T153" s="141">
        <f t="shared" si="147"/>
        <v>0</v>
      </c>
      <c r="U153" s="141">
        <f t="shared" si="147"/>
        <v>0</v>
      </c>
      <c r="V153" s="141">
        <f t="shared" si="147"/>
        <v>0</v>
      </c>
      <c r="W153" s="141">
        <f t="shared" si="147"/>
        <v>0</v>
      </c>
      <c r="X153" s="141">
        <f>IF(Y46=1,IF(X146&gt;X147,X147,0),0)</f>
        <v>0</v>
      </c>
      <c r="Y153" s="141">
        <f t="shared" si="147"/>
        <v>0</v>
      </c>
      <c r="Z153" s="141">
        <f t="shared" si="147"/>
        <v>0</v>
      </c>
      <c r="AA153" s="141">
        <f t="shared" si="147"/>
        <v>0</v>
      </c>
      <c r="AB153" s="141">
        <f t="shared" si="147"/>
        <v>0</v>
      </c>
      <c r="AC153" s="141">
        <f t="shared" si="147"/>
        <v>0</v>
      </c>
      <c r="AD153" s="141">
        <f t="shared" si="147"/>
        <v>0</v>
      </c>
      <c r="AE153" s="141">
        <f t="shared" si="147"/>
        <v>0</v>
      </c>
      <c r="AF153" s="141">
        <f t="shared" si="147"/>
        <v>0</v>
      </c>
      <c r="AG153" s="141">
        <f t="shared" si="147"/>
        <v>0</v>
      </c>
      <c r="AH153" s="154" t="s">
        <v>12</v>
      </c>
      <c r="AI153" s="133"/>
      <c r="AJ153" s="170"/>
      <c r="AK153" s="133"/>
      <c r="AL153" s="133"/>
    </row>
    <row r="154" spans="1:38" ht="15.95" hidden="1" customHeight="1" x14ac:dyDescent="0.25">
      <c r="A154" s="176"/>
      <c r="B154" s="149" t="s">
        <v>67</v>
      </c>
      <c r="C154" s="171">
        <f>SUM(C151:C153)</f>
        <v>0</v>
      </c>
      <c r="D154" s="171">
        <f t="shared" ref="D154:AG154" si="148">SUM(D151:D153)</f>
        <v>0</v>
      </c>
      <c r="E154" s="171">
        <f t="shared" si="148"/>
        <v>0</v>
      </c>
      <c r="F154" s="171">
        <f t="shared" si="148"/>
        <v>0</v>
      </c>
      <c r="G154" s="171">
        <f t="shared" si="148"/>
        <v>11.999999999999998</v>
      </c>
      <c r="H154" s="171">
        <f t="shared" si="148"/>
        <v>11.999999999999998</v>
      </c>
      <c r="I154" s="171">
        <f t="shared" si="148"/>
        <v>0</v>
      </c>
      <c r="J154" s="171">
        <f t="shared" si="148"/>
        <v>0</v>
      </c>
      <c r="K154" s="171">
        <f t="shared" si="148"/>
        <v>0</v>
      </c>
      <c r="L154" s="171">
        <f t="shared" si="148"/>
        <v>0</v>
      </c>
      <c r="M154" s="171">
        <f t="shared" si="148"/>
        <v>0</v>
      </c>
      <c r="N154" s="171">
        <f t="shared" si="148"/>
        <v>0</v>
      </c>
      <c r="O154" s="171">
        <f t="shared" si="148"/>
        <v>0</v>
      </c>
      <c r="P154" s="171">
        <f t="shared" si="148"/>
        <v>0</v>
      </c>
      <c r="Q154" s="171">
        <f t="shared" si="148"/>
        <v>0</v>
      </c>
      <c r="R154" s="171">
        <f t="shared" si="148"/>
        <v>0</v>
      </c>
      <c r="S154" s="171">
        <f t="shared" si="148"/>
        <v>0</v>
      </c>
      <c r="T154" s="171">
        <f t="shared" si="148"/>
        <v>0</v>
      </c>
      <c r="U154" s="171">
        <f t="shared" si="148"/>
        <v>0</v>
      </c>
      <c r="V154" s="171">
        <f t="shared" si="148"/>
        <v>0</v>
      </c>
      <c r="W154" s="171">
        <f t="shared" si="148"/>
        <v>0</v>
      </c>
      <c r="X154" s="171">
        <f t="shared" si="148"/>
        <v>0</v>
      </c>
      <c r="Y154" s="171">
        <f t="shared" si="148"/>
        <v>0</v>
      </c>
      <c r="Z154" s="171">
        <f t="shared" si="148"/>
        <v>0</v>
      </c>
      <c r="AA154" s="171">
        <f t="shared" si="148"/>
        <v>0</v>
      </c>
      <c r="AB154" s="171">
        <f t="shared" si="148"/>
        <v>0</v>
      </c>
      <c r="AC154" s="171">
        <f t="shared" si="148"/>
        <v>0</v>
      </c>
      <c r="AD154" s="171">
        <f t="shared" si="148"/>
        <v>0</v>
      </c>
      <c r="AE154" s="171">
        <f t="shared" si="148"/>
        <v>0</v>
      </c>
      <c r="AF154" s="171">
        <f t="shared" si="148"/>
        <v>0</v>
      </c>
      <c r="AG154" s="171">
        <f t="shared" si="148"/>
        <v>0</v>
      </c>
      <c r="AH154" s="154" t="s">
        <v>12</v>
      </c>
      <c r="AI154" s="133"/>
      <c r="AJ154" s="170"/>
      <c r="AK154" s="133"/>
      <c r="AL154" s="133"/>
    </row>
    <row r="155" spans="1:38" ht="15.95" hidden="1" customHeight="1" x14ac:dyDescent="0.25">
      <c r="A155" s="177"/>
      <c r="B155" s="160" t="s">
        <v>68</v>
      </c>
      <c r="C155" s="161">
        <f t="shared" ref="C155:AG155" si="149">IF(C18="V",IF(C18="",0,1),0)</f>
        <v>0</v>
      </c>
      <c r="D155" s="161">
        <f t="shared" si="149"/>
        <v>0</v>
      </c>
      <c r="E155" s="161">
        <f t="shared" si="149"/>
        <v>0</v>
      </c>
      <c r="F155" s="161">
        <f t="shared" si="149"/>
        <v>0</v>
      </c>
      <c r="G155" s="161">
        <f t="shared" si="149"/>
        <v>0</v>
      </c>
      <c r="H155" s="161">
        <f t="shared" si="149"/>
        <v>0</v>
      </c>
      <c r="I155" s="161">
        <f t="shared" si="149"/>
        <v>0</v>
      </c>
      <c r="J155" s="161">
        <f t="shared" si="149"/>
        <v>0</v>
      </c>
      <c r="K155" s="161">
        <f t="shared" si="149"/>
        <v>0</v>
      </c>
      <c r="L155" s="161">
        <f t="shared" si="149"/>
        <v>0</v>
      </c>
      <c r="M155" s="161">
        <f t="shared" si="149"/>
        <v>0</v>
      </c>
      <c r="N155" s="161">
        <f t="shared" si="149"/>
        <v>0</v>
      </c>
      <c r="O155" s="161">
        <f t="shared" si="149"/>
        <v>0</v>
      </c>
      <c r="P155" s="161">
        <f t="shared" si="149"/>
        <v>0</v>
      </c>
      <c r="Q155" s="161">
        <f t="shared" si="149"/>
        <v>0</v>
      </c>
      <c r="R155" s="161">
        <f t="shared" si="149"/>
        <v>1</v>
      </c>
      <c r="S155" s="161">
        <f t="shared" si="149"/>
        <v>1</v>
      </c>
      <c r="T155" s="161">
        <f t="shared" si="149"/>
        <v>1</v>
      </c>
      <c r="U155" s="161">
        <f t="shared" si="149"/>
        <v>1</v>
      </c>
      <c r="V155" s="161">
        <f t="shared" si="149"/>
        <v>1</v>
      </c>
      <c r="W155" s="161">
        <f t="shared" si="149"/>
        <v>1</v>
      </c>
      <c r="X155" s="161">
        <f t="shared" si="149"/>
        <v>1</v>
      </c>
      <c r="Y155" s="161">
        <f t="shared" si="149"/>
        <v>1</v>
      </c>
      <c r="Z155" s="161">
        <f t="shared" si="149"/>
        <v>1</v>
      </c>
      <c r="AA155" s="161">
        <f t="shared" si="149"/>
        <v>1</v>
      </c>
      <c r="AB155" s="161">
        <f t="shared" si="149"/>
        <v>1</v>
      </c>
      <c r="AC155" s="161">
        <f t="shared" si="149"/>
        <v>1</v>
      </c>
      <c r="AD155" s="161">
        <f t="shared" si="149"/>
        <v>1</v>
      </c>
      <c r="AE155" s="161">
        <f t="shared" si="149"/>
        <v>1</v>
      </c>
      <c r="AF155" s="161">
        <f t="shared" si="149"/>
        <v>1</v>
      </c>
      <c r="AG155" s="161">
        <f t="shared" si="149"/>
        <v>1</v>
      </c>
      <c r="AH155" s="154" t="s">
        <v>12</v>
      </c>
      <c r="AI155" s="133"/>
      <c r="AJ155" s="170"/>
      <c r="AK155" s="133"/>
      <c r="AL155" s="133"/>
    </row>
    <row r="156" spans="1:38" ht="15.95" hidden="1" customHeight="1" x14ac:dyDescent="0.25">
      <c r="A156" s="180"/>
      <c r="B156" s="181" t="s">
        <v>16</v>
      </c>
      <c r="C156" s="182">
        <f t="shared" ref="C156:AG156" si="150">IF(C18="PR",IF(C18="",0,1),0)</f>
        <v>0</v>
      </c>
      <c r="D156" s="182">
        <f t="shared" si="150"/>
        <v>0</v>
      </c>
      <c r="E156" s="182">
        <f t="shared" si="150"/>
        <v>0</v>
      </c>
      <c r="F156" s="182">
        <f t="shared" si="150"/>
        <v>0</v>
      </c>
      <c r="G156" s="182">
        <f t="shared" si="150"/>
        <v>0</v>
      </c>
      <c r="H156" s="182">
        <f t="shared" si="150"/>
        <v>0</v>
      </c>
      <c r="I156" s="182">
        <f t="shared" si="150"/>
        <v>0</v>
      </c>
      <c r="J156" s="182">
        <f t="shared" si="150"/>
        <v>0</v>
      </c>
      <c r="K156" s="182">
        <f t="shared" si="150"/>
        <v>0</v>
      </c>
      <c r="L156" s="182">
        <f t="shared" si="150"/>
        <v>0</v>
      </c>
      <c r="M156" s="182">
        <f t="shared" si="150"/>
        <v>0</v>
      </c>
      <c r="N156" s="182">
        <f t="shared" si="150"/>
        <v>0</v>
      </c>
      <c r="O156" s="182">
        <f t="shared" si="150"/>
        <v>0</v>
      </c>
      <c r="P156" s="182">
        <f t="shared" si="150"/>
        <v>0</v>
      </c>
      <c r="Q156" s="182">
        <f t="shared" si="150"/>
        <v>0</v>
      </c>
      <c r="R156" s="182">
        <f t="shared" si="150"/>
        <v>0</v>
      </c>
      <c r="S156" s="182">
        <f t="shared" si="150"/>
        <v>0</v>
      </c>
      <c r="T156" s="182">
        <f t="shared" si="150"/>
        <v>0</v>
      </c>
      <c r="U156" s="182">
        <f t="shared" si="150"/>
        <v>0</v>
      </c>
      <c r="V156" s="182">
        <f t="shared" si="150"/>
        <v>0</v>
      </c>
      <c r="W156" s="182">
        <f t="shared" si="150"/>
        <v>0</v>
      </c>
      <c r="X156" s="182">
        <f t="shared" si="150"/>
        <v>0</v>
      </c>
      <c r="Y156" s="182">
        <f t="shared" si="150"/>
        <v>0</v>
      </c>
      <c r="Z156" s="182">
        <f t="shared" si="150"/>
        <v>0</v>
      </c>
      <c r="AA156" s="182">
        <f t="shared" si="150"/>
        <v>0</v>
      </c>
      <c r="AB156" s="182">
        <f t="shared" si="150"/>
        <v>0</v>
      </c>
      <c r="AC156" s="182">
        <f t="shared" si="150"/>
        <v>0</v>
      </c>
      <c r="AD156" s="182">
        <f t="shared" si="150"/>
        <v>0</v>
      </c>
      <c r="AE156" s="182">
        <f t="shared" si="150"/>
        <v>0</v>
      </c>
      <c r="AF156" s="182">
        <f t="shared" si="150"/>
        <v>0</v>
      </c>
      <c r="AG156" s="182">
        <f t="shared" si="150"/>
        <v>0</v>
      </c>
      <c r="AH156" s="227">
        <f>SUM(C156:AG156)</f>
        <v>0</v>
      </c>
      <c r="AI156" s="227"/>
      <c r="AJ156" s="174" t="s">
        <v>69</v>
      </c>
      <c r="AK156" s="133"/>
      <c r="AL156" s="133"/>
    </row>
    <row r="157" spans="1:38" ht="15.95" hidden="1" customHeight="1" x14ac:dyDescent="0.25">
      <c r="A157" s="164" t="s">
        <v>126</v>
      </c>
      <c r="B157" s="165" t="s">
        <v>29</v>
      </c>
      <c r="C157" s="141">
        <f>IF(C19=$R32,$S32*24,IF(C19=$R33,$S33*24,IF(C19=$R34,$S34*24,IF(C19=$R35,$S35*24,IF(C19=$R36,$S36*24,IF(C19=$R37,$S37*24,IF(C19=$R38,$S38*24,IF(C19=$R39,$S39*24,IF(C19=$R40,$S40*24,"")))))))))</f>
        <v>22</v>
      </c>
      <c r="D157" s="141">
        <f t="shared" ref="D157:AG157" si="151">IF(D19=$R32,$S32*24,IF(D19=$R33,$S33*24,IF(D19=$R34,$S34*24,IF(D19=$R35,$S35*24,IF(D19=$R36,$S36*24,IF(D19=$R37,$S37*24,IF(D19=$R38,$S38*24,IF(D19=$R39,$S39*24,IF(D19=$R40,$S40*24,"")))))))))</f>
        <v>22</v>
      </c>
      <c r="E157" s="141">
        <f t="shared" si="151"/>
        <v>22</v>
      </c>
      <c r="F157" s="141" t="str">
        <f t="shared" si="151"/>
        <v/>
      </c>
      <c r="G157" s="141" t="str">
        <f t="shared" si="151"/>
        <v/>
      </c>
      <c r="H157" s="141" t="str">
        <f t="shared" si="151"/>
        <v/>
      </c>
      <c r="I157" s="141">
        <f t="shared" si="151"/>
        <v>22</v>
      </c>
      <c r="J157" s="141">
        <f t="shared" si="151"/>
        <v>22</v>
      </c>
      <c r="K157" s="141" t="str">
        <f t="shared" si="151"/>
        <v/>
      </c>
      <c r="L157" s="141" t="str">
        <f t="shared" si="151"/>
        <v/>
      </c>
      <c r="M157" s="141">
        <f t="shared" si="151"/>
        <v>22</v>
      </c>
      <c r="N157" s="141">
        <f t="shared" si="151"/>
        <v>22</v>
      </c>
      <c r="O157" s="141">
        <f t="shared" si="151"/>
        <v>22</v>
      </c>
      <c r="P157" s="141">
        <f t="shared" si="151"/>
        <v>22</v>
      </c>
      <c r="Q157" s="141">
        <f t="shared" si="151"/>
        <v>22</v>
      </c>
      <c r="R157" s="141">
        <f t="shared" si="151"/>
        <v>22</v>
      </c>
      <c r="S157" s="141" t="str">
        <f t="shared" si="151"/>
        <v/>
      </c>
      <c r="T157" s="141" t="str">
        <f t="shared" si="151"/>
        <v/>
      </c>
      <c r="U157" s="141" t="str">
        <f t="shared" si="151"/>
        <v/>
      </c>
      <c r="V157" s="141" t="str">
        <f t="shared" si="151"/>
        <v/>
      </c>
      <c r="W157" s="141" t="str">
        <f t="shared" si="151"/>
        <v/>
      </c>
      <c r="X157" s="141" t="str">
        <f t="shared" si="151"/>
        <v/>
      </c>
      <c r="Y157" s="141" t="str">
        <f t="shared" si="151"/>
        <v/>
      </c>
      <c r="Z157" s="141" t="str">
        <f t="shared" si="151"/>
        <v/>
      </c>
      <c r="AA157" s="141" t="str">
        <f t="shared" si="151"/>
        <v/>
      </c>
      <c r="AB157" s="141" t="str">
        <f t="shared" si="151"/>
        <v/>
      </c>
      <c r="AC157" s="141" t="str">
        <f t="shared" si="151"/>
        <v/>
      </c>
      <c r="AD157" s="141" t="str">
        <f t="shared" si="151"/>
        <v/>
      </c>
      <c r="AE157" s="141" t="str">
        <f t="shared" si="151"/>
        <v/>
      </c>
      <c r="AF157" s="141">
        <f t="shared" si="151"/>
        <v>22</v>
      </c>
      <c r="AG157" s="141">
        <f t="shared" si="151"/>
        <v>22</v>
      </c>
      <c r="AH157" s="154" t="s">
        <v>12</v>
      </c>
      <c r="AI157" s="133"/>
      <c r="AJ157" s="170"/>
      <c r="AK157" s="133"/>
      <c r="AL157" s="133"/>
    </row>
    <row r="158" spans="1:38" ht="15.95" hidden="1" customHeight="1" x14ac:dyDescent="0.25">
      <c r="A158" s="166" t="s">
        <v>128</v>
      </c>
      <c r="B158" s="167" t="s">
        <v>30</v>
      </c>
      <c r="C158" s="141">
        <f>IF(C19=$R32,$V32*24,IF(C19=$R33,$V33*24,IF(C19=$R34,$V34*24,IF(C19=$R35,$V35*24,IF(C19=$R36,$V36*24,IF(C19=$R37,$V37*24,IF(C19=$R38,$V38*24,IF(C19=$R39,$V39*24,IF(C19=$R40,$V40*24,"")))))))))</f>
        <v>6</v>
      </c>
      <c r="D158" s="141">
        <f t="shared" ref="D158:AG158" si="152">IF(D19=$R32,$V32*24,IF(D19=$R33,$V33*24,IF(D19=$R34,$V34*24,IF(D19=$R35,$V35*24,IF(D19=$R36,$V36*24,IF(D19=$R37,$V37*24,IF(D19=$R38,$V38*24,IF(D19=$R39,$V39*24,IF(D19=$R40,$V40*24,"")))))))))</f>
        <v>6</v>
      </c>
      <c r="E158" s="141">
        <f t="shared" si="152"/>
        <v>6</v>
      </c>
      <c r="F158" s="141" t="str">
        <f t="shared" si="152"/>
        <v/>
      </c>
      <c r="G158" s="141" t="str">
        <f t="shared" si="152"/>
        <v/>
      </c>
      <c r="H158" s="141" t="str">
        <f t="shared" si="152"/>
        <v/>
      </c>
      <c r="I158" s="141">
        <f t="shared" si="152"/>
        <v>6</v>
      </c>
      <c r="J158" s="141">
        <f t="shared" si="152"/>
        <v>6</v>
      </c>
      <c r="K158" s="141" t="str">
        <f t="shared" si="152"/>
        <v/>
      </c>
      <c r="L158" s="141" t="str">
        <f t="shared" si="152"/>
        <v/>
      </c>
      <c r="M158" s="141">
        <f t="shared" si="152"/>
        <v>6</v>
      </c>
      <c r="N158" s="141">
        <f t="shared" si="152"/>
        <v>6</v>
      </c>
      <c r="O158" s="141">
        <f t="shared" si="152"/>
        <v>6</v>
      </c>
      <c r="P158" s="141">
        <f t="shared" si="152"/>
        <v>6</v>
      </c>
      <c r="Q158" s="141">
        <f t="shared" si="152"/>
        <v>6</v>
      </c>
      <c r="R158" s="141">
        <f t="shared" si="152"/>
        <v>6</v>
      </c>
      <c r="S158" s="141" t="str">
        <f t="shared" si="152"/>
        <v/>
      </c>
      <c r="T158" s="141" t="str">
        <f t="shared" si="152"/>
        <v/>
      </c>
      <c r="U158" s="141" t="str">
        <f t="shared" si="152"/>
        <v/>
      </c>
      <c r="V158" s="141" t="str">
        <f t="shared" si="152"/>
        <v/>
      </c>
      <c r="W158" s="141" t="str">
        <f t="shared" si="152"/>
        <v/>
      </c>
      <c r="X158" s="141" t="str">
        <f t="shared" si="152"/>
        <v/>
      </c>
      <c r="Y158" s="141" t="str">
        <f t="shared" si="152"/>
        <v/>
      </c>
      <c r="Z158" s="141" t="str">
        <f t="shared" si="152"/>
        <v/>
      </c>
      <c r="AA158" s="141" t="str">
        <f t="shared" si="152"/>
        <v/>
      </c>
      <c r="AB158" s="141" t="str">
        <f t="shared" si="152"/>
        <v/>
      </c>
      <c r="AC158" s="141" t="str">
        <f t="shared" si="152"/>
        <v/>
      </c>
      <c r="AD158" s="141" t="str">
        <f t="shared" si="152"/>
        <v/>
      </c>
      <c r="AE158" s="141" t="str">
        <f t="shared" si="152"/>
        <v/>
      </c>
      <c r="AF158" s="141">
        <f t="shared" si="152"/>
        <v>6</v>
      </c>
      <c r="AG158" s="141">
        <f t="shared" si="152"/>
        <v>6</v>
      </c>
      <c r="AH158" s="154" t="s">
        <v>12</v>
      </c>
      <c r="AI158" s="133"/>
      <c r="AJ158" s="170"/>
      <c r="AK158" s="133"/>
      <c r="AL158" s="133"/>
    </row>
    <row r="159" spans="1:38" ht="15.95" hidden="1" customHeight="1" x14ac:dyDescent="0.25">
      <c r="A159" s="153"/>
      <c r="B159" s="183" t="s">
        <v>34</v>
      </c>
      <c r="C159" s="169">
        <f t="shared" ref="C159:AD159" si="153">IF(C19=$R32,$BD32*24,IF(C19=$R33,$BD33*24,IF(C19=$R34,$BD34*24,IF(C19=$R35,$BD35*24,IF(C19=$R36,$BD36*24,IF(C19=$R37,$BD37*24,IF(C19=$R38,$BD38*24,IF(C19=$R39,$BD39*24,IF(C19=$R40,$BD40*24,"")))))))))</f>
        <v>8</v>
      </c>
      <c r="D159" s="169">
        <f t="shared" si="153"/>
        <v>8</v>
      </c>
      <c r="E159" s="169">
        <f t="shared" si="153"/>
        <v>8</v>
      </c>
      <c r="F159" s="169" t="str">
        <f t="shared" si="153"/>
        <v/>
      </c>
      <c r="G159" s="169" t="str">
        <f t="shared" si="153"/>
        <v/>
      </c>
      <c r="H159" s="169" t="str">
        <f t="shared" si="153"/>
        <v/>
      </c>
      <c r="I159" s="169">
        <f t="shared" si="153"/>
        <v>8</v>
      </c>
      <c r="J159" s="169">
        <f t="shared" si="153"/>
        <v>8</v>
      </c>
      <c r="K159" s="169" t="str">
        <f t="shared" si="153"/>
        <v/>
      </c>
      <c r="L159" s="169" t="str">
        <f t="shared" si="153"/>
        <v/>
      </c>
      <c r="M159" s="169">
        <f t="shared" si="153"/>
        <v>8</v>
      </c>
      <c r="N159" s="169">
        <f t="shared" si="153"/>
        <v>8</v>
      </c>
      <c r="O159" s="169">
        <f t="shared" si="153"/>
        <v>8</v>
      </c>
      <c r="P159" s="169">
        <f t="shared" si="153"/>
        <v>8</v>
      </c>
      <c r="Q159" s="169">
        <f t="shared" si="153"/>
        <v>8</v>
      </c>
      <c r="R159" s="169">
        <f t="shared" si="153"/>
        <v>8</v>
      </c>
      <c r="S159" s="169" t="str">
        <f t="shared" si="153"/>
        <v/>
      </c>
      <c r="T159" s="169" t="str">
        <f t="shared" si="153"/>
        <v/>
      </c>
      <c r="U159" s="169" t="str">
        <f t="shared" si="153"/>
        <v/>
      </c>
      <c r="V159" s="169" t="str">
        <f t="shared" si="153"/>
        <v/>
      </c>
      <c r="W159" s="169" t="str">
        <f t="shared" si="153"/>
        <v/>
      </c>
      <c r="X159" s="169" t="str">
        <f t="shared" si="153"/>
        <v/>
      </c>
      <c r="Y159" s="169" t="str">
        <f t="shared" si="153"/>
        <v/>
      </c>
      <c r="Z159" s="169" t="str">
        <f t="shared" si="153"/>
        <v/>
      </c>
      <c r="AA159" s="169" t="str">
        <f t="shared" si="153"/>
        <v/>
      </c>
      <c r="AB159" s="169" t="str">
        <f t="shared" si="153"/>
        <v/>
      </c>
      <c r="AC159" s="169" t="str">
        <f t="shared" si="153"/>
        <v/>
      </c>
      <c r="AD159" s="169" t="str">
        <f t="shared" si="153"/>
        <v/>
      </c>
      <c r="AE159" s="169" t="str">
        <f>IF(AE19=$R32,$BD32*24,IF(AE19=$R33,$BD33*24,IF(AE19=$R34,$BD34*24,IF(AE19=$R35,$BD35*24,IF(AE19=$R36,$BD36*24,IF(AE19=$R37,$BD37*24,IF(AE19=$R38,$BD38*24,IF(AE19=$R39,$BD39*24,IF(AE19=$R40,$BD40*24,"")))))))))</f>
        <v/>
      </c>
      <c r="AF159" s="169">
        <f>IF(AF19=$R32,$BD32*24,IF(AF19=$R33,$BD33*24,IF(AF19=$R34,$BD34*24,IF(AF19=$R35,$BD35*24,IF(AF19=$R36,$BD36*24,IF(AF19=$R37,$BD37*24,IF(AF19=$R38,$BD38*24,IF(AF19=$R39,$BD39*24,IF(AF19=$R40,$BD40*24,"")))))))))</f>
        <v>8</v>
      </c>
      <c r="AG159" s="169">
        <f>IF(AG19=$R32,$BD32*24,IF(AG19=$R33,$BD33*24,IF(AG19=$R34,$BD34*24,IF(AG19=$R35,$BD35*24,IF(AG19=$R36,$BD36*24,IF(AG19=$R37,$BD37*24,IF(AG19=$R38,$BD38*24,IF(AG19=$R39,$BD39*24,IF(AG19=$R40,$BD40*24,"")))))))))</f>
        <v>8</v>
      </c>
      <c r="AH159" s="148">
        <f>SUM(C159:AG159)</f>
        <v>104</v>
      </c>
      <c r="AI159" s="133"/>
      <c r="AJ159" s="170"/>
      <c r="AK159" s="133"/>
      <c r="AL159" s="133"/>
    </row>
    <row r="160" spans="1:38" ht="15.95" hidden="1" customHeight="1" x14ac:dyDescent="0.25">
      <c r="A160" s="153"/>
      <c r="B160" s="167" t="s">
        <v>59</v>
      </c>
      <c r="C160" s="141">
        <f>IF(C19="V",$C36,IF(C19="PR",$C38,0))</f>
        <v>0</v>
      </c>
      <c r="D160" s="141">
        <f t="shared" ref="D160:AG160" si="154">IF(D19="V",$C36,IF(D19="PR",$C38,0))</f>
        <v>0</v>
      </c>
      <c r="E160" s="141">
        <f t="shared" si="154"/>
        <v>0</v>
      </c>
      <c r="F160" s="141">
        <f t="shared" si="154"/>
        <v>0</v>
      </c>
      <c r="G160" s="141">
        <f t="shared" si="154"/>
        <v>0</v>
      </c>
      <c r="H160" s="141">
        <f t="shared" si="154"/>
        <v>0</v>
      </c>
      <c r="I160" s="141">
        <f t="shared" si="154"/>
        <v>0</v>
      </c>
      <c r="J160" s="141">
        <f t="shared" si="154"/>
        <v>0</v>
      </c>
      <c r="K160" s="141">
        <f t="shared" si="154"/>
        <v>0</v>
      </c>
      <c r="L160" s="141">
        <f t="shared" si="154"/>
        <v>0</v>
      </c>
      <c r="M160" s="141">
        <f t="shared" si="154"/>
        <v>0</v>
      </c>
      <c r="N160" s="141">
        <f t="shared" si="154"/>
        <v>0</v>
      </c>
      <c r="O160" s="141">
        <f t="shared" si="154"/>
        <v>0</v>
      </c>
      <c r="P160" s="141">
        <f t="shared" si="154"/>
        <v>0</v>
      </c>
      <c r="Q160" s="141">
        <f t="shared" si="154"/>
        <v>0</v>
      </c>
      <c r="R160" s="141">
        <f t="shared" si="154"/>
        <v>0</v>
      </c>
      <c r="S160" s="141">
        <f t="shared" si="154"/>
        <v>0</v>
      </c>
      <c r="T160" s="141">
        <f t="shared" si="154"/>
        <v>0</v>
      </c>
      <c r="U160" s="141">
        <f t="shared" si="154"/>
        <v>0</v>
      </c>
      <c r="V160" s="141">
        <f t="shared" si="154"/>
        <v>0</v>
      </c>
      <c r="W160" s="141">
        <f t="shared" si="154"/>
        <v>0</v>
      </c>
      <c r="X160" s="141">
        <f t="shared" si="154"/>
        <v>0</v>
      </c>
      <c r="Y160" s="141">
        <f t="shared" si="154"/>
        <v>0</v>
      </c>
      <c r="Z160" s="141">
        <f t="shared" si="154"/>
        <v>0</v>
      </c>
      <c r="AA160" s="141">
        <f t="shared" si="154"/>
        <v>0</v>
      </c>
      <c r="AB160" s="141">
        <f t="shared" si="154"/>
        <v>0</v>
      </c>
      <c r="AC160" s="141">
        <f t="shared" si="154"/>
        <v>0</v>
      </c>
      <c r="AD160" s="141">
        <f t="shared" si="154"/>
        <v>0</v>
      </c>
      <c r="AE160" s="141">
        <f t="shared" si="154"/>
        <v>0</v>
      </c>
      <c r="AF160" s="141">
        <f t="shared" si="154"/>
        <v>0</v>
      </c>
      <c r="AG160" s="141">
        <f t="shared" si="154"/>
        <v>0</v>
      </c>
      <c r="AH160" s="226">
        <f>SUM(C160:AG160)</f>
        <v>0</v>
      </c>
      <c r="AI160" s="226"/>
      <c r="AJ160" s="230">
        <f>SUM(AH105+AH116+AH127+AH138+AH149+AH160)</f>
        <v>250.56</v>
      </c>
      <c r="AK160" s="230"/>
      <c r="AL160" s="133" t="s">
        <v>56</v>
      </c>
    </row>
    <row r="161" spans="1:38" ht="15.95" hidden="1" customHeight="1" x14ac:dyDescent="0.25">
      <c r="A161" s="150" t="s">
        <v>60</v>
      </c>
      <c r="B161" s="167" t="s">
        <v>61</v>
      </c>
      <c r="C161" s="151">
        <f t="shared" ref="C161:AD161" si="155">IF(C19=$R32,$BC32,IF(C19=$R33,$BC33,IF(C19=$R34,$BC34,IF(C19=$R35,$BC35,IF(C19=$R36,$BC36,IF(C19=$R37,$BC37,IF(C19=$R38,$BC38,IF(C19=$R39,$BC39,IF(C19=$R40,$BC40,0)))))))))</f>
        <v>7.9999999999999716</v>
      </c>
      <c r="D161" s="151">
        <f t="shared" si="155"/>
        <v>7.9999999999999716</v>
      </c>
      <c r="E161" s="151">
        <f t="shared" si="155"/>
        <v>7.9999999999999716</v>
      </c>
      <c r="F161" s="151">
        <f t="shared" si="155"/>
        <v>0</v>
      </c>
      <c r="G161" s="151">
        <f t="shared" si="155"/>
        <v>0</v>
      </c>
      <c r="H161" s="151">
        <f t="shared" si="155"/>
        <v>0</v>
      </c>
      <c r="I161" s="151">
        <f t="shared" si="155"/>
        <v>7.9999999999999716</v>
      </c>
      <c r="J161" s="151">
        <f t="shared" si="155"/>
        <v>7.9999999999999716</v>
      </c>
      <c r="K161" s="151">
        <f t="shared" si="155"/>
        <v>0</v>
      </c>
      <c r="L161" s="151">
        <f t="shared" si="155"/>
        <v>0</v>
      </c>
      <c r="M161" s="151">
        <f t="shared" si="155"/>
        <v>7.9999999999999716</v>
      </c>
      <c r="N161" s="151">
        <f t="shared" si="155"/>
        <v>7.9999999999999716</v>
      </c>
      <c r="O161" s="151">
        <f t="shared" si="155"/>
        <v>7.9999999999999716</v>
      </c>
      <c r="P161" s="151">
        <f t="shared" si="155"/>
        <v>7.9999999999999716</v>
      </c>
      <c r="Q161" s="151">
        <f t="shared" si="155"/>
        <v>7.9999999999999716</v>
      </c>
      <c r="R161" s="151">
        <f t="shared" si="155"/>
        <v>7.9999999999999716</v>
      </c>
      <c r="S161" s="151">
        <f t="shared" si="155"/>
        <v>0</v>
      </c>
      <c r="T161" s="151">
        <f t="shared" si="155"/>
        <v>0</v>
      </c>
      <c r="U161" s="151">
        <f t="shared" si="155"/>
        <v>0</v>
      </c>
      <c r="V161" s="151">
        <f t="shared" si="155"/>
        <v>0</v>
      </c>
      <c r="W161" s="151">
        <f t="shared" si="155"/>
        <v>0</v>
      </c>
      <c r="X161" s="151">
        <f t="shared" si="155"/>
        <v>0</v>
      </c>
      <c r="Y161" s="151">
        <f t="shared" si="155"/>
        <v>0</v>
      </c>
      <c r="Z161" s="151">
        <f t="shared" si="155"/>
        <v>0</v>
      </c>
      <c r="AA161" s="151">
        <f t="shared" si="155"/>
        <v>0</v>
      </c>
      <c r="AB161" s="151">
        <f t="shared" si="155"/>
        <v>0</v>
      </c>
      <c r="AC161" s="151">
        <f t="shared" si="155"/>
        <v>0</v>
      </c>
      <c r="AD161" s="151">
        <f t="shared" si="155"/>
        <v>0</v>
      </c>
      <c r="AE161" s="151">
        <f>IF(AE19=$R32,$BC32,IF(AE19=$R33,$BC33,IF(AE19=$R34,$BC34,IF(AE19=$R35,$BC35,IF(AE19=$R36,$BC36,IF(AE19=$R37,$BC37,IF(AE19=$R38,$BC38,IF(AE19=$R39,$BC39,IF(AE19=$R40,$BC40,0)))))))))</f>
        <v>0</v>
      </c>
      <c r="AF161" s="151">
        <f>IF(AF19=$R32,$BC32,IF(AF19=$R33,$BC33,IF(AF19=$R34,$BC34,IF(AF19=$R35,$BC35,IF(AF19=$R36,$BC36,IF(AF19=$R37,$BC37,IF(AF19=$R38,$BC38,IF(AF19=$R39,$BC39,IF(AF19=$R40,$BC40,0)))))))))</f>
        <v>7.9999999999999716</v>
      </c>
      <c r="AG161" s="151">
        <f>IF(AG19=$R32,$BC32,IF(AG19=$R33,$BC33,IF(AG19=$R34,$BC34,IF(AG19=$R35,$BC35,IF(AG19=$R36,$BC36,IF(AG19=$R37,$BC37,IF(AG19=$R38,$BC38,IF(AG19=$R39,$BC39,IF(AG19=$R40,$BC40,0)))))))))</f>
        <v>7.9999999999999716</v>
      </c>
      <c r="AH161" s="226">
        <f>SUM(C161:AG161)</f>
        <v>103.99999999999963</v>
      </c>
      <c r="AI161" s="226"/>
      <c r="AJ161" s="174" t="s">
        <v>62</v>
      </c>
      <c r="AK161" s="133" t="s">
        <v>12</v>
      </c>
      <c r="AL161" s="133"/>
    </row>
    <row r="162" spans="1:38" ht="15.95" hidden="1" customHeight="1" x14ac:dyDescent="0.25">
      <c r="A162" s="153" t="s">
        <v>48</v>
      </c>
      <c r="B162" s="149" t="s">
        <v>63</v>
      </c>
      <c r="C162" s="141" t="b">
        <f>IF(C46=1,IF(C157&lt;C158,C161,0))</f>
        <v>0</v>
      </c>
      <c r="D162" s="141" t="b">
        <f t="shared" ref="D162:AG162" si="156">IF(D46=1,IF(D157&lt;D158,D161,0))</f>
        <v>0</v>
      </c>
      <c r="E162" s="141" t="b">
        <f t="shared" si="156"/>
        <v>0</v>
      </c>
      <c r="F162" s="141" t="b">
        <f t="shared" si="156"/>
        <v>0</v>
      </c>
      <c r="G162" s="141">
        <f t="shared" si="156"/>
        <v>0</v>
      </c>
      <c r="H162" s="141">
        <f t="shared" si="156"/>
        <v>0</v>
      </c>
      <c r="I162" s="141" t="b">
        <f t="shared" si="156"/>
        <v>0</v>
      </c>
      <c r="J162" s="141" t="b">
        <f t="shared" si="156"/>
        <v>0</v>
      </c>
      <c r="K162" s="141" t="b">
        <f t="shared" si="156"/>
        <v>0</v>
      </c>
      <c r="L162" s="141" t="b">
        <f t="shared" si="156"/>
        <v>0</v>
      </c>
      <c r="M162" s="141" t="b">
        <f t="shared" si="156"/>
        <v>0</v>
      </c>
      <c r="N162" s="141">
        <f t="shared" si="156"/>
        <v>0</v>
      </c>
      <c r="O162" s="141">
        <f t="shared" si="156"/>
        <v>0</v>
      </c>
      <c r="P162" s="141" t="b">
        <f t="shared" si="156"/>
        <v>0</v>
      </c>
      <c r="Q162" s="141" t="b">
        <f t="shared" si="156"/>
        <v>0</v>
      </c>
      <c r="R162" s="141" t="b">
        <f t="shared" si="156"/>
        <v>0</v>
      </c>
      <c r="S162" s="141" t="b">
        <f t="shared" si="156"/>
        <v>0</v>
      </c>
      <c r="T162" s="141" t="b">
        <f t="shared" si="156"/>
        <v>0</v>
      </c>
      <c r="U162" s="141">
        <f t="shared" si="156"/>
        <v>0</v>
      </c>
      <c r="V162" s="141">
        <f t="shared" si="156"/>
        <v>0</v>
      </c>
      <c r="W162" s="141" t="b">
        <f t="shared" si="156"/>
        <v>0</v>
      </c>
      <c r="X162" s="141" t="b">
        <f t="shared" si="156"/>
        <v>0</v>
      </c>
      <c r="Y162" s="141" t="b">
        <f t="shared" si="156"/>
        <v>0</v>
      </c>
      <c r="Z162" s="141" t="b">
        <f t="shared" si="156"/>
        <v>0</v>
      </c>
      <c r="AA162" s="141" t="b">
        <f t="shared" si="156"/>
        <v>0</v>
      </c>
      <c r="AB162" s="141">
        <f t="shared" si="156"/>
        <v>0</v>
      </c>
      <c r="AC162" s="141">
        <f t="shared" si="156"/>
        <v>0</v>
      </c>
      <c r="AD162" s="141" t="b">
        <f t="shared" si="156"/>
        <v>0</v>
      </c>
      <c r="AE162" s="141" t="b">
        <f t="shared" si="156"/>
        <v>0</v>
      </c>
      <c r="AF162" s="141" t="b">
        <f t="shared" si="156"/>
        <v>0</v>
      </c>
      <c r="AG162" s="141" t="b">
        <f t="shared" si="156"/>
        <v>0</v>
      </c>
      <c r="AH162" s="154" t="s">
        <v>12</v>
      </c>
      <c r="AI162" s="133"/>
      <c r="AJ162" s="170"/>
      <c r="AK162" s="133"/>
      <c r="AL162" s="133"/>
    </row>
    <row r="163" spans="1:38" ht="15.95" hidden="1" customHeight="1" x14ac:dyDescent="0.25">
      <c r="A163" s="176"/>
      <c r="B163" s="149" t="s">
        <v>64</v>
      </c>
      <c r="C163" s="141">
        <f>IF(C46=1,IF(C157&gt;C158,24-C157,0),0)</f>
        <v>0</v>
      </c>
      <c r="D163" s="141">
        <f t="shared" ref="D163:AG163" si="157">IF(D46=1,IF(D157&gt;D158,24-D157,0),0)</f>
        <v>0</v>
      </c>
      <c r="E163" s="141">
        <f t="shared" si="157"/>
        <v>0</v>
      </c>
      <c r="F163" s="141">
        <f t="shared" si="157"/>
        <v>0</v>
      </c>
      <c r="G163" s="141">
        <f t="shared" si="157"/>
        <v>0</v>
      </c>
      <c r="H163" s="141">
        <f t="shared" si="157"/>
        <v>0</v>
      </c>
      <c r="I163" s="141">
        <f t="shared" si="157"/>
        <v>0</v>
      </c>
      <c r="J163" s="141">
        <f t="shared" si="157"/>
        <v>0</v>
      </c>
      <c r="K163" s="141">
        <f t="shared" si="157"/>
        <v>0</v>
      </c>
      <c r="L163" s="141">
        <f t="shared" si="157"/>
        <v>0</v>
      </c>
      <c r="M163" s="141">
        <f t="shared" si="157"/>
        <v>0</v>
      </c>
      <c r="N163" s="141">
        <f t="shared" si="157"/>
        <v>2</v>
      </c>
      <c r="O163" s="141">
        <f t="shared" si="157"/>
        <v>2</v>
      </c>
      <c r="P163" s="141">
        <f t="shared" si="157"/>
        <v>0</v>
      </c>
      <c r="Q163" s="141">
        <f t="shared" si="157"/>
        <v>0</v>
      </c>
      <c r="R163" s="141">
        <f t="shared" si="157"/>
        <v>0</v>
      </c>
      <c r="S163" s="141">
        <f t="shared" si="157"/>
        <v>0</v>
      </c>
      <c r="T163" s="141">
        <f t="shared" si="157"/>
        <v>0</v>
      </c>
      <c r="U163" s="141">
        <f t="shared" si="157"/>
        <v>0</v>
      </c>
      <c r="V163" s="141">
        <f t="shared" si="157"/>
        <v>0</v>
      </c>
      <c r="W163" s="141">
        <f t="shared" si="157"/>
        <v>0</v>
      </c>
      <c r="X163" s="141">
        <f t="shared" si="157"/>
        <v>0</v>
      </c>
      <c r="Y163" s="141">
        <f t="shared" si="157"/>
        <v>0</v>
      </c>
      <c r="Z163" s="141">
        <f t="shared" si="157"/>
        <v>0</v>
      </c>
      <c r="AA163" s="141">
        <f t="shared" si="157"/>
        <v>0</v>
      </c>
      <c r="AB163" s="141">
        <f t="shared" si="157"/>
        <v>0</v>
      </c>
      <c r="AC163" s="141">
        <f t="shared" si="157"/>
        <v>0</v>
      </c>
      <c r="AD163" s="141">
        <f t="shared" si="157"/>
        <v>0</v>
      </c>
      <c r="AE163" s="141">
        <f t="shared" si="157"/>
        <v>0</v>
      </c>
      <c r="AF163" s="141">
        <f t="shared" si="157"/>
        <v>0</v>
      </c>
      <c r="AG163" s="141">
        <f t="shared" si="157"/>
        <v>0</v>
      </c>
      <c r="AH163" s="154" t="s">
        <v>12</v>
      </c>
      <c r="AI163" s="133"/>
      <c r="AJ163" s="170"/>
      <c r="AK163" s="133"/>
      <c r="AL163" s="133"/>
    </row>
    <row r="164" spans="1:38" ht="15.95" hidden="1" customHeight="1" x14ac:dyDescent="0.25">
      <c r="A164" s="176"/>
      <c r="B164" s="149" t="s">
        <v>65</v>
      </c>
      <c r="C164" s="141">
        <f>IF(C46=1,IF(C157&gt;C158,C158,0),0)</f>
        <v>0</v>
      </c>
      <c r="D164" s="141">
        <f t="shared" ref="D164:AG164" si="158">IF(D46=1,IF(D157&gt;D158,D158,0),0)</f>
        <v>0</v>
      </c>
      <c r="E164" s="141">
        <f t="shared" si="158"/>
        <v>0</v>
      </c>
      <c r="F164" s="141">
        <f t="shared" si="158"/>
        <v>0</v>
      </c>
      <c r="G164" s="141">
        <f t="shared" si="158"/>
        <v>0</v>
      </c>
      <c r="H164" s="141">
        <f t="shared" si="158"/>
        <v>0</v>
      </c>
      <c r="I164" s="141">
        <f t="shared" si="158"/>
        <v>0</v>
      </c>
      <c r="J164" s="141">
        <f t="shared" si="158"/>
        <v>0</v>
      </c>
      <c r="K164" s="141">
        <f t="shared" si="158"/>
        <v>0</v>
      </c>
      <c r="L164" s="141">
        <f t="shared" si="158"/>
        <v>0</v>
      </c>
      <c r="M164" s="141">
        <f t="shared" si="158"/>
        <v>0</v>
      </c>
      <c r="N164" s="141">
        <f t="shared" si="158"/>
        <v>6</v>
      </c>
      <c r="O164" s="141">
        <f t="shared" si="158"/>
        <v>6</v>
      </c>
      <c r="P164" s="141">
        <f t="shared" si="158"/>
        <v>0</v>
      </c>
      <c r="Q164" s="141">
        <f t="shared" si="158"/>
        <v>0</v>
      </c>
      <c r="R164" s="141">
        <f t="shared" si="158"/>
        <v>0</v>
      </c>
      <c r="S164" s="141">
        <f t="shared" si="158"/>
        <v>0</v>
      </c>
      <c r="T164" s="141">
        <f t="shared" si="158"/>
        <v>0</v>
      </c>
      <c r="U164" s="141">
        <f t="shared" si="158"/>
        <v>0</v>
      </c>
      <c r="V164" s="141">
        <f t="shared" si="158"/>
        <v>0</v>
      </c>
      <c r="W164" s="141">
        <f t="shared" si="158"/>
        <v>0</v>
      </c>
      <c r="X164" s="141">
        <f t="shared" si="158"/>
        <v>0</v>
      </c>
      <c r="Y164" s="141">
        <f t="shared" si="158"/>
        <v>0</v>
      </c>
      <c r="Z164" s="141">
        <f t="shared" si="158"/>
        <v>0</v>
      </c>
      <c r="AA164" s="141">
        <f t="shared" si="158"/>
        <v>0</v>
      </c>
      <c r="AB164" s="141">
        <f t="shared" si="158"/>
        <v>0</v>
      </c>
      <c r="AC164" s="141">
        <f t="shared" si="158"/>
        <v>0</v>
      </c>
      <c r="AD164" s="141">
        <f t="shared" si="158"/>
        <v>0</v>
      </c>
      <c r="AE164" s="141">
        <f t="shared" si="158"/>
        <v>0</v>
      </c>
      <c r="AF164" s="141">
        <f t="shared" si="158"/>
        <v>0</v>
      </c>
      <c r="AG164" s="141">
        <f t="shared" si="158"/>
        <v>0</v>
      </c>
      <c r="AH164" s="154" t="s">
        <v>12</v>
      </c>
      <c r="AI164" s="133"/>
      <c r="AJ164" s="170"/>
      <c r="AK164" s="133"/>
      <c r="AL164" s="133"/>
    </row>
    <row r="165" spans="1:38" ht="15.95" hidden="1" customHeight="1" x14ac:dyDescent="0.25">
      <c r="A165" s="176"/>
      <c r="B165" s="149" t="s">
        <v>67</v>
      </c>
      <c r="C165" s="171">
        <f t="shared" ref="C165:AG165" si="159">SUM(C162:C164)</f>
        <v>0</v>
      </c>
      <c r="D165" s="171">
        <f t="shared" si="159"/>
        <v>0</v>
      </c>
      <c r="E165" s="171">
        <f t="shared" si="159"/>
        <v>0</v>
      </c>
      <c r="F165" s="171">
        <f t="shared" si="159"/>
        <v>0</v>
      </c>
      <c r="G165" s="171">
        <f t="shared" si="159"/>
        <v>0</v>
      </c>
      <c r="H165" s="171">
        <f t="shared" si="159"/>
        <v>0</v>
      </c>
      <c r="I165" s="171">
        <f t="shared" si="159"/>
        <v>0</v>
      </c>
      <c r="J165" s="171">
        <f t="shared" si="159"/>
        <v>0</v>
      </c>
      <c r="K165" s="171">
        <f t="shared" si="159"/>
        <v>0</v>
      </c>
      <c r="L165" s="171">
        <f t="shared" si="159"/>
        <v>0</v>
      </c>
      <c r="M165" s="171">
        <f t="shared" si="159"/>
        <v>0</v>
      </c>
      <c r="N165" s="171">
        <f t="shared" si="159"/>
        <v>8</v>
      </c>
      <c r="O165" s="171">
        <f t="shared" si="159"/>
        <v>8</v>
      </c>
      <c r="P165" s="171">
        <f t="shared" si="159"/>
        <v>0</v>
      </c>
      <c r="Q165" s="171">
        <f t="shared" si="159"/>
        <v>0</v>
      </c>
      <c r="R165" s="171">
        <f t="shared" si="159"/>
        <v>0</v>
      </c>
      <c r="S165" s="171">
        <f t="shared" si="159"/>
        <v>0</v>
      </c>
      <c r="T165" s="171">
        <f t="shared" si="159"/>
        <v>0</v>
      </c>
      <c r="U165" s="171">
        <f t="shared" si="159"/>
        <v>0</v>
      </c>
      <c r="V165" s="171">
        <f t="shared" si="159"/>
        <v>0</v>
      </c>
      <c r="W165" s="171">
        <f t="shared" si="159"/>
        <v>0</v>
      </c>
      <c r="X165" s="171">
        <f t="shared" si="159"/>
        <v>0</v>
      </c>
      <c r="Y165" s="171">
        <f t="shared" si="159"/>
        <v>0</v>
      </c>
      <c r="Z165" s="171">
        <f t="shared" si="159"/>
        <v>0</v>
      </c>
      <c r="AA165" s="171">
        <f t="shared" si="159"/>
        <v>0</v>
      </c>
      <c r="AB165" s="171">
        <f t="shared" si="159"/>
        <v>0</v>
      </c>
      <c r="AC165" s="171">
        <f t="shared" si="159"/>
        <v>0</v>
      </c>
      <c r="AD165" s="171">
        <f t="shared" si="159"/>
        <v>0</v>
      </c>
      <c r="AE165" s="171">
        <f t="shared" si="159"/>
        <v>0</v>
      </c>
      <c r="AF165" s="171">
        <f t="shared" si="159"/>
        <v>0</v>
      </c>
      <c r="AG165" s="171">
        <f t="shared" si="159"/>
        <v>0</v>
      </c>
      <c r="AH165" s="154" t="s">
        <v>12</v>
      </c>
      <c r="AI165" s="133"/>
      <c r="AJ165" s="170"/>
      <c r="AK165" s="133"/>
      <c r="AL165" s="133"/>
    </row>
    <row r="166" spans="1:38" ht="15.95" hidden="1" customHeight="1" x14ac:dyDescent="0.25">
      <c r="A166" s="177"/>
      <c r="B166" s="160" t="s">
        <v>68</v>
      </c>
      <c r="C166" s="161">
        <f>IF(C19="V",IF(C19="",0,1),0)</f>
        <v>0</v>
      </c>
      <c r="D166" s="161">
        <f t="shared" ref="D166:AG166" si="160">IF(D19="V",IF(D19="",0,1),0)</f>
        <v>0</v>
      </c>
      <c r="E166" s="161">
        <f t="shared" si="160"/>
        <v>0</v>
      </c>
      <c r="F166" s="161">
        <f t="shared" si="160"/>
        <v>0</v>
      </c>
      <c r="G166" s="161">
        <f t="shared" si="160"/>
        <v>0</v>
      </c>
      <c r="H166" s="161">
        <f t="shared" si="160"/>
        <v>0</v>
      </c>
      <c r="I166" s="161">
        <f t="shared" si="160"/>
        <v>0</v>
      </c>
      <c r="J166" s="161">
        <f t="shared" si="160"/>
        <v>0</v>
      </c>
      <c r="K166" s="161">
        <f t="shared" si="160"/>
        <v>0</v>
      </c>
      <c r="L166" s="161">
        <f t="shared" si="160"/>
        <v>0</v>
      </c>
      <c r="M166" s="161">
        <f t="shared" si="160"/>
        <v>0</v>
      </c>
      <c r="N166" s="161">
        <f t="shared" si="160"/>
        <v>0</v>
      </c>
      <c r="O166" s="161">
        <f t="shared" si="160"/>
        <v>0</v>
      </c>
      <c r="P166" s="161">
        <f t="shared" si="160"/>
        <v>0</v>
      </c>
      <c r="Q166" s="161">
        <f t="shared" si="160"/>
        <v>0</v>
      </c>
      <c r="R166" s="161">
        <f t="shared" si="160"/>
        <v>0</v>
      </c>
      <c r="S166" s="161">
        <f t="shared" si="160"/>
        <v>0</v>
      </c>
      <c r="T166" s="161">
        <f t="shared" si="160"/>
        <v>0</v>
      </c>
      <c r="U166" s="161">
        <f t="shared" si="160"/>
        <v>0</v>
      </c>
      <c r="V166" s="161">
        <f t="shared" si="160"/>
        <v>0</v>
      </c>
      <c r="W166" s="161">
        <f t="shared" si="160"/>
        <v>0</v>
      </c>
      <c r="X166" s="161">
        <f t="shared" si="160"/>
        <v>0</v>
      </c>
      <c r="Y166" s="161">
        <f t="shared" si="160"/>
        <v>0</v>
      </c>
      <c r="Z166" s="161">
        <f t="shared" si="160"/>
        <v>0</v>
      </c>
      <c r="AA166" s="161">
        <f t="shared" si="160"/>
        <v>0</v>
      </c>
      <c r="AB166" s="161">
        <f t="shared" si="160"/>
        <v>0</v>
      </c>
      <c r="AC166" s="161">
        <f t="shared" si="160"/>
        <v>0</v>
      </c>
      <c r="AD166" s="161">
        <f t="shared" si="160"/>
        <v>0</v>
      </c>
      <c r="AE166" s="161">
        <f t="shared" si="160"/>
        <v>0</v>
      </c>
      <c r="AF166" s="161">
        <f t="shared" si="160"/>
        <v>0</v>
      </c>
      <c r="AG166" s="161">
        <f t="shared" si="160"/>
        <v>0</v>
      </c>
      <c r="AH166" s="154" t="s">
        <v>12</v>
      </c>
      <c r="AI166" s="133"/>
      <c r="AJ166" s="170"/>
      <c r="AK166" s="133"/>
      <c r="AL166" s="133"/>
    </row>
    <row r="167" spans="1:38" ht="15.95" hidden="1" customHeight="1" x14ac:dyDescent="0.25">
      <c r="A167" s="180"/>
      <c r="B167" s="181" t="s">
        <v>16</v>
      </c>
      <c r="C167" s="182">
        <f>IF(C19="PR",IF(C19="",0,1),0)</f>
        <v>0</v>
      </c>
      <c r="D167" s="182">
        <f t="shared" ref="D167:AG167" si="161">IF(D19="PR",IF(D19="",0,1),0)</f>
        <v>0</v>
      </c>
      <c r="E167" s="182">
        <f t="shared" si="161"/>
        <v>0</v>
      </c>
      <c r="F167" s="182">
        <f t="shared" si="161"/>
        <v>0</v>
      </c>
      <c r="G167" s="182">
        <f t="shared" si="161"/>
        <v>0</v>
      </c>
      <c r="H167" s="182">
        <f t="shared" si="161"/>
        <v>0</v>
      </c>
      <c r="I167" s="182">
        <f t="shared" si="161"/>
        <v>0</v>
      </c>
      <c r="J167" s="182">
        <f t="shared" si="161"/>
        <v>0</v>
      </c>
      <c r="K167" s="182">
        <f t="shared" si="161"/>
        <v>0</v>
      </c>
      <c r="L167" s="182">
        <f t="shared" si="161"/>
        <v>0</v>
      </c>
      <c r="M167" s="182">
        <f t="shared" si="161"/>
        <v>0</v>
      </c>
      <c r="N167" s="182">
        <f t="shared" si="161"/>
        <v>0</v>
      </c>
      <c r="O167" s="182">
        <f t="shared" si="161"/>
        <v>0</v>
      </c>
      <c r="P167" s="182">
        <f t="shared" si="161"/>
        <v>0</v>
      </c>
      <c r="Q167" s="182">
        <f t="shared" si="161"/>
        <v>0</v>
      </c>
      <c r="R167" s="182">
        <f t="shared" si="161"/>
        <v>0</v>
      </c>
      <c r="S167" s="182">
        <f t="shared" si="161"/>
        <v>0</v>
      </c>
      <c r="T167" s="182">
        <f t="shared" si="161"/>
        <v>0</v>
      </c>
      <c r="U167" s="182">
        <f t="shared" si="161"/>
        <v>0</v>
      </c>
      <c r="V167" s="182">
        <f t="shared" si="161"/>
        <v>0</v>
      </c>
      <c r="W167" s="182">
        <f t="shared" si="161"/>
        <v>0</v>
      </c>
      <c r="X167" s="182">
        <f t="shared" si="161"/>
        <v>0</v>
      </c>
      <c r="Y167" s="182">
        <f t="shared" si="161"/>
        <v>0</v>
      </c>
      <c r="Z167" s="182">
        <f t="shared" si="161"/>
        <v>0</v>
      </c>
      <c r="AA167" s="182">
        <f t="shared" si="161"/>
        <v>0</v>
      </c>
      <c r="AB167" s="182">
        <f t="shared" si="161"/>
        <v>0</v>
      </c>
      <c r="AC167" s="182">
        <f t="shared" si="161"/>
        <v>0</v>
      </c>
      <c r="AD167" s="182">
        <f t="shared" si="161"/>
        <v>0</v>
      </c>
      <c r="AE167" s="182">
        <f t="shared" si="161"/>
        <v>0</v>
      </c>
      <c r="AF167" s="182">
        <f t="shared" si="161"/>
        <v>0</v>
      </c>
      <c r="AG167" s="182">
        <f t="shared" si="161"/>
        <v>0</v>
      </c>
      <c r="AH167" s="227">
        <f>SUM(C167:AG167)</f>
        <v>0</v>
      </c>
      <c r="AI167" s="227"/>
      <c r="AJ167" s="174" t="s">
        <v>69</v>
      </c>
      <c r="AK167" s="133"/>
      <c r="AL167" s="133"/>
    </row>
    <row r="168" spans="1:38" ht="15.95" hidden="1" customHeight="1" x14ac:dyDescent="0.25">
      <c r="A168" s="164" t="s">
        <v>127</v>
      </c>
      <c r="B168" s="165" t="s">
        <v>29</v>
      </c>
      <c r="C168" s="141">
        <f>IF(C20=$R32,$S32*24,IF(C20=$R33,$S33*24,IF(C20=$R34,$S34*24,IF(C20=$R35,$S35*24,IF(C20=$R36,$S36*24,IF(C20=$R37,$S37*24,IF(C20=$R38,$S38*24,IF(C20=$R39,$S39*24,IF(C20=$R40,$S40*24,"")))))))))</f>
        <v>12</v>
      </c>
      <c r="D168" s="141">
        <f t="shared" ref="D168:AG168" si="162">IF(D20=$R32,$S32*24,IF(D20=$R33,$S33*24,IF(D20=$R34,$S34*24,IF(D20=$R35,$S35*24,IF(D20=$R36,$S36*24,IF(D20=$R37,$S37*24,IF(D20=$R38,$S38*24,IF(D20=$R39,$S39*24,IF(D20=$R40,$S40*24,"")))))))))</f>
        <v>12</v>
      </c>
      <c r="E168" s="141">
        <f t="shared" si="162"/>
        <v>12</v>
      </c>
      <c r="F168" s="141">
        <f t="shared" si="162"/>
        <v>12</v>
      </c>
      <c r="G168" s="141">
        <f t="shared" si="162"/>
        <v>12</v>
      </c>
      <c r="H168" s="141">
        <f t="shared" si="162"/>
        <v>12</v>
      </c>
      <c r="I168" s="141">
        <f t="shared" si="162"/>
        <v>12</v>
      </c>
      <c r="J168" s="141">
        <f t="shared" si="162"/>
        <v>12</v>
      </c>
      <c r="K168" s="141">
        <f t="shared" si="162"/>
        <v>12</v>
      </c>
      <c r="L168" s="141">
        <f t="shared" si="162"/>
        <v>12</v>
      </c>
      <c r="M168" s="141">
        <f t="shared" si="162"/>
        <v>12</v>
      </c>
      <c r="N168" s="141">
        <f t="shared" si="162"/>
        <v>12</v>
      </c>
      <c r="O168" s="141">
        <f t="shared" si="162"/>
        <v>12</v>
      </c>
      <c r="P168" s="141">
        <f t="shared" si="162"/>
        <v>12</v>
      </c>
      <c r="Q168" s="141">
        <f t="shared" si="162"/>
        <v>12</v>
      </c>
      <c r="R168" s="141">
        <f t="shared" si="162"/>
        <v>12</v>
      </c>
      <c r="S168" s="141">
        <f t="shared" si="162"/>
        <v>12</v>
      </c>
      <c r="T168" s="141">
        <f t="shared" si="162"/>
        <v>12</v>
      </c>
      <c r="U168" s="141">
        <f t="shared" si="162"/>
        <v>12</v>
      </c>
      <c r="V168" s="141">
        <f t="shared" si="162"/>
        <v>12</v>
      </c>
      <c r="W168" s="141">
        <f t="shared" si="162"/>
        <v>12</v>
      </c>
      <c r="X168" s="141">
        <f t="shared" si="162"/>
        <v>12</v>
      </c>
      <c r="Y168" s="141">
        <f t="shared" si="162"/>
        <v>12</v>
      </c>
      <c r="Z168" s="141">
        <f t="shared" si="162"/>
        <v>12</v>
      </c>
      <c r="AA168" s="141">
        <f t="shared" si="162"/>
        <v>12</v>
      </c>
      <c r="AB168" s="141">
        <f t="shared" si="162"/>
        <v>12</v>
      </c>
      <c r="AC168" s="141">
        <f t="shared" si="162"/>
        <v>12</v>
      </c>
      <c r="AD168" s="141">
        <f t="shared" si="162"/>
        <v>12</v>
      </c>
      <c r="AE168" s="141">
        <f t="shared" si="162"/>
        <v>12</v>
      </c>
      <c r="AF168" s="141">
        <f t="shared" si="162"/>
        <v>12</v>
      </c>
      <c r="AG168" s="141">
        <f t="shared" si="162"/>
        <v>12</v>
      </c>
      <c r="AH168" s="154" t="s">
        <v>12</v>
      </c>
      <c r="AI168" s="133"/>
      <c r="AJ168" s="170"/>
      <c r="AK168" s="133"/>
      <c r="AL168" s="133"/>
    </row>
    <row r="169" spans="1:38" ht="15.95" hidden="1" customHeight="1" x14ac:dyDescent="0.25">
      <c r="A169" s="166" t="s">
        <v>129</v>
      </c>
      <c r="B169" s="167" t="s">
        <v>30</v>
      </c>
      <c r="C169" s="141">
        <f>IF(C20=$R32,$V32*24,IF(C20=$R33,$V33*24,IF(C20=$R34,$V34*24,IF(C20=$R35,$V35*24,IF(C20=$R36,$V36*24,IF(C20=$R37,$V37*24,IF(C20=$R38,$V38*24,IF(C20=$R39,$V39*24,IF(C20=$R40,$V40*24,"")))))))))</f>
        <v>20</v>
      </c>
      <c r="D169" s="141">
        <f t="shared" ref="D169:AG169" si="163">IF(D20=$R32,$V32*24,IF(D20=$R33,$V33*24,IF(D20=$R34,$V34*24,IF(D20=$R35,$V35*24,IF(D20=$R36,$V36*24,IF(D20=$R37,$V37*24,IF(D20=$R38,$V38*24,IF(D20=$R39,$V39*24,IF(D20=$R40,$V40*24,"")))))))))</f>
        <v>20</v>
      </c>
      <c r="E169" s="141">
        <f t="shared" si="163"/>
        <v>20</v>
      </c>
      <c r="F169" s="141">
        <f t="shared" si="163"/>
        <v>20</v>
      </c>
      <c r="G169" s="141">
        <f t="shared" si="163"/>
        <v>20</v>
      </c>
      <c r="H169" s="141">
        <f t="shared" si="163"/>
        <v>20</v>
      </c>
      <c r="I169" s="141">
        <f t="shared" si="163"/>
        <v>20</v>
      </c>
      <c r="J169" s="141">
        <f t="shared" si="163"/>
        <v>20</v>
      </c>
      <c r="K169" s="141">
        <f t="shared" si="163"/>
        <v>20</v>
      </c>
      <c r="L169" s="141">
        <f t="shared" si="163"/>
        <v>20</v>
      </c>
      <c r="M169" s="141">
        <f t="shared" si="163"/>
        <v>20</v>
      </c>
      <c r="N169" s="141">
        <f t="shared" si="163"/>
        <v>20</v>
      </c>
      <c r="O169" s="141">
        <f t="shared" si="163"/>
        <v>20</v>
      </c>
      <c r="P169" s="141">
        <f t="shared" si="163"/>
        <v>20</v>
      </c>
      <c r="Q169" s="141">
        <f t="shared" si="163"/>
        <v>20</v>
      </c>
      <c r="R169" s="141">
        <f t="shared" si="163"/>
        <v>20</v>
      </c>
      <c r="S169" s="141">
        <f t="shared" si="163"/>
        <v>20</v>
      </c>
      <c r="T169" s="141">
        <f t="shared" si="163"/>
        <v>20</v>
      </c>
      <c r="U169" s="141">
        <f t="shared" si="163"/>
        <v>20</v>
      </c>
      <c r="V169" s="141">
        <f t="shared" si="163"/>
        <v>20</v>
      </c>
      <c r="W169" s="141">
        <f t="shared" si="163"/>
        <v>20</v>
      </c>
      <c r="X169" s="141">
        <f t="shared" si="163"/>
        <v>20</v>
      </c>
      <c r="Y169" s="141">
        <f t="shared" si="163"/>
        <v>20</v>
      </c>
      <c r="Z169" s="141">
        <f t="shared" si="163"/>
        <v>20</v>
      </c>
      <c r="AA169" s="141">
        <f t="shared" si="163"/>
        <v>20</v>
      </c>
      <c r="AB169" s="141">
        <f t="shared" si="163"/>
        <v>20</v>
      </c>
      <c r="AC169" s="141">
        <f t="shared" si="163"/>
        <v>20</v>
      </c>
      <c r="AD169" s="141">
        <f t="shared" si="163"/>
        <v>20</v>
      </c>
      <c r="AE169" s="141">
        <f t="shared" si="163"/>
        <v>20</v>
      </c>
      <c r="AF169" s="141">
        <f t="shared" si="163"/>
        <v>20</v>
      </c>
      <c r="AG169" s="141">
        <f t="shared" si="163"/>
        <v>20</v>
      </c>
      <c r="AH169" s="154" t="s">
        <v>12</v>
      </c>
      <c r="AI169" s="133"/>
      <c r="AJ169" s="170"/>
      <c r="AK169" s="133"/>
      <c r="AL169" s="133"/>
    </row>
    <row r="170" spans="1:38" ht="15.95" hidden="1" customHeight="1" x14ac:dyDescent="0.25">
      <c r="A170" s="153"/>
      <c r="B170" s="183" t="s">
        <v>34</v>
      </c>
      <c r="C170" s="169">
        <f t="shared" ref="C170:AD170" si="164">IF(C20=$R32,$BD32*24,IF(C20=$R33,$BD33*24,IF(C20=$R34,$BD34*24,IF(C20=$R35,$BD35*24,IF(C20=$R36,$BD36*24,IF(C20=$R37,$BD37*24,IF(C20=$R38,$BD38*24,IF(C20=$R39,$BD39*24,IF(C20=$R40,$BD40*24,"")))))))))</f>
        <v>0</v>
      </c>
      <c r="D170" s="169">
        <f t="shared" si="164"/>
        <v>0</v>
      </c>
      <c r="E170" s="169">
        <f t="shared" si="164"/>
        <v>0</v>
      </c>
      <c r="F170" s="169">
        <f t="shared" si="164"/>
        <v>0</v>
      </c>
      <c r="G170" s="169">
        <f t="shared" si="164"/>
        <v>0</v>
      </c>
      <c r="H170" s="169">
        <f t="shared" si="164"/>
        <v>0</v>
      </c>
      <c r="I170" s="169">
        <f t="shared" si="164"/>
        <v>0</v>
      </c>
      <c r="J170" s="169">
        <f t="shared" si="164"/>
        <v>0</v>
      </c>
      <c r="K170" s="169">
        <f t="shared" si="164"/>
        <v>0</v>
      </c>
      <c r="L170" s="169">
        <f t="shared" si="164"/>
        <v>0</v>
      </c>
      <c r="M170" s="169">
        <f t="shared" si="164"/>
        <v>0</v>
      </c>
      <c r="N170" s="169">
        <f t="shared" si="164"/>
        <v>0</v>
      </c>
      <c r="O170" s="169">
        <f t="shared" si="164"/>
        <v>0</v>
      </c>
      <c r="P170" s="169">
        <f t="shared" si="164"/>
        <v>0</v>
      </c>
      <c r="Q170" s="169">
        <f t="shared" si="164"/>
        <v>0</v>
      </c>
      <c r="R170" s="169">
        <f t="shared" si="164"/>
        <v>0</v>
      </c>
      <c r="S170" s="169">
        <f t="shared" si="164"/>
        <v>0</v>
      </c>
      <c r="T170" s="169">
        <f t="shared" si="164"/>
        <v>0</v>
      </c>
      <c r="U170" s="169">
        <f t="shared" si="164"/>
        <v>0</v>
      </c>
      <c r="V170" s="169">
        <f t="shared" si="164"/>
        <v>0</v>
      </c>
      <c r="W170" s="169">
        <f t="shared" si="164"/>
        <v>0</v>
      </c>
      <c r="X170" s="169">
        <f t="shared" si="164"/>
        <v>0</v>
      </c>
      <c r="Y170" s="169">
        <f t="shared" si="164"/>
        <v>0</v>
      </c>
      <c r="Z170" s="169">
        <f t="shared" si="164"/>
        <v>0</v>
      </c>
      <c r="AA170" s="169">
        <f t="shared" si="164"/>
        <v>0</v>
      </c>
      <c r="AB170" s="169">
        <f t="shared" si="164"/>
        <v>0</v>
      </c>
      <c r="AC170" s="169">
        <f t="shared" si="164"/>
        <v>0</v>
      </c>
      <c r="AD170" s="169">
        <f t="shared" si="164"/>
        <v>0</v>
      </c>
      <c r="AE170" s="169">
        <f>IF(AE20=$R32,$BD32*24,IF(AE20=$R33,$BD33*24,IF(AE20=$R34,$BD34*24,IF(AE20=$R35,$BD35*24,IF(AE20=$R36,$BD36*24,IF(AE20=$R37,$BD37*24,IF(AE20=$R38,$BD38*24,IF(AE20=$R39,$BD39*24,IF(AE20=$R40,$BD40*24,"")))))))))</f>
        <v>0</v>
      </c>
      <c r="AF170" s="169">
        <f>IF(AF20=$R32,$BD32*24,IF(AF20=$R33,$BD33*24,IF(AF20=$R34,$BD34*24,IF(AF20=$R35,$BD35*24,IF(AF20=$R36,$BD36*24,IF(AF20=$R37,$BD37*24,IF(AF20=$R38,$BD38*24,IF(AF20=$R39,$BD39*24,IF(AF20=$R40,$BD40*24,"")))))))))</f>
        <v>0</v>
      </c>
      <c r="AG170" s="169">
        <f>IF(AG20=$R32,$BD32*24,IF(AG20=$R33,$BD33*24,IF(AG20=$R34,$BD34*24,IF(AG20=$R35,$BD35*24,IF(AG20=$R36,$BD36*24,IF(AG20=$R37,$BD37*24,IF(AG20=$R38,$BD38*24,IF(AG20=$R39,$BD39*24,IF(AG20=$R40,$BD40*24,"")))))))))</f>
        <v>0</v>
      </c>
      <c r="AH170" s="148">
        <f>SUM(C170:AG170)</f>
        <v>0</v>
      </c>
      <c r="AI170" s="133"/>
      <c r="AJ170" s="170"/>
      <c r="AK170" s="133"/>
      <c r="AL170" s="133"/>
    </row>
    <row r="171" spans="1:38" ht="15.95" hidden="1" customHeight="1" x14ac:dyDescent="0.25">
      <c r="A171" s="153"/>
      <c r="B171" s="167" t="s">
        <v>59</v>
      </c>
      <c r="C171" s="141">
        <f>IF(C20="V",$C36,IF(C20="PR",$C38,0))</f>
        <v>0</v>
      </c>
      <c r="D171" s="141">
        <f t="shared" ref="D171:AG171" si="165">IF(D20="V",$C36,IF(D20="PR",$C38,0))</f>
        <v>0</v>
      </c>
      <c r="E171" s="141">
        <f t="shared" si="165"/>
        <v>0</v>
      </c>
      <c r="F171" s="141">
        <f t="shared" si="165"/>
        <v>0</v>
      </c>
      <c r="G171" s="141">
        <f t="shared" si="165"/>
        <v>0</v>
      </c>
      <c r="H171" s="141">
        <f t="shared" si="165"/>
        <v>0</v>
      </c>
      <c r="I171" s="141">
        <f t="shared" si="165"/>
        <v>0</v>
      </c>
      <c r="J171" s="141">
        <f t="shared" si="165"/>
        <v>0</v>
      </c>
      <c r="K171" s="141">
        <f t="shared" si="165"/>
        <v>0</v>
      </c>
      <c r="L171" s="141">
        <f t="shared" si="165"/>
        <v>0</v>
      </c>
      <c r="M171" s="141">
        <f t="shared" si="165"/>
        <v>0</v>
      </c>
      <c r="N171" s="141">
        <f t="shared" si="165"/>
        <v>0</v>
      </c>
      <c r="O171" s="141">
        <f t="shared" si="165"/>
        <v>0</v>
      </c>
      <c r="P171" s="141">
        <f t="shared" si="165"/>
        <v>0</v>
      </c>
      <c r="Q171" s="141">
        <f t="shared" si="165"/>
        <v>0</v>
      </c>
      <c r="R171" s="141">
        <f t="shared" si="165"/>
        <v>0</v>
      </c>
      <c r="S171" s="141">
        <f t="shared" si="165"/>
        <v>0</v>
      </c>
      <c r="T171" s="141">
        <f t="shared" si="165"/>
        <v>0</v>
      </c>
      <c r="U171" s="141">
        <f t="shared" si="165"/>
        <v>0</v>
      </c>
      <c r="V171" s="141">
        <f t="shared" si="165"/>
        <v>0</v>
      </c>
      <c r="W171" s="141">
        <f t="shared" si="165"/>
        <v>0</v>
      </c>
      <c r="X171" s="141">
        <f t="shared" si="165"/>
        <v>0</v>
      </c>
      <c r="Y171" s="141">
        <f t="shared" si="165"/>
        <v>0</v>
      </c>
      <c r="Z171" s="141">
        <f t="shared" si="165"/>
        <v>0</v>
      </c>
      <c r="AA171" s="141">
        <f t="shared" si="165"/>
        <v>0</v>
      </c>
      <c r="AB171" s="141">
        <f t="shared" si="165"/>
        <v>0</v>
      </c>
      <c r="AC171" s="141">
        <f t="shared" si="165"/>
        <v>0</v>
      </c>
      <c r="AD171" s="141">
        <f t="shared" si="165"/>
        <v>0</v>
      </c>
      <c r="AE171" s="141">
        <f t="shared" si="165"/>
        <v>0</v>
      </c>
      <c r="AF171" s="141">
        <f t="shared" si="165"/>
        <v>0</v>
      </c>
      <c r="AG171" s="141">
        <f t="shared" si="165"/>
        <v>0</v>
      </c>
      <c r="AH171" s="226">
        <f>SUM(C171:AG171)</f>
        <v>0</v>
      </c>
      <c r="AI171" s="226"/>
      <c r="AJ171" s="230">
        <f>SUM(AH116+AH127+AH138+AH149+AH160+AH171)</f>
        <v>167.04</v>
      </c>
      <c r="AK171" s="230"/>
      <c r="AL171" s="133" t="s">
        <v>56</v>
      </c>
    </row>
    <row r="172" spans="1:38" ht="15.95" hidden="1" customHeight="1" x14ac:dyDescent="0.25">
      <c r="A172" s="150" t="s">
        <v>60</v>
      </c>
      <c r="B172" s="167" t="s">
        <v>61</v>
      </c>
      <c r="C172" s="151">
        <f t="shared" ref="C172:AD172" si="166">IF(C20=$R32,$BC32,IF(C20=$R33,$BC33,IF(C20=$R34,$BC34,IF(C20=$R35,$BC35,IF(C20=$R36,$BC36,IF(C20=$R37,$BC37,IF(C20=$R38,$BC38,IF(C20=$R39,$BC39,IF(C20=$R40,$BC40,0)))))))))</f>
        <v>8</v>
      </c>
      <c r="D172" s="151">
        <f t="shared" si="166"/>
        <v>8</v>
      </c>
      <c r="E172" s="151">
        <f t="shared" si="166"/>
        <v>8</v>
      </c>
      <c r="F172" s="151">
        <f t="shared" si="166"/>
        <v>8</v>
      </c>
      <c r="G172" s="151">
        <f t="shared" si="166"/>
        <v>8</v>
      </c>
      <c r="H172" s="151">
        <f t="shared" si="166"/>
        <v>8</v>
      </c>
      <c r="I172" s="151">
        <f t="shared" si="166"/>
        <v>8</v>
      </c>
      <c r="J172" s="151">
        <f t="shared" si="166"/>
        <v>8</v>
      </c>
      <c r="K172" s="151">
        <f t="shared" si="166"/>
        <v>8</v>
      </c>
      <c r="L172" s="151">
        <f t="shared" si="166"/>
        <v>8</v>
      </c>
      <c r="M172" s="151">
        <f t="shared" si="166"/>
        <v>8</v>
      </c>
      <c r="N172" s="151">
        <f t="shared" si="166"/>
        <v>8</v>
      </c>
      <c r="O172" s="151">
        <f t="shared" si="166"/>
        <v>8</v>
      </c>
      <c r="P172" s="151">
        <f t="shared" si="166"/>
        <v>8</v>
      </c>
      <c r="Q172" s="151">
        <f t="shared" si="166"/>
        <v>8</v>
      </c>
      <c r="R172" s="151">
        <f t="shared" si="166"/>
        <v>8</v>
      </c>
      <c r="S172" s="151">
        <f t="shared" si="166"/>
        <v>8</v>
      </c>
      <c r="T172" s="151">
        <f t="shared" si="166"/>
        <v>8</v>
      </c>
      <c r="U172" s="151">
        <f t="shared" si="166"/>
        <v>8</v>
      </c>
      <c r="V172" s="151">
        <f t="shared" si="166"/>
        <v>8</v>
      </c>
      <c r="W172" s="151">
        <f t="shared" si="166"/>
        <v>8</v>
      </c>
      <c r="X172" s="151">
        <f t="shared" si="166"/>
        <v>8</v>
      </c>
      <c r="Y172" s="151">
        <f t="shared" si="166"/>
        <v>8</v>
      </c>
      <c r="Z172" s="151">
        <f t="shared" si="166"/>
        <v>8</v>
      </c>
      <c r="AA172" s="151">
        <f t="shared" si="166"/>
        <v>8</v>
      </c>
      <c r="AB172" s="151">
        <f t="shared" si="166"/>
        <v>8</v>
      </c>
      <c r="AC172" s="151">
        <f t="shared" si="166"/>
        <v>8</v>
      </c>
      <c r="AD172" s="151">
        <f t="shared" si="166"/>
        <v>8</v>
      </c>
      <c r="AE172" s="151">
        <f>IF(AE20=$R32,$BC32,IF(AE20=$R33,$BC33,IF(AE20=$R34,$BC34,IF(AE20=$R35,$BC35,IF(AE20=$R36,$BC36,IF(AE20=$R37,$BC37,IF(AE20=$R38,$BC38,IF(AE20=$R39,$BC39,IF(AE20=$R40,$BC40,0)))))))))</f>
        <v>8</v>
      </c>
      <c r="AF172" s="151">
        <f>IF(AF20=$R32,$BC32,IF(AF20=$R33,$BC33,IF(AF20=$R34,$BC34,IF(AF20=$R35,$BC35,IF(AF20=$R36,$BC36,IF(AF20=$R37,$BC37,IF(AF20=$R38,$BC38,IF(AF20=$R39,$BC39,IF(AF20=$R40,$BC40,0)))))))))</f>
        <v>8</v>
      </c>
      <c r="AG172" s="151">
        <f>IF(AG20=$R32,$BC32,IF(AG20=$R33,$BC33,IF(AG20=$R34,$BC34,IF(AG20=$R35,$BC35,IF(AG20=$R36,$BC36,IF(AG20=$R37,$BC37,IF(AG20=$R38,$BC38,IF(AG20=$R39,$BC39,IF(AG20=$R40,$BC40,0)))))))))</f>
        <v>8</v>
      </c>
      <c r="AH172" s="226">
        <f>SUM(C172:AG172)</f>
        <v>248</v>
      </c>
      <c r="AI172" s="226"/>
      <c r="AJ172" s="174" t="s">
        <v>62</v>
      </c>
      <c r="AK172" s="133" t="s">
        <v>12</v>
      </c>
      <c r="AL172" s="133"/>
    </row>
    <row r="173" spans="1:38" ht="15.95" hidden="1" customHeight="1" x14ac:dyDescent="0.25">
      <c r="A173" s="153" t="s">
        <v>48</v>
      </c>
      <c r="B173" s="149" t="s">
        <v>63</v>
      </c>
      <c r="C173" s="141" t="b">
        <f>IF(C46=1,IF(C168&lt;C169,C172,0))</f>
        <v>0</v>
      </c>
      <c r="D173" s="141" t="b">
        <f t="shared" ref="D173:AG173" si="167">IF(D46=1,IF(D168&lt;D169,D172,0))</f>
        <v>0</v>
      </c>
      <c r="E173" s="141" t="b">
        <f t="shared" si="167"/>
        <v>0</v>
      </c>
      <c r="F173" s="141" t="b">
        <f t="shared" si="167"/>
        <v>0</v>
      </c>
      <c r="G173" s="141">
        <f t="shared" si="167"/>
        <v>8</v>
      </c>
      <c r="H173" s="141">
        <f t="shared" si="167"/>
        <v>8</v>
      </c>
      <c r="I173" s="141" t="b">
        <f t="shared" si="167"/>
        <v>0</v>
      </c>
      <c r="J173" s="141" t="b">
        <f t="shared" si="167"/>
        <v>0</v>
      </c>
      <c r="K173" s="141" t="b">
        <f t="shared" si="167"/>
        <v>0</v>
      </c>
      <c r="L173" s="141" t="b">
        <f t="shared" si="167"/>
        <v>0</v>
      </c>
      <c r="M173" s="141" t="b">
        <f t="shared" si="167"/>
        <v>0</v>
      </c>
      <c r="N173" s="141">
        <f t="shared" si="167"/>
        <v>8</v>
      </c>
      <c r="O173" s="141">
        <f t="shared" si="167"/>
        <v>8</v>
      </c>
      <c r="P173" s="141" t="b">
        <f t="shared" si="167"/>
        <v>0</v>
      </c>
      <c r="Q173" s="141" t="b">
        <f t="shared" si="167"/>
        <v>0</v>
      </c>
      <c r="R173" s="141" t="b">
        <f t="shared" si="167"/>
        <v>0</v>
      </c>
      <c r="S173" s="141" t="b">
        <f t="shared" si="167"/>
        <v>0</v>
      </c>
      <c r="T173" s="141" t="b">
        <f t="shared" si="167"/>
        <v>0</v>
      </c>
      <c r="U173" s="141">
        <f t="shared" si="167"/>
        <v>8</v>
      </c>
      <c r="V173" s="141">
        <f t="shared" si="167"/>
        <v>8</v>
      </c>
      <c r="W173" s="141" t="b">
        <f t="shared" si="167"/>
        <v>0</v>
      </c>
      <c r="X173" s="141" t="b">
        <f t="shared" si="167"/>
        <v>0</v>
      </c>
      <c r="Y173" s="141" t="b">
        <f t="shared" si="167"/>
        <v>0</v>
      </c>
      <c r="Z173" s="141" t="b">
        <f t="shared" si="167"/>
        <v>0</v>
      </c>
      <c r="AA173" s="141" t="b">
        <f t="shared" si="167"/>
        <v>0</v>
      </c>
      <c r="AB173" s="141">
        <f t="shared" si="167"/>
        <v>8</v>
      </c>
      <c r="AC173" s="141">
        <f t="shared" si="167"/>
        <v>8</v>
      </c>
      <c r="AD173" s="141" t="b">
        <f t="shared" si="167"/>
        <v>0</v>
      </c>
      <c r="AE173" s="141" t="b">
        <f t="shared" si="167"/>
        <v>0</v>
      </c>
      <c r="AF173" s="141" t="b">
        <f t="shared" si="167"/>
        <v>0</v>
      </c>
      <c r="AG173" s="141" t="b">
        <f t="shared" si="167"/>
        <v>0</v>
      </c>
      <c r="AH173" s="154" t="s">
        <v>12</v>
      </c>
      <c r="AI173" s="133"/>
      <c r="AJ173" s="170"/>
      <c r="AK173" s="133"/>
      <c r="AL173" s="133"/>
    </row>
    <row r="174" spans="1:38" ht="15.95" hidden="1" customHeight="1" x14ac:dyDescent="0.25">
      <c r="A174" s="176"/>
      <c r="B174" s="149" t="s">
        <v>64</v>
      </c>
      <c r="C174" s="141">
        <f>IF(C46=1,IF(C168&gt;C169,24-C168,0),0)</f>
        <v>0</v>
      </c>
      <c r="D174" s="141">
        <f t="shared" ref="D174:AG174" si="168">IF(D46=1,IF(D168&gt;D169,24-D168,0),0)</f>
        <v>0</v>
      </c>
      <c r="E174" s="141">
        <f t="shared" si="168"/>
        <v>0</v>
      </c>
      <c r="F174" s="141">
        <f t="shared" si="168"/>
        <v>0</v>
      </c>
      <c r="G174" s="141">
        <f t="shared" si="168"/>
        <v>0</v>
      </c>
      <c r="H174" s="141">
        <f t="shared" si="168"/>
        <v>0</v>
      </c>
      <c r="I174" s="141">
        <f t="shared" si="168"/>
        <v>0</v>
      </c>
      <c r="J174" s="141">
        <f t="shared" si="168"/>
        <v>0</v>
      </c>
      <c r="K174" s="141">
        <f t="shared" si="168"/>
        <v>0</v>
      </c>
      <c r="L174" s="141">
        <f t="shared" si="168"/>
        <v>0</v>
      </c>
      <c r="M174" s="141">
        <f t="shared" si="168"/>
        <v>0</v>
      </c>
      <c r="N174" s="141">
        <f t="shared" si="168"/>
        <v>0</v>
      </c>
      <c r="O174" s="141">
        <f t="shared" si="168"/>
        <v>0</v>
      </c>
      <c r="P174" s="141">
        <f t="shared" si="168"/>
        <v>0</v>
      </c>
      <c r="Q174" s="141">
        <f t="shared" si="168"/>
        <v>0</v>
      </c>
      <c r="R174" s="141">
        <f t="shared" si="168"/>
        <v>0</v>
      </c>
      <c r="S174" s="141">
        <f t="shared" si="168"/>
        <v>0</v>
      </c>
      <c r="T174" s="141">
        <f t="shared" si="168"/>
        <v>0</v>
      </c>
      <c r="U174" s="141">
        <f t="shared" si="168"/>
        <v>0</v>
      </c>
      <c r="V174" s="141">
        <f t="shared" si="168"/>
        <v>0</v>
      </c>
      <c r="W174" s="141">
        <f t="shared" si="168"/>
        <v>0</v>
      </c>
      <c r="X174" s="141">
        <f t="shared" si="168"/>
        <v>0</v>
      </c>
      <c r="Y174" s="141">
        <f t="shared" si="168"/>
        <v>0</v>
      </c>
      <c r="Z174" s="141">
        <f t="shared" si="168"/>
        <v>0</v>
      </c>
      <c r="AA174" s="141">
        <f t="shared" si="168"/>
        <v>0</v>
      </c>
      <c r="AB174" s="141">
        <f t="shared" si="168"/>
        <v>0</v>
      </c>
      <c r="AC174" s="141">
        <f t="shared" si="168"/>
        <v>0</v>
      </c>
      <c r="AD174" s="141">
        <f t="shared" si="168"/>
        <v>0</v>
      </c>
      <c r="AE174" s="141">
        <f t="shared" si="168"/>
        <v>0</v>
      </c>
      <c r="AF174" s="141">
        <f t="shared" si="168"/>
        <v>0</v>
      </c>
      <c r="AG174" s="141">
        <f t="shared" si="168"/>
        <v>0</v>
      </c>
      <c r="AH174" s="154" t="s">
        <v>12</v>
      </c>
      <c r="AI174" s="133"/>
      <c r="AJ174" s="170"/>
      <c r="AK174" s="133"/>
      <c r="AL174" s="133"/>
    </row>
    <row r="175" spans="1:38" ht="15.95" hidden="1" customHeight="1" x14ac:dyDescent="0.25">
      <c r="A175" s="176"/>
      <c r="B175" s="149" t="s">
        <v>65</v>
      </c>
      <c r="C175" s="141">
        <f>IF(C46=1,IF(C168&gt;C169,C169,0),0)</f>
        <v>0</v>
      </c>
      <c r="D175" s="141">
        <f t="shared" ref="D175:AG175" si="169">IF(D46=1,IF(D168&gt;D169,D169,0),0)</f>
        <v>0</v>
      </c>
      <c r="E175" s="141">
        <f t="shared" si="169"/>
        <v>0</v>
      </c>
      <c r="F175" s="141">
        <f t="shared" si="169"/>
        <v>0</v>
      </c>
      <c r="G175" s="141">
        <f t="shared" si="169"/>
        <v>0</v>
      </c>
      <c r="H175" s="141">
        <f t="shared" si="169"/>
        <v>0</v>
      </c>
      <c r="I175" s="141">
        <f t="shared" si="169"/>
        <v>0</v>
      </c>
      <c r="J175" s="141">
        <f t="shared" si="169"/>
        <v>0</v>
      </c>
      <c r="K175" s="141">
        <f t="shared" si="169"/>
        <v>0</v>
      </c>
      <c r="L175" s="141">
        <f t="shared" si="169"/>
        <v>0</v>
      </c>
      <c r="M175" s="141">
        <f t="shared" si="169"/>
        <v>0</v>
      </c>
      <c r="N175" s="141">
        <f t="shared" si="169"/>
        <v>0</v>
      </c>
      <c r="O175" s="141">
        <f t="shared" si="169"/>
        <v>0</v>
      </c>
      <c r="P175" s="141">
        <f t="shared" si="169"/>
        <v>0</v>
      </c>
      <c r="Q175" s="141">
        <f t="shared" si="169"/>
        <v>0</v>
      </c>
      <c r="R175" s="141">
        <f t="shared" si="169"/>
        <v>0</v>
      </c>
      <c r="S175" s="141">
        <f t="shared" si="169"/>
        <v>0</v>
      </c>
      <c r="T175" s="141">
        <f t="shared" si="169"/>
        <v>0</v>
      </c>
      <c r="U175" s="141">
        <f t="shared" si="169"/>
        <v>0</v>
      </c>
      <c r="V175" s="141">
        <f t="shared" si="169"/>
        <v>0</v>
      </c>
      <c r="W175" s="141">
        <f t="shared" si="169"/>
        <v>0</v>
      </c>
      <c r="X175" s="141">
        <f t="shared" si="169"/>
        <v>0</v>
      </c>
      <c r="Y175" s="141">
        <f t="shared" si="169"/>
        <v>0</v>
      </c>
      <c r="Z175" s="141">
        <f t="shared" si="169"/>
        <v>0</v>
      </c>
      <c r="AA175" s="141">
        <f t="shared" si="169"/>
        <v>0</v>
      </c>
      <c r="AB175" s="141">
        <f t="shared" si="169"/>
        <v>0</v>
      </c>
      <c r="AC175" s="141">
        <f t="shared" si="169"/>
        <v>0</v>
      </c>
      <c r="AD175" s="141">
        <f t="shared" si="169"/>
        <v>0</v>
      </c>
      <c r="AE175" s="141">
        <f t="shared" si="169"/>
        <v>0</v>
      </c>
      <c r="AF175" s="141">
        <f t="shared" si="169"/>
        <v>0</v>
      </c>
      <c r="AG175" s="141">
        <f t="shared" si="169"/>
        <v>0</v>
      </c>
      <c r="AH175" s="154" t="s">
        <v>12</v>
      </c>
      <c r="AI175" s="133"/>
      <c r="AJ175" s="170"/>
      <c r="AK175" s="133"/>
      <c r="AL175" s="133"/>
    </row>
    <row r="176" spans="1:38" ht="15.95" hidden="1" customHeight="1" x14ac:dyDescent="0.25">
      <c r="A176" s="176"/>
      <c r="B176" s="149" t="s">
        <v>67</v>
      </c>
      <c r="C176" s="171">
        <f>SUM(C173:C175)</f>
        <v>0</v>
      </c>
      <c r="D176" s="171">
        <f t="shared" ref="D176:AG176" si="170">SUM(D173:D175)</f>
        <v>0</v>
      </c>
      <c r="E176" s="171">
        <f t="shared" si="170"/>
        <v>0</v>
      </c>
      <c r="F176" s="171">
        <f t="shared" si="170"/>
        <v>0</v>
      </c>
      <c r="G176" s="171">
        <f t="shared" si="170"/>
        <v>8</v>
      </c>
      <c r="H176" s="171">
        <f t="shared" si="170"/>
        <v>8</v>
      </c>
      <c r="I176" s="171">
        <f t="shared" si="170"/>
        <v>0</v>
      </c>
      <c r="J176" s="171">
        <f t="shared" si="170"/>
        <v>0</v>
      </c>
      <c r="K176" s="171">
        <f t="shared" si="170"/>
        <v>0</v>
      </c>
      <c r="L176" s="171">
        <f t="shared" si="170"/>
        <v>0</v>
      </c>
      <c r="M176" s="171">
        <f t="shared" si="170"/>
        <v>0</v>
      </c>
      <c r="N176" s="171">
        <f t="shared" si="170"/>
        <v>8</v>
      </c>
      <c r="O176" s="171">
        <f t="shared" si="170"/>
        <v>8</v>
      </c>
      <c r="P176" s="171">
        <f t="shared" si="170"/>
        <v>0</v>
      </c>
      <c r="Q176" s="171">
        <f t="shared" si="170"/>
        <v>0</v>
      </c>
      <c r="R176" s="171">
        <f t="shared" si="170"/>
        <v>0</v>
      </c>
      <c r="S176" s="171">
        <f t="shared" si="170"/>
        <v>0</v>
      </c>
      <c r="T176" s="171">
        <f t="shared" si="170"/>
        <v>0</v>
      </c>
      <c r="U176" s="171">
        <f t="shared" si="170"/>
        <v>8</v>
      </c>
      <c r="V176" s="171">
        <f t="shared" si="170"/>
        <v>8</v>
      </c>
      <c r="W176" s="171">
        <f t="shared" si="170"/>
        <v>0</v>
      </c>
      <c r="X176" s="171">
        <f t="shared" si="170"/>
        <v>0</v>
      </c>
      <c r="Y176" s="171">
        <f t="shared" si="170"/>
        <v>0</v>
      </c>
      <c r="Z176" s="171">
        <f t="shared" si="170"/>
        <v>0</v>
      </c>
      <c r="AA176" s="171">
        <f t="shared" si="170"/>
        <v>0</v>
      </c>
      <c r="AB176" s="171">
        <f t="shared" si="170"/>
        <v>8</v>
      </c>
      <c r="AC176" s="171">
        <f t="shared" si="170"/>
        <v>8</v>
      </c>
      <c r="AD176" s="171">
        <f t="shared" si="170"/>
        <v>0</v>
      </c>
      <c r="AE176" s="171">
        <f t="shared" si="170"/>
        <v>0</v>
      </c>
      <c r="AF176" s="171">
        <f t="shared" si="170"/>
        <v>0</v>
      </c>
      <c r="AG176" s="171">
        <f t="shared" si="170"/>
        <v>0</v>
      </c>
      <c r="AH176" s="154" t="s">
        <v>12</v>
      </c>
      <c r="AI176" s="133"/>
      <c r="AJ176" s="170"/>
      <c r="AK176" s="133"/>
      <c r="AL176" s="133"/>
    </row>
    <row r="177" spans="1:38" ht="15.95" hidden="1" customHeight="1" x14ac:dyDescent="0.25">
      <c r="A177" s="177"/>
      <c r="B177" s="160" t="s">
        <v>68</v>
      </c>
      <c r="C177" s="161">
        <f>IF(C20="V",IF(C20="",0,1),0)</f>
        <v>0</v>
      </c>
      <c r="D177" s="161">
        <f t="shared" ref="D177:AG177" si="171">IF(D20="V",IF(D20="",0,1),0)</f>
        <v>0</v>
      </c>
      <c r="E177" s="161">
        <f t="shared" si="171"/>
        <v>0</v>
      </c>
      <c r="F177" s="161">
        <f t="shared" si="171"/>
        <v>0</v>
      </c>
      <c r="G177" s="161">
        <f t="shared" si="171"/>
        <v>0</v>
      </c>
      <c r="H177" s="161">
        <f t="shared" si="171"/>
        <v>0</v>
      </c>
      <c r="I177" s="161">
        <f t="shared" si="171"/>
        <v>0</v>
      </c>
      <c r="J177" s="161">
        <f t="shared" si="171"/>
        <v>0</v>
      </c>
      <c r="K177" s="161">
        <f t="shared" si="171"/>
        <v>0</v>
      </c>
      <c r="L177" s="161">
        <f t="shared" si="171"/>
        <v>0</v>
      </c>
      <c r="M177" s="161">
        <f t="shared" si="171"/>
        <v>0</v>
      </c>
      <c r="N177" s="161">
        <f t="shared" si="171"/>
        <v>0</v>
      </c>
      <c r="O177" s="161">
        <f t="shared" si="171"/>
        <v>0</v>
      </c>
      <c r="P177" s="161">
        <f t="shared" si="171"/>
        <v>0</v>
      </c>
      <c r="Q177" s="161">
        <f t="shared" si="171"/>
        <v>0</v>
      </c>
      <c r="R177" s="161">
        <f t="shared" si="171"/>
        <v>0</v>
      </c>
      <c r="S177" s="161">
        <f t="shared" si="171"/>
        <v>0</v>
      </c>
      <c r="T177" s="161">
        <f t="shared" si="171"/>
        <v>0</v>
      </c>
      <c r="U177" s="161">
        <f t="shared" si="171"/>
        <v>0</v>
      </c>
      <c r="V177" s="161">
        <f t="shared" si="171"/>
        <v>0</v>
      </c>
      <c r="W177" s="161">
        <f t="shared" si="171"/>
        <v>0</v>
      </c>
      <c r="X177" s="161">
        <f t="shared" si="171"/>
        <v>0</v>
      </c>
      <c r="Y177" s="161">
        <f t="shared" si="171"/>
        <v>0</v>
      </c>
      <c r="Z177" s="161">
        <f t="shared" si="171"/>
        <v>0</v>
      </c>
      <c r="AA177" s="161">
        <f t="shared" si="171"/>
        <v>0</v>
      </c>
      <c r="AB177" s="161">
        <f t="shared" si="171"/>
        <v>0</v>
      </c>
      <c r="AC177" s="161">
        <f t="shared" si="171"/>
        <v>0</v>
      </c>
      <c r="AD177" s="161">
        <f t="shared" si="171"/>
        <v>0</v>
      </c>
      <c r="AE177" s="161">
        <f t="shared" si="171"/>
        <v>0</v>
      </c>
      <c r="AF177" s="161">
        <f t="shared" si="171"/>
        <v>0</v>
      </c>
      <c r="AG177" s="161">
        <f t="shared" si="171"/>
        <v>0</v>
      </c>
      <c r="AH177" s="154" t="s">
        <v>12</v>
      </c>
      <c r="AI177" s="133"/>
      <c r="AJ177" s="170"/>
      <c r="AK177" s="133"/>
      <c r="AL177" s="133"/>
    </row>
    <row r="178" spans="1:38" ht="15.95" hidden="1" customHeight="1" x14ac:dyDescent="0.25">
      <c r="A178" s="180"/>
      <c r="B178" s="181" t="s">
        <v>16</v>
      </c>
      <c r="C178" s="182">
        <f>IF(C20="PR",IF(C20="",0,1),0)</f>
        <v>0</v>
      </c>
      <c r="D178" s="182">
        <f t="shared" ref="D178:AG178" si="172">IF(D20="PR",IF(D20="",0,1),0)</f>
        <v>0</v>
      </c>
      <c r="E178" s="182">
        <f t="shared" si="172"/>
        <v>0</v>
      </c>
      <c r="F178" s="182">
        <f t="shared" si="172"/>
        <v>0</v>
      </c>
      <c r="G178" s="182">
        <f t="shared" si="172"/>
        <v>0</v>
      </c>
      <c r="H178" s="182">
        <f t="shared" si="172"/>
        <v>0</v>
      </c>
      <c r="I178" s="182">
        <f t="shared" si="172"/>
        <v>0</v>
      </c>
      <c r="J178" s="182">
        <f t="shared" si="172"/>
        <v>0</v>
      </c>
      <c r="K178" s="182">
        <f t="shared" si="172"/>
        <v>0</v>
      </c>
      <c r="L178" s="182">
        <f t="shared" si="172"/>
        <v>0</v>
      </c>
      <c r="M178" s="182">
        <f t="shared" si="172"/>
        <v>0</v>
      </c>
      <c r="N178" s="182">
        <f t="shared" si="172"/>
        <v>0</v>
      </c>
      <c r="O178" s="182">
        <f t="shared" si="172"/>
        <v>0</v>
      </c>
      <c r="P178" s="182">
        <f t="shared" si="172"/>
        <v>0</v>
      </c>
      <c r="Q178" s="182">
        <f t="shared" si="172"/>
        <v>0</v>
      </c>
      <c r="R178" s="182">
        <f t="shared" si="172"/>
        <v>0</v>
      </c>
      <c r="S178" s="182">
        <f t="shared" si="172"/>
        <v>0</v>
      </c>
      <c r="T178" s="182">
        <f t="shared" si="172"/>
        <v>0</v>
      </c>
      <c r="U178" s="182">
        <f t="shared" si="172"/>
        <v>0</v>
      </c>
      <c r="V178" s="182">
        <f t="shared" si="172"/>
        <v>0</v>
      </c>
      <c r="W178" s="182">
        <f t="shared" si="172"/>
        <v>0</v>
      </c>
      <c r="X178" s="182">
        <f t="shared" si="172"/>
        <v>0</v>
      </c>
      <c r="Y178" s="182">
        <f t="shared" si="172"/>
        <v>0</v>
      </c>
      <c r="Z178" s="182">
        <f t="shared" si="172"/>
        <v>0</v>
      </c>
      <c r="AA178" s="182">
        <f t="shared" si="172"/>
        <v>0</v>
      </c>
      <c r="AB178" s="182">
        <f t="shared" si="172"/>
        <v>0</v>
      </c>
      <c r="AC178" s="182">
        <f t="shared" si="172"/>
        <v>0</v>
      </c>
      <c r="AD178" s="182">
        <f t="shared" si="172"/>
        <v>0</v>
      </c>
      <c r="AE178" s="182">
        <f t="shared" si="172"/>
        <v>0</v>
      </c>
      <c r="AF178" s="182">
        <f t="shared" si="172"/>
        <v>0</v>
      </c>
      <c r="AG178" s="182">
        <f t="shared" si="172"/>
        <v>0</v>
      </c>
      <c r="AH178" s="227">
        <f>SUM(C178:AG178)</f>
        <v>0</v>
      </c>
      <c r="AI178" s="227"/>
      <c r="AJ178" s="174" t="s">
        <v>69</v>
      </c>
      <c r="AK178" s="133"/>
      <c r="AL178" s="133"/>
    </row>
    <row r="179" spans="1:38" ht="15.95" hidden="1" customHeight="1" x14ac:dyDescent="0.25">
      <c r="A179" s="116"/>
      <c r="B179" s="184"/>
      <c r="C179" s="185"/>
      <c r="D179" s="185"/>
      <c r="E179" s="185"/>
      <c r="F179" s="185"/>
      <c r="G179" s="186"/>
      <c r="H179" s="185"/>
      <c r="I179" s="185"/>
      <c r="J179" s="185"/>
      <c r="K179" s="185"/>
      <c r="L179" s="185"/>
      <c r="M179" s="185"/>
      <c r="N179" s="186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185"/>
      <c r="AF179" s="185"/>
      <c r="AG179" s="185"/>
      <c r="AH179" s="133"/>
      <c r="AI179" s="133"/>
      <c r="AJ179" s="133"/>
      <c r="AK179" s="133"/>
      <c r="AL179" s="133"/>
    </row>
    <row r="180" spans="1:38" ht="15.95" hidden="1" customHeight="1" x14ac:dyDescent="0.25">
      <c r="A180" s="116"/>
      <c r="B180" s="184"/>
      <c r="C180" s="185"/>
      <c r="D180" s="185"/>
      <c r="E180" s="185"/>
      <c r="F180" s="185"/>
      <c r="G180" s="186"/>
      <c r="H180" s="185"/>
      <c r="I180" s="185"/>
      <c r="J180" s="185"/>
      <c r="K180" s="185"/>
      <c r="L180" s="185"/>
      <c r="M180" s="185"/>
      <c r="N180" s="186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185"/>
      <c r="AF180" s="185"/>
      <c r="AG180" s="185"/>
      <c r="AH180" s="116"/>
      <c r="AI180" s="116"/>
      <c r="AJ180" s="116"/>
      <c r="AK180" s="116"/>
      <c r="AL180" s="116"/>
    </row>
    <row r="181" spans="1:38" ht="15.95" hidden="1" customHeight="1" x14ac:dyDescent="0.25">
      <c r="A181" s="116"/>
      <c r="B181" s="184"/>
      <c r="C181" s="185"/>
      <c r="D181" s="185"/>
      <c r="E181" s="185"/>
      <c r="F181" s="185"/>
      <c r="G181" s="186"/>
      <c r="H181" s="185"/>
      <c r="I181" s="185"/>
      <c r="J181" s="185"/>
      <c r="K181" s="185"/>
      <c r="L181" s="185"/>
      <c r="M181" s="185"/>
      <c r="N181" s="186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/>
      <c r="AH181" s="116"/>
      <c r="AI181" s="116"/>
      <c r="AJ181" s="116"/>
      <c r="AK181" s="116"/>
      <c r="AL181" s="116"/>
    </row>
    <row r="182" spans="1:38" ht="15.95" hidden="1" customHeight="1" x14ac:dyDescent="0.25">
      <c r="A182" s="116"/>
      <c r="B182" s="126"/>
      <c r="C182" s="116"/>
      <c r="D182" s="116"/>
      <c r="E182" s="116"/>
      <c r="F182" s="116"/>
      <c r="G182" s="114"/>
      <c r="H182" s="116"/>
      <c r="I182" s="116"/>
      <c r="J182" s="116"/>
      <c r="K182" s="116"/>
      <c r="L182" s="116"/>
      <c r="M182" s="116"/>
      <c r="N182" s="114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  <c r="AH182" s="116"/>
      <c r="AI182" s="116"/>
      <c r="AJ182" s="116"/>
      <c r="AK182" s="116"/>
      <c r="AL182" s="116"/>
    </row>
    <row r="183" spans="1:38" ht="15.95" hidden="1" customHeight="1" x14ac:dyDescent="0.25">
      <c r="A183" s="116"/>
      <c r="B183" s="126"/>
      <c r="C183" s="116"/>
      <c r="D183" s="116"/>
      <c r="E183" s="116"/>
      <c r="F183" s="116"/>
      <c r="G183" s="114"/>
      <c r="H183" s="116"/>
      <c r="I183" s="116"/>
      <c r="J183" s="116"/>
      <c r="K183" s="116"/>
      <c r="L183" s="116"/>
      <c r="M183" s="116"/>
      <c r="N183" s="114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  <c r="AI183" s="116"/>
      <c r="AJ183" s="116"/>
      <c r="AK183" s="116"/>
      <c r="AL183" s="116"/>
    </row>
    <row r="184" spans="1:38" ht="15.95" hidden="1" customHeight="1" x14ac:dyDescent="0.25">
      <c r="A184" s="116"/>
      <c r="B184" s="126"/>
      <c r="C184" s="116"/>
      <c r="D184" s="116"/>
      <c r="E184" s="116"/>
      <c r="F184" s="116"/>
      <c r="G184" s="114"/>
      <c r="H184" s="116"/>
      <c r="I184" s="116"/>
      <c r="J184" s="116"/>
      <c r="K184" s="116"/>
      <c r="L184" s="116"/>
      <c r="M184" s="116"/>
      <c r="N184" s="114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  <c r="AI184" s="116"/>
      <c r="AJ184" s="116"/>
      <c r="AK184" s="116"/>
      <c r="AL184" s="116"/>
    </row>
    <row r="185" spans="1:38" ht="15.95" hidden="1" customHeight="1" x14ac:dyDescent="0.25">
      <c r="A185" s="116"/>
      <c r="B185" s="116"/>
      <c r="C185" s="116"/>
      <c r="D185" s="116"/>
      <c r="E185" s="116"/>
      <c r="F185" s="116"/>
      <c r="G185" s="114"/>
      <c r="H185" s="116"/>
      <c r="I185" s="116"/>
      <c r="J185" s="116"/>
      <c r="K185" s="116"/>
      <c r="L185" s="116"/>
      <c r="M185" s="116"/>
      <c r="N185" s="114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  <c r="AI185" s="116"/>
      <c r="AJ185" s="116"/>
      <c r="AK185" s="116"/>
      <c r="AL185" s="116"/>
    </row>
    <row r="186" spans="1:38" ht="15.95" hidden="1" customHeight="1" x14ac:dyDescent="0.25">
      <c r="A186" s="116"/>
      <c r="B186" s="116"/>
      <c r="C186" s="228" t="s">
        <v>89</v>
      </c>
      <c r="D186" s="228"/>
      <c r="E186" s="228"/>
      <c r="F186" s="228"/>
      <c r="G186" s="228"/>
      <c r="H186" s="228"/>
      <c r="I186" s="228"/>
      <c r="J186" s="228"/>
      <c r="K186" s="228"/>
      <c r="L186" s="228"/>
      <c r="M186" s="116"/>
      <c r="N186" s="114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  <c r="AH186" s="116"/>
      <c r="AI186" s="116"/>
      <c r="AJ186" s="116"/>
      <c r="AK186" s="116"/>
      <c r="AL186" s="116"/>
    </row>
    <row r="187" spans="1:38" ht="15.95" hidden="1" customHeight="1" x14ac:dyDescent="0.25">
      <c r="A187" s="180"/>
      <c r="B187" s="181" t="s">
        <v>90</v>
      </c>
      <c r="C187" s="187">
        <f t="shared" ref="C187:AG187" si="173">IF(C49&gt;=4,IF(C49="",0,8),IF(C49&gt;=0.1,IF(C49="",0,C49),""))</f>
        <v>0</v>
      </c>
      <c r="D187" s="187">
        <f t="shared" si="173"/>
        <v>0</v>
      </c>
      <c r="E187" s="187">
        <f t="shared" si="173"/>
        <v>0</v>
      </c>
      <c r="F187" s="187">
        <f t="shared" si="173"/>
        <v>0</v>
      </c>
      <c r="G187" s="187">
        <f t="shared" si="173"/>
        <v>0</v>
      </c>
      <c r="H187" s="187">
        <f t="shared" si="173"/>
        <v>0</v>
      </c>
      <c r="I187" s="187">
        <f t="shared" si="173"/>
        <v>0</v>
      </c>
      <c r="J187" s="187">
        <f t="shared" si="173"/>
        <v>0</v>
      </c>
      <c r="K187" s="187">
        <f t="shared" si="173"/>
        <v>0</v>
      </c>
      <c r="L187" s="187">
        <f t="shared" si="173"/>
        <v>0</v>
      </c>
      <c r="M187" s="187">
        <f t="shared" si="173"/>
        <v>0</v>
      </c>
      <c r="N187" s="187">
        <f t="shared" si="173"/>
        <v>0</v>
      </c>
      <c r="O187" s="187">
        <f t="shared" si="173"/>
        <v>0</v>
      </c>
      <c r="P187" s="187">
        <f t="shared" si="173"/>
        <v>0</v>
      </c>
      <c r="Q187" s="187">
        <f t="shared" si="173"/>
        <v>0</v>
      </c>
      <c r="R187" s="187">
        <f t="shared" si="173"/>
        <v>0</v>
      </c>
      <c r="S187" s="187" t="str">
        <f t="shared" si="173"/>
        <v/>
      </c>
      <c r="T187" s="187">
        <f t="shared" si="173"/>
        <v>8</v>
      </c>
      <c r="U187" s="187">
        <f t="shared" si="173"/>
        <v>8</v>
      </c>
      <c r="V187" s="187">
        <f t="shared" si="173"/>
        <v>8</v>
      </c>
      <c r="W187" s="187">
        <f t="shared" si="173"/>
        <v>0</v>
      </c>
      <c r="X187" s="187" t="str">
        <f t="shared" si="173"/>
        <v/>
      </c>
      <c r="Y187" s="187" t="str">
        <f t="shared" si="173"/>
        <v/>
      </c>
      <c r="Z187" s="187" t="str">
        <f t="shared" si="173"/>
        <v/>
      </c>
      <c r="AA187" s="187">
        <f t="shared" si="173"/>
        <v>0</v>
      </c>
      <c r="AB187" s="187">
        <f t="shared" si="173"/>
        <v>0</v>
      </c>
      <c r="AC187" s="187">
        <f t="shared" si="173"/>
        <v>0</v>
      </c>
      <c r="AD187" s="187" t="str">
        <f t="shared" si="173"/>
        <v/>
      </c>
      <c r="AE187" s="187" t="str">
        <f t="shared" si="173"/>
        <v/>
      </c>
      <c r="AF187" s="187">
        <f t="shared" si="173"/>
        <v>8</v>
      </c>
      <c r="AG187" s="187">
        <f t="shared" si="173"/>
        <v>8</v>
      </c>
      <c r="AH187" s="188">
        <f t="shared" ref="AH187" si="174">SUM(C187:AG187)</f>
        <v>40</v>
      </c>
      <c r="AI187" s="116" t="s">
        <v>91</v>
      </c>
      <c r="AJ187" s="116"/>
      <c r="AK187" s="116"/>
      <c r="AL187" s="116"/>
    </row>
    <row r="188" spans="1:38" ht="15.95" hidden="1" customHeight="1" x14ac:dyDescent="0.25">
      <c r="A188" s="116"/>
      <c r="B188" s="181" t="s">
        <v>92</v>
      </c>
      <c r="C188" s="189">
        <v>1</v>
      </c>
      <c r="D188" s="189">
        <v>2</v>
      </c>
      <c r="E188" s="189">
        <v>3</v>
      </c>
      <c r="F188" s="189">
        <v>4</v>
      </c>
      <c r="G188" s="189">
        <v>5</v>
      </c>
      <c r="H188" s="189">
        <v>6</v>
      </c>
      <c r="I188" s="189">
        <v>7</v>
      </c>
      <c r="J188" s="189">
        <v>8</v>
      </c>
      <c r="K188" s="189">
        <v>9</v>
      </c>
      <c r="L188" s="189">
        <v>10</v>
      </c>
      <c r="M188" s="189">
        <v>11</v>
      </c>
      <c r="N188" s="189">
        <v>12</v>
      </c>
      <c r="O188" s="189">
        <v>13</v>
      </c>
      <c r="P188" s="189">
        <v>14</v>
      </c>
      <c r="Q188" s="189">
        <v>15</v>
      </c>
      <c r="R188" s="189">
        <v>16</v>
      </c>
      <c r="S188" s="189">
        <v>17</v>
      </c>
      <c r="T188" s="189">
        <v>18</v>
      </c>
      <c r="U188" s="189">
        <v>19</v>
      </c>
      <c r="V188" s="189">
        <v>20</v>
      </c>
      <c r="W188" s="189">
        <v>21</v>
      </c>
      <c r="X188" s="189">
        <v>22</v>
      </c>
      <c r="Y188" s="189">
        <v>23</v>
      </c>
      <c r="Z188" s="189">
        <v>24</v>
      </c>
      <c r="AA188" s="189">
        <v>25</v>
      </c>
      <c r="AB188" s="189">
        <v>26</v>
      </c>
      <c r="AC188" s="189">
        <v>27</v>
      </c>
      <c r="AD188" s="189">
        <v>28</v>
      </c>
      <c r="AE188" s="189">
        <v>29</v>
      </c>
      <c r="AF188" s="189">
        <v>30</v>
      </c>
      <c r="AG188" s="189">
        <v>31</v>
      </c>
      <c r="AH188" s="116"/>
      <c r="AI188" s="116"/>
      <c r="AJ188" s="116"/>
      <c r="AK188" s="116"/>
      <c r="AL188" s="116"/>
    </row>
    <row r="189" spans="1:38" ht="15.95" hidden="1" customHeight="1" x14ac:dyDescent="0.25">
      <c r="A189" s="116"/>
      <c r="B189" s="116"/>
      <c r="C189" s="116"/>
      <c r="D189" s="116"/>
      <c r="E189" s="116"/>
      <c r="F189" s="116"/>
      <c r="G189" s="114"/>
      <c r="H189" s="116"/>
      <c r="I189" s="116"/>
      <c r="J189" s="116"/>
      <c r="K189" s="116"/>
      <c r="L189" s="116"/>
      <c r="M189" s="116"/>
      <c r="N189" s="114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  <c r="AH189" s="116"/>
      <c r="AI189" s="116"/>
      <c r="AJ189" s="116"/>
      <c r="AK189" s="116"/>
      <c r="AL189" s="116"/>
    </row>
    <row r="190" spans="1:38" ht="15.95" hidden="1" customHeight="1" x14ac:dyDescent="0.25">
      <c r="A190" s="116"/>
      <c r="B190" s="116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  <c r="AB190" s="221"/>
      <c r="AC190" s="221"/>
      <c r="AD190" s="221"/>
      <c r="AE190" s="221"/>
      <c r="AF190" s="221"/>
      <c r="AG190" s="221"/>
      <c r="AH190" s="116"/>
      <c r="AI190" s="116"/>
      <c r="AJ190" s="116"/>
      <c r="AK190" s="116"/>
      <c r="AL190" s="116"/>
    </row>
    <row r="191" spans="1:38" ht="15.95" hidden="1" customHeight="1" x14ac:dyDescent="0.25">
      <c r="A191" s="116"/>
      <c r="B191" s="181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  <c r="AA191" s="190"/>
      <c r="AB191" s="190"/>
      <c r="AC191" s="190"/>
      <c r="AD191" s="190"/>
      <c r="AE191" s="190"/>
      <c r="AF191" s="190"/>
      <c r="AG191" s="190"/>
      <c r="AH191" s="116"/>
      <c r="AI191" s="116"/>
      <c r="AJ191" s="116"/>
      <c r="AK191" s="116"/>
      <c r="AL191" s="116"/>
    </row>
    <row r="192" spans="1:38" ht="15.95" hidden="1" customHeight="1" x14ac:dyDescent="0.25">
      <c r="A192" s="116"/>
      <c r="B192" s="191"/>
      <c r="C192" s="192"/>
      <c r="D192" s="192"/>
      <c r="E192" s="192"/>
      <c r="F192" s="192"/>
      <c r="G192" s="193"/>
      <c r="H192" s="192"/>
      <c r="I192" s="192"/>
      <c r="J192" s="192"/>
      <c r="K192" s="192"/>
      <c r="L192" s="192"/>
      <c r="M192" s="192"/>
      <c r="N192" s="193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  <c r="AA192" s="192"/>
      <c r="AB192" s="192"/>
      <c r="AC192" s="192"/>
      <c r="AD192" s="192"/>
      <c r="AE192" s="192"/>
      <c r="AF192" s="192"/>
      <c r="AG192" s="192"/>
      <c r="AH192" s="116"/>
      <c r="AI192" s="116"/>
      <c r="AJ192" s="116"/>
      <c r="AK192" s="116"/>
      <c r="AL192" s="116"/>
    </row>
    <row r="193" spans="1:38" ht="15.95" hidden="1" customHeight="1" x14ac:dyDescent="0.25">
      <c r="A193" s="116"/>
      <c r="B193" s="116"/>
      <c r="C193" s="116"/>
      <c r="D193" s="116"/>
      <c r="E193" s="116"/>
      <c r="F193" s="116"/>
      <c r="G193" s="114"/>
      <c r="H193" s="116"/>
      <c r="I193" s="116"/>
      <c r="J193" s="116"/>
      <c r="K193" s="116"/>
      <c r="L193" s="116"/>
      <c r="M193" s="116"/>
      <c r="N193" s="114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  <c r="AH193" s="116"/>
      <c r="AI193" s="116"/>
      <c r="AJ193" s="116"/>
      <c r="AK193" s="116"/>
      <c r="AL193" s="116"/>
    </row>
    <row r="194" spans="1:38" ht="15.95" hidden="1" customHeight="1" x14ac:dyDescent="0.25">
      <c r="A194" s="116"/>
      <c r="B194" s="116"/>
      <c r="C194" s="116"/>
      <c r="D194" s="116"/>
      <c r="E194" s="116"/>
      <c r="F194" s="116"/>
      <c r="G194" s="114"/>
      <c r="H194" s="116"/>
      <c r="I194" s="116"/>
      <c r="J194" s="116"/>
      <c r="K194" s="116"/>
      <c r="L194" s="116"/>
      <c r="M194" s="116"/>
      <c r="N194" s="114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  <c r="AK194" s="116"/>
      <c r="AL194" s="116"/>
    </row>
    <row r="195" spans="1:38" ht="15.95" hidden="1" customHeight="1" x14ac:dyDescent="0.25">
      <c r="A195" s="116"/>
      <c r="B195" s="116"/>
      <c r="C195" s="116"/>
      <c r="D195" s="116"/>
      <c r="E195" s="116"/>
      <c r="F195" s="116"/>
      <c r="G195" s="114"/>
      <c r="H195" s="116"/>
      <c r="I195" s="116"/>
      <c r="J195" s="116"/>
      <c r="K195" s="116"/>
      <c r="L195" s="116"/>
      <c r="M195" s="116"/>
      <c r="N195" s="114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  <c r="AJ195" s="116"/>
      <c r="AK195" s="116"/>
      <c r="AL195" s="116"/>
    </row>
    <row r="196" spans="1:38" ht="15.95" hidden="1" customHeight="1" x14ac:dyDescent="0.25">
      <c r="A196" s="116"/>
      <c r="B196" s="116"/>
      <c r="C196" s="116"/>
      <c r="D196" s="116"/>
      <c r="E196" s="116"/>
      <c r="F196" s="116"/>
      <c r="G196" s="114"/>
      <c r="H196" s="116"/>
      <c r="I196" s="116"/>
      <c r="J196" s="116"/>
      <c r="K196" s="116"/>
      <c r="L196" s="116"/>
      <c r="M196" s="116"/>
      <c r="N196" s="114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  <c r="AJ196" s="116"/>
      <c r="AK196" s="116"/>
      <c r="AL196" s="116"/>
    </row>
    <row r="197" spans="1:38" ht="15.95" hidden="1" customHeight="1" x14ac:dyDescent="0.25">
      <c r="A197" s="116"/>
      <c r="B197" s="116"/>
      <c r="C197" s="116"/>
      <c r="D197" s="116"/>
      <c r="E197" s="116"/>
      <c r="F197" s="116"/>
      <c r="G197" s="114"/>
      <c r="H197" s="116"/>
      <c r="I197" s="116"/>
      <c r="J197" s="116"/>
      <c r="K197" s="116"/>
      <c r="L197" s="116"/>
      <c r="M197" s="116"/>
      <c r="N197" s="114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  <c r="AI197" s="116"/>
      <c r="AJ197" s="116"/>
      <c r="AK197" s="116"/>
      <c r="AL197" s="116"/>
    </row>
    <row r="198" spans="1:38" ht="15.95" hidden="1" customHeight="1" x14ac:dyDescent="0.25">
      <c r="A198" s="116"/>
      <c r="B198" s="116"/>
      <c r="C198" s="116"/>
      <c r="D198" s="116"/>
      <c r="E198" s="116"/>
      <c r="F198" s="116"/>
      <c r="G198" s="114"/>
      <c r="H198" s="116"/>
      <c r="I198" s="116"/>
      <c r="J198" s="116"/>
      <c r="K198" s="116"/>
      <c r="L198" s="116"/>
      <c r="M198" s="116"/>
      <c r="N198" s="114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  <c r="AL198" s="116"/>
    </row>
    <row r="199" spans="1:38" ht="15.95" hidden="1" customHeight="1" x14ac:dyDescent="0.25">
      <c r="A199" s="116"/>
      <c r="B199" s="116"/>
      <c r="C199" s="116"/>
      <c r="D199" s="116"/>
      <c r="E199" s="116"/>
      <c r="F199" s="116"/>
      <c r="G199" s="114"/>
      <c r="H199" s="116"/>
      <c r="I199" s="116"/>
      <c r="J199" s="116"/>
      <c r="K199" s="116"/>
      <c r="L199" s="116"/>
      <c r="M199" s="116"/>
      <c r="N199" s="114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  <c r="AJ199" s="116"/>
      <c r="AK199" s="116"/>
      <c r="AL199" s="116"/>
    </row>
    <row r="200" spans="1:38" ht="15.95" hidden="1" customHeight="1" x14ac:dyDescent="0.25">
      <c r="A200" s="116"/>
      <c r="B200" s="116"/>
      <c r="C200" s="116"/>
      <c r="D200" s="116"/>
      <c r="E200" s="116"/>
      <c r="F200" s="116"/>
      <c r="G200" s="114"/>
      <c r="H200" s="116"/>
      <c r="I200" s="116"/>
      <c r="J200" s="116"/>
      <c r="K200" s="116"/>
      <c r="L200" s="116"/>
      <c r="M200" s="116"/>
      <c r="N200" s="114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  <c r="AI200" s="116"/>
      <c r="AJ200" s="116"/>
      <c r="AK200" s="116"/>
      <c r="AL200" s="116"/>
    </row>
    <row r="201" spans="1:38" ht="20.25" customHeight="1" x14ac:dyDescent="0.25">
      <c r="A201" s="116"/>
      <c r="B201" s="116"/>
      <c r="C201" s="116"/>
      <c r="D201" s="116"/>
      <c r="E201" s="116"/>
      <c r="F201" s="116"/>
      <c r="G201" s="114"/>
      <c r="H201" s="116"/>
      <c r="I201" s="116"/>
      <c r="J201" s="116"/>
      <c r="K201" s="116"/>
      <c r="L201" s="116"/>
      <c r="M201" s="116"/>
      <c r="N201" s="114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  <c r="AK201" s="116"/>
      <c r="AL201" s="116"/>
    </row>
  </sheetData>
  <sheetProtection algorithmName="SHA-512" hashValue="m3f4l5v6uYVZwQT5+C7KeOmaStGz8LXgIu2gCgMhM5dtVc6tKH6+nwczHw5Qyp5BVnaWSuvkyXLDDOh/m/MKVg==" saltValue="wUTTElJpuglwD9+aoAYRYQ==" spinCount="100000" sheet="1" objects="1" scenarios="1" formatCells="0"/>
  <mergeCells count="148">
    <mergeCell ref="AH171:AI171"/>
    <mergeCell ref="AJ171:AK171"/>
    <mergeCell ref="AH172:AI172"/>
    <mergeCell ref="AH178:AI178"/>
    <mergeCell ref="C186:L186"/>
    <mergeCell ref="C190:AG190"/>
    <mergeCell ref="AH150:AI150"/>
    <mergeCell ref="AH156:AI156"/>
    <mergeCell ref="AH160:AI160"/>
    <mergeCell ref="AJ160:AK160"/>
    <mergeCell ref="AH161:AI161"/>
    <mergeCell ref="AH167:AI167"/>
    <mergeCell ref="AH138:AI138"/>
    <mergeCell ref="AJ138:AK138"/>
    <mergeCell ref="AH139:AI139"/>
    <mergeCell ref="AH145:AI145"/>
    <mergeCell ref="AH149:AI149"/>
    <mergeCell ref="AJ149:AK149"/>
    <mergeCell ref="AH117:AI117"/>
    <mergeCell ref="AH123:AI123"/>
    <mergeCell ref="AH127:AI127"/>
    <mergeCell ref="AJ127:AK127"/>
    <mergeCell ref="AH128:AI128"/>
    <mergeCell ref="AH134:AI134"/>
    <mergeCell ref="AH105:AI105"/>
    <mergeCell ref="AJ105:AK105"/>
    <mergeCell ref="AH106:AI106"/>
    <mergeCell ref="AH112:AI112"/>
    <mergeCell ref="AH116:AI116"/>
    <mergeCell ref="AJ116:AK116"/>
    <mergeCell ref="AH83:AI83"/>
    <mergeCell ref="AH84:AI84"/>
    <mergeCell ref="AH90:AI90"/>
    <mergeCell ref="AH94:AI94"/>
    <mergeCell ref="AH95:AI95"/>
    <mergeCell ref="AH101:AI101"/>
    <mergeCell ref="AH61:AI61"/>
    <mergeCell ref="AH62:AI62"/>
    <mergeCell ref="AH68:AI68"/>
    <mergeCell ref="AH72:AI72"/>
    <mergeCell ref="AH73:AI73"/>
    <mergeCell ref="AH79:AI79"/>
    <mergeCell ref="AI48:AJ48"/>
    <mergeCell ref="AI49:AJ49"/>
    <mergeCell ref="AN49:AO49"/>
    <mergeCell ref="AH50:AI50"/>
    <mergeCell ref="AH51:AI51"/>
    <mergeCell ref="AH57:AI57"/>
    <mergeCell ref="C43:D43"/>
    <mergeCell ref="E43:AI43"/>
    <mergeCell ref="AI45:AJ45"/>
    <mergeCell ref="AI46:AJ46"/>
    <mergeCell ref="AI47:AJ47"/>
    <mergeCell ref="AN47:AO47"/>
    <mergeCell ref="S39:T39"/>
    <mergeCell ref="V39:W39"/>
    <mergeCell ref="S40:T40"/>
    <mergeCell ref="V40:W40"/>
    <mergeCell ref="C42:V42"/>
    <mergeCell ref="W42:AH42"/>
    <mergeCell ref="A37:B37"/>
    <mergeCell ref="C37:N37"/>
    <mergeCell ref="S37:T37"/>
    <mergeCell ref="V37:W37"/>
    <mergeCell ref="A38:B38"/>
    <mergeCell ref="C38:N38"/>
    <mergeCell ref="S38:T38"/>
    <mergeCell ref="V38:W38"/>
    <mergeCell ref="A35:B35"/>
    <mergeCell ref="C35:N35"/>
    <mergeCell ref="S35:T35"/>
    <mergeCell ref="V35:W35"/>
    <mergeCell ref="A36:B36"/>
    <mergeCell ref="C36:N36"/>
    <mergeCell ref="S36:T36"/>
    <mergeCell ref="V36:W36"/>
    <mergeCell ref="A33:B33"/>
    <mergeCell ref="C33:N33"/>
    <mergeCell ref="S33:T33"/>
    <mergeCell ref="V33:W33"/>
    <mergeCell ref="A34:B34"/>
    <mergeCell ref="C34:N34"/>
    <mergeCell ref="S34:T34"/>
    <mergeCell ref="V34:W34"/>
    <mergeCell ref="AR31:AZ31"/>
    <mergeCell ref="D26:E26"/>
    <mergeCell ref="G26:H26"/>
    <mergeCell ref="K26:L26"/>
    <mergeCell ref="N26:O26"/>
    <mergeCell ref="R26:S26"/>
    <mergeCell ref="U26:V26"/>
    <mergeCell ref="W26:X26"/>
    <mergeCell ref="BB31:BC31"/>
    <mergeCell ref="A32:B32"/>
    <mergeCell ref="C32:N32"/>
    <mergeCell ref="S32:T32"/>
    <mergeCell ref="V32:W32"/>
    <mergeCell ref="AD32:AG32"/>
    <mergeCell ref="AI32:AJ32"/>
    <mergeCell ref="Z26:AA26"/>
    <mergeCell ref="AH26:AI26"/>
    <mergeCell ref="AJ26:AL26"/>
    <mergeCell ref="AE27:AF27"/>
    <mergeCell ref="C29:AJ29"/>
    <mergeCell ref="A31:N31"/>
    <mergeCell ref="R31:W31"/>
    <mergeCell ref="AD31:AI31"/>
    <mergeCell ref="AH24:AI24"/>
    <mergeCell ref="AJ24:AL24"/>
    <mergeCell ref="D25:E25"/>
    <mergeCell ref="G25:H25"/>
    <mergeCell ref="K25:L25"/>
    <mergeCell ref="N25:O25"/>
    <mergeCell ref="R25:S25"/>
    <mergeCell ref="U25:V25"/>
    <mergeCell ref="W25:X25"/>
    <mergeCell ref="Z25:AA25"/>
    <mergeCell ref="AH25:AI25"/>
    <mergeCell ref="AJ25:AL25"/>
    <mergeCell ref="C23:H23"/>
    <mergeCell ref="J23:O23"/>
    <mergeCell ref="Q23:AA23"/>
    <mergeCell ref="D24:E24"/>
    <mergeCell ref="G24:H24"/>
    <mergeCell ref="K24:L24"/>
    <mergeCell ref="N24:O24"/>
    <mergeCell ref="R24:S24"/>
    <mergeCell ref="U24:V24"/>
    <mergeCell ref="W24:X24"/>
    <mergeCell ref="Z24:AA24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B3:J3"/>
    <mergeCell ref="B4:O4"/>
    <mergeCell ref="Q4:X4"/>
    <mergeCell ref="Z4:AB4"/>
    <mergeCell ref="AC4:AH4"/>
    <mergeCell ref="A8:B8"/>
    <mergeCell ref="A15:B15"/>
    <mergeCell ref="A16:B16"/>
    <mergeCell ref="A17:B17"/>
  </mergeCells>
  <conditionalFormatting sqref="C7:AG20">
    <cfRule type="expression" dxfId="5" priority="1" stopIfTrue="1">
      <formula>C$46=1</formula>
    </cfRule>
  </conditionalFormatting>
  <hyperlinks>
    <hyperlink ref="C42" r:id="rId1" xr:uid="{00000000-0004-0000-0600-000000000000}"/>
  </hyperlinks>
  <printOptions horizontalCentered="1"/>
  <pageMargins left="7.874015748031496E-2" right="7.874015748031496E-2" top="0.31496062992125984" bottom="0" header="0.51181102362204722" footer="0.51181102362204722"/>
  <pageSetup paperSize="9" scale="97" orientation="landscape" useFirstPageNumber="1" r:id="rId2"/>
  <headerFooter alignWithMargins="0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I201"/>
  <sheetViews>
    <sheetView showGridLines="0" showRowColHeaders="0" topLeftCell="A7" zoomScale="130" zoomScaleNormal="130" zoomScaleSheetLayoutView="75" workbookViewId="0">
      <selection activeCell="C9" sqref="C9"/>
    </sheetView>
  </sheetViews>
  <sheetFormatPr baseColWidth="10" defaultColWidth="11.140625" defaultRowHeight="20.25" customHeight="1" x14ac:dyDescent="0.25"/>
  <cols>
    <col min="1" max="2" width="9.7109375" style="1" customWidth="1"/>
    <col min="3" max="6" width="3.28515625" style="1" customWidth="1"/>
    <col min="7" max="7" width="3.28515625" style="2" customWidth="1"/>
    <col min="8" max="13" width="3.28515625" style="1" customWidth="1"/>
    <col min="14" max="14" width="3.28515625" style="2" customWidth="1"/>
    <col min="15" max="33" width="3.28515625" style="1" customWidth="1"/>
    <col min="34" max="34" width="7.7109375" style="1" customWidth="1"/>
    <col min="35" max="38" width="4.7109375" style="1" customWidth="1"/>
    <col min="39" max="59" width="6.7109375" style="1" hidden="1" customWidth="1"/>
    <col min="60" max="83" width="4.7109375" style="1" hidden="1" customWidth="1"/>
    <col min="84" max="95" width="0" style="1" hidden="1" customWidth="1"/>
    <col min="96" max="16384" width="11.140625" style="1"/>
  </cols>
  <sheetData>
    <row r="1" spans="1:84" s="2" customFormat="1" ht="19.5" customHeight="1" x14ac:dyDescent="0.35">
      <c r="B1" s="3"/>
      <c r="M1" s="4"/>
      <c r="U1" s="5"/>
      <c r="V1" s="6"/>
      <c r="Z1" s="7"/>
      <c r="AA1" s="7"/>
      <c r="AB1" s="7"/>
      <c r="AC1" s="7"/>
      <c r="AD1" s="7"/>
      <c r="AE1" s="7"/>
      <c r="AF1" s="7"/>
      <c r="AG1" s="1"/>
      <c r="AH1" s="1"/>
      <c r="AI1" s="1"/>
      <c r="AJ1" s="1"/>
    </row>
    <row r="2" spans="1:84" s="2" customFormat="1" ht="19.5" customHeight="1" x14ac:dyDescent="0.35">
      <c r="B2" s="3"/>
      <c r="M2" s="4"/>
      <c r="U2" s="5"/>
      <c r="V2" s="6"/>
      <c r="Z2" s="7"/>
      <c r="AA2" s="7"/>
      <c r="AB2" s="7"/>
      <c r="AC2" s="7"/>
      <c r="AD2" s="7"/>
      <c r="AE2" s="7"/>
      <c r="AF2" s="7"/>
      <c r="AG2" s="1"/>
      <c r="AH2" s="1"/>
      <c r="AI2" s="1"/>
      <c r="AJ2" s="1"/>
    </row>
    <row r="3" spans="1:84" s="2" customFormat="1" ht="19.5" customHeight="1" x14ac:dyDescent="0.35">
      <c r="B3" s="271" t="str">
        <f t="shared" ref="B3:B4" si="0">C32</f>
        <v>EMPRESA</v>
      </c>
      <c r="C3" s="271"/>
      <c r="D3" s="271"/>
      <c r="E3" s="271"/>
      <c r="F3" s="271"/>
      <c r="G3" s="271"/>
      <c r="H3" s="271"/>
      <c r="I3" s="271"/>
      <c r="J3" s="271"/>
      <c r="M3" s="4"/>
      <c r="U3" s="5"/>
      <c r="V3" s="6"/>
      <c r="Z3" s="7"/>
      <c r="AA3" s="7"/>
      <c r="AB3" s="7"/>
      <c r="AC3" s="7"/>
      <c r="AD3" s="7"/>
      <c r="AE3" s="7"/>
      <c r="AF3" s="7"/>
      <c r="AG3" s="1"/>
      <c r="AH3" s="1"/>
      <c r="AI3" s="1"/>
      <c r="AJ3" s="1"/>
    </row>
    <row r="4" spans="1:84" s="9" customFormat="1" ht="17.25" customHeight="1" x14ac:dyDescent="0.25">
      <c r="A4" s="8"/>
      <c r="B4" s="272" t="str">
        <f t="shared" si="0"/>
        <v>CENTRO</v>
      </c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1"/>
      <c r="Q4" s="232">
        <f>DATE($C$34,$C$35,1)</f>
        <v>45870</v>
      </c>
      <c r="R4" s="232"/>
      <c r="S4" s="232"/>
      <c r="T4" s="232"/>
      <c r="U4" s="232"/>
      <c r="V4" s="232"/>
      <c r="W4" s="232"/>
      <c r="X4" s="232"/>
      <c r="Y4" s="1"/>
      <c r="Z4" s="259">
        <f>SUM(AH51+AH62+AH73+AH84+AH95+AH106+AH117+AH128+AH139+AH150+AH161+AH172)</f>
        <v>0</v>
      </c>
      <c r="AA4" s="259"/>
      <c r="AB4" s="259"/>
      <c r="AC4" s="267" t="s">
        <v>0</v>
      </c>
      <c r="AD4" s="267"/>
      <c r="AE4" s="267"/>
      <c r="AF4" s="267"/>
      <c r="AG4" s="267"/>
      <c r="AH4" s="267"/>
      <c r="AI4" s="1"/>
      <c r="AJ4" s="1"/>
    </row>
    <row r="5" spans="1:84" s="2" customFormat="1" ht="17.25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/>
      <c r="AD5" s="12"/>
      <c r="AE5" s="12" t="str">
        <f>IF(CA59=28,IF(CA59="",0,1),IF(CA59=1,IF(CA59="",0,1),""))</f>
        <v/>
      </c>
      <c r="AF5" s="12" t="str">
        <f>IF(CA59=29,IF(CA59="",0,1),IF(CA59=1,IF(CA59="",0,1),""))</f>
        <v/>
      </c>
      <c r="AG5" s="12" t="str">
        <f>IF(CA59=30,IF(CA59="",0,1),IF(CA59=1,IF(CA59="",0,1),""))</f>
        <v/>
      </c>
      <c r="AH5" s="12">
        <f>IF(CA59=31,IF(CA59="",0,1),IF(CA59=1,IF(CA59="",0,1),""))</f>
        <v>1</v>
      </c>
      <c r="AI5" s="1"/>
      <c r="AJ5" s="1"/>
    </row>
    <row r="6" spans="1:84" s="13" customFormat="1" ht="17.25" customHeight="1" x14ac:dyDescent="0.25">
      <c r="B6" s="14" t="s">
        <v>1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"/>
      <c r="AJ6" s="1"/>
    </row>
    <row r="7" spans="1:84" s="11" customFormat="1" ht="19.5" customHeight="1" x14ac:dyDescent="0.25">
      <c r="A7" s="16"/>
      <c r="B7" s="17" t="s">
        <v>2</v>
      </c>
      <c r="C7" s="18" t="str">
        <f>IF(AV47="LUNES","lu",IF(AV47="MARTES","ma",IF(AV47="MIERCOLES","mi",IF(AV47="JUEVES","ju",IF(AV47="VIERNES","vi",IF(AV47="SABADO","S",IF(AV47="DOMINGO","D","")))))))</f>
        <v>vi</v>
      </c>
      <c r="D7" s="18" t="str">
        <f t="shared" ref="D7:AD7" si="1">IF(C7="lu","ma",IF(C7="ma","mi",IF(C7="mi","ju",IF(C7="ju","vi",IF(C7="vi","S",IF(C7="S","D",IF(C7="D","lu","")))))))</f>
        <v>S</v>
      </c>
      <c r="E7" s="18" t="str">
        <f t="shared" si="1"/>
        <v>D</v>
      </c>
      <c r="F7" s="18" t="str">
        <f t="shared" si="1"/>
        <v>lu</v>
      </c>
      <c r="G7" s="18" t="str">
        <f t="shared" si="1"/>
        <v>ma</v>
      </c>
      <c r="H7" s="18" t="str">
        <f t="shared" si="1"/>
        <v>mi</v>
      </c>
      <c r="I7" s="18" t="str">
        <f t="shared" si="1"/>
        <v>ju</v>
      </c>
      <c r="J7" s="18" t="str">
        <f t="shared" si="1"/>
        <v>vi</v>
      </c>
      <c r="K7" s="18" t="str">
        <f t="shared" si="1"/>
        <v>S</v>
      </c>
      <c r="L7" s="18" t="str">
        <f t="shared" si="1"/>
        <v>D</v>
      </c>
      <c r="M7" s="18" t="str">
        <f t="shared" si="1"/>
        <v>lu</v>
      </c>
      <c r="N7" s="18" t="str">
        <f t="shared" si="1"/>
        <v>ma</v>
      </c>
      <c r="O7" s="18" t="str">
        <f t="shared" si="1"/>
        <v>mi</v>
      </c>
      <c r="P7" s="18" t="str">
        <f t="shared" si="1"/>
        <v>ju</v>
      </c>
      <c r="Q7" s="18" t="str">
        <f t="shared" si="1"/>
        <v>vi</v>
      </c>
      <c r="R7" s="18" t="str">
        <f t="shared" si="1"/>
        <v>S</v>
      </c>
      <c r="S7" s="18" t="str">
        <f t="shared" si="1"/>
        <v>D</v>
      </c>
      <c r="T7" s="18" t="str">
        <f t="shared" si="1"/>
        <v>lu</v>
      </c>
      <c r="U7" s="18" t="str">
        <f t="shared" si="1"/>
        <v>ma</v>
      </c>
      <c r="V7" s="18" t="str">
        <f t="shared" si="1"/>
        <v>mi</v>
      </c>
      <c r="W7" s="18" t="str">
        <f t="shared" si="1"/>
        <v>ju</v>
      </c>
      <c r="X7" s="18" t="str">
        <f t="shared" si="1"/>
        <v>vi</v>
      </c>
      <c r="Y7" s="18" t="str">
        <f t="shared" si="1"/>
        <v>S</v>
      </c>
      <c r="Z7" s="18" t="str">
        <f t="shared" si="1"/>
        <v>D</v>
      </c>
      <c r="AA7" s="18" t="str">
        <f t="shared" si="1"/>
        <v>lu</v>
      </c>
      <c r="AB7" s="18" t="str">
        <f t="shared" si="1"/>
        <v>ma</v>
      </c>
      <c r="AC7" s="18" t="str">
        <f t="shared" si="1"/>
        <v>mi</v>
      </c>
      <c r="AD7" s="18" t="str">
        <f t="shared" si="1"/>
        <v>ju</v>
      </c>
      <c r="AE7" s="18" t="str">
        <f>IF(AE8="","",IF(AD7="lu","ma",IF(AD7="ma","mi",IF(AD7="mi","ju",IF(AD7="ju","vi",IF(AD7="vi","S",IF(AD7="S","D",IF(AD7="D","lu",""))))))))</f>
        <v>vi</v>
      </c>
      <c r="AF7" s="18" t="str">
        <f>IF(AF8="","",IF(AE7="lu","ma",IF(AE7="ma","mi",IF(AE7="mi","ju",IF(AE7="ju","vi",IF(AE7="vi","S",IF(AE7="S","D",IF(AE7="D","lu",""))))))))</f>
        <v>S</v>
      </c>
      <c r="AG7" s="18" t="str">
        <f>IF(AG8="","",IF(AF7="lu","ma",IF(AF7="ma","mi",IF(AF7="mi","ju",IF(AF7="ju","vi",IF(AF7="vi","S",IF(AF7="S","D",IF(AF7="D","lu",""))))))))</f>
        <v>D</v>
      </c>
      <c r="AH7" s="16"/>
    </row>
    <row r="8" spans="1:84" s="22" customFormat="1" ht="19.5" customHeight="1" x14ac:dyDescent="0.2">
      <c r="A8" s="270" t="s">
        <v>3</v>
      </c>
      <c r="B8" s="270"/>
      <c r="C8" s="18">
        <v>1</v>
      </c>
      <c r="D8" s="18">
        <v>2</v>
      </c>
      <c r="E8" s="18">
        <v>3</v>
      </c>
      <c r="F8" s="18">
        <v>4</v>
      </c>
      <c r="G8" s="18">
        <v>5</v>
      </c>
      <c r="H8" s="18">
        <v>6</v>
      </c>
      <c r="I8" s="18">
        <v>7</v>
      </c>
      <c r="J8" s="18">
        <v>8</v>
      </c>
      <c r="K8" s="18">
        <v>9</v>
      </c>
      <c r="L8" s="18">
        <v>10</v>
      </c>
      <c r="M8" s="18">
        <v>11</v>
      </c>
      <c r="N8" s="18">
        <v>12</v>
      </c>
      <c r="O8" s="18">
        <v>13</v>
      </c>
      <c r="P8" s="18">
        <v>14</v>
      </c>
      <c r="Q8" s="18">
        <v>15</v>
      </c>
      <c r="R8" s="18">
        <v>16</v>
      </c>
      <c r="S8" s="18">
        <v>17</v>
      </c>
      <c r="T8" s="18">
        <v>18</v>
      </c>
      <c r="U8" s="18">
        <v>19</v>
      </c>
      <c r="V8" s="18">
        <v>20</v>
      </c>
      <c r="W8" s="18">
        <v>21</v>
      </c>
      <c r="X8" s="18">
        <v>22</v>
      </c>
      <c r="Y8" s="18">
        <v>23</v>
      </c>
      <c r="Z8" s="18">
        <v>24</v>
      </c>
      <c r="AA8" s="18">
        <v>25</v>
      </c>
      <c r="AB8" s="18">
        <v>26</v>
      </c>
      <c r="AC8" s="18">
        <v>27</v>
      </c>
      <c r="AD8" s="18">
        <v>28</v>
      </c>
      <c r="AE8" s="18">
        <f>IF(CA59=28,"",IF(CA59=29,29,IF(CA59=30,29,IF(CA59=31,29,""))))</f>
        <v>29</v>
      </c>
      <c r="AF8" s="18">
        <f>IF(CA59=28,"",IF(CA59=29,"",IF(CA59=30,30,IF(CA59=31,30,""))))</f>
        <v>30</v>
      </c>
      <c r="AG8" s="18">
        <f>IF(CA59=28,"",IF(CA59=29,"",IF(CA59=30,"",IF(CA59=31,31,""))))</f>
        <v>31</v>
      </c>
      <c r="AH8" s="19" t="s">
        <v>60</v>
      </c>
      <c r="AI8" s="20" t="s">
        <v>4</v>
      </c>
      <c r="AJ8" s="20" t="s">
        <v>5</v>
      </c>
      <c r="AK8" s="21" t="s">
        <v>6</v>
      </c>
      <c r="AL8" s="21" t="s">
        <v>7</v>
      </c>
    </row>
    <row r="9" spans="1:84" s="2" customFormat="1" ht="20.100000000000001" customHeight="1" x14ac:dyDescent="0.25">
      <c r="A9" s="268" t="s">
        <v>155</v>
      </c>
      <c r="B9" s="268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4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83">
        <f>SUM(AH50:AH51)</f>
        <v>0</v>
      </c>
      <c r="AI9" s="84">
        <f>AH9-C37</f>
        <v>-162</v>
      </c>
      <c r="AJ9" s="84">
        <f>SUM(C55:AG55)</f>
        <v>0</v>
      </c>
      <c r="AK9" s="84">
        <f>AK32</f>
        <v>0</v>
      </c>
      <c r="AL9" s="18">
        <f>SUM(C56:AG56)</f>
        <v>0</v>
      </c>
      <c r="CB9" s="25">
        <f>ROUNDDOWN(AH9,0)</f>
        <v>0</v>
      </c>
      <c r="CC9" s="26">
        <f>AH9-INT(AH9)</f>
        <v>0</v>
      </c>
      <c r="CD9" s="27">
        <f>CC9/24</f>
        <v>0</v>
      </c>
      <c r="CE9"/>
      <c r="CF9"/>
    </row>
    <row r="10" spans="1:84" s="2" customFormat="1" ht="20.100000000000001" customHeight="1" x14ac:dyDescent="0.25">
      <c r="A10" s="268" t="s">
        <v>157</v>
      </c>
      <c r="B10" s="268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83">
        <f>SUM(AH61:AH62)</f>
        <v>0</v>
      </c>
      <c r="AI10" s="84">
        <f>AH10-C37</f>
        <v>-162</v>
      </c>
      <c r="AJ10" s="84">
        <f>SUM(C66:AG66)</f>
        <v>0</v>
      </c>
      <c r="AK10" s="84">
        <f t="shared" ref="AK10:AK20" si="2">AK33</f>
        <v>0</v>
      </c>
      <c r="AL10" s="18">
        <f>SUM(C67:AG67)</f>
        <v>0</v>
      </c>
      <c r="CF10"/>
    </row>
    <row r="11" spans="1:84" s="2" customFormat="1" ht="20.100000000000001" customHeight="1" x14ac:dyDescent="0.25">
      <c r="A11" s="268" t="s">
        <v>156</v>
      </c>
      <c r="B11" s="268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83">
        <f>SUM(AH72:AH73)</f>
        <v>0</v>
      </c>
      <c r="AI11" s="84">
        <f>AH11-C37</f>
        <v>-162</v>
      </c>
      <c r="AJ11" s="84">
        <f>SUM(C77:AG77)</f>
        <v>0</v>
      </c>
      <c r="AK11" s="84">
        <f t="shared" si="2"/>
        <v>0</v>
      </c>
      <c r="AL11" s="18">
        <f>SUM(C78:AG78)</f>
        <v>0</v>
      </c>
      <c r="CF11"/>
    </row>
    <row r="12" spans="1:84" s="2" customFormat="1" ht="20.100000000000001" customHeight="1" x14ac:dyDescent="0.25">
      <c r="A12" s="268" t="s">
        <v>159</v>
      </c>
      <c r="B12" s="268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83">
        <f>SUM(AH83:AH84)</f>
        <v>0</v>
      </c>
      <c r="AI12" s="84">
        <f>AH12-C37</f>
        <v>-162</v>
      </c>
      <c r="AJ12" s="84">
        <f>SUM(C88:AG88)</f>
        <v>0</v>
      </c>
      <c r="AK12" s="84">
        <f t="shared" si="2"/>
        <v>0</v>
      </c>
      <c r="AL12" s="18">
        <f>SUM(C89:AG89)</f>
        <v>0</v>
      </c>
      <c r="CF12"/>
    </row>
    <row r="13" spans="1:84" s="2" customFormat="1" ht="20.100000000000001" customHeight="1" x14ac:dyDescent="0.25">
      <c r="A13" s="268" t="s">
        <v>166</v>
      </c>
      <c r="B13" s="268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83">
        <f>SUM(AH94:AH95)</f>
        <v>0</v>
      </c>
      <c r="AI13" s="84">
        <f>AH13-C37</f>
        <v>-162</v>
      </c>
      <c r="AJ13" s="84">
        <f>SUM(C99:AG99)</f>
        <v>0</v>
      </c>
      <c r="AK13" s="84">
        <f t="shared" si="2"/>
        <v>0</v>
      </c>
      <c r="AL13" s="18">
        <f>SUM(C100:AG100)</f>
        <v>0</v>
      </c>
      <c r="CB13" s="28"/>
      <c r="CF13"/>
    </row>
    <row r="14" spans="1:84" s="2" customFormat="1" ht="19.5" customHeight="1" x14ac:dyDescent="0.25">
      <c r="A14" s="268" t="s">
        <v>161</v>
      </c>
      <c r="B14" s="268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83">
        <f>SUM(AH105:AH106)</f>
        <v>0</v>
      </c>
      <c r="AI14" s="84">
        <f>AH14-C37</f>
        <v>-162</v>
      </c>
      <c r="AJ14" s="84">
        <f>SUM(C110:AG110)</f>
        <v>0</v>
      </c>
      <c r="AK14" s="84">
        <f t="shared" si="2"/>
        <v>0</v>
      </c>
      <c r="AL14" s="18">
        <f>SUM(C111:AG111)</f>
        <v>0</v>
      </c>
      <c r="CF14"/>
    </row>
    <row r="15" spans="1:84" s="2" customFormat="1" ht="19.5" customHeight="1" x14ac:dyDescent="0.25">
      <c r="A15" s="268" t="s">
        <v>158</v>
      </c>
      <c r="B15" s="268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83">
        <f>SUM(AH116:AH117)</f>
        <v>0</v>
      </c>
      <c r="AI15" s="84">
        <f>AH15-C37</f>
        <v>-162</v>
      </c>
      <c r="AJ15" s="84">
        <f>SUM(C121:AG121)</f>
        <v>0</v>
      </c>
      <c r="AK15" s="84">
        <f t="shared" si="2"/>
        <v>0</v>
      </c>
      <c r="AL15" s="18">
        <f>SUM(C122:AG122)</f>
        <v>0</v>
      </c>
      <c r="CF15"/>
    </row>
    <row r="16" spans="1:84" s="2" customFormat="1" ht="19.5" customHeight="1" x14ac:dyDescent="0.25">
      <c r="A16" s="268" t="s">
        <v>173</v>
      </c>
      <c r="B16" s="268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83">
        <f>SUM(AH127:AH128)</f>
        <v>0</v>
      </c>
      <c r="AI16" s="84">
        <f>AH16-C37</f>
        <v>-162</v>
      </c>
      <c r="AJ16" s="84">
        <f>SUM(C132:AG132)</f>
        <v>0</v>
      </c>
      <c r="AK16" s="84">
        <f t="shared" si="2"/>
        <v>0</v>
      </c>
      <c r="AL16" s="18">
        <f>SUM(C133:AG133)</f>
        <v>0</v>
      </c>
      <c r="CF16"/>
    </row>
    <row r="17" spans="1:87" s="2" customFormat="1" ht="19.5" customHeight="1" x14ac:dyDescent="0.25">
      <c r="A17" s="268" t="s">
        <v>163</v>
      </c>
      <c r="B17" s="268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83">
        <f>SUM(AH138:AH139)</f>
        <v>0</v>
      </c>
      <c r="AI17" s="84">
        <f>AH17-C37</f>
        <v>-162</v>
      </c>
      <c r="AJ17" s="84">
        <f>SUM(C143:AG143)</f>
        <v>0</v>
      </c>
      <c r="AK17" s="84">
        <f t="shared" si="2"/>
        <v>0</v>
      </c>
      <c r="AL17" s="18">
        <f>SUM(C144:AG144)</f>
        <v>0</v>
      </c>
      <c r="CF17"/>
    </row>
    <row r="18" spans="1:87" s="2" customFormat="1" ht="19.5" customHeight="1" x14ac:dyDescent="0.25">
      <c r="A18" s="268" t="s">
        <v>169</v>
      </c>
      <c r="B18" s="268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83">
        <f>SUM(AH149:AH150)</f>
        <v>0</v>
      </c>
      <c r="AI18" s="84">
        <f>AH18-C37</f>
        <v>-162</v>
      </c>
      <c r="AJ18" s="84">
        <f>SUM(C154:AG154)</f>
        <v>0</v>
      </c>
      <c r="AK18" s="84">
        <f t="shared" si="2"/>
        <v>0</v>
      </c>
      <c r="AL18" s="18">
        <f>SUM(C155:AG155)</f>
        <v>0</v>
      </c>
      <c r="CF18"/>
    </row>
    <row r="19" spans="1:87" s="2" customFormat="1" ht="19.5" customHeight="1" x14ac:dyDescent="0.25">
      <c r="A19" s="268" t="s">
        <v>174</v>
      </c>
      <c r="B19" s="268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83">
        <f>SUM(AH160:AH161)</f>
        <v>0</v>
      </c>
      <c r="AI19" s="84">
        <f>AH19-C37</f>
        <v>-162</v>
      </c>
      <c r="AJ19" s="84">
        <f>SUM(C165:AG165)</f>
        <v>0</v>
      </c>
      <c r="AK19" s="84">
        <f t="shared" si="2"/>
        <v>0</v>
      </c>
      <c r="AL19" s="18">
        <f>SUM(C166:AG166)</f>
        <v>0</v>
      </c>
      <c r="CF19"/>
    </row>
    <row r="20" spans="1:87" s="2" customFormat="1" ht="19.5" customHeight="1" x14ac:dyDescent="0.25">
      <c r="A20" s="268" t="s">
        <v>172</v>
      </c>
      <c r="B20" s="268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83">
        <f>SUM(AH171:AH172)</f>
        <v>0</v>
      </c>
      <c r="AI20" s="84">
        <f>AH20-C37</f>
        <v>-162</v>
      </c>
      <c r="AJ20" s="84">
        <f>SUM(C176:AG176)</f>
        <v>0</v>
      </c>
      <c r="AK20" s="84">
        <f t="shared" si="2"/>
        <v>0</v>
      </c>
      <c r="AL20" s="18">
        <f>SUM(C177:AG177)</f>
        <v>0</v>
      </c>
      <c r="CF20"/>
    </row>
    <row r="21" spans="1:87" s="2" customFormat="1" ht="19.5" customHeight="1" x14ac:dyDescent="0.25">
      <c r="A21" s="10"/>
      <c r="B21" s="29" t="s">
        <v>8</v>
      </c>
      <c r="C21" s="113">
        <f>SUM(C51+C62+C73+C84+C95+C106+C117+C128+C139+C150+C161+C172)</f>
        <v>0</v>
      </c>
      <c r="D21" s="113">
        <f t="shared" ref="D21:AG21" si="3">SUM(D51+D62+D73+D84+D95+D106+D117+D128+D139+D150+D161+D172)</f>
        <v>0</v>
      </c>
      <c r="E21" s="113">
        <f t="shared" si="3"/>
        <v>0</v>
      </c>
      <c r="F21" s="113">
        <f t="shared" si="3"/>
        <v>0</v>
      </c>
      <c r="G21" s="113">
        <f t="shared" si="3"/>
        <v>0</v>
      </c>
      <c r="H21" s="113">
        <f t="shared" si="3"/>
        <v>0</v>
      </c>
      <c r="I21" s="113">
        <f t="shared" si="3"/>
        <v>0</v>
      </c>
      <c r="J21" s="113">
        <f t="shared" si="3"/>
        <v>0</v>
      </c>
      <c r="K21" s="113">
        <f t="shared" si="3"/>
        <v>0</v>
      </c>
      <c r="L21" s="113">
        <f t="shared" si="3"/>
        <v>0</v>
      </c>
      <c r="M21" s="113">
        <f t="shared" si="3"/>
        <v>0</v>
      </c>
      <c r="N21" s="113">
        <f t="shared" si="3"/>
        <v>0</v>
      </c>
      <c r="O21" s="113">
        <f t="shared" si="3"/>
        <v>0</v>
      </c>
      <c r="P21" s="113">
        <f t="shared" si="3"/>
        <v>0</v>
      </c>
      <c r="Q21" s="113">
        <f t="shared" si="3"/>
        <v>0</v>
      </c>
      <c r="R21" s="113">
        <f t="shared" si="3"/>
        <v>0</v>
      </c>
      <c r="S21" s="113">
        <f t="shared" si="3"/>
        <v>0</v>
      </c>
      <c r="T21" s="113">
        <f t="shared" si="3"/>
        <v>0</v>
      </c>
      <c r="U21" s="113">
        <f t="shared" si="3"/>
        <v>0</v>
      </c>
      <c r="V21" s="113">
        <f t="shared" si="3"/>
        <v>0</v>
      </c>
      <c r="W21" s="113">
        <f t="shared" si="3"/>
        <v>0</v>
      </c>
      <c r="X21" s="113">
        <f t="shared" si="3"/>
        <v>0</v>
      </c>
      <c r="Y21" s="113">
        <f t="shared" si="3"/>
        <v>0</v>
      </c>
      <c r="Z21" s="113">
        <f t="shared" si="3"/>
        <v>0</v>
      </c>
      <c r="AA21" s="113">
        <f t="shared" si="3"/>
        <v>0</v>
      </c>
      <c r="AB21" s="113">
        <f t="shared" si="3"/>
        <v>0</v>
      </c>
      <c r="AC21" s="113">
        <f t="shared" si="3"/>
        <v>0</v>
      </c>
      <c r="AD21" s="113">
        <f t="shared" si="3"/>
        <v>0</v>
      </c>
      <c r="AE21" s="113">
        <f t="shared" si="3"/>
        <v>0</v>
      </c>
      <c r="AF21" s="113">
        <f t="shared" si="3"/>
        <v>0</v>
      </c>
      <c r="AG21" s="113">
        <f t="shared" si="3"/>
        <v>0</v>
      </c>
      <c r="AH21" s="30"/>
      <c r="AI21" s="30"/>
      <c r="AJ21" s="30"/>
      <c r="AK21" s="30"/>
      <c r="AL21" s="30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</row>
    <row r="22" spans="1:87" s="2" customFormat="1" ht="19.5" customHeight="1" x14ac:dyDescent="0.25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</row>
    <row r="23" spans="1:87" s="2" customFormat="1" ht="19.5" customHeight="1" x14ac:dyDescent="0.25">
      <c r="A23" s="80"/>
      <c r="B23" s="80"/>
      <c r="C23" s="273" t="s">
        <v>9</v>
      </c>
      <c r="D23" s="273"/>
      <c r="E23" s="273"/>
      <c r="F23" s="273"/>
      <c r="G23" s="273"/>
      <c r="H23" s="273"/>
      <c r="I23" s="82"/>
      <c r="J23" s="274" t="s">
        <v>9</v>
      </c>
      <c r="K23" s="274"/>
      <c r="L23" s="274"/>
      <c r="M23" s="274"/>
      <c r="N23" s="274"/>
      <c r="O23" s="274"/>
      <c r="P23" s="32"/>
      <c r="Q23" s="274" t="s">
        <v>136</v>
      </c>
      <c r="R23" s="274"/>
      <c r="S23" s="274"/>
      <c r="T23" s="274"/>
      <c r="U23" s="274"/>
      <c r="V23" s="274"/>
      <c r="W23" s="274"/>
      <c r="X23" s="274"/>
      <c r="Y23" s="274"/>
      <c r="Z23" s="274"/>
      <c r="AA23" s="274"/>
      <c r="AB23" s="82"/>
      <c r="AC23" s="82"/>
      <c r="AD23" s="82"/>
      <c r="AE23" s="82"/>
      <c r="AF23" s="80"/>
      <c r="AG23" s="80"/>
      <c r="AH23" s="80"/>
      <c r="AI23" s="80"/>
      <c r="AJ23" s="80"/>
      <c r="AK23" s="80"/>
      <c r="AL23" s="80"/>
      <c r="AM23"/>
      <c r="AN23"/>
      <c r="AO23"/>
      <c r="AP23"/>
      <c r="AQ23" s="1" t="s">
        <v>10</v>
      </c>
      <c r="AR23" s="1"/>
      <c r="AS23" s="1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</row>
    <row r="24" spans="1:87" ht="14.45" customHeight="1" x14ac:dyDescent="0.25">
      <c r="A24" s="82"/>
      <c r="B24" s="82"/>
      <c r="C24" s="108" t="str">
        <f t="shared" ref="C24:D26" si="4">R32</f>
        <v>D1</v>
      </c>
      <c r="D24" s="275">
        <f t="shared" si="4"/>
        <v>0.25</v>
      </c>
      <c r="E24" s="275"/>
      <c r="F24" s="33" t="s">
        <v>11</v>
      </c>
      <c r="G24" s="276">
        <f t="shared" ref="G24:G26" si="5">V32</f>
        <v>0.75</v>
      </c>
      <c r="H24" s="276"/>
      <c r="I24" s="105"/>
      <c r="J24" s="107" t="str">
        <f t="shared" ref="J24:K26" si="6">R35</f>
        <v>N2</v>
      </c>
      <c r="K24" s="277">
        <f t="shared" si="6"/>
        <v>0.79166666666666663</v>
      </c>
      <c r="L24" s="278"/>
      <c r="M24" s="110" t="s">
        <v>11</v>
      </c>
      <c r="N24" s="277">
        <f>V35</f>
        <v>0.29166666666666669</v>
      </c>
      <c r="O24" s="279"/>
      <c r="P24" s="32"/>
      <c r="Q24" s="107" t="str">
        <f>R38</f>
        <v>G</v>
      </c>
      <c r="R24" s="280"/>
      <c r="S24" s="280"/>
      <c r="T24" s="109" t="s">
        <v>11</v>
      </c>
      <c r="U24" s="280"/>
      <c r="V24" s="280"/>
      <c r="W24" s="281"/>
      <c r="X24" s="280"/>
      <c r="Y24" s="109" t="s">
        <v>11</v>
      </c>
      <c r="Z24" s="282"/>
      <c r="AA24" s="283"/>
      <c r="AB24" s="106"/>
      <c r="AC24" s="80"/>
      <c r="AD24" s="104"/>
      <c r="AE24" s="104"/>
      <c r="AF24" s="104"/>
      <c r="AG24" s="107" t="s">
        <v>12</v>
      </c>
      <c r="AH24" s="256" t="s">
        <v>1</v>
      </c>
      <c r="AI24" s="257"/>
      <c r="AJ24" s="245"/>
      <c r="AK24" s="245"/>
      <c r="AL24" s="245"/>
      <c r="AM24"/>
      <c r="AN24"/>
      <c r="AO24"/>
      <c r="AP24"/>
      <c r="AQ24" s="1" t="s">
        <v>13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</row>
    <row r="25" spans="1:87" s="2" customFormat="1" ht="14.45" customHeight="1" x14ac:dyDescent="0.25">
      <c r="A25" s="82"/>
      <c r="B25" s="82"/>
      <c r="C25" s="108" t="str">
        <f t="shared" si="4"/>
        <v>N1</v>
      </c>
      <c r="D25" s="275">
        <f t="shared" si="4"/>
        <v>0.75</v>
      </c>
      <c r="E25" s="275"/>
      <c r="F25" s="33" t="s">
        <v>11</v>
      </c>
      <c r="G25" s="276">
        <f t="shared" si="5"/>
        <v>0.25</v>
      </c>
      <c r="H25" s="276"/>
      <c r="I25" s="105"/>
      <c r="J25" s="107" t="str">
        <f t="shared" si="6"/>
        <v>N3</v>
      </c>
      <c r="K25" s="280">
        <f t="shared" si="6"/>
        <v>0.91666666666666663</v>
      </c>
      <c r="L25" s="278"/>
      <c r="M25" s="110" t="s">
        <v>11</v>
      </c>
      <c r="N25" s="280">
        <f>V36</f>
        <v>0.25</v>
      </c>
      <c r="O25" s="279"/>
      <c r="P25" s="32"/>
      <c r="Q25" s="107" t="str">
        <f>R39</f>
        <v>H</v>
      </c>
      <c r="R25" s="280"/>
      <c r="S25" s="280"/>
      <c r="T25" s="109" t="s">
        <v>11</v>
      </c>
      <c r="U25" s="280"/>
      <c r="V25" s="280"/>
      <c r="W25" s="281"/>
      <c r="X25" s="280"/>
      <c r="Y25" s="109" t="s">
        <v>11</v>
      </c>
      <c r="Z25" s="284"/>
      <c r="AA25" s="283"/>
      <c r="AB25" s="106"/>
      <c r="AC25" s="80"/>
      <c r="AD25" s="104"/>
      <c r="AE25" s="104"/>
      <c r="AF25" s="104"/>
      <c r="AG25" s="107" t="s">
        <v>14</v>
      </c>
      <c r="AH25" s="256" t="s">
        <v>59</v>
      </c>
      <c r="AI25" s="257"/>
      <c r="AJ25" s="245"/>
      <c r="AK25" s="245"/>
      <c r="AL25" s="245"/>
      <c r="AM25"/>
      <c r="AN25"/>
      <c r="AO25"/>
      <c r="AP25"/>
      <c r="AQ25" s="1" t="s">
        <v>15</v>
      </c>
      <c r="AR25" s="1"/>
      <c r="AS25" s="1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</row>
    <row r="26" spans="1:87" s="2" customFormat="1" ht="14.45" customHeight="1" x14ac:dyDescent="0.25">
      <c r="A26" s="82"/>
      <c r="B26" s="82"/>
      <c r="C26" s="108" t="str">
        <f t="shared" si="4"/>
        <v>D2</v>
      </c>
      <c r="D26" s="275">
        <f t="shared" si="4"/>
        <v>0.29166666666666669</v>
      </c>
      <c r="E26" s="275"/>
      <c r="F26" s="33" t="s">
        <v>11</v>
      </c>
      <c r="G26" s="276">
        <f t="shared" si="5"/>
        <v>0.79166666666666663</v>
      </c>
      <c r="H26" s="276"/>
      <c r="I26" s="105"/>
      <c r="J26" s="107" t="str">
        <f t="shared" si="6"/>
        <v>P</v>
      </c>
      <c r="K26" s="280">
        <f t="shared" si="6"/>
        <v>0.5</v>
      </c>
      <c r="L26" s="278"/>
      <c r="M26" s="110" t="s">
        <v>11</v>
      </c>
      <c r="N26" s="280">
        <f>V37</f>
        <v>0.83333333333333337</v>
      </c>
      <c r="O26" s="279"/>
      <c r="P26" s="32"/>
      <c r="Q26" s="107" t="str">
        <f>R40</f>
        <v>I</v>
      </c>
      <c r="R26" s="280"/>
      <c r="S26" s="280"/>
      <c r="T26" s="109" t="s">
        <v>11</v>
      </c>
      <c r="U26" s="280"/>
      <c r="V26" s="280"/>
      <c r="W26" s="281"/>
      <c r="X26" s="280"/>
      <c r="Y26" s="109" t="s">
        <v>11</v>
      </c>
      <c r="Z26" s="284"/>
      <c r="AA26" s="283"/>
      <c r="AB26" s="106"/>
      <c r="AC26" s="80"/>
      <c r="AD26" s="104"/>
      <c r="AE26" s="104"/>
      <c r="AF26" s="104"/>
      <c r="AG26" s="107" t="s">
        <v>16</v>
      </c>
      <c r="AH26" s="256" t="s">
        <v>42</v>
      </c>
      <c r="AI26" s="257"/>
      <c r="AJ26" s="245"/>
      <c r="AK26" s="245"/>
      <c r="AL26" s="245"/>
      <c r="AM26"/>
      <c r="AN26"/>
      <c r="AO26"/>
      <c r="AP26"/>
      <c r="AQ26" s="1" t="s">
        <v>17</v>
      </c>
      <c r="AR26" s="1"/>
      <c r="AS26" s="1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</row>
    <row r="27" spans="1:87" s="2" customFormat="1" ht="14.45" customHeight="1" x14ac:dyDescent="0.25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82"/>
      <c r="Z27" s="82"/>
      <c r="AA27" s="82"/>
      <c r="AB27" s="82"/>
      <c r="AC27" s="82"/>
      <c r="AD27" s="82"/>
      <c r="AE27" s="262"/>
      <c r="AF27" s="262"/>
      <c r="AG27" s="82"/>
      <c r="AH27" s="82"/>
      <c r="AI27" s="82"/>
      <c r="AJ27" s="32"/>
      <c r="AK27" s="32"/>
      <c r="AL27" s="32"/>
    </row>
    <row r="28" spans="1:87" s="2" customFormat="1" ht="14.45" customHeight="1" x14ac:dyDescent="0.25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32"/>
      <c r="AK28" s="32"/>
      <c r="AL28" s="32"/>
    </row>
    <row r="29" spans="1:87" s="2" customFormat="1" ht="14.45" customHeight="1" x14ac:dyDescent="0.25">
      <c r="A29" s="82"/>
      <c r="B29" s="81" t="s">
        <v>18</v>
      </c>
      <c r="C29" s="251" t="str">
        <f>E43</f>
        <v xml:space="preserve">*Aquí notas que se vean en el cuadrante... </v>
      </c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  <c r="AA29" s="251"/>
      <c r="AB29" s="251"/>
      <c r="AC29" s="251"/>
      <c r="AD29" s="251"/>
      <c r="AE29" s="251"/>
      <c r="AF29" s="251"/>
      <c r="AG29" s="251"/>
      <c r="AH29" s="251"/>
      <c r="AI29" s="251"/>
      <c r="AJ29" s="251"/>
      <c r="AK29" s="32"/>
      <c r="AL29" s="32"/>
    </row>
    <row r="30" spans="1:87" s="2" customFormat="1" ht="19.5" customHeight="1" x14ac:dyDescent="0.35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32"/>
      <c r="AK30" s="32"/>
      <c r="AL30" s="32"/>
      <c r="AN30" s="5" t="s">
        <v>19</v>
      </c>
      <c r="AO30" s="5"/>
      <c r="AP30" s="5" t="s">
        <v>20</v>
      </c>
      <c r="AQ30" s="5" t="s">
        <v>21</v>
      </c>
      <c r="AR30" s="5"/>
      <c r="AS30" s="5"/>
      <c r="AT30" s="5"/>
      <c r="AU30" s="5"/>
      <c r="AV30" s="5"/>
      <c r="AW30" s="5"/>
      <c r="AX30" s="5" t="s">
        <v>22</v>
      </c>
      <c r="AY30" s="5"/>
      <c r="AZ30" s="5" t="s">
        <v>23</v>
      </c>
      <c r="BA30" s="5"/>
      <c r="BB30" s="5"/>
      <c r="BC30" s="5"/>
      <c r="BD30" s="5" t="s">
        <v>24</v>
      </c>
    </row>
    <row r="31" spans="1:87" s="2" customFormat="1" ht="19.5" customHeight="1" x14ac:dyDescent="0.25">
      <c r="A31" s="252" t="s">
        <v>25</v>
      </c>
      <c r="B31" s="252"/>
      <c r="C31" s="252"/>
      <c r="D31" s="252"/>
      <c r="E31" s="252"/>
      <c r="F31" s="252"/>
      <c r="G31" s="252"/>
      <c r="H31" s="252"/>
      <c r="I31" s="252"/>
      <c r="J31" s="252"/>
      <c r="K31" s="252"/>
      <c r="L31" s="252"/>
      <c r="M31" s="252"/>
      <c r="N31" s="252"/>
      <c r="O31" s="114"/>
      <c r="P31" s="114"/>
      <c r="Q31" s="114"/>
      <c r="R31" s="252" t="s">
        <v>9</v>
      </c>
      <c r="S31" s="252"/>
      <c r="T31" s="252"/>
      <c r="U31" s="252"/>
      <c r="V31" s="252"/>
      <c r="W31" s="252"/>
      <c r="X31" s="115"/>
      <c r="Y31" s="115"/>
      <c r="Z31" s="115"/>
      <c r="AA31" s="115"/>
      <c r="AB31" s="115"/>
      <c r="AC31" s="116"/>
      <c r="AD31" s="253" t="s">
        <v>26</v>
      </c>
      <c r="AE31" s="253"/>
      <c r="AF31" s="253"/>
      <c r="AG31" s="253"/>
      <c r="AH31" s="253"/>
      <c r="AI31" s="253"/>
      <c r="AJ31" s="114"/>
      <c r="AK31" s="212" t="s">
        <v>6</v>
      </c>
      <c r="AL31" s="114"/>
      <c r="AN31" s="97" t="s">
        <v>27</v>
      </c>
      <c r="AO31" s="97" t="s">
        <v>28</v>
      </c>
      <c r="AP31" s="97" t="s">
        <v>29</v>
      </c>
      <c r="AQ31" s="97" t="s">
        <v>30</v>
      </c>
      <c r="AR31" s="261" t="s">
        <v>31</v>
      </c>
      <c r="AS31" s="261"/>
      <c r="AT31" s="261"/>
      <c r="AU31" s="261"/>
      <c r="AV31" s="261"/>
      <c r="AW31" s="261"/>
      <c r="AX31" s="261"/>
      <c r="AY31" s="261"/>
      <c r="AZ31" s="261"/>
      <c r="BA31" s="97" t="s">
        <v>32</v>
      </c>
      <c r="BB31" s="260" t="s">
        <v>33</v>
      </c>
      <c r="BC31" s="260"/>
      <c r="BD31" s="103" t="s">
        <v>34</v>
      </c>
      <c r="BE31" s="56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</row>
    <row r="32" spans="1:87" s="2" customFormat="1" ht="19.5" customHeight="1" x14ac:dyDescent="0.25">
      <c r="A32" s="238" t="s">
        <v>35</v>
      </c>
      <c r="B32" s="238"/>
      <c r="C32" s="242" t="str">
        <f>CONTROL!B34</f>
        <v>EMPRESA</v>
      </c>
      <c r="D32" s="242"/>
      <c r="E32" s="242"/>
      <c r="F32" s="242"/>
      <c r="G32" s="242"/>
      <c r="H32" s="242"/>
      <c r="I32" s="242"/>
      <c r="J32" s="242"/>
      <c r="K32" s="242"/>
      <c r="L32" s="242"/>
      <c r="M32" s="242"/>
      <c r="N32" s="242"/>
      <c r="O32" s="114"/>
      <c r="P32" s="114"/>
      <c r="Q32" s="117"/>
      <c r="R32" s="85" t="s">
        <v>150</v>
      </c>
      <c r="S32" s="240">
        <v>0.25</v>
      </c>
      <c r="T32" s="240"/>
      <c r="U32" s="118" t="s">
        <v>11</v>
      </c>
      <c r="V32" s="241">
        <v>0.75</v>
      </c>
      <c r="W32" s="241"/>
      <c r="X32" s="115"/>
      <c r="Y32" s="115"/>
      <c r="Z32" s="115"/>
      <c r="AA32" s="115"/>
      <c r="AB32" s="115"/>
      <c r="AC32" s="116"/>
      <c r="AD32" s="250" t="s">
        <v>36</v>
      </c>
      <c r="AE32" s="250"/>
      <c r="AF32" s="250"/>
      <c r="AG32" s="250"/>
      <c r="AH32" s="86">
        <v>0.5</v>
      </c>
      <c r="AI32" s="254">
        <f>AH32/24</f>
        <v>2.0833333333333332E-2</v>
      </c>
      <c r="AJ32" s="255"/>
      <c r="AK32" s="217">
        <f>AH49</f>
        <v>0</v>
      </c>
      <c r="AL32" s="214" t="s">
        <v>90</v>
      </c>
      <c r="AM32" s="9"/>
      <c r="AN32" s="34">
        <f t="shared" ref="AN32:AN40" si="7">IF(AS32/24=0,0,AS32/24)</f>
        <v>0</v>
      </c>
      <c r="AO32" s="35">
        <f t="shared" ref="AO32:AO40" si="8">IF(BA32=0,"",BA32)</f>
        <v>0.5</v>
      </c>
      <c r="AP32" s="36">
        <f t="shared" ref="AP32:AP39" si="9">S32*24</f>
        <v>6</v>
      </c>
      <c r="AQ32" s="36">
        <f t="shared" ref="AQ32:AQ40" si="10">V32*24</f>
        <v>18</v>
      </c>
      <c r="AR32" s="36">
        <f t="shared" ref="AR32:AR40" si="11">AS32</f>
        <v>0</v>
      </c>
      <c r="AS32" s="37">
        <f t="shared" ref="AS32:AS40" si="12">IF(AV32&gt;=4,AT32,AT32)</f>
        <v>0</v>
      </c>
      <c r="AT32" s="38">
        <f t="shared" ref="AT32:AT40" si="13">IF(AV32&gt;8,8,AU32)</f>
        <v>0</v>
      </c>
      <c r="AU32" s="39">
        <f t="shared" ref="AU32:AU40" si="14">IF(AV32&lt;0,0,AV32)</f>
        <v>0</v>
      </c>
      <c r="AV32" s="40">
        <f t="shared" ref="AV32:AV40" si="15">IF(AP32=AQ32,0,IF(AP32&gt;AQ32,AW32,IF(AP32&gt;=6,AX32,AQ32-AP32)))</f>
        <v>-12</v>
      </c>
      <c r="AW32" s="36">
        <f t="shared" ref="AW32:AW40" si="16">IF(AP32&lt;6,(AQ32-22+24)+(6-AP32),IF(AP32&gt;=22,AY32,IF(AV2&lt;=6,(AQ32-22)+24,8)))</f>
        <v>20</v>
      </c>
      <c r="AX32" s="41">
        <f t="shared" ref="AX32:AX40" si="17">IF(AQ32&gt;22,AZ32,IF(AP32&lt;AQ32,AP32-AQ32,IF(AP32&gt;6,0,(6-AP32))))</f>
        <v>-12</v>
      </c>
      <c r="AY32" s="36">
        <f t="shared" ref="AY32:AY40" si="18">IF(AQ32&lt;=6,(AQ32-AP32)+24,IF(AQ32&gt;22,8,(6-AP32)+24))</f>
        <v>24</v>
      </c>
      <c r="AZ32" s="42">
        <f t="shared" ref="AZ32:AZ40" si="19">IF(AP32&lt;=6,(6-AP32)+(AQ32-22),IF(AP32&gt;22,(AQ32-AP32),(AQ32-22)))</f>
        <v>-4</v>
      </c>
      <c r="BA32" s="36">
        <f t="shared" ref="BA32:BA40" si="20">IF(V32-S32&gt;=0,V32-S32,V32-S32+24)</f>
        <v>0.5</v>
      </c>
      <c r="BB32" s="36">
        <f t="shared" ref="BB32:BB40" si="21">IF(AO32&lt;1,AO32*24,(AO32-24)*24)</f>
        <v>12</v>
      </c>
      <c r="BC32" s="36">
        <f t="shared" ref="BC32:BC40" si="22">IF(BB32&gt;=0,BB32,BB32+24)</f>
        <v>12</v>
      </c>
      <c r="BD32" s="43">
        <f t="shared" ref="BD32:BD40" si="23">IF(AX32&lt;=0,AN32,IF(AX32&gt;=0.1,AX32/24))</f>
        <v>0</v>
      </c>
      <c r="BE32" s="44" t="str">
        <f t="shared" ref="BE32:BE34" si="24">IF(BD38&gt;=4,IF(BD38="",0,8),IF(BD38&gt;=0.1,IF(BD38="",0,BD38),""))</f>
        <v/>
      </c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</row>
    <row r="33" spans="1:80" s="2" customFormat="1" ht="19.5" customHeight="1" x14ac:dyDescent="0.25">
      <c r="A33" s="238" t="s">
        <v>37</v>
      </c>
      <c r="B33" s="238"/>
      <c r="C33" s="242" t="str">
        <f>CONTROL!B35</f>
        <v>CENTRO</v>
      </c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114"/>
      <c r="P33" s="114"/>
      <c r="Q33" s="117"/>
      <c r="R33" s="85" t="s">
        <v>152</v>
      </c>
      <c r="S33" s="240">
        <v>0.75</v>
      </c>
      <c r="T33" s="240"/>
      <c r="U33" s="118" t="s">
        <v>11</v>
      </c>
      <c r="V33" s="241">
        <v>0.25</v>
      </c>
      <c r="W33" s="241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4"/>
      <c r="AK33" s="217">
        <f>AH60</f>
        <v>0</v>
      </c>
      <c r="AL33" s="214" t="s">
        <v>138</v>
      </c>
      <c r="AM33" s="9"/>
      <c r="AN33" s="35">
        <f t="shared" si="7"/>
        <v>0.33333333333333331</v>
      </c>
      <c r="AO33" s="35">
        <f t="shared" si="8"/>
        <v>23.5</v>
      </c>
      <c r="AP33" s="36">
        <f t="shared" si="9"/>
        <v>18</v>
      </c>
      <c r="AQ33" s="36">
        <f t="shared" si="10"/>
        <v>6</v>
      </c>
      <c r="AR33" s="36">
        <f t="shared" si="11"/>
        <v>8</v>
      </c>
      <c r="AS33" s="37">
        <f t="shared" si="12"/>
        <v>8</v>
      </c>
      <c r="AT33" s="38">
        <f t="shared" si="13"/>
        <v>8</v>
      </c>
      <c r="AU33" s="39">
        <f t="shared" si="14"/>
        <v>8</v>
      </c>
      <c r="AV33" s="36">
        <f t="shared" si="15"/>
        <v>8</v>
      </c>
      <c r="AW33" s="36">
        <f t="shared" si="16"/>
        <v>8</v>
      </c>
      <c r="AX33" s="41">
        <f t="shared" si="17"/>
        <v>0</v>
      </c>
      <c r="AY33" s="36">
        <f t="shared" si="18"/>
        <v>12</v>
      </c>
      <c r="AZ33" s="36">
        <f t="shared" si="19"/>
        <v>-16</v>
      </c>
      <c r="BA33" s="36">
        <f t="shared" si="20"/>
        <v>23.5</v>
      </c>
      <c r="BB33" s="36">
        <f t="shared" si="21"/>
        <v>-12</v>
      </c>
      <c r="BC33" s="36">
        <f t="shared" si="22"/>
        <v>12</v>
      </c>
      <c r="BD33" s="43">
        <f t="shared" si="23"/>
        <v>0.33333333333333331</v>
      </c>
      <c r="BE33" s="44" t="str">
        <f t="shared" si="24"/>
        <v/>
      </c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</row>
    <row r="34" spans="1:80" s="2" customFormat="1" ht="19.5" customHeight="1" x14ac:dyDescent="0.35">
      <c r="A34" s="238" t="s">
        <v>38</v>
      </c>
      <c r="B34" s="238"/>
      <c r="C34" s="242">
        <v>2025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114"/>
      <c r="P34" s="114"/>
      <c r="Q34" s="117"/>
      <c r="R34" s="85" t="s">
        <v>151</v>
      </c>
      <c r="S34" s="240">
        <v>0.29166666666666669</v>
      </c>
      <c r="T34" s="240"/>
      <c r="U34" s="118" t="s">
        <v>11</v>
      </c>
      <c r="V34" s="241">
        <v>0.79166666666666663</v>
      </c>
      <c r="W34" s="241"/>
      <c r="X34" s="115"/>
      <c r="Y34" s="119"/>
      <c r="Z34" s="119"/>
      <c r="AA34" s="119"/>
      <c r="AB34" s="119"/>
      <c r="AC34" s="119"/>
      <c r="AD34" s="119"/>
      <c r="AE34" s="115"/>
      <c r="AF34" s="115"/>
      <c r="AG34" s="115"/>
      <c r="AH34" s="115"/>
      <c r="AI34" s="115"/>
      <c r="AJ34" s="115"/>
      <c r="AK34" s="217">
        <f>AH71</f>
        <v>0</v>
      </c>
      <c r="AL34" s="214" t="s">
        <v>139</v>
      </c>
      <c r="AM34" s="9"/>
      <c r="AN34" s="35">
        <f t="shared" si="7"/>
        <v>0</v>
      </c>
      <c r="AO34" s="35">
        <f t="shared" si="8"/>
        <v>0.49999999999999994</v>
      </c>
      <c r="AP34" s="36">
        <f t="shared" si="9"/>
        <v>7</v>
      </c>
      <c r="AQ34" s="36">
        <f t="shared" si="10"/>
        <v>19</v>
      </c>
      <c r="AR34" s="36">
        <f t="shared" si="11"/>
        <v>0</v>
      </c>
      <c r="AS34" s="37">
        <f t="shared" si="12"/>
        <v>0</v>
      </c>
      <c r="AT34" s="38">
        <f t="shared" si="13"/>
        <v>0</v>
      </c>
      <c r="AU34" s="39">
        <f t="shared" si="14"/>
        <v>0</v>
      </c>
      <c r="AV34" s="36">
        <f t="shared" si="15"/>
        <v>-12</v>
      </c>
      <c r="AW34" s="36">
        <f t="shared" si="16"/>
        <v>21</v>
      </c>
      <c r="AX34" s="41">
        <f t="shared" si="17"/>
        <v>-12</v>
      </c>
      <c r="AY34" s="36">
        <f t="shared" si="18"/>
        <v>23</v>
      </c>
      <c r="AZ34" s="36">
        <f t="shared" si="19"/>
        <v>-3</v>
      </c>
      <c r="BA34" s="36">
        <f t="shared" si="20"/>
        <v>0.49999999999999994</v>
      </c>
      <c r="BB34" s="36">
        <f t="shared" si="21"/>
        <v>11.999999999999998</v>
      </c>
      <c r="BC34" s="36">
        <f t="shared" si="22"/>
        <v>11.999999999999998</v>
      </c>
      <c r="BD34" s="43">
        <f t="shared" si="23"/>
        <v>0</v>
      </c>
      <c r="BE34" s="44" t="str">
        <f t="shared" si="24"/>
        <v/>
      </c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</row>
    <row r="35" spans="1:80" s="2" customFormat="1" ht="19.5" customHeight="1" x14ac:dyDescent="0.25">
      <c r="A35" s="238" t="s">
        <v>39</v>
      </c>
      <c r="B35" s="238"/>
      <c r="C35" s="242">
        <v>8</v>
      </c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114"/>
      <c r="P35" s="114"/>
      <c r="Q35" s="117"/>
      <c r="R35" s="85" t="s">
        <v>153</v>
      </c>
      <c r="S35" s="240">
        <v>0.79166666666666663</v>
      </c>
      <c r="T35" s="240"/>
      <c r="U35" s="118" t="s">
        <v>11</v>
      </c>
      <c r="V35" s="241">
        <v>0.29166666666666669</v>
      </c>
      <c r="W35" s="241"/>
      <c r="X35" s="115"/>
      <c r="Y35" s="120"/>
      <c r="Z35" s="220"/>
      <c r="AA35" s="121"/>
      <c r="AB35" s="120"/>
      <c r="AC35" s="121"/>
      <c r="AD35" s="121"/>
      <c r="AE35" s="115"/>
      <c r="AF35" s="115"/>
      <c r="AG35" s="115"/>
      <c r="AH35" s="115"/>
      <c r="AI35" s="115"/>
      <c r="AJ35" s="115"/>
      <c r="AK35" s="217">
        <f>AH82</f>
        <v>0</v>
      </c>
      <c r="AL35" s="214" t="s">
        <v>140</v>
      </c>
      <c r="AM35" s="9"/>
      <c r="AN35" s="35">
        <f t="shared" si="7"/>
        <v>0.33333333333333331</v>
      </c>
      <c r="AO35" s="35">
        <f t="shared" si="8"/>
        <v>23.5</v>
      </c>
      <c r="AP35" s="36">
        <f t="shared" si="9"/>
        <v>19</v>
      </c>
      <c r="AQ35" s="36">
        <f t="shared" si="10"/>
        <v>7</v>
      </c>
      <c r="AR35" s="36">
        <f t="shared" si="11"/>
        <v>8</v>
      </c>
      <c r="AS35" s="37">
        <f t="shared" si="12"/>
        <v>8</v>
      </c>
      <c r="AT35" s="38">
        <f t="shared" si="13"/>
        <v>8</v>
      </c>
      <c r="AU35" s="39">
        <f t="shared" si="14"/>
        <v>9</v>
      </c>
      <c r="AV35" s="36">
        <f t="shared" si="15"/>
        <v>9</v>
      </c>
      <c r="AW35" s="36">
        <f t="shared" si="16"/>
        <v>9</v>
      </c>
      <c r="AX35" s="41">
        <f t="shared" si="17"/>
        <v>0</v>
      </c>
      <c r="AY35" s="36">
        <f t="shared" si="18"/>
        <v>11</v>
      </c>
      <c r="AZ35" s="36">
        <f t="shared" si="19"/>
        <v>-15</v>
      </c>
      <c r="BA35" s="36">
        <f t="shared" si="20"/>
        <v>23.5</v>
      </c>
      <c r="BB35" s="36">
        <f t="shared" si="21"/>
        <v>-12</v>
      </c>
      <c r="BC35" s="36">
        <f t="shared" si="22"/>
        <v>12</v>
      </c>
      <c r="BD35" s="43">
        <f t="shared" si="23"/>
        <v>0.33333333333333331</v>
      </c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</row>
    <row r="36" spans="1:80" s="2" customFormat="1" ht="19.5" customHeight="1" x14ac:dyDescent="0.25">
      <c r="A36" s="238" t="s">
        <v>40</v>
      </c>
      <c r="B36" s="238"/>
      <c r="C36" s="239">
        <v>5.22</v>
      </c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114"/>
      <c r="P36" s="114"/>
      <c r="Q36" s="117"/>
      <c r="R36" s="85" t="s">
        <v>154</v>
      </c>
      <c r="S36" s="240">
        <v>0.91666666666666663</v>
      </c>
      <c r="T36" s="240"/>
      <c r="U36" s="118" t="s">
        <v>11</v>
      </c>
      <c r="V36" s="241">
        <v>0.25</v>
      </c>
      <c r="W36" s="241"/>
      <c r="X36" s="115"/>
      <c r="Y36" s="120"/>
      <c r="Z36" s="121"/>
      <c r="AA36" s="121"/>
      <c r="AB36" s="120"/>
      <c r="AC36" s="121"/>
      <c r="AD36" s="121"/>
      <c r="AE36" s="115"/>
      <c r="AF36" s="115"/>
      <c r="AG36" s="115"/>
      <c r="AH36" s="115"/>
      <c r="AI36" s="115"/>
      <c r="AJ36" s="115"/>
      <c r="AK36" s="217">
        <f>AH93</f>
        <v>0</v>
      </c>
      <c r="AL36" s="214" t="s">
        <v>141</v>
      </c>
      <c r="AM36" s="9"/>
      <c r="AN36" s="35">
        <f t="shared" si="7"/>
        <v>0.33333333333333331</v>
      </c>
      <c r="AO36" s="35">
        <f t="shared" si="8"/>
        <v>23.333333333333332</v>
      </c>
      <c r="AP36" s="36">
        <f t="shared" si="9"/>
        <v>22</v>
      </c>
      <c r="AQ36" s="36">
        <f t="shared" si="10"/>
        <v>6</v>
      </c>
      <c r="AR36" s="36">
        <f t="shared" si="11"/>
        <v>8</v>
      </c>
      <c r="AS36" s="37">
        <f t="shared" si="12"/>
        <v>8</v>
      </c>
      <c r="AT36" s="38">
        <f t="shared" si="13"/>
        <v>8</v>
      </c>
      <c r="AU36" s="39">
        <f t="shared" si="14"/>
        <v>8</v>
      </c>
      <c r="AV36" s="36">
        <f t="shared" si="15"/>
        <v>8</v>
      </c>
      <c r="AW36" s="36">
        <f t="shared" si="16"/>
        <v>8</v>
      </c>
      <c r="AX36" s="41">
        <f t="shared" si="17"/>
        <v>0</v>
      </c>
      <c r="AY36" s="36">
        <f t="shared" si="18"/>
        <v>8</v>
      </c>
      <c r="AZ36" s="36">
        <f t="shared" si="19"/>
        <v>-16</v>
      </c>
      <c r="BA36" s="36">
        <f t="shared" si="20"/>
        <v>23.333333333333332</v>
      </c>
      <c r="BB36" s="36">
        <f t="shared" si="21"/>
        <v>-16.000000000000028</v>
      </c>
      <c r="BC36" s="36">
        <f t="shared" si="22"/>
        <v>7.9999999999999716</v>
      </c>
      <c r="BD36" s="43">
        <f t="shared" si="23"/>
        <v>0.33333333333333331</v>
      </c>
      <c r="BE36" s="1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</row>
    <row r="37" spans="1:80" s="2" customFormat="1" ht="19.5" customHeight="1" x14ac:dyDescent="0.25">
      <c r="A37" s="238" t="s">
        <v>41</v>
      </c>
      <c r="B37" s="238"/>
      <c r="C37" s="239">
        <v>162</v>
      </c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116"/>
      <c r="P37" s="116"/>
      <c r="Q37" s="117"/>
      <c r="R37" s="85" t="s">
        <v>167</v>
      </c>
      <c r="S37" s="240">
        <v>0.5</v>
      </c>
      <c r="T37" s="240"/>
      <c r="U37" s="118" t="s">
        <v>11</v>
      </c>
      <c r="V37" s="241">
        <v>0.83333333333333337</v>
      </c>
      <c r="W37" s="241"/>
      <c r="X37" s="115"/>
      <c r="Y37" s="120"/>
      <c r="Z37" s="121"/>
      <c r="AA37" s="121"/>
      <c r="AB37" s="120"/>
      <c r="AC37" s="121"/>
      <c r="AD37" s="121"/>
      <c r="AE37" s="115"/>
      <c r="AF37" s="115"/>
      <c r="AG37" s="115"/>
      <c r="AH37" s="115"/>
      <c r="AI37" s="115"/>
      <c r="AJ37" s="116"/>
      <c r="AK37" s="217">
        <f>AH104</f>
        <v>0</v>
      </c>
      <c r="AL37" s="214" t="s">
        <v>142</v>
      </c>
      <c r="AM37" s="9"/>
      <c r="AN37" s="35">
        <f t="shared" si="7"/>
        <v>0</v>
      </c>
      <c r="AO37" s="35">
        <f t="shared" si="8"/>
        <v>0.33333333333333337</v>
      </c>
      <c r="AP37" s="36">
        <f t="shared" si="9"/>
        <v>12</v>
      </c>
      <c r="AQ37" s="36">
        <f t="shared" si="10"/>
        <v>20</v>
      </c>
      <c r="AR37" s="36">
        <f t="shared" si="11"/>
        <v>0</v>
      </c>
      <c r="AS37" s="37">
        <f t="shared" si="12"/>
        <v>0</v>
      </c>
      <c r="AT37" s="38">
        <f t="shared" si="13"/>
        <v>0</v>
      </c>
      <c r="AU37" s="39">
        <f t="shared" si="14"/>
        <v>0</v>
      </c>
      <c r="AV37" s="36">
        <f t="shared" si="15"/>
        <v>-8</v>
      </c>
      <c r="AW37" s="36">
        <f t="shared" si="16"/>
        <v>22</v>
      </c>
      <c r="AX37" s="41">
        <f t="shared" si="17"/>
        <v>-8</v>
      </c>
      <c r="AY37" s="36">
        <f t="shared" si="18"/>
        <v>18</v>
      </c>
      <c r="AZ37" s="36">
        <f t="shared" si="19"/>
        <v>-2</v>
      </c>
      <c r="BA37" s="36">
        <f t="shared" si="20"/>
        <v>0.33333333333333337</v>
      </c>
      <c r="BB37" s="36">
        <f t="shared" si="21"/>
        <v>8</v>
      </c>
      <c r="BC37" s="36">
        <f t="shared" si="22"/>
        <v>8</v>
      </c>
      <c r="BD37" s="43">
        <f t="shared" si="23"/>
        <v>0</v>
      </c>
      <c r="BE37" s="1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</row>
    <row r="38" spans="1:80" s="2" customFormat="1" ht="20.100000000000001" customHeight="1" x14ac:dyDescent="0.25">
      <c r="A38" s="238" t="s">
        <v>42</v>
      </c>
      <c r="B38" s="238"/>
      <c r="C38" s="239">
        <v>0</v>
      </c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122"/>
      <c r="P38" s="122"/>
      <c r="Q38" s="115"/>
      <c r="R38" s="197" t="str">
        <f>CONTROL!F41</f>
        <v>G</v>
      </c>
      <c r="S38" s="222">
        <f>CONTROL!G41</f>
        <v>0.29166666666666669</v>
      </c>
      <c r="T38" s="222"/>
      <c r="U38" s="118" t="s">
        <v>11</v>
      </c>
      <c r="V38" s="223">
        <f>CONTROL!H41</f>
        <v>0.33333333333333331</v>
      </c>
      <c r="W38" s="223"/>
      <c r="X38" s="115"/>
      <c r="Y38" s="120"/>
      <c r="Z38" s="121"/>
      <c r="AA38" s="121"/>
      <c r="AB38" s="120"/>
      <c r="AC38" s="121"/>
      <c r="AD38" s="121"/>
      <c r="AE38" s="116"/>
      <c r="AF38" s="116"/>
      <c r="AG38" s="116"/>
      <c r="AH38" s="116"/>
      <c r="AI38" s="116"/>
      <c r="AJ38" s="114"/>
      <c r="AK38" s="217">
        <f>AH115</f>
        <v>0</v>
      </c>
      <c r="AL38" s="214" t="s">
        <v>143</v>
      </c>
      <c r="AN38" s="35">
        <f t="shared" si="7"/>
        <v>0</v>
      </c>
      <c r="AO38" s="35">
        <f t="shared" si="8"/>
        <v>4.166666666666663E-2</v>
      </c>
      <c r="AP38" s="36">
        <f t="shared" si="9"/>
        <v>7</v>
      </c>
      <c r="AQ38" s="36">
        <f t="shared" si="10"/>
        <v>8</v>
      </c>
      <c r="AR38" s="36">
        <f t="shared" si="11"/>
        <v>0</v>
      </c>
      <c r="AS38" s="37">
        <f t="shared" si="12"/>
        <v>0</v>
      </c>
      <c r="AT38" s="38">
        <f t="shared" si="13"/>
        <v>0</v>
      </c>
      <c r="AU38" s="39">
        <f t="shared" si="14"/>
        <v>0</v>
      </c>
      <c r="AV38" s="36">
        <f t="shared" si="15"/>
        <v>-1</v>
      </c>
      <c r="AW38" s="36">
        <f t="shared" si="16"/>
        <v>10</v>
      </c>
      <c r="AX38" s="41">
        <f t="shared" si="17"/>
        <v>-1</v>
      </c>
      <c r="AY38" s="36">
        <f t="shared" si="18"/>
        <v>23</v>
      </c>
      <c r="AZ38" s="36">
        <f t="shared" si="19"/>
        <v>-14</v>
      </c>
      <c r="BA38" s="36">
        <f t="shared" si="20"/>
        <v>4.166666666666663E-2</v>
      </c>
      <c r="BB38" s="36">
        <f t="shared" si="21"/>
        <v>0.99999999999999911</v>
      </c>
      <c r="BC38" s="36">
        <f t="shared" si="22"/>
        <v>0.99999999999999911</v>
      </c>
      <c r="BD38" s="43">
        <f t="shared" si="23"/>
        <v>0</v>
      </c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</row>
    <row r="39" spans="1:80" s="2" customFormat="1" ht="20.100000000000001" customHeight="1" x14ac:dyDescent="0.25">
      <c r="A39" s="123"/>
      <c r="B39" s="116"/>
      <c r="C39" s="124"/>
      <c r="D39" s="116"/>
      <c r="E39" s="116"/>
      <c r="F39" s="116"/>
      <c r="G39" s="116"/>
      <c r="H39" s="116"/>
      <c r="I39" s="116"/>
      <c r="J39" s="116"/>
      <c r="K39" s="116"/>
      <c r="L39" s="122"/>
      <c r="M39" s="122"/>
      <c r="N39" s="125"/>
      <c r="O39" s="122"/>
      <c r="P39" s="122"/>
      <c r="Q39" s="115"/>
      <c r="R39" s="197" t="str">
        <f>CONTROL!F42</f>
        <v>H</v>
      </c>
      <c r="S39" s="222">
        <f>CONTROL!G42</f>
        <v>0.33333333333333331</v>
      </c>
      <c r="T39" s="222"/>
      <c r="U39" s="118" t="s">
        <v>11</v>
      </c>
      <c r="V39" s="223">
        <f>CONTROL!H42</f>
        <v>0.375</v>
      </c>
      <c r="W39" s="223"/>
      <c r="X39" s="115"/>
      <c r="Y39" s="120"/>
      <c r="Z39" s="121"/>
      <c r="AA39" s="121"/>
      <c r="AB39" s="120"/>
      <c r="AC39" s="121"/>
      <c r="AD39" s="121"/>
      <c r="AE39" s="116"/>
      <c r="AF39" s="116"/>
      <c r="AG39" s="116"/>
      <c r="AH39" s="116"/>
      <c r="AI39" s="116"/>
      <c r="AJ39" s="114"/>
      <c r="AK39" s="217">
        <f>AH126</f>
        <v>0</v>
      </c>
      <c r="AL39" s="214" t="s">
        <v>144</v>
      </c>
      <c r="AN39" s="35">
        <f t="shared" si="7"/>
        <v>0</v>
      </c>
      <c r="AO39" s="35">
        <f t="shared" si="8"/>
        <v>4.1666666666666685E-2</v>
      </c>
      <c r="AP39" s="36">
        <f t="shared" si="9"/>
        <v>8</v>
      </c>
      <c r="AQ39" s="36">
        <f t="shared" si="10"/>
        <v>9</v>
      </c>
      <c r="AR39" s="36">
        <f t="shared" si="11"/>
        <v>0</v>
      </c>
      <c r="AS39" s="37">
        <f t="shared" si="12"/>
        <v>0</v>
      </c>
      <c r="AT39" s="38">
        <f t="shared" si="13"/>
        <v>0</v>
      </c>
      <c r="AU39" s="39">
        <f t="shared" si="14"/>
        <v>0</v>
      </c>
      <c r="AV39" s="36">
        <f t="shared" si="15"/>
        <v>-1</v>
      </c>
      <c r="AW39" s="36">
        <f t="shared" si="16"/>
        <v>11</v>
      </c>
      <c r="AX39" s="41">
        <f t="shared" si="17"/>
        <v>-1</v>
      </c>
      <c r="AY39" s="36">
        <f t="shared" si="18"/>
        <v>22</v>
      </c>
      <c r="AZ39" s="36">
        <f t="shared" si="19"/>
        <v>-13</v>
      </c>
      <c r="BA39" s="36">
        <f t="shared" si="20"/>
        <v>4.1666666666666685E-2</v>
      </c>
      <c r="BB39" s="36">
        <f t="shared" si="21"/>
        <v>1.0000000000000004</v>
      </c>
      <c r="BC39" s="36">
        <f t="shared" si="22"/>
        <v>1.0000000000000004</v>
      </c>
      <c r="BD39" s="43">
        <f t="shared" si="23"/>
        <v>0</v>
      </c>
      <c r="BE39" s="31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</row>
    <row r="40" spans="1:80" s="2" customFormat="1" ht="20.100000000000001" customHeight="1" x14ac:dyDescent="0.25">
      <c r="A40" s="123"/>
      <c r="B40" s="116"/>
      <c r="C40" s="124"/>
      <c r="D40" s="116"/>
      <c r="E40" s="116"/>
      <c r="F40" s="116"/>
      <c r="G40" s="116"/>
      <c r="H40" s="116"/>
      <c r="I40" s="116"/>
      <c r="J40" s="116"/>
      <c r="K40" s="116"/>
      <c r="L40" s="122"/>
      <c r="M40" s="122"/>
      <c r="N40" s="125"/>
      <c r="O40" s="122"/>
      <c r="P40" s="122"/>
      <c r="Q40" s="115"/>
      <c r="R40" s="197" t="str">
        <f>CONTROL!F43</f>
        <v>I</v>
      </c>
      <c r="S40" s="222">
        <f>CONTROL!G43</f>
        <v>0.41666666666666669</v>
      </c>
      <c r="T40" s="222"/>
      <c r="U40" s="118" t="s">
        <v>11</v>
      </c>
      <c r="V40" s="223">
        <f>CONTROL!H43</f>
        <v>0.45833333333333331</v>
      </c>
      <c r="W40" s="223"/>
      <c r="X40" s="115"/>
      <c r="Y40" s="120"/>
      <c r="Z40" s="121"/>
      <c r="AA40" s="121"/>
      <c r="AB40" s="120"/>
      <c r="AC40" s="121"/>
      <c r="AD40" s="121"/>
      <c r="AE40" s="116"/>
      <c r="AF40" s="116"/>
      <c r="AG40" s="116"/>
      <c r="AH40" s="116"/>
      <c r="AI40" s="116"/>
      <c r="AJ40" s="114"/>
      <c r="AK40" s="217">
        <f>AH137</f>
        <v>0</v>
      </c>
      <c r="AL40" s="214" t="s">
        <v>145</v>
      </c>
      <c r="AN40" s="35">
        <f t="shared" si="7"/>
        <v>0</v>
      </c>
      <c r="AO40" s="35">
        <f t="shared" si="8"/>
        <v>4.166666666666663E-2</v>
      </c>
      <c r="AP40" s="36">
        <f>S40*24+24</f>
        <v>34</v>
      </c>
      <c r="AQ40" s="36">
        <f t="shared" si="10"/>
        <v>11</v>
      </c>
      <c r="AR40" s="36">
        <f t="shared" si="11"/>
        <v>0</v>
      </c>
      <c r="AS40" s="37">
        <f t="shared" si="12"/>
        <v>0</v>
      </c>
      <c r="AT40" s="38">
        <f t="shared" si="13"/>
        <v>0</v>
      </c>
      <c r="AU40" s="39">
        <f t="shared" si="14"/>
        <v>0</v>
      </c>
      <c r="AV40" s="36">
        <f t="shared" si="15"/>
        <v>-4</v>
      </c>
      <c r="AW40" s="36">
        <f t="shared" si="16"/>
        <v>-4</v>
      </c>
      <c r="AX40" s="41">
        <f t="shared" si="17"/>
        <v>0</v>
      </c>
      <c r="AY40" s="36">
        <f t="shared" si="18"/>
        <v>-4</v>
      </c>
      <c r="AZ40" s="36">
        <f t="shared" si="19"/>
        <v>-23</v>
      </c>
      <c r="BA40" s="36">
        <f t="shared" si="20"/>
        <v>4.166666666666663E-2</v>
      </c>
      <c r="BB40" s="36">
        <f t="shared" si="21"/>
        <v>0.99999999999999911</v>
      </c>
      <c r="BC40" s="36">
        <f t="shared" si="22"/>
        <v>0.99999999999999911</v>
      </c>
      <c r="BD40" s="43">
        <f t="shared" si="23"/>
        <v>0</v>
      </c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</row>
    <row r="41" spans="1:80" s="2" customFormat="1" ht="20.100000000000001" customHeight="1" x14ac:dyDescent="0.25">
      <c r="A41" s="123"/>
      <c r="B41" s="116"/>
      <c r="C41" s="124"/>
      <c r="D41" s="116"/>
      <c r="E41" s="116"/>
      <c r="F41" s="116"/>
      <c r="G41" s="116"/>
      <c r="H41" s="116"/>
      <c r="I41" s="116"/>
      <c r="J41" s="116"/>
      <c r="K41" s="116"/>
      <c r="L41" s="122"/>
      <c r="M41" s="122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6"/>
      <c r="AB41" s="116"/>
      <c r="AC41" s="116"/>
      <c r="AD41" s="116"/>
      <c r="AE41" s="116"/>
      <c r="AF41" s="116"/>
      <c r="AG41" s="116"/>
      <c r="AH41" s="116"/>
      <c r="AI41" s="116"/>
      <c r="AJ41" s="114"/>
      <c r="AK41" s="217">
        <f>AH148</f>
        <v>0</v>
      </c>
      <c r="AL41" s="214" t="s">
        <v>146</v>
      </c>
      <c r="AN41" s="10"/>
      <c r="AO41" s="10"/>
      <c r="AP41" s="46">
        <f>S41*24</f>
        <v>0</v>
      </c>
      <c r="AQ41" s="10"/>
      <c r="AR41" s="47">
        <v>1</v>
      </c>
      <c r="AS41" s="47">
        <v>2</v>
      </c>
      <c r="AT41" s="47">
        <v>3</v>
      </c>
      <c r="AU41" s="47">
        <v>4</v>
      </c>
      <c r="AV41" s="47">
        <v>5</v>
      </c>
      <c r="AW41" s="47">
        <v>6</v>
      </c>
      <c r="AX41" s="47">
        <v>7</v>
      </c>
      <c r="AY41" s="47">
        <v>8</v>
      </c>
      <c r="AZ41" s="47">
        <v>9</v>
      </c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</row>
    <row r="42" spans="1:80" ht="20.100000000000001" customHeight="1" x14ac:dyDescent="0.25">
      <c r="A42" s="116"/>
      <c r="B42" s="126"/>
      <c r="C42" s="224" t="s">
        <v>43</v>
      </c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5" t="str">
        <f>CONTROL!B38</f>
        <v>OSCAR ORGEIRA © 20.03.00 EXCEL</v>
      </c>
      <c r="X42" s="225"/>
      <c r="Y42" s="225"/>
      <c r="Z42" s="225"/>
      <c r="AA42" s="225"/>
      <c r="AB42" s="225"/>
      <c r="AC42" s="225"/>
      <c r="AD42" s="225"/>
      <c r="AE42" s="225"/>
      <c r="AF42" s="225"/>
      <c r="AG42" s="225"/>
      <c r="AH42" s="225"/>
      <c r="AI42" s="127"/>
      <c r="AJ42" s="116"/>
      <c r="AK42" s="218">
        <f>AH159</f>
        <v>0</v>
      </c>
      <c r="AL42" s="215" t="s">
        <v>147</v>
      </c>
      <c r="BE42" s="10"/>
    </row>
    <row r="43" spans="1:80" ht="20.100000000000001" customHeight="1" x14ac:dyDescent="0.25">
      <c r="A43" s="116"/>
      <c r="B43" s="116"/>
      <c r="C43" s="234" t="s">
        <v>44</v>
      </c>
      <c r="D43" s="234"/>
      <c r="E43" s="235" t="s">
        <v>45</v>
      </c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  <c r="AA43" s="235"/>
      <c r="AB43" s="235"/>
      <c r="AC43" s="235"/>
      <c r="AD43" s="235"/>
      <c r="AE43" s="235"/>
      <c r="AF43" s="235"/>
      <c r="AG43" s="235"/>
      <c r="AH43" s="235"/>
      <c r="AI43" s="235"/>
      <c r="AJ43" s="116"/>
      <c r="AK43" s="218">
        <f>AH170</f>
        <v>0</v>
      </c>
      <c r="AL43" s="215" t="s">
        <v>148</v>
      </c>
      <c r="BE43" s="10"/>
    </row>
    <row r="44" spans="1:80" s="2" customFormat="1" ht="15.95" hidden="1" customHeight="1" x14ac:dyDescent="0.25">
      <c r="A44" s="123"/>
      <c r="B44" s="114"/>
      <c r="C44" s="128"/>
      <c r="D44" s="114"/>
      <c r="E44" s="114"/>
      <c r="F44" s="114"/>
      <c r="G44" s="114"/>
      <c r="H44" s="114"/>
      <c r="I44" s="114"/>
      <c r="J44" s="114"/>
      <c r="K44" s="114"/>
      <c r="L44" s="125"/>
      <c r="M44" s="125"/>
      <c r="N44" s="125"/>
      <c r="O44" s="125"/>
      <c r="P44" s="125"/>
      <c r="Q44" s="125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N44" s="10"/>
      <c r="AO44" s="10"/>
      <c r="AP44" s="10"/>
      <c r="AQ44" s="10"/>
      <c r="AR44" s="47"/>
      <c r="AS44" s="47"/>
      <c r="AT44" s="47"/>
      <c r="AU44" s="47"/>
      <c r="AV44" s="47"/>
      <c r="AW44" s="47"/>
      <c r="AX44" s="47"/>
      <c r="AY44" s="47"/>
      <c r="AZ44" s="47"/>
      <c r="BA44" s="10"/>
      <c r="BB44" s="10"/>
      <c r="BC44" s="10"/>
      <c r="BD44" s="10"/>
      <c r="BE44" s="48" t="str">
        <f>INDEX({"do";"lu";"ma";"mi";"ju";"vi";"sa"},1+MOD($AR$47+4-2,7))</f>
        <v>ju</v>
      </c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</row>
    <row r="45" spans="1:80" ht="15.95" hidden="1" customHeight="1" x14ac:dyDescent="0.25">
      <c r="A45" s="129"/>
      <c r="B45" s="130" t="s">
        <v>46</v>
      </c>
      <c r="C45" s="131" t="str">
        <f t="shared" ref="C45:AH45" si="25">IF(C7="S",IF(C7="",0,1),IF(C7="D",IF(C7="",0,1),""))</f>
        <v/>
      </c>
      <c r="D45" s="131">
        <f t="shared" si="25"/>
        <v>1</v>
      </c>
      <c r="E45" s="131">
        <f t="shared" si="25"/>
        <v>1</v>
      </c>
      <c r="F45" s="131" t="str">
        <f t="shared" si="25"/>
        <v/>
      </c>
      <c r="G45" s="131" t="str">
        <f t="shared" si="25"/>
        <v/>
      </c>
      <c r="H45" s="131" t="str">
        <f t="shared" si="25"/>
        <v/>
      </c>
      <c r="I45" s="131" t="str">
        <f t="shared" si="25"/>
        <v/>
      </c>
      <c r="J45" s="131" t="str">
        <f t="shared" si="25"/>
        <v/>
      </c>
      <c r="K45" s="131">
        <f t="shared" si="25"/>
        <v>1</v>
      </c>
      <c r="L45" s="131">
        <f t="shared" si="25"/>
        <v>1</v>
      </c>
      <c r="M45" s="131" t="str">
        <f t="shared" si="25"/>
        <v/>
      </c>
      <c r="N45" s="131" t="str">
        <f t="shared" si="25"/>
        <v/>
      </c>
      <c r="O45" s="131" t="str">
        <f t="shared" si="25"/>
        <v/>
      </c>
      <c r="P45" s="131" t="str">
        <f t="shared" si="25"/>
        <v/>
      </c>
      <c r="Q45" s="131" t="str">
        <f t="shared" si="25"/>
        <v/>
      </c>
      <c r="R45" s="131">
        <f t="shared" si="25"/>
        <v>1</v>
      </c>
      <c r="S45" s="131">
        <f t="shared" si="25"/>
        <v>1</v>
      </c>
      <c r="T45" s="131" t="str">
        <f t="shared" si="25"/>
        <v/>
      </c>
      <c r="U45" s="131" t="str">
        <f t="shared" si="25"/>
        <v/>
      </c>
      <c r="V45" s="131" t="str">
        <f t="shared" si="25"/>
        <v/>
      </c>
      <c r="W45" s="131" t="str">
        <f t="shared" si="25"/>
        <v/>
      </c>
      <c r="X45" s="131" t="str">
        <f t="shared" si="25"/>
        <v/>
      </c>
      <c r="Y45" s="131">
        <f t="shared" si="25"/>
        <v>1</v>
      </c>
      <c r="Z45" s="131">
        <f t="shared" si="25"/>
        <v>1</v>
      </c>
      <c r="AA45" s="131" t="str">
        <f t="shared" si="25"/>
        <v/>
      </c>
      <c r="AB45" s="131" t="str">
        <f t="shared" si="25"/>
        <v/>
      </c>
      <c r="AC45" s="131" t="str">
        <f t="shared" si="25"/>
        <v/>
      </c>
      <c r="AD45" s="131" t="str">
        <f t="shared" si="25"/>
        <v/>
      </c>
      <c r="AE45" s="131" t="str">
        <f t="shared" si="25"/>
        <v/>
      </c>
      <c r="AF45" s="131">
        <f t="shared" si="25"/>
        <v>1</v>
      </c>
      <c r="AG45" s="131">
        <f t="shared" si="25"/>
        <v>1</v>
      </c>
      <c r="AH45" s="132" t="str">
        <f t="shared" si="25"/>
        <v/>
      </c>
      <c r="AI45" s="236" t="s">
        <v>8</v>
      </c>
      <c r="AJ45" s="236"/>
      <c r="AK45" s="133"/>
      <c r="AL45" s="133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49" t="str">
        <f>IF(MONTH($Q$4)&lt;&gt;MONTH($Q$4-(WEEKDAY($Q$4,1)-($AR$47-1))-IF((WEEKDAY($Q$4,1)-($AR$47-1))&lt;=0,7,0)+(ROW(BE45)-ROW($AN$51))*7+(COLUMN(BE45)-COLUMN($AN$51)+1)),"",$Q$4-(WEEKDAY($Q$4,1)-($AR$47-1))-IF((WEEKDAY($Q$4,1)-($AR$47-1))&lt;=0,7,0)+(ROW(BE45)-ROW($AN$51))*7+(COLUMN(BE45)-COLUMN($AN$51)+1))</f>
        <v/>
      </c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</row>
    <row r="46" spans="1:80" s="2" customFormat="1" ht="15.95" hidden="1" customHeight="1" x14ac:dyDescent="0.25">
      <c r="A46" s="134" t="s">
        <v>47</v>
      </c>
      <c r="B46" s="134" t="s">
        <v>48</v>
      </c>
      <c r="C46" s="135" t="str">
        <f t="shared" ref="C46:AG46" si="26">IF(C6="X",IF(C6="",0,1),IF(C45=1,IF(C45="",0,1),""))</f>
        <v/>
      </c>
      <c r="D46" s="135">
        <f t="shared" si="26"/>
        <v>1</v>
      </c>
      <c r="E46" s="135">
        <f t="shared" si="26"/>
        <v>1</v>
      </c>
      <c r="F46" s="135" t="str">
        <f t="shared" si="26"/>
        <v/>
      </c>
      <c r="G46" s="135" t="str">
        <f t="shared" si="26"/>
        <v/>
      </c>
      <c r="H46" s="135" t="str">
        <f t="shared" si="26"/>
        <v/>
      </c>
      <c r="I46" s="135" t="str">
        <f t="shared" si="26"/>
        <v/>
      </c>
      <c r="J46" s="135" t="str">
        <f t="shared" si="26"/>
        <v/>
      </c>
      <c r="K46" s="135">
        <f t="shared" si="26"/>
        <v>1</v>
      </c>
      <c r="L46" s="135">
        <f t="shared" si="26"/>
        <v>1</v>
      </c>
      <c r="M46" s="135" t="str">
        <f t="shared" si="26"/>
        <v/>
      </c>
      <c r="N46" s="135" t="str">
        <f t="shared" si="26"/>
        <v/>
      </c>
      <c r="O46" s="135" t="str">
        <f t="shared" si="26"/>
        <v/>
      </c>
      <c r="P46" s="135" t="str">
        <f t="shared" si="26"/>
        <v/>
      </c>
      <c r="Q46" s="135" t="str">
        <f t="shared" si="26"/>
        <v/>
      </c>
      <c r="R46" s="135">
        <f t="shared" si="26"/>
        <v>1</v>
      </c>
      <c r="S46" s="135">
        <f t="shared" si="26"/>
        <v>1</v>
      </c>
      <c r="T46" s="135" t="str">
        <f t="shared" si="26"/>
        <v/>
      </c>
      <c r="U46" s="135" t="str">
        <f t="shared" si="26"/>
        <v/>
      </c>
      <c r="V46" s="135" t="str">
        <f t="shared" si="26"/>
        <v/>
      </c>
      <c r="W46" s="135" t="str">
        <f t="shared" si="26"/>
        <v/>
      </c>
      <c r="X46" s="135" t="str">
        <f t="shared" si="26"/>
        <v/>
      </c>
      <c r="Y46" s="135">
        <f t="shared" si="26"/>
        <v>1</v>
      </c>
      <c r="Z46" s="135">
        <f t="shared" si="26"/>
        <v>1</v>
      </c>
      <c r="AA46" s="135" t="str">
        <f t="shared" si="26"/>
        <v/>
      </c>
      <c r="AB46" s="135" t="str">
        <f t="shared" si="26"/>
        <v/>
      </c>
      <c r="AC46" s="135" t="str">
        <f t="shared" si="26"/>
        <v/>
      </c>
      <c r="AD46" s="135" t="str">
        <f t="shared" si="26"/>
        <v/>
      </c>
      <c r="AE46" s="132" t="str">
        <f t="shared" si="26"/>
        <v/>
      </c>
      <c r="AF46" s="132">
        <f t="shared" si="26"/>
        <v>1</v>
      </c>
      <c r="AG46" s="132">
        <f t="shared" si="26"/>
        <v>1</v>
      </c>
      <c r="AH46" s="136" t="b">
        <f>IF(AH6="X",IF(AH6="",0,1))</f>
        <v>0</v>
      </c>
      <c r="AI46" s="231">
        <f>(AH32-AH33)*AL46</f>
        <v>5</v>
      </c>
      <c r="AJ46" s="231"/>
      <c r="AK46" s="137" t="s">
        <v>49</v>
      </c>
      <c r="AL46" s="138">
        <f>SUM(C46:AG46)</f>
        <v>10</v>
      </c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</row>
    <row r="47" spans="1:80" s="2" customFormat="1" ht="15.95" hidden="1" customHeight="1" x14ac:dyDescent="0.3">
      <c r="A47" s="139" t="s">
        <v>50</v>
      </c>
      <c r="B47" s="140" t="s">
        <v>29</v>
      </c>
      <c r="C47" s="141" t="str">
        <f t="shared" ref="C47:AG47" si="27">IF(C9=$R32,$S32*24,IF(C9=$R33,$S33*24,IF(C9=$R34,$S34*24,IF(C9=$R35,$S35*24,IF(C9=$R36,$S36*24,IF(C9=$R37,$S37*24,IF(C9=$R38,$S38*24,IF(C9=$R39,$S39*24,IF(C9=$R40,$S40*24,"")))))))))</f>
        <v/>
      </c>
      <c r="D47" s="141" t="str">
        <f t="shared" si="27"/>
        <v/>
      </c>
      <c r="E47" s="141" t="str">
        <f t="shared" si="27"/>
        <v/>
      </c>
      <c r="F47" s="141" t="str">
        <f t="shared" si="27"/>
        <v/>
      </c>
      <c r="G47" s="141" t="str">
        <f t="shared" si="27"/>
        <v/>
      </c>
      <c r="H47" s="141" t="str">
        <f t="shared" si="27"/>
        <v/>
      </c>
      <c r="I47" s="141" t="str">
        <f t="shared" si="27"/>
        <v/>
      </c>
      <c r="J47" s="141" t="str">
        <f t="shared" si="27"/>
        <v/>
      </c>
      <c r="K47" s="141" t="str">
        <f t="shared" si="27"/>
        <v/>
      </c>
      <c r="L47" s="141" t="str">
        <f t="shared" si="27"/>
        <v/>
      </c>
      <c r="M47" s="141" t="str">
        <f t="shared" si="27"/>
        <v/>
      </c>
      <c r="N47" s="141" t="str">
        <f t="shared" si="27"/>
        <v/>
      </c>
      <c r="O47" s="141" t="str">
        <f t="shared" si="27"/>
        <v/>
      </c>
      <c r="P47" s="141" t="str">
        <f t="shared" si="27"/>
        <v/>
      </c>
      <c r="Q47" s="141" t="str">
        <f t="shared" si="27"/>
        <v/>
      </c>
      <c r="R47" s="141" t="str">
        <f t="shared" si="27"/>
        <v/>
      </c>
      <c r="S47" s="141" t="str">
        <f t="shared" si="27"/>
        <v/>
      </c>
      <c r="T47" s="141" t="str">
        <f t="shared" si="27"/>
        <v/>
      </c>
      <c r="U47" s="141" t="str">
        <f t="shared" si="27"/>
        <v/>
      </c>
      <c r="V47" s="141" t="str">
        <f t="shared" si="27"/>
        <v/>
      </c>
      <c r="W47" s="141" t="str">
        <f t="shared" si="27"/>
        <v/>
      </c>
      <c r="X47" s="141" t="str">
        <f t="shared" si="27"/>
        <v/>
      </c>
      <c r="Y47" s="141" t="str">
        <f t="shared" si="27"/>
        <v/>
      </c>
      <c r="Z47" s="141" t="str">
        <f t="shared" si="27"/>
        <v/>
      </c>
      <c r="AA47" s="141" t="str">
        <f t="shared" si="27"/>
        <v/>
      </c>
      <c r="AB47" s="141" t="str">
        <f t="shared" si="27"/>
        <v/>
      </c>
      <c r="AC47" s="141" t="str">
        <f t="shared" si="27"/>
        <v/>
      </c>
      <c r="AD47" s="141" t="str">
        <f t="shared" si="27"/>
        <v/>
      </c>
      <c r="AE47" s="141" t="str">
        <f t="shared" si="27"/>
        <v/>
      </c>
      <c r="AF47" s="141" t="str">
        <f t="shared" si="27"/>
        <v/>
      </c>
      <c r="AG47" s="141" t="str">
        <f t="shared" si="27"/>
        <v/>
      </c>
      <c r="AH47" s="142" t="s">
        <v>12</v>
      </c>
      <c r="AI47" s="231">
        <f>(CA59-AH46)*AH33</f>
        <v>0</v>
      </c>
      <c r="AJ47" s="231"/>
      <c r="AK47" s="137" t="s">
        <v>51</v>
      </c>
      <c r="AL47" s="137"/>
      <c r="AN47" s="237" t="s">
        <v>52</v>
      </c>
      <c r="AO47" s="237"/>
      <c r="AP47" s="10"/>
      <c r="AQ47" s="50" t="s">
        <v>53</v>
      </c>
      <c r="AR47" s="46">
        <v>2</v>
      </c>
      <c r="AS47" s="51">
        <v>1</v>
      </c>
      <c r="AT47" s="52" t="str">
        <f>IF(AN53="lu","LUNES",IF(AN53="ma","MARTES",IF(AN53="mi","MIERCOLES",IF(AN53="ju","JUEVES",IF(AN53="vi","VIERNES",IF(AN53="sa","SABADO",IF(AN53="do","DOMINGO",IF(AO53="lu","LUNES",IF(AO53="ma","MARTES",IF(AO53="mi","MIERCOLES",IF(AO53="ju","JUEVES",IF(AO53="vi","VIERNES",IF(AO53="sa","SABADO",IF(AO53="do","DOMINGO",IF(AP53="lu","LUNES",IF(AP53="ma","MARTES",IF(AP53="mi","MIERCOLES",IF(AP53="ju","JUEVES",IF(AP53="vi","VIERNES",IF(AP53="sa","SABADO",IF(AP53="do","DOMINGO",IF(AQ53="lu","LUNES",IF(AQ53="ma","MARTES",IF(AQ53="mi","MIERCOLES",IF(AQ53="ju","JUEVES",IF(AQ53="vi","VIERNES",IF(AQ53="sa","SABADO",IF(AQ53="do","DOMINGO",IF(AR53="lu","LUNES",IF(AR53="ma","MARTES",IF(AR53="mi","MIERCOLES",IF(AR53="ju","JUEVES",IF(AR53="vi","VIERNES",IF(AR53="sa","SABADO",IF(AR53="do","DOMINGO","")))))))))))))))))))))))))))))))))))</f>
        <v>VIERNES</v>
      </c>
      <c r="AU47" s="50" t="s">
        <v>54</v>
      </c>
      <c r="AV47" s="53" t="str">
        <f>IF(AT47="LUNES","LUNES",IF(AT47="MARTES","MARTES",IF(AT47="MIERCOLES","MIERCOLES",IF(AT47="JUEVES","JUEVES",IF(AT47="VIERNES","VIERNES",IF(AT47="SABADO","SABADO",IF(AT47="DOMINGO","DOMINGO",IF(AT48="LUNES","LUNES",IF(AT48="MARTES","MARTES",IF(AT48="MIERCOLES","MIERCOLES",IF(AT48="JUEVES","JUEVES",IF(AT48="VIERNES","VIERNES",IF(AT48="SABADO","SABADO",IF(AT48="DOMINGO","DOMINGO",""))))))))))))))</f>
        <v>VIERNES</v>
      </c>
      <c r="AW47" s="51">
        <v>28</v>
      </c>
      <c r="AX47" s="46">
        <f>$AR$48+27</f>
        <v>45897</v>
      </c>
      <c r="AY47" s="51">
        <v>30</v>
      </c>
      <c r="AZ47" s="46">
        <f>$AR$48+29</f>
        <v>45899</v>
      </c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</row>
    <row r="48" spans="1:80" s="2" customFormat="1" ht="15.95" hidden="1" customHeight="1" x14ac:dyDescent="0.35">
      <c r="A48" s="143" t="s">
        <v>55</v>
      </c>
      <c r="B48" s="144" t="s">
        <v>30</v>
      </c>
      <c r="C48" s="141" t="str">
        <f t="shared" ref="C48:AG48" si="28">IF(C9=$R32,$V32*24,IF(C9=$R33,$V33*24,IF(C9=$R34,$V34*24,IF(C9=$R35,$V35*24,IF(C9=$R36,$V36*24,IF(C9=$R37,$V37*24,IF(C9=$R38,$V38*24,IF(C9=$R39,$V39*24,IF(C9=$R40,$V40*24,"")))))))))</f>
        <v/>
      </c>
      <c r="D48" s="141" t="str">
        <f t="shared" si="28"/>
        <v/>
      </c>
      <c r="E48" s="141" t="str">
        <f t="shared" si="28"/>
        <v/>
      </c>
      <c r="F48" s="141" t="str">
        <f t="shared" si="28"/>
        <v/>
      </c>
      <c r="G48" s="141" t="str">
        <f t="shared" si="28"/>
        <v/>
      </c>
      <c r="H48" s="141" t="str">
        <f t="shared" si="28"/>
        <v/>
      </c>
      <c r="I48" s="141" t="str">
        <f t="shared" si="28"/>
        <v/>
      </c>
      <c r="J48" s="141" t="str">
        <f t="shared" si="28"/>
        <v/>
      </c>
      <c r="K48" s="141" t="str">
        <f t="shared" si="28"/>
        <v/>
      </c>
      <c r="L48" s="141" t="str">
        <f t="shared" si="28"/>
        <v/>
      </c>
      <c r="M48" s="141" t="str">
        <f t="shared" si="28"/>
        <v/>
      </c>
      <c r="N48" s="141" t="str">
        <f t="shared" si="28"/>
        <v/>
      </c>
      <c r="O48" s="141" t="str">
        <f t="shared" si="28"/>
        <v/>
      </c>
      <c r="P48" s="141" t="str">
        <f t="shared" si="28"/>
        <v/>
      </c>
      <c r="Q48" s="141" t="str">
        <f t="shared" si="28"/>
        <v/>
      </c>
      <c r="R48" s="141" t="str">
        <f t="shared" si="28"/>
        <v/>
      </c>
      <c r="S48" s="141" t="str">
        <f t="shared" si="28"/>
        <v/>
      </c>
      <c r="T48" s="141" t="str">
        <f t="shared" si="28"/>
        <v/>
      </c>
      <c r="U48" s="141" t="str">
        <f t="shared" si="28"/>
        <v/>
      </c>
      <c r="V48" s="141" t="str">
        <f t="shared" si="28"/>
        <v/>
      </c>
      <c r="W48" s="141" t="str">
        <f t="shared" si="28"/>
        <v/>
      </c>
      <c r="X48" s="141" t="str">
        <f t="shared" si="28"/>
        <v/>
      </c>
      <c r="Y48" s="141" t="str">
        <f t="shared" si="28"/>
        <v/>
      </c>
      <c r="Z48" s="141" t="str">
        <f t="shared" si="28"/>
        <v/>
      </c>
      <c r="AA48" s="141" t="str">
        <f t="shared" si="28"/>
        <v/>
      </c>
      <c r="AB48" s="141" t="str">
        <f t="shared" si="28"/>
        <v/>
      </c>
      <c r="AC48" s="141" t="str">
        <f t="shared" si="28"/>
        <v/>
      </c>
      <c r="AD48" s="141" t="str">
        <f t="shared" si="28"/>
        <v/>
      </c>
      <c r="AE48" s="141" t="str">
        <f t="shared" si="28"/>
        <v/>
      </c>
      <c r="AF48" s="141" t="str">
        <f t="shared" si="28"/>
        <v/>
      </c>
      <c r="AG48" s="141" t="str">
        <f t="shared" si="28"/>
        <v/>
      </c>
      <c r="AH48" s="142" t="s">
        <v>12</v>
      </c>
      <c r="AI48" s="230">
        <f>SUM(AI46:AI47)</f>
        <v>5</v>
      </c>
      <c r="AJ48" s="230"/>
      <c r="AK48" s="137" t="s">
        <v>56</v>
      </c>
      <c r="AL48" s="137"/>
      <c r="AN48" s="10"/>
      <c r="AO48" s="10"/>
      <c r="AP48" s="10"/>
      <c r="AQ48" s="50" t="s">
        <v>57</v>
      </c>
      <c r="AR48" s="54">
        <f>DATE($C$34,$C$35,1)</f>
        <v>45870</v>
      </c>
      <c r="AS48" s="51">
        <v>2</v>
      </c>
      <c r="AT48" s="52" t="str">
        <f>IF(AS53="lu","LUNES",IF(AS53="ma","MARTES",IF(AS53="mi","MIERCOLES",IF(AS53="ju","JUEVES",IF(AS53="vi","VIERNES",IF(AS53="sa","SABADO",IF(AS53="do","DOMINGO",IF(AT53="lu","LUNES",IF(AT53="ma","MARTES",IF(AT53="mi","MIERCOLES",IF(AT53="ju","JUEVES",IF(AT53="vi","VIERNES",IF(AT53="sa","SABADO",IF(AT53="do","DOMINGO",""))))))))))))))</f>
        <v/>
      </c>
      <c r="AU48" s="10"/>
      <c r="AV48" s="51"/>
      <c r="AW48" s="51">
        <v>29</v>
      </c>
      <c r="AX48" s="46">
        <f>$AR$48+28</f>
        <v>45898</v>
      </c>
      <c r="AY48" s="51">
        <v>31</v>
      </c>
      <c r="AZ48" s="46">
        <f>$AR$48+30</f>
        <v>45900</v>
      </c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</row>
    <row r="49" spans="1:80" s="2" customFormat="1" ht="15.95" hidden="1" customHeight="1" x14ac:dyDescent="0.25">
      <c r="A49" s="145"/>
      <c r="B49" s="146" t="s">
        <v>34</v>
      </c>
      <c r="C49" s="147" t="str">
        <f t="shared" ref="C49:AD49" si="29">IF(C9=$R32,$BD32*24,IF(C9=$R33,$BD33*24,IF(C9=$R34,$BD34*24,IF(C9=$R35,$BD35*24,IF(C9=$R36,$BD36*24,IF(C9=$R37,$BD37*24,IF(C9=$R38,$BD38*24,IF(C9=$R39,$BD39*24,IF(C9=$R40,$BD40*24,"")))))))))</f>
        <v/>
      </c>
      <c r="D49" s="147" t="str">
        <f t="shared" si="29"/>
        <v/>
      </c>
      <c r="E49" s="147" t="str">
        <f t="shared" si="29"/>
        <v/>
      </c>
      <c r="F49" s="147" t="str">
        <f t="shared" si="29"/>
        <v/>
      </c>
      <c r="G49" s="147" t="str">
        <f t="shared" si="29"/>
        <v/>
      </c>
      <c r="H49" s="147" t="str">
        <f t="shared" si="29"/>
        <v/>
      </c>
      <c r="I49" s="147" t="str">
        <f t="shared" si="29"/>
        <v/>
      </c>
      <c r="J49" s="147" t="str">
        <f t="shared" si="29"/>
        <v/>
      </c>
      <c r="K49" s="147" t="str">
        <f t="shared" si="29"/>
        <v/>
      </c>
      <c r="L49" s="147" t="str">
        <f t="shared" si="29"/>
        <v/>
      </c>
      <c r="M49" s="147" t="str">
        <f t="shared" si="29"/>
        <v/>
      </c>
      <c r="N49" s="147" t="str">
        <f t="shared" si="29"/>
        <v/>
      </c>
      <c r="O49" s="147" t="str">
        <f t="shared" si="29"/>
        <v/>
      </c>
      <c r="P49" s="147" t="str">
        <f t="shared" si="29"/>
        <v/>
      </c>
      <c r="Q49" s="147" t="str">
        <f t="shared" si="29"/>
        <v/>
      </c>
      <c r="R49" s="147" t="str">
        <f t="shared" si="29"/>
        <v/>
      </c>
      <c r="S49" s="147" t="str">
        <f t="shared" si="29"/>
        <v/>
      </c>
      <c r="T49" s="147" t="str">
        <f t="shared" si="29"/>
        <v/>
      </c>
      <c r="U49" s="147" t="str">
        <f t="shared" si="29"/>
        <v/>
      </c>
      <c r="V49" s="147" t="str">
        <f t="shared" si="29"/>
        <v/>
      </c>
      <c r="W49" s="147" t="str">
        <f t="shared" si="29"/>
        <v/>
      </c>
      <c r="X49" s="147" t="str">
        <f t="shared" si="29"/>
        <v/>
      </c>
      <c r="Y49" s="147" t="str">
        <f t="shared" si="29"/>
        <v/>
      </c>
      <c r="Z49" s="147" t="str">
        <f t="shared" si="29"/>
        <v/>
      </c>
      <c r="AA49" s="147" t="str">
        <f t="shared" si="29"/>
        <v/>
      </c>
      <c r="AB49" s="147" t="str">
        <f t="shared" si="29"/>
        <v/>
      </c>
      <c r="AC49" s="147" t="str">
        <f t="shared" si="29"/>
        <v/>
      </c>
      <c r="AD49" s="147" t="str">
        <f t="shared" si="29"/>
        <v/>
      </c>
      <c r="AE49" s="147" t="str">
        <f>IF(AE9=$R32,$BD32*24,IF(AE9=$R33,$BD33*24,IF(AE9=$R34,$BD34*24,IF(AE9=$R35,$BD35*24,IF(AE9=$R36,$BD36*24,IF(AE9=$R37,$BD37*24,IF(AE9=$R38,$BD38*24,IF(AE9=$R39,$BD39*24,IF(AE9=$R40,$BD40*24,"")))))))))</f>
        <v/>
      </c>
      <c r="AF49" s="147" t="str">
        <f>IF(AF9=$R32,$BD32*24,IF(AF9=$R33,$BD33*24,IF(AF9=$R34,$BD34*24,IF(AF9=$R35,$BD35*24,IF(AF9=$R36,$BD36*24,IF(AF9=$R37,$BD37*24,IF(AF9=$R38,$BD38*24,IF(AF9=$R39,$BD39*24,IF(AF9=$R40,$BD40*24,"")))))))))</f>
        <v/>
      </c>
      <c r="AG49" s="147" t="str">
        <f>IF(AG9=$R32,$BD32*24,IF(AG9=$R33,$BD33*24,IF(AG9=$R34,$BD34*24,IF(AG9=$R35,$BD35*24,IF(AG9=$R36,$BD36*24,IF(AG9=$R37,$BD37*24,IF(AG9=$R38,$BD38*24,IF(AG9=$R39,$BD39*24,IF(AG9=$R40,$BD40*24,"")))))))))</f>
        <v/>
      </c>
      <c r="AH49" s="148">
        <f>SUM(C49:AG49)</f>
        <v>0</v>
      </c>
      <c r="AI49" s="231">
        <f>C37*AF36</f>
        <v>0</v>
      </c>
      <c r="AJ49" s="231"/>
      <c r="AK49" s="137" t="s">
        <v>58</v>
      </c>
      <c r="AL49" s="137"/>
      <c r="AN49" s="232">
        <f>Q4</f>
        <v>45870</v>
      </c>
      <c r="AO49" s="232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</row>
    <row r="50" spans="1:80" s="2" customFormat="1" ht="15.95" hidden="1" customHeight="1" x14ac:dyDescent="0.25">
      <c r="A50" s="145"/>
      <c r="B50" s="149" t="s">
        <v>59</v>
      </c>
      <c r="C50" s="141">
        <f t="shared" ref="C50:AG50" si="30">IF(C9="V",$C36,IF(C9="PR",$C38,0))</f>
        <v>0</v>
      </c>
      <c r="D50" s="141">
        <f t="shared" si="30"/>
        <v>0</v>
      </c>
      <c r="E50" s="141">
        <f t="shared" si="30"/>
        <v>0</v>
      </c>
      <c r="F50" s="141">
        <f t="shared" si="30"/>
        <v>0</v>
      </c>
      <c r="G50" s="141">
        <f t="shared" si="30"/>
        <v>0</v>
      </c>
      <c r="H50" s="141">
        <f t="shared" si="30"/>
        <v>0</v>
      </c>
      <c r="I50" s="141">
        <f t="shared" si="30"/>
        <v>0</v>
      </c>
      <c r="J50" s="141">
        <f t="shared" si="30"/>
        <v>0</v>
      </c>
      <c r="K50" s="141">
        <f t="shared" si="30"/>
        <v>0</v>
      </c>
      <c r="L50" s="141">
        <f t="shared" si="30"/>
        <v>0</v>
      </c>
      <c r="M50" s="141">
        <f t="shared" si="30"/>
        <v>0</v>
      </c>
      <c r="N50" s="141">
        <f t="shared" si="30"/>
        <v>0</v>
      </c>
      <c r="O50" s="141">
        <f t="shared" si="30"/>
        <v>0</v>
      </c>
      <c r="P50" s="141">
        <f t="shared" si="30"/>
        <v>0</v>
      </c>
      <c r="Q50" s="141">
        <f t="shared" si="30"/>
        <v>0</v>
      </c>
      <c r="R50" s="141">
        <f t="shared" si="30"/>
        <v>0</v>
      </c>
      <c r="S50" s="141">
        <f t="shared" si="30"/>
        <v>0</v>
      </c>
      <c r="T50" s="141">
        <f t="shared" si="30"/>
        <v>0</v>
      </c>
      <c r="U50" s="141">
        <f t="shared" si="30"/>
        <v>0</v>
      </c>
      <c r="V50" s="141">
        <f t="shared" si="30"/>
        <v>0</v>
      </c>
      <c r="W50" s="141">
        <f t="shared" si="30"/>
        <v>0</v>
      </c>
      <c r="X50" s="141">
        <f t="shared" si="30"/>
        <v>0</v>
      </c>
      <c r="Y50" s="141">
        <f t="shared" si="30"/>
        <v>0</v>
      </c>
      <c r="Z50" s="141">
        <f t="shared" si="30"/>
        <v>0</v>
      </c>
      <c r="AA50" s="141">
        <f t="shared" si="30"/>
        <v>0</v>
      </c>
      <c r="AB50" s="141">
        <f t="shared" si="30"/>
        <v>0</v>
      </c>
      <c r="AC50" s="141">
        <f t="shared" si="30"/>
        <v>0</v>
      </c>
      <c r="AD50" s="141">
        <f t="shared" si="30"/>
        <v>0</v>
      </c>
      <c r="AE50" s="141">
        <f t="shared" si="30"/>
        <v>0</v>
      </c>
      <c r="AF50" s="141">
        <f t="shared" si="30"/>
        <v>0</v>
      </c>
      <c r="AG50" s="141">
        <f t="shared" si="30"/>
        <v>0</v>
      </c>
      <c r="AH50" s="226">
        <f>SUM(C50:AG50)</f>
        <v>0</v>
      </c>
      <c r="AI50" s="226"/>
      <c r="AJ50" s="137" t="s">
        <v>12</v>
      </c>
      <c r="AK50" s="137"/>
      <c r="AL50" s="137"/>
      <c r="AN50" s="48" t="str">
        <f>INDEX({"do";"lu";"ma";"mi";"ju";"vi";"sa"},1+MOD($AR$47+1-2,7))</f>
        <v>lu</v>
      </c>
      <c r="AO50" s="48" t="str">
        <f>INDEX({"do";"lu";"ma";"mi";"ju";"vi";"sa"},1+MOD($AR$47+2-2,7))</f>
        <v>ma</v>
      </c>
      <c r="AP50" s="48" t="str">
        <f>INDEX({"do";"lu";"ma";"mi";"ju";"vi";"sa"},1+MOD($AR$47+3-2,7))</f>
        <v>mi</v>
      </c>
      <c r="AQ50" s="48" t="str">
        <f>INDEX({"do";"lu";"ma";"mi";"ju";"vi";"sa"},1+MOD($AR$47+4-2,7))</f>
        <v>ju</v>
      </c>
      <c r="AR50" s="48" t="str">
        <f>INDEX({"do";"lu";"ma";"mi";"ju";"vi";"sa"},1+MOD($AR$47+5-2,7))</f>
        <v>vi</v>
      </c>
      <c r="AS50" s="48" t="str">
        <f>INDEX({"do";"lu";"ma";"mi";"ju";"vi";"sa"},1+MOD($AR$47+6-2,7))</f>
        <v>sa</v>
      </c>
      <c r="AT50" s="48" t="str">
        <f>INDEX({"do";"lu";"ma";"mi";"ju";"vi";"sa"},1+MOD($AR$47+7-2,7))</f>
        <v>do</v>
      </c>
      <c r="AU50" s="48" t="str">
        <f>INDEX({"do";"lu";"ma";"mi";"ju";"vi";"sa"},1+MOD($AR$47+1-2,7))</f>
        <v>lu</v>
      </c>
      <c r="AV50" s="48" t="str">
        <f>INDEX({"do";"lu";"ma";"mi";"ju";"vi";"sa"},1+MOD($AR$47+2-2,7))</f>
        <v>ma</v>
      </c>
      <c r="AW50" s="48" t="str">
        <f>INDEX({"do";"lu";"ma";"mi";"ju";"vi";"sa"},1+MOD($AR$47+3-2,7))</f>
        <v>mi</v>
      </c>
      <c r="AX50" s="48" t="str">
        <f>INDEX({"do";"lu";"ma";"mi";"ju";"vi";"sa"},1+MOD($AR$47+4-2,7))</f>
        <v>ju</v>
      </c>
      <c r="AY50" s="48" t="str">
        <f>INDEX({"do";"lu";"ma";"mi";"ju";"vi";"sa"},1+MOD($AR$47+5-2,7))</f>
        <v>vi</v>
      </c>
      <c r="AZ50" s="48" t="str">
        <f>INDEX({"do";"lu";"ma";"mi";"ju";"vi";"sa"},1+MOD($AR$47+6-2,7))</f>
        <v>sa</v>
      </c>
      <c r="BA50" s="48" t="str">
        <f>INDEX({"do";"lu";"ma";"mi";"ju";"vi";"sa"},1+MOD($AR$47+7-2,7))</f>
        <v>do</v>
      </c>
      <c r="BB50" s="48" t="str">
        <f>INDEX({"do";"lu";"ma";"mi";"ju";"vi";"sa"},1+MOD($AR$47+1-2,7))</f>
        <v>lu</v>
      </c>
      <c r="BC50" s="48" t="str">
        <f>INDEX({"do";"lu";"ma";"mi";"ju";"vi";"sa"},1+MOD($AR$47+2-2,7))</f>
        <v>ma</v>
      </c>
      <c r="BD50" s="48" t="str">
        <f>INDEX({"do";"lu";"ma";"mi";"ju";"vi";"sa"},1+MOD($AR$47+3-2,7))</f>
        <v>mi</v>
      </c>
      <c r="BE50" s="10"/>
      <c r="BF50" s="48" t="str">
        <f>INDEX({"do";"lu";"ma";"mi";"ju";"vi";"sa"},1+MOD($AR$47+5-2,7))</f>
        <v>vi</v>
      </c>
      <c r="BG50" s="48" t="str">
        <f>INDEX({"do";"lu";"ma";"mi";"ju";"vi";"sa"},1+MOD($AR$47+6-2,7))</f>
        <v>sa</v>
      </c>
      <c r="BH50" s="48" t="str">
        <f>INDEX({"do";"lu";"ma";"mi";"ju";"vi";"sa"},1+MOD($AR$47+7-2,7))</f>
        <v>do</v>
      </c>
      <c r="BI50" s="48" t="str">
        <f>INDEX({"do";"lu";"ma";"mi";"ju";"vi";"sa"},1+MOD($AR$47+1-2,7))</f>
        <v>lu</v>
      </c>
      <c r="BJ50" s="48" t="str">
        <f>INDEX({"do";"lu";"ma";"mi";"ju";"vi";"sa"},1+MOD($AR$47+2-2,7))</f>
        <v>ma</v>
      </c>
      <c r="BK50" s="48" t="str">
        <f>INDEX({"do";"lu";"ma";"mi";"ju";"vi";"sa"},1+MOD($AR$47+3-2,7))</f>
        <v>mi</v>
      </c>
      <c r="BL50" s="48" t="str">
        <f>INDEX({"do";"lu";"ma";"mi";"ju";"vi";"sa"},1+MOD($AR$47+4-2,7))</f>
        <v>ju</v>
      </c>
      <c r="BM50" s="48" t="str">
        <f>INDEX({"do";"lu";"ma";"mi";"ju";"vi";"sa"},1+MOD($AR$47+5-2,7))</f>
        <v>vi</v>
      </c>
      <c r="BN50" s="48" t="str">
        <f>INDEX({"do";"lu";"ma";"mi";"ju";"vi";"sa"},1+MOD($AR$47+6-2,7))</f>
        <v>sa</v>
      </c>
      <c r="BO50" s="48" t="str">
        <f>INDEX({"do";"lu";"ma";"mi";"ju";"vi";"sa"},1+MOD($AR$47+7-2,7))</f>
        <v>do</v>
      </c>
      <c r="BP50" s="48" t="str">
        <f>INDEX({"do";"lu";"ma";"mi";"ju";"vi";"sa"},1+MOD($AR$47+1-2,7))</f>
        <v>lu</v>
      </c>
      <c r="BQ50" s="48" t="str">
        <f>INDEX({"do";"lu";"ma";"mi";"ju";"vi";"sa"},1+MOD($AR$47+2-2,7))</f>
        <v>ma</v>
      </c>
      <c r="BR50" s="48" t="str">
        <f>INDEX({"do";"lu";"ma";"mi";"ju";"vi";"sa"},1+MOD($AR$47+3-2,7))</f>
        <v>mi</v>
      </c>
      <c r="BS50" s="48" t="str">
        <f>INDEX({"do";"lu";"ma";"mi";"ju";"vi";"sa"},1+MOD($AR$47+4-2,7))</f>
        <v>ju</v>
      </c>
      <c r="BT50" s="48" t="str">
        <f>INDEX({"do";"lu";"ma";"mi";"ju";"vi";"sa"},1+MOD($AR$47+5-2,7))</f>
        <v>vi</v>
      </c>
      <c r="BU50" s="48" t="str">
        <f>INDEX({"do";"lu";"ma";"mi";"ju";"vi";"sa"},1+MOD($AR$47+6-2,7))</f>
        <v>sa</v>
      </c>
      <c r="BV50" s="48" t="str">
        <f>INDEX({"do";"lu";"ma";"mi";"ju";"vi";"sa"},1+MOD($AR$47+7-2,7))</f>
        <v>do</v>
      </c>
      <c r="BW50" s="48" t="str">
        <f>INDEX({"do";"lu";"ma";"mi";"ju";"vi";"sa"},1+MOD($AR$47+1-2,7))</f>
        <v>lu</v>
      </c>
      <c r="BX50" s="48" t="str">
        <f>INDEX({"do";"lu";"ma";"mi";"ju";"vi";"sa"},1+MOD($AR$47+2-2,7))</f>
        <v>ma</v>
      </c>
      <c r="BY50" s="10"/>
      <c r="BZ50" s="10"/>
      <c r="CA50" s="10"/>
      <c r="CB50" s="10"/>
    </row>
    <row r="51" spans="1:80" s="2" customFormat="1" ht="15.95" hidden="1" customHeight="1" x14ac:dyDescent="0.25">
      <c r="A51" s="150" t="s">
        <v>60</v>
      </c>
      <c r="B51" s="144" t="s">
        <v>61</v>
      </c>
      <c r="C51" s="151">
        <f t="shared" ref="C51:AD51" si="31">IF(C9=$R32,$BC32,IF(C9=$R33,$BC33,IF(C9=$R34,$BC34,IF(C9=$R35,$BC35,IF(C9=$R36,$BC36,IF(C9=$R37,$BC37,IF(C9=$R38,$BC38,IF(C9=$R39,$BC39,IF(C9=$R40,$BC40,0)))))))))</f>
        <v>0</v>
      </c>
      <c r="D51" s="151">
        <f t="shared" si="31"/>
        <v>0</v>
      </c>
      <c r="E51" s="151">
        <f t="shared" si="31"/>
        <v>0</v>
      </c>
      <c r="F51" s="151">
        <f t="shared" si="31"/>
        <v>0</v>
      </c>
      <c r="G51" s="151">
        <f t="shared" si="31"/>
        <v>0</v>
      </c>
      <c r="H51" s="151">
        <f t="shared" si="31"/>
        <v>0</v>
      </c>
      <c r="I51" s="151">
        <f t="shared" si="31"/>
        <v>0</v>
      </c>
      <c r="J51" s="151">
        <f t="shared" si="31"/>
        <v>0</v>
      </c>
      <c r="K51" s="151">
        <f t="shared" si="31"/>
        <v>0</v>
      </c>
      <c r="L51" s="151">
        <f t="shared" si="31"/>
        <v>0</v>
      </c>
      <c r="M51" s="151">
        <f t="shared" si="31"/>
        <v>0</v>
      </c>
      <c r="N51" s="151">
        <f t="shared" si="31"/>
        <v>0</v>
      </c>
      <c r="O51" s="151">
        <f t="shared" si="31"/>
        <v>0</v>
      </c>
      <c r="P51" s="151">
        <f t="shared" si="31"/>
        <v>0</v>
      </c>
      <c r="Q51" s="151">
        <f t="shared" si="31"/>
        <v>0</v>
      </c>
      <c r="R51" s="151">
        <f t="shared" si="31"/>
        <v>0</v>
      </c>
      <c r="S51" s="151">
        <f t="shared" si="31"/>
        <v>0</v>
      </c>
      <c r="T51" s="151">
        <f t="shared" si="31"/>
        <v>0</v>
      </c>
      <c r="U51" s="151">
        <f t="shared" si="31"/>
        <v>0</v>
      </c>
      <c r="V51" s="151">
        <f t="shared" si="31"/>
        <v>0</v>
      </c>
      <c r="W51" s="151">
        <f t="shared" si="31"/>
        <v>0</v>
      </c>
      <c r="X51" s="151">
        <f t="shared" si="31"/>
        <v>0</v>
      </c>
      <c r="Y51" s="151">
        <f t="shared" si="31"/>
        <v>0</v>
      </c>
      <c r="Z51" s="151">
        <f t="shared" si="31"/>
        <v>0</v>
      </c>
      <c r="AA51" s="151">
        <f t="shared" si="31"/>
        <v>0</v>
      </c>
      <c r="AB51" s="151">
        <f t="shared" si="31"/>
        <v>0</v>
      </c>
      <c r="AC51" s="151">
        <f t="shared" si="31"/>
        <v>0</v>
      </c>
      <c r="AD51" s="151">
        <f t="shared" si="31"/>
        <v>0</v>
      </c>
      <c r="AE51" s="151">
        <f>IF(AE9=$R32,$BC32,IF(AE9=$R33,$BC33,IF(AE9=$R34,$BC34,IF(AE9=$R35,$BC35,IF(AE9=$R36,$BC36,IF(AE9=$R37,$BC37,IF(AE9=$R38,$BC38,IF(AE9=$R39,$BC39,IF(AE9=$R40,$BC40,0)))))))))</f>
        <v>0</v>
      </c>
      <c r="AF51" s="151">
        <f>IF(AF9=$R32,$BC32,IF(AF9=$R33,$BC33,IF(AF9=$R34,$BC34,IF(AF9=$R35,$BC35,IF(AF9=$R36,$BC36,IF(AF9=$R37,$BC37,IF(AF9=$R38,$BC38,IF(AF9=$R39,$BC39,IF(AF9=$R40,$BC40,0)))))))))</f>
        <v>0</v>
      </c>
      <c r="AG51" s="151">
        <f>IF(AG9=$R32,$BC32,IF(AG9=$R33,$BC33,IF(AG9=$R34,$BC34,IF(AG9=$R35,$BC35,IF(AG9=$R36,$BC36,IF(AG9=$R37,$BC37,IF(AG9=$R38,$BC38,IF(AG9=$R39,$BC39,IF(AG9=$R40,$BC40,0)))))))))</f>
        <v>0</v>
      </c>
      <c r="AH51" s="226">
        <f>SUM(C51:AG51)</f>
        <v>0</v>
      </c>
      <c r="AI51" s="226"/>
      <c r="AJ51" s="152" t="s">
        <v>62</v>
      </c>
      <c r="AK51" s="137" t="s">
        <v>12</v>
      </c>
      <c r="AL51" s="137"/>
      <c r="AN51" s="49" t="str">
        <f t="shared" ref="AN51:BD51" si="32">IF(MONTH($Q$4)&lt;&gt;MONTH($Q$4-(WEEKDAY($Q$4,1)-($AR$47-1))-IF((WEEKDAY($Q$4,1)-($AR$47-1))&lt;=0,7,0)+(ROW(AN51)-ROW($AN$51))*7+(COLUMN(AN51)-COLUMN($AN$51)+1)),"",$Q$4-(WEEKDAY($Q$4,1)-($AR$47-1))-IF((WEEKDAY($Q$4,1)-($AR$47-1))&lt;=0,7,0)+(ROW(AN51)-ROW($AN$51))*7+(COLUMN(AN51)-COLUMN($AN$51)+1))</f>
        <v/>
      </c>
      <c r="AO51" s="49" t="str">
        <f t="shared" si="32"/>
        <v/>
      </c>
      <c r="AP51" s="49" t="str">
        <f t="shared" si="32"/>
        <v/>
      </c>
      <c r="AQ51" s="49" t="str">
        <f t="shared" si="32"/>
        <v/>
      </c>
      <c r="AR51" s="49">
        <f t="shared" si="32"/>
        <v>45870</v>
      </c>
      <c r="AS51" s="49">
        <f t="shared" si="32"/>
        <v>45871</v>
      </c>
      <c r="AT51" s="49">
        <f t="shared" si="32"/>
        <v>45872</v>
      </c>
      <c r="AU51" s="49">
        <f t="shared" si="32"/>
        <v>45873</v>
      </c>
      <c r="AV51" s="49">
        <f t="shared" si="32"/>
        <v>45874</v>
      </c>
      <c r="AW51" s="49">
        <f t="shared" si="32"/>
        <v>45875</v>
      </c>
      <c r="AX51" s="49">
        <f t="shared" si="32"/>
        <v>45876</v>
      </c>
      <c r="AY51" s="49">
        <f t="shared" si="32"/>
        <v>45877</v>
      </c>
      <c r="AZ51" s="49">
        <f t="shared" si="32"/>
        <v>45878</v>
      </c>
      <c r="BA51" s="49">
        <f t="shared" si="32"/>
        <v>45879</v>
      </c>
      <c r="BB51" s="49">
        <f t="shared" si="32"/>
        <v>45880</v>
      </c>
      <c r="BC51" s="49">
        <f t="shared" si="32"/>
        <v>45881</v>
      </c>
      <c r="BD51" s="49">
        <f t="shared" si="32"/>
        <v>45882</v>
      </c>
      <c r="BE51" s="31"/>
      <c r="BF51" s="49">
        <f t="shared" ref="BF51:BX51" si="33">IF(MONTH($Q$4)&lt;&gt;MONTH($Q$4-(WEEKDAY($Q$4,1)-($AR$47-1))-IF((WEEKDAY($Q$4,1)-($AR$47-1))&lt;=0,7,0)+(ROW(BF51)-ROW($AN$51))*7+(COLUMN(BF51)-COLUMN($AN$51)+1)),"",$Q$4-(WEEKDAY($Q$4,1)-($AR$47-1))-IF((WEEKDAY($Q$4,1)-($AR$47-1))&lt;=0,7,0)+(ROW(BF51)-ROW($AN$51))*7+(COLUMN(BF51)-COLUMN($AN$51)+1))</f>
        <v>45884</v>
      </c>
      <c r="BG51" s="49">
        <f t="shared" si="33"/>
        <v>45885</v>
      </c>
      <c r="BH51" s="49">
        <f t="shared" si="33"/>
        <v>45886</v>
      </c>
      <c r="BI51" s="49">
        <f t="shared" si="33"/>
        <v>45887</v>
      </c>
      <c r="BJ51" s="49">
        <f t="shared" si="33"/>
        <v>45888</v>
      </c>
      <c r="BK51" s="49">
        <f t="shared" si="33"/>
        <v>45889</v>
      </c>
      <c r="BL51" s="49">
        <f t="shared" si="33"/>
        <v>45890</v>
      </c>
      <c r="BM51" s="49">
        <f t="shared" si="33"/>
        <v>45891</v>
      </c>
      <c r="BN51" s="49">
        <f t="shared" si="33"/>
        <v>45892</v>
      </c>
      <c r="BO51" s="49">
        <f t="shared" si="33"/>
        <v>45893</v>
      </c>
      <c r="BP51" s="49">
        <f t="shared" si="33"/>
        <v>45894</v>
      </c>
      <c r="BQ51" s="49">
        <f t="shared" si="33"/>
        <v>45895</v>
      </c>
      <c r="BR51" s="49">
        <f t="shared" si="33"/>
        <v>45896</v>
      </c>
      <c r="BS51" s="49">
        <f t="shared" si="33"/>
        <v>45897</v>
      </c>
      <c r="BT51" s="49">
        <f t="shared" si="33"/>
        <v>45898</v>
      </c>
      <c r="BU51" s="49">
        <f t="shared" si="33"/>
        <v>45899</v>
      </c>
      <c r="BV51" s="49">
        <f t="shared" si="33"/>
        <v>45900</v>
      </c>
      <c r="BW51" s="49" t="str">
        <f t="shared" si="33"/>
        <v/>
      </c>
      <c r="BX51" s="49" t="str">
        <f t="shared" si="33"/>
        <v/>
      </c>
      <c r="BY51" s="10"/>
      <c r="BZ51" s="10"/>
      <c r="CA51" s="10"/>
      <c r="CB51" s="10"/>
    </row>
    <row r="52" spans="1:80" s="2" customFormat="1" ht="15.95" hidden="1" customHeight="1" x14ac:dyDescent="0.25">
      <c r="A52" s="153" t="s">
        <v>48</v>
      </c>
      <c r="B52" s="149" t="s">
        <v>63</v>
      </c>
      <c r="C52" s="141" t="b">
        <f t="shared" ref="C52:AG52" si="34">IF(C46=1,IF(C47&lt;C48,C51,0))</f>
        <v>0</v>
      </c>
      <c r="D52" s="141">
        <f t="shared" si="34"/>
        <v>0</v>
      </c>
      <c r="E52" s="141">
        <f t="shared" si="34"/>
        <v>0</v>
      </c>
      <c r="F52" s="141" t="b">
        <f t="shared" si="34"/>
        <v>0</v>
      </c>
      <c r="G52" s="141" t="b">
        <f t="shared" si="34"/>
        <v>0</v>
      </c>
      <c r="H52" s="141" t="b">
        <f t="shared" si="34"/>
        <v>0</v>
      </c>
      <c r="I52" s="141" t="b">
        <f t="shared" si="34"/>
        <v>0</v>
      </c>
      <c r="J52" s="141" t="b">
        <f t="shared" si="34"/>
        <v>0</v>
      </c>
      <c r="K52" s="141">
        <f t="shared" si="34"/>
        <v>0</v>
      </c>
      <c r="L52" s="141">
        <f t="shared" si="34"/>
        <v>0</v>
      </c>
      <c r="M52" s="141" t="b">
        <f t="shared" si="34"/>
        <v>0</v>
      </c>
      <c r="N52" s="141" t="b">
        <f t="shared" si="34"/>
        <v>0</v>
      </c>
      <c r="O52" s="141" t="b">
        <f t="shared" si="34"/>
        <v>0</v>
      </c>
      <c r="P52" s="141" t="b">
        <f t="shared" si="34"/>
        <v>0</v>
      </c>
      <c r="Q52" s="141" t="b">
        <f t="shared" si="34"/>
        <v>0</v>
      </c>
      <c r="R52" s="141">
        <f t="shared" si="34"/>
        <v>0</v>
      </c>
      <c r="S52" s="141">
        <f t="shared" si="34"/>
        <v>0</v>
      </c>
      <c r="T52" s="141" t="b">
        <f t="shared" si="34"/>
        <v>0</v>
      </c>
      <c r="U52" s="141" t="b">
        <f t="shared" si="34"/>
        <v>0</v>
      </c>
      <c r="V52" s="141" t="b">
        <f t="shared" si="34"/>
        <v>0</v>
      </c>
      <c r="W52" s="141" t="b">
        <f t="shared" si="34"/>
        <v>0</v>
      </c>
      <c r="X52" s="141" t="b">
        <f t="shared" si="34"/>
        <v>0</v>
      </c>
      <c r="Y52" s="141">
        <f t="shared" si="34"/>
        <v>0</v>
      </c>
      <c r="Z52" s="141">
        <f t="shared" si="34"/>
        <v>0</v>
      </c>
      <c r="AA52" s="141" t="b">
        <f t="shared" si="34"/>
        <v>0</v>
      </c>
      <c r="AB52" s="141" t="b">
        <f t="shared" si="34"/>
        <v>0</v>
      </c>
      <c r="AC52" s="141" t="b">
        <f t="shared" si="34"/>
        <v>0</v>
      </c>
      <c r="AD52" s="141" t="b">
        <f t="shared" si="34"/>
        <v>0</v>
      </c>
      <c r="AE52" s="141" t="b">
        <f t="shared" si="34"/>
        <v>0</v>
      </c>
      <c r="AF52" s="141">
        <f t="shared" si="34"/>
        <v>0</v>
      </c>
      <c r="AG52" s="141">
        <f t="shared" si="34"/>
        <v>0</v>
      </c>
      <c r="AH52" s="154" t="s">
        <v>12</v>
      </c>
      <c r="AI52" s="133"/>
      <c r="AJ52" s="155"/>
      <c r="AK52" s="156"/>
      <c r="AL52" s="137"/>
      <c r="AN52" s="55" t="str">
        <f t="shared" ref="AN52:AT52" si="35">IF(AN51=$AR$48,IF(AN51="",0,1),"")</f>
        <v/>
      </c>
      <c r="AO52" s="55" t="str">
        <f t="shared" si="35"/>
        <v/>
      </c>
      <c r="AP52" s="55" t="str">
        <f t="shared" si="35"/>
        <v/>
      </c>
      <c r="AQ52" s="55" t="str">
        <f t="shared" si="35"/>
        <v/>
      </c>
      <c r="AR52" s="55">
        <f t="shared" si="35"/>
        <v>1</v>
      </c>
      <c r="AS52" s="55" t="str">
        <f t="shared" si="35"/>
        <v/>
      </c>
      <c r="AT52" s="55" t="str">
        <f t="shared" si="35"/>
        <v/>
      </c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56"/>
      <c r="BF52" s="10"/>
      <c r="BG52" s="10"/>
      <c r="BH52" s="10"/>
      <c r="BI52" s="10"/>
      <c r="BJ52" s="10"/>
      <c r="BK52" s="10"/>
      <c r="BL52" s="10"/>
      <c r="BM52" s="10"/>
      <c r="BN52" s="10"/>
      <c r="BO52" s="96">
        <f t="shared" ref="BO52:BX52" si="36">BO51</f>
        <v>45893</v>
      </c>
      <c r="BP52" s="96">
        <f t="shared" si="36"/>
        <v>45894</v>
      </c>
      <c r="BQ52" s="96">
        <f t="shared" si="36"/>
        <v>45895</v>
      </c>
      <c r="BR52" s="96">
        <f t="shared" si="36"/>
        <v>45896</v>
      </c>
      <c r="BS52" s="96">
        <f t="shared" si="36"/>
        <v>45897</v>
      </c>
      <c r="BT52" s="96">
        <f t="shared" si="36"/>
        <v>45898</v>
      </c>
      <c r="BU52" s="96">
        <f t="shared" si="36"/>
        <v>45899</v>
      </c>
      <c r="BV52" s="96">
        <f t="shared" si="36"/>
        <v>45900</v>
      </c>
      <c r="BW52" s="96" t="str">
        <f t="shared" si="36"/>
        <v/>
      </c>
      <c r="BX52" s="96" t="str">
        <f t="shared" si="36"/>
        <v/>
      </c>
      <c r="BY52" s="10"/>
      <c r="BZ52" s="10"/>
      <c r="CA52" s="10"/>
      <c r="CB52" s="10"/>
    </row>
    <row r="53" spans="1:80" s="2" customFormat="1" ht="15.95" hidden="1" customHeight="1" x14ac:dyDescent="0.25">
      <c r="A53" s="153"/>
      <c r="B53" s="149" t="s">
        <v>64</v>
      </c>
      <c r="C53" s="141">
        <f t="shared" ref="C53:AG53" si="37">IF(C46=1,IF(C47&gt;C48,24-C47,0),0)</f>
        <v>0</v>
      </c>
      <c r="D53" s="141">
        <f t="shared" si="37"/>
        <v>0</v>
      </c>
      <c r="E53" s="141">
        <f t="shared" si="37"/>
        <v>0</v>
      </c>
      <c r="F53" s="141">
        <f t="shared" si="37"/>
        <v>0</v>
      </c>
      <c r="G53" s="141">
        <f t="shared" si="37"/>
        <v>0</v>
      </c>
      <c r="H53" s="141">
        <f t="shared" si="37"/>
        <v>0</v>
      </c>
      <c r="I53" s="141">
        <f t="shared" si="37"/>
        <v>0</v>
      </c>
      <c r="J53" s="141">
        <f t="shared" si="37"/>
        <v>0</v>
      </c>
      <c r="K53" s="141">
        <f t="shared" si="37"/>
        <v>0</v>
      </c>
      <c r="L53" s="141">
        <f t="shared" si="37"/>
        <v>0</v>
      </c>
      <c r="M53" s="141">
        <f t="shared" si="37"/>
        <v>0</v>
      </c>
      <c r="N53" s="141">
        <f t="shared" si="37"/>
        <v>0</v>
      </c>
      <c r="O53" s="141">
        <f t="shared" si="37"/>
        <v>0</v>
      </c>
      <c r="P53" s="141">
        <f t="shared" si="37"/>
        <v>0</v>
      </c>
      <c r="Q53" s="141">
        <f t="shared" si="37"/>
        <v>0</v>
      </c>
      <c r="R53" s="141">
        <f t="shared" si="37"/>
        <v>0</v>
      </c>
      <c r="S53" s="141">
        <f t="shared" si="37"/>
        <v>0</v>
      </c>
      <c r="T53" s="141">
        <f t="shared" si="37"/>
        <v>0</v>
      </c>
      <c r="U53" s="141">
        <f t="shared" si="37"/>
        <v>0</v>
      </c>
      <c r="V53" s="141">
        <f t="shared" si="37"/>
        <v>0</v>
      </c>
      <c r="W53" s="141">
        <f t="shared" si="37"/>
        <v>0</v>
      </c>
      <c r="X53" s="141">
        <f t="shared" si="37"/>
        <v>0</v>
      </c>
      <c r="Y53" s="141">
        <f t="shared" si="37"/>
        <v>0</v>
      </c>
      <c r="Z53" s="141">
        <f t="shared" si="37"/>
        <v>0</v>
      </c>
      <c r="AA53" s="141">
        <f t="shared" si="37"/>
        <v>0</v>
      </c>
      <c r="AB53" s="141">
        <f t="shared" si="37"/>
        <v>0</v>
      </c>
      <c r="AC53" s="141">
        <f t="shared" si="37"/>
        <v>0</v>
      </c>
      <c r="AD53" s="141">
        <f t="shared" si="37"/>
        <v>0</v>
      </c>
      <c r="AE53" s="141">
        <f t="shared" si="37"/>
        <v>0</v>
      </c>
      <c r="AF53" s="141">
        <f t="shared" si="37"/>
        <v>0</v>
      </c>
      <c r="AG53" s="141">
        <f t="shared" si="37"/>
        <v>0</v>
      </c>
      <c r="AH53" s="154" t="s">
        <v>12</v>
      </c>
      <c r="AI53" s="133"/>
      <c r="AJ53" s="155"/>
      <c r="AK53" s="137"/>
      <c r="AL53" s="137"/>
      <c r="AN53" s="57" t="str">
        <f t="shared" ref="AN53:AT53" si="38">IF(AN52=1,IF(AN52="",0,AN50),"")</f>
        <v/>
      </c>
      <c r="AO53" s="57" t="str">
        <f t="shared" si="38"/>
        <v/>
      </c>
      <c r="AP53" s="57" t="str">
        <f t="shared" si="38"/>
        <v/>
      </c>
      <c r="AQ53" s="57" t="str">
        <f t="shared" si="38"/>
        <v/>
      </c>
      <c r="AR53" s="57" t="str">
        <f t="shared" si="38"/>
        <v>vi</v>
      </c>
      <c r="AS53" s="57" t="str">
        <f t="shared" si="38"/>
        <v/>
      </c>
      <c r="AT53" s="57" t="str">
        <f t="shared" si="38"/>
        <v/>
      </c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56"/>
      <c r="BF53" s="10"/>
      <c r="BG53" s="10"/>
      <c r="BH53" s="10"/>
      <c r="BI53" s="10"/>
      <c r="BJ53" s="10"/>
      <c r="BK53" s="10"/>
      <c r="BL53" s="10"/>
      <c r="BM53" s="10"/>
      <c r="BN53" s="10"/>
      <c r="BO53" s="58" t="str">
        <f t="shared" ref="BO53:BX53" si="39">IF(BO52=$AR$48+30,IF(BO52="",0,1),IF(BO52=$AR$48+29,IF(BO52="",0,1),IF(BO52=$AR$48+28,IF(BO52="",0,1),IF(BO52=$AR$48+27,IF(BO52="",0,1),""))))</f>
        <v/>
      </c>
      <c r="BP53" s="58" t="str">
        <f t="shared" si="39"/>
        <v/>
      </c>
      <c r="BQ53" s="58" t="str">
        <f t="shared" si="39"/>
        <v/>
      </c>
      <c r="BR53" s="58" t="str">
        <f t="shared" si="39"/>
        <v/>
      </c>
      <c r="BS53" s="58">
        <f t="shared" si="39"/>
        <v>1</v>
      </c>
      <c r="BT53" s="58">
        <f t="shared" si="39"/>
        <v>1</v>
      </c>
      <c r="BU53" s="58">
        <f t="shared" si="39"/>
        <v>1</v>
      </c>
      <c r="BV53" s="58">
        <f t="shared" si="39"/>
        <v>1</v>
      </c>
      <c r="BW53" s="58" t="str">
        <f t="shared" si="39"/>
        <v/>
      </c>
      <c r="BX53" s="58" t="str">
        <f t="shared" si="39"/>
        <v/>
      </c>
      <c r="BY53" s="10"/>
      <c r="BZ53" s="10"/>
      <c r="CA53" s="10"/>
      <c r="CB53" s="10"/>
    </row>
    <row r="54" spans="1:80" s="2" customFormat="1" ht="15.95" hidden="1" customHeight="1" x14ac:dyDescent="0.25">
      <c r="A54" s="157"/>
      <c r="B54" s="149" t="s">
        <v>65</v>
      </c>
      <c r="C54" s="141">
        <f t="shared" ref="C54:AG54" si="40">IF(D46=1,IF(C47&gt;C48,C48,0),0)</f>
        <v>0</v>
      </c>
      <c r="D54" s="141">
        <f t="shared" si="40"/>
        <v>0</v>
      </c>
      <c r="E54" s="141">
        <f t="shared" si="40"/>
        <v>0</v>
      </c>
      <c r="F54" s="141">
        <f t="shared" si="40"/>
        <v>0</v>
      </c>
      <c r="G54" s="141">
        <f t="shared" si="40"/>
        <v>0</v>
      </c>
      <c r="H54" s="141">
        <f t="shared" si="40"/>
        <v>0</v>
      </c>
      <c r="I54" s="141">
        <f t="shared" si="40"/>
        <v>0</v>
      </c>
      <c r="J54" s="141">
        <f t="shared" si="40"/>
        <v>0</v>
      </c>
      <c r="K54" s="141">
        <f t="shared" si="40"/>
        <v>0</v>
      </c>
      <c r="L54" s="141">
        <f t="shared" si="40"/>
        <v>0</v>
      </c>
      <c r="M54" s="141">
        <f t="shared" si="40"/>
        <v>0</v>
      </c>
      <c r="N54" s="141">
        <f t="shared" si="40"/>
        <v>0</v>
      </c>
      <c r="O54" s="141">
        <f t="shared" si="40"/>
        <v>0</v>
      </c>
      <c r="P54" s="141">
        <f t="shared" si="40"/>
        <v>0</v>
      </c>
      <c r="Q54" s="141">
        <f t="shared" si="40"/>
        <v>0</v>
      </c>
      <c r="R54" s="141">
        <f t="shared" si="40"/>
        <v>0</v>
      </c>
      <c r="S54" s="141">
        <f t="shared" si="40"/>
        <v>0</v>
      </c>
      <c r="T54" s="141">
        <f t="shared" si="40"/>
        <v>0</v>
      </c>
      <c r="U54" s="141">
        <f t="shared" si="40"/>
        <v>0</v>
      </c>
      <c r="V54" s="141">
        <f t="shared" si="40"/>
        <v>0</v>
      </c>
      <c r="W54" s="141">
        <f t="shared" si="40"/>
        <v>0</v>
      </c>
      <c r="X54" s="141">
        <f>IF(Y46=1,IF(X47&gt;X48,X48,0),0)</f>
        <v>0</v>
      </c>
      <c r="Y54" s="141">
        <f t="shared" si="40"/>
        <v>0</v>
      </c>
      <c r="Z54" s="141">
        <f t="shared" si="40"/>
        <v>0</v>
      </c>
      <c r="AA54" s="141">
        <f t="shared" si="40"/>
        <v>0</v>
      </c>
      <c r="AB54" s="141">
        <f t="shared" si="40"/>
        <v>0</v>
      </c>
      <c r="AC54" s="141">
        <f t="shared" si="40"/>
        <v>0</v>
      </c>
      <c r="AD54" s="141">
        <f t="shared" si="40"/>
        <v>0</v>
      </c>
      <c r="AE54" s="141">
        <f t="shared" si="40"/>
        <v>0</v>
      </c>
      <c r="AF54" s="141">
        <f t="shared" si="40"/>
        <v>0</v>
      </c>
      <c r="AG54" s="141">
        <f t="shared" si="40"/>
        <v>0</v>
      </c>
      <c r="AH54" s="154" t="s">
        <v>12</v>
      </c>
      <c r="AI54" s="133"/>
      <c r="AJ54" s="155"/>
      <c r="AK54" s="137"/>
      <c r="AL54" s="137"/>
      <c r="AN54" s="10"/>
      <c r="AO54" s="10"/>
      <c r="AP54" s="10"/>
      <c r="AQ54" s="10"/>
      <c r="AR54" s="47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56"/>
      <c r="BF54" s="10"/>
      <c r="BG54" s="10"/>
      <c r="BH54" s="10"/>
      <c r="BI54" s="10"/>
      <c r="BJ54" s="10"/>
      <c r="BK54" s="10"/>
      <c r="BL54" s="10"/>
      <c r="BM54" s="10"/>
      <c r="BN54" s="10"/>
      <c r="BO54" s="52" t="str">
        <f t="shared" ref="BO54:BX54" si="41">IF(BO53=1,IF(BO53="",0,BO52),"")</f>
        <v/>
      </c>
      <c r="BP54" s="52" t="str">
        <f t="shared" si="41"/>
        <v/>
      </c>
      <c r="BQ54" s="52" t="str">
        <f t="shared" si="41"/>
        <v/>
      </c>
      <c r="BR54" s="52" t="str">
        <f t="shared" si="41"/>
        <v/>
      </c>
      <c r="BS54" s="52">
        <f t="shared" si="41"/>
        <v>45897</v>
      </c>
      <c r="BT54" s="52">
        <f t="shared" si="41"/>
        <v>45898</v>
      </c>
      <c r="BU54" s="52">
        <f t="shared" si="41"/>
        <v>45899</v>
      </c>
      <c r="BV54" s="52">
        <f t="shared" si="41"/>
        <v>45900</v>
      </c>
      <c r="BW54" s="52" t="str">
        <f t="shared" si="41"/>
        <v/>
      </c>
      <c r="BX54" s="52" t="str">
        <f t="shared" si="41"/>
        <v/>
      </c>
      <c r="BY54" s="56"/>
      <c r="BZ54" s="97" t="s">
        <v>66</v>
      </c>
      <c r="CA54" s="56"/>
      <c r="CB54" s="10"/>
    </row>
    <row r="55" spans="1:80" s="2" customFormat="1" ht="15.95" hidden="1" customHeight="1" x14ac:dyDescent="0.25">
      <c r="A55" s="157"/>
      <c r="B55" s="149" t="s">
        <v>67</v>
      </c>
      <c r="C55" s="158">
        <f t="shared" ref="C55:AG55" si="42">SUM(C52:C54)</f>
        <v>0</v>
      </c>
      <c r="D55" s="158">
        <f t="shared" si="42"/>
        <v>0</v>
      </c>
      <c r="E55" s="158">
        <f t="shared" si="42"/>
        <v>0</v>
      </c>
      <c r="F55" s="158">
        <f t="shared" si="42"/>
        <v>0</v>
      </c>
      <c r="G55" s="158">
        <f t="shared" si="42"/>
        <v>0</v>
      </c>
      <c r="H55" s="158">
        <f t="shared" si="42"/>
        <v>0</v>
      </c>
      <c r="I55" s="158">
        <f t="shared" si="42"/>
        <v>0</v>
      </c>
      <c r="J55" s="158">
        <f t="shared" si="42"/>
        <v>0</v>
      </c>
      <c r="K55" s="158">
        <f t="shared" si="42"/>
        <v>0</v>
      </c>
      <c r="L55" s="158">
        <f t="shared" si="42"/>
        <v>0</v>
      </c>
      <c r="M55" s="158">
        <f t="shared" si="42"/>
        <v>0</v>
      </c>
      <c r="N55" s="158">
        <f t="shared" si="42"/>
        <v>0</v>
      </c>
      <c r="O55" s="158">
        <f t="shared" si="42"/>
        <v>0</v>
      </c>
      <c r="P55" s="158">
        <f t="shared" si="42"/>
        <v>0</v>
      </c>
      <c r="Q55" s="158">
        <f t="shared" si="42"/>
        <v>0</v>
      </c>
      <c r="R55" s="158">
        <f t="shared" si="42"/>
        <v>0</v>
      </c>
      <c r="S55" s="158">
        <f t="shared" si="42"/>
        <v>0</v>
      </c>
      <c r="T55" s="158">
        <f t="shared" si="42"/>
        <v>0</v>
      </c>
      <c r="U55" s="158">
        <f t="shared" si="42"/>
        <v>0</v>
      </c>
      <c r="V55" s="158">
        <f t="shared" si="42"/>
        <v>0</v>
      </c>
      <c r="W55" s="158">
        <f t="shared" si="42"/>
        <v>0</v>
      </c>
      <c r="X55" s="158">
        <f t="shared" si="42"/>
        <v>0</v>
      </c>
      <c r="Y55" s="158">
        <f t="shared" si="42"/>
        <v>0</v>
      </c>
      <c r="Z55" s="158">
        <f t="shared" si="42"/>
        <v>0</v>
      </c>
      <c r="AA55" s="158">
        <f t="shared" si="42"/>
        <v>0</v>
      </c>
      <c r="AB55" s="158">
        <f t="shared" si="42"/>
        <v>0</v>
      </c>
      <c r="AC55" s="158">
        <f t="shared" si="42"/>
        <v>0</v>
      </c>
      <c r="AD55" s="158">
        <f t="shared" si="42"/>
        <v>0</v>
      </c>
      <c r="AE55" s="158">
        <f t="shared" si="42"/>
        <v>0</v>
      </c>
      <c r="AF55" s="158">
        <f t="shared" si="42"/>
        <v>0</v>
      </c>
      <c r="AG55" s="158">
        <f t="shared" si="42"/>
        <v>0</v>
      </c>
      <c r="AH55" s="154" t="s">
        <v>12</v>
      </c>
      <c r="AI55" s="133"/>
      <c r="AJ55" s="155"/>
      <c r="AK55" s="137"/>
      <c r="AL55" s="137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59"/>
      <c r="BF55" s="10"/>
      <c r="BG55" s="10"/>
      <c r="BH55" s="10"/>
      <c r="BI55" s="10"/>
      <c r="BJ55" s="10"/>
      <c r="BK55" s="10"/>
      <c r="BL55" s="10"/>
      <c r="BM55" s="10"/>
      <c r="BN55" s="10"/>
      <c r="BO55" s="52" t="str">
        <f t="shared" ref="BO55:BX55" si="43">IF(BO54=$AZ48,IF(BO54="",0,$AZ48),"")</f>
        <v/>
      </c>
      <c r="BP55" s="52" t="str">
        <f t="shared" si="43"/>
        <v/>
      </c>
      <c r="BQ55" s="52" t="str">
        <f t="shared" si="43"/>
        <v/>
      </c>
      <c r="BR55" s="52" t="str">
        <f t="shared" si="43"/>
        <v/>
      </c>
      <c r="BS55" s="52" t="str">
        <f t="shared" si="43"/>
        <v/>
      </c>
      <c r="BT55" s="52" t="str">
        <f t="shared" si="43"/>
        <v/>
      </c>
      <c r="BU55" s="52" t="str">
        <f t="shared" si="43"/>
        <v/>
      </c>
      <c r="BV55" s="52">
        <f t="shared" si="43"/>
        <v>45900</v>
      </c>
      <c r="BW55" s="52" t="str">
        <f t="shared" si="43"/>
        <v/>
      </c>
      <c r="BX55" s="52" t="str">
        <f t="shared" si="43"/>
        <v/>
      </c>
      <c r="BY55" s="52">
        <f t="shared" ref="BY55:BY58" si="44">SUM(BO55:BX55)</f>
        <v>45900</v>
      </c>
      <c r="BZ55" s="98">
        <f t="shared" ref="BZ55:BZ58" si="45">IF(BY55=$AZ$48,IF(BY55="",0,31),IF(BY55=$AZ$47,IF(BY55="",0,30),IF(BY55=$AX$48,IF(BY55="",0,29),IF(BY55=$AX$47,IF(BY55="",0,28)))))</f>
        <v>31</v>
      </c>
      <c r="CA55" s="99">
        <v>31</v>
      </c>
      <c r="CB55" s="10"/>
    </row>
    <row r="56" spans="1:80" s="2" customFormat="1" ht="15.95" hidden="1" customHeight="1" x14ac:dyDescent="0.25">
      <c r="A56" s="159"/>
      <c r="B56" s="160" t="s">
        <v>68</v>
      </c>
      <c r="C56" s="161">
        <f t="shared" ref="C56:AG56" si="46">IF(C9="V",IF(C9="",0,1),0)</f>
        <v>0</v>
      </c>
      <c r="D56" s="161">
        <f t="shared" si="46"/>
        <v>0</v>
      </c>
      <c r="E56" s="161">
        <f t="shared" si="46"/>
        <v>0</v>
      </c>
      <c r="F56" s="161">
        <f t="shared" si="46"/>
        <v>0</v>
      </c>
      <c r="G56" s="161">
        <f t="shared" si="46"/>
        <v>0</v>
      </c>
      <c r="H56" s="161">
        <f t="shared" si="46"/>
        <v>0</v>
      </c>
      <c r="I56" s="161">
        <f t="shared" si="46"/>
        <v>0</v>
      </c>
      <c r="J56" s="161">
        <f t="shared" si="46"/>
        <v>0</v>
      </c>
      <c r="K56" s="161">
        <f t="shared" si="46"/>
        <v>0</v>
      </c>
      <c r="L56" s="161">
        <f t="shared" si="46"/>
        <v>0</v>
      </c>
      <c r="M56" s="161">
        <f t="shared" si="46"/>
        <v>0</v>
      </c>
      <c r="N56" s="161">
        <f t="shared" si="46"/>
        <v>0</v>
      </c>
      <c r="O56" s="161">
        <f t="shared" si="46"/>
        <v>0</v>
      </c>
      <c r="P56" s="161">
        <f t="shared" si="46"/>
        <v>0</v>
      </c>
      <c r="Q56" s="161">
        <f t="shared" si="46"/>
        <v>0</v>
      </c>
      <c r="R56" s="161">
        <f t="shared" si="46"/>
        <v>0</v>
      </c>
      <c r="S56" s="161">
        <f t="shared" si="46"/>
        <v>0</v>
      </c>
      <c r="T56" s="161">
        <f t="shared" si="46"/>
        <v>0</v>
      </c>
      <c r="U56" s="161">
        <f t="shared" si="46"/>
        <v>0</v>
      </c>
      <c r="V56" s="161">
        <f t="shared" si="46"/>
        <v>0</v>
      </c>
      <c r="W56" s="161">
        <f t="shared" si="46"/>
        <v>0</v>
      </c>
      <c r="X56" s="161">
        <f t="shared" si="46"/>
        <v>0</v>
      </c>
      <c r="Y56" s="161">
        <f t="shared" si="46"/>
        <v>0</v>
      </c>
      <c r="Z56" s="161">
        <f t="shared" si="46"/>
        <v>0</v>
      </c>
      <c r="AA56" s="161">
        <f t="shared" si="46"/>
        <v>0</v>
      </c>
      <c r="AB56" s="161">
        <f t="shared" si="46"/>
        <v>0</v>
      </c>
      <c r="AC56" s="161">
        <f t="shared" si="46"/>
        <v>0</v>
      </c>
      <c r="AD56" s="161">
        <f t="shared" si="46"/>
        <v>0</v>
      </c>
      <c r="AE56" s="161">
        <f t="shared" si="46"/>
        <v>0</v>
      </c>
      <c r="AF56" s="161">
        <f t="shared" si="46"/>
        <v>0</v>
      </c>
      <c r="AG56" s="161">
        <f t="shared" si="46"/>
        <v>0</v>
      </c>
      <c r="AH56" s="154" t="s">
        <v>12</v>
      </c>
      <c r="AI56" s="133"/>
      <c r="AJ56" s="155"/>
      <c r="AK56" s="137"/>
      <c r="AL56" s="137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59"/>
      <c r="BF56" s="10"/>
      <c r="BG56" s="10"/>
      <c r="BH56" s="10"/>
      <c r="BI56" s="10"/>
      <c r="BJ56" s="10"/>
      <c r="BK56" s="10"/>
      <c r="BL56" s="10"/>
      <c r="BM56" s="10"/>
      <c r="BN56" s="10"/>
      <c r="BO56" s="52" t="str">
        <f t="shared" ref="BO56:BX56" si="47">IF(BO54=$AZ47,IF(BO54="",0,$AZ47),"")</f>
        <v/>
      </c>
      <c r="BP56" s="52" t="str">
        <f t="shared" si="47"/>
        <v/>
      </c>
      <c r="BQ56" s="52" t="str">
        <f t="shared" si="47"/>
        <v/>
      </c>
      <c r="BR56" s="52" t="str">
        <f t="shared" si="47"/>
        <v/>
      </c>
      <c r="BS56" s="52" t="str">
        <f t="shared" si="47"/>
        <v/>
      </c>
      <c r="BT56" s="52" t="str">
        <f t="shared" si="47"/>
        <v/>
      </c>
      <c r="BU56" s="52">
        <f t="shared" si="47"/>
        <v>45899</v>
      </c>
      <c r="BV56" s="52" t="str">
        <f t="shared" si="47"/>
        <v/>
      </c>
      <c r="BW56" s="52" t="str">
        <f t="shared" si="47"/>
        <v/>
      </c>
      <c r="BX56" s="52" t="str">
        <f t="shared" si="47"/>
        <v/>
      </c>
      <c r="BY56" s="52">
        <f t="shared" si="44"/>
        <v>45899</v>
      </c>
      <c r="BZ56" s="98">
        <f t="shared" si="45"/>
        <v>30</v>
      </c>
      <c r="CA56" s="99">
        <v>30</v>
      </c>
      <c r="CB56" s="10"/>
    </row>
    <row r="57" spans="1:80" ht="15.95" hidden="1" customHeight="1" x14ac:dyDescent="0.25">
      <c r="A57" s="129"/>
      <c r="B57" s="162" t="s">
        <v>16</v>
      </c>
      <c r="C57" s="163">
        <f t="shared" ref="C57:AG57" si="48">IF(C9="PR",IF(C9="",0,1),0)</f>
        <v>0</v>
      </c>
      <c r="D57" s="163">
        <f t="shared" si="48"/>
        <v>0</v>
      </c>
      <c r="E57" s="163">
        <f t="shared" si="48"/>
        <v>0</v>
      </c>
      <c r="F57" s="163">
        <f t="shared" si="48"/>
        <v>0</v>
      </c>
      <c r="G57" s="163">
        <f t="shared" si="48"/>
        <v>0</v>
      </c>
      <c r="H57" s="163">
        <f t="shared" si="48"/>
        <v>0</v>
      </c>
      <c r="I57" s="163">
        <f t="shared" si="48"/>
        <v>0</v>
      </c>
      <c r="J57" s="163">
        <f t="shared" si="48"/>
        <v>0</v>
      </c>
      <c r="K57" s="163">
        <f t="shared" si="48"/>
        <v>0</v>
      </c>
      <c r="L57" s="163">
        <f t="shared" si="48"/>
        <v>0</v>
      </c>
      <c r="M57" s="163">
        <f t="shared" si="48"/>
        <v>0</v>
      </c>
      <c r="N57" s="163">
        <f t="shared" si="48"/>
        <v>0</v>
      </c>
      <c r="O57" s="163">
        <f t="shared" si="48"/>
        <v>0</v>
      </c>
      <c r="P57" s="163">
        <f t="shared" si="48"/>
        <v>0</v>
      </c>
      <c r="Q57" s="163">
        <f t="shared" si="48"/>
        <v>0</v>
      </c>
      <c r="R57" s="163">
        <f t="shared" si="48"/>
        <v>0</v>
      </c>
      <c r="S57" s="163">
        <f t="shared" si="48"/>
        <v>0</v>
      </c>
      <c r="T57" s="163">
        <f t="shared" si="48"/>
        <v>0</v>
      </c>
      <c r="U57" s="163">
        <f t="shared" si="48"/>
        <v>0</v>
      </c>
      <c r="V57" s="163">
        <f t="shared" si="48"/>
        <v>0</v>
      </c>
      <c r="W57" s="163">
        <f t="shared" si="48"/>
        <v>0</v>
      </c>
      <c r="X57" s="163">
        <f t="shared" si="48"/>
        <v>0</v>
      </c>
      <c r="Y57" s="163">
        <f t="shared" si="48"/>
        <v>0</v>
      </c>
      <c r="Z57" s="163">
        <f t="shared" si="48"/>
        <v>0</v>
      </c>
      <c r="AA57" s="163">
        <f t="shared" si="48"/>
        <v>0</v>
      </c>
      <c r="AB57" s="163">
        <f t="shared" si="48"/>
        <v>0</v>
      </c>
      <c r="AC57" s="163">
        <f t="shared" si="48"/>
        <v>0</v>
      </c>
      <c r="AD57" s="163">
        <f t="shared" si="48"/>
        <v>0</v>
      </c>
      <c r="AE57" s="163">
        <f t="shared" si="48"/>
        <v>0</v>
      </c>
      <c r="AF57" s="163">
        <f t="shared" si="48"/>
        <v>0</v>
      </c>
      <c r="AG57" s="163">
        <f t="shared" si="48"/>
        <v>0</v>
      </c>
      <c r="AH57" s="233">
        <f>SUM(C57:AG57)</f>
        <v>0</v>
      </c>
      <c r="AI57" s="233"/>
      <c r="AJ57" s="137" t="s">
        <v>69</v>
      </c>
      <c r="AK57" s="133"/>
      <c r="AL57" s="133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59"/>
      <c r="BF57" s="31"/>
      <c r="BG57" s="31"/>
      <c r="BH57" s="31"/>
      <c r="BI57" s="31"/>
      <c r="BJ57" s="31"/>
      <c r="BK57" s="31"/>
      <c r="BL57" s="31"/>
      <c r="BM57" s="31"/>
      <c r="BN57" s="31"/>
      <c r="BO57" s="52" t="str">
        <f t="shared" ref="BO57:BX57" si="49">IF(BO54=$AX48,IF(BO54="",0,$AX48),"")</f>
        <v/>
      </c>
      <c r="BP57" s="52" t="str">
        <f t="shared" si="49"/>
        <v/>
      </c>
      <c r="BQ57" s="52" t="str">
        <f t="shared" si="49"/>
        <v/>
      </c>
      <c r="BR57" s="52" t="str">
        <f t="shared" si="49"/>
        <v/>
      </c>
      <c r="BS57" s="52" t="str">
        <f t="shared" si="49"/>
        <v/>
      </c>
      <c r="BT57" s="52">
        <f t="shared" si="49"/>
        <v>45898</v>
      </c>
      <c r="BU57" s="52" t="str">
        <f t="shared" si="49"/>
        <v/>
      </c>
      <c r="BV57" s="52" t="str">
        <f t="shared" si="49"/>
        <v/>
      </c>
      <c r="BW57" s="52" t="str">
        <f t="shared" si="49"/>
        <v/>
      </c>
      <c r="BX57" s="52" t="str">
        <f t="shared" si="49"/>
        <v/>
      </c>
      <c r="BY57" s="52">
        <f t="shared" si="44"/>
        <v>45898</v>
      </c>
      <c r="BZ57" s="98">
        <f t="shared" si="45"/>
        <v>29</v>
      </c>
      <c r="CA57" s="99">
        <v>29</v>
      </c>
      <c r="CB57" s="31"/>
    </row>
    <row r="58" spans="1:80" s="59" customFormat="1" ht="15.95" hidden="1" customHeight="1" x14ac:dyDescent="0.25">
      <c r="A58" s="164" t="s">
        <v>70</v>
      </c>
      <c r="B58" s="165" t="s">
        <v>29</v>
      </c>
      <c r="C58" s="141" t="str">
        <f t="shared" ref="C58:AG58" si="50">IF(C10=$R32,$S32*24,IF(C10=$R33,$S33*24,IF(C10=$R34,$S34*24,IF(C10=$R35,$S35*24,IF(C10=$R36,$S36*24,IF(C10=$R37,$S37*24,IF(C10=$R38,$S38*24,IF(C10=$R39,$S39*24,IF(C10=$R40,$S40*24,"")))))))))</f>
        <v/>
      </c>
      <c r="D58" s="141" t="str">
        <f t="shared" si="50"/>
        <v/>
      </c>
      <c r="E58" s="141" t="str">
        <f t="shared" si="50"/>
        <v/>
      </c>
      <c r="F58" s="141" t="str">
        <f t="shared" si="50"/>
        <v/>
      </c>
      <c r="G58" s="141" t="str">
        <f t="shared" si="50"/>
        <v/>
      </c>
      <c r="H58" s="141" t="str">
        <f t="shared" si="50"/>
        <v/>
      </c>
      <c r="I58" s="141" t="str">
        <f t="shared" si="50"/>
        <v/>
      </c>
      <c r="J58" s="141" t="str">
        <f t="shared" si="50"/>
        <v/>
      </c>
      <c r="K58" s="141" t="str">
        <f t="shared" si="50"/>
        <v/>
      </c>
      <c r="L58" s="141" t="str">
        <f t="shared" si="50"/>
        <v/>
      </c>
      <c r="M58" s="141" t="str">
        <f t="shared" si="50"/>
        <v/>
      </c>
      <c r="N58" s="141" t="str">
        <f t="shared" si="50"/>
        <v/>
      </c>
      <c r="O58" s="141" t="str">
        <f t="shared" si="50"/>
        <v/>
      </c>
      <c r="P58" s="141" t="str">
        <f t="shared" si="50"/>
        <v/>
      </c>
      <c r="Q58" s="141" t="str">
        <f t="shared" si="50"/>
        <v/>
      </c>
      <c r="R58" s="141" t="str">
        <f t="shared" si="50"/>
        <v/>
      </c>
      <c r="S58" s="141" t="str">
        <f t="shared" si="50"/>
        <v/>
      </c>
      <c r="T58" s="141" t="str">
        <f t="shared" si="50"/>
        <v/>
      </c>
      <c r="U58" s="141" t="str">
        <f t="shared" si="50"/>
        <v/>
      </c>
      <c r="V58" s="141" t="str">
        <f t="shared" si="50"/>
        <v/>
      </c>
      <c r="W58" s="141" t="str">
        <f t="shared" si="50"/>
        <v/>
      </c>
      <c r="X58" s="141" t="str">
        <f t="shared" si="50"/>
        <v/>
      </c>
      <c r="Y58" s="141" t="str">
        <f t="shared" si="50"/>
        <v/>
      </c>
      <c r="Z58" s="141" t="str">
        <f t="shared" si="50"/>
        <v/>
      </c>
      <c r="AA58" s="141" t="str">
        <f t="shared" si="50"/>
        <v/>
      </c>
      <c r="AB58" s="141" t="str">
        <f t="shared" si="50"/>
        <v/>
      </c>
      <c r="AC58" s="141" t="str">
        <f t="shared" si="50"/>
        <v/>
      </c>
      <c r="AD58" s="141" t="str">
        <f t="shared" si="50"/>
        <v/>
      </c>
      <c r="AE58" s="141" t="str">
        <f t="shared" si="50"/>
        <v/>
      </c>
      <c r="AF58" s="141" t="str">
        <f t="shared" si="50"/>
        <v/>
      </c>
      <c r="AG58" s="141" t="str">
        <f t="shared" si="50"/>
        <v/>
      </c>
      <c r="AH58" s="154" t="s">
        <v>12</v>
      </c>
      <c r="AI58" s="133"/>
      <c r="AJ58" s="137"/>
      <c r="AK58" s="137"/>
      <c r="AL58" s="137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1"/>
      <c r="BF58" s="56"/>
      <c r="BG58" s="56"/>
      <c r="BH58" s="56"/>
      <c r="BI58" s="56"/>
      <c r="BJ58" s="56"/>
      <c r="BK58" s="56"/>
      <c r="BL58" s="56"/>
      <c r="BM58" s="56"/>
      <c r="BN58" s="56"/>
      <c r="BO58" s="52" t="str">
        <f t="shared" ref="BO58:BX58" si="51">IF(BO54=$AX47,IF(BO54="",0,$AX47),"")</f>
        <v/>
      </c>
      <c r="BP58" s="52" t="str">
        <f t="shared" si="51"/>
        <v/>
      </c>
      <c r="BQ58" s="52" t="str">
        <f t="shared" si="51"/>
        <v/>
      </c>
      <c r="BR58" s="52" t="str">
        <f t="shared" si="51"/>
        <v/>
      </c>
      <c r="BS58" s="52">
        <f t="shared" si="51"/>
        <v>45897</v>
      </c>
      <c r="BT58" s="52" t="str">
        <f t="shared" si="51"/>
        <v/>
      </c>
      <c r="BU58" s="52" t="str">
        <f t="shared" si="51"/>
        <v/>
      </c>
      <c r="BV58" s="52" t="str">
        <f t="shared" si="51"/>
        <v/>
      </c>
      <c r="BW58" s="52" t="str">
        <f t="shared" si="51"/>
        <v/>
      </c>
      <c r="BX58" s="52" t="str">
        <f t="shared" si="51"/>
        <v/>
      </c>
      <c r="BY58" s="52">
        <f t="shared" si="44"/>
        <v>45897</v>
      </c>
      <c r="BZ58" s="52">
        <f t="shared" si="45"/>
        <v>28</v>
      </c>
      <c r="CA58" s="99">
        <v>28</v>
      </c>
      <c r="CB58" s="56"/>
    </row>
    <row r="59" spans="1:80" s="59" customFormat="1" ht="15.95" hidden="1" customHeight="1" x14ac:dyDescent="0.25">
      <c r="A59" s="166" t="s">
        <v>71</v>
      </c>
      <c r="B59" s="167" t="s">
        <v>30</v>
      </c>
      <c r="C59" s="141" t="str">
        <f t="shared" ref="C59:AG59" si="52">IF(C10=$R32,$V32*24,IF(C10=$R33,$V33*24,IF(C10=$R34,$V34*24,IF(C10=$R35,$V35*24,IF(C10=$R36,$V36*24,IF(C10=$R37,$V37*24,IF(C10=$R38,$V38*24,IF(C10=$R39,$V39*24,IF(C10=$R40,$V40*24,"")))))))))</f>
        <v/>
      </c>
      <c r="D59" s="141" t="str">
        <f t="shared" si="52"/>
        <v/>
      </c>
      <c r="E59" s="141" t="str">
        <f t="shared" si="52"/>
        <v/>
      </c>
      <c r="F59" s="141" t="str">
        <f t="shared" si="52"/>
        <v/>
      </c>
      <c r="G59" s="141" t="str">
        <f t="shared" si="52"/>
        <v/>
      </c>
      <c r="H59" s="141" t="str">
        <f t="shared" si="52"/>
        <v/>
      </c>
      <c r="I59" s="141" t="str">
        <f t="shared" si="52"/>
        <v/>
      </c>
      <c r="J59" s="141" t="str">
        <f t="shared" si="52"/>
        <v/>
      </c>
      <c r="K59" s="141" t="str">
        <f t="shared" si="52"/>
        <v/>
      </c>
      <c r="L59" s="141" t="str">
        <f t="shared" si="52"/>
        <v/>
      </c>
      <c r="M59" s="141" t="str">
        <f t="shared" si="52"/>
        <v/>
      </c>
      <c r="N59" s="141" t="str">
        <f t="shared" si="52"/>
        <v/>
      </c>
      <c r="O59" s="141" t="str">
        <f t="shared" si="52"/>
        <v/>
      </c>
      <c r="P59" s="141" t="str">
        <f t="shared" si="52"/>
        <v/>
      </c>
      <c r="Q59" s="141" t="str">
        <f t="shared" si="52"/>
        <v/>
      </c>
      <c r="R59" s="141" t="str">
        <f t="shared" si="52"/>
        <v/>
      </c>
      <c r="S59" s="141" t="str">
        <f t="shared" si="52"/>
        <v/>
      </c>
      <c r="T59" s="141" t="str">
        <f t="shared" si="52"/>
        <v/>
      </c>
      <c r="U59" s="141" t="str">
        <f t="shared" si="52"/>
        <v/>
      </c>
      <c r="V59" s="141" t="str">
        <f t="shared" si="52"/>
        <v/>
      </c>
      <c r="W59" s="141" t="str">
        <f t="shared" si="52"/>
        <v/>
      </c>
      <c r="X59" s="141" t="str">
        <f t="shared" si="52"/>
        <v/>
      </c>
      <c r="Y59" s="141" t="str">
        <f t="shared" si="52"/>
        <v/>
      </c>
      <c r="Z59" s="141" t="str">
        <f t="shared" si="52"/>
        <v/>
      </c>
      <c r="AA59" s="141" t="str">
        <f t="shared" si="52"/>
        <v/>
      </c>
      <c r="AB59" s="141" t="str">
        <f t="shared" si="52"/>
        <v/>
      </c>
      <c r="AC59" s="141" t="str">
        <f t="shared" si="52"/>
        <v/>
      </c>
      <c r="AD59" s="141" t="str">
        <f t="shared" si="52"/>
        <v/>
      </c>
      <c r="AE59" s="141" t="str">
        <f t="shared" si="52"/>
        <v/>
      </c>
      <c r="AF59" s="141" t="str">
        <f t="shared" si="52"/>
        <v/>
      </c>
      <c r="AG59" s="141" t="str">
        <f t="shared" si="52"/>
        <v/>
      </c>
      <c r="AH59" s="154" t="s">
        <v>12</v>
      </c>
      <c r="AI59" s="133"/>
      <c r="AJ59" s="137"/>
      <c r="AK59" s="137"/>
      <c r="AL59" s="137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1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100" t="s">
        <v>56</v>
      </c>
      <c r="BZ59" s="52">
        <f>SUM(BZ55:BZ58)</f>
        <v>118</v>
      </c>
      <c r="CA59" s="53">
        <f>IF(BZ59=118,31,IF(BZ59=90,31,IF(BZ59=61,31,IF(BZ59=31,31,IF(BZ59=87,30,IF(BZ59=59,30,IF(BZ59=30,30,IF(BZ59=57,29,IF(BZ59=29,29,IF(BZ59=28,28,""))))))))))</f>
        <v>31</v>
      </c>
      <c r="CB59" s="10"/>
    </row>
    <row r="60" spans="1:80" s="59" customFormat="1" ht="15.95" hidden="1" customHeight="1" x14ac:dyDescent="0.25">
      <c r="A60" s="153"/>
      <c r="B60" s="168" t="s">
        <v>34</v>
      </c>
      <c r="C60" s="169" t="str">
        <f t="shared" ref="C60:AD60" si="53">IF(C10=$R32,$BD32*24,IF(C10=$R33,$BD33*24,IF(C10=$R34,$BD34*24,IF(C10=$R35,$BD35*24,IF(C10=$R36,$BD36*24,IF(C10=$R37,$BD37*24,IF(C10=$R38,$BD38*24,IF(C10=$R39,$BD39*24,IF(C10=$R40,$BD40*24,"")))))))))</f>
        <v/>
      </c>
      <c r="D60" s="169" t="str">
        <f t="shared" si="53"/>
        <v/>
      </c>
      <c r="E60" s="169" t="str">
        <f t="shared" si="53"/>
        <v/>
      </c>
      <c r="F60" s="169" t="str">
        <f t="shared" si="53"/>
        <v/>
      </c>
      <c r="G60" s="169" t="str">
        <f t="shared" si="53"/>
        <v/>
      </c>
      <c r="H60" s="169" t="str">
        <f t="shared" si="53"/>
        <v/>
      </c>
      <c r="I60" s="169" t="str">
        <f t="shared" si="53"/>
        <v/>
      </c>
      <c r="J60" s="169" t="str">
        <f t="shared" si="53"/>
        <v/>
      </c>
      <c r="K60" s="169" t="str">
        <f t="shared" si="53"/>
        <v/>
      </c>
      <c r="L60" s="169" t="str">
        <f t="shared" si="53"/>
        <v/>
      </c>
      <c r="M60" s="169" t="str">
        <f t="shared" si="53"/>
        <v/>
      </c>
      <c r="N60" s="169" t="str">
        <f t="shared" si="53"/>
        <v/>
      </c>
      <c r="O60" s="169" t="str">
        <f t="shared" si="53"/>
        <v/>
      </c>
      <c r="P60" s="169" t="str">
        <f t="shared" si="53"/>
        <v/>
      </c>
      <c r="Q60" s="169" t="str">
        <f t="shared" si="53"/>
        <v/>
      </c>
      <c r="R60" s="169" t="str">
        <f t="shared" si="53"/>
        <v/>
      </c>
      <c r="S60" s="169" t="str">
        <f t="shared" si="53"/>
        <v/>
      </c>
      <c r="T60" s="169" t="str">
        <f t="shared" si="53"/>
        <v/>
      </c>
      <c r="U60" s="169" t="str">
        <f t="shared" si="53"/>
        <v/>
      </c>
      <c r="V60" s="169" t="str">
        <f t="shared" si="53"/>
        <v/>
      </c>
      <c r="W60" s="169" t="str">
        <f t="shared" si="53"/>
        <v/>
      </c>
      <c r="X60" s="169" t="str">
        <f t="shared" si="53"/>
        <v/>
      </c>
      <c r="Y60" s="169" t="str">
        <f t="shared" si="53"/>
        <v/>
      </c>
      <c r="Z60" s="169" t="str">
        <f t="shared" si="53"/>
        <v/>
      </c>
      <c r="AA60" s="169" t="str">
        <f t="shared" si="53"/>
        <v/>
      </c>
      <c r="AB60" s="169" t="str">
        <f t="shared" si="53"/>
        <v/>
      </c>
      <c r="AC60" s="169" t="str">
        <f t="shared" si="53"/>
        <v/>
      </c>
      <c r="AD60" s="169" t="str">
        <f t="shared" si="53"/>
        <v/>
      </c>
      <c r="AE60" s="169" t="str">
        <f>IF(AE10=$R32,$BD32*24,IF(AE10=$R33,$BD33*24,IF(AE10=$R34,$BD34*24,IF(AE10=$R35,$BD35*24,IF(AE10=$R36,$BD36*24,IF(AE10=$R37,$BD37*24,IF(AE10=$R38,$BD38*24,IF(AE10=$R39,$BD39*24,IF(AE10=$R40,$BD40*24,"")))))))))</f>
        <v/>
      </c>
      <c r="AF60" s="169" t="str">
        <f>IF(AF10=$R32,$BD32*24,IF(AF10=$R33,$BD33*24,IF(AF10=$R34,$BD34*24,IF(AF10=$R35,$BD35*24,IF(AF10=$R36,$BD36*24,IF(AF10=$R37,$BD37*24,IF(AF10=$R38,$BD38*24,IF(AF10=$R39,$BD39*24,IF(AF10=$R40,$BD40*24,"")))))))))</f>
        <v/>
      </c>
      <c r="AG60" s="169" t="str">
        <f>IF(AG10=$R32,$BD32*24,IF(AG10=$R33,$BD33*24,IF(AG10=$R34,$BD34*24,IF(AG10=$R35,$BD35*24,IF(AG10=$R36,$BD36*24,IF(AG10=$R37,$BD37*24,IF(AG10=$R38,$BD38*24,IF(AG10=$R39,$BD39*24,IF(AG10=$R40,$BD40*24,"")))))))))</f>
        <v/>
      </c>
      <c r="AH60" s="148">
        <f>SUM(C60:AG60)</f>
        <v>0</v>
      </c>
      <c r="AI60" s="133"/>
      <c r="AJ60" s="137"/>
      <c r="AK60" s="137"/>
      <c r="AL60" s="137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1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101">
        <f>CA59</f>
        <v>31</v>
      </c>
      <c r="CB60" s="56"/>
    </row>
    <row r="61" spans="1:80" s="59" customFormat="1" ht="15.95" hidden="1" customHeight="1" x14ac:dyDescent="0.25">
      <c r="A61" s="153"/>
      <c r="B61" s="167" t="s">
        <v>59</v>
      </c>
      <c r="C61" s="141">
        <f t="shared" ref="C61:AG61" si="54">IF(C10="V",$C36,IF(C10="PR",$C38,0))</f>
        <v>0</v>
      </c>
      <c r="D61" s="141">
        <f t="shared" si="54"/>
        <v>0</v>
      </c>
      <c r="E61" s="141">
        <f t="shared" si="54"/>
        <v>0</v>
      </c>
      <c r="F61" s="141">
        <f t="shared" si="54"/>
        <v>0</v>
      </c>
      <c r="G61" s="141">
        <f t="shared" si="54"/>
        <v>0</v>
      </c>
      <c r="H61" s="141">
        <f t="shared" si="54"/>
        <v>0</v>
      </c>
      <c r="I61" s="141">
        <f t="shared" si="54"/>
        <v>0</v>
      </c>
      <c r="J61" s="141">
        <f t="shared" si="54"/>
        <v>0</v>
      </c>
      <c r="K61" s="141">
        <f t="shared" si="54"/>
        <v>0</v>
      </c>
      <c r="L61" s="141">
        <f t="shared" si="54"/>
        <v>0</v>
      </c>
      <c r="M61" s="141">
        <f t="shared" si="54"/>
        <v>0</v>
      </c>
      <c r="N61" s="141">
        <f t="shared" si="54"/>
        <v>0</v>
      </c>
      <c r="O61" s="141">
        <f t="shared" si="54"/>
        <v>0</v>
      </c>
      <c r="P61" s="141">
        <f t="shared" si="54"/>
        <v>0</v>
      </c>
      <c r="Q61" s="141">
        <f t="shared" si="54"/>
        <v>0</v>
      </c>
      <c r="R61" s="141">
        <f t="shared" si="54"/>
        <v>0</v>
      </c>
      <c r="S61" s="141">
        <f t="shared" si="54"/>
        <v>0</v>
      </c>
      <c r="T61" s="141">
        <f t="shared" si="54"/>
        <v>0</v>
      </c>
      <c r="U61" s="141">
        <f t="shared" si="54"/>
        <v>0</v>
      </c>
      <c r="V61" s="141">
        <f t="shared" si="54"/>
        <v>0</v>
      </c>
      <c r="W61" s="141">
        <f t="shared" si="54"/>
        <v>0</v>
      </c>
      <c r="X61" s="141">
        <f t="shared" si="54"/>
        <v>0</v>
      </c>
      <c r="Y61" s="141">
        <f t="shared" si="54"/>
        <v>0</v>
      </c>
      <c r="Z61" s="141">
        <f t="shared" si="54"/>
        <v>0</v>
      </c>
      <c r="AA61" s="141">
        <f t="shared" si="54"/>
        <v>0</v>
      </c>
      <c r="AB61" s="141">
        <f t="shared" si="54"/>
        <v>0</v>
      </c>
      <c r="AC61" s="141">
        <f t="shared" si="54"/>
        <v>0</v>
      </c>
      <c r="AD61" s="141">
        <f t="shared" si="54"/>
        <v>0</v>
      </c>
      <c r="AE61" s="141">
        <f t="shared" si="54"/>
        <v>0</v>
      </c>
      <c r="AF61" s="141">
        <f t="shared" si="54"/>
        <v>0</v>
      </c>
      <c r="AG61" s="141">
        <f t="shared" si="54"/>
        <v>0</v>
      </c>
      <c r="AH61" s="226">
        <f>SUM(C61:AG61)</f>
        <v>0</v>
      </c>
      <c r="AI61" s="226"/>
      <c r="AJ61" s="137" t="s">
        <v>12</v>
      </c>
      <c r="AK61" s="137"/>
      <c r="AL61" s="137"/>
      <c r="BE61" s="1"/>
      <c r="BU61" s="60" t="str">
        <f>BS50</f>
        <v>ju</v>
      </c>
      <c r="BV61" s="60" t="str">
        <f>BT50</f>
        <v>vi</v>
      </c>
      <c r="BW61" s="60" t="str">
        <f>BU50</f>
        <v>sa</v>
      </c>
      <c r="BX61" s="60" t="str">
        <f>BV50</f>
        <v>do</v>
      </c>
      <c r="BY61" s="60" t="str">
        <f>BW50</f>
        <v>lu</v>
      </c>
    </row>
    <row r="62" spans="1:80" s="59" customFormat="1" ht="15.95" hidden="1" customHeight="1" x14ac:dyDescent="0.25">
      <c r="A62" s="150" t="s">
        <v>60</v>
      </c>
      <c r="B62" s="167" t="s">
        <v>61</v>
      </c>
      <c r="C62" s="151">
        <f t="shared" ref="C62:AD62" si="55">IF(C10=$R32,$BC32,IF(C10=$R33,$BC33,IF(C10=$R34,$BC34,IF(C10=$R35,$BC35,IF(C10=$R36,$BC36,IF(C10=$R37,$BC37,IF(C10=$R38,$BC38,IF(C10=$R39,$BC39,IF(C10=$R40,$BC40,0)))))))))</f>
        <v>0</v>
      </c>
      <c r="D62" s="151">
        <f t="shared" si="55"/>
        <v>0</v>
      </c>
      <c r="E62" s="151">
        <f t="shared" si="55"/>
        <v>0</v>
      </c>
      <c r="F62" s="151">
        <f t="shared" si="55"/>
        <v>0</v>
      </c>
      <c r="G62" s="151">
        <f t="shared" si="55"/>
        <v>0</v>
      </c>
      <c r="H62" s="151">
        <f t="shared" si="55"/>
        <v>0</v>
      </c>
      <c r="I62" s="151">
        <f t="shared" si="55"/>
        <v>0</v>
      </c>
      <c r="J62" s="151">
        <f t="shared" si="55"/>
        <v>0</v>
      </c>
      <c r="K62" s="151">
        <f t="shared" si="55"/>
        <v>0</v>
      </c>
      <c r="L62" s="151">
        <f t="shared" si="55"/>
        <v>0</v>
      </c>
      <c r="M62" s="151">
        <f t="shared" si="55"/>
        <v>0</v>
      </c>
      <c r="N62" s="151">
        <f t="shared" si="55"/>
        <v>0</v>
      </c>
      <c r="O62" s="151">
        <f t="shared" si="55"/>
        <v>0</v>
      </c>
      <c r="P62" s="151">
        <f t="shared" si="55"/>
        <v>0</v>
      </c>
      <c r="Q62" s="151">
        <f t="shared" si="55"/>
        <v>0</v>
      </c>
      <c r="R62" s="151">
        <f t="shared" si="55"/>
        <v>0</v>
      </c>
      <c r="S62" s="151">
        <f t="shared" si="55"/>
        <v>0</v>
      </c>
      <c r="T62" s="151">
        <f t="shared" si="55"/>
        <v>0</v>
      </c>
      <c r="U62" s="151">
        <f t="shared" si="55"/>
        <v>0</v>
      </c>
      <c r="V62" s="151">
        <f t="shared" si="55"/>
        <v>0</v>
      </c>
      <c r="W62" s="151">
        <f t="shared" si="55"/>
        <v>0</v>
      </c>
      <c r="X62" s="151">
        <f t="shared" si="55"/>
        <v>0</v>
      </c>
      <c r="Y62" s="151">
        <f t="shared" si="55"/>
        <v>0</v>
      </c>
      <c r="Z62" s="151">
        <f t="shared" si="55"/>
        <v>0</v>
      </c>
      <c r="AA62" s="151">
        <f t="shared" si="55"/>
        <v>0</v>
      </c>
      <c r="AB62" s="151">
        <f t="shared" si="55"/>
        <v>0</v>
      </c>
      <c r="AC62" s="151">
        <f t="shared" si="55"/>
        <v>0</v>
      </c>
      <c r="AD62" s="151">
        <f t="shared" si="55"/>
        <v>0</v>
      </c>
      <c r="AE62" s="151">
        <f>IF(AE10=$R32,$BC32,IF(AE10=$R33,$BC33,IF(AE10=$R34,$BC34,IF(AE10=$R35,$BC35,IF(AE10=$R36,$BC36,IF(AE10=$R37,$BC37,IF(AE10=$R38,$BC38,IF(AE10=$R39,$BC39,IF(AE10=$R40,$BC40,0)))))))))</f>
        <v>0</v>
      </c>
      <c r="AF62" s="151">
        <f>IF(AF10=$R32,$BC32,IF(AF10=$R33,$BC33,IF(AF10=$R34,$BC34,IF(AF10=$R35,$BC35,IF(AF10=$R36,$BC36,IF(AF10=$R37,$BC37,IF(AF10=$R38,$BC38,IF(AF10=$R39,$BC39,IF(AF10=$R40,$BC40,0)))))))))</f>
        <v>0</v>
      </c>
      <c r="AG62" s="151">
        <f>IF(AG10=$R32,$BC32,IF(AG10=$R33,$BC33,IF(AG10=$R34,$BC34,IF(AG10=$R35,$BC35,IF(AG10=$R36,$BC36,IF(AG10=$R37,$BC37,IF(AG10=$R38,$BC38,IF(AG10=$R39,$BC39,IF(AG10=$R40,$BC40,0)))))))))</f>
        <v>0</v>
      </c>
      <c r="AH62" s="226">
        <f>SUM(C62:AG62)</f>
        <v>0</v>
      </c>
      <c r="AI62" s="226"/>
      <c r="AJ62" s="137" t="s">
        <v>62</v>
      </c>
      <c r="AK62" s="137" t="s">
        <v>12</v>
      </c>
      <c r="AL62" s="137"/>
      <c r="BE62" s="1"/>
      <c r="BU62" s="61">
        <v>28</v>
      </c>
      <c r="BV62" s="61">
        <v>29</v>
      </c>
      <c r="BW62" s="61">
        <v>30</v>
      </c>
      <c r="BX62" s="61">
        <v>31</v>
      </c>
      <c r="BY62" s="61">
        <v>1</v>
      </c>
    </row>
    <row r="63" spans="1:80" s="59" customFormat="1" ht="15.95" hidden="1" customHeight="1" x14ac:dyDescent="0.25">
      <c r="A63" s="153" t="s">
        <v>48</v>
      </c>
      <c r="B63" s="149" t="s">
        <v>63</v>
      </c>
      <c r="C63" s="141" t="b">
        <f t="shared" ref="C63:AG63" si="56">IF(C46=1,IF(C58&lt;C59,C62,0))</f>
        <v>0</v>
      </c>
      <c r="D63" s="141">
        <f t="shared" si="56"/>
        <v>0</v>
      </c>
      <c r="E63" s="141">
        <f t="shared" si="56"/>
        <v>0</v>
      </c>
      <c r="F63" s="141" t="b">
        <f t="shared" si="56"/>
        <v>0</v>
      </c>
      <c r="G63" s="141" t="b">
        <f t="shared" si="56"/>
        <v>0</v>
      </c>
      <c r="H63" s="141" t="b">
        <f t="shared" si="56"/>
        <v>0</v>
      </c>
      <c r="I63" s="141" t="b">
        <f t="shared" si="56"/>
        <v>0</v>
      </c>
      <c r="J63" s="141" t="b">
        <f t="shared" si="56"/>
        <v>0</v>
      </c>
      <c r="K63" s="141">
        <f t="shared" si="56"/>
        <v>0</v>
      </c>
      <c r="L63" s="141">
        <f t="shared" si="56"/>
        <v>0</v>
      </c>
      <c r="M63" s="141" t="b">
        <f t="shared" si="56"/>
        <v>0</v>
      </c>
      <c r="N63" s="141" t="b">
        <f t="shared" si="56"/>
        <v>0</v>
      </c>
      <c r="O63" s="141" t="b">
        <f t="shared" si="56"/>
        <v>0</v>
      </c>
      <c r="P63" s="141" t="b">
        <f t="shared" si="56"/>
        <v>0</v>
      </c>
      <c r="Q63" s="141" t="b">
        <f t="shared" si="56"/>
        <v>0</v>
      </c>
      <c r="R63" s="141">
        <f t="shared" si="56"/>
        <v>0</v>
      </c>
      <c r="S63" s="141">
        <f t="shared" si="56"/>
        <v>0</v>
      </c>
      <c r="T63" s="141" t="b">
        <f t="shared" si="56"/>
        <v>0</v>
      </c>
      <c r="U63" s="141" t="b">
        <f t="shared" si="56"/>
        <v>0</v>
      </c>
      <c r="V63" s="141" t="b">
        <f t="shared" si="56"/>
        <v>0</v>
      </c>
      <c r="W63" s="141" t="b">
        <f t="shared" si="56"/>
        <v>0</v>
      </c>
      <c r="X63" s="141" t="b">
        <f t="shared" si="56"/>
        <v>0</v>
      </c>
      <c r="Y63" s="141">
        <f t="shared" si="56"/>
        <v>0</v>
      </c>
      <c r="Z63" s="141">
        <f t="shared" si="56"/>
        <v>0</v>
      </c>
      <c r="AA63" s="141" t="b">
        <f t="shared" si="56"/>
        <v>0</v>
      </c>
      <c r="AB63" s="141" t="b">
        <f t="shared" si="56"/>
        <v>0</v>
      </c>
      <c r="AC63" s="141" t="b">
        <f t="shared" si="56"/>
        <v>0</v>
      </c>
      <c r="AD63" s="141" t="b">
        <f t="shared" si="56"/>
        <v>0</v>
      </c>
      <c r="AE63" s="141" t="b">
        <f t="shared" si="56"/>
        <v>0</v>
      </c>
      <c r="AF63" s="141">
        <f t="shared" si="56"/>
        <v>0</v>
      </c>
      <c r="AG63" s="141">
        <f t="shared" si="56"/>
        <v>0</v>
      </c>
      <c r="AH63" s="142" t="s">
        <v>12</v>
      </c>
      <c r="AI63" s="133"/>
      <c r="AJ63" s="137"/>
      <c r="AK63" s="137"/>
      <c r="AL63" s="137"/>
      <c r="BE63" s="1"/>
      <c r="BV63" s="102" t="str">
        <f>IF(CA59=28,IF(CA59="",0,1),IF(CA59=1,IF(CA59="",0,1),""))</f>
        <v/>
      </c>
      <c r="BW63" s="102" t="str">
        <f>IF(CA59=29,IF(CA59="",0,1),IF(CA59=1,IF(CA59="",0,1),""))</f>
        <v/>
      </c>
      <c r="BX63" s="102" t="str">
        <f>IF(CA59=30,IF(CA59="",0,1),IF(CA59=1,IF(CA59="",0,1),""))</f>
        <v/>
      </c>
      <c r="BY63" s="102">
        <f>IF(CA59=31,IF(CA59="",0,1),IF(CA59=1,IF(CA59="",0,1),""))</f>
        <v>1</v>
      </c>
    </row>
    <row r="64" spans="1:80" ht="15.95" hidden="1" customHeight="1" x14ac:dyDescent="0.25">
      <c r="A64" s="153"/>
      <c r="B64" s="149" t="s">
        <v>64</v>
      </c>
      <c r="C64" s="141">
        <f t="shared" ref="C64:AG64" si="57">IF(C46=1,IF(C58&gt;C59,24-C58,0),0)</f>
        <v>0</v>
      </c>
      <c r="D64" s="141">
        <f t="shared" si="57"/>
        <v>0</v>
      </c>
      <c r="E64" s="141">
        <f t="shared" si="57"/>
        <v>0</v>
      </c>
      <c r="F64" s="141">
        <f t="shared" si="57"/>
        <v>0</v>
      </c>
      <c r="G64" s="141">
        <f t="shared" si="57"/>
        <v>0</v>
      </c>
      <c r="H64" s="141">
        <f t="shared" si="57"/>
        <v>0</v>
      </c>
      <c r="I64" s="141">
        <f t="shared" si="57"/>
        <v>0</v>
      </c>
      <c r="J64" s="141">
        <f t="shared" si="57"/>
        <v>0</v>
      </c>
      <c r="K64" s="141">
        <f t="shared" si="57"/>
        <v>0</v>
      </c>
      <c r="L64" s="141">
        <f t="shared" si="57"/>
        <v>0</v>
      </c>
      <c r="M64" s="141">
        <f t="shared" si="57"/>
        <v>0</v>
      </c>
      <c r="N64" s="141">
        <f t="shared" si="57"/>
        <v>0</v>
      </c>
      <c r="O64" s="141">
        <f t="shared" si="57"/>
        <v>0</v>
      </c>
      <c r="P64" s="141">
        <f t="shared" si="57"/>
        <v>0</v>
      </c>
      <c r="Q64" s="141">
        <f t="shared" si="57"/>
        <v>0</v>
      </c>
      <c r="R64" s="141">
        <f t="shared" si="57"/>
        <v>0</v>
      </c>
      <c r="S64" s="141">
        <f t="shared" si="57"/>
        <v>0</v>
      </c>
      <c r="T64" s="141">
        <f t="shared" si="57"/>
        <v>0</v>
      </c>
      <c r="U64" s="141">
        <f t="shared" si="57"/>
        <v>0</v>
      </c>
      <c r="V64" s="141">
        <f t="shared" si="57"/>
        <v>0</v>
      </c>
      <c r="W64" s="141">
        <f t="shared" si="57"/>
        <v>0</v>
      </c>
      <c r="X64" s="141">
        <f t="shared" si="57"/>
        <v>0</v>
      </c>
      <c r="Y64" s="141">
        <f t="shared" si="57"/>
        <v>0</v>
      </c>
      <c r="Z64" s="141">
        <f t="shared" si="57"/>
        <v>0</v>
      </c>
      <c r="AA64" s="141">
        <f t="shared" si="57"/>
        <v>0</v>
      </c>
      <c r="AB64" s="141">
        <f t="shared" si="57"/>
        <v>0</v>
      </c>
      <c r="AC64" s="141">
        <f t="shared" si="57"/>
        <v>0</v>
      </c>
      <c r="AD64" s="141">
        <f t="shared" si="57"/>
        <v>0</v>
      </c>
      <c r="AE64" s="141">
        <f t="shared" si="57"/>
        <v>0</v>
      </c>
      <c r="AF64" s="141">
        <f t="shared" si="57"/>
        <v>0</v>
      </c>
      <c r="AG64" s="141">
        <f t="shared" si="57"/>
        <v>0</v>
      </c>
      <c r="AH64" s="142" t="s">
        <v>12</v>
      </c>
      <c r="AI64" s="133"/>
      <c r="AJ64" s="170"/>
      <c r="AK64" s="133"/>
      <c r="AL64" s="133"/>
      <c r="BU64" s="45" t="s">
        <v>72</v>
      </c>
      <c r="BV64" s="102" t="b">
        <f>IF(BV61="sa",IF(BV61="",0,"1"),IF(BV61="do",IF(BV61="",0,"1")))</f>
        <v>0</v>
      </c>
      <c r="BW64" s="102" t="str">
        <f>IF(BW61="sa",IF(BW61="",0,"1"),IF(BW61="do",IF(BW61="",0,"1")))</f>
        <v>1</v>
      </c>
      <c r="BX64" s="102" t="str">
        <f>IF(BX61="sa",IF(BX61="",0,"1"),IF(BX61="do",IF(BX61="",0,"1")))</f>
        <v>1</v>
      </c>
      <c r="BY64" s="102" t="b">
        <f>IF(BY61="sa",IF(BY61="",0,"1"),IF(BY61="do",IF(BY61="",0,"1")))</f>
        <v>0</v>
      </c>
    </row>
    <row r="65" spans="1:77" ht="15.95" hidden="1" customHeight="1" x14ac:dyDescent="0.25">
      <c r="A65" s="153"/>
      <c r="B65" s="149" t="s">
        <v>65</v>
      </c>
      <c r="C65" s="141">
        <f t="shared" ref="C65:AG65" si="58">IF(D46=1,IF(C58&gt;C59,C59,0),0)</f>
        <v>0</v>
      </c>
      <c r="D65" s="141">
        <f t="shared" si="58"/>
        <v>0</v>
      </c>
      <c r="E65" s="141">
        <f t="shared" si="58"/>
        <v>0</v>
      </c>
      <c r="F65" s="141">
        <f t="shared" si="58"/>
        <v>0</v>
      </c>
      <c r="G65" s="141">
        <f t="shared" si="58"/>
        <v>0</v>
      </c>
      <c r="H65" s="141">
        <f t="shared" si="58"/>
        <v>0</v>
      </c>
      <c r="I65" s="141">
        <f t="shared" si="58"/>
        <v>0</v>
      </c>
      <c r="J65" s="141">
        <f t="shared" si="58"/>
        <v>0</v>
      </c>
      <c r="K65" s="141">
        <f t="shared" si="58"/>
        <v>0</v>
      </c>
      <c r="L65" s="141">
        <f t="shared" si="58"/>
        <v>0</v>
      </c>
      <c r="M65" s="141">
        <f t="shared" si="58"/>
        <v>0</v>
      </c>
      <c r="N65" s="141">
        <f t="shared" si="58"/>
        <v>0</v>
      </c>
      <c r="O65" s="141">
        <f t="shared" si="58"/>
        <v>0</v>
      </c>
      <c r="P65" s="141">
        <f t="shared" si="58"/>
        <v>0</v>
      </c>
      <c r="Q65" s="141">
        <f t="shared" si="58"/>
        <v>0</v>
      </c>
      <c r="R65" s="141">
        <f t="shared" si="58"/>
        <v>0</v>
      </c>
      <c r="S65" s="141">
        <f t="shared" si="58"/>
        <v>0</v>
      </c>
      <c r="T65" s="141">
        <f t="shared" si="58"/>
        <v>0</v>
      </c>
      <c r="U65" s="141">
        <f t="shared" si="58"/>
        <v>0</v>
      </c>
      <c r="V65" s="141">
        <f t="shared" si="58"/>
        <v>0</v>
      </c>
      <c r="W65" s="141">
        <f t="shared" si="58"/>
        <v>0</v>
      </c>
      <c r="X65" s="141">
        <f>IF(Y46=1,IF(X58&gt;X59,X59,0),0)</f>
        <v>0</v>
      </c>
      <c r="Y65" s="141">
        <f t="shared" si="58"/>
        <v>0</v>
      </c>
      <c r="Z65" s="141">
        <f t="shared" si="58"/>
        <v>0</v>
      </c>
      <c r="AA65" s="141">
        <f t="shared" si="58"/>
        <v>0</v>
      </c>
      <c r="AB65" s="141">
        <f t="shared" si="58"/>
        <v>0</v>
      </c>
      <c r="AC65" s="141">
        <f t="shared" si="58"/>
        <v>0</v>
      </c>
      <c r="AD65" s="141">
        <f t="shared" si="58"/>
        <v>0</v>
      </c>
      <c r="AE65" s="141">
        <f t="shared" si="58"/>
        <v>0</v>
      </c>
      <c r="AF65" s="141">
        <f t="shared" si="58"/>
        <v>0</v>
      </c>
      <c r="AG65" s="141">
        <f t="shared" si="58"/>
        <v>0</v>
      </c>
      <c r="AH65" s="142" t="s">
        <v>12</v>
      </c>
      <c r="AI65" s="133"/>
      <c r="AJ65" s="170"/>
      <c r="AK65" s="133"/>
      <c r="AL65" s="133"/>
    </row>
    <row r="66" spans="1:77" ht="15.95" hidden="1" customHeight="1" x14ac:dyDescent="0.25">
      <c r="A66" s="153"/>
      <c r="B66" s="149" t="s">
        <v>67</v>
      </c>
      <c r="C66" s="171">
        <f t="shared" ref="C66:AG66" si="59">SUM(C63:C65)</f>
        <v>0</v>
      </c>
      <c r="D66" s="171">
        <f t="shared" si="59"/>
        <v>0</v>
      </c>
      <c r="E66" s="171">
        <f t="shared" si="59"/>
        <v>0</v>
      </c>
      <c r="F66" s="171">
        <f t="shared" si="59"/>
        <v>0</v>
      </c>
      <c r="G66" s="171">
        <f t="shared" si="59"/>
        <v>0</v>
      </c>
      <c r="H66" s="171">
        <f t="shared" si="59"/>
        <v>0</v>
      </c>
      <c r="I66" s="171">
        <f t="shared" si="59"/>
        <v>0</v>
      </c>
      <c r="J66" s="171">
        <f t="shared" si="59"/>
        <v>0</v>
      </c>
      <c r="K66" s="171">
        <f t="shared" si="59"/>
        <v>0</v>
      </c>
      <c r="L66" s="171">
        <f t="shared" si="59"/>
        <v>0</v>
      </c>
      <c r="M66" s="171">
        <f t="shared" si="59"/>
        <v>0</v>
      </c>
      <c r="N66" s="171">
        <f t="shared" si="59"/>
        <v>0</v>
      </c>
      <c r="O66" s="171">
        <f t="shared" si="59"/>
        <v>0</v>
      </c>
      <c r="P66" s="171">
        <f t="shared" si="59"/>
        <v>0</v>
      </c>
      <c r="Q66" s="171">
        <f t="shared" si="59"/>
        <v>0</v>
      </c>
      <c r="R66" s="171">
        <f t="shared" si="59"/>
        <v>0</v>
      </c>
      <c r="S66" s="171">
        <f t="shared" si="59"/>
        <v>0</v>
      </c>
      <c r="T66" s="171">
        <f t="shared" si="59"/>
        <v>0</v>
      </c>
      <c r="U66" s="171">
        <f t="shared" si="59"/>
        <v>0</v>
      </c>
      <c r="V66" s="171">
        <f t="shared" si="59"/>
        <v>0</v>
      </c>
      <c r="W66" s="171">
        <f t="shared" si="59"/>
        <v>0</v>
      </c>
      <c r="X66" s="171">
        <f t="shared" si="59"/>
        <v>0</v>
      </c>
      <c r="Y66" s="171">
        <f t="shared" si="59"/>
        <v>0</v>
      </c>
      <c r="Z66" s="171">
        <f t="shared" si="59"/>
        <v>0</v>
      </c>
      <c r="AA66" s="171">
        <f t="shared" si="59"/>
        <v>0</v>
      </c>
      <c r="AB66" s="171">
        <f t="shared" si="59"/>
        <v>0</v>
      </c>
      <c r="AC66" s="171">
        <f t="shared" si="59"/>
        <v>0</v>
      </c>
      <c r="AD66" s="171">
        <f t="shared" si="59"/>
        <v>0</v>
      </c>
      <c r="AE66" s="171">
        <f t="shared" si="59"/>
        <v>0</v>
      </c>
      <c r="AF66" s="171">
        <f t="shared" si="59"/>
        <v>0</v>
      </c>
      <c r="AG66" s="171">
        <f t="shared" si="59"/>
        <v>0</v>
      </c>
      <c r="AH66" s="142" t="s">
        <v>12</v>
      </c>
      <c r="AI66" s="133"/>
      <c r="AJ66" s="170"/>
      <c r="AK66" s="133"/>
      <c r="AL66" s="133"/>
      <c r="BU66" s="62"/>
      <c r="BV66" s="63" t="str">
        <f t="shared" ref="BV66:BY67" si="60">IF(BV65=2,IF(BV65="",0,"X"),IF(BV65=2,IF(BV65="",0,2),""))</f>
        <v/>
      </c>
      <c r="BW66" s="63" t="str">
        <f t="shared" si="60"/>
        <v/>
      </c>
      <c r="BX66" s="63" t="str">
        <f t="shared" si="60"/>
        <v/>
      </c>
      <c r="BY66" s="63" t="str">
        <f t="shared" si="60"/>
        <v/>
      </c>
    </row>
    <row r="67" spans="1:77" ht="15.95" hidden="1" customHeight="1" x14ac:dyDescent="0.25">
      <c r="A67" s="172"/>
      <c r="B67" s="160" t="s">
        <v>68</v>
      </c>
      <c r="C67" s="161">
        <f t="shared" ref="C67:AG67" si="61">IF(C10="V",IF(C10="",0,1),0)</f>
        <v>0</v>
      </c>
      <c r="D67" s="161">
        <f t="shared" si="61"/>
        <v>0</v>
      </c>
      <c r="E67" s="161">
        <f t="shared" si="61"/>
        <v>0</v>
      </c>
      <c r="F67" s="161">
        <f t="shared" si="61"/>
        <v>0</v>
      </c>
      <c r="G67" s="161">
        <f t="shared" si="61"/>
        <v>0</v>
      </c>
      <c r="H67" s="161">
        <f t="shared" si="61"/>
        <v>0</v>
      </c>
      <c r="I67" s="161">
        <f t="shared" si="61"/>
        <v>0</v>
      </c>
      <c r="J67" s="161">
        <f t="shared" si="61"/>
        <v>0</v>
      </c>
      <c r="K67" s="161">
        <f t="shared" si="61"/>
        <v>0</v>
      </c>
      <c r="L67" s="161">
        <f t="shared" si="61"/>
        <v>0</v>
      </c>
      <c r="M67" s="161">
        <f t="shared" si="61"/>
        <v>0</v>
      </c>
      <c r="N67" s="161">
        <f t="shared" si="61"/>
        <v>0</v>
      </c>
      <c r="O67" s="161">
        <f t="shared" si="61"/>
        <v>0</v>
      </c>
      <c r="P67" s="161">
        <f t="shared" si="61"/>
        <v>0</v>
      </c>
      <c r="Q67" s="161">
        <f t="shared" si="61"/>
        <v>0</v>
      </c>
      <c r="R67" s="161">
        <f t="shared" si="61"/>
        <v>0</v>
      </c>
      <c r="S67" s="161">
        <f t="shared" si="61"/>
        <v>0</v>
      </c>
      <c r="T67" s="161">
        <f t="shared" si="61"/>
        <v>0</v>
      </c>
      <c r="U67" s="161">
        <f t="shared" si="61"/>
        <v>0</v>
      </c>
      <c r="V67" s="161">
        <f t="shared" si="61"/>
        <v>0</v>
      </c>
      <c r="W67" s="161">
        <f t="shared" si="61"/>
        <v>0</v>
      </c>
      <c r="X67" s="161">
        <f t="shared" si="61"/>
        <v>0</v>
      </c>
      <c r="Y67" s="161">
        <f t="shared" si="61"/>
        <v>0</v>
      </c>
      <c r="Z67" s="161">
        <f t="shared" si="61"/>
        <v>0</v>
      </c>
      <c r="AA67" s="161">
        <f t="shared" si="61"/>
        <v>0</v>
      </c>
      <c r="AB67" s="161">
        <f t="shared" si="61"/>
        <v>0</v>
      </c>
      <c r="AC67" s="161">
        <f t="shared" si="61"/>
        <v>0</v>
      </c>
      <c r="AD67" s="161">
        <f t="shared" si="61"/>
        <v>0</v>
      </c>
      <c r="AE67" s="161">
        <f t="shared" si="61"/>
        <v>0</v>
      </c>
      <c r="AF67" s="161">
        <f t="shared" si="61"/>
        <v>0</v>
      </c>
      <c r="AG67" s="161">
        <f t="shared" si="61"/>
        <v>0</v>
      </c>
      <c r="AH67" s="142" t="s">
        <v>12</v>
      </c>
      <c r="AI67" s="133"/>
      <c r="AJ67" s="170"/>
      <c r="AK67" s="133"/>
      <c r="AL67" s="133"/>
      <c r="BU67" s="64"/>
      <c r="BV67" s="63" t="str">
        <f t="shared" si="60"/>
        <v/>
      </c>
      <c r="BW67" s="63" t="str">
        <f t="shared" si="60"/>
        <v/>
      </c>
      <c r="BX67" s="63" t="str">
        <f t="shared" si="60"/>
        <v/>
      </c>
      <c r="BY67" s="63" t="str">
        <f t="shared" si="60"/>
        <v/>
      </c>
    </row>
    <row r="68" spans="1:77" ht="15.95" hidden="1" customHeight="1" x14ac:dyDescent="0.25">
      <c r="A68" s="173"/>
      <c r="B68" s="130" t="s">
        <v>16</v>
      </c>
      <c r="C68" s="163">
        <f t="shared" ref="C68:AG68" si="62">IF(C10="PR",IF(C10="",0,1),0)</f>
        <v>0</v>
      </c>
      <c r="D68" s="163">
        <f t="shared" si="62"/>
        <v>0</v>
      </c>
      <c r="E68" s="163">
        <f t="shared" si="62"/>
        <v>0</v>
      </c>
      <c r="F68" s="163">
        <f t="shared" si="62"/>
        <v>0</v>
      </c>
      <c r="G68" s="163">
        <f t="shared" si="62"/>
        <v>0</v>
      </c>
      <c r="H68" s="163">
        <f t="shared" si="62"/>
        <v>0</v>
      </c>
      <c r="I68" s="163">
        <f t="shared" si="62"/>
        <v>0</v>
      </c>
      <c r="J68" s="163">
        <f t="shared" si="62"/>
        <v>0</v>
      </c>
      <c r="K68" s="163">
        <f t="shared" si="62"/>
        <v>0</v>
      </c>
      <c r="L68" s="163">
        <f t="shared" si="62"/>
        <v>0</v>
      </c>
      <c r="M68" s="163">
        <f t="shared" si="62"/>
        <v>0</v>
      </c>
      <c r="N68" s="163">
        <f t="shared" si="62"/>
        <v>0</v>
      </c>
      <c r="O68" s="163">
        <f t="shared" si="62"/>
        <v>0</v>
      </c>
      <c r="P68" s="163">
        <f t="shared" si="62"/>
        <v>0</v>
      </c>
      <c r="Q68" s="163">
        <f t="shared" si="62"/>
        <v>0</v>
      </c>
      <c r="R68" s="163">
        <f t="shared" si="62"/>
        <v>0</v>
      </c>
      <c r="S68" s="163">
        <f t="shared" si="62"/>
        <v>0</v>
      </c>
      <c r="T68" s="163">
        <f t="shared" si="62"/>
        <v>0</v>
      </c>
      <c r="U68" s="163">
        <f t="shared" si="62"/>
        <v>0</v>
      </c>
      <c r="V68" s="163">
        <f t="shared" si="62"/>
        <v>0</v>
      </c>
      <c r="W68" s="163">
        <f t="shared" si="62"/>
        <v>0</v>
      </c>
      <c r="X68" s="163">
        <f t="shared" si="62"/>
        <v>0</v>
      </c>
      <c r="Y68" s="163">
        <f t="shared" si="62"/>
        <v>0</v>
      </c>
      <c r="Z68" s="163">
        <f t="shared" si="62"/>
        <v>0</v>
      </c>
      <c r="AA68" s="163">
        <f t="shared" si="62"/>
        <v>0</v>
      </c>
      <c r="AB68" s="163">
        <f t="shared" si="62"/>
        <v>0</v>
      </c>
      <c r="AC68" s="163">
        <f t="shared" si="62"/>
        <v>0</v>
      </c>
      <c r="AD68" s="163">
        <f t="shared" si="62"/>
        <v>0</v>
      </c>
      <c r="AE68" s="163">
        <f t="shared" si="62"/>
        <v>0</v>
      </c>
      <c r="AF68" s="163">
        <f t="shared" si="62"/>
        <v>0</v>
      </c>
      <c r="AG68" s="163">
        <f t="shared" si="62"/>
        <v>0</v>
      </c>
      <c r="AH68" s="229">
        <f>SUM(C68:AG68)</f>
        <v>0</v>
      </c>
      <c r="AI68" s="229"/>
      <c r="AJ68" s="174" t="s">
        <v>69</v>
      </c>
      <c r="AK68" s="133"/>
      <c r="AL68" s="133"/>
    </row>
    <row r="69" spans="1:77" ht="15.95" hidden="1" customHeight="1" x14ac:dyDescent="0.25">
      <c r="A69" s="164" t="s">
        <v>73</v>
      </c>
      <c r="B69" s="165" t="s">
        <v>29</v>
      </c>
      <c r="C69" s="141" t="str">
        <f t="shared" ref="C69:AG69" si="63">IF(C11=$R32,$S32*24,IF(C11=$R33,$S33*24,IF(C11=$R34,$S34*24,IF(C11=$R35,$S35*24,IF(C11=$R36,$S36*24,IF(C11=$R37,$S37*24,IF(C11=$R38,$S38*24,IF(C11=$R39,$S39*24,IF(C11=$R40,$S40*24,"")))))))))</f>
        <v/>
      </c>
      <c r="D69" s="141" t="str">
        <f t="shared" si="63"/>
        <v/>
      </c>
      <c r="E69" s="141" t="str">
        <f t="shared" si="63"/>
        <v/>
      </c>
      <c r="F69" s="141" t="str">
        <f t="shared" si="63"/>
        <v/>
      </c>
      <c r="G69" s="141" t="str">
        <f t="shared" si="63"/>
        <v/>
      </c>
      <c r="H69" s="141" t="str">
        <f t="shared" si="63"/>
        <v/>
      </c>
      <c r="I69" s="141" t="str">
        <f t="shared" si="63"/>
        <v/>
      </c>
      <c r="J69" s="141" t="str">
        <f t="shared" si="63"/>
        <v/>
      </c>
      <c r="K69" s="141" t="str">
        <f t="shared" si="63"/>
        <v/>
      </c>
      <c r="L69" s="141" t="str">
        <f t="shared" si="63"/>
        <v/>
      </c>
      <c r="M69" s="141" t="str">
        <f t="shared" si="63"/>
        <v/>
      </c>
      <c r="N69" s="141" t="str">
        <f t="shared" si="63"/>
        <v/>
      </c>
      <c r="O69" s="141" t="str">
        <f t="shared" si="63"/>
        <v/>
      </c>
      <c r="P69" s="141" t="str">
        <f t="shared" si="63"/>
        <v/>
      </c>
      <c r="Q69" s="141" t="str">
        <f t="shared" si="63"/>
        <v/>
      </c>
      <c r="R69" s="141" t="str">
        <f t="shared" si="63"/>
        <v/>
      </c>
      <c r="S69" s="141" t="str">
        <f t="shared" si="63"/>
        <v/>
      </c>
      <c r="T69" s="141" t="str">
        <f t="shared" si="63"/>
        <v/>
      </c>
      <c r="U69" s="141" t="str">
        <f t="shared" si="63"/>
        <v/>
      </c>
      <c r="V69" s="141" t="str">
        <f t="shared" si="63"/>
        <v/>
      </c>
      <c r="W69" s="141" t="str">
        <f t="shared" si="63"/>
        <v/>
      </c>
      <c r="X69" s="141" t="str">
        <f t="shared" si="63"/>
        <v/>
      </c>
      <c r="Y69" s="141" t="str">
        <f t="shared" si="63"/>
        <v/>
      </c>
      <c r="Z69" s="141" t="str">
        <f t="shared" si="63"/>
        <v/>
      </c>
      <c r="AA69" s="141" t="str">
        <f t="shared" si="63"/>
        <v/>
      </c>
      <c r="AB69" s="141" t="str">
        <f t="shared" si="63"/>
        <v/>
      </c>
      <c r="AC69" s="141" t="str">
        <f t="shared" si="63"/>
        <v/>
      </c>
      <c r="AD69" s="141" t="str">
        <f t="shared" si="63"/>
        <v/>
      </c>
      <c r="AE69" s="141" t="str">
        <f t="shared" si="63"/>
        <v/>
      </c>
      <c r="AF69" s="141" t="str">
        <f t="shared" si="63"/>
        <v/>
      </c>
      <c r="AG69" s="141" t="str">
        <f t="shared" si="63"/>
        <v/>
      </c>
      <c r="AH69" s="154" t="s">
        <v>12</v>
      </c>
      <c r="AI69" s="133"/>
      <c r="AJ69" s="170"/>
      <c r="AK69" s="133"/>
      <c r="AL69" s="133"/>
    </row>
    <row r="70" spans="1:77" ht="15.95" hidden="1" customHeight="1" x14ac:dyDescent="0.25">
      <c r="A70" s="166" t="s">
        <v>74</v>
      </c>
      <c r="B70" s="167" t="s">
        <v>30</v>
      </c>
      <c r="C70" s="141" t="str">
        <f t="shared" ref="C70:AG70" si="64">IF(C11=$R32,$V32*24,IF(C11=$R33,$V33*24,IF(C11=$R34,$V34*24,IF(C11=$R35,$V35*24,IF(C11=$R36,$V36*24,IF(C11=$R37,$V37*24,IF(C11=$R38,$V38*24,IF(C11=$R39,$V39*24,IF(C11=$R40,$V40*24,"")))))))))</f>
        <v/>
      </c>
      <c r="D70" s="141" t="str">
        <f t="shared" si="64"/>
        <v/>
      </c>
      <c r="E70" s="141" t="str">
        <f t="shared" si="64"/>
        <v/>
      </c>
      <c r="F70" s="141" t="str">
        <f t="shared" si="64"/>
        <v/>
      </c>
      <c r="G70" s="141" t="str">
        <f t="shared" si="64"/>
        <v/>
      </c>
      <c r="H70" s="141" t="str">
        <f t="shared" si="64"/>
        <v/>
      </c>
      <c r="I70" s="141" t="str">
        <f t="shared" si="64"/>
        <v/>
      </c>
      <c r="J70" s="141" t="str">
        <f t="shared" si="64"/>
        <v/>
      </c>
      <c r="K70" s="141" t="str">
        <f t="shared" si="64"/>
        <v/>
      </c>
      <c r="L70" s="141" t="str">
        <f t="shared" si="64"/>
        <v/>
      </c>
      <c r="M70" s="141" t="str">
        <f t="shared" si="64"/>
        <v/>
      </c>
      <c r="N70" s="141" t="str">
        <f t="shared" si="64"/>
        <v/>
      </c>
      <c r="O70" s="141" t="str">
        <f t="shared" si="64"/>
        <v/>
      </c>
      <c r="P70" s="141" t="str">
        <f t="shared" si="64"/>
        <v/>
      </c>
      <c r="Q70" s="141" t="str">
        <f t="shared" si="64"/>
        <v/>
      </c>
      <c r="R70" s="141" t="str">
        <f t="shared" si="64"/>
        <v/>
      </c>
      <c r="S70" s="141" t="str">
        <f t="shared" si="64"/>
        <v/>
      </c>
      <c r="T70" s="141" t="str">
        <f t="shared" si="64"/>
        <v/>
      </c>
      <c r="U70" s="141" t="str">
        <f t="shared" si="64"/>
        <v/>
      </c>
      <c r="V70" s="141" t="str">
        <f t="shared" si="64"/>
        <v/>
      </c>
      <c r="W70" s="141" t="str">
        <f t="shared" si="64"/>
        <v/>
      </c>
      <c r="X70" s="141" t="str">
        <f t="shared" si="64"/>
        <v/>
      </c>
      <c r="Y70" s="141" t="str">
        <f t="shared" si="64"/>
        <v/>
      </c>
      <c r="Z70" s="141" t="str">
        <f t="shared" si="64"/>
        <v/>
      </c>
      <c r="AA70" s="141" t="str">
        <f t="shared" si="64"/>
        <v/>
      </c>
      <c r="AB70" s="141" t="str">
        <f t="shared" si="64"/>
        <v/>
      </c>
      <c r="AC70" s="141" t="str">
        <f t="shared" si="64"/>
        <v/>
      </c>
      <c r="AD70" s="141" t="str">
        <f t="shared" si="64"/>
        <v/>
      </c>
      <c r="AE70" s="141" t="str">
        <f t="shared" si="64"/>
        <v/>
      </c>
      <c r="AF70" s="141" t="str">
        <f t="shared" si="64"/>
        <v/>
      </c>
      <c r="AG70" s="141" t="str">
        <f t="shared" si="64"/>
        <v/>
      </c>
      <c r="AH70" s="154" t="s">
        <v>12</v>
      </c>
      <c r="AI70" s="133"/>
      <c r="AJ70" s="170"/>
      <c r="AK70" s="133"/>
      <c r="AL70" s="133"/>
    </row>
    <row r="71" spans="1:77" ht="15.95" hidden="1" customHeight="1" x14ac:dyDescent="0.25">
      <c r="A71" s="153"/>
      <c r="B71" s="168" t="s">
        <v>34</v>
      </c>
      <c r="C71" s="169" t="str">
        <f t="shared" ref="C71:AD71" si="65">IF(C11=$R32,$BD32*24,IF(C11=$R33,$BD33*24,IF(C11=$R34,$BD34*24,IF(C11=$R35,$BD35*24,IF(C11=$R36,$BD36*24,IF(C11=$R37,$BD37*24,IF(C11=$R38,$BD38*24,IF(C11=$R39,$BD39*24,IF(C11=$R40,$BD40*24,"")))))))))</f>
        <v/>
      </c>
      <c r="D71" s="169" t="str">
        <f t="shared" si="65"/>
        <v/>
      </c>
      <c r="E71" s="169" t="str">
        <f t="shared" si="65"/>
        <v/>
      </c>
      <c r="F71" s="169" t="str">
        <f t="shared" si="65"/>
        <v/>
      </c>
      <c r="G71" s="169" t="str">
        <f t="shared" si="65"/>
        <v/>
      </c>
      <c r="H71" s="169" t="str">
        <f t="shared" si="65"/>
        <v/>
      </c>
      <c r="I71" s="169" t="str">
        <f t="shared" si="65"/>
        <v/>
      </c>
      <c r="J71" s="169" t="str">
        <f t="shared" si="65"/>
        <v/>
      </c>
      <c r="K71" s="169" t="str">
        <f t="shared" si="65"/>
        <v/>
      </c>
      <c r="L71" s="169" t="str">
        <f t="shared" si="65"/>
        <v/>
      </c>
      <c r="M71" s="169" t="str">
        <f t="shared" si="65"/>
        <v/>
      </c>
      <c r="N71" s="169" t="str">
        <f t="shared" si="65"/>
        <v/>
      </c>
      <c r="O71" s="169" t="str">
        <f t="shared" si="65"/>
        <v/>
      </c>
      <c r="P71" s="169" t="str">
        <f t="shared" si="65"/>
        <v/>
      </c>
      <c r="Q71" s="169" t="str">
        <f t="shared" si="65"/>
        <v/>
      </c>
      <c r="R71" s="169" t="str">
        <f t="shared" si="65"/>
        <v/>
      </c>
      <c r="S71" s="169" t="str">
        <f t="shared" si="65"/>
        <v/>
      </c>
      <c r="T71" s="169" t="str">
        <f t="shared" si="65"/>
        <v/>
      </c>
      <c r="U71" s="169" t="str">
        <f t="shared" si="65"/>
        <v/>
      </c>
      <c r="V71" s="169" t="str">
        <f t="shared" si="65"/>
        <v/>
      </c>
      <c r="W71" s="169" t="str">
        <f t="shared" si="65"/>
        <v/>
      </c>
      <c r="X71" s="169" t="str">
        <f t="shared" si="65"/>
        <v/>
      </c>
      <c r="Y71" s="169" t="str">
        <f t="shared" si="65"/>
        <v/>
      </c>
      <c r="Z71" s="169" t="str">
        <f t="shared" si="65"/>
        <v/>
      </c>
      <c r="AA71" s="169" t="str">
        <f t="shared" si="65"/>
        <v/>
      </c>
      <c r="AB71" s="169" t="str">
        <f t="shared" si="65"/>
        <v/>
      </c>
      <c r="AC71" s="169" t="str">
        <f t="shared" si="65"/>
        <v/>
      </c>
      <c r="AD71" s="169" t="str">
        <f t="shared" si="65"/>
        <v/>
      </c>
      <c r="AE71" s="169" t="str">
        <f>IF(AE11=$R32,$BD32*24,IF(AE11=$R33,$BD33*24,IF(AE11=$R34,$BD34*24,IF(AE11=$R35,$BD35*24,IF(AE11=$R36,$BD36*24,IF(AE11=$R37,$BD37*24,IF(AE11=$R38,$BD38*24,IF(AE11=$R39,$BD39*24,IF(AE11=$R40,$BD40*24,"")))))))))</f>
        <v/>
      </c>
      <c r="AF71" s="169" t="str">
        <f>IF(AF11=$R32,$BD32*24,IF(AF11=$R33,$BD33*24,IF(AF11=$R34,$BD34*24,IF(AF11=$R35,$BD35*24,IF(AF11=$R36,$BD36*24,IF(AF11=$R37,$BD37*24,IF(AF11=$R38,$BD38*24,IF(AF11=$R39,$BD39*24,IF(AF11=$R40,$BD40*24,"")))))))))</f>
        <v/>
      </c>
      <c r="AG71" s="169" t="str">
        <f>IF(AG11=$R32,$BD32*24,IF(AG11=$R33,$BD33*24,IF(AG11=$R34,$BD34*24,IF(AG11=$R35,$BD35*24,IF(AG11=$R36,$BD36*24,IF(AG11=$R37,$BD37*24,IF(AG11=$R38,$BD38*24,IF(AG11=$R39,$BD39*24,IF(AG11=$R40,$BD40*24,"")))))))))</f>
        <v/>
      </c>
      <c r="AH71" s="148">
        <f>SUM(C71:AG71)</f>
        <v>0</v>
      </c>
      <c r="AI71" s="133"/>
      <c r="AJ71" s="170"/>
      <c r="AK71" s="133"/>
      <c r="AL71" s="133"/>
    </row>
    <row r="72" spans="1:77" ht="15.95" hidden="1" customHeight="1" x14ac:dyDescent="0.25">
      <c r="A72" s="153"/>
      <c r="B72" s="167" t="s">
        <v>59</v>
      </c>
      <c r="C72" s="141">
        <f t="shared" ref="C72:AG72" si="66">IF(C11="V",$C36,IF(C11="PR",$C38,0))</f>
        <v>0</v>
      </c>
      <c r="D72" s="141">
        <f t="shared" si="66"/>
        <v>0</v>
      </c>
      <c r="E72" s="141">
        <f t="shared" si="66"/>
        <v>0</v>
      </c>
      <c r="F72" s="141">
        <f t="shared" si="66"/>
        <v>0</v>
      </c>
      <c r="G72" s="141">
        <f t="shared" si="66"/>
        <v>0</v>
      </c>
      <c r="H72" s="141">
        <f t="shared" si="66"/>
        <v>0</v>
      </c>
      <c r="I72" s="141">
        <f t="shared" si="66"/>
        <v>0</v>
      </c>
      <c r="J72" s="141">
        <f t="shared" si="66"/>
        <v>0</v>
      </c>
      <c r="K72" s="141">
        <f t="shared" si="66"/>
        <v>0</v>
      </c>
      <c r="L72" s="141">
        <f t="shared" si="66"/>
        <v>0</v>
      </c>
      <c r="M72" s="141">
        <f t="shared" si="66"/>
        <v>0</v>
      </c>
      <c r="N72" s="141">
        <f t="shared" si="66"/>
        <v>0</v>
      </c>
      <c r="O72" s="141">
        <f t="shared" si="66"/>
        <v>0</v>
      </c>
      <c r="P72" s="141">
        <f t="shared" si="66"/>
        <v>0</v>
      </c>
      <c r="Q72" s="141">
        <f t="shared" si="66"/>
        <v>0</v>
      </c>
      <c r="R72" s="141">
        <f t="shared" si="66"/>
        <v>0</v>
      </c>
      <c r="S72" s="141">
        <f t="shared" si="66"/>
        <v>0</v>
      </c>
      <c r="T72" s="141">
        <f t="shared" si="66"/>
        <v>0</v>
      </c>
      <c r="U72" s="141">
        <f t="shared" si="66"/>
        <v>0</v>
      </c>
      <c r="V72" s="141">
        <f t="shared" si="66"/>
        <v>0</v>
      </c>
      <c r="W72" s="141">
        <f t="shared" si="66"/>
        <v>0</v>
      </c>
      <c r="X72" s="141">
        <f t="shared" si="66"/>
        <v>0</v>
      </c>
      <c r="Y72" s="141">
        <f t="shared" si="66"/>
        <v>0</v>
      </c>
      <c r="Z72" s="141">
        <f t="shared" si="66"/>
        <v>0</v>
      </c>
      <c r="AA72" s="141">
        <f t="shared" si="66"/>
        <v>0</v>
      </c>
      <c r="AB72" s="141">
        <f t="shared" si="66"/>
        <v>0</v>
      </c>
      <c r="AC72" s="141">
        <f t="shared" si="66"/>
        <v>0</v>
      </c>
      <c r="AD72" s="141">
        <f t="shared" si="66"/>
        <v>0</v>
      </c>
      <c r="AE72" s="141">
        <f t="shared" si="66"/>
        <v>0</v>
      </c>
      <c r="AF72" s="141">
        <f t="shared" si="66"/>
        <v>0</v>
      </c>
      <c r="AG72" s="141">
        <f t="shared" si="66"/>
        <v>0</v>
      </c>
      <c r="AH72" s="226">
        <f>SUM(C72:AG72)</f>
        <v>0</v>
      </c>
      <c r="AI72" s="226"/>
      <c r="AJ72" s="170" t="s">
        <v>12</v>
      </c>
      <c r="AK72" s="133"/>
      <c r="AL72" s="133"/>
    </row>
    <row r="73" spans="1:77" ht="15.95" hidden="1" customHeight="1" x14ac:dyDescent="0.25">
      <c r="A73" s="150" t="s">
        <v>60</v>
      </c>
      <c r="B73" s="167" t="s">
        <v>61</v>
      </c>
      <c r="C73" s="151">
        <f t="shared" ref="C73:AD73" si="67">IF(C11=$R32,$BC32,IF(C11=$R33,$BC33,IF(C11=$R34,$BC34,IF(C11=$R35,$BC35,IF(C11=$R36,$BC36,IF(C11=$R37,$BC37,IF(C11=$R38,$BC38,IF(C11=$R39,$BC39,IF(C11=$R40,$BC40,0)))))))))</f>
        <v>0</v>
      </c>
      <c r="D73" s="151">
        <f t="shared" si="67"/>
        <v>0</v>
      </c>
      <c r="E73" s="151">
        <f t="shared" si="67"/>
        <v>0</v>
      </c>
      <c r="F73" s="151">
        <f t="shared" si="67"/>
        <v>0</v>
      </c>
      <c r="G73" s="151">
        <f t="shared" si="67"/>
        <v>0</v>
      </c>
      <c r="H73" s="151">
        <f t="shared" si="67"/>
        <v>0</v>
      </c>
      <c r="I73" s="151">
        <f t="shared" si="67"/>
        <v>0</v>
      </c>
      <c r="J73" s="151">
        <f t="shared" si="67"/>
        <v>0</v>
      </c>
      <c r="K73" s="151">
        <f t="shared" si="67"/>
        <v>0</v>
      </c>
      <c r="L73" s="151">
        <f t="shared" si="67"/>
        <v>0</v>
      </c>
      <c r="M73" s="151">
        <f t="shared" si="67"/>
        <v>0</v>
      </c>
      <c r="N73" s="151">
        <f t="shared" si="67"/>
        <v>0</v>
      </c>
      <c r="O73" s="151">
        <f t="shared" si="67"/>
        <v>0</v>
      </c>
      <c r="P73" s="151">
        <f t="shared" si="67"/>
        <v>0</v>
      </c>
      <c r="Q73" s="151">
        <f t="shared" si="67"/>
        <v>0</v>
      </c>
      <c r="R73" s="151">
        <f t="shared" si="67"/>
        <v>0</v>
      </c>
      <c r="S73" s="151">
        <f t="shared" si="67"/>
        <v>0</v>
      </c>
      <c r="T73" s="151">
        <f t="shared" si="67"/>
        <v>0</v>
      </c>
      <c r="U73" s="151">
        <f t="shared" si="67"/>
        <v>0</v>
      </c>
      <c r="V73" s="151">
        <f t="shared" si="67"/>
        <v>0</v>
      </c>
      <c r="W73" s="151">
        <f t="shared" si="67"/>
        <v>0</v>
      </c>
      <c r="X73" s="151">
        <f t="shared" si="67"/>
        <v>0</v>
      </c>
      <c r="Y73" s="151">
        <f t="shared" si="67"/>
        <v>0</v>
      </c>
      <c r="Z73" s="151">
        <f t="shared" si="67"/>
        <v>0</v>
      </c>
      <c r="AA73" s="151">
        <f t="shared" si="67"/>
        <v>0</v>
      </c>
      <c r="AB73" s="151">
        <f t="shared" si="67"/>
        <v>0</v>
      </c>
      <c r="AC73" s="151">
        <f t="shared" si="67"/>
        <v>0</v>
      </c>
      <c r="AD73" s="151">
        <f t="shared" si="67"/>
        <v>0</v>
      </c>
      <c r="AE73" s="151">
        <f>IF(AE11=$R32,$BC32,IF(AE11=$R33,$BC33,IF(AE11=$R34,$BC34,IF(AE11=$R35,$BC35,IF(AE11=$R36,$BC36,IF(AE11=$R37,$BC37,IF(AE11=$R38,$BC38,IF(AE11=$R39,$BC39,IF(AE11=$R40,$BC40,0)))))))))</f>
        <v>0</v>
      </c>
      <c r="AF73" s="151">
        <f>IF(AF11=$R32,$BC32,IF(AF11=$R33,$BC33,IF(AF11=$R34,$BC34,IF(AF11=$R35,$BC35,IF(AF11=$R36,$BC36,IF(AF11=$R37,$BC37,IF(AF11=$R38,$BC38,IF(AF11=$R39,$BC39,IF(AF11=$R40,$BC40,0)))))))))</f>
        <v>0</v>
      </c>
      <c r="AG73" s="151">
        <f>IF(AG11=$R32,$BC32,IF(AG11=$R33,$BC33,IF(AG11=$R34,$BC34,IF(AG11=$R35,$BC35,IF(AG11=$R36,$BC36,IF(AG11=$R37,$BC37,IF(AG11=$R38,$BC38,IF(AG11=$R39,$BC39,IF(AG11=$R40,$BC40,0)))))))))</f>
        <v>0</v>
      </c>
      <c r="AH73" s="226">
        <f>SUM(C73:AG73)</f>
        <v>0</v>
      </c>
      <c r="AI73" s="226"/>
      <c r="AJ73" s="175" t="s">
        <v>62</v>
      </c>
      <c r="AK73" s="133" t="s">
        <v>12</v>
      </c>
      <c r="AL73" s="133"/>
    </row>
    <row r="74" spans="1:77" ht="15.95" hidden="1" customHeight="1" x14ac:dyDescent="0.25">
      <c r="A74" s="153" t="s">
        <v>48</v>
      </c>
      <c r="B74" s="149" t="s">
        <v>63</v>
      </c>
      <c r="C74" s="141" t="b">
        <f t="shared" ref="C74:AG74" si="68">IF(C46=1,IF(C69&lt;C70,C73,0))</f>
        <v>0</v>
      </c>
      <c r="D74" s="141">
        <f t="shared" si="68"/>
        <v>0</v>
      </c>
      <c r="E74" s="141">
        <f t="shared" si="68"/>
        <v>0</v>
      </c>
      <c r="F74" s="141" t="b">
        <f t="shared" si="68"/>
        <v>0</v>
      </c>
      <c r="G74" s="141" t="b">
        <f t="shared" si="68"/>
        <v>0</v>
      </c>
      <c r="H74" s="141" t="b">
        <f t="shared" si="68"/>
        <v>0</v>
      </c>
      <c r="I74" s="141" t="b">
        <f t="shared" si="68"/>
        <v>0</v>
      </c>
      <c r="J74" s="141" t="b">
        <f t="shared" si="68"/>
        <v>0</v>
      </c>
      <c r="K74" s="141">
        <f t="shared" si="68"/>
        <v>0</v>
      </c>
      <c r="L74" s="141">
        <f t="shared" si="68"/>
        <v>0</v>
      </c>
      <c r="M74" s="141" t="b">
        <f t="shared" si="68"/>
        <v>0</v>
      </c>
      <c r="N74" s="141" t="b">
        <f t="shared" si="68"/>
        <v>0</v>
      </c>
      <c r="O74" s="141" t="b">
        <f t="shared" si="68"/>
        <v>0</v>
      </c>
      <c r="P74" s="141" t="b">
        <f t="shared" si="68"/>
        <v>0</v>
      </c>
      <c r="Q74" s="141" t="b">
        <f t="shared" si="68"/>
        <v>0</v>
      </c>
      <c r="R74" s="141">
        <f t="shared" si="68"/>
        <v>0</v>
      </c>
      <c r="S74" s="141">
        <f t="shared" si="68"/>
        <v>0</v>
      </c>
      <c r="T74" s="141" t="b">
        <f t="shared" si="68"/>
        <v>0</v>
      </c>
      <c r="U74" s="141" t="b">
        <f t="shared" si="68"/>
        <v>0</v>
      </c>
      <c r="V74" s="141" t="b">
        <f t="shared" si="68"/>
        <v>0</v>
      </c>
      <c r="W74" s="141" t="b">
        <f t="shared" si="68"/>
        <v>0</v>
      </c>
      <c r="X74" s="141" t="b">
        <f t="shared" si="68"/>
        <v>0</v>
      </c>
      <c r="Y74" s="141">
        <f t="shared" si="68"/>
        <v>0</v>
      </c>
      <c r="Z74" s="141">
        <f t="shared" si="68"/>
        <v>0</v>
      </c>
      <c r="AA74" s="141" t="b">
        <f t="shared" si="68"/>
        <v>0</v>
      </c>
      <c r="AB74" s="141" t="b">
        <f t="shared" si="68"/>
        <v>0</v>
      </c>
      <c r="AC74" s="141" t="b">
        <f t="shared" si="68"/>
        <v>0</v>
      </c>
      <c r="AD74" s="141" t="b">
        <f t="shared" si="68"/>
        <v>0</v>
      </c>
      <c r="AE74" s="141" t="b">
        <f t="shared" si="68"/>
        <v>0</v>
      </c>
      <c r="AF74" s="141">
        <f t="shared" si="68"/>
        <v>0</v>
      </c>
      <c r="AG74" s="141">
        <f t="shared" si="68"/>
        <v>0</v>
      </c>
      <c r="AH74" s="154" t="s">
        <v>12</v>
      </c>
      <c r="AI74" s="133"/>
      <c r="AJ74" s="170"/>
      <c r="AK74" s="133"/>
      <c r="AL74" s="133"/>
    </row>
    <row r="75" spans="1:77" ht="15.95" hidden="1" customHeight="1" x14ac:dyDescent="0.25">
      <c r="A75" s="176"/>
      <c r="B75" s="149" t="s">
        <v>64</v>
      </c>
      <c r="C75" s="141">
        <f t="shared" ref="C75:AG75" si="69">IF(C46=1,IF(C69&gt;C70,24-C69,0),0)</f>
        <v>0</v>
      </c>
      <c r="D75" s="141">
        <f t="shared" si="69"/>
        <v>0</v>
      </c>
      <c r="E75" s="141">
        <f t="shared" si="69"/>
        <v>0</v>
      </c>
      <c r="F75" s="141">
        <f t="shared" si="69"/>
        <v>0</v>
      </c>
      <c r="G75" s="141">
        <f t="shared" si="69"/>
        <v>0</v>
      </c>
      <c r="H75" s="141">
        <f t="shared" si="69"/>
        <v>0</v>
      </c>
      <c r="I75" s="141">
        <f t="shared" si="69"/>
        <v>0</v>
      </c>
      <c r="J75" s="141">
        <f t="shared" si="69"/>
        <v>0</v>
      </c>
      <c r="K75" s="141">
        <f t="shared" si="69"/>
        <v>0</v>
      </c>
      <c r="L75" s="141">
        <f t="shared" si="69"/>
        <v>0</v>
      </c>
      <c r="M75" s="141">
        <f t="shared" si="69"/>
        <v>0</v>
      </c>
      <c r="N75" s="141">
        <f t="shared" si="69"/>
        <v>0</v>
      </c>
      <c r="O75" s="141">
        <f t="shared" si="69"/>
        <v>0</v>
      </c>
      <c r="P75" s="141">
        <f t="shared" si="69"/>
        <v>0</v>
      </c>
      <c r="Q75" s="141">
        <f t="shared" si="69"/>
        <v>0</v>
      </c>
      <c r="R75" s="141">
        <f t="shared" si="69"/>
        <v>0</v>
      </c>
      <c r="S75" s="141">
        <f t="shared" si="69"/>
        <v>0</v>
      </c>
      <c r="T75" s="141">
        <f t="shared" si="69"/>
        <v>0</v>
      </c>
      <c r="U75" s="141">
        <f t="shared" si="69"/>
        <v>0</v>
      </c>
      <c r="V75" s="141">
        <f t="shared" si="69"/>
        <v>0</v>
      </c>
      <c r="W75" s="141">
        <f t="shared" si="69"/>
        <v>0</v>
      </c>
      <c r="X75" s="141">
        <f t="shared" si="69"/>
        <v>0</v>
      </c>
      <c r="Y75" s="141">
        <f t="shared" si="69"/>
        <v>0</v>
      </c>
      <c r="Z75" s="141">
        <f t="shared" si="69"/>
        <v>0</v>
      </c>
      <c r="AA75" s="141">
        <f t="shared" si="69"/>
        <v>0</v>
      </c>
      <c r="AB75" s="141">
        <f t="shared" si="69"/>
        <v>0</v>
      </c>
      <c r="AC75" s="141">
        <f t="shared" si="69"/>
        <v>0</v>
      </c>
      <c r="AD75" s="141">
        <f t="shared" si="69"/>
        <v>0</v>
      </c>
      <c r="AE75" s="141">
        <f t="shared" si="69"/>
        <v>0</v>
      </c>
      <c r="AF75" s="141">
        <f t="shared" si="69"/>
        <v>0</v>
      </c>
      <c r="AG75" s="141">
        <f t="shared" si="69"/>
        <v>0</v>
      </c>
      <c r="AH75" s="154" t="s">
        <v>12</v>
      </c>
      <c r="AI75" s="133"/>
      <c r="AJ75" s="170"/>
      <c r="AK75" s="133"/>
      <c r="AL75" s="133"/>
    </row>
    <row r="76" spans="1:77" ht="15.95" hidden="1" customHeight="1" x14ac:dyDescent="0.25">
      <c r="A76" s="176"/>
      <c r="B76" s="149" t="s">
        <v>65</v>
      </c>
      <c r="C76" s="141">
        <f t="shared" ref="C76:AG76" si="70">IF(D46=1,IF(C69&gt;C70,C70,0),0)</f>
        <v>0</v>
      </c>
      <c r="D76" s="141">
        <f t="shared" si="70"/>
        <v>0</v>
      </c>
      <c r="E76" s="141">
        <f t="shared" si="70"/>
        <v>0</v>
      </c>
      <c r="F76" s="141">
        <f t="shared" si="70"/>
        <v>0</v>
      </c>
      <c r="G76" s="141">
        <f t="shared" si="70"/>
        <v>0</v>
      </c>
      <c r="H76" s="141">
        <f t="shared" si="70"/>
        <v>0</v>
      </c>
      <c r="I76" s="141">
        <f t="shared" si="70"/>
        <v>0</v>
      </c>
      <c r="J76" s="141">
        <f t="shared" si="70"/>
        <v>0</v>
      </c>
      <c r="K76" s="141">
        <f t="shared" si="70"/>
        <v>0</v>
      </c>
      <c r="L76" s="141">
        <f t="shared" si="70"/>
        <v>0</v>
      </c>
      <c r="M76" s="141">
        <f t="shared" si="70"/>
        <v>0</v>
      </c>
      <c r="N76" s="141">
        <f t="shared" si="70"/>
        <v>0</v>
      </c>
      <c r="O76" s="141">
        <f t="shared" si="70"/>
        <v>0</v>
      </c>
      <c r="P76" s="141">
        <f t="shared" si="70"/>
        <v>0</v>
      </c>
      <c r="Q76" s="141">
        <f t="shared" si="70"/>
        <v>0</v>
      </c>
      <c r="R76" s="141">
        <f t="shared" si="70"/>
        <v>0</v>
      </c>
      <c r="S76" s="141">
        <f t="shared" si="70"/>
        <v>0</v>
      </c>
      <c r="T76" s="141">
        <f t="shared" si="70"/>
        <v>0</v>
      </c>
      <c r="U76" s="141">
        <f t="shared" si="70"/>
        <v>0</v>
      </c>
      <c r="V76" s="141">
        <f t="shared" si="70"/>
        <v>0</v>
      </c>
      <c r="W76" s="141">
        <f t="shared" si="70"/>
        <v>0</v>
      </c>
      <c r="X76" s="141">
        <f>IF(Y46=1,IF(X69&gt;X70,X70,0),0)</f>
        <v>0</v>
      </c>
      <c r="Y76" s="141">
        <f t="shared" si="70"/>
        <v>0</v>
      </c>
      <c r="Z76" s="141">
        <f t="shared" si="70"/>
        <v>0</v>
      </c>
      <c r="AA76" s="141">
        <f t="shared" si="70"/>
        <v>0</v>
      </c>
      <c r="AB76" s="141">
        <f t="shared" si="70"/>
        <v>0</v>
      </c>
      <c r="AC76" s="141">
        <f t="shared" si="70"/>
        <v>0</v>
      </c>
      <c r="AD76" s="141">
        <f t="shared" si="70"/>
        <v>0</v>
      </c>
      <c r="AE76" s="141">
        <f t="shared" si="70"/>
        <v>0</v>
      </c>
      <c r="AF76" s="141">
        <f t="shared" si="70"/>
        <v>0</v>
      </c>
      <c r="AG76" s="141">
        <f t="shared" si="70"/>
        <v>0</v>
      </c>
      <c r="AH76" s="154" t="s">
        <v>12</v>
      </c>
      <c r="AI76" s="133"/>
      <c r="AJ76" s="170"/>
      <c r="AK76" s="133"/>
      <c r="AL76" s="133"/>
    </row>
    <row r="77" spans="1:77" ht="15.95" hidden="1" customHeight="1" x14ac:dyDescent="0.25">
      <c r="A77" s="176"/>
      <c r="B77" s="149" t="s">
        <v>67</v>
      </c>
      <c r="C77" s="171">
        <f t="shared" ref="C77:AG77" si="71">SUM(C74:C76)</f>
        <v>0</v>
      </c>
      <c r="D77" s="171">
        <f t="shared" si="71"/>
        <v>0</v>
      </c>
      <c r="E77" s="171">
        <f t="shared" si="71"/>
        <v>0</v>
      </c>
      <c r="F77" s="171">
        <f t="shared" si="71"/>
        <v>0</v>
      </c>
      <c r="G77" s="171">
        <f t="shared" si="71"/>
        <v>0</v>
      </c>
      <c r="H77" s="171">
        <f t="shared" si="71"/>
        <v>0</v>
      </c>
      <c r="I77" s="171">
        <f t="shared" si="71"/>
        <v>0</v>
      </c>
      <c r="J77" s="171">
        <f t="shared" si="71"/>
        <v>0</v>
      </c>
      <c r="K77" s="171">
        <f t="shared" si="71"/>
        <v>0</v>
      </c>
      <c r="L77" s="171">
        <f t="shared" si="71"/>
        <v>0</v>
      </c>
      <c r="M77" s="171">
        <f t="shared" si="71"/>
        <v>0</v>
      </c>
      <c r="N77" s="171">
        <f t="shared" si="71"/>
        <v>0</v>
      </c>
      <c r="O77" s="171">
        <f t="shared" si="71"/>
        <v>0</v>
      </c>
      <c r="P77" s="171">
        <f t="shared" si="71"/>
        <v>0</v>
      </c>
      <c r="Q77" s="171">
        <f t="shared" si="71"/>
        <v>0</v>
      </c>
      <c r="R77" s="171">
        <f t="shared" si="71"/>
        <v>0</v>
      </c>
      <c r="S77" s="171">
        <f t="shared" si="71"/>
        <v>0</v>
      </c>
      <c r="T77" s="171">
        <f t="shared" si="71"/>
        <v>0</v>
      </c>
      <c r="U77" s="171">
        <f t="shared" si="71"/>
        <v>0</v>
      </c>
      <c r="V77" s="171">
        <f t="shared" si="71"/>
        <v>0</v>
      </c>
      <c r="W77" s="171">
        <f t="shared" si="71"/>
        <v>0</v>
      </c>
      <c r="X77" s="171">
        <f t="shared" si="71"/>
        <v>0</v>
      </c>
      <c r="Y77" s="171">
        <f t="shared" si="71"/>
        <v>0</v>
      </c>
      <c r="Z77" s="171">
        <f t="shared" si="71"/>
        <v>0</v>
      </c>
      <c r="AA77" s="171">
        <f t="shared" si="71"/>
        <v>0</v>
      </c>
      <c r="AB77" s="171">
        <f t="shared" si="71"/>
        <v>0</v>
      </c>
      <c r="AC77" s="171">
        <f t="shared" si="71"/>
        <v>0</v>
      </c>
      <c r="AD77" s="171">
        <f t="shared" si="71"/>
        <v>0</v>
      </c>
      <c r="AE77" s="171">
        <f t="shared" si="71"/>
        <v>0</v>
      </c>
      <c r="AF77" s="171">
        <f t="shared" si="71"/>
        <v>0</v>
      </c>
      <c r="AG77" s="171">
        <f t="shared" si="71"/>
        <v>0</v>
      </c>
      <c r="AH77" s="154" t="s">
        <v>12</v>
      </c>
      <c r="AI77" s="133"/>
      <c r="AJ77" s="170"/>
      <c r="AK77" s="133"/>
      <c r="AL77" s="133"/>
    </row>
    <row r="78" spans="1:77" ht="15.95" hidden="1" customHeight="1" x14ac:dyDescent="0.25">
      <c r="A78" s="177"/>
      <c r="B78" s="160" t="s">
        <v>68</v>
      </c>
      <c r="C78" s="161">
        <f t="shared" ref="C78:AG78" si="72">IF(C11="V",IF(C11="",0,1),0)</f>
        <v>0</v>
      </c>
      <c r="D78" s="161">
        <f t="shared" si="72"/>
        <v>0</v>
      </c>
      <c r="E78" s="161">
        <f t="shared" si="72"/>
        <v>0</v>
      </c>
      <c r="F78" s="161">
        <f t="shared" si="72"/>
        <v>0</v>
      </c>
      <c r="G78" s="161">
        <f t="shared" si="72"/>
        <v>0</v>
      </c>
      <c r="H78" s="161">
        <f t="shared" si="72"/>
        <v>0</v>
      </c>
      <c r="I78" s="161">
        <f t="shared" si="72"/>
        <v>0</v>
      </c>
      <c r="J78" s="161">
        <f t="shared" si="72"/>
        <v>0</v>
      </c>
      <c r="K78" s="161">
        <f t="shared" si="72"/>
        <v>0</v>
      </c>
      <c r="L78" s="161">
        <f t="shared" si="72"/>
        <v>0</v>
      </c>
      <c r="M78" s="161">
        <f t="shared" si="72"/>
        <v>0</v>
      </c>
      <c r="N78" s="161">
        <f t="shared" si="72"/>
        <v>0</v>
      </c>
      <c r="O78" s="161">
        <f t="shared" si="72"/>
        <v>0</v>
      </c>
      <c r="P78" s="161">
        <f t="shared" si="72"/>
        <v>0</v>
      </c>
      <c r="Q78" s="161">
        <f t="shared" si="72"/>
        <v>0</v>
      </c>
      <c r="R78" s="161">
        <f t="shared" si="72"/>
        <v>0</v>
      </c>
      <c r="S78" s="161">
        <f t="shared" si="72"/>
        <v>0</v>
      </c>
      <c r="T78" s="161">
        <f t="shared" si="72"/>
        <v>0</v>
      </c>
      <c r="U78" s="161">
        <f t="shared" si="72"/>
        <v>0</v>
      </c>
      <c r="V78" s="161">
        <f t="shared" si="72"/>
        <v>0</v>
      </c>
      <c r="W78" s="161">
        <f t="shared" si="72"/>
        <v>0</v>
      </c>
      <c r="X78" s="161">
        <f t="shared" si="72"/>
        <v>0</v>
      </c>
      <c r="Y78" s="161">
        <f t="shared" si="72"/>
        <v>0</v>
      </c>
      <c r="Z78" s="161">
        <f t="shared" si="72"/>
        <v>0</v>
      </c>
      <c r="AA78" s="161">
        <f t="shared" si="72"/>
        <v>0</v>
      </c>
      <c r="AB78" s="161">
        <f t="shared" si="72"/>
        <v>0</v>
      </c>
      <c r="AC78" s="161">
        <f t="shared" si="72"/>
        <v>0</v>
      </c>
      <c r="AD78" s="161">
        <f t="shared" si="72"/>
        <v>0</v>
      </c>
      <c r="AE78" s="161">
        <f t="shared" si="72"/>
        <v>0</v>
      </c>
      <c r="AF78" s="161">
        <f t="shared" si="72"/>
        <v>0</v>
      </c>
      <c r="AG78" s="161">
        <f t="shared" si="72"/>
        <v>0</v>
      </c>
      <c r="AH78" s="154" t="s">
        <v>12</v>
      </c>
      <c r="AI78" s="133"/>
      <c r="AJ78" s="170"/>
      <c r="AK78" s="133"/>
      <c r="AL78" s="133"/>
    </row>
    <row r="79" spans="1:77" ht="15.95" hidden="1" customHeight="1" x14ac:dyDescent="0.25">
      <c r="A79" s="173"/>
      <c r="B79" s="130" t="s">
        <v>16</v>
      </c>
      <c r="C79" s="163">
        <f t="shared" ref="C79:AG79" si="73">IF(C11="PR",IF(C11="",0,1),0)</f>
        <v>0</v>
      </c>
      <c r="D79" s="163">
        <f t="shared" si="73"/>
        <v>0</v>
      </c>
      <c r="E79" s="163">
        <f t="shared" si="73"/>
        <v>0</v>
      </c>
      <c r="F79" s="163">
        <f t="shared" si="73"/>
        <v>0</v>
      </c>
      <c r="G79" s="163">
        <f t="shared" si="73"/>
        <v>0</v>
      </c>
      <c r="H79" s="163">
        <f t="shared" si="73"/>
        <v>0</v>
      </c>
      <c r="I79" s="163">
        <f t="shared" si="73"/>
        <v>0</v>
      </c>
      <c r="J79" s="163">
        <f t="shared" si="73"/>
        <v>0</v>
      </c>
      <c r="K79" s="163">
        <f t="shared" si="73"/>
        <v>0</v>
      </c>
      <c r="L79" s="163">
        <f t="shared" si="73"/>
        <v>0</v>
      </c>
      <c r="M79" s="163">
        <f t="shared" si="73"/>
        <v>0</v>
      </c>
      <c r="N79" s="163">
        <f t="shared" si="73"/>
        <v>0</v>
      </c>
      <c r="O79" s="163">
        <f t="shared" si="73"/>
        <v>0</v>
      </c>
      <c r="P79" s="163">
        <f t="shared" si="73"/>
        <v>0</v>
      </c>
      <c r="Q79" s="163">
        <f t="shared" si="73"/>
        <v>0</v>
      </c>
      <c r="R79" s="163">
        <f t="shared" si="73"/>
        <v>0</v>
      </c>
      <c r="S79" s="163">
        <f t="shared" si="73"/>
        <v>0</v>
      </c>
      <c r="T79" s="163">
        <f t="shared" si="73"/>
        <v>0</v>
      </c>
      <c r="U79" s="163">
        <f t="shared" si="73"/>
        <v>0</v>
      </c>
      <c r="V79" s="163">
        <f t="shared" si="73"/>
        <v>0</v>
      </c>
      <c r="W79" s="163">
        <f t="shared" si="73"/>
        <v>0</v>
      </c>
      <c r="X79" s="163">
        <f t="shared" si="73"/>
        <v>0</v>
      </c>
      <c r="Y79" s="163">
        <f t="shared" si="73"/>
        <v>0</v>
      </c>
      <c r="Z79" s="163">
        <f t="shared" si="73"/>
        <v>0</v>
      </c>
      <c r="AA79" s="163">
        <f t="shared" si="73"/>
        <v>0</v>
      </c>
      <c r="AB79" s="163">
        <f t="shared" si="73"/>
        <v>0</v>
      </c>
      <c r="AC79" s="163">
        <f t="shared" si="73"/>
        <v>0</v>
      </c>
      <c r="AD79" s="163">
        <f t="shared" si="73"/>
        <v>0</v>
      </c>
      <c r="AE79" s="163">
        <f t="shared" si="73"/>
        <v>0</v>
      </c>
      <c r="AF79" s="163">
        <f t="shared" si="73"/>
        <v>0</v>
      </c>
      <c r="AG79" s="163">
        <f t="shared" si="73"/>
        <v>0</v>
      </c>
      <c r="AH79" s="229">
        <f>SUM(C79:AG79)</f>
        <v>0</v>
      </c>
      <c r="AI79" s="229"/>
      <c r="AJ79" s="174" t="s">
        <v>69</v>
      </c>
      <c r="AK79" s="133"/>
      <c r="AL79" s="133"/>
    </row>
    <row r="80" spans="1:77" ht="15.95" hidden="1" customHeight="1" x14ac:dyDescent="0.25">
      <c r="A80" s="164" t="s">
        <v>75</v>
      </c>
      <c r="B80" s="165" t="s">
        <v>29</v>
      </c>
      <c r="C80" s="141" t="str">
        <f t="shared" ref="C80:AG80" si="74">IF(C12=$R32,$S32*24,IF(C12=$R33,$S33*24,IF(C12=$R34,$S34*24,IF(C12=$R35,$S35*24,IF(C12=$R36,$S36*24,IF(C12=$R37,$S37*24,IF(C12=$R38,$S38*24,IF(C12=$R39,$S39*24,IF(C12=$R40,$S40*24,"")))))))))</f>
        <v/>
      </c>
      <c r="D80" s="141" t="str">
        <f t="shared" si="74"/>
        <v/>
      </c>
      <c r="E80" s="141" t="str">
        <f t="shared" si="74"/>
        <v/>
      </c>
      <c r="F80" s="141" t="str">
        <f t="shared" si="74"/>
        <v/>
      </c>
      <c r="G80" s="141" t="str">
        <f t="shared" si="74"/>
        <v/>
      </c>
      <c r="H80" s="141" t="str">
        <f t="shared" si="74"/>
        <v/>
      </c>
      <c r="I80" s="141" t="str">
        <f t="shared" si="74"/>
        <v/>
      </c>
      <c r="J80" s="141" t="str">
        <f t="shared" si="74"/>
        <v/>
      </c>
      <c r="K80" s="141" t="str">
        <f t="shared" si="74"/>
        <v/>
      </c>
      <c r="L80" s="141" t="str">
        <f t="shared" si="74"/>
        <v/>
      </c>
      <c r="M80" s="141" t="str">
        <f t="shared" si="74"/>
        <v/>
      </c>
      <c r="N80" s="141" t="str">
        <f t="shared" si="74"/>
        <v/>
      </c>
      <c r="O80" s="141" t="str">
        <f t="shared" si="74"/>
        <v/>
      </c>
      <c r="P80" s="141" t="str">
        <f t="shared" si="74"/>
        <v/>
      </c>
      <c r="Q80" s="141" t="str">
        <f t="shared" si="74"/>
        <v/>
      </c>
      <c r="R80" s="141" t="str">
        <f t="shared" si="74"/>
        <v/>
      </c>
      <c r="S80" s="141" t="str">
        <f t="shared" si="74"/>
        <v/>
      </c>
      <c r="T80" s="141" t="str">
        <f t="shared" si="74"/>
        <v/>
      </c>
      <c r="U80" s="141" t="str">
        <f t="shared" si="74"/>
        <v/>
      </c>
      <c r="V80" s="141" t="str">
        <f t="shared" si="74"/>
        <v/>
      </c>
      <c r="W80" s="141" t="str">
        <f t="shared" si="74"/>
        <v/>
      </c>
      <c r="X80" s="141" t="str">
        <f t="shared" si="74"/>
        <v/>
      </c>
      <c r="Y80" s="141" t="str">
        <f t="shared" si="74"/>
        <v/>
      </c>
      <c r="Z80" s="141" t="str">
        <f t="shared" si="74"/>
        <v/>
      </c>
      <c r="AA80" s="141" t="str">
        <f t="shared" si="74"/>
        <v/>
      </c>
      <c r="AB80" s="141" t="str">
        <f t="shared" si="74"/>
        <v/>
      </c>
      <c r="AC80" s="141" t="str">
        <f t="shared" si="74"/>
        <v/>
      </c>
      <c r="AD80" s="141" t="str">
        <f t="shared" si="74"/>
        <v/>
      </c>
      <c r="AE80" s="141" t="str">
        <f t="shared" si="74"/>
        <v/>
      </c>
      <c r="AF80" s="141" t="str">
        <f t="shared" si="74"/>
        <v/>
      </c>
      <c r="AG80" s="141" t="str">
        <f t="shared" si="74"/>
        <v/>
      </c>
      <c r="AH80" s="154" t="s">
        <v>12</v>
      </c>
      <c r="AI80" s="133"/>
      <c r="AJ80" s="170"/>
      <c r="AK80" s="133"/>
      <c r="AL80" s="133"/>
    </row>
    <row r="81" spans="1:38" ht="15.95" hidden="1" customHeight="1" x14ac:dyDescent="0.25">
      <c r="A81" s="166" t="s">
        <v>76</v>
      </c>
      <c r="B81" s="167" t="s">
        <v>30</v>
      </c>
      <c r="C81" s="141" t="str">
        <f t="shared" ref="C81:AG81" si="75">IF(C12=$R32,$V32*24,IF(C12=$R33,$V33*24,IF(C12=$R34,$V34*24,IF(C12=$R35,$V35*24,IF(C12=$R36,$V36*24,IF(C12=$R37,$V37*24,IF(C12=$R38,$V38*24,IF(C12=$R39,$V39*24,IF(C12=$R40,$V40*24,"")))))))))</f>
        <v/>
      </c>
      <c r="D81" s="141" t="str">
        <f t="shared" si="75"/>
        <v/>
      </c>
      <c r="E81" s="141" t="str">
        <f t="shared" si="75"/>
        <v/>
      </c>
      <c r="F81" s="141" t="str">
        <f t="shared" si="75"/>
        <v/>
      </c>
      <c r="G81" s="141" t="str">
        <f t="shared" si="75"/>
        <v/>
      </c>
      <c r="H81" s="141" t="str">
        <f t="shared" si="75"/>
        <v/>
      </c>
      <c r="I81" s="141" t="str">
        <f t="shared" si="75"/>
        <v/>
      </c>
      <c r="J81" s="141" t="str">
        <f t="shared" si="75"/>
        <v/>
      </c>
      <c r="K81" s="141" t="str">
        <f t="shared" si="75"/>
        <v/>
      </c>
      <c r="L81" s="141" t="str">
        <f t="shared" si="75"/>
        <v/>
      </c>
      <c r="M81" s="141" t="str">
        <f t="shared" si="75"/>
        <v/>
      </c>
      <c r="N81" s="141" t="str">
        <f t="shared" si="75"/>
        <v/>
      </c>
      <c r="O81" s="141" t="str">
        <f t="shared" si="75"/>
        <v/>
      </c>
      <c r="P81" s="141" t="str">
        <f t="shared" si="75"/>
        <v/>
      </c>
      <c r="Q81" s="141" t="str">
        <f t="shared" si="75"/>
        <v/>
      </c>
      <c r="R81" s="141" t="str">
        <f t="shared" si="75"/>
        <v/>
      </c>
      <c r="S81" s="141" t="str">
        <f t="shared" si="75"/>
        <v/>
      </c>
      <c r="T81" s="141" t="str">
        <f t="shared" si="75"/>
        <v/>
      </c>
      <c r="U81" s="141" t="str">
        <f t="shared" si="75"/>
        <v/>
      </c>
      <c r="V81" s="141" t="str">
        <f t="shared" si="75"/>
        <v/>
      </c>
      <c r="W81" s="141" t="str">
        <f t="shared" si="75"/>
        <v/>
      </c>
      <c r="X81" s="141" t="str">
        <f t="shared" si="75"/>
        <v/>
      </c>
      <c r="Y81" s="141" t="str">
        <f t="shared" si="75"/>
        <v/>
      </c>
      <c r="Z81" s="141" t="str">
        <f t="shared" si="75"/>
        <v/>
      </c>
      <c r="AA81" s="141" t="str">
        <f t="shared" si="75"/>
        <v/>
      </c>
      <c r="AB81" s="141" t="str">
        <f t="shared" si="75"/>
        <v/>
      </c>
      <c r="AC81" s="141" t="str">
        <f t="shared" si="75"/>
        <v/>
      </c>
      <c r="AD81" s="141" t="str">
        <f t="shared" si="75"/>
        <v/>
      </c>
      <c r="AE81" s="141" t="str">
        <f t="shared" si="75"/>
        <v/>
      </c>
      <c r="AF81" s="141" t="str">
        <f t="shared" si="75"/>
        <v/>
      </c>
      <c r="AG81" s="141" t="str">
        <f t="shared" si="75"/>
        <v/>
      </c>
      <c r="AH81" s="154" t="s">
        <v>12</v>
      </c>
      <c r="AI81" s="133"/>
      <c r="AJ81" s="170"/>
      <c r="AK81" s="133"/>
      <c r="AL81" s="133"/>
    </row>
    <row r="82" spans="1:38" ht="15.95" hidden="1" customHeight="1" x14ac:dyDescent="0.25">
      <c r="A82" s="153"/>
      <c r="B82" s="168" t="s">
        <v>34</v>
      </c>
      <c r="C82" s="169" t="str">
        <f t="shared" ref="C82:AD82" si="76">IF(C12=$R32,$BD32*24,IF(C12=$R33,$BD33*24,IF(C12=$R34,$BD34*24,IF(C12=$R35,$BD35*24,IF(C12=$R36,$BD36*24,IF(C12=$R37,$BD37*24,IF(C12=$R38,$BD38*24,IF(C12=$R39,$BD39*24,IF(C12=$R40,$BD40*24,"")))))))))</f>
        <v/>
      </c>
      <c r="D82" s="169" t="str">
        <f t="shared" si="76"/>
        <v/>
      </c>
      <c r="E82" s="169" t="str">
        <f t="shared" si="76"/>
        <v/>
      </c>
      <c r="F82" s="169" t="str">
        <f t="shared" si="76"/>
        <v/>
      </c>
      <c r="G82" s="169" t="str">
        <f t="shared" si="76"/>
        <v/>
      </c>
      <c r="H82" s="169" t="str">
        <f t="shared" si="76"/>
        <v/>
      </c>
      <c r="I82" s="169" t="str">
        <f t="shared" si="76"/>
        <v/>
      </c>
      <c r="J82" s="169" t="str">
        <f t="shared" si="76"/>
        <v/>
      </c>
      <c r="K82" s="169" t="str">
        <f t="shared" si="76"/>
        <v/>
      </c>
      <c r="L82" s="169" t="str">
        <f t="shared" si="76"/>
        <v/>
      </c>
      <c r="M82" s="169" t="str">
        <f t="shared" si="76"/>
        <v/>
      </c>
      <c r="N82" s="169" t="str">
        <f t="shared" si="76"/>
        <v/>
      </c>
      <c r="O82" s="169" t="str">
        <f t="shared" si="76"/>
        <v/>
      </c>
      <c r="P82" s="169" t="str">
        <f t="shared" si="76"/>
        <v/>
      </c>
      <c r="Q82" s="169" t="str">
        <f t="shared" si="76"/>
        <v/>
      </c>
      <c r="R82" s="169" t="str">
        <f t="shared" si="76"/>
        <v/>
      </c>
      <c r="S82" s="169" t="str">
        <f t="shared" si="76"/>
        <v/>
      </c>
      <c r="T82" s="169" t="str">
        <f t="shared" si="76"/>
        <v/>
      </c>
      <c r="U82" s="169" t="str">
        <f t="shared" si="76"/>
        <v/>
      </c>
      <c r="V82" s="169" t="str">
        <f t="shared" si="76"/>
        <v/>
      </c>
      <c r="W82" s="169" t="str">
        <f t="shared" si="76"/>
        <v/>
      </c>
      <c r="X82" s="169" t="str">
        <f t="shared" si="76"/>
        <v/>
      </c>
      <c r="Y82" s="169" t="str">
        <f t="shared" si="76"/>
        <v/>
      </c>
      <c r="Z82" s="169" t="str">
        <f t="shared" si="76"/>
        <v/>
      </c>
      <c r="AA82" s="169" t="str">
        <f t="shared" si="76"/>
        <v/>
      </c>
      <c r="AB82" s="169" t="str">
        <f t="shared" si="76"/>
        <v/>
      </c>
      <c r="AC82" s="169" t="str">
        <f t="shared" si="76"/>
        <v/>
      </c>
      <c r="AD82" s="169" t="str">
        <f t="shared" si="76"/>
        <v/>
      </c>
      <c r="AE82" s="169" t="str">
        <f>IF(AE12=$R32,$BD32*24,IF(AE12=$R33,$BD33*24,IF(AE12=$R34,$BD34*24,IF(AE12=$R35,$BD35*24,IF(AE12=$R36,$BD36*24,IF(AE12=$R37,$BD37*24,IF(AE12=$R38,$BD38*24,IF(AE12=$R39,$BD39*24,IF(AE12=$R40,$BD40*24,"")))))))))</f>
        <v/>
      </c>
      <c r="AF82" s="169" t="str">
        <f>IF(AF12=$R32,$BD32*24,IF(AF12=$R33,$BD33*24,IF(AF12=$R34,$BD34*24,IF(AF12=$R35,$BD35*24,IF(AF12=$R36,$BD36*24,IF(AF12=$R37,$BD37*24,IF(AF12=$R38,$BD38*24,IF(AF12=$R39,$BD39*24,IF(AF12=$R40,$BD40*24,"")))))))))</f>
        <v/>
      </c>
      <c r="AG82" s="169" t="str">
        <f>IF(AG12=$R32,$BD32*24,IF(AG12=$R33,$BD33*24,IF(AG12=$R34,$BD34*24,IF(AG12=$R35,$BD35*24,IF(AG12=$R36,$BD36*24,IF(AG12=$R37,$BD37*24,IF(AG12=$R38,$BD38*24,IF(AG12=$R39,$BD39*24,IF(AG12=$R40,$BD40*24,"")))))))))</f>
        <v/>
      </c>
      <c r="AH82" s="148">
        <f>SUM(C82:AG82)</f>
        <v>0</v>
      </c>
      <c r="AI82" s="133"/>
      <c r="AJ82" s="170"/>
      <c r="AK82" s="133"/>
      <c r="AL82" s="133"/>
    </row>
    <row r="83" spans="1:38" ht="15.95" hidden="1" customHeight="1" x14ac:dyDescent="0.25">
      <c r="A83" s="153"/>
      <c r="B83" s="167" t="s">
        <v>59</v>
      </c>
      <c r="C83" s="141">
        <f t="shared" ref="C83:AG83" si="77">IF(C12="V",$C36,IF(C12="PR",$C38,0))</f>
        <v>0</v>
      </c>
      <c r="D83" s="141">
        <f t="shared" si="77"/>
        <v>0</v>
      </c>
      <c r="E83" s="141">
        <f t="shared" si="77"/>
        <v>0</v>
      </c>
      <c r="F83" s="141">
        <f t="shared" si="77"/>
        <v>0</v>
      </c>
      <c r="G83" s="141">
        <f t="shared" si="77"/>
        <v>0</v>
      </c>
      <c r="H83" s="141">
        <f t="shared" si="77"/>
        <v>0</v>
      </c>
      <c r="I83" s="141">
        <f t="shared" si="77"/>
        <v>0</v>
      </c>
      <c r="J83" s="141">
        <f t="shared" si="77"/>
        <v>0</v>
      </c>
      <c r="K83" s="141">
        <f t="shared" si="77"/>
        <v>0</v>
      </c>
      <c r="L83" s="141">
        <f t="shared" si="77"/>
        <v>0</v>
      </c>
      <c r="M83" s="141">
        <f t="shared" si="77"/>
        <v>0</v>
      </c>
      <c r="N83" s="141">
        <f t="shared" si="77"/>
        <v>0</v>
      </c>
      <c r="O83" s="141">
        <f t="shared" si="77"/>
        <v>0</v>
      </c>
      <c r="P83" s="141">
        <f t="shared" si="77"/>
        <v>0</v>
      </c>
      <c r="Q83" s="141">
        <f t="shared" si="77"/>
        <v>0</v>
      </c>
      <c r="R83" s="141">
        <f t="shared" si="77"/>
        <v>0</v>
      </c>
      <c r="S83" s="141">
        <f t="shared" si="77"/>
        <v>0</v>
      </c>
      <c r="T83" s="141">
        <f t="shared" si="77"/>
        <v>0</v>
      </c>
      <c r="U83" s="141">
        <f t="shared" si="77"/>
        <v>0</v>
      </c>
      <c r="V83" s="141">
        <f t="shared" si="77"/>
        <v>0</v>
      </c>
      <c r="W83" s="141">
        <f t="shared" si="77"/>
        <v>0</v>
      </c>
      <c r="X83" s="141">
        <f t="shared" si="77"/>
        <v>0</v>
      </c>
      <c r="Y83" s="141">
        <f t="shared" si="77"/>
        <v>0</v>
      </c>
      <c r="Z83" s="141">
        <f t="shared" si="77"/>
        <v>0</v>
      </c>
      <c r="AA83" s="141">
        <f t="shared" si="77"/>
        <v>0</v>
      </c>
      <c r="AB83" s="141">
        <f t="shared" si="77"/>
        <v>0</v>
      </c>
      <c r="AC83" s="141">
        <f t="shared" si="77"/>
        <v>0</v>
      </c>
      <c r="AD83" s="141">
        <f t="shared" si="77"/>
        <v>0</v>
      </c>
      <c r="AE83" s="141">
        <f t="shared" si="77"/>
        <v>0</v>
      </c>
      <c r="AF83" s="141">
        <f t="shared" si="77"/>
        <v>0</v>
      </c>
      <c r="AG83" s="141">
        <f t="shared" si="77"/>
        <v>0</v>
      </c>
      <c r="AH83" s="226">
        <f>SUM(C83:AG83)</f>
        <v>0</v>
      </c>
      <c r="AI83" s="226"/>
      <c r="AJ83" s="170" t="s">
        <v>12</v>
      </c>
      <c r="AK83" s="133"/>
      <c r="AL83" s="133"/>
    </row>
    <row r="84" spans="1:38" ht="15.95" hidden="1" customHeight="1" x14ac:dyDescent="0.25">
      <c r="A84" s="150" t="s">
        <v>60</v>
      </c>
      <c r="B84" s="167" t="s">
        <v>61</v>
      </c>
      <c r="C84" s="151">
        <f t="shared" ref="C84:AD84" si="78">IF(C12=$R32,$BC32,IF(C12=$R33,$BC33,IF(C12=$R34,$BC34,IF(C12=$R35,$BC35,IF(C12=$R36,$BC36,IF(C12=$R37,$BC37,IF(C12=$R38,$BC38,IF(C12=$R39,$BC39,IF(C12=$R40,$BC40,0)))))))))</f>
        <v>0</v>
      </c>
      <c r="D84" s="151">
        <f t="shared" si="78"/>
        <v>0</v>
      </c>
      <c r="E84" s="151">
        <f t="shared" si="78"/>
        <v>0</v>
      </c>
      <c r="F84" s="151">
        <f t="shared" si="78"/>
        <v>0</v>
      </c>
      <c r="G84" s="151">
        <f t="shared" si="78"/>
        <v>0</v>
      </c>
      <c r="H84" s="151">
        <f t="shared" si="78"/>
        <v>0</v>
      </c>
      <c r="I84" s="151">
        <f t="shared" si="78"/>
        <v>0</v>
      </c>
      <c r="J84" s="151">
        <f t="shared" si="78"/>
        <v>0</v>
      </c>
      <c r="K84" s="151">
        <f t="shared" si="78"/>
        <v>0</v>
      </c>
      <c r="L84" s="151">
        <f t="shared" si="78"/>
        <v>0</v>
      </c>
      <c r="M84" s="151">
        <f t="shared" si="78"/>
        <v>0</v>
      </c>
      <c r="N84" s="151">
        <f t="shared" si="78"/>
        <v>0</v>
      </c>
      <c r="O84" s="151">
        <f t="shared" si="78"/>
        <v>0</v>
      </c>
      <c r="P84" s="151">
        <f t="shared" si="78"/>
        <v>0</v>
      </c>
      <c r="Q84" s="151">
        <f t="shared" si="78"/>
        <v>0</v>
      </c>
      <c r="R84" s="151">
        <f t="shared" si="78"/>
        <v>0</v>
      </c>
      <c r="S84" s="151">
        <f t="shared" si="78"/>
        <v>0</v>
      </c>
      <c r="T84" s="151">
        <f t="shared" si="78"/>
        <v>0</v>
      </c>
      <c r="U84" s="151">
        <f t="shared" si="78"/>
        <v>0</v>
      </c>
      <c r="V84" s="151">
        <f t="shared" si="78"/>
        <v>0</v>
      </c>
      <c r="W84" s="151">
        <f t="shared" si="78"/>
        <v>0</v>
      </c>
      <c r="X84" s="151">
        <f t="shared" si="78"/>
        <v>0</v>
      </c>
      <c r="Y84" s="151">
        <f t="shared" si="78"/>
        <v>0</v>
      </c>
      <c r="Z84" s="151">
        <f t="shared" si="78"/>
        <v>0</v>
      </c>
      <c r="AA84" s="151">
        <f t="shared" si="78"/>
        <v>0</v>
      </c>
      <c r="AB84" s="151">
        <f t="shared" si="78"/>
        <v>0</v>
      </c>
      <c r="AC84" s="151">
        <f t="shared" si="78"/>
        <v>0</v>
      </c>
      <c r="AD84" s="151">
        <f t="shared" si="78"/>
        <v>0</v>
      </c>
      <c r="AE84" s="151">
        <f>IF(AE12=$R32,$BC32,IF(AE12=$R33,$BC33,IF(AE12=$R34,$BC34,IF(AE12=$R35,$BC35,IF(AE12=$R36,$BC36,IF(AE12=$R37,$BC37,IF(AE12=$R38,$BC38,IF(AE12=$R39,$BC39,IF(AE12=$R40,$BC40,0)))))))))</f>
        <v>0</v>
      </c>
      <c r="AF84" s="151">
        <f>IF(AF12=$R32,$BC32,IF(AF12=$R33,$BC33,IF(AF12=$R34,$BC34,IF(AF12=$R35,$BC35,IF(AF12=$R36,$BC36,IF(AF12=$R37,$BC37,IF(AF12=$R38,$BC38,IF(AF12=$R39,$BC39,IF(AF12=$R40,$BC40,0)))))))))</f>
        <v>0</v>
      </c>
      <c r="AG84" s="151">
        <f>IF(AG12=$R32,$BC32,IF(AG12=$R33,$BC33,IF(AG12=$R34,$BC34,IF(AG12=$R35,$BC35,IF(AG12=$R36,$BC36,IF(AG12=$R37,$BC37,IF(AG12=$R38,$BC38,IF(AG12=$R39,$BC39,IF(AG12=$R40,$BC40,0)))))))))</f>
        <v>0</v>
      </c>
      <c r="AH84" s="226">
        <f>SUM(C84:AG84)</f>
        <v>0</v>
      </c>
      <c r="AI84" s="226"/>
      <c r="AJ84" s="175" t="s">
        <v>62</v>
      </c>
      <c r="AK84" s="133" t="s">
        <v>12</v>
      </c>
      <c r="AL84" s="133"/>
    </row>
    <row r="85" spans="1:38" ht="15.95" hidden="1" customHeight="1" x14ac:dyDescent="0.25">
      <c r="A85" s="153" t="s">
        <v>48</v>
      </c>
      <c r="B85" s="149" t="s">
        <v>63</v>
      </c>
      <c r="C85" s="141" t="b">
        <f t="shared" ref="C85:AG85" si="79">IF(C46=1,IF(C80&lt;C81,C84,0))</f>
        <v>0</v>
      </c>
      <c r="D85" s="141">
        <f t="shared" si="79"/>
        <v>0</v>
      </c>
      <c r="E85" s="141">
        <f t="shared" si="79"/>
        <v>0</v>
      </c>
      <c r="F85" s="141" t="b">
        <f t="shared" si="79"/>
        <v>0</v>
      </c>
      <c r="G85" s="141" t="b">
        <f t="shared" si="79"/>
        <v>0</v>
      </c>
      <c r="H85" s="141" t="b">
        <f t="shared" si="79"/>
        <v>0</v>
      </c>
      <c r="I85" s="141" t="b">
        <f t="shared" si="79"/>
        <v>0</v>
      </c>
      <c r="J85" s="141" t="b">
        <f t="shared" si="79"/>
        <v>0</v>
      </c>
      <c r="K85" s="141">
        <f t="shared" si="79"/>
        <v>0</v>
      </c>
      <c r="L85" s="141">
        <f t="shared" si="79"/>
        <v>0</v>
      </c>
      <c r="M85" s="141" t="b">
        <f t="shared" si="79"/>
        <v>0</v>
      </c>
      <c r="N85" s="141" t="b">
        <f t="shared" si="79"/>
        <v>0</v>
      </c>
      <c r="O85" s="141" t="b">
        <f t="shared" si="79"/>
        <v>0</v>
      </c>
      <c r="P85" s="141" t="b">
        <f t="shared" si="79"/>
        <v>0</v>
      </c>
      <c r="Q85" s="141" t="b">
        <f t="shared" si="79"/>
        <v>0</v>
      </c>
      <c r="R85" s="141">
        <f t="shared" si="79"/>
        <v>0</v>
      </c>
      <c r="S85" s="141">
        <f t="shared" si="79"/>
        <v>0</v>
      </c>
      <c r="T85" s="141" t="b">
        <f t="shared" si="79"/>
        <v>0</v>
      </c>
      <c r="U85" s="141" t="b">
        <f t="shared" si="79"/>
        <v>0</v>
      </c>
      <c r="V85" s="141" t="b">
        <f t="shared" si="79"/>
        <v>0</v>
      </c>
      <c r="W85" s="141" t="b">
        <f t="shared" si="79"/>
        <v>0</v>
      </c>
      <c r="X85" s="141" t="b">
        <f t="shared" si="79"/>
        <v>0</v>
      </c>
      <c r="Y85" s="141">
        <f t="shared" si="79"/>
        <v>0</v>
      </c>
      <c r="Z85" s="141">
        <f t="shared" si="79"/>
        <v>0</v>
      </c>
      <c r="AA85" s="141" t="b">
        <f t="shared" si="79"/>
        <v>0</v>
      </c>
      <c r="AB85" s="141" t="b">
        <f t="shared" si="79"/>
        <v>0</v>
      </c>
      <c r="AC85" s="141" t="b">
        <f t="shared" si="79"/>
        <v>0</v>
      </c>
      <c r="AD85" s="141" t="b">
        <f t="shared" si="79"/>
        <v>0</v>
      </c>
      <c r="AE85" s="141" t="b">
        <f t="shared" si="79"/>
        <v>0</v>
      </c>
      <c r="AF85" s="141">
        <f t="shared" si="79"/>
        <v>0</v>
      </c>
      <c r="AG85" s="141">
        <f t="shared" si="79"/>
        <v>0</v>
      </c>
      <c r="AH85" s="154" t="s">
        <v>12</v>
      </c>
      <c r="AI85" s="133"/>
      <c r="AJ85" s="170"/>
      <c r="AK85" s="133"/>
      <c r="AL85" s="133"/>
    </row>
    <row r="86" spans="1:38" ht="15.95" hidden="1" customHeight="1" x14ac:dyDescent="0.25">
      <c r="A86" s="176"/>
      <c r="B86" s="149" t="s">
        <v>64</v>
      </c>
      <c r="C86" s="141">
        <f t="shared" ref="C86:AG86" si="80">IF(C46=1,IF(C80&gt;C81,24-C80,0),0)</f>
        <v>0</v>
      </c>
      <c r="D86" s="141">
        <f t="shared" si="80"/>
        <v>0</v>
      </c>
      <c r="E86" s="141">
        <f t="shared" si="80"/>
        <v>0</v>
      </c>
      <c r="F86" s="141">
        <f t="shared" si="80"/>
        <v>0</v>
      </c>
      <c r="G86" s="141">
        <f t="shared" si="80"/>
        <v>0</v>
      </c>
      <c r="H86" s="141">
        <f t="shared" si="80"/>
        <v>0</v>
      </c>
      <c r="I86" s="141">
        <f t="shared" si="80"/>
        <v>0</v>
      </c>
      <c r="J86" s="141">
        <f t="shared" si="80"/>
        <v>0</v>
      </c>
      <c r="K86" s="141">
        <f t="shared" si="80"/>
        <v>0</v>
      </c>
      <c r="L86" s="141">
        <f t="shared" si="80"/>
        <v>0</v>
      </c>
      <c r="M86" s="141">
        <f t="shared" si="80"/>
        <v>0</v>
      </c>
      <c r="N86" s="141">
        <f t="shared" si="80"/>
        <v>0</v>
      </c>
      <c r="O86" s="141">
        <f t="shared" si="80"/>
        <v>0</v>
      </c>
      <c r="P86" s="141">
        <f t="shared" si="80"/>
        <v>0</v>
      </c>
      <c r="Q86" s="141">
        <f t="shared" si="80"/>
        <v>0</v>
      </c>
      <c r="R86" s="141">
        <f t="shared" si="80"/>
        <v>0</v>
      </c>
      <c r="S86" s="141">
        <f t="shared" si="80"/>
        <v>0</v>
      </c>
      <c r="T86" s="141">
        <f t="shared" si="80"/>
        <v>0</v>
      </c>
      <c r="U86" s="141">
        <f t="shared" si="80"/>
        <v>0</v>
      </c>
      <c r="V86" s="141">
        <f t="shared" si="80"/>
        <v>0</v>
      </c>
      <c r="W86" s="141">
        <f t="shared" si="80"/>
        <v>0</v>
      </c>
      <c r="X86" s="141">
        <f t="shared" si="80"/>
        <v>0</v>
      </c>
      <c r="Y86" s="141">
        <f t="shared" si="80"/>
        <v>0</v>
      </c>
      <c r="Z86" s="141">
        <f t="shared" si="80"/>
        <v>0</v>
      </c>
      <c r="AA86" s="141">
        <f t="shared" si="80"/>
        <v>0</v>
      </c>
      <c r="AB86" s="141">
        <f t="shared" si="80"/>
        <v>0</v>
      </c>
      <c r="AC86" s="141">
        <f t="shared" si="80"/>
        <v>0</v>
      </c>
      <c r="AD86" s="141">
        <f t="shared" si="80"/>
        <v>0</v>
      </c>
      <c r="AE86" s="141">
        <f t="shared" si="80"/>
        <v>0</v>
      </c>
      <c r="AF86" s="141">
        <f t="shared" si="80"/>
        <v>0</v>
      </c>
      <c r="AG86" s="141">
        <f t="shared" si="80"/>
        <v>0</v>
      </c>
      <c r="AH86" s="154" t="s">
        <v>12</v>
      </c>
      <c r="AI86" s="133"/>
      <c r="AJ86" s="170"/>
      <c r="AK86" s="133"/>
      <c r="AL86" s="133"/>
    </row>
    <row r="87" spans="1:38" ht="15.95" hidden="1" customHeight="1" x14ac:dyDescent="0.25">
      <c r="A87" s="176"/>
      <c r="B87" s="149" t="s">
        <v>65</v>
      </c>
      <c r="C87" s="141">
        <f t="shared" ref="C87:AG87" si="81">IF(D46=1,IF(C80&gt;C81,C81,0),0)</f>
        <v>0</v>
      </c>
      <c r="D87" s="141">
        <f t="shared" si="81"/>
        <v>0</v>
      </c>
      <c r="E87" s="141">
        <f t="shared" si="81"/>
        <v>0</v>
      </c>
      <c r="F87" s="141">
        <f t="shared" si="81"/>
        <v>0</v>
      </c>
      <c r="G87" s="141">
        <f t="shared" si="81"/>
        <v>0</v>
      </c>
      <c r="H87" s="141">
        <f t="shared" si="81"/>
        <v>0</v>
      </c>
      <c r="I87" s="141">
        <f t="shared" si="81"/>
        <v>0</v>
      </c>
      <c r="J87" s="141">
        <f t="shared" si="81"/>
        <v>0</v>
      </c>
      <c r="K87" s="141">
        <f t="shared" si="81"/>
        <v>0</v>
      </c>
      <c r="L87" s="141">
        <f t="shared" si="81"/>
        <v>0</v>
      </c>
      <c r="M87" s="141">
        <f t="shared" si="81"/>
        <v>0</v>
      </c>
      <c r="N87" s="141">
        <f t="shared" si="81"/>
        <v>0</v>
      </c>
      <c r="O87" s="141">
        <f t="shared" si="81"/>
        <v>0</v>
      </c>
      <c r="P87" s="141">
        <f t="shared" si="81"/>
        <v>0</v>
      </c>
      <c r="Q87" s="141">
        <f t="shared" si="81"/>
        <v>0</v>
      </c>
      <c r="R87" s="141">
        <f t="shared" si="81"/>
        <v>0</v>
      </c>
      <c r="S87" s="141">
        <f t="shared" si="81"/>
        <v>0</v>
      </c>
      <c r="T87" s="141">
        <f t="shared" si="81"/>
        <v>0</v>
      </c>
      <c r="U87" s="141">
        <f t="shared" si="81"/>
        <v>0</v>
      </c>
      <c r="V87" s="141">
        <f t="shared" si="81"/>
        <v>0</v>
      </c>
      <c r="W87" s="141">
        <f t="shared" si="81"/>
        <v>0</v>
      </c>
      <c r="X87" s="141">
        <f>IF(Y46=1,IF(X80&gt;X81,X81,0),0)</f>
        <v>0</v>
      </c>
      <c r="Y87" s="141">
        <f t="shared" si="81"/>
        <v>0</v>
      </c>
      <c r="Z87" s="141">
        <f t="shared" si="81"/>
        <v>0</v>
      </c>
      <c r="AA87" s="141">
        <f t="shared" si="81"/>
        <v>0</v>
      </c>
      <c r="AB87" s="141">
        <f t="shared" si="81"/>
        <v>0</v>
      </c>
      <c r="AC87" s="141">
        <f t="shared" si="81"/>
        <v>0</v>
      </c>
      <c r="AD87" s="141">
        <f t="shared" si="81"/>
        <v>0</v>
      </c>
      <c r="AE87" s="141">
        <f t="shared" si="81"/>
        <v>0</v>
      </c>
      <c r="AF87" s="141">
        <f t="shared" si="81"/>
        <v>0</v>
      </c>
      <c r="AG87" s="141">
        <f t="shared" si="81"/>
        <v>0</v>
      </c>
      <c r="AH87" s="154" t="s">
        <v>12</v>
      </c>
      <c r="AI87" s="133"/>
      <c r="AJ87" s="170"/>
      <c r="AK87" s="133"/>
      <c r="AL87" s="133"/>
    </row>
    <row r="88" spans="1:38" ht="15.95" hidden="1" customHeight="1" x14ac:dyDescent="0.25">
      <c r="A88" s="176"/>
      <c r="B88" s="149" t="s">
        <v>67</v>
      </c>
      <c r="C88" s="171">
        <f t="shared" ref="C88:AG88" si="82">SUM(C85:C87)</f>
        <v>0</v>
      </c>
      <c r="D88" s="171">
        <f t="shared" si="82"/>
        <v>0</v>
      </c>
      <c r="E88" s="171">
        <f t="shared" si="82"/>
        <v>0</v>
      </c>
      <c r="F88" s="171">
        <f t="shared" si="82"/>
        <v>0</v>
      </c>
      <c r="G88" s="171">
        <f t="shared" si="82"/>
        <v>0</v>
      </c>
      <c r="H88" s="171">
        <f t="shared" si="82"/>
        <v>0</v>
      </c>
      <c r="I88" s="171">
        <f t="shared" si="82"/>
        <v>0</v>
      </c>
      <c r="J88" s="171">
        <f t="shared" si="82"/>
        <v>0</v>
      </c>
      <c r="K88" s="171">
        <f t="shared" si="82"/>
        <v>0</v>
      </c>
      <c r="L88" s="171">
        <f t="shared" si="82"/>
        <v>0</v>
      </c>
      <c r="M88" s="171">
        <f t="shared" si="82"/>
        <v>0</v>
      </c>
      <c r="N88" s="171">
        <f t="shared" si="82"/>
        <v>0</v>
      </c>
      <c r="O88" s="171">
        <f t="shared" si="82"/>
        <v>0</v>
      </c>
      <c r="P88" s="171">
        <f t="shared" si="82"/>
        <v>0</v>
      </c>
      <c r="Q88" s="171">
        <f t="shared" si="82"/>
        <v>0</v>
      </c>
      <c r="R88" s="171">
        <f t="shared" si="82"/>
        <v>0</v>
      </c>
      <c r="S88" s="171">
        <f t="shared" si="82"/>
        <v>0</v>
      </c>
      <c r="T88" s="171">
        <f t="shared" si="82"/>
        <v>0</v>
      </c>
      <c r="U88" s="171">
        <f t="shared" si="82"/>
        <v>0</v>
      </c>
      <c r="V88" s="171">
        <f t="shared" si="82"/>
        <v>0</v>
      </c>
      <c r="W88" s="171">
        <f t="shared" si="82"/>
        <v>0</v>
      </c>
      <c r="X88" s="171">
        <f t="shared" si="82"/>
        <v>0</v>
      </c>
      <c r="Y88" s="171">
        <f t="shared" si="82"/>
        <v>0</v>
      </c>
      <c r="Z88" s="171">
        <f t="shared" si="82"/>
        <v>0</v>
      </c>
      <c r="AA88" s="171">
        <f t="shared" si="82"/>
        <v>0</v>
      </c>
      <c r="AB88" s="171">
        <f t="shared" si="82"/>
        <v>0</v>
      </c>
      <c r="AC88" s="171">
        <f t="shared" si="82"/>
        <v>0</v>
      </c>
      <c r="AD88" s="171">
        <f t="shared" si="82"/>
        <v>0</v>
      </c>
      <c r="AE88" s="171">
        <f t="shared" si="82"/>
        <v>0</v>
      </c>
      <c r="AF88" s="171">
        <f t="shared" si="82"/>
        <v>0</v>
      </c>
      <c r="AG88" s="171">
        <f t="shared" si="82"/>
        <v>0</v>
      </c>
      <c r="AH88" s="154" t="s">
        <v>12</v>
      </c>
      <c r="AI88" s="133"/>
      <c r="AJ88" s="170"/>
      <c r="AK88" s="133"/>
      <c r="AL88" s="133"/>
    </row>
    <row r="89" spans="1:38" ht="15.95" hidden="1" customHeight="1" x14ac:dyDescent="0.25">
      <c r="A89" s="177"/>
      <c r="B89" s="160" t="s">
        <v>68</v>
      </c>
      <c r="C89" s="161">
        <f t="shared" ref="C89:AG89" si="83">IF(C12="V",IF(C12="",0,1),0)</f>
        <v>0</v>
      </c>
      <c r="D89" s="161">
        <f t="shared" si="83"/>
        <v>0</v>
      </c>
      <c r="E89" s="161">
        <f t="shared" si="83"/>
        <v>0</v>
      </c>
      <c r="F89" s="161">
        <f t="shared" si="83"/>
        <v>0</v>
      </c>
      <c r="G89" s="161">
        <f t="shared" si="83"/>
        <v>0</v>
      </c>
      <c r="H89" s="161">
        <f t="shared" si="83"/>
        <v>0</v>
      </c>
      <c r="I89" s="161">
        <f t="shared" si="83"/>
        <v>0</v>
      </c>
      <c r="J89" s="161">
        <f t="shared" si="83"/>
        <v>0</v>
      </c>
      <c r="K89" s="161">
        <f t="shared" si="83"/>
        <v>0</v>
      </c>
      <c r="L89" s="161">
        <f t="shared" si="83"/>
        <v>0</v>
      </c>
      <c r="M89" s="161">
        <f t="shared" si="83"/>
        <v>0</v>
      </c>
      <c r="N89" s="161">
        <f t="shared" si="83"/>
        <v>0</v>
      </c>
      <c r="O89" s="161">
        <f t="shared" si="83"/>
        <v>0</v>
      </c>
      <c r="P89" s="161">
        <f t="shared" si="83"/>
        <v>0</v>
      </c>
      <c r="Q89" s="161">
        <f t="shared" si="83"/>
        <v>0</v>
      </c>
      <c r="R89" s="161">
        <f t="shared" si="83"/>
        <v>0</v>
      </c>
      <c r="S89" s="161">
        <f t="shared" si="83"/>
        <v>0</v>
      </c>
      <c r="T89" s="161">
        <f t="shared" si="83"/>
        <v>0</v>
      </c>
      <c r="U89" s="161">
        <f t="shared" si="83"/>
        <v>0</v>
      </c>
      <c r="V89" s="161">
        <f t="shared" si="83"/>
        <v>0</v>
      </c>
      <c r="W89" s="161">
        <f t="shared" si="83"/>
        <v>0</v>
      </c>
      <c r="X89" s="161">
        <f t="shared" si="83"/>
        <v>0</v>
      </c>
      <c r="Y89" s="161">
        <f t="shared" si="83"/>
        <v>0</v>
      </c>
      <c r="Z89" s="161">
        <f t="shared" si="83"/>
        <v>0</v>
      </c>
      <c r="AA89" s="161">
        <f t="shared" si="83"/>
        <v>0</v>
      </c>
      <c r="AB89" s="161">
        <f t="shared" si="83"/>
        <v>0</v>
      </c>
      <c r="AC89" s="161">
        <f t="shared" si="83"/>
        <v>0</v>
      </c>
      <c r="AD89" s="161">
        <f t="shared" si="83"/>
        <v>0</v>
      </c>
      <c r="AE89" s="161">
        <f t="shared" si="83"/>
        <v>0</v>
      </c>
      <c r="AF89" s="161">
        <f t="shared" si="83"/>
        <v>0</v>
      </c>
      <c r="AG89" s="161">
        <f t="shared" si="83"/>
        <v>0</v>
      </c>
      <c r="AH89" s="154"/>
      <c r="AI89" s="133"/>
      <c r="AJ89" s="170"/>
      <c r="AK89" s="133"/>
      <c r="AL89" s="133"/>
    </row>
    <row r="90" spans="1:38" ht="15.95" hidden="1" customHeight="1" x14ac:dyDescent="0.25">
      <c r="A90" s="173"/>
      <c r="B90" s="130" t="s">
        <v>16</v>
      </c>
      <c r="C90" s="163">
        <f t="shared" ref="C90:AG90" si="84">IF(C12="PR",IF(C12="",0,1),0)</f>
        <v>0</v>
      </c>
      <c r="D90" s="163">
        <f t="shared" si="84"/>
        <v>0</v>
      </c>
      <c r="E90" s="163">
        <f t="shared" si="84"/>
        <v>0</v>
      </c>
      <c r="F90" s="163">
        <f t="shared" si="84"/>
        <v>0</v>
      </c>
      <c r="G90" s="163">
        <f t="shared" si="84"/>
        <v>0</v>
      </c>
      <c r="H90" s="163">
        <f t="shared" si="84"/>
        <v>0</v>
      </c>
      <c r="I90" s="163">
        <f t="shared" si="84"/>
        <v>0</v>
      </c>
      <c r="J90" s="163">
        <f t="shared" si="84"/>
        <v>0</v>
      </c>
      <c r="K90" s="163">
        <f t="shared" si="84"/>
        <v>0</v>
      </c>
      <c r="L90" s="163">
        <f t="shared" si="84"/>
        <v>0</v>
      </c>
      <c r="M90" s="163">
        <f t="shared" si="84"/>
        <v>0</v>
      </c>
      <c r="N90" s="163">
        <f t="shared" si="84"/>
        <v>0</v>
      </c>
      <c r="O90" s="163">
        <f t="shared" si="84"/>
        <v>0</v>
      </c>
      <c r="P90" s="163">
        <f t="shared" si="84"/>
        <v>0</v>
      </c>
      <c r="Q90" s="163">
        <f t="shared" si="84"/>
        <v>0</v>
      </c>
      <c r="R90" s="163">
        <f t="shared" si="84"/>
        <v>0</v>
      </c>
      <c r="S90" s="163">
        <f t="shared" si="84"/>
        <v>0</v>
      </c>
      <c r="T90" s="163">
        <f t="shared" si="84"/>
        <v>0</v>
      </c>
      <c r="U90" s="163">
        <f t="shared" si="84"/>
        <v>0</v>
      </c>
      <c r="V90" s="163">
        <f t="shared" si="84"/>
        <v>0</v>
      </c>
      <c r="W90" s="163">
        <f t="shared" si="84"/>
        <v>0</v>
      </c>
      <c r="X90" s="163">
        <f t="shared" si="84"/>
        <v>0</v>
      </c>
      <c r="Y90" s="163">
        <f t="shared" si="84"/>
        <v>0</v>
      </c>
      <c r="Z90" s="163">
        <f t="shared" si="84"/>
        <v>0</v>
      </c>
      <c r="AA90" s="163">
        <f t="shared" si="84"/>
        <v>0</v>
      </c>
      <c r="AB90" s="163">
        <f t="shared" si="84"/>
        <v>0</v>
      </c>
      <c r="AC90" s="163">
        <f t="shared" si="84"/>
        <v>0</v>
      </c>
      <c r="AD90" s="163">
        <f t="shared" si="84"/>
        <v>0</v>
      </c>
      <c r="AE90" s="163">
        <f t="shared" si="84"/>
        <v>0</v>
      </c>
      <c r="AF90" s="163">
        <f t="shared" si="84"/>
        <v>0</v>
      </c>
      <c r="AG90" s="163">
        <f t="shared" si="84"/>
        <v>0</v>
      </c>
      <c r="AH90" s="229">
        <f>SUM(C90:AG90)</f>
        <v>0</v>
      </c>
      <c r="AI90" s="229"/>
      <c r="AJ90" s="174" t="s">
        <v>69</v>
      </c>
      <c r="AK90" s="133"/>
      <c r="AL90" s="133"/>
    </row>
    <row r="91" spans="1:38" ht="15.95" hidden="1" customHeight="1" x14ac:dyDescent="0.25">
      <c r="A91" s="164" t="s">
        <v>77</v>
      </c>
      <c r="B91" s="165" t="s">
        <v>29</v>
      </c>
      <c r="C91" s="141" t="str">
        <f t="shared" ref="C91:AG91" si="85">IF(C13=$R32,$S32*24,IF(C13=$R33,$S33*24,IF(C13=$R34,$S34*24,IF(C13=$R35,$S35*24,IF(C13=$R36,$S36*24,IF(C13=$R37,$S37*24,IF(C13=$R38,$S38*24,IF(C13=$R39,$S39*24,IF(C13=$R40,$S40*24,"")))))))))</f>
        <v/>
      </c>
      <c r="D91" s="141" t="str">
        <f t="shared" si="85"/>
        <v/>
      </c>
      <c r="E91" s="141" t="str">
        <f t="shared" si="85"/>
        <v/>
      </c>
      <c r="F91" s="141" t="str">
        <f t="shared" si="85"/>
        <v/>
      </c>
      <c r="G91" s="141" t="str">
        <f t="shared" si="85"/>
        <v/>
      </c>
      <c r="H91" s="141" t="str">
        <f t="shared" si="85"/>
        <v/>
      </c>
      <c r="I91" s="141" t="str">
        <f t="shared" si="85"/>
        <v/>
      </c>
      <c r="J91" s="141" t="str">
        <f t="shared" si="85"/>
        <v/>
      </c>
      <c r="K91" s="141" t="str">
        <f t="shared" si="85"/>
        <v/>
      </c>
      <c r="L91" s="141" t="str">
        <f t="shared" si="85"/>
        <v/>
      </c>
      <c r="M91" s="141" t="str">
        <f t="shared" si="85"/>
        <v/>
      </c>
      <c r="N91" s="141" t="str">
        <f t="shared" si="85"/>
        <v/>
      </c>
      <c r="O91" s="141" t="str">
        <f t="shared" si="85"/>
        <v/>
      </c>
      <c r="P91" s="141" t="str">
        <f t="shared" si="85"/>
        <v/>
      </c>
      <c r="Q91" s="141" t="str">
        <f t="shared" si="85"/>
        <v/>
      </c>
      <c r="R91" s="141" t="str">
        <f t="shared" si="85"/>
        <v/>
      </c>
      <c r="S91" s="141" t="str">
        <f t="shared" si="85"/>
        <v/>
      </c>
      <c r="T91" s="141" t="str">
        <f t="shared" si="85"/>
        <v/>
      </c>
      <c r="U91" s="141" t="str">
        <f t="shared" si="85"/>
        <v/>
      </c>
      <c r="V91" s="141" t="str">
        <f t="shared" si="85"/>
        <v/>
      </c>
      <c r="W91" s="141" t="str">
        <f t="shared" si="85"/>
        <v/>
      </c>
      <c r="X91" s="141" t="str">
        <f t="shared" si="85"/>
        <v/>
      </c>
      <c r="Y91" s="141" t="str">
        <f t="shared" si="85"/>
        <v/>
      </c>
      <c r="Z91" s="141" t="str">
        <f t="shared" si="85"/>
        <v/>
      </c>
      <c r="AA91" s="141" t="str">
        <f t="shared" si="85"/>
        <v/>
      </c>
      <c r="AB91" s="141" t="str">
        <f t="shared" si="85"/>
        <v/>
      </c>
      <c r="AC91" s="141" t="str">
        <f t="shared" si="85"/>
        <v/>
      </c>
      <c r="AD91" s="141" t="str">
        <f t="shared" si="85"/>
        <v/>
      </c>
      <c r="AE91" s="141" t="str">
        <f t="shared" si="85"/>
        <v/>
      </c>
      <c r="AF91" s="141" t="str">
        <f t="shared" si="85"/>
        <v/>
      </c>
      <c r="AG91" s="141" t="str">
        <f t="shared" si="85"/>
        <v/>
      </c>
      <c r="AH91" s="154" t="s">
        <v>12</v>
      </c>
      <c r="AI91" s="133"/>
      <c r="AJ91" s="170"/>
      <c r="AK91" s="133"/>
      <c r="AL91" s="133"/>
    </row>
    <row r="92" spans="1:38" ht="15.95" hidden="1" customHeight="1" x14ac:dyDescent="0.25">
      <c r="A92" s="166" t="s">
        <v>78</v>
      </c>
      <c r="B92" s="167" t="s">
        <v>30</v>
      </c>
      <c r="C92" s="141" t="str">
        <f t="shared" ref="C92:AG92" si="86">IF(C13=$R32,$V32*24,IF(C13=$R33,$V33*24,IF(C13=$R34,$V34*24,IF(C13=$R35,$V35*24,IF(C13=$R36,$V36*24,IF(C13=$R37,$V37*24,IF(C13=$R38,$V38*24,IF(C13=$R39,$V39*24,IF(C13=$R40,$V40*24,"")))))))))</f>
        <v/>
      </c>
      <c r="D92" s="141" t="str">
        <f t="shared" si="86"/>
        <v/>
      </c>
      <c r="E92" s="141" t="str">
        <f t="shared" si="86"/>
        <v/>
      </c>
      <c r="F92" s="141" t="str">
        <f t="shared" si="86"/>
        <v/>
      </c>
      <c r="G92" s="141" t="str">
        <f t="shared" si="86"/>
        <v/>
      </c>
      <c r="H92" s="141" t="str">
        <f t="shared" si="86"/>
        <v/>
      </c>
      <c r="I92" s="141" t="str">
        <f t="shared" si="86"/>
        <v/>
      </c>
      <c r="J92" s="141" t="str">
        <f t="shared" si="86"/>
        <v/>
      </c>
      <c r="K92" s="141" t="str">
        <f t="shared" si="86"/>
        <v/>
      </c>
      <c r="L92" s="141" t="str">
        <f t="shared" si="86"/>
        <v/>
      </c>
      <c r="M92" s="141" t="str">
        <f t="shared" si="86"/>
        <v/>
      </c>
      <c r="N92" s="141" t="str">
        <f t="shared" si="86"/>
        <v/>
      </c>
      <c r="O92" s="141" t="str">
        <f t="shared" si="86"/>
        <v/>
      </c>
      <c r="P92" s="141" t="str">
        <f t="shared" si="86"/>
        <v/>
      </c>
      <c r="Q92" s="141" t="str">
        <f t="shared" si="86"/>
        <v/>
      </c>
      <c r="R92" s="141" t="str">
        <f t="shared" si="86"/>
        <v/>
      </c>
      <c r="S92" s="141" t="str">
        <f t="shared" si="86"/>
        <v/>
      </c>
      <c r="T92" s="141" t="str">
        <f t="shared" si="86"/>
        <v/>
      </c>
      <c r="U92" s="141" t="str">
        <f t="shared" si="86"/>
        <v/>
      </c>
      <c r="V92" s="141" t="str">
        <f t="shared" si="86"/>
        <v/>
      </c>
      <c r="W92" s="141" t="str">
        <f t="shared" si="86"/>
        <v/>
      </c>
      <c r="X92" s="141" t="str">
        <f t="shared" si="86"/>
        <v/>
      </c>
      <c r="Y92" s="141" t="str">
        <f t="shared" si="86"/>
        <v/>
      </c>
      <c r="Z92" s="141" t="str">
        <f t="shared" si="86"/>
        <v/>
      </c>
      <c r="AA92" s="141" t="str">
        <f t="shared" si="86"/>
        <v/>
      </c>
      <c r="AB92" s="141" t="str">
        <f t="shared" si="86"/>
        <v/>
      </c>
      <c r="AC92" s="141" t="str">
        <f t="shared" si="86"/>
        <v/>
      </c>
      <c r="AD92" s="141" t="str">
        <f t="shared" si="86"/>
        <v/>
      </c>
      <c r="AE92" s="141" t="str">
        <f t="shared" si="86"/>
        <v/>
      </c>
      <c r="AF92" s="141" t="str">
        <f t="shared" si="86"/>
        <v/>
      </c>
      <c r="AG92" s="141" t="str">
        <f t="shared" si="86"/>
        <v/>
      </c>
      <c r="AH92" s="154" t="s">
        <v>12</v>
      </c>
      <c r="AI92" s="133"/>
      <c r="AJ92" s="170"/>
      <c r="AK92" s="133"/>
      <c r="AL92" s="133"/>
    </row>
    <row r="93" spans="1:38" ht="15.95" hidden="1" customHeight="1" x14ac:dyDescent="0.25">
      <c r="A93" s="153"/>
      <c r="B93" s="168" t="s">
        <v>34</v>
      </c>
      <c r="C93" s="169" t="str">
        <f t="shared" ref="C93:AD93" si="87">IF(C13=$R32,$BD32*24,IF(C13=$R33,$BD33*24,IF(C13=$R34,$BD34*24,IF(C13=$R35,$BD35*24,IF(C13=$R36,$BD36*24,IF(C13=$R37,$BD37*24,IF(C13=$R38,$BD38*24,IF(C13=$R39,$BD39*24,IF(C13=$R40,$BD40*24,"")))))))))</f>
        <v/>
      </c>
      <c r="D93" s="169" t="str">
        <f t="shared" si="87"/>
        <v/>
      </c>
      <c r="E93" s="169" t="str">
        <f t="shared" si="87"/>
        <v/>
      </c>
      <c r="F93" s="169" t="str">
        <f t="shared" si="87"/>
        <v/>
      </c>
      <c r="G93" s="169" t="str">
        <f t="shared" si="87"/>
        <v/>
      </c>
      <c r="H93" s="169" t="str">
        <f t="shared" si="87"/>
        <v/>
      </c>
      <c r="I93" s="169" t="str">
        <f t="shared" si="87"/>
        <v/>
      </c>
      <c r="J93" s="169" t="str">
        <f t="shared" si="87"/>
        <v/>
      </c>
      <c r="K93" s="169" t="str">
        <f t="shared" si="87"/>
        <v/>
      </c>
      <c r="L93" s="169" t="str">
        <f t="shared" si="87"/>
        <v/>
      </c>
      <c r="M93" s="169" t="str">
        <f t="shared" si="87"/>
        <v/>
      </c>
      <c r="N93" s="169" t="str">
        <f t="shared" si="87"/>
        <v/>
      </c>
      <c r="O93" s="169" t="str">
        <f t="shared" si="87"/>
        <v/>
      </c>
      <c r="P93" s="169" t="str">
        <f t="shared" si="87"/>
        <v/>
      </c>
      <c r="Q93" s="169" t="str">
        <f t="shared" si="87"/>
        <v/>
      </c>
      <c r="R93" s="169" t="str">
        <f t="shared" si="87"/>
        <v/>
      </c>
      <c r="S93" s="169" t="str">
        <f t="shared" si="87"/>
        <v/>
      </c>
      <c r="T93" s="169" t="str">
        <f t="shared" si="87"/>
        <v/>
      </c>
      <c r="U93" s="169" t="str">
        <f t="shared" si="87"/>
        <v/>
      </c>
      <c r="V93" s="169" t="str">
        <f t="shared" si="87"/>
        <v/>
      </c>
      <c r="W93" s="169" t="str">
        <f t="shared" si="87"/>
        <v/>
      </c>
      <c r="X93" s="169" t="str">
        <f t="shared" si="87"/>
        <v/>
      </c>
      <c r="Y93" s="169" t="str">
        <f t="shared" si="87"/>
        <v/>
      </c>
      <c r="Z93" s="169" t="str">
        <f t="shared" si="87"/>
        <v/>
      </c>
      <c r="AA93" s="169" t="str">
        <f t="shared" si="87"/>
        <v/>
      </c>
      <c r="AB93" s="169" t="str">
        <f t="shared" si="87"/>
        <v/>
      </c>
      <c r="AC93" s="169" t="str">
        <f t="shared" si="87"/>
        <v/>
      </c>
      <c r="AD93" s="169" t="str">
        <f t="shared" si="87"/>
        <v/>
      </c>
      <c r="AE93" s="169" t="str">
        <f>IF(AE13=$R32,$BD32*24,IF(AE13=$R33,$BD33*24,IF(AE13=$R34,$BD34*24,IF(AE13=$R35,$BD35*24,IF(AE13=$R36,$BD36*24,IF(AE13=$R37,$BD37*24,IF(AE13=$R38,$BD38*24,IF(AE13=$R39,$BD39*24,IF(AE13=$R40,$BD40*24,"")))))))))</f>
        <v/>
      </c>
      <c r="AF93" s="169" t="str">
        <f>IF(AF13=$R32,$BD32*24,IF(AF13=$R33,$BD33*24,IF(AF13=$R34,$BD34*24,IF(AF13=$R35,$BD35*24,IF(AF13=$R36,$BD36*24,IF(AF13=$R37,$BD37*24,IF(AF13=$R38,$BD38*24,IF(AF13=$R39,$BD39*24,IF(AF13=$R40,$BD40*24,"")))))))))</f>
        <v/>
      </c>
      <c r="AG93" s="169" t="str">
        <f>IF(AG13=$R32,$BD32*24,IF(AG13=$R33,$BD33*24,IF(AG13=$R34,$BD34*24,IF(AG13=$R35,$BD35*24,IF(AG13=$R36,$BD36*24,IF(AG13=$R37,$BD37*24,IF(AG13=$R38,$BD38*24,IF(AG13=$R39,$BD39*24,IF(AG13=$R40,$BD40*24,"")))))))))</f>
        <v/>
      </c>
      <c r="AH93" s="148">
        <f>SUM(C93:AG93)</f>
        <v>0</v>
      </c>
      <c r="AI93" s="133"/>
      <c r="AJ93" s="170"/>
      <c r="AK93" s="133"/>
      <c r="AL93" s="133"/>
    </row>
    <row r="94" spans="1:38" ht="15.95" hidden="1" customHeight="1" x14ac:dyDescent="0.25">
      <c r="A94" s="153"/>
      <c r="B94" s="167" t="s">
        <v>59</v>
      </c>
      <c r="C94" s="141">
        <f t="shared" ref="C94:AG94" si="88">IF(C13="V",$C36,IF(C13="PR",$C38,0))</f>
        <v>0</v>
      </c>
      <c r="D94" s="141">
        <f t="shared" si="88"/>
        <v>0</v>
      </c>
      <c r="E94" s="141">
        <f t="shared" si="88"/>
        <v>0</v>
      </c>
      <c r="F94" s="141">
        <f t="shared" si="88"/>
        <v>0</v>
      </c>
      <c r="G94" s="141">
        <f t="shared" si="88"/>
        <v>0</v>
      </c>
      <c r="H94" s="141">
        <f t="shared" si="88"/>
        <v>0</v>
      </c>
      <c r="I94" s="141">
        <f t="shared" si="88"/>
        <v>0</v>
      </c>
      <c r="J94" s="141">
        <f t="shared" si="88"/>
        <v>0</v>
      </c>
      <c r="K94" s="141">
        <f t="shared" si="88"/>
        <v>0</v>
      </c>
      <c r="L94" s="141">
        <f t="shared" si="88"/>
        <v>0</v>
      </c>
      <c r="M94" s="141">
        <f t="shared" si="88"/>
        <v>0</v>
      </c>
      <c r="N94" s="141">
        <f t="shared" si="88"/>
        <v>0</v>
      </c>
      <c r="O94" s="141">
        <f t="shared" si="88"/>
        <v>0</v>
      </c>
      <c r="P94" s="141">
        <f t="shared" si="88"/>
        <v>0</v>
      </c>
      <c r="Q94" s="141">
        <f t="shared" si="88"/>
        <v>0</v>
      </c>
      <c r="R94" s="141">
        <f t="shared" si="88"/>
        <v>0</v>
      </c>
      <c r="S94" s="141">
        <f t="shared" si="88"/>
        <v>0</v>
      </c>
      <c r="T94" s="141">
        <f t="shared" si="88"/>
        <v>0</v>
      </c>
      <c r="U94" s="141">
        <f t="shared" si="88"/>
        <v>0</v>
      </c>
      <c r="V94" s="141">
        <f t="shared" si="88"/>
        <v>0</v>
      </c>
      <c r="W94" s="141">
        <f t="shared" si="88"/>
        <v>0</v>
      </c>
      <c r="X94" s="141">
        <f t="shared" si="88"/>
        <v>0</v>
      </c>
      <c r="Y94" s="141">
        <f t="shared" si="88"/>
        <v>0</v>
      </c>
      <c r="Z94" s="141">
        <f t="shared" si="88"/>
        <v>0</v>
      </c>
      <c r="AA94" s="141">
        <f t="shared" si="88"/>
        <v>0</v>
      </c>
      <c r="AB94" s="141">
        <f t="shared" si="88"/>
        <v>0</v>
      </c>
      <c r="AC94" s="141">
        <f t="shared" si="88"/>
        <v>0</v>
      </c>
      <c r="AD94" s="141">
        <f t="shared" si="88"/>
        <v>0</v>
      </c>
      <c r="AE94" s="141">
        <f t="shared" si="88"/>
        <v>0</v>
      </c>
      <c r="AF94" s="141">
        <f t="shared" si="88"/>
        <v>0</v>
      </c>
      <c r="AG94" s="141">
        <f t="shared" si="88"/>
        <v>0</v>
      </c>
      <c r="AH94" s="231">
        <f>SUM(C94:AG94)</f>
        <v>0</v>
      </c>
      <c r="AI94" s="231"/>
      <c r="AJ94" s="170" t="s">
        <v>12</v>
      </c>
      <c r="AK94" s="133"/>
      <c r="AL94" s="133"/>
    </row>
    <row r="95" spans="1:38" ht="15.95" hidden="1" customHeight="1" x14ac:dyDescent="0.25">
      <c r="A95" s="150" t="s">
        <v>60</v>
      </c>
      <c r="B95" s="167" t="s">
        <v>61</v>
      </c>
      <c r="C95" s="151">
        <f t="shared" ref="C95:AD95" si="89">IF(C13=$R32,$BC32,IF(C13=$R33,$BC33,IF(C13=$R34,$BC34,IF(C13=$R35,$BC35,IF(C13=$R36,$BC36,IF(C13=$R37,$BC37,IF(C13=$R38,$BC38,IF(C13=$R39,$BC39,IF(C13=$R40,$BC40,0)))))))))</f>
        <v>0</v>
      </c>
      <c r="D95" s="151">
        <f t="shared" si="89"/>
        <v>0</v>
      </c>
      <c r="E95" s="151">
        <f t="shared" si="89"/>
        <v>0</v>
      </c>
      <c r="F95" s="151">
        <f t="shared" si="89"/>
        <v>0</v>
      </c>
      <c r="G95" s="151">
        <f t="shared" si="89"/>
        <v>0</v>
      </c>
      <c r="H95" s="151">
        <f t="shared" si="89"/>
        <v>0</v>
      </c>
      <c r="I95" s="151">
        <f t="shared" si="89"/>
        <v>0</v>
      </c>
      <c r="J95" s="151">
        <f t="shared" si="89"/>
        <v>0</v>
      </c>
      <c r="K95" s="151">
        <f t="shared" si="89"/>
        <v>0</v>
      </c>
      <c r="L95" s="151">
        <f t="shared" si="89"/>
        <v>0</v>
      </c>
      <c r="M95" s="151">
        <f t="shared" si="89"/>
        <v>0</v>
      </c>
      <c r="N95" s="151">
        <f t="shared" si="89"/>
        <v>0</v>
      </c>
      <c r="O95" s="151">
        <f t="shared" si="89"/>
        <v>0</v>
      </c>
      <c r="P95" s="151">
        <f t="shared" si="89"/>
        <v>0</v>
      </c>
      <c r="Q95" s="151">
        <f t="shared" si="89"/>
        <v>0</v>
      </c>
      <c r="R95" s="151">
        <f t="shared" si="89"/>
        <v>0</v>
      </c>
      <c r="S95" s="151">
        <f t="shared" si="89"/>
        <v>0</v>
      </c>
      <c r="T95" s="151">
        <f t="shared" si="89"/>
        <v>0</v>
      </c>
      <c r="U95" s="151">
        <f t="shared" si="89"/>
        <v>0</v>
      </c>
      <c r="V95" s="151">
        <f t="shared" si="89"/>
        <v>0</v>
      </c>
      <c r="W95" s="151">
        <f t="shared" si="89"/>
        <v>0</v>
      </c>
      <c r="X95" s="151">
        <f t="shared" si="89"/>
        <v>0</v>
      </c>
      <c r="Y95" s="151">
        <f t="shared" si="89"/>
        <v>0</v>
      </c>
      <c r="Z95" s="151">
        <f t="shared" si="89"/>
        <v>0</v>
      </c>
      <c r="AA95" s="151">
        <f t="shared" si="89"/>
        <v>0</v>
      </c>
      <c r="AB95" s="151">
        <f t="shared" si="89"/>
        <v>0</v>
      </c>
      <c r="AC95" s="151">
        <f t="shared" si="89"/>
        <v>0</v>
      </c>
      <c r="AD95" s="151">
        <f t="shared" si="89"/>
        <v>0</v>
      </c>
      <c r="AE95" s="151">
        <f>IF(AE13=$R32,$BC32,IF(AE13=$R33,$BC33,IF(AE13=$R34,$BC34,IF(AE13=$R35,$BC35,IF(AE13=$R36,$BC36,IF(AE13=$R37,$BC37,IF(AE13=$R38,$BC38,IF(AE13=$R39,$BC39,IF(AE13=$R40,$BC40,0)))))))))</f>
        <v>0</v>
      </c>
      <c r="AF95" s="151">
        <f>IF(AF13=$R32,$BC32,IF(AF13=$R33,$BC33,IF(AF13=$R34,$BC34,IF(AF13=$R35,$BC35,IF(AF13=$R36,$BC36,IF(AF13=$R37,$BC37,IF(AF13=$R38,$BC38,IF(AF13=$R39,$BC39,IF(AF13=$R40,$BC40,0)))))))))</f>
        <v>0</v>
      </c>
      <c r="AG95" s="151">
        <f>IF(AG13=$R32,$BC32,IF(AG13=$R33,$BC33,IF(AG13=$R34,$BC34,IF(AG13=$R35,$BC35,IF(AG13=$R36,$BC36,IF(AG13=$R37,$BC37,IF(AG13=$R38,$BC38,IF(AG13=$R39,$BC39,IF(AG13=$R40,$BC40,0)))))))))</f>
        <v>0</v>
      </c>
      <c r="AH95" s="226">
        <f>SUM(C95:AG95)</f>
        <v>0</v>
      </c>
      <c r="AI95" s="226"/>
      <c r="AJ95" s="175" t="s">
        <v>62</v>
      </c>
      <c r="AK95" s="133" t="s">
        <v>12</v>
      </c>
      <c r="AL95" s="133"/>
    </row>
    <row r="96" spans="1:38" ht="15.95" hidden="1" customHeight="1" x14ac:dyDescent="0.25">
      <c r="A96" s="153" t="s">
        <v>48</v>
      </c>
      <c r="B96" s="149" t="s">
        <v>63</v>
      </c>
      <c r="C96" s="141" t="b">
        <f t="shared" ref="C96:AG96" si="90">IF(C46=1,IF(C91&lt;C92,C95,0))</f>
        <v>0</v>
      </c>
      <c r="D96" s="141">
        <f t="shared" si="90"/>
        <v>0</v>
      </c>
      <c r="E96" s="141">
        <f t="shared" si="90"/>
        <v>0</v>
      </c>
      <c r="F96" s="141" t="b">
        <f t="shared" si="90"/>
        <v>0</v>
      </c>
      <c r="G96" s="141" t="b">
        <f t="shared" si="90"/>
        <v>0</v>
      </c>
      <c r="H96" s="141" t="b">
        <f t="shared" si="90"/>
        <v>0</v>
      </c>
      <c r="I96" s="141" t="b">
        <f t="shared" si="90"/>
        <v>0</v>
      </c>
      <c r="J96" s="141" t="b">
        <f t="shared" si="90"/>
        <v>0</v>
      </c>
      <c r="K96" s="141">
        <f t="shared" si="90"/>
        <v>0</v>
      </c>
      <c r="L96" s="141">
        <f t="shared" si="90"/>
        <v>0</v>
      </c>
      <c r="M96" s="141" t="b">
        <f t="shared" si="90"/>
        <v>0</v>
      </c>
      <c r="N96" s="141" t="b">
        <f t="shared" si="90"/>
        <v>0</v>
      </c>
      <c r="O96" s="141" t="b">
        <f t="shared" si="90"/>
        <v>0</v>
      </c>
      <c r="P96" s="141" t="b">
        <f t="shared" si="90"/>
        <v>0</v>
      </c>
      <c r="Q96" s="141" t="b">
        <f t="shared" si="90"/>
        <v>0</v>
      </c>
      <c r="R96" s="141">
        <f t="shared" si="90"/>
        <v>0</v>
      </c>
      <c r="S96" s="141">
        <f t="shared" si="90"/>
        <v>0</v>
      </c>
      <c r="T96" s="141" t="b">
        <f t="shared" si="90"/>
        <v>0</v>
      </c>
      <c r="U96" s="141" t="b">
        <f t="shared" si="90"/>
        <v>0</v>
      </c>
      <c r="V96" s="141" t="b">
        <f t="shared" si="90"/>
        <v>0</v>
      </c>
      <c r="W96" s="141" t="b">
        <f t="shared" si="90"/>
        <v>0</v>
      </c>
      <c r="X96" s="141" t="b">
        <f t="shared" si="90"/>
        <v>0</v>
      </c>
      <c r="Y96" s="141">
        <f t="shared" si="90"/>
        <v>0</v>
      </c>
      <c r="Z96" s="141">
        <f t="shared" si="90"/>
        <v>0</v>
      </c>
      <c r="AA96" s="141" t="b">
        <f t="shared" si="90"/>
        <v>0</v>
      </c>
      <c r="AB96" s="141" t="b">
        <f t="shared" si="90"/>
        <v>0</v>
      </c>
      <c r="AC96" s="141" t="b">
        <f t="shared" si="90"/>
        <v>0</v>
      </c>
      <c r="AD96" s="141" t="b">
        <f t="shared" si="90"/>
        <v>0</v>
      </c>
      <c r="AE96" s="141" t="b">
        <f t="shared" si="90"/>
        <v>0</v>
      </c>
      <c r="AF96" s="141">
        <f t="shared" si="90"/>
        <v>0</v>
      </c>
      <c r="AG96" s="141">
        <f t="shared" si="90"/>
        <v>0</v>
      </c>
      <c r="AH96" s="154" t="s">
        <v>12</v>
      </c>
      <c r="AI96" s="133"/>
      <c r="AJ96" s="170"/>
      <c r="AK96" s="133"/>
      <c r="AL96" s="133"/>
    </row>
    <row r="97" spans="1:57" ht="15.95" hidden="1" customHeight="1" x14ac:dyDescent="0.25">
      <c r="A97" s="176"/>
      <c r="B97" s="149" t="s">
        <v>64</v>
      </c>
      <c r="C97" s="141">
        <f t="shared" ref="C97:AG97" si="91">IF(C46=1,IF(C91&gt;C92,24-C91,0),0)</f>
        <v>0</v>
      </c>
      <c r="D97" s="141">
        <f t="shared" si="91"/>
        <v>0</v>
      </c>
      <c r="E97" s="141">
        <f t="shared" si="91"/>
        <v>0</v>
      </c>
      <c r="F97" s="141">
        <f t="shared" si="91"/>
        <v>0</v>
      </c>
      <c r="G97" s="141">
        <f t="shared" si="91"/>
        <v>0</v>
      </c>
      <c r="H97" s="141">
        <f t="shared" si="91"/>
        <v>0</v>
      </c>
      <c r="I97" s="141">
        <f t="shared" si="91"/>
        <v>0</v>
      </c>
      <c r="J97" s="141">
        <f t="shared" si="91"/>
        <v>0</v>
      </c>
      <c r="K97" s="141">
        <f t="shared" si="91"/>
        <v>0</v>
      </c>
      <c r="L97" s="141">
        <f t="shared" si="91"/>
        <v>0</v>
      </c>
      <c r="M97" s="141">
        <f t="shared" si="91"/>
        <v>0</v>
      </c>
      <c r="N97" s="141">
        <f t="shared" si="91"/>
        <v>0</v>
      </c>
      <c r="O97" s="141">
        <f t="shared" si="91"/>
        <v>0</v>
      </c>
      <c r="P97" s="141">
        <f t="shared" si="91"/>
        <v>0</v>
      </c>
      <c r="Q97" s="141">
        <f t="shared" si="91"/>
        <v>0</v>
      </c>
      <c r="R97" s="141">
        <f t="shared" si="91"/>
        <v>0</v>
      </c>
      <c r="S97" s="141">
        <f t="shared" si="91"/>
        <v>0</v>
      </c>
      <c r="T97" s="141">
        <f t="shared" si="91"/>
        <v>0</v>
      </c>
      <c r="U97" s="141">
        <f t="shared" si="91"/>
        <v>0</v>
      </c>
      <c r="V97" s="141">
        <f t="shared" si="91"/>
        <v>0</v>
      </c>
      <c r="W97" s="141">
        <f t="shared" si="91"/>
        <v>0</v>
      </c>
      <c r="X97" s="141">
        <f t="shared" si="91"/>
        <v>0</v>
      </c>
      <c r="Y97" s="141">
        <f t="shared" si="91"/>
        <v>0</v>
      </c>
      <c r="Z97" s="141">
        <f t="shared" si="91"/>
        <v>0</v>
      </c>
      <c r="AA97" s="141">
        <f t="shared" si="91"/>
        <v>0</v>
      </c>
      <c r="AB97" s="141">
        <f t="shared" si="91"/>
        <v>0</v>
      </c>
      <c r="AC97" s="141">
        <f t="shared" si="91"/>
        <v>0</v>
      </c>
      <c r="AD97" s="141">
        <f t="shared" si="91"/>
        <v>0</v>
      </c>
      <c r="AE97" s="141">
        <f t="shared" si="91"/>
        <v>0</v>
      </c>
      <c r="AF97" s="141">
        <f t="shared" si="91"/>
        <v>0</v>
      </c>
      <c r="AG97" s="141">
        <f t="shared" si="91"/>
        <v>0</v>
      </c>
      <c r="AH97" s="154" t="s">
        <v>12</v>
      </c>
      <c r="AI97" s="133"/>
      <c r="AJ97" s="170"/>
      <c r="AK97" s="133"/>
      <c r="AL97" s="133"/>
    </row>
    <row r="98" spans="1:57" ht="15.95" hidden="1" customHeight="1" x14ac:dyDescent="0.25">
      <c r="A98" s="176"/>
      <c r="B98" s="149" t="s">
        <v>65</v>
      </c>
      <c r="C98" s="141">
        <f t="shared" ref="C98:AG98" si="92">IF(D46=1,IF(C91&gt;C92,C92,0),0)</f>
        <v>0</v>
      </c>
      <c r="D98" s="141">
        <f t="shared" si="92"/>
        <v>0</v>
      </c>
      <c r="E98" s="141">
        <f t="shared" si="92"/>
        <v>0</v>
      </c>
      <c r="F98" s="141">
        <f t="shared" si="92"/>
        <v>0</v>
      </c>
      <c r="G98" s="141">
        <f t="shared" si="92"/>
        <v>0</v>
      </c>
      <c r="H98" s="141">
        <f t="shared" si="92"/>
        <v>0</v>
      </c>
      <c r="I98" s="141">
        <f t="shared" si="92"/>
        <v>0</v>
      </c>
      <c r="J98" s="141">
        <f t="shared" si="92"/>
        <v>0</v>
      </c>
      <c r="K98" s="141">
        <f t="shared" si="92"/>
        <v>0</v>
      </c>
      <c r="L98" s="141">
        <f t="shared" si="92"/>
        <v>0</v>
      </c>
      <c r="M98" s="141">
        <f t="shared" si="92"/>
        <v>0</v>
      </c>
      <c r="N98" s="141">
        <f t="shared" si="92"/>
        <v>0</v>
      </c>
      <c r="O98" s="141">
        <f t="shared" si="92"/>
        <v>0</v>
      </c>
      <c r="P98" s="141">
        <f t="shared" si="92"/>
        <v>0</v>
      </c>
      <c r="Q98" s="141">
        <f t="shared" si="92"/>
        <v>0</v>
      </c>
      <c r="R98" s="141">
        <f t="shared" si="92"/>
        <v>0</v>
      </c>
      <c r="S98" s="141">
        <f t="shared" si="92"/>
        <v>0</v>
      </c>
      <c r="T98" s="141">
        <f t="shared" si="92"/>
        <v>0</v>
      </c>
      <c r="U98" s="141">
        <f t="shared" si="92"/>
        <v>0</v>
      </c>
      <c r="V98" s="141">
        <f t="shared" si="92"/>
        <v>0</v>
      </c>
      <c r="W98" s="141">
        <f t="shared" si="92"/>
        <v>0</v>
      </c>
      <c r="X98" s="141">
        <f>IF(Y46=1,IF(X91&gt;X92,X92,0),0)</f>
        <v>0</v>
      </c>
      <c r="Y98" s="141">
        <f t="shared" si="92"/>
        <v>0</v>
      </c>
      <c r="Z98" s="141">
        <f t="shared" si="92"/>
        <v>0</v>
      </c>
      <c r="AA98" s="141">
        <f t="shared" si="92"/>
        <v>0</v>
      </c>
      <c r="AB98" s="141">
        <f t="shared" si="92"/>
        <v>0</v>
      </c>
      <c r="AC98" s="141">
        <f t="shared" si="92"/>
        <v>0</v>
      </c>
      <c r="AD98" s="141">
        <f t="shared" si="92"/>
        <v>0</v>
      </c>
      <c r="AE98" s="141">
        <f t="shared" si="92"/>
        <v>0</v>
      </c>
      <c r="AF98" s="141">
        <f t="shared" si="92"/>
        <v>0</v>
      </c>
      <c r="AG98" s="141">
        <f t="shared" si="92"/>
        <v>0</v>
      </c>
      <c r="AH98" s="154" t="s">
        <v>12</v>
      </c>
      <c r="AI98" s="133"/>
      <c r="AJ98" s="170"/>
      <c r="AK98" s="133"/>
      <c r="AL98" s="133"/>
    </row>
    <row r="99" spans="1:57" ht="15.95" hidden="1" customHeight="1" x14ac:dyDescent="0.25">
      <c r="A99" s="176"/>
      <c r="B99" s="149" t="s">
        <v>67</v>
      </c>
      <c r="C99" s="178">
        <f t="shared" ref="C99:AG99" si="93">SUM(C96:C98)</f>
        <v>0</v>
      </c>
      <c r="D99" s="178">
        <f t="shared" si="93"/>
        <v>0</v>
      </c>
      <c r="E99" s="178">
        <f t="shared" si="93"/>
        <v>0</v>
      </c>
      <c r="F99" s="178">
        <f t="shared" si="93"/>
        <v>0</v>
      </c>
      <c r="G99" s="178">
        <f t="shared" si="93"/>
        <v>0</v>
      </c>
      <c r="H99" s="178">
        <f t="shared" si="93"/>
        <v>0</v>
      </c>
      <c r="I99" s="178">
        <f t="shared" si="93"/>
        <v>0</v>
      </c>
      <c r="J99" s="178">
        <f t="shared" si="93"/>
        <v>0</v>
      </c>
      <c r="K99" s="178">
        <f t="shared" si="93"/>
        <v>0</v>
      </c>
      <c r="L99" s="178">
        <f t="shared" si="93"/>
        <v>0</v>
      </c>
      <c r="M99" s="178">
        <f t="shared" si="93"/>
        <v>0</v>
      </c>
      <c r="N99" s="178">
        <f t="shared" si="93"/>
        <v>0</v>
      </c>
      <c r="O99" s="178">
        <f t="shared" si="93"/>
        <v>0</v>
      </c>
      <c r="P99" s="178">
        <f t="shared" si="93"/>
        <v>0</v>
      </c>
      <c r="Q99" s="178">
        <f t="shared" si="93"/>
        <v>0</v>
      </c>
      <c r="R99" s="178">
        <f t="shared" si="93"/>
        <v>0</v>
      </c>
      <c r="S99" s="178">
        <f t="shared" si="93"/>
        <v>0</v>
      </c>
      <c r="T99" s="178">
        <f t="shared" si="93"/>
        <v>0</v>
      </c>
      <c r="U99" s="178">
        <f t="shared" si="93"/>
        <v>0</v>
      </c>
      <c r="V99" s="178">
        <f t="shared" si="93"/>
        <v>0</v>
      </c>
      <c r="W99" s="178">
        <f t="shared" si="93"/>
        <v>0</v>
      </c>
      <c r="X99" s="178">
        <f t="shared" si="93"/>
        <v>0</v>
      </c>
      <c r="Y99" s="178">
        <f t="shared" si="93"/>
        <v>0</v>
      </c>
      <c r="Z99" s="178">
        <f t="shared" si="93"/>
        <v>0</v>
      </c>
      <c r="AA99" s="178">
        <f t="shared" si="93"/>
        <v>0</v>
      </c>
      <c r="AB99" s="178">
        <f t="shared" si="93"/>
        <v>0</v>
      </c>
      <c r="AC99" s="178">
        <f t="shared" si="93"/>
        <v>0</v>
      </c>
      <c r="AD99" s="178">
        <f t="shared" si="93"/>
        <v>0</v>
      </c>
      <c r="AE99" s="178">
        <f t="shared" si="93"/>
        <v>0</v>
      </c>
      <c r="AF99" s="178">
        <f t="shared" si="93"/>
        <v>0</v>
      </c>
      <c r="AG99" s="178">
        <f t="shared" si="93"/>
        <v>0</v>
      </c>
      <c r="AH99" s="154" t="s">
        <v>12</v>
      </c>
      <c r="AI99" s="133"/>
      <c r="AJ99" s="170"/>
      <c r="AK99" s="133"/>
      <c r="AL99" s="133"/>
    </row>
    <row r="100" spans="1:57" ht="15.95" hidden="1" customHeight="1" x14ac:dyDescent="0.25">
      <c r="A100" s="177"/>
      <c r="B100" s="160" t="s">
        <v>68</v>
      </c>
      <c r="C100" s="161">
        <f t="shared" ref="C100:AG100" si="94">IF(C13="V",IF(C13="",0,1),0)</f>
        <v>0</v>
      </c>
      <c r="D100" s="161">
        <f t="shared" si="94"/>
        <v>0</v>
      </c>
      <c r="E100" s="161">
        <f t="shared" si="94"/>
        <v>0</v>
      </c>
      <c r="F100" s="161">
        <f t="shared" si="94"/>
        <v>0</v>
      </c>
      <c r="G100" s="161">
        <f t="shared" si="94"/>
        <v>0</v>
      </c>
      <c r="H100" s="161">
        <f t="shared" si="94"/>
        <v>0</v>
      </c>
      <c r="I100" s="161">
        <f t="shared" si="94"/>
        <v>0</v>
      </c>
      <c r="J100" s="161">
        <f t="shared" si="94"/>
        <v>0</v>
      </c>
      <c r="K100" s="161">
        <f t="shared" si="94"/>
        <v>0</v>
      </c>
      <c r="L100" s="161">
        <f t="shared" si="94"/>
        <v>0</v>
      </c>
      <c r="M100" s="161">
        <f t="shared" si="94"/>
        <v>0</v>
      </c>
      <c r="N100" s="161">
        <f t="shared" si="94"/>
        <v>0</v>
      </c>
      <c r="O100" s="161">
        <f t="shared" si="94"/>
        <v>0</v>
      </c>
      <c r="P100" s="161">
        <f t="shared" si="94"/>
        <v>0</v>
      </c>
      <c r="Q100" s="161">
        <f t="shared" si="94"/>
        <v>0</v>
      </c>
      <c r="R100" s="161">
        <f t="shared" si="94"/>
        <v>0</v>
      </c>
      <c r="S100" s="161">
        <f t="shared" si="94"/>
        <v>0</v>
      </c>
      <c r="T100" s="161">
        <f t="shared" si="94"/>
        <v>0</v>
      </c>
      <c r="U100" s="161">
        <f t="shared" si="94"/>
        <v>0</v>
      </c>
      <c r="V100" s="161">
        <f t="shared" si="94"/>
        <v>0</v>
      </c>
      <c r="W100" s="161">
        <f t="shared" si="94"/>
        <v>0</v>
      </c>
      <c r="X100" s="161">
        <f t="shared" si="94"/>
        <v>0</v>
      </c>
      <c r="Y100" s="161">
        <f t="shared" si="94"/>
        <v>0</v>
      </c>
      <c r="Z100" s="161">
        <f t="shared" si="94"/>
        <v>0</v>
      </c>
      <c r="AA100" s="161">
        <f t="shared" si="94"/>
        <v>0</v>
      </c>
      <c r="AB100" s="161">
        <f t="shared" si="94"/>
        <v>0</v>
      </c>
      <c r="AC100" s="161">
        <f t="shared" si="94"/>
        <v>0</v>
      </c>
      <c r="AD100" s="161">
        <f t="shared" si="94"/>
        <v>0</v>
      </c>
      <c r="AE100" s="161">
        <f t="shared" si="94"/>
        <v>0</v>
      </c>
      <c r="AF100" s="161">
        <f t="shared" si="94"/>
        <v>0</v>
      </c>
      <c r="AG100" s="161">
        <f t="shared" si="94"/>
        <v>0</v>
      </c>
      <c r="AH100" s="154" t="s">
        <v>12</v>
      </c>
      <c r="AI100" s="133"/>
      <c r="AJ100" s="170"/>
      <c r="AK100" s="133"/>
      <c r="AL100" s="133"/>
    </row>
    <row r="101" spans="1:57" ht="15.95" hidden="1" customHeight="1" x14ac:dyDescent="0.25">
      <c r="A101" s="173"/>
      <c r="B101" s="130" t="s">
        <v>16</v>
      </c>
      <c r="C101" s="179">
        <f t="shared" ref="C101:AG101" si="95">IF(C13="PR",IF(C13="",0,1),0)</f>
        <v>0</v>
      </c>
      <c r="D101" s="179">
        <f t="shared" si="95"/>
        <v>0</v>
      </c>
      <c r="E101" s="179">
        <f t="shared" si="95"/>
        <v>0</v>
      </c>
      <c r="F101" s="179">
        <f t="shared" si="95"/>
        <v>0</v>
      </c>
      <c r="G101" s="179">
        <f t="shared" si="95"/>
        <v>0</v>
      </c>
      <c r="H101" s="179">
        <f t="shared" si="95"/>
        <v>0</v>
      </c>
      <c r="I101" s="179">
        <f t="shared" si="95"/>
        <v>0</v>
      </c>
      <c r="J101" s="179">
        <f t="shared" si="95"/>
        <v>0</v>
      </c>
      <c r="K101" s="179">
        <f t="shared" si="95"/>
        <v>0</v>
      </c>
      <c r="L101" s="179">
        <f t="shared" si="95"/>
        <v>0</v>
      </c>
      <c r="M101" s="179">
        <f t="shared" si="95"/>
        <v>0</v>
      </c>
      <c r="N101" s="179">
        <f t="shared" si="95"/>
        <v>0</v>
      </c>
      <c r="O101" s="179">
        <f t="shared" si="95"/>
        <v>0</v>
      </c>
      <c r="P101" s="179">
        <f t="shared" si="95"/>
        <v>0</v>
      </c>
      <c r="Q101" s="179">
        <f t="shared" si="95"/>
        <v>0</v>
      </c>
      <c r="R101" s="179">
        <f t="shared" si="95"/>
        <v>0</v>
      </c>
      <c r="S101" s="179">
        <f t="shared" si="95"/>
        <v>0</v>
      </c>
      <c r="T101" s="179">
        <f t="shared" si="95"/>
        <v>0</v>
      </c>
      <c r="U101" s="179">
        <f t="shared" si="95"/>
        <v>0</v>
      </c>
      <c r="V101" s="179">
        <f t="shared" si="95"/>
        <v>0</v>
      </c>
      <c r="W101" s="179">
        <f t="shared" si="95"/>
        <v>0</v>
      </c>
      <c r="X101" s="179">
        <f t="shared" si="95"/>
        <v>0</v>
      </c>
      <c r="Y101" s="179">
        <f t="shared" si="95"/>
        <v>0</v>
      </c>
      <c r="Z101" s="179">
        <f t="shared" si="95"/>
        <v>0</v>
      </c>
      <c r="AA101" s="179">
        <f t="shared" si="95"/>
        <v>0</v>
      </c>
      <c r="AB101" s="179">
        <f t="shared" si="95"/>
        <v>0</v>
      </c>
      <c r="AC101" s="179">
        <f t="shared" si="95"/>
        <v>0</v>
      </c>
      <c r="AD101" s="179">
        <f t="shared" si="95"/>
        <v>0</v>
      </c>
      <c r="AE101" s="179">
        <f t="shared" si="95"/>
        <v>0</v>
      </c>
      <c r="AF101" s="179">
        <f t="shared" si="95"/>
        <v>0</v>
      </c>
      <c r="AG101" s="179">
        <f t="shared" si="95"/>
        <v>0</v>
      </c>
      <c r="AH101" s="229">
        <f>SUM(C101:AG101)</f>
        <v>0</v>
      </c>
      <c r="AI101" s="229"/>
      <c r="AJ101" s="174" t="s">
        <v>69</v>
      </c>
      <c r="AK101" s="133"/>
      <c r="AL101" s="133"/>
    </row>
    <row r="102" spans="1:57" ht="15.95" hidden="1" customHeight="1" x14ac:dyDescent="0.25">
      <c r="A102" s="164" t="s">
        <v>79</v>
      </c>
      <c r="B102" s="165" t="s">
        <v>29</v>
      </c>
      <c r="C102" s="141" t="str">
        <f t="shared" ref="C102:AG102" si="96">IF(C14=$R32,$S32*24,IF(C14=$R33,$S33*24,IF(C14=$R34,$S34*24,IF(C14=$R35,$S35*24,IF(C14=$R36,$S36*24,IF(C14=$R37,$S37*24,IF(C14=$R38,$S38*24,IF(C14=$R39,$S39*24,IF(C14=$R40,$S40*24,"")))))))))</f>
        <v/>
      </c>
      <c r="D102" s="141" t="str">
        <f t="shared" si="96"/>
        <v/>
      </c>
      <c r="E102" s="141" t="str">
        <f t="shared" si="96"/>
        <v/>
      </c>
      <c r="F102" s="141" t="str">
        <f t="shared" si="96"/>
        <v/>
      </c>
      <c r="G102" s="141" t="str">
        <f t="shared" si="96"/>
        <v/>
      </c>
      <c r="H102" s="141" t="str">
        <f t="shared" si="96"/>
        <v/>
      </c>
      <c r="I102" s="141" t="str">
        <f t="shared" si="96"/>
        <v/>
      </c>
      <c r="J102" s="141" t="str">
        <f t="shared" si="96"/>
        <v/>
      </c>
      <c r="K102" s="141" t="str">
        <f t="shared" si="96"/>
        <v/>
      </c>
      <c r="L102" s="141" t="str">
        <f t="shared" si="96"/>
        <v/>
      </c>
      <c r="M102" s="141" t="str">
        <f t="shared" si="96"/>
        <v/>
      </c>
      <c r="N102" s="141" t="str">
        <f t="shared" si="96"/>
        <v/>
      </c>
      <c r="O102" s="141" t="str">
        <f t="shared" si="96"/>
        <v/>
      </c>
      <c r="P102" s="141" t="str">
        <f t="shared" si="96"/>
        <v/>
      </c>
      <c r="Q102" s="141" t="str">
        <f t="shared" si="96"/>
        <v/>
      </c>
      <c r="R102" s="141" t="str">
        <f t="shared" si="96"/>
        <v/>
      </c>
      <c r="S102" s="141" t="str">
        <f t="shared" si="96"/>
        <v/>
      </c>
      <c r="T102" s="141" t="str">
        <f t="shared" si="96"/>
        <v/>
      </c>
      <c r="U102" s="141" t="str">
        <f t="shared" si="96"/>
        <v/>
      </c>
      <c r="V102" s="141" t="str">
        <f t="shared" si="96"/>
        <v/>
      </c>
      <c r="W102" s="141" t="str">
        <f t="shared" si="96"/>
        <v/>
      </c>
      <c r="X102" s="141" t="str">
        <f t="shared" si="96"/>
        <v/>
      </c>
      <c r="Y102" s="141" t="str">
        <f t="shared" si="96"/>
        <v/>
      </c>
      <c r="Z102" s="141" t="str">
        <f t="shared" si="96"/>
        <v/>
      </c>
      <c r="AA102" s="141" t="str">
        <f t="shared" si="96"/>
        <v/>
      </c>
      <c r="AB102" s="141" t="str">
        <f t="shared" si="96"/>
        <v/>
      </c>
      <c r="AC102" s="141" t="str">
        <f t="shared" si="96"/>
        <v/>
      </c>
      <c r="AD102" s="141" t="str">
        <f t="shared" si="96"/>
        <v/>
      </c>
      <c r="AE102" s="141" t="str">
        <f t="shared" si="96"/>
        <v/>
      </c>
      <c r="AF102" s="141" t="str">
        <f t="shared" si="96"/>
        <v/>
      </c>
      <c r="AG102" s="141" t="str">
        <f t="shared" si="96"/>
        <v/>
      </c>
      <c r="AH102" s="154" t="s">
        <v>12</v>
      </c>
      <c r="AI102" s="133"/>
      <c r="AJ102" s="170"/>
      <c r="AK102" s="133"/>
      <c r="AL102" s="133"/>
    </row>
    <row r="103" spans="1:57" ht="15.95" hidden="1" customHeight="1" x14ac:dyDescent="0.25">
      <c r="A103" s="166" t="s">
        <v>80</v>
      </c>
      <c r="B103" s="167" t="s">
        <v>30</v>
      </c>
      <c r="C103" s="141" t="str">
        <f t="shared" ref="C103:AG103" si="97">IF(C14=$R32,$V32*24,IF(C14=$R33,$V33*24,IF(C14=$R34,$V34*24,IF(C14=$R35,$V35*24,IF(C14=$R36,$V36*24,IF(C14=$R37,$V37*24,IF(C14=$R38,$V38*24,IF(C14=$R39,$V39*24,IF(C14=$R40,$V40*24,"")))))))))</f>
        <v/>
      </c>
      <c r="D103" s="141" t="str">
        <f t="shared" si="97"/>
        <v/>
      </c>
      <c r="E103" s="141" t="str">
        <f t="shared" si="97"/>
        <v/>
      </c>
      <c r="F103" s="141" t="str">
        <f t="shared" si="97"/>
        <v/>
      </c>
      <c r="G103" s="141" t="str">
        <f t="shared" si="97"/>
        <v/>
      </c>
      <c r="H103" s="141" t="str">
        <f t="shared" si="97"/>
        <v/>
      </c>
      <c r="I103" s="141" t="str">
        <f t="shared" si="97"/>
        <v/>
      </c>
      <c r="J103" s="141" t="str">
        <f t="shared" si="97"/>
        <v/>
      </c>
      <c r="K103" s="141" t="str">
        <f t="shared" si="97"/>
        <v/>
      </c>
      <c r="L103" s="141" t="str">
        <f t="shared" si="97"/>
        <v/>
      </c>
      <c r="M103" s="141" t="str">
        <f t="shared" si="97"/>
        <v/>
      </c>
      <c r="N103" s="141" t="str">
        <f t="shared" si="97"/>
        <v/>
      </c>
      <c r="O103" s="141" t="str">
        <f t="shared" si="97"/>
        <v/>
      </c>
      <c r="P103" s="141" t="str">
        <f t="shared" si="97"/>
        <v/>
      </c>
      <c r="Q103" s="141" t="str">
        <f t="shared" si="97"/>
        <v/>
      </c>
      <c r="R103" s="141" t="str">
        <f t="shared" si="97"/>
        <v/>
      </c>
      <c r="S103" s="141" t="str">
        <f t="shared" si="97"/>
        <v/>
      </c>
      <c r="T103" s="141" t="str">
        <f t="shared" si="97"/>
        <v/>
      </c>
      <c r="U103" s="141" t="str">
        <f t="shared" si="97"/>
        <v/>
      </c>
      <c r="V103" s="141" t="str">
        <f t="shared" si="97"/>
        <v/>
      </c>
      <c r="W103" s="141" t="str">
        <f t="shared" si="97"/>
        <v/>
      </c>
      <c r="X103" s="141" t="str">
        <f t="shared" si="97"/>
        <v/>
      </c>
      <c r="Y103" s="141" t="str">
        <f t="shared" si="97"/>
        <v/>
      </c>
      <c r="Z103" s="141" t="str">
        <f t="shared" si="97"/>
        <v/>
      </c>
      <c r="AA103" s="141" t="str">
        <f t="shared" si="97"/>
        <v/>
      </c>
      <c r="AB103" s="141" t="str">
        <f t="shared" si="97"/>
        <v/>
      </c>
      <c r="AC103" s="141" t="str">
        <f t="shared" si="97"/>
        <v/>
      </c>
      <c r="AD103" s="141" t="str">
        <f t="shared" si="97"/>
        <v/>
      </c>
      <c r="AE103" s="141" t="str">
        <f t="shared" si="97"/>
        <v/>
      </c>
      <c r="AF103" s="141" t="str">
        <f t="shared" si="97"/>
        <v/>
      </c>
      <c r="AG103" s="141" t="str">
        <f t="shared" si="97"/>
        <v/>
      </c>
      <c r="AH103" s="154" t="s">
        <v>12</v>
      </c>
      <c r="AI103" s="133"/>
      <c r="AJ103" s="170"/>
      <c r="AK103" s="133"/>
      <c r="AL103" s="133"/>
    </row>
    <row r="104" spans="1:57" ht="15.95" hidden="1" customHeight="1" x14ac:dyDescent="0.25">
      <c r="A104" s="153"/>
      <c r="B104" s="168" t="s">
        <v>34</v>
      </c>
      <c r="C104" s="169" t="str">
        <f t="shared" ref="C104:AD104" si="98">IF(C14=$R32,$BD32*24,IF(C14=$R33,$BD33*24,IF(C14=$R34,$BD34*24,IF(C14=$R35,$BD35*24,IF(C14=$R36,$BD36*24,IF(C14=$R37,$BD37*24,IF(C14=$R38,$BD38*24,IF(C14=$R39,$BD39*24,IF(C14=$R40,$BD40*24,"")))))))))</f>
        <v/>
      </c>
      <c r="D104" s="169" t="str">
        <f t="shared" si="98"/>
        <v/>
      </c>
      <c r="E104" s="169" t="str">
        <f t="shared" si="98"/>
        <v/>
      </c>
      <c r="F104" s="169" t="str">
        <f t="shared" si="98"/>
        <v/>
      </c>
      <c r="G104" s="169" t="str">
        <f t="shared" si="98"/>
        <v/>
      </c>
      <c r="H104" s="169" t="str">
        <f t="shared" si="98"/>
        <v/>
      </c>
      <c r="I104" s="169" t="str">
        <f t="shared" si="98"/>
        <v/>
      </c>
      <c r="J104" s="169" t="str">
        <f t="shared" si="98"/>
        <v/>
      </c>
      <c r="K104" s="169" t="str">
        <f t="shared" si="98"/>
        <v/>
      </c>
      <c r="L104" s="169" t="str">
        <f t="shared" si="98"/>
        <v/>
      </c>
      <c r="M104" s="169" t="str">
        <f t="shared" si="98"/>
        <v/>
      </c>
      <c r="N104" s="169" t="str">
        <f t="shared" si="98"/>
        <v/>
      </c>
      <c r="O104" s="169" t="str">
        <f t="shared" si="98"/>
        <v/>
      </c>
      <c r="P104" s="169" t="str">
        <f t="shared" si="98"/>
        <v/>
      </c>
      <c r="Q104" s="169" t="str">
        <f t="shared" si="98"/>
        <v/>
      </c>
      <c r="R104" s="169" t="str">
        <f t="shared" si="98"/>
        <v/>
      </c>
      <c r="S104" s="169" t="str">
        <f t="shared" si="98"/>
        <v/>
      </c>
      <c r="T104" s="169" t="str">
        <f t="shared" si="98"/>
        <v/>
      </c>
      <c r="U104" s="169" t="str">
        <f t="shared" si="98"/>
        <v/>
      </c>
      <c r="V104" s="169" t="str">
        <f t="shared" si="98"/>
        <v/>
      </c>
      <c r="W104" s="169" t="str">
        <f t="shared" si="98"/>
        <v/>
      </c>
      <c r="X104" s="169" t="str">
        <f t="shared" si="98"/>
        <v/>
      </c>
      <c r="Y104" s="169" t="str">
        <f t="shared" si="98"/>
        <v/>
      </c>
      <c r="Z104" s="169" t="str">
        <f t="shared" si="98"/>
        <v/>
      </c>
      <c r="AA104" s="169" t="str">
        <f t="shared" si="98"/>
        <v/>
      </c>
      <c r="AB104" s="169" t="str">
        <f t="shared" si="98"/>
        <v/>
      </c>
      <c r="AC104" s="169" t="str">
        <f t="shared" si="98"/>
        <v/>
      </c>
      <c r="AD104" s="169" t="str">
        <f t="shared" si="98"/>
        <v/>
      </c>
      <c r="AE104" s="169" t="str">
        <f>IF(AE14=$R32,$BD32*24,IF(AE14=$R33,$BD33*24,IF(AE14=$R34,$BD34*24,IF(AE14=$R35,$BD35*24,IF(AE14=$R36,$BD36*24,IF(AE14=$R37,$BD37*24,IF(AE14=$R38,$BD38*24,IF(AE14=$R39,$BD39*24,IF(AE14=$R40,$BD40*24,"")))))))))</f>
        <v/>
      </c>
      <c r="AF104" s="169" t="str">
        <f>IF(AF14=$R32,$BD32*24,IF(AF14=$R33,$BD33*24,IF(AF14=$R34,$BD34*24,IF(AF14=$R35,$BD35*24,IF(AF14=$R36,$BD36*24,IF(AF14=$R37,$BD37*24,IF(AF14=$R38,$BD38*24,IF(AF14=$R39,$BD39*24,IF(AF14=$R40,$BD40*24,"")))))))))</f>
        <v/>
      </c>
      <c r="AG104" s="169" t="str">
        <f>IF(AG14=$R32,$BD32*24,IF(AG14=$R33,$BD33*24,IF(AG14=$R34,$BD34*24,IF(AG14=$R35,$BD35*24,IF(AG14=$R36,$BD36*24,IF(AG14=$R37,$BD37*24,IF(AG14=$R38,$BD38*24,IF(AG14=$R39,$BD39*24,IF(AG14=$R40,$BD40*24,"")))))))))</f>
        <v/>
      </c>
      <c r="AH104" s="148">
        <f>SUM(C104:AG104)</f>
        <v>0</v>
      </c>
      <c r="AI104" s="133"/>
      <c r="AJ104" s="170"/>
      <c r="AK104" s="133"/>
      <c r="AL104" s="133"/>
    </row>
    <row r="105" spans="1:57" ht="15.95" hidden="1" customHeight="1" x14ac:dyDescent="0.25">
      <c r="A105" s="153"/>
      <c r="B105" s="167" t="s">
        <v>59</v>
      </c>
      <c r="C105" s="141">
        <f t="shared" ref="C105:AG105" si="99">IF(C14="V",$C36,IF(C14="PR",$C38,0))</f>
        <v>0</v>
      </c>
      <c r="D105" s="141">
        <f t="shared" si="99"/>
        <v>0</v>
      </c>
      <c r="E105" s="141">
        <f t="shared" si="99"/>
        <v>0</v>
      </c>
      <c r="F105" s="141">
        <f t="shared" si="99"/>
        <v>0</v>
      </c>
      <c r="G105" s="141">
        <f t="shared" si="99"/>
        <v>0</v>
      </c>
      <c r="H105" s="141">
        <f t="shared" si="99"/>
        <v>0</v>
      </c>
      <c r="I105" s="141">
        <f t="shared" si="99"/>
        <v>0</v>
      </c>
      <c r="J105" s="141">
        <f t="shared" si="99"/>
        <v>0</v>
      </c>
      <c r="K105" s="141">
        <f t="shared" si="99"/>
        <v>0</v>
      </c>
      <c r="L105" s="141">
        <f t="shared" si="99"/>
        <v>0</v>
      </c>
      <c r="M105" s="141">
        <f t="shared" si="99"/>
        <v>0</v>
      </c>
      <c r="N105" s="141">
        <f t="shared" si="99"/>
        <v>0</v>
      </c>
      <c r="O105" s="141">
        <f t="shared" si="99"/>
        <v>0</v>
      </c>
      <c r="P105" s="141">
        <f t="shared" si="99"/>
        <v>0</v>
      </c>
      <c r="Q105" s="141">
        <f t="shared" si="99"/>
        <v>0</v>
      </c>
      <c r="R105" s="141">
        <f t="shared" si="99"/>
        <v>0</v>
      </c>
      <c r="S105" s="141">
        <f t="shared" si="99"/>
        <v>0</v>
      </c>
      <c r="T105" s="141">
        <f t="shared" si="99"/>
        <v>0</v>
      </c>
      <c r="U105" s="141">
        <f t="shared" si="99"/>
        <v>0</v>
      </c>
      <c r="V105" s="141">
        <f t="shared" si="99"/>
        <v>0</v>
      </c>
      <c r="W105" s="141">
        <f t="shared" si="99"/>
        <v>0</v>
      </c>
      <c r="X105" s="141">
        <f t="shared" si="99"/>
        <v>0</v>
      </c>
      <c r="Y105" s="141">
        <f t="shared" si="99"/>
        <v>0</v>
      </c>
      <c r="Z105" s="141">
        <f t="shared" si="99"/>
        <v>0</v>
      </c>
      <c r="AA105" s="141">
        <f t="shared" si="99"/>
        <v>0</v>
      </c>
      <c r="AB105" s="141">
        <f t="shared" si="99"/>
        <v>0</v>
      </c>
      <c r="AC105" s="141">
        <f t="shared" si="99"/>
        <v>0</v>
      </c>
      <c r="AD105" s="141">
        <f t="shared" si="99"/>
        <v>0</v>
      </c>
      <c r="AE105" s="141">
        <f t="shared" si="99"/>
        <v>0</v>
      </c>
      <c r="AF105" s="141">
        <f t="shared" si="99"/>
        <v>0</v>
      </c>
      <c r="AG105" s="141">
        <f t="shared" si="99"/>
        <v>0</v>
      </c>
      <c r="AH105" s="226">
        <f>SUM(C105:AG105)</f>
        <v>0</v>
      </c>
      <c r="AI105" s="226"/>
      <c r="AJ105" s="230">
        <f>SUM(AH50+AH61+AH72+AH83+AH94+AH105)</f>
        <v>0</v>
      </c>
      <c r="AK105" s="230"/>
      <c r="AL105" s="133" t="s">
        <v>56</v>
      </c>
      <c r="AM105" s="1" t="s">
        <v>12</v>
      </c>
    </row>
    <row r="106" spans="1:57" ht="15.95" hidden="1" customHeight="1" x14ac:dyDescent="0.25">
      <c r="A106" s="150" t="s">
        <v>60</v>
      </c>
      <c r="B106" s="167" t="s">
        <v>61</v>
      </c>
      <c r="C106" s="151">
        <f t="shared" ref="C106:AD106" si="100">IF(C14=$R32,$BC32,IF(C14=$R33,$BC33,IF(C14=$R34,$BC34,IF(C14=$R35,$BC35,IF(C14=$R36,$BC36,IF(C14=$R37,$BC37,IF(C14=$R38,$BC38,IF(C14=$R39,$BC39,IF(C14=$R40,$BC40,0)))))))))</f>
        <v>0</v>
      </c>
      <c r="D106" s="151">
        <f t="shared" si="100"/>
        <v>0</v>
      </c>
      <c r="E106" s="151">
        <f t="shared" si="100"/>
        <v>0</v>
      </c>
      <c r="F106" s="151">
        <f t="shared" si="100"/>
        <v>0</v>
      </c>
      <c r="G106" s="151">
        <f t="shared" si="100"/>
        <v>0</v>
      </c>
      <c r="H106" s="151">
        <f t="shared" si="100"/>
        <v>0</v>
      </c>
      <c r="I106" s="151">
        <f t="shared" si="100"/>
        <v>0</v>
      </c>
      <c r="J106" s="151">
        <f t="shared" si="100"/>
        <v>0</v>
      </c>
      <c r="K106" s="151">
        <f t="shared" si="100"/>
        <v>0</v>
      </c>
      <c r="L106" s="151">
        <f t="shared" si="100"/>
        <v>0</v>
      </c>
      <c r="M106" s="151">
        <f t="shared" si="100"/>
        <v>0</v>
      </c>
      <c r="N106" s="151">
        <f t="shared" si="100"/>
        <v>0</v>
      </c>
      <c r="O106" s="151">
        <f t="shared" si="100"/>
        <v>0</v>
      </c>
      <c r="P106" s="151">
        <f t="shared" si="100"/>
        <v>0</v>
      </c>
      <c r="Q106" s="151">
        <f t="shared" si="100"/>
        <v>0</v>
      </c>
      <c r="R106" s="151">
        <f t="shared" si="100"/>
        <v>0</v>
      </c>
      <c r="S106" s="151">
        <f t="shared" si="100"/>
        <v>0</v>
      </c>
      <c r="T106" s="151">
        <f t="shared" si="100"/>
        <v>0</v>
      </c>
      <c r="U106" s="151">
        <f t="shared" si="100"/>
        <v>0</v>
      </c>
      <c r="V106" s="151">
        <f t="shared" si="100"/>
        <v>0</v>
      </c>
      <c r="W106" s="151">
        <f t="shared" si="100"/>
        <v>0</v>
      </c>
      <c r="X106" s="151">
        <f t="shared" si="100"/>
        <v>0</v>
      </c>
      <c r="Y106" s="151">
        <f t="shared" si="100"/>
        <v>0</v>
      </c>
      <c r="Z106" s="151">
        <f t="shared" si="100"/>
        <v>0</v>
      </c>
      <c r="AA106" s="151">
        <f t="shared" si="100"/>
        <v>0</v>
      </c>
      <c r="AB106" s="151">
        <f t="shared" si="100"/>
        <v>0</v>
      </c>
      <c r="AC106" s="151">
        <f t="shared" si="100"/>
        <v>0</v>
      </c>
      <c r="AD106" s="151">
        <f t="shared" si="100"/>
        <v>0</v>
      </c>
      <c r="AE106" s="151">
        <f>IF(AE14=$R32,$BC32,IF(AE14=$R33,$BC33,IF(AE14=$R34,$BC34,IF(AE14=$R35,$BC35,IF(AE14=$R36,$BC36,IF(AE14=$R37,$BC37,IF(AE14=$R38,$BC38,IF(AE14=$R39,$BC39,IF(AE14=$R40,$BC40,0)))))))))</f>
        <v>0</v>
      </c>
      <c r="AF106" s="151">
        <f>IF(AF14=$R32,$BC32,IF(AF14=$R33,$BC33,IF(AF14=$R34,$BC34,IF(AF14=$R35,$BC35,IF(AF14=$R36,$BC36,IF(AF14=$R37,$BC37,IF(AF14=$R38,$BC38,IF(AF14=$R39,$BC39,IF(AF14=$R40,$BC40,0)))))))))</f>
        <v>0</v>
      </c>
      <c r="AG106" s="151">
        <f>IF(AG14=$R32,$BC32,IF(AG14=$R33,$BC33,IF(AG14=$R34,$BC34,IF(AG14=$R35,$BC35,IF(AG14=$R36,$BC36,IF(AG14=$R37,$BC37,IF(AG14=$R38,$BC38,IF(AG14=$R39,$BC39,IF(AG14=$R40,$BC40,0)))))))))</f>
        <v>0</v>
      </c>
      <c r="AH106" s="226">
        <f>SUM(C106:AG106)</f>
        <v>0</v>
      </c>
      <c r="AI106" s="226"/>
      <c r="AJ106" s="174" t="s">
        <v>62</v>
      </c>
      <c r="AK106" s="133" t="s">
        <v>12</v>
      </c>
      <c r="AL106" s="133"/>
    </row>
    <row r="107" spans="1:57" ht="15.95" hidden="1" customHeight="1" x14ac:dyDescent="0.25">
      <c r="A107" s="153" t="s">
        <v>48</v>
      </c>
      <c r="B107" s="149" t="s">
        <v>63</v>
      </c>
      <c r="C107" s="141" t="b">
        <f t="shared" ref="C107:AG107" si="101">IF(C46=1,IF(C102&lt;C103,C106,0))</f>
        <v>0</v>
      </c>
      <c r="D107" s="141">
        <f t="shared" si="101"/>
        <v>0</v>
      </c>
      <c r="E107" s="141">
        <f t="shared" si="101"/>
        <v>0</v>
      </c>
      <c r="F107" s="141" t="b">
        <f t="shared" si="101"/>
        <v>0</v>
      </c>
      <c r="G107" s="141" t="b">
        <f t="shared" si="101"/>
        <v>0</v>
      </c>
      <c r="H107" s="141" t="b">
        <f t="shared" si="101"/>
        <v>0</v>
      </c>
      <c r="I107" s="141" t="b">
        <f t="shared" si="101"/>
        <v>0</v>
      </c>
      <c r="J107" s="141" t="b">
        <f t="shared" si="101"/>
        <v>0</v>
      </c>
      <c r="K107" s="141">
        <f t="shared" si="101"/>
        <v>0</v>
      </c>
      <c r="L107" s="141">
        <f t="shared" si="101"/>
        <v>0</v>
      </c>
      <c r="M107" s="141" t="b">
        <f t="shared" si="101"/>
        <v>0</v>
      </c>
      <c r="N107" s="141" t="b">
        <f t="shared" si="101"/>
        <v>0</v>
      </c>
      <c r="O107" s="141" t="b">
        <f t="shared" si="101"/>
        <v>0</v>
      </c>
      <c r="P107" s="141" t="b">
        <f t="shared" si="101"/>
        <v>0</v>
      </c>
      <c r="Q107" s="141" t="b">
        <f t="shared" si="101"/>
        <v>0</v>
      </c>
      <c r="R107" s="141">
        <f t="shared" si="101"/>
        <v>0</v>
      </c>
      <c r="S107" s="141">
        <f t="shared" si="101"/>
        <v>0</v>
      </c>
      <c r="T107" s="141" t="b">
        <f t="shared" si="101"/>
        <v>0</v>
      </c>
      <c r="U107" s="141" t="b">
        <f t="shared" si="101"/>
        <v>0</v>
      </c>
      <c r="V107" s="141" t="b">
        <f t="shared" si="101"/>
        <v>0</v>
      </c>
      <c r="W107" s="141" t="b">
        <f t="shared" si="101"/>
        <v>0</v>
      </c>
      <c r="X107" s="141" t="b">
        <f t="shared" si="101"/>
        <v>0</v>
      </c>
      <c r="Y107" s="141">
        <f t="shared" si="101"/>
        <v>0</v>
      </c>
      <c r="Z107" s="141">
        <f t="shared" si="101"/>
        <v>0</v>
      </c>
      <c r="AA107" s="141" t="b">
        <f t="shared" si="101"/>
        <v>0</v>
      </c>
      <c r="AB107" s="141" t="b">
        <f t="shared" si="101"/>
        <v>0</v>
      </c>
      <c r="AC107" s="141" t="b">
        <f t="shared" si="101"/>
        <v>0</v>
      </c>
      <c r="AD107" s="141" t="b">
        <f t="shared" si="101"/>
        <v>0</v>
      </c>
      <c r="AE107" s="141" t="b">
        <f t="shared" si="101"/>
        <v>0</v>
      </c>
      <c r="AF107" s="141">
        <f t="shared" si="101"/>
        <v>0</v>
      </c>
      <c r="AG107" s="141">
        <f t="shared" si="101"/>
        <v>0</v>
      </c>
      <c r="AH107" s="154" t="s">
        <v>12</v>
      </c>
      <c r="AI107" s="133"/>
      <c r="AJ107" s="170"/>
      <c r="AK107" s="133"/>
      <c r="AL107" s="133"/>
      <c r="BE107" s="31"/>
    </row>
    <row r="108" spans="1:57" ht="15.95" hidden="1" customHeight="1" x14ac:dyDescent="0.25">
      <c r="A108" s="176"/>
      <c r="B108" s="149" t="s">
        <v>64</v>
      </c>
      <c r="C108" s="141">
        <f>IF(C46=1,IF(C113&gt;C114,24-C113,0),0)</f>
        <v>0</v>
      </c>
      <c r="D108" s="141">
        <f t="shared" ref="D108:AG108" si="102">IF(D46=1,IF(D102&gt;D103,24-D102,0),0)</f>
        <v>0</v>
      </c>
      <c r="E108" s="141">
        <f t="shared" si="102"/>
        <v>0</v>
      </c>
      <c r="F108" s="141">
        <f t="shared" si="102"/>
        <v>0</v>
      </c>
      <c r="G108" s="141">
        <f t="shared" si="102"/>
        <v>0</v>
      </c>
      <c r="H108" s="141">
        <f t="shared" si="102"/>
        <v>0</v>
      </c>
      <c r="I108" s="141">
        <f t="shared" si="102"/>
        <v>0</v>
      </c>
      <c r="J108" s="141">
        <f t="shared" si="102"/>
        <v>0</v>
      </c>
      <c r="K108" s="141">
        <f t="shared" si="102"/>
        <v>0</v>
      </c>
      <c r="L108" s="141">
        <f t="shared" si="102"/>
        <v>0</v>
      </c>
      <c r="M108" s="141">
        <f t="shared" si="102"/>
        <v>0</v>
      </c>
      <c r="N108" s="141">
        <f t="shared" si="102"/>
        <v>0</v>
      </c>
      <c r="O108" s="141">
        <f t="shared" si="102"/>
        <v>0</v>
      </c>
      <c r="P108" s="141">
        <f t="shared" si="102"/>
        <v>0</v>
      </c>
      <c r="Q108" s="141">
        <f t="shared" si="102"/>
        <v>0</v>
      </c>
      <c r="R108" s="141">
        <f t="shared" si="102"/>
        <v>0</v>
      </c>
      <c r="S108" s="141">
        <f t="shared" si="102"/>
        <v>0</v>
      </c>
      <c r="T108" s="141">
        <f t="shared" si="102"/>
        <v>0</v>
      </c>
      <c r="U108" s="141">
        <f t="shared" si="102"/>
        <v>0</v>
      </c>
      <c r="V108" s="141">
        <f t="shared" si="102"/>
        <v>0</v>
      </c>
      <c r="W108" s="141">
        <f t="shared" si="102"/>
        <v>0</v>
      </c>
      <c r="X108" s="141">
        <f t="shared" si="102"/>
        <v>0</v>
      </c>
      <c r="Y108" s="141">
        <f t="shared" si="102"/>
        <v>0</v>
      </c>
      <c r="Z108" s="141">
        <f t="shared" si="102"/>
        <v>0</v>
      </c>
      <c r="AA108" s="141">
        <f t="shared" si="102"/>
        <v>0</v>
      </c>
      <c r="AB108" s="141">
        <f t="shared" si="102"/>
        <v>0</v>
      </c>
      <c r="AC108" s="141">
        <f t="shared" si="102"/>
        <v>0</v>
      </c>
      <c r="AD108" s="141">
        <f t="shared" si="102"/>
        <v>0</v>
      </c>
      <c r="AE108" s="141">
        <f t="shared" si="102"/>
        <v>0</v>
      </c>
      <c r="AF108" s="141">
        <f t="shared" si="102"/>
        <v>0</v>
      </c>
      <c r="AG108" s="141">
        <f t="shared" si="102"/>
        <v>0</v>
      </c>
      <c r="AH108" s="154" t="s">
        <v>12</v>
      </c>
      <c r="AI108" s="133"/>
      <c r="AJ108" s="170"/>
      <c r="AK108" s="133"/>
      <c r="AL108" s="133"/>
    </row>
    <row r="109" spans="1:57" ht="15.95" hidden="1" customHeight="1" x14ac:dyDescent="0.25">
      <c r="A109" s="176"/>
      <c r="B109" s="149" t="s">
        <v>65</v>
      </c>
      <c r="C109" s="141">
        <f t="shared" ref="C109:AG109" si="103">IF(D46=1,IF(C102&gt;C103,C103,0),0)</f>
        <v>0</v>
      </c>
      <c r="D109" s="141">
        <f t="shared" si="103"/>
        <v>0</v>
      </c>
      <c r="E109" s="141">
        <f t="shared" si="103"/>
        <v>0</v>
      </c>
      <c r="F109" s="141">
        <f t="shared" si="103"/>
        <v>0</v>
      </c>
      <c r="G109" s="141">
        <f t="shared" si="103"/>
        <v>0</v>
      </c>
      <c r="H109" s="141">
        <f t="shared" si="103"/>
        <v>0</v>
      </c>
      <c r="I109" s="141">
        <f t="shared" si="103"/>
        <v>0</v>
      </c>
      <c r="J109" s="141">
        <f t="shared" si="103"/>
        <v>0</v>
      </c>
      <c r="K109" s="141">
        <f t="shared" si="103"/>
        <v>0</v>
      </c>
      <c r="L109" s="141">
        <f t="shared" si="103"/>
        <v>0</v>
      </c>
      <c r="M109" s="141">
        <f t="shared" si="103"/>
        <v>0</v>
      </c>
      <c r="N109" s="141">
        <f t="shared" si="103"/>
        <v>0</v>
      </c>
      <c r="O109" s="141">
        <f t="shared" si="103"/>
        <v>0</v>
      </c>
      <c r="P109" s="141">
        <f t="shared" si="103"/>
        <v>0</v>
      </c>
      <c r="Q109" s="141">
        <f t="shared" si="103"/>
        <v>0</v>
      </c>
      <c r="R109" s="141">
        <f t="shared" si="103"/>
        <v>0</v>
      </c>
      <c r="S109" s="141">
        <f t="shared" si="103"/>
        <v>0</v>
      </c>
      <c r="T109" s="141">
        <f t="shared" si="103"/>
        <v>0</v>
      </c>
      <c r="U109" s="141">
        <f t="shared" si="103"/>
        <v>0</v>
      </c>
      <c r="V109" s="141">
        <f t="shared" si="103"/>
        <v>0</v>
      </c>
      <c r="W109" s="141">
        <f t="shared" si="103"/>
        <v>0</v>
      </c>
      <c r="X109" s="141">
        <f>IF(Y46=1,IF(X102&gt;X103,X103,0),0)</f>
        <v>0</v>
      </c>
      <c r="Y109" s="141">
        <f t="shared" si="103"/>
        <v>0</v>
      </c>
      <c r="Z109" s="141">
        <f t="shared" si="103"/>
        <v>0</v>
      </c>
      <c r="AA109" s="141">
        <f t="shared" si="103"/>
        <v>0</v>
      </c>
      <c r="AB109" s="141">
        <f t="shared" si="103"/>
        <v>0</v>
      </c>
      <c r="AC109" s="141">
        <f t="shared" si="103"/>
        <v>0</v>
      </c>
      <c r="AD109" s="141">
        <f t="shared" si="103"/>
        <v>0</v>
      </c>
      <c r="AE109" s="141">
        <f t="shared" si="103"/>
        <v>0</v>
      </c>
      <c r="AF109" s="141">
        <f t="shared" si="103"/>
        <v>0</v>
      </c>
      <c r="AG109" s="141">
        <f t="shared" si="103"/>
        <v>0</v>
      </c>
      <c r="AH109" s="154" t="s">
        <v>12</v>
      </c>
      <c r="AI109" s="133"/>
      <c r="AJ109" s="170"/>
      <c r="AK109" s="133"/>
      <c r="AL109" s="133"/>
    </row>
    <row r="110" spans="1:57" ht="15.95" hidden="1" customHeight="1" x14ac:dyDescent="0.25">
      <c r="A110" s="176"/>
      <c r="B110" s="149" t="s">
        <v>67</v>
      </c>
      <c r="C110" s="171">
        <f t="shared" ref="C110:AG110" si="104">SUM(C107:C109)</f>
        <v>0</v>
      </c>
      <c r="D110" s="171">
        <f t="shared" si="104"/>
        <v>0</v>
      </c>
      <c r="E110" s="171">
        <f t="shared" si="104"/>
        <v>0</v>
      </c>
      <c r="F110" s="171">
        <f t="shared" si="104"/>
        <v>0</v>
      </c>
      <c r="G110" s="171">
        <f t="shared" si="104"/>
        <v>0</v>
      </c>
      <c r="H110" s="171">
        <f t="shared" si="104"/>
        <v>0</v>
      </c>
      <c r="I110" s="171">
        <f t="shared" si="104"/>
        <v>0</v>
      </c>
      <c r="J110" s="171">
        <f t="shared" si="104"/>
        <v>0</v>
      </c>
      <c r="K110" s="171">
        <f t="shared" si="104"/>
        <v>0</v>
      </c>
      <c r="L110" s="171">
        <f t="shared" si="104"/>
        <v>0</v>
      </c>
      <c r="M110" s="171">
        <f t="shared" si="104"/>
        <v>0</v>
      </c>
      <c r="N110" s="171">
        <f t="shared" si="104"/>
        <v>0</v>
      </c>
      <c r="O110" s="171">
        <f t="shared" si="104"/>
        <v>0</v>
      </c>
      <c r="P110" s="171">
        <f t="shared" si="104"/>
        <v>0</v>
      </c>
      <c r="Q110" s="171">
        <f t="shared" si="104"/>
        <v>0</v>
      </c>
      <c r="R110" s="171">
        <f t="shared" si="104"/>
        <v>0</v>
      </c>
      <c r="S110" s="171">
        <f t="shared" si="104"/>
        <v>0</v>
      </c>
      <c r="T110" s="171">
        <f t="shared" si="104"/>
        <v>0</v>
      </c>
      <c r="U110" s="171">
        <f t="shared" si="104"/>
        <v>0</v>
      </c>
      <c r="V110" s="171">
        <f t="shared" si="104"/>
        <v>0</v>
      </c>
      <c r="W110" s="171">
        <f t="shared" si="104"/>
        <v>0</v>
      </c>
      <c r="X110" s="171">
        <f t="shared" si="104"/>
        <v>0</v>
      </c>
      <c r="Y110" s="171">
        <f t="shared" si="104"/>
        <v>0</v>
      </c>
      <c r="Z110" s="171">
        <f t="shared" si="104"/>
        <v>0</v>
      </c>
      <c r="AA110" s="171">
        <f t="shared" si="104"/>
        <v>0</v>
      </c>
      <c r="AB110" s="171">
        <f t="shared" si="104"/>
        <v>0</v>
      </c>
      <c r="AC110" s="171">
        <f t="shared" si="104"/>
        <v>0</v>
      </c>
      <c r="AD110" s="171">
        <f t="shared" si="104"/>
        <v>0</v>
      </c>
      <c r="AE110" s="171">
        <f t="shared" si="104"/>
        <v>0</v>
      </c>
      <c r="AF110" s="171">
        <f t="shared" si="104"/>
        <v>0</v>
      </c>
      <c r="AG110" s="171">
        <f t="shared" si="104"/>
        <v>0</v>
      </c>
      <c r="AH110" s="154" t="s">
        <v>12</v>
      </c>
      <c r="AI110" s="133"/>
      <c r="AJ110" s="170"/>
      <c r="AK110" s="133"/>
      <c r="AL110" s="133"/>
    </row>
    <row r="111" spans="1:57" ht="15.95" hidden="1" customHeight="1" x14ac:dyDescent="0.25">
      <c r="A111" s="177"/>
      <c r="B111" s="160" t="s">
        <v>68</v>
      </c>
      <c r="C111" s="161">
        <f t="shared" ref="C111:AG111" si="105">IF(C14="V",IF(C14="",0,1),0)</f>
        <v>0</v>
      </c>
      <c r="D111" s="161">
        <f t="shared" si="105"/>
        <v>0</v>
      </c>
      <c r="E111" s="161">
        <f t="shared" si="105"/>
        <v>0</v>
      </c>
      <c r="F111" s="161">
        <f t="shared" si="105"/>
        <v>0</v>
      </c>
      <c r="G111" s="161">
        <f t="shared" si="105"/>
        <v>0</v>
      </c>
      <c r="H111" s="161">
        <f t="shared" si="105"/>
        <v>0</v>
      </c>
      <c r="I111" s="161">
        <f t="shared" si="105"/>
        <v>0</v>
      </c>
      <c r="J111" s="161">
        <f t="shared" si="105"/>
        <v>0</v>
      </c>
      <c r="K111" s="161">
        <f t="shared" si="105"/>
        <v>0</v>
      </c>
      <c r="L111" s="161">
        <f t="shared" si="105"/>
        <v>0</v>
      </c>
      <c r="M111" s="161">
        <f t="shared" si="105"/>
        <v>0</v>
      </c>
      <c r="N111" s="161">
        <f t="shared" si="105"/>
        <v>0</v>
      </c>
      <c r="O111" s="161">
        <f t="shared" si="105"/>
        <v>0</v>
      </c>
      <c r="P111" s="161">
        <f t="shared" si="105"/>
        <v>0</v>
      </c>
      <c r="Q111" s="161">
        <f t="shared" si="105"/>
        <v>0</v>
      </c>
      <c r="R111" s="161">
        <f t="shared" si="105"/>
        <v>0</v>
      </c>
      <c r="S111" s="161">
        <f t="shared" si="105"/>
        <v>0</v>
      </c>
      <c r="T111" s="161">
        <f t="shared" si="105"/>
        <v>0</v>
      </c>
      <c r="U111" s="161">
        <f t="shared" si="105"/>
        <v>0</v>
      </c>
      <c r="V111" s="161">
        <f t="shared" si="105"/>
        <v>0</v>
      </c>
      <c r="W111" s="161">
        <f t="shared" si="105"/>
        <v>0</v>
      </c>
      <c r="X111" s="161">
        <f t="shared" si="105"/>
        <v>0</v>
      </c>
      <c r="Y111" s="161">
        <f t="shared" si="105"/>
        <v>0</v>
      </c>
      <c r="Z111" s="161">
        <f t="shared" si="105"/>
        <v>0</v>
      </c>
      <c r="AA111" s="161">
        <f t="shared" si="105"/>
        <v>0</v>
      </c>
      <c r="AB111" s="161">
        <f t="shared" si="105"/>
        <v>0</v>
      </c>
      <c r="AC111" s="161">
        <f t="shared" si="105"/>
        <v>0</v>
      </c>
      <c r="AD111" s="161">
        <f t="shared" si="105"/>
        <v>0</v>
      </c>
      <c r="AE111" s="161">
        <f t="shared" si="105"/>
        <v>0</v>
      </c>
      <c r="AF111" s="161">
        <f t="shared" si="105"/>
        <v>0</v>
      </c>
      <c r="AG111" s="161">
        <f t="shared" si="105"/>
        <v>0</v>
      </c>
      <c r="AH111" s="154" t="s">
        <v>12</v>
      </c>
      <c r="AI111" s="133"/>
      <c r="AJ111" s="170"/>
      <c r="AK111" s="133"/>
      <c r="AL111" s="133"/>
    </row>
    <row r="112" spans="1:57" ht="15.95" hidden="1" customHeight="1" x14ac:dyDescent="0.25">
      <c r="A112" s="180"/>
      <c r="B112" s="181" t="s">
        <v>16</v>
      </c>
      <c r="C112" s="182">
        <f t="shared" ref="C112:AG112" si="106">IF(C14="PR",IF(C14="",0,1),0)</f>
        <v>0</v>
      </c>
      <c r="D112" s="182">
        <f t="shared" si="106"/>
        <v>0</v>
      </c>
      <c r="E112" s="182">
        <f t="shared" si="106"/>
        <v>0</v>
      </c>
      <c r="F112" s="182">
        <f t="shared" si="106"/>
        <v>0</v>
      </c>
      <c r="G112" s="182">
        <f t="shared" si="106"/>
        <v>0</v>
      </c>
      <c r="H112" s="182">
        <f t="shared" si="106"/>
        <v>0</v>
      </c>
      <c r="I112" s="182">
        <f t="shared" si="106"/>
        <v>0</v>
      </c>
      <c r="J112" s="182">
        <f t="shared" si="106"/>
        <v>0</v>
      </c>
      <c r="K112" s="182">
        <f t="shared" si="106"/>
        <v>0</v>
      </c>
      <c r="L112" s="182">
        <f t="shared" si="106"/>
        <v>0</v>
      </c>
      <c r="M112" s="182">
        <f t="shared" si="106"/>
        <v>0</v>
      </c>
      <c r="N112" s="182">
        <f t="shared" si="106"/>
        <v>0</v>
      </c>
      <c r="O112" s="182">
        <f t="shared" si="106"/>
        <v>0</v>
      </c>
      <c r="P112" s="182">
        <f t="shared" si="106"/>
        <v>0</v>
      </c>
      <c r="Q112" s="182">
        <f t="shared" si="106"/>
        <v>0</v>
      </c>
      <c r="R112" s="182">
        <f t="shared" si="106"/>
        <v>0</v>
      </c>
      <c r="S112" s="182">
        <f t="shared" si="106"/>
        <v>0</v>
      </c>
      <c r="T112" s="182">
        <f t="shared" si="106"/>
        <v>0</v>
      </c>
      <c r="U112" s="182">
        <f t="shared" si="106"/>
        <v>0</v>
      </c>
      <c r="V112" s="182">
        <f t="shared" si="106"/>
        <v>0</v>
      </c>
      <c r="W112" s="182">
        <f t="shared" si="106"/>
        <v>0</v>
      </c>
      <c r="X112" s="182">
        <f t="shared" si="106"/>
        <v>0</v>
      </c>
      <c r="Y112" s="182">
        <f t="shared" si="106"/>
        <v>0</v>
      </c>
      <c r="Z112" s="182">
        <f t="shared" si="106"/>
        <v>0</v>
      </c>
      <c r="AA112" s="182">
        <f t="shared" si="106"/>
        <v>0</v>
      </c>
      <c r="AB112" s="182">
        <f t="shared" si="106"/>
        <v>0</v>
      </c>
      <c r="AC112" s="182">
        <f t="shared" si="106"/>
        <v>0</v>
      </c>
      <c r="AD112" s="182">
        <f t="shared" si="106"/>
        <v>0</v>
      </c>
      <c r="AE112" s="182">
        <f t="shared" si="106"/>
        <v>0</v>
      </c>
      <c r="AF112" s="182">
        <f t="shared" si="106"/>
        <v>0</v>
      </c>
      <c r="AG112" s="182">
        <f t="shared" si="106"/>
        <v>0</v>
      </c>
      <c r="AH112" s="227">
        <f>SUM(C112:AG112)</f>
        <v>0</v>
      </c>
      <c r="AI112" s="227"/>
      <c r="AJ112" s="174" t="s">
        <v>69</v>
      </c>
      <c r="AK112" s="133"/>
      <c r="AL112" s="133"/>
    </row>
    <row r="113" spans="1:57" s="31" customFormat="1" ht="15.95" hidden="1" customHeight="1" x14ac:dyDescent="0.25">
      <c r="A113" s="164" t="s">
        <v>81</v>
      </c>
      <c r="B113" s="165" t="s">
        <v>29</v>
      </c>
      <c r="C113" s="141" t="str">
        <f t="shared" ref="C113:AG113" si="107">IF(C15=$R32,$S32*24,IF(C15=$R33,$S33*24,IF(C15=$R34,$S34*24,IF(C15=$R35,$S35*24,IF(C15=$R36,$S36*24,IF(C15=$R37,$S37*24,IF(C15=$R38,$S38*24,IF(C15=$R39,$S39*24,IF(C15=$R40,$S40*24,"")))))))))</f>
        <v/>
      </c>
      <c r="D113" s="141" t="str">
        <f t="shared" si="107"/>
        <v/>
      </c>
      <c r="E113" s="141" t="str">
        <f t="shared" si="107"/>
        <v/>
      </c>
      <c r="F113" s="141" t="str">
        <f t="shared" si="107"/>
        <v/>
      </c>
      <c r="G113" s="141" t="str">
        <f t="shared" si="107"/>
        <v/>
      </c>
      <c r="H113" s="141" t="str">
        <f t="shared" si="107"/>
        <v/>
      </c>
      <c r="I113" s="141" t="str">
        <f t="shared" si="107"/>
        <v/>
      </c>
      <c r="J113" s="141" t="str">
        <f t="shared" si="107"/>
        <v/>
      </c>
      <c r="K113" s="141" t="str">
        <f t="shared" si="107"/>
        <v/>
      </c>
      <c r="L113" s="141" t="str">
        <f t="shared" si="107"/>
        <v/>
      </c>
      <c r="M113" s="141" t="str">
        <f t="shared" si="107"/>
        <v/>
      </c>
      <c r="N113" s="141" t="str">
        <f t="shared" si="107"/>
        <v/>
      </c>
      <c r="O113" s="141" t="str">
        <f t="shared" si="107"/>
        <v/>
      </c>
      <c r="P113" s="141" t="str">
        <f t="shared" si="107"/>
        <v/>
      </c>
      <c r="Q113" s="141" t="str">
        <f t="shared" si="107"/>
        <v/>
      </c>
      <c r="R113" s="141" t="str">
        <f t="shared" si="107"/>
        <v/>
      </c>
      <c r="S113" s="141" t="str">
        <f t="shared" si="107"/>
        <v/>
      </c>
      <c r="T113" s="141" t="str">
        <f t="shared" si="107"/>
        <v/>
      </c>
      <c r="U113" s="141" t="str">
        <f t="shared" si="107"/>
        <v/>
      </c>
      <c r="V113" s="141" t="str">
        <f t="shared" si="107"/>
        <v/>
      </c>
      <c r="W113" s="141" t="str">
        <f t="shared" si="107"/>
        <v/>
      </c>
      <c r="X113" s="141" t="str">
        <f t="shared" si="107"/>
        <v/>
      </c>
      <c r="Y113" s="141" t="str">
        <f t="shared" si="107"/>
        <v/>
      </c>
      <c r="Z113" s="141" t="str">
        <f t="shared" si="107"/>
        <v/>
      </c>
      <c r="AA113" s="141" t="str">
        <f t="shared" si="107"/>
        <v/>
      </c>
      <c r="AB113" s="141" t="str">
        <f t="shared" si="107"/>
        <v/>
      </c>
      <c r="AC113" s="141" t="str">
        <f t="shared" si="107"/>
        <v/>
      </c>
      <c r="AD113" s="141" t="str">
        <f t="shared" si="107"/>
        <v/>
      </c>
      <c r="AE113" s="141" t="str">
        <f t="shared" si="107"/>
        <v/>
      </c>
      <c r="AF113" s="141" t="str">
        <f t="shared" si="107"/>
        <v/>
      </c>
      <c r="AG113" s="141" t="str">
        <f t="shared" si="107"/>
        <v/>
      </c>
      <c r="AH113" s="154" t="s">
        <v>12</v>
      </c>
      <c r="AI113" s="133"/>
      <c r="AJ113" s="170"/>
      <c r="AK113" s="133"/>
      <c r="AL113" s="133"/>
      <c r="BE113" s="1"/>
    </row>
    <row r="114" spans="1:57" ht="15.95" hidden="1" customHeight="1" x14ac:dyDescent="0.25">
      <c r="A114" s="166" t="s">
        <v>82</v>
      </c>
      <c r="B114" s="167" t="s">
        <v>30</v>
      </c>
      <c r="C114" s="141" t="str">
        <f t="shared" ref="C114:AG114" si="108">IF(C15=$R32,$V32*24,IF(C15=$R33,$V33*24,IF(C15=$R34,$V34*24,IF(C15=$R35,$V35*24,IF(C15=$R36,$V36*24,IF(C15=$R37,$V37*24,IF(C15=$R38,$V38*24,IF(C15=$R39,$V39*24,IF(C15=$R40,$V40*24,"")))))))))</f>
        <v/>
      </c>
      <c r="D114" s="141" t="str">
        <f t="shared" si="108"/>
        <v/>
      </c>
      <c r="E114" s="141" t="str">
        <f t="shared" si="108"/>
        <v/>
      </c>
      <c r="F114" s="141" t="str">
        <f t="shared" si="108"/>
        <v/>
      </c>
      <c r="G114" s="141" t="str">
        <f t="shared" si="108"/>
        <v/>
      </c>
      <c r="H114" s="141" t="str">
        <f t="shared" si="108"/>
        <v/>
      </c>
      <c r="I114" s="141" t="str">
        <f t="shared" si="108"/>
        <v/>
      </c>
      <c r="J114" s="141" t="str">
        <f t="shared" si="108"/>
        <v/>
      </c>
      <c r="K114" s="141" t="str">
        <f t="shared" si="108"/>
        <v/>
      </c>
      <c r="L114" s="141" t="str">
        <f t="shared" si="108"/>
        <v/>
      </c>
      <c r="M114" s="141" t="str">
        <f t="shared" si="108"/>
        <v/>
      </c>
      <c r="N114" s="141" t="str">
        <f t="shared" si="108"/>
        <v/>
      </c>
      <c r="O114" s="141" t="str">
        <f t="shared" si="108"/>
        <v/>
      </c>
      <c r="P114" s="141" t="str">
        <f t="shared" si="108"/>
        <v/>
      </c>
      <c r="Q114" s="141" t="str">
        <f t="shared" si="108"/>
        <v/>
      </c>
      <c r="R114" s="141" t="str">
        <f t="shared" si="108"/>
        <v/>
      </c>
      <c r="S114" s="141" t="str">
        <f t="shared" si="108"/>
        <v/>
      </c>
      <c r="T114" s="141" t="str">
        <f t="shared" si="108"/>
        <v/>
      </c>
      <c r="U114" s="141" t="str">
        <f t="shared" si="108"/>
        <v/>
      </c>
      <c r="V114" s="141" t="str">
        <f t="shared" si="108"/>
        <v/>
      </c>
      <c r="W114" s="141" t="str">
        <f t="shared" si="108"/>
        <v/>
      </c>
      <c r="X114" s="141" t="str">
        <f t="shared" si="108"/>
        <v/>
      </c>
      <c r="Y114" s="141" t="str">
        <f t="shared" si="108"/>
        <v/>
      </c>
      <c r="Z114" s="141" t="str">
        <f t="shared" si="108"/>
        <v/>
      </c>
      <c r="AA114" s="141" t="str">
        <f t="shared" si="108"/>
        <v/>
      </c>
      <c r="AB114" s="141" t="str">
        <f t="shared" si="108"/>
        <v/>
      </c>
      <c r="AC114" s="141" t="str">
        <f t="shared" si="108"/>
        <v/>
      </c>
      <c r="AD114" s="141" t="str">
        <f t="shared" si="108"/>
        <v/>
      </c>
      <c r="AE114" s="141" t="str">
        <f t="shared" si="108"/>
        <v/>
      </c>
      <c r="AF114" s="141" t="str">
        <f t="shared" si="108"/>
        <v/>
      </c>
      <c r="AG114" s="141" t="str">
        <f t="shared" si="108"/>
        <v/>
      </c>
      <c r="AH114" s="154" t="s">
        <v>12</v>
      </c>
      <c r="AI114" s="133"/>
      <c r="AJ114" s="170"/>
      <c r="AK114" s="133"/>
      <c r="AL114" s="133"/>
    </row>
    <row r="115" spans="1:57" ht="15.95" hidden="1" customHeight="1" x14ac:dyDescent="0.25">
      <c r="A115" s="153"/>
      <c r="B115" s="168" t="s">
        <v>34</v>
      </c>
      <c r="C115" s="169" t="str">
        <f t="shared" ref="C115:AD115" si="109">IF(C15=$R32,$BD32*24,IF(C15=$R33,$BD33*24,IF(C15=$R34,$BD34*24,IF(C15=$R35,$BD35*24,IF(C15=$R36,$BD36*24,IF(C15=$R37,$BD37*24,IF(C15=$R38,$BD38*24,IF(C15=$R39,$BD39*24,IF(C15=$R40,$BD40*24,"")))))))))</f>
        <v/>
      </c>
      <c r="D115" s="169" t="str">
        <f t="shared" si="109"/>
        <v/>
      </c>
      <c r="E115" s="169" t="str">
        <f t="shared" si="109"/>
        <v/>
      </c>
      <c r="F115" s="169" t="str">
        <f t="shared" si="109"/>
        <v/>
      </c>
      <c r="G115" s="169" t="str">
        <f t="shared" si="109"/>
        <v/>
      </c>
      <c r="H115" s="169" t="str">
        <f t="shared" si="109"/>
        <v/>
      </c>
      <c r="I115" s="169" t="str">
        <f t="shared" si="109"/>
        <v/>
      </c>
      <c r="J115" s="169" t="str">
        <f t="shared" si="109"/>
        <v/>
      </c>
      <c r="K115" s="169" t="str">
        <f t="shared" si="109"/>
        <v/>
      </c>
      <c r="L115" s="169" t="str">
        <f t="shared" si="109"/>
        <v/>
      </c>
      <c r="M115" s="169" t="str">
        <f t="shared" si="109"/>
        <v/>
      </c>
      <c r="N115" s="169" t="str">
        <f t="shared" si="109"/>
        <v/>
      </c>
      <c r="O115" s="169" t="str">
        <f t="shared" si="109"/>
        <v/>
      </c>
      <c r="P115" s="169" t="str">
        <f t="shared" si="109"/>
        <v/>
      </c>
      <c r="Q115" s="169" t="str">
        <f t="shared" si="109"/>
        <v/>
      </c>
      <c r="R115" s="169" t="str">
        <f t="shared" si="109"/>
        <v/>
      </c>
      <c r="S115" s="169" t="str">
        <f t="shared" si="109"/>
        <v/>
      </c>
      <c r="T115" s="169" t="str">
        <f t="shared" si="109"/>
        <v/>
      </c>
      <c r="U115" s="169" t="str">
        <f t="shared" si="109"/>
        <v/>
      </c>
      <c r="V115" s="169" t="str">
        <f t="shared" si="109"/>
        <v/>
      </c>
      <c r="W115" s="169" t="str">
        <f t="shared" si="109"/>
        <v/>
      </c>
      <c r="X115" s="169" t="str">
        <f t="shared" si="109"/>
        <v/>
      </c>
      <c r="Y115" s="169" t="str">
        <f t="shared" si="109"/>
        <v/>
      </c>
      <c r="Z115" s="169" t="str">
        <f t="shared" si="109"/>
        <v/>
      </c>
      <c r="AA115" s="169" t="str">
        <f t="shared" si="109"/>
        <v/>
      </c>
      <c r="AB115" s="169" t="str">
        <f t="shared" si="109"/>
        <v/>
      </c>
      <c r="AC115" s="169" t="str">
        <f t="shared" si="109"/>
        <v/>
      </c>
      <c r="AD115" s="169" t="str">
        <f t="shared" si="109"/>
        <v/>
      </c>
      <c r="AE115" s="169" t="str">
        <f>IF(AE15=$R32,$BD32*24,IF(AE15=$R33,$BD33*24,IF(AE15=$R34,$BD34*24,IF(AE15=$R35,$BD35*24,IF(AE15=$R36,$BD36*24,IF(AE15=$R37,$BD37*24,IF(AE15=$R38,$BD38*24,IF(AE15=$R39,$BD39*24,IF(AE15=$R40,$BD40*24,"")))))))))</f>
        <v/>
      </c>
      <c r="AF115" s="169" t="str">
        <f>IF(AF15=$R32,$BD32*24,IF(AF15=$R33,$BD33*24,IF(AF15=$R34,$BD34*24,IF(AF15=$R35,$BD35*24,IF(AF15=$R36,$BD36*24,IF(AF15=$R37,$BD37*24,IF(AF15=$R38,$BD38*24,IF(AF15=$R39,$BD39*24,IF(AF15=$R40,$BD40*24,"")))))))))</f>
        <v/>
      </c>
      <c r="AG115" s="169" t="str">
        <f>IF(AG15=$R32,$BD32*24,IF(AG15=$R33,$BD33*24,IF(AG15=$R34,$BD34*24,IF(AG15=$R35,$BD35*24,IF(AG15=$R36,$BD36*24,IF(AG15=$R37,$BD37*24,IF(AG15=$R38,$BD38*24,IF(AG15=$R39,$BD39*24,IF(AG15=$R40,$BD40*24,"")))))))))</f>
        <v/>
      </c>
      <c r="AH115" s="148">
        <f>SUM(C115:AG115)</f>
        <v>0</v>
      </c>
      <c r="AI115" s="133"/>
      <c r="AJ115" s="170"/>
      <c r="AK115" s="133"/>
      <c r="AL115" s="133"/>
    </row>
    <row r="116" spans="1:57" ht="15.95" hidden="1" customHeight="1" x14ac:dyDescent="0.25">
      <c r="A116" s="153"/>
      <c r="B116" s="167" t="s">
        <v>59</v>
      </c>
      <c r="C116" s="141">
        <f t="shared" ref="C116:AG116" si="110">IF(C15="V",$C36,IF(C15="PR",$C38,0))</f>
        <v>0</v>
      </c>
      <c r="D116" s="141">
        <f t="shared" si="110"/>
        <v>0</v>
      </c>
      <c r="E116" s="141">
        <f t="shared" si="110"/>
        <v>0</v>
      </c>
      <c r="F116" s="141">
        <f t="shared" si="110"/>
        <v>0</v>
      </c>
      <c r="G116" s="141">
        <f t="shared" si="110"/>
        <v>0</v>
      </c>
      <c r="H116" s="141">
        <f t="shared" si="110"/>
        <v>0</v>
      </c>
      <c r="I116" s="141">
        <f t="shared" si="110"/>
        <v>0</v>
      </c>
      <c r="J116" s="141">
        <f t="shared" si="110"/>
        <v>0</v>
      </c>
      <c r="K116" s="141">
        <f t="shared" si="110"/>
        <v>0</v>
      </c>
      <c r="L116" s="141">
        <f t="shared" si="110"/>
        <v>0</v>
      </c>
      <c r="M116" s="141">
        <f t="shared" si="110"/>
        <v>0</v>
      </c>
      <c r="N116" s="141">
        <f t="shared" si="110"/>
        <v>0</v>
      </c>
      <c r="O116" s="141">
        <f t="shared" si="110"/>
        <v>0</v>
      </c>
      <c r="P116" s="141">
        <f t="shared" si="110"/>
        <v>0</v>
      </c>
      <c r="Q116" s="141">
        <f t="shared" si="110"/>
        <v>0</v>
      </c>
      <c r="R116" s="141">
        <f t="shared" si="110"/>
        <v>0</v>
      </c>
      <c r="S116" s="141">
        <f t="shared" si="110"/>
        <v>0</v>
      </c>
      <c r="T116" s="141">
        <f t="shared" si="110"/>
        <v>0</v>
      </c>
      <c r="U116" s="141">
        <f t="shared" si="110"/>
        <v>0</v>
      </c>
      <c r="V116" s="141">
        <f t="shared" si="110"/>
        <v>0</v>
      </c>
      <c r="W116" s="141">
        <f t="shared" si="110"/>
        <v>0</v>
      </c>
      <c r="X116" s="141">
        <f t="shared" si="110"/>
        <v>0</v>
      </c>
      <c r="Y116" s="141">
        <f t="shared" si="110"/>
        <v>0</v>
      </c>
      <c r="Z116" s="141">
        <f t="shared" si="110"/>
        <v>0</v>
      </c>
      <c r="AA116" s="141">
        <f t="shared" si="110"/>
        <v>0</v>
      </c>
      <c r="AB116" s="141">
        <f t="shared" si="110"/>
        <v>0</v>
      </c>
      <c r="AC116" s="141">
        <f t="shared" si="110"/>
        <v>0</v>
      </c>
      <c r="AD116" s="141">
        <f t="shared" si="110"/>
        <v>0</v>
      </c>
      <c r="AE116" s="141">
        <f t="shared" si="110"/>
        <v>0</v>
      </c>
      <c r="AF116" s="141">
        <f t="shared" si="110"/>
        <v>0</v>
      </c>
      <c r="AG116" s="141">
        <f t="shared" si="110"/>
        <v>0</v>
      </c>
      <c r="AH116" s="226">
        <f>SUM(C116:AG116)</f>
        <v>0</v>
      </c>
      <c r="AI116" s="226"/>
      <c r="AJ116" s="230">
        <f>SUM(AH61+AH72+AH83+AH94+AH105+AH116)</f>
        <v>0</v>
      </c>
      <c r="AK116" s="230"/>
      <c r="AL116" s="133" t="s">
        <v>56</v>
      </c>
    </row>
    <row r="117" spans="1:57" ht="15.95" hidden="1" customHeight="1" x14ac:dyDescent="0.25">
      <c r="A117" s="150" t="s">
        <v>60</v>
      </c>
      <c r="B117" s="167" t="s">
        <v>61</v>
      </c>
      <c r="C117" s="151">
        <f t="shared" ref="C117:AD117" si="111">IF(C15=$R32,$BC32,IF(C15=$R33,$BC33,IF(C15=$R34,$BC34,IF(C15=$R35,$BC35,IF(C15=$R36,$BC36,IF(C15=$R37,$BC37,IF(C15=$R38,$BC38,IF(C15=$R39,$BC39,IF(C15=$R40,$BC40,0)))))))))</f>
        <v>0</v>
      </c>
      <c r="D117" s="151">
        <f t="shared" si="111"/>
        <v>0</v>
      </c>
      <c r="E117" s="151">
        <f t="shared" si="111"/>
        <v>0</v>
      </c>
      <c r="F117" s="151">
        <f t="shared" si="111"/>
        <v>0</v>
      </c>
      <c r="G117" s="151">
        <f t="shared" si="111"/>
        <v>0</v>
      </c>
      <c r="H117" s="151">
        <f t="shared" si="111"/>
        <v>0</v>
      </c>
      <c r="I117" s="151">
        <f t="shared" si="111"/>
        <v>0</v>
      </c>
      <c r="J117" s="151">
        <f t="shared" si="111"/>
        <v>0</v>
      </c>
      <c r="K117" s="151">
        <f t="shared" si="111"/>
        <v>0</v>
      </c>
      <c r="L117" s="151">
        <f t="shared" si="111"/>
        <v>0</v>
      </c>
      <c r="M117" s="151">
        <f t="shared" si="111"/>
        <v>0</v>
      </c>
      <c r="N117" s="151">
        <f t="shared" si="111"/>
        <v>0</v>
      </c>
      <c r="O117" s="151">
        <f t="shared" si="111"/>
        <v>0</v>
      </c>
      <c r="P117" s="151">
        <f t="shared" si="111"/>
        <v>0</v>
      </c>
      <c r="Q117" s="151">
        <f t="shared" si="111"/>
        <v>0</v>
      </c>
      <c r="R117" s="151">
        <f t="shared" si="111"/>
        <v>0</v>
      </c>
      <c r="S117" s="151">
        <f t="shared" si="111"/>
        <v>0</v>
      </c>
      <c r="T117" s="151">
        <f t="shared" si="111"/>
        <v>0</v>
      </c>
      <c r="U117" s="151">
        <f t="shared" si="111"/>
        <v>0</v>
      </c>
      <c r="V117" s="151">
        <f t="shared" si="111"/>
        <v>0</v>
      </c>
      <c r="W117" s="151">
        <f t="shared" si="111"/>
        <v>0</v>
      </c>
      <c r="X117" s="151">
        <f t="shared" si="111"/>
        <v>0</v>
      </c>
      <c r="Y117" s="151">
        <f t="shared" si="111"/>
        <v>0</v>
      </c>
      <c r="Z117" s="151">
        <f t="shared" si="111"/>
        <v>0</v>
      </c>
      <c r="AA117" s="151">
        <f t="shared" si="111"/>
        <v>0</v>
      </c>
      <c r="AB117" s="151">
        <f t="shared" si="111"/>
        <v>0</v>
      </c>
      <c r="AC117" s="151">
        <f t="shared" si="111"/>
        <v>0</v>
      </c>
      <c r="AD117" s="151">
        <f t="shared" si="111"/>
        <v>0</v>
      </c>
      <c r="AE117" s="151">
        <f>IF(AE15=$R32,$BC32,IF(AE15=$R33,$BC33,IF(AE15=$R34,$BC34,IF(AE15=$R35,$BC35,IF(AE15=$R36,$BC36,IF(AE15=$R37,$BC37,IF(AE15=$R38,$BC38,IF(AE15=$R39,$BC39,IF(AE15=$R40,$BC40,0)))))))))</f>
        <v>0</v>
      </c>
      <c r="AF117" s="151">
        <f>IF(AF15=$R32,$BC32,IF(AF15=$R33,$BC33,IF(AF15=$R34,$BC34,IF(AF15=$R35,$BC35,IF(AF15=$R36,$BC36,IF(AF15=$R37,$BC37,IF(AF15=$R38,$BC38,IF(AF15=$R39,$BC39,IF(AF15=$R40,$BC40,0)))))))))</f>
        <v>0</v>
      </c>
      <c r="AG117" s="151">
        <f>IF(AG15=$R32,$BC32,IF(AG15=$R33,$BC33,IF(AG15=$R34,$BC34,IF(AG15=$R35,$BC35,IF(AG15=$R36,$BC36,IF(AG15=$R37,$BC37,IF(AG15=$R38,$BC38,IF(AG15=$R39,$BC39,IF(AG15=$R40,$BC40,0)))))))))</f>
        <v>0</v>
      </c>
      <c r="AH117" s="226">
        <f>SUM(C117:AG117)</f>
        <v>0</v>
      </c>
      <c r="AI117" s="226"/>
      <c r="AJ117" s="174" t="s">
        <v>62</v>
      </c>
      <c r="AK117" s="133" t="s">
        <v>12</v>
      </c>
      <c r="AL117" s="133"/>
    </row>
    <row r="118" spans="1:57" ht="15.95" hidden="1" customHeight="1" x14ac:dyDescent="0.25">
      <c r="A118" s="153" t="s">
        <v>48</v>
      </c>
      <c r="B118" s="149" t="s">
        <v>63</v>
      </c>
      <c r="C118" s="141" t="b">
        <f t="shared" ref="C118:AG118" si="112">IF(C46=1,IF(C113&lt;C114,C117,0))</f>
        <v>0</v>
      </c>
      <c r="D118" s="141">
        <f t="shared" si="112"/>
        <v>0</v>
      </c>
      <c r="E118" s="141">
        <f t="shared" si="112"/>
        <v>0</v>
      </c>
      <c r="F118" s="141" t="b">
        <f t="shared" si="112"/>
        <v>0</v>
      </c>
      <c r="G118" s="141" t="b">
        <f t="shared" si="112"/>
        <v>0</v>
      </c>
      <c r="H118" s="141" t="b">
        <f t="shared" si="112"/>
        <v>0</v>
      </c>
      <c r="I118" s="141" t="b">
        <f t="shared" si="112"/>
        <v>0</v>
      </c>
      <c r="J118" s="141" t="b">
        <f t="shared" si="112"/>
        <v>0</v>
      </c>
      <c r="K118" s="141">
        <f t="shared" si="112"/>
        <v>0</v>
      </c>
      <c r="L118" s="141">
        <f t="shared" si="112"/>
        <v>0</v>
      </c>
      <c r="M118" s="141" t="b">
        <f t="shared" si="112"/>
        <v>0</v>
      </c>
      <c r="N118" s="141" t="b">
        <f t="shared" si="112"/>
        <v>0</v>
      </c>
      <c r="O118" s="141" t="b">
        <f t="shared" si="112"/>
        <v>0</v>
      </c>
      <c r="P118" s="141" t="b">
        <f t="shared" si="112"/>
        <v>0</v>
      </c>
      <c r="Q118" s="141" t="b">
        <f t="shared" si="112"/>
        <v>0</v>
      </c>
      <c r="R118" s="141">
        <f t="shared" si="112"/>
        <v>0</v>
      </c>
      <c r="S118" s="141">
        <f t="shared" si="112"/>
        <v>0</v>
      </c>
      <c r="T118" s="141" t="b">
        <f t="shared" si="112"/>
        <v>0</v>
      </c>
      <c r="U118" s="141" t="b">
        <f t="shared" si="112"/>
        <v>0</v>
      </c>
      <c r="V118" s="141" t="b">
        <f t="shared" si="112"/>
        <v>0</v>
      </c>
      <c r="W118" s="141" t="b">
        <f t="shared" si="112"/>
        <v>0</v>
      </c>
      <c r="X118" s="141" t="b">
        <f t="shared" si="112"/>
        <v>0</v>
      </c>
      <c r="Y118" s="141">
        <f t="shared" si="112"/>
        <v>0</v>
      </c>
      <c r="Z118" s="141">
        <f t="shared" si="112"/>
        <v>0</v>
      </c>
      <c r="AA118" s="141" t="b">
        <f t="shared" si="112"/>
        <v>0</v>
      </c>
      <c r="AB118" s="141" t="b">
        <f t="shared" si="112"/>
        <v>0</v>
      </c>
      <c r="AC118" s="141" t="b">
        <f t="shared" si="112"/>
        <v>0</v>
      </c>
      <c r="AD118" s="141" t="b">
        <f t="shared" si="112"/>
        <v>0</v>
      </c>
      <c r="AE118" s="141" t="b">
        <f t="shared" si="112"/>
        <v>0</v>
      </c>
      <c r="AF118" s="141">
        <f t="shared" si="112"/>
        <v>0</v>
      </c>
      <c r="AG118" s="141">
        <f t="shared" si="112"/>
        <v>0</v>
      </c>
      <c r="AH118" s="154" t="s">
        <v>12</v>
      </c>
      <c r="AI118" s="133"/>
      <c r="AJ118" s="170"/>
      <c r="AK118" s="133"/>
      <c r="AL118" s="133"/>
    </row>
    <row r="119" spans="1:57" ht="15.95" hidden="1" customHeight="1" x14ac:dyDescent="0.25">
      <c r="A119" s="176"/>
      <c r="B119" s="149" t="s">
        <v>64</v>
      </c>
      <c r="C119" s="141">
        <f t="shared" ref="C119:AG119" si="113">IF(C46=1,IF(C113&gt;C114,24-C113,0),0)</f>
        <v>0</v>
      </c>
      <c r="D119" s="141">
        <f t="shared" si="113"/>
        <v>0</v>
      </c>
      <c r="E119" s="141">
        <f t="shared" si="113"/>
        <v>0</v>
      </c>
      <c r="F119" s="141">
        <f t="shared" si="113"/>
        <v>0</v>
      </c>
      <c r="G119" s="141">
        <f t="shared" si="113"/>
        <v>0</v>
      </c>
      <c r="H119" s="141">
        <f t="shared" si="113"/>
        <v>0</v>
      </c>
      <c r="I119" s="141">
        <f t="shared" si="113"/>
        <v>0</v>
      </c>
      <c r="J119" s="141">
        <f t="shared" si="113"/>
        <v>0</v>
      </c>
      <c r="K119" s="141">
        <f t="shared" si="113"/>
        <v>0</v>
      </c>
      <c r="L119" s="141">
        <f t="shared" si="113"/>
        <v>0</v>
      </c>
      <c r="M119" s="141">
        <f t="shared" si="113"/>
        <v>0</v>
      </c>
      <c r="N119" s="141">
        <f t="shared" si="113"/>
        <v>0</v>
      </c>
      <c r="O119" s="141">
        <f t="shared" si="113"/>
        <v>0</v>
      </c>
      <c r="P119" s="141">
        <f t="shared" si="113"/>
        <v>0</v>
      </c>
      <c r="Q119" s="141">
        <f t="shared" si="113"/>
        <v>0</v>
      </c>
      <c r="R119" s="141">
        <f t="shared" si="113"/>
        <v>0</v>
      </c>
      <c r="S119" s="141">
        <f t="shared" si="113"/>
        <v>0</v>
      </c>
      <c r="T119" s="141">
        <f t="shared" si="113"/>
        <v>0</v>
      </c>
      <c r="U119" s="141">
        <f t="shared" si="113"/>
        <v>0</v>
      </c>
      <c r="V119" s="141">
        <f t="shared" si="113"/>
        <v>0</v>
      </c>
      <c r="W119" s="141">
        <f t="shared" si="113"/>
        <v>0</v>
      </c>
      <c r="X119" s="141">
        <f t="shared" si="113"/>
        <v>0</v>
      </c>
      <c r="Y119" s="141">
        <f t="shared" si="113"/>
        <v>0</v>
      </c>
      <c r="Z119" s="141">
        <f t="shared" si="113"/>
        <v>0</v>
      </c>
      <c r="AA119" s="141">
        <f t="shared" si="113"/>
        <v>0</v>
      </c>
      <c r="AB119" s="141">
        <f t="shared" si="113"/>
        <v>0</v>
      </c>
      <c r="AC119" s="141">
        <f t="shared" si="113"/>
        <v>0</v>
      </c>
      <c r="AD119" s="141">
        <f t="shared" si="113"/>
        <v>0</v>
      </c>
      <c r="AE119" s="141">
        <f t="shared" si="113"/>
        <v>0</v>
      </c>
      <c r="AF119" s="141">
        <f t="shared" si="113"/>
        <v>0</v>
      </c>
      <c r="AG119" s="141">
        <f t="shared" si="113"/>
        <v>0</v>
      </c>
      <c r="AH119" s="154" t="s">
        <v>12</v>
      </c>
      <c r="AI119" s="133"/>
      <c r="AJ119" s="170"/>
      <c r="AK119" s="133"/>
      <c r="AL119" s="133"/>
    </row>
    <row r="120" spans="1:57" ht="15.95" hidden="1" customHeight="1" x14ac:dyDescent="0.25">
      <c r="A120" s="176"/>
      <c r="B120" s="149" t="s">
        <v>65</v>
      </c>
      <c r="C120" s="141">
        <f t="shared" ref="C120:AG120" si="114">IF(D46=1,IF(C113&gt;C114,C114,0),0)</f>
        <v>0</v>
      </c>
      <c r="D120" s="141">
        <f t="shared" si="114"/>
        <v>0</v>
      </c>
      <c r="E120" s="141">
        <f t="shared" si="114"/>
        <v>0</v>
      </c>
      <c r="F120" s="141">
        <f t="shared" si="114"/>
        <v>0</v>
      </c>
      <c r="G120" s="141">
        <f t="shared" si="114"/>
        <v>0</v>
      </c>
      <c r="H120" s="141">
        <f t="shared" si="114"/>
        <v>0</v>
      </c>
      <c r="I120" s="141">
        <f t="shared" si="114"/>
        <v>0</v>
      </c>
      <c r="J120" s="141">
        <f t="shared" si="114"/>
        <v>0</v>
      </c>
      <c r="K120" s="141">
        <f t="shared" si="114"/>
        <v>0</v>
      </c>
      <c r="L120" s="141">
        <f t="shared" si="114"/>
        <v>0</v>
      </c>
      <c r="M120" s="141">
        <f t="shared" si="114"/>
        <v>0</v>
      </c>
      <c r="N120" s="141">
        <f t="shared" si="114"/>
        <v>0</v>
      </c>
      <c r="O120" s="141">
        <f t="shared" si="114"/>
        <v>0</v>
      </c>
      <c r="P120" s="141">
        <f t="shared" si="114"/>
        <v>0</v>
      </c>
      <c r="Q120" s="141">
        <f t="shared" si="114"/>
        <v>0</v>
      </c>
      <c r="R120" s="141">
        <f t="shared" si="114"/>
        <v>0</v>
      </c>
      <c r="S120" s="141">
        <f t="shared" si="114"/>
        <v>0</v>
      </c>
      <c r="T120" s="141">
        <f t="shared" si="114"/>
        <v>0</v>
      </c>
      <c r="U120" s="141">
        <f t="shared" si="114"/>
        <v>0</v>
      </c>
      <c r="V120" s="141">
        <f t="shared" si="114"/>
        <v>0</v>
      </c>
      <c r="W120" s="141">
        <f t="shared" si="114"/>
        <v>0</v>
      </c>
      <c r="X120" s="141">
        <f>IF(Y46=1,IF(X113&gt;X114,X114,0),0)</f>
        <v>0</v>
      </c>
      <c r="Y120" s="141">
        <f t="shared" si="114"/>
        <v>0</v>
      </c>
      <c r="Z120" s="141">
        <f t="shared" si="114"/>
        <v>0</v>
      </c>
      <c r="AA120" s="141">
        <f t="shared" si="114"/>
        <v>0</v>
      </c>
      <c r="AB120" s="141">
        <f t="shared" si="114"/>
        <v>0</v>
      </c>
      <c r="AC120" s="141">
        <f t="shared" si="114"/>
        <v>0</v>
      </c>
      <c r="AD120" s="141">
        <f t="shared" si="114"/>
        <v>0</v>
      </c>
      <c r="AE120" s="141">
        <f t="shared" si="114"/>
        <v>0</v>
      </c>
      <c r="AF120" s="141">
        <f t="shared" si="114"/>
        <v>0</v>
      </c>
      <c r="AG120" s="141">
        <f t="shared" si="114"/>
        <v>0</v>
      </c>
      <c r="AH120" s="154" t="s">
        <v>12</v>
      </c>
      <c r="AI120" s="133"/>
      <c r="AJ120" s="170"/>
      <c r="AK120" s="133"/>
      <c r="AL120" s="133"/>
    </row>
    <row r="121" spans="1:57" ht="15.95" hidden="1" customHeight="1" x14ac:dyDescent="0.25">
      <c r="A121" s="176"/>
      <c r="B121" s="149" t="s">
        <v>67</v>
      </c>
      <c r="C121" s="171">
        <f t="shared" ref="C121:AG121" si="115">SUM(C118:C120)</f>
        <v>0</v>
      </c>
      <c r="D121" s="171">
        <f t="shared" si="115"/>
        <v>0</v>
      </c>
      <c r="E121" s="171">
        <f t="shared" si="115"/>
        <v>0</v>
      </c>
      <c r="F121" s="171">
        <f t="shared" si="115"/>
        <v>0</v>
      </c>
      <c r="G121" s="171">
        <f t="shared" si="115"/>
        <v>0</v>
      </c>
      <c r="H121" s="171">
        <f t="shared" si="115"/>
        <v>0</v>
      </c>
      <c r="I121" s="171">
        <f t="shared" si="115"/>
        <v>0</v>
      </c>
      <c r="J121" s="171">
        <f t="shared" si="115"/>
        <v>0</v>
      </c>
      <c r="K121" s="171">
        <f t="shared" si="115"/>
        <v>0</v>
      </c>
      <c r="L121" s="171">
        <f t="shared" si="115"/>
        <v>0</v>
      </c>
      <c r="M121" s="171">
        <f t="shared" si="115"/>
        <v>0</v>
      </c>
      <c r="N121" s="171">
        <f t="shared" si="115"/>
        <v>0</v>
      </c>
      <c r="O121" s="171">
        <f t="shared" si="115"/>
        <v>0</v>
      </c>
      <c r="P121" s="171">
        <f t="shared" si="115"/>
        <v>0</v>
      </c>
      <c r="Q121" s="171">
        <f t="shared" si="115"/>
        <v>0</v>
      </c>
      <c r="R121" s="171">
        <f t="shared" si="115"/>
        <v>0</v>
      </c>
      <c r="S121" s="171">
        <f t="shared" si="115"/>
        <v>0</v>
      </c>
      <c r="T121" s="171">
        <f t="shared" si="115"/>
        <v>0</v>
      </c>
      <c r="U121" s="171">
        <f t="shared" si="115"/>
        <v>0</v>
      </c>
      <c r="V121" s="171">
        <f t="shared" si="115"/>
        <v>0</v>
      </c>
      <c r="W121" s="171">
        <f t="shared" si="115"/>
        <v>0</v>
      </c>
      <c r="X121" s="171">
        <f t="shared" si="115"/>
        <v>0</v>
      </c>
      <c r="Y121" s="171">
        <f t="shared" si="115"/>
        <v>0</v>
      </c>
      <c r="Z121" s="171">
        <f t="shared" si="115"/>
        <v>0</v>
      </c>
      <c r="AA121" s="171">
        <f t="shared" si="115"/>
        <v>0</v>
      </c>
      <c r="AB121" s="171">
        <f t="shared" si="115"/>
        <v>0</v>
      </c>
      <c r="AC121" s="171">
        <f t="shared" si="115"/>
        <v>0</v>
      </c>
      <c r="AD121" s="171">
        <f t="shared" si="115"/>
        <v>0</v>
      </c>
      <c r="AE121" s="171">
        <f t="shared" si="115"/>
        <v>0</v>
      </c>
      <c r="AF121" s="171">
        <f t="shared" si="115"/>
        <v>0</v>
      </c>
      <c r="AG121" s="171">
        <f t="shared" si="115"/>
        <v>0</v>
      </c>
      <c r="AH121" s="154" t="s">
        <v>12</v>
      </c>
      <c r="AI121" s="133"/>
      <c r="AJ121" s="170"/>
      <c r="AK121" s="133"/>
      <c r="AL121" s="133"/>
    </row>
    <row r="122" spans="1:57" ht="15.95" hidden="1" customHeight="1" x14ac:dyDescent="0.25">
      <c r="A122" s="177"/>
      <c r="B122" s="160" t="s">
        <v>68</v>
      </c>
      <c r="C122" s="182">
        <f t="shared" ref="C122:AG122" si="116">IF(C15="V",IF(C15="",0,1),0)</f>
        <v>0</v>
      </c>
      <c r="D122" s="182">
        <f t="shared" si="116"/>
        <v>0</v>
      </c>
      <c r="E122" s="182">
        <f t="shared" si="116"/>
        <v>0</v>
      </c>
      <c r="F122" s="182">
        <f t="shared" si="116"/>
        <v>0</v>
      </c>
      <c r="G122" s="182">
        <f t="shared" si="116"/>
        <v>0</v>
      </c>
      <c r="H122" s="182">
        <f t="shared" si="116"/>
        <v>0</v>
      </c>
      <c r="I122" s="182">
        <f t="shared" si="116"/>
        <v>0</v>
      </c>
      <c r="J122" s="182">
        <f t="shared" si="116"/>
        <v>0</v>
      </c>
      <c r="K122" s="182">
        <f t="shared" si="116"/>
        <v>0</v>
      </c>
      <c r="L122" s="182">
        <f t="shared" si="116"/>
        <v>0</v>
      </c>
      <c r="M122" s="182">
        <f t="shared" si="116"/>
        <v>0</v>
      </c>
      <c r="N122" s="182">
        <f t="shared" si="116"/>
        <v>0</v>
      </c>
      <c r="O122" s="182">
        <f t="shared" si="116"/>
        <v>0</v>
      </c>
      <c r="P122" s="182">
        <f t="shared" si="116"/>
        <v>0</v>
      </c>
      <c r="Q122" s="182">
        <f t="shared" si="116"/>
        <v>0</v>
      </c>
      <c r="R122" s="182">
        <f t="shared" si="116"/>
        <v>0</v>
      </c>
      <c r="S122" s="182">
        <f t="shared" si="116"/>
        <v>0</v>
      </c>
      <c r="T122" s="182">
        <f t="shared" si="116"/>
        <v>0</v>
      </c>
      <c r="U122" s="182">
        <f t="shared" si="116"/>
        <v>0</v>
      </c>
      <c r="V122" s="182">
        <f t="shared" si="116"/>
        <v>0</v>
      </c>
      <c r="W122" s="182">
        <f t="shared" si="116"/>
        <v>0</v>
      </c>
      <c r="X122" s="182">
        <f t="shared" si="116"/>
        <v>0</v>
      </c>
      <c r="Y122" s="182">
        <f t="shared" si="116"/>
        <v>0</v>
      </c>
      <c r="Z122" s="182">
        <f t="shared" si="116"/>
        <v>0</v>
      </c>
      <c r="AA122" s="182">
        <f t="shared" si="116"/>
        <v>0</v>
      </c>
      <c r="AB122" s="182">
        <f t="shared" si="116"/>
        <v>0</v>
      </c>
      <c r="AC122" s="182">
        <f t="shared" si="116"/>
        <v>0</v>
      </c>
      <c r="AD122" s="182">
        <f t="shared" si="116"/>
        <v>0</v>
      </c>
      <c r="AE122" s="182">
        <f t="shared" si="116"/>
        <v>0</v>
      </c>
      <c r="AF122" s="182">
        <f t="shared" si="116"/>
        <v>0</v>
      </c>
      <c r="AG122" s="182">
        <f t="shared" si="116"/>
        <v>0</v>
      </c>
      <c r="AH122" s="154" t="s">
        <v>12</v>
      </c>
      <c r="AI122" s="133"/>
      <c r="AJ122" s="170"/>
      <c r="AK122" s="133"/>
      <c r="AL122" s="133"/>
    </row>
    <row r="123" spans="1:57" ht="15.95" hidden="1" customHeight="1" x14ac:dyDescent="0.25">
      <c r="A123" s="180"/>
      <c r="B123" s="181" t="s">
        <v>16</v>
      </c>
      <c r="C123" s="182">
        <f t="shared" ref="C123:AG123" si="117">IF(C15="PR",IF(C15="",0,1),0)</f>
        <v>0</v>
      </c>
      <c r="D123" s="182">
        <f t="shared" si="117"/>
        <v>0</v>
      </c>
      <c r="E123" s="182">
        <f t="shared" si="117"/>
        <v>0</v>
      </c>
      <c r="F123" s="182">
        <f t="shared" si="117"/>
        <v>0</v>
      </c>
      <c r="G123" s="182">
        <f t="shared" si="117"/>
        <v>0</v>
      </c>
      <c r="H123" s="182">
        <f t="shared" si="117"/>
        <v>0</v>
      </c>
      <c r="I123" s="182">
        <f t="shared" si="117"/>
        <v>0</v>
      </c>
      <c r="J123" s="182">
        <f t="shared" si="117"/>
        <v>0</v>
      </c>
      <c r="K123" s="182">
        <f t="shared" si="117"/>
        <v>0</v>
      </c>
      <c r="L123" s="182">
        <f t="shared" si="117"/>
        <v>0</v>
      </c>
      <c r="M123" s="182">
        <f t="shared" si="117"/>
        <v>0</v>
      </c>
      <c r="N123" s="182">
        <f t="shared" si="117"/>
        <v>0</v>
      </c>
      <c r="O123" s="182">
        <f t="shared" si="117"/>
        <v>0</v>
      </c>
      <c r="P123" s="182">
        <f t="shared" si="117"/>
        <v>0</v>
      </c>
      <c r="Q123" s="182">
        <f t="shared" si="117"/>
        <v>0</v>
      </c>
      <c r="R123" s="182">
        <f t="shared" si="117"/>
        <v>0</v>
      </c>
      <c r="S123" s="182">
        <f t="shared" si="117"/>
        <v>0</v>
      </c>
      <c r="T123" s="182">
        <f t="shared" si="117"/>
        <v>0</v>
      </c>
      <c r="U123" s="182">
        <f t="shared" si="117"/>
        <v>0</v>
      </c>
      <c r="V123" s="182">
        <f t="shared" si="117"/>
        <v>0</v>
      </c>
      <c r="W123" s="182">
        <f t="shared" si="117"/>
        <v>0</v>
      </c>
      <c r="X123" s="182">
        <f t="shared" si="117"/>
        <v>0</v>
      </c>
      <c r="Y123" s="182">
        <f t="shared" si="117"/>
        <v>0</v>
      </c>
      <c r="Z123" s="182">
        <f t="shared" si="117"/>
        <v>0</v>
      </c>
      <c r="AA123" s="182">
        <f t="shared" si="117"/>
        <v>0</v>
      </c>
      <c r="AB123" s="182">
        <f t="shared" si="117"/>
        <v>0</v>
      </c>
      <c r="AC123" s="182">
        <f t="shared" si="117"/>
        <v>0</v>
      </c>
      <c r="AD123" s="182">
        <f t="shared" si="117"/>
        <v>0</v>
      </c>
      <c r="AE123" s="182">
        <f t="shared" si="117"/>
        <v>0</v>
      </c>
      <c r="AF123" s="182">
        <f t="shared" si="117"/>
        <v>0</v>
      </c>
      <c r="AG123" s="182">
        <f t="shared" si="117"/>
        <v>0</v>
      </c>
      <c r="AH123" s="227">
        <f>SUM(C123:AG123)</f>
        <v>0</v>
      </c>
      <c r="AI123" s="227"/>
      <c r="AJ123" s="174" t="s">
        <v>69</v>
      </c>
      <c r="AK123" s="133"/>
      <c r="AL123" s="133"/>
    </row>
    <row r="124" spans="1:57" ht="15.95" hidden="1" customHeight="1" x14ac:dyDescent="0.25">
      <c r="A124" s="164" t="s">
        <v>83</v>
      </c>
      <c r="B124" s="165" t="s">
        <v>29</v>
      </c>
      <c r="C124" s="141" t="str">
        <f t="shared" ref="C124:AG124" si="118">IF(C16=$R32,$S32*24,IF(C16=$R33,$S33*24,IF(C16=$R34,$S34*24,IF(C16=$R35,$S35*24,IF(C16=$R36,$S36*24,IF(C16=$R37,$S37*24,IF(C16=$R38,$S38*24,IF(C16=$R39,$S39*24,IF(C16=$R40,$S40*24,"")))))))))</f>
        <v/>
      </c>
      <c r="D124" s="141" t="str">
        <f t="shared" si="118"/>
        <v/>
      </c>
      <c r="E124" s="141" t="str">
        <f t="shared" si="118"/>
        <v/>
      </c>
      <c r="F124" s="141" t="str">
        <f t="shared" si="118"/>
        <v/>
      </c>
      <c r="G124" s="141" t="str">
        <f t="shared" si="118"/>
        <v/>
      </c>
      <c r="H124" s="141" t="str">
        <f t="shared" si="118"/>
        <v/>
      </c>
      <c r="I124" s="141" t="str">
        <f t="shared" si="118"/>
        <v/>
      </c>
      <c r="J124" s="141" t="str">
        <f t="shared" si="118"/>
        <v/>
      </c>
      <c r="K124" s="141" t="str">
        <f t="shared" si="118"/>
        <v/>
      </c>
      <c r="L124" s="141" t="str">
        <f t="shared" si="118"/>
        <v/>
      </c>
      <c r="M124" s="141" t="str">
        <f t="shared" si="118"/>
        <v/>
      </c>
      <c r="N124" s="141" t="str">
        <f t="shared" si="118"/>
        <v/>
      </c>
      <c r="O124" s="141" t="str">
        <f t="shared" si="118"/>
        <v/>
      </c>
      <c r="P124" s="141" t="str">
        <f t="shared" si="118"/>
        <v/>
      </c>
      <c r="Q124" s="141" t="str">
        <f t="shared" si="118"/>
        <v/>
      </c>
      <c r="R124" s="141" t="str">
        <f t="shared" si="118"/>
        <v/>
      </c>
      <c r="S124" s="141" t="str">
        <f t="shared" si="118"/>
        <v/>
      </c>
      <c r="T124" s="141" t="str">
        <f t="shared" si="118"/>
        <v/>
      </c>
      <c r="U124" s="141" t="str">
        <f t="shared" si="118"/>
        <v/>
      </c>
      <c r="V124" s="141" t="str">
        <f t="shared" si="118"/>
        <v/>
      </c>
      <c r="W124" s="141" t="str">
        <f t="shared" si="118"/>
        <v/>
      </c>
      <c r="X124" s="141" t="str">
        <f t="shared" si="118"/>
        <v/>
      </c>
      <c r="Y124" s="141" t="str">
        <f t="shared" si="118"/>
        <v/>
      </c>
      <c r="Z124" s="141" t="str">
        <f t="shared" si="118"/>
        <v/>
      </c>
      <c r="AA124" s="141" t="str">
        <f t="shared" si="118"/>
        <v/>
      </c>
      <c r="AB124" s="141" t="str">
        <f t="shared" si="118"/>
        <v/>
      </c>
      <c r="AC124" s="141" t="str">
        <f t="shared" si="118"/>
        <v/>
      </c>
      <c r="AD124" s="141" t="str">
        <f t="shared" si="118"/>
        <v/>
      </c>
      <c r="AE124" s="141" t="str">
        <f t="shared" si="118"/>
        <v/>
      </c>
      <c r="AF124" s="141" t="str">
        <f t="shared" si="118"/>
        <v/>
      </c>
      <c r="AG124" s="141" t="str">
        <f t="shared" si="118"/>
        <v/>
      </c>
      <c r="AH124" s="154" t="s">
        <v>12</v>
      </c>
      <c r="AI124" s="133"/>
      <c r="AJ124" s="170"/>
      <c r="AK124" s="133"/>
      <c r="AL124" s="133"/>
    </row>
    <row r="125" spans="1:57" ht="15.95" hidden="1" customHeight="1" x14ac:dyDescent="0.25">
      <c r="A125" s="166" t="s">
        <v>84</v>
      </c>
      <c r="B125" s="167" t="s">
        <v>30</v>
      </c>
      <c r="C125" s="141" t="str">
        <f t="shared" ref="C125:AG125" si="119">IF(C16=$R32,$V32*24,IF(C16=$R33,$V33*24,IF(C16=$R34,$V34*24,IF(C16=$R35,$V35*24,IF(C16=$R36,$V36*24,IF(C16=$R37,$V37*24,IF(C16=$R38,$V38*24,IF(C16=$R39,$V39*24,IF(C16=$R40,$V40*24,"")))))))))</f>
        <v/>
      </c>
      <c r="D125" s="141" t="str">
        <f t="shared" si="119"/>
        <v/>
      </c>
      <c r="E125" s="141" t="str">
        <f t="shared" si="119"/>
        <v/>
      </c>
      <c r="F125" s="141" t="str">
        <f t="shared" si="119"/>
        <v/>
      </c>
      <c r="G125" s="141" t="str">
        <f t="shared" si="119"/>
        <v/>
      </c>
      <c r="H125" s="141" t="str">
        <f t="shared" si="119"/>
        <v/>
      </c>
      <c r="I125" s="141" t="str">
        <f t="shared" si="119"/>
        <v/>
      </c>
      <c r="J125" s="141" t="str">
        <f t="shared" si="119"/>
        <v/>
      </c>
      <c r="K125" s="141" t="str">
        <f t="shared" si="119"/>
        <v/>
      </c>
      <c r="L125" s="141" t="str">
        <f t="shared" si="119"/>
        <v/>
      </c>
      <c r="M125" s="141" t="str">
        <f t="shared" si="119"/>
        <v/>
      </c>
      <c r="N125" s="141" t="str">
        <f t="shared" si="119"/>
        <v/>
      </c>
      <c r="O125" s="141" t="str">
        <f t="shared" si="119"/>
        <v/>
      </c>
      <c r="P125" s="141" t="str">
        <f t="shared" si="119"/>
        <v/>
      </c>
      <c r="Q125" s="141" t="str">
        <f t="shared" si="119"/>
        <v/>
      </c>
      <c r="R125" s="141" t="str">
        <f t="shared" si="119"/>
        <v/>
      </c>
      <c r="S125" s="141" t="str">
        <f t="shared" si="119"/>
        <v/>
      </c>
      <c r="T125" s="141" t="str">
        <f t="shared" si="119"/>
        <v/>
      </c>
      <c r="U125" s="141" t="str">
        <f t="shared" si="119"/>
        <v/>
      </c>
      <c r="V125" s="141" t="str">
        <f t="shared" si="119"/>
        <v/>
      </c>
      <c r="W125" s="141" t="str">
        <f t="shared" si="119"/>
        <v/>
      </c>
      <c r="X125" s="141" t="str">
        <f t="shared" si="119"/>
        <v/>
      </c>
      <c r="Y125" s="141" t="str">
        <f t="shared" si="119"/>
        <v/>
      </c>
      <c r="Z125" s="141" t="str">
        <f t="shared" si="119"/>
        <v/>
      </c>
      <c r="AA125" s="141" t="str">
        <f t="shared" si="119"/>
        <v/>
      </c>
      <c r="AB125" s="141" t="str">
        <f t="shared" si="119"/>
        <v/>
      </c>
      <c r="AC125" s="141" t="str">
        <f t="shared" si="119"/>
        <v/>
      </c>
      <c r="AD125" s="141" t="str">
        <f t="shared" si="119"/>
        <v/>
      </c>
      <c r="AE125" s="141" t="str">
        <f t="shared" si="119"/>
        <v/>
      </c>
      <c r="AF125" s="141" t="str">
        <f t="shared" si="119"/>
        <v/>
      </c>
      <c r="AG125" s="141" t="str">
        <f t="shared" si="119"/>
        <v/>
      </c>
      <c r="AH125" s="154" t="s">
        <v>12</v>
      </c>
      <c r="AI125" s="133"/>
      <c r="AJ125" s="170"/>
      <c r="AK125" s="133"/>
      <c r="AL125" s="133"/>
    </row>
    <row r="126" spans="1:57" ht="15.95" hidden="1" customHeight="1" x14ac:dyDescent="0.25">
      <c r="A126" s="153"/>
      <c r="B126" s="168" t="s">
        <v>34</v>
      </c>
      <c r="C126" s="169" t="str">
        <f t="shared" ref="C126:AD126" si="120">IF(C16=$R32,$BD32*24,IF(C16=$R33,$BD33*24,IF(C16=$R34,$BD34*24,IF(C16=$R35,$BD35*24,IF(C16=$R36,$BD36*24,IF(C16=$R37,$BD37*24,IF(C16=$R38,$BD38*24,IF(C16=$R39,$BD39*24,IF(C16=$R40,$BD40*24,"")))))))))</f>
        <v/>
      </c>
      <c r="D126" s="169" t="str">
        <f t="shared" si="120"/>
        <v/>
      </c>
      <c r="E126" s="169" t="str">
        <f t="shared" si="120"/>
        <v/>
      </c>
      <c r="F126" s="169" t="str">
        <f t="shared" si="120"/>
        <v/>
      </c>
      <c r="G126" s="169" t="str">
        <f t="shared" si="120"/>
        <v/>
      </c>
      <c r="H126" s="169" t="str">
        <f t="shared" si="120"/>
        <v/>
      </c>
      <c r="I126" s="169" t="str">
        <f t="shared" si="120"/>
        <v/>
      </c>
      <c r="J126" s="169" t="str">
        <f t="shared" si="120"/>
        <v/>
      </c>
      <c r="K126" s="169" t="str">
        <f t="shared" si="120"/>
        <v/>
      </c>
      <c r="L126" s="169" t="str">
        <f t="shared" si="120"/>
        <v/>
      </c>
      <c r="M126" s="169" t="str">
        <f t="shared" si="120"/>
        <v/>
      </c>
      <c r="N126" s="169" t="str">
        <f t="shared" si="120"/>
        <v/>
      </c>
      <c r="O126" s="169" t="str">
        <f t="shared" si="120"/>
        <v/>
      </c>
      <c r="P126" s="169" t="str">
        <f t="shared" si="120"/>
        <v/>
      </c>
      <c r="Q126" s="169" t="str">
        <f t="shared" si="120"/>
        <v/>
      </c>
      <c r="R126" s="169" t="str">
        <f t="shared" si="120"/>
        <v/>
      </c>
      <c r="S126" s="169" t="str">
        <f t="shared" si="120"/>
        <v/>
      </c>
      <c r="T126" s="169" t="str">
        <f t="shared" si="120"/>
        <v/>
      </c>
      <c r="U126" s="169" t="str">
        <f t="shared" si="120"/>
        <v/>
      </c>
      <c r="V126" s="169" t="str">
        <f t="shared" si="120"/>
        <v/>
      </c>
      <c r="W126" s="169" t="str">
        <f t="shared" si="120"/>
        <v/>
      </c>
      <c r="X126" s="169" t="str">
        <f t="shared" si="120"/>
        <v/>
      </c>
      <c r="Y126" s="169" t="str">
        <f t="shared" si="120"/>
        <v/>
      </c>
      <c r="Z126" s="169" t="str">
        <f t="shared" si="120"/>
        <v/>
      </c>
      <c r="AA126" s="169" t="str">
        <f t="shared" si="120"/>
        <v/>
      </c>
      <c r="AB126" s="169" t="str">
        <f t="shared" si="120"/>
        <v/>
      </c>
      <c r="AC126" s="169" t="str">
        <f t="shared" si="120"/>
        <v/>
      </c>
      <c r="AD126" s="169" t="str">
        <f t="shared" si="120"/>
        <v/>
      </c>
      <c r="AE126" s="169" t="str">
        <f>IF(AE16=$R32,$BD32*24,IF(AE16=$R33,$BD33*24,IF(AE16=$R34,$BD34*24,IF(AE16=$R35,$BD35*24,IF(AE16=$R36,$BD36*24,IF(AE16=$R37,$BD37*24,IF(AE16=$R38,$BD38*24,IF(AE16=$R39,$BD39*24,IF(AE16=$R40,$BD40*24,"")))))))))</f>
        <v/>
      </c>
      <c r="AF126" s="169" t="str">
        <f>IF(AF16=$R32,$BD32*24,IF(AF16=$R33,$BD33*24,IF(AF16=$R34,$BD34*24,IF(AF16=$R35,$BD35*24,IF(AF16=$R36,$BD36*24,IF(AF16=$R37,$BD37*24,IF(AF16=$R38,$BD38*24,IF(AF16=$R39,$BD39*24,IF(AF16=$R40,$BD40*24,"")))))))))</f>
        <v/>
      </c>
      <c r="AG126" s="169" t="str">
        <f>IF(AG16=$R32,$BD32*24,IF(AG16=$R33,$BD33*24,IF(AG16=$R34,$BD34*24,IF(AG16=$R35,$BD35*24,IF(AG16=$R36,$BD36*24,IF(AG16=$R37,$BD37*24,IF(AG16=$R38,$BD38*24,IF(AG16=$R39,$BD39*24,IF(AG16=$R40,$BD40*24,"")))))))))</f>
        <v/>
      </c>
      <c r="AH126" s="148">
        <f>SUM(C126:AG126)</f>
        <v>0</v>
      </c>
      <c r="AI126" s="133"/>
      <c r="AJ126" s="170"/>
      <c r="AK126" s="133"/>
      <c r="AL126" s="133"/>
    </row>
    <row r="127" spans="1:57" ht="15.95" hidden="1" customHeight="1" x14ac:dyDescent="0.25">
      <c r="A127" s="153"/>
      <c r="B127" s="167" t="s">
        <v>59</v>
      </c>
      <c r="C127" s="141">
        <f t="shared" ref="C127:AG127" si="121">IF(C16="V",$C36,IF(C16="PR",$C38,0))</f>
        <v>0</v>
      </c>
      <c r="D127" s="141">
        <f t="shared" si="121"/>
        <v>0</v>
      </c>
      <c r="E127" s="141">
        <f t="shared" si="121"/>
        <v>0</v>
      </c>
      <c r="F127" s="141">
        <f t="shared" si="121"/>
        <v>0</v>
      </c>
      <c r="G127" s="141">
        <f t="shared" si="121"/>
        <v>0</v>
      </c>
      <c r="H127" s="141">
        <f t="shared" si="121"/>
        <v>0</v>
      </c>
      <c r="I127" s="141">
        <f t="shared" si="121"/>
        <v>0</v>
      </c>
      <c r="J127" s="141">
        <f t="shared" si="121"/>
        <v>0</v>
      </c>
      <c r="K127" s="141">
        <f t="shared" si="121"/>
        <v>0</v>
      </c>
      <c r="L127" s="141">
        <f t="shared" si="121"/>
        <v>0</v>
      </c>
      <c r="M127" s="141">
        <f t="shared" si="121"/>
        <v>0</v>
      </c>
      <c r="N127" s="141">
        <f t="shared" si="121"/>
        <v>0</v>
      </c>
      <c r="O127" s="141">
        <f t="shared" si="121"/>
        <v>0</v>
      </c>
      <c r="P127" s="141">
        <f t="shared" si="121"/>
        <v>0</v>
      </c>
      <c r="Q127" s="141">
        <f t="shared" si="121"/>
        <v>0</v>
      </c>
      <c r="R127" s="141">
        <f t="shared" si="121"/>
        <v>0</v>
      </c>
      <c r="S127" s="141">
        <f t="shared" si="121"/>
        <v>0</v>
      </c>
      <c r="T127" s="141">
        <f t="shared" si="121"/>
        <v>0</v>
      </c>
      <c r="U127" s="141">
        <f t="shared" si="121"/>
        <v>0</v>
      </c>
      <c r="V127" s="141">
        <f t="shared" si="121"/>
        <v>0</v>
      </c>
      <c r="W127" s="141">
        <f t="shared" si="121"/>
        <v>0</v>
      </c>
      <c r="X127" s="141">
        <f t="shared" si="121"/>
        <v>0</v>
      </c>
      <c r="Y127" s="141">
        <f t="shared" si="121"/>
        <v>0</v>
      </c>
      <c r="Z127" s="141">
        <f t="shared" si="121"/>
        <v>0</v>
      </c>
      <c r="AA127" s="141">
        <f t="shared" si="121"/>
        <v>0</v>
      </c>
      <c r="AB127" s="141">
        <f t="shared" si="121"/>
        <v>0</v>
      </c>
      <c r="AC127" s="141">
        <f t="shared" si="121"/>
        <v>0</v>
      </c>
      <c r="AD127" s="141">
        <f t="shared" si="121"/>
        <v>0</v>
      </c>
      <c r="AE127" s="141">
        <f t="shared" si="121"/>
        <v>0</v>
      </c>
      <c r="AF127" s="141">
        <f t="shared" si="121"/>
        <v>0</v>
      </c>
      <c r="AG127" s="141">
        <f t="shared" si="121"/>
        <v>0</v>
      </c>
      <c r="AH127" s="226">
        <f>SUM(C127:AG127)</f>
        <v>0</v>
      </c>
      <c r="AI127" s="226"/>
      <c r="AJ127" s="230">
        <f>SUM(AH72+AH83+AH94+AH105+AH116+AH127)</f>
        <v>0</v>
      </c>
      <c r="AK127" s="230"/>
      <c r="AL127" s="133" t="s">
        <v>56</v>
      </c>
    </row>
    <row r="128" spans="1:57" ht="15.95" hidden="1" customHeight="1" x14ac:dyDescent="0.25">
      <c r="A128" s="150" t="s">
        <v>60</v>
      </c>
      <c r="B128" s="167" t="s">
        <v>61</v>
      </c>
      <c r="C128" s="151">
        <f t="shared" ref="C128:AD128" si="122">IF(C16=$R32,$BC32,IF(C16=$R33,$BC33,IF(C16=$R34,$BC34,IF(C16=$R35,$BC35,IF(C16=$R36,$BC36,IF(C16=$R37,$BC37,IF(C16=$R38,$BC38,IF(C16=$R39,$BC39,IF(C16=$R40,$BC40,0)))))))))</f>
        <v>0</v>
      </c>
      <c r="D128" s="151">
        <f t="shared" si="122"/>
        <v>0</v>
      </c>
      <c r="E128" s="151">
        <f t="shared" si="122"/>
        <v>0</v>
      </c>
      <c r="F128" s="151">
        <f t="shared" si="122"/>
        <v>0</v>
      </c>
      <c r="G128" s="151">
        <f t="shared" si="122"/>
        <v>0</v>
      </c>
      <c r="H128" s="151">
        <f t="shared" si="122"/>
        <v>0</v>
      </c>
      <c r="I128" s="151">
        <f t="shared" si="122"/>
        <v>0</v>
      </c>
      <c r="J128" s="151">
        <f t="shared" si="122"/>
        <v>0</v>
      </c>
      <c r="K128" s="151">
        <f t="shared" si="122"/>
        <v>0</v>
      </c>
      <c r="L128" s="151">
        <f t="shared" si="122"/>
        <v>0</v>
      </c>
      <c r="M128" s="151">
        <f t="shared" si="122"/>
        <v>0</v>
      </c>
      <c r="N128" s="151">
        <f t="shared" si="122"/>
        <v>0</v>
      </c>
      <c r="O128" s="151">
        <f t="shared" si="122"/>
        <v>0</v>
      </c>
      <c r="P128" s="151">
        <f t="shared" si="122"/>
        <v>0</v>
      </c>
      <c r="Q128" s="151">
        <f t="shared" si="122"/>
        <v>0</v>
      </c>
      <c r="R128" s="151">
        <f t="shared" si="122"/>
        <v>0</v>
      </c>
      <c r="S128" s="151">
        <f t="shared" si="122"/>
        <v>0</v>
      </c>
      <c r="T128" s="151">
        <f t="shared" si="122"/>
        <v>0</v>
      </c>
      <c r="U128" s="151">
        <f t="shared" si="122"/>
        <v>0</v>
      </c>
      <c r="V128" s="151">
        <f t="shared" si="122"/>
        <v>0</v>
      </c>
      <c r="W128" s="151">
        <f t="shared" si="122"/>
        <v>0</v>
      </c>
      <c r="X128" s="151">
        <f t="shared" si="122"/>
        <v>0</v>
      </c>
      <c r="Y128" s="151">
        <f t="shared" si="122"/>
        <v>0</v>
      </c>
      <c r="Z128" s="151">
        <f t="shared" si="122"/>
        <v>0</v>
      </c>
      <c r="AA128" s="151">
        <f t="shared" si="122"/>
        <v>0</v>
      </c>
      <c r="AB128" s="151">
        <f t="shared" si="122"/>
        <v>0</v>
      </c>
      <c r="AC128" s="151">
        <f t="shared" si="122"/>
        <v>0</v>
      </c>
      <c r="AD128" s="151">
        <f t="shared" si="122"/>
        <v>0</v>
      </c>
      <c r="AE128" s="151">
        <f>IF(AE16=$R32,$BC32,IF(AE16=$R33,$BC33,IF(AE16=$R34,$BC34,IF(AE16=$R35,$BC35,IF(AE16=$R36,$BC36,IF(AE16=$R37,$BC37,IF(AE16=$R38,$BC38,IF(AE16=$R39,$BC39,IF(AE16=$R40,$BC40,0)))))))))</f>
        <v>0</v>
      </c>
      <c r="AF128" s="151">
        <f>IF(AF16=$R32,$BC32,IF(AF16=$R33,$BC33,IF(AF16=$R34,$BC34,IF(AF16=$R35,$BC35,IF(AF16=$R36,$BC36,IF(AF16=$R37,$BC37,IF(AF16=$R38,$BC38,IF(AF16=$R39,$BC39,IF(AF16=$R40,$BC40,0)))))))))</f>
        <v>0</v>
      </c>
      <c r="AG128" s="151">
        <f>IF(AG16=$R32,$BC32,IF(AG16=$R33,$BC33,IF(AG16=$R34,$BC34,IF(AG16=$R35,$BC35,IF(AG16=$R36,$BC36,IF(AG16=$R37,$BC37,IF(AG16=$R38,$BC38,IF(AG16=$R39,$BC39,IF(AG16=$R40,$BC40,0)))))))))</f>
        <v>0</v>
      </c>
      <c r="AH128" s="226">
        <f>SUM(C128:AG128)</f>
        <v>0</v>
      </c>
      <c r="AI128" s="226"/>
      <c r="AJ128" s="174" t="s">
        <v>62</v>
      </c>
      <c r="AK128" s="133" t="s">
        <v>12</v>
      </c>
      <c r="AL128" s="133"/>
    </row>
    <row r="129" spans="1:38" ht="15.95" hidden="1" customHeight="1" x14ac:dyDescent="0.25">
      <c r="A129" s="153" t="s">
        <v>48</v>
      </c>
      <c r="B129" s="149" t="s">
        <v>63</v>
      </c>
      <c r="C129" s="141" t="b">
        <f t="shared" ref="C129:AG129" si="123">IF(C46=1,IF(C124&lt;C125,C128,0))</f>
        <v>0</v>
      </c>
      <c r="D129" s="141">
        <f t="shared" si="123"/>
        <v>0</v>
      </c>
      <c r="E129" s="141">
        <f t="shared" si="123"/>
        <v>0</v>
      </c>
      <c r="F129" s="141" t="b">
        <f t="shared" si="123"/>
        <v>0</v>
      </c>
      <c r="G129" s="141" t="b">
        <f t="shared" si="123"/>
        <v>0</v>
      </c>
      <c r="H129" s="141" t="b">
        <f t="shared" si="123"/>
        <v>0</v>
      </c>
      <c r="I129" s="141" t="b">
        <f t="shared" si="123"/>
        <v>0</v>
      </c>
      <c r="J129" s="141" t="b">
        <f t="shared" si="123"/>
        <v>0</v>
      </c>
      <c r="K129" s="141">
        <f t="shared" si="123"/>
        <v>0</v>
      </c>
      <c r="L129" s="141">
        <f t="shared" si="123"/>
        <v>0</v>
      </c>
      <c r="M129" s="141" t="b">
        <f t="shared" si="123"/>
        <v>0</v>
      </c>
      <c r="N129" s="141" t="b">
        <f t="shared" si="123"/>
        <v>0</v>
      </c>
      <c r="O129" s="141" t="b">
        <f t="shared" si="123"/>
        <v>0</v>
      </c>
      <c r="P129" s="141" t="b">
        <f t="shared" si="123"/>
        <v>0</v>
      </c>
      <c r="Q129" s="141" t="b">
        <f t="shared" si="123"/>
        <v>0</v>
      </c>
      <c r="R129" s="141">
        <f t="shared" si="123"/>
        <v>0</v>
      </c>
      <c r="S129" s="141">
        <f t="shared" si="123"/>
        <v>0</v>
      </c>
      <c r="T129" s="141" t="b">
        <f t="shared" si="123"/>
        <v>0</v>
      </c>
      <c r="U129" s="141" t="b">
        <f t="shared" si="123"/>
        <v>0</v>
      </c>
      <c r="V129" s="141" t="b">
        <f t="shared" si="123"/>
        <v>0</v>
      </c>
      <c r="W129" s="141" t="b">
        <f t="shared" si="123"/>
        <v>0</v>
      </c>
      <c r="X129" s="141" t="b">
        <f t="shared" si="123"/>
        <v>0</v>
      </c>
      <c r="Y129" s="141">
        <f t="shared" si="123"/>
        <v>0</v>
      </c>
      <c r="Z129" s="141">
        <f t="shared" si="123"/>
        <v>0</v>
      </c>
      <c r="AA129" s="141" t="b">
        <f t="shared" si="123"/>
        <v>0</v>
      </c>
      <c r="AB129" s="141" t="b">
        <f t="shared" si="123"/>
        <v>0</v>
      </c>
      <c r="AC129" s="141" t="b">
        <f t="shared" si="123"/>
        <v>0</v>
      </c>
      <c r="AD129" s="141" t="b">
        <f t="shared" si="123"/>
        <v>0</v>
      </c>
      <c r="AE129" s="141" t="b">
        <f t="shared" si="123"/>
        <v>0</v>
      </c>
      <c r="AF129" s="141">
        <f t="shared" si="123"/>
        <v>0</v>
      </c>
      <c r="AG129" s="141">
        <f t="shared" si="123"/>
        <v>0</v>
      </c>
      <c r="AH129" s="154" t="s">
        <v>12</v>
      </c>
      <c r="AI129" s="133"/>
      <c r="AJ129" s="170"/>
      <c r="AK129" s="133"/>
      <c r="AL129" s="133"/>
    </row>
    <row r="130" spans="1:38" ht="15.95" hidden="1" customHeight="1" x14ac:dyDescent="0.25">
      <c r="A130" s="176"/>
      <c r="B130" s="149" t="s">
        <v>64</v>
      </c>
      <c r="C130" s="141">
        <f t="shared" ref="C130:AG130" si="124">IF(C46=1,IF(C124&gt;C125,24-C124,0),0)</f>
        <v>0</v>
      </c>
      <c r="D130" s="141">
        <f t="shared" si="124"/>
        <v>0</v>
      </c>
      <c r="E130" s="141">
        <f t="shared" si="124"/>
        <v>0</v>
      </c>
      <c r="F130" s="141">
        <f t="shared" si="124"/>
        <v>0</v>
      </c>
      <c r="G130" s="141">
        <f t="shared" si="124"/>
        <v>0</v>
      </c>
      <c r="H130" s="141">
        <f t="shared" si="124"/>
        <v>0</v>
      </c>
      <c r="I130" s="141">
        <f t="shared" si="124"/>
        <v>0</v>
      </c>
      <c r="J130" s="141">
        <f t="shared" si="124"/>
        <v>0</v>
      </c>
      <c r="K130" s="141">
        <f t="shared" si="124"/>
        <v>0</v>
      </c>
      <c r="L130" s="141">
        <f t="shared" si="124"/>
        <v>0</v>
      </c>
      <c r="M130" s="141">
        <f t="shared" si="124"/>
        <v>0</v>
      </c>
      <c r="N130" s="141">
        <f t="shared" si="124"/>
        <v>0</v>
      </c>
      <c r="O130" s="141">
        <f t="shared" si="124"/>
        <v>0</v>
      </c>
      <c r="P130" s="141">
        <f t="shared" si="124"/>
        <v>0</v>
      </c>
      <c r="Q130" s="141">
        <f t="shared" si="124"/>
        <v>0</v>
      </c>
      <c r="R130" s="141">
        <f t="shared" si="124"/>
        <v>0</v>
      </c>
      <c r="S130" s="141">
        <f t="shared" si="124"/>
        <v>0</v>
      </c>
      <c r="T130" s="141">
        <f t="shared" si="124"/>
        <v>0</v>
      </c>
      <c r="U130" s="141">
        <f t="shared" si="124"/>
        <v>0</v>
      </c>
      <c r="V130" s="141">
        <f t="shared" si="124"/>
        <v>0</v>
      </c>
      <c r="W130" s="141">
        <f t="shared" si="124"/>
        <v>0</v>
      </c>
      <c r="X130" s="141">
        <f t="shared" si="124"/>
        <v>0</v>
      </c>
      <c r="Y130" s="141">
        <f t="shared" si="124"/>
        <v>0</v>
      </c>
      <c r="Z130" s="141">
        <f t="shared" si="124"/>
        <v>0</v>
      </c>
      <c r="AA130" s="141">
        <f t="shared" si="124"/>
        <v>0</v>
      </c>
      <c r="AB130" s="141">
        <f t="shared" si="124"/>
        <v>0</v>
      </c>
      <c r="AC130" s="141">
        <f t="shared" si="124"/>
        <v>0</v>
      </c>
      <c r="AD130" s="141">
        <f t="shared" si="124"/>
        <v>0</v>
      </c>
      <c r="AE130" s="141">
        <f t="shared" si="124"/>
        <v>0</v>
      </c>
      <c r="AF130" s="141">
        <f t="shared" si="124"/>
        <v>0</v>
      </c>
      <c r="AG130" s="141">
        <f t="shared" si="124"/>
        <v>0</v>
      </c>
      <c r="AH130" s="154" t="s">
        <v>12</v>
      </c>
      <c r="AI130" s="133"/>
      <c r="AJ130" s="170"/>
      <c r="AK130" s="133"/>
      <c r="AL130" s="133"/>
    </row>
    <row r="131" spans="1:38" ht="15.95" hidden="1" customHeight="1" x14ac:dyDescent="0.25">
      <c r="A131" s="176"/>
      <c r="B131" s="149" t="s">
        <v>65</v>
      </c>
      <c r="C131" s="141">
        <f t="shared" ref="C131:AG131" si="125">IF(D46=1,IF(C124&gt;C125,C125,0),0)</f>
        <v>0</v>
      </c>
      <c r="D131" s="141">
        <f t="shared" si="125"/>
        <v>0</v>
      </c>
      <c r="E131" s="141">
        <f t="shared" si="125"/>
        <v>0</v>
      </c>
      <c r="F131" s="141">
        <f t="shared" si="125"/>
        <v>0</v>
      </c>
      <c r="G131" s="141">
        <f t="shared" si="125"/>
        <v>0</v>
      </c>
      <c r="H131" s="141">
        <f t="shared" si="125"/>
        <v>0</v>
      </c>
      <c r="I131" s="141">
        <f t="shared" si="125"/>
        <v>0</v>
      </c>
      <c r="J131" s="141">
        <f t="shared" si="125"/>
        <v>0</v>
      </c>
      <c r="K131" s="141">
        <f t="shared" si="125"/>
        <v>0</v>
      </c>
      <c r="L131" s="141">
        <f t="shared" si="125"/>
        <v>0</v>
      </c>
      <c r="M131" s="141">
        <f t="shared" si="125"/>
        <v>0</v>
      </c>
      <c r="N131" s="141">
        <f t="shared" si="125"/>
        <v>0</v>
      </c>
      <c r="O131" s="141">
        <f t="shared" si="125"/>
        <v>0</v>
      </c>
      <c r="P131" s="141">
        <f t="shared" si="125"/>
        <v>0</v>
      </c>
      <c r="Q131" s="141">
        <f t="shared" si="125"/>
        <v>0</v>
      </c>
      <c r="R131" s="141">
        <f t="shared" si="125"/>
        <v>0</v>
      </c>
      <c r="S131" s="141">
        <f t="shared" si="125"/>
        <v>0</v>
      </c>
      <c r="T131" s="141">
        <f t="shared" si="125"/>
        <v>0</v>
      </c>
      <c r="U131" s="141">
        <f t="shared" si="125"/>
        <v>0</v>
      </c>
      <c r="V131" s="141">
        <f t="shared" si="125"/>
        <v>0</v>
      </c>
      <c r="W131" s="141">
        <f t="shared" si="125"/>
        <v>0</v>
      </c>
      <c r="X131" s="141">
        <f>IF(Y46=1,IF(X124&gt;X125,X125,0),0)</f>
        <v>0</v>
      </c>
      <c r="Y131" s="141">
        <f t="shared" si="125"/>
        <v>0</v>
      </c>
      <c r="Z131" s="141">
        <f t="shared" si="125"/>
        <v>0</v>
      </c>
      <c r="AA131" s="141">
        <f t="shared" si="125"/>
        <v>0</v>
      </c>
      <c r="AB131" s="141">
        <f t="shared" si="125"/>
        <v>0</v>
      </c>
      <c r="AC131" s="141">
        <f t="shared" si="125"/>
        <v>0</v>
      </c>
      <c r="AD131" s="141">
        <f t="shared" si="125"/>
        <v>0</v>
      </c>
      <c r="AE131" s="141">
        <f t="shared" si="125"/>
        <v>0</v>
      </c>
      <c r="AF131" s="141">
        <f t="shared" si="125"/>
        <v>0</v>
      </c>
      <c r="AG131" s="141">
        <f t="shared" si="125"/>
        <v>0</v>
      </c>
      <c r="AH131" s="154" t="s">
        <v>12</v>
      </c>
      <c r="AI131" s="133"/>
      <c r="AJ131" s="170"/>
      <c r="AK131" s="133"/>
      <c r="AL131" s="133"/>
    </row>
    <row r="132" spans="1:38" ht="15.95" hidden="1" customHeight="1" x14ac:dyDescent="0.25">
      <c r="A132" s="176"/>
      <c r="B132" s="149" t="s">
        <v>67</v>
      </c>
      <c r="C132" s="171">
        <f t="shared" ref="C132:AG132" si="126">SUM(C129:C131)</f>
        <v>0</v>
      </c>
      <c r="D132" s="171">
        <f t="shared" si="126"/>
        <v>0</v>
      </c>
      <c r="E132" s="171">
        <f t="shared" si="126"/>
        <v>0</v>
      </c>
      <c r="F132" s="171">
        <f t="shared" si="126"/>
        <v>0</v>
      </c>
      <c r="G132" s="171">
        <f t="shared" si="126"/>
        <v>0</v>
      </c>
      <c r="H132" s="171">
        <f t="shared" si="126"/>
        <v>0</v>
      </c>
      <c r="I132" s="171">
        <f t="shared" si="126"/>
        <v>0</v>
      </c>
      <c r="J132" s="171">
        <f t="shared" si="126"/>
        <v>0</v>
      </c>
      <c r="K132" s="171">
        <f t="shared" si="126"/>
        <v>0</v>
      </c>
      <c r="L132" s="171">
        <f t="shared" si="126"/>
        <v>0</v>
      </c>
      <c r="M132" s="171">
        <f t="shared" si="126"/>
        <v>0</v>
      </c>
      <c r="N132" s="171">
        <f t="shared" si="126"/>
        <v>0</v>
      </c>
      <c r="O132" s="171">
        <f t="shared" si="126"/>
        <v>0</v>
      </c>
      <c r="P132" s="171">
        <f t="shared" si="126"/>
        <v>0</v>
      </c>
      <c r="Q132" s="171">
        <f t="shared" si="126"/>
        <v>0</v>
      </c>
      <c r="R132" s="171">
        <f t="shared" si="126"/>
        <v>0</v>
      </c>
      <c r="S132" s="171">
        <f t="shared" si="126"/>
        <v>0</v>
      </c>
      <c r="T132" s="171">
        <f t="shared" si="126"/>
        <v>0</v>
      </c>
      <c r="U132" s="171">
        <f t="shared" si="126"/>
        <v>0</v>
      </c>
      <c r="V132" s="171">
        <f t="shared" si="126"/>
        <v>0</v>
      </c>
      <c r="W132" s="171">
        <f t="shared" si="126"/>
        <v>0</v>
      </c>
      <c r="X132" s="171">
        <f t="shared" si="126"/>
        <v>0</v>
      </c>
      <c r="Y132" s="171">
        <f t="shared" si="126"/>
        <v>0</v>
      </c>
      <c r="Z132" s="171">
        <f t="shared" si="126"/>
        <v>0</v>
      </c>
      <c r="AA132" s="171">
        <f t="shared" si="126"/>
        <v>0</v>
      </c>
      <c r="AB132" s="171">
        <f t="shared" si="126"/>
        <v>0</v>
      </c>
      <c r="AC132" s="171">
        <f t="shared" si="126"/>
        <v>0</v>
      </c>
      <c r="AD132" s="171">
        <f t="shared" si="126"/>
        <v>0</v>
      </c>
      <c r="AE132" s="171">
        <f t="shared" si="126"/>
        <v>0</v>
      </c>
      <c r="AF132" s="171">
        <f t="shared" si="126"/>
        <v>0</v>
      </c>
      <c r="AG132" s="171">
        <f t="shared" si="126"/>
        <v>0</v>
      </c>
      <c r="AH132" s="154" t="s">
        <v>12</v>
      </c>
      <c r="AI132" s="133"/>
      <c r="AJ132" s="170"/>
      <c r="AK132" s="133"/>
      <c r="AL132" s="133"/>
    </row>
    <row r="133" spans="1:38" ht="15.95" hidden="1" customHeight="1" x14ac:dyDescent="0.25">
      <c r="A133" s="177"/>
      <c r="B133" s="160" t="s">
        <v>68</v>
      </c>
      <c r="C133" s="161">
        <f t="shared" ref="C133:AG133" si="127">IF(C16="V",IF(C16="",0,1),0)</f>
        <v>0</v>
      </c>
      <c r="D133" s="161">
        <f t="shared" si="127"/>
        <v>0</v>
      </c>
      <c r="E133" s="161">
        <f t="shared" si="127"/>
        <v>0</v>
      </c>
      <c r="F133" s="161">
        <f t="shared" si="127"/>
        <v>0</v>
      </c>
      <c r="G133" s="161">
        <f t="shared" si="127"/>
        <v>0</v>
      </c>
      <c r="H133" s="161">
        <f t="shared" si="127"/>
        <v>0</v>
      </c>
      <c r="I133" s="161">
        <f t="shared" si="127"/>
        <v>0</v>
      </c>
      <c r="J133" s="161">
        <f t="shared" si="127"/>
        <v>0</v>
      </c>
      <c r="K133" s="161">
        <f t="shared" si="127"/>
        <v>0</v>
      </c>
      <c r="L133" s="161">
        <f t="shared" si="127"/>
        <v>0</v>
      </c>
      <c r="M133" s="161">
        <f t="shared" si="127"/>
        <v>0</v>
      </c>
      <c r="N133" s="161">
        <f t="shared" si="127"/>
        <v>0</v>
      </c>
      <c r="O133" s="161">
        <f t="shared" si="127"/>
        <v>0</v>
      </c>
      <c r="P133" s="161">
        <f t="shared" si="127"/>
        <v>0</v>
      </c>
      <c r="Q133" s="161">
        <f t="shared" si="127"/>
        <v>0</v>
      </c>
      <c r="R133" s="161">
        <f t="shared" si="127"/>
        <v>0</v>
      </c>
      <c r="S133" s="161">
        <f t="shared" si="127"/>
        <v>0</v>
      </c>
      <c r="T133" s="161">
        <f t="shared" si="127"/>
        <v>0</v>
      </c>
      <c r="U133" s="161">
        <f t="shared" si="127"/>
        <v>0</v>
      </c>
      <c r="V133" s="161">
        <f t="shared" si="127"/>
        <v>0</v>
      </c>
      <c r="W133" s="161">
        <f t="shared" si="127"/>
        <v>0</v>
      </c>
      <c r="X133" s="161">
        <f t="shared" si="127"/>
        <v>0</v>
      </c>
      <c r="Y133" s="161">
        <f t="shared" si="127"/>
        <v>0</v>
      </c>
      <c r="Z133" s="161">
        <f t="shared" si="127"/>
        <v>0</v>
      </c>
      <c r="AA133" s="161">
        <f t="shared" si="127"/>
        <v>0</v>
      </c>
      <c r="AB133" s="161">
        <f t="shared" si="127"/>
        <v>0</v>
      </c>
      <c r="AC133" s="161">
        <f t="shared" si="127"/>
        <v>0</v>
      </c>
      <c r="AD133" s="161">
        <f t="shared" si="127"/>
        <v>0</v>
      </c>
      <c r="AE133" s="161">
        <f t="shared" si="127"/>
        <v>0</v>
      </c>
      <c r="AF133" s="161">
        <f t="shared" si="127"/>
        <v>0</v>
      </c>
      <c r="AG133" s="161">
        <f t="shared" si="127"/>
        <v>0</v>
      </c>
      <c r="AH133" s="154" t="s">
        <v>12</v>
      </c>
      <c r="AI133" s="133"/>
      <c r="AJ133" s="170"/>
      <c r="AK133" s="133"/>
      <c r="AL133" s="133"/>
    </row>
    <row r="134" spans="1:38" ht="15.95" hidden="1" customHeight="1" x14ac:dyDescent="0.25">
      <c r="A134" s="180"/>
      <c r="B134" s="181" t="s">
        <v>16</v>
      </c>
      <c r="C134" s="182">
        <f t="shared" ref="C134:AG134" si="128">IF(C16="PR",IF(C16="",0,1),0)</f>
        <v>0</v>
      </c>
      <c r="D134" s="182">
        <f t="shared" si="128"/>
        <v>0</v>
      </c>
      <c r="E134" s="182">
        <f t="shared" si="128"/>
        <v>0</v>
      </c>
      <c r="F134" s="182">
        <f t="shared" si="128"/>
        <v>0</v>
      </c>
      <c r="G134" s="182">
        <f t="shared" si="128"/>
        <v>0</v>
      </c>
      <c r="H134" s="182">
        <f t="shared" si="128"/>
        <v>0</v>
      </c>
      <c r="I134" s="182">
        <f t="shared" si="128"/>
        <v>0</v>
      </c>
      <c r="J134" s="182">
        <f t="shared" si="128"/>
        <v>0</v>
      </c>
      <c r="K134" s="182">
        <f t="shared" si="128"/>
        <v>0</v>
      </c>
      <c r="L134" s="182">
        <f t="shared" si="128"/>
        <v>0</v>
      </c>
      <c r="M134" s="182">
        <f t="shared" si="128"/>
        <v>0</v>
      </c>
      <c r="N134" s="182">
        <f t="shared" si="128"/>
        <v>0</v>
      </c>
      <c r="O134" s="182">
        <f t="shared" si="128"/>
        <v>0</v>
      </c>
      <c r="P134" s="182">
        <f t="shared" si="128"/>
        <v>0</v>
      </c>
      <c r="Q134" s="182">
        <f t="shared" si="128"/>
        <v>0</v>
      </c>
      <c r="R134" s="182">
        <f t="shared" si="128"/>
        <v>0</v>
      </c>
      <c r="S134" s="182">
        <f t="shared" si="128"/>
        <v>0</v>
      </c>
      <c r="T134" s="182">
        <f t="shared" si="128"/>
        <v>0</v>
      </c>
      <c r="U134" s="182">
        <f t="shared" si="128"/>
        <v>0</v>
      </c>
      <c r="V134" s="182">
        <f t="shared" si="128"/>
        <v>0</v>
      </c>
      <c r="W134" s="182">
        <f t="shared" si="128"/>
        <v>0</v>
      </c>
      <c r="X134" s="182">
        <f t="shared" si="128"/>
        <v>0</v>
      </c>
      <c r="Y134" s="182">
        <f t="shared" si="128"/>
        <v>0</v>
      </c>
      <c r="Z134" s="182">
        <f t="shared" si="128"/>
        <v>0</v>
      </c>
      <c r="AA134" s="182">
        <f t="shared" si="128"/>
        <v>0</v>
      </c>
      <c r="AB134" s="182">
        <f t="shared" si="128"/>
        <v>0</v>
      </c>
      <c r="AC134" s="182">
        <f t="shared" si="128"/>
        <v>0</v>
      </c>
      <c r="AD134" s="182">
        <f t="shared" si="128"/>
        <v>0</v>
      </c>
      <c r="AE134" s="182">
        <f t="shared" si="128"/>
        <v>0</v>
      </c>
      <c r="AF134" s="182">
        <f t="shared" si="128"/>
        <v>0</v>
      </c>
      <c r="AG134" s="182">
        <f t="shared" si="128"/>
        <v>0</v>
      </c>
      <c r="AH134" s="227">
        <f>SUM(C134:AG134)</f>
        <v>0</v>
      </c>
      <c r="AI134" s="227"/>
      <c r="AJ134" s="174" t="s">
        <v>69</v>
      </c>
      <c r="AK134" s="133"/>
      <c r="AL134" s="133"/>
    </row>
    <row r="135" spans="1:38" ht="15.95" hidden="1" customHeight="1" x14ac:dyDescent="0.25">
      <c r="A135" s="164" t="s">
        <v>85</v>
      </c>
      <c r="B135" s="165" t="s">
        <v>29</v>
      </c>
      <c r="C135" s="141" t="str">
        <f t="shared" ref="C135:AG135" si="129">IF(C17=$R32,$S32*24,IF(C17=$R33,$S33*24,IF(C17=$R34,$S34*24,IF(C17=$R35,$S35*24,IF(C17=$R36,$S36*24,IF(C17=$R37,$S37*24,IF(C17=$R38,$S38*24,IF(C17=$R39,$S39*24,IF(C17=$R40,$S40*24,"")))))))))</f>
        <v/>
      </c>
      <c r="D135" s="141" t="str">
        <f t="shared" si="129"/>
        <v/>
      </c>
      <c r="E135" s="141" t="str">
        <f t="shared" si="129"/>
        <v/>
      </c>
      <c r="F135" s="141" t="str">
        <f t="shared" si="129"/>
        <v/>
      </c>
      <c r="G135" s="141" t="str">
        <f t="shared" si="129"/>
        <v/>
      </c>
      <c r="H135" s="141" t="str">
        <f t="shared" si="129"/>
        <v/>
      </c>
      <c r="I135" s="141" t="str">
        <f t="shared" si="129"/>
        <v/>
      </c>
      <c r="J135" s="141" t="str">
        <f t="shared" si="129"/>
        <v/>
      </c>
      <c r="K135" s="141" t="str">
        <f t="shared" si="129"/>
        <v/>
      </c>
      <c r="L135" s="141" t="str">
        <f t="shared" si="129"/>
        <v/>
      </c>
      <c r="M135" s="141" t="str">
        <f t="shared" si="129"/>
        <v/>
      </c>
      <c r="N135" s="141" t="str">
        <f t="shared" si="129"/>
        <v/>
      </c>
      <c r="O135" s="141" t="str">
        <f t="shared" si="129"/>
        <v/>
      </c>
      <c r="P135" s="141" t="str">
        <f t="shared" si="129"/>
        <v/>
      </c>
      <c r="Q135" s="141" t="str">
        <f t="shared" si="129"/>
        <v/>
      </c>
      <c r="R135" s="141" t="str">
        <f t="shared" si="129"/>
        <v/>
      </c>
      <c r="S135" s="141" t="str">
        <f t="shared" si="129"/>
        <v/>
      </c>
      <c r="T135" s="141" t="str">
        <f t="shared" si="129"/>
        <v/>
      </c>
      <c r="U135" s="141" t="str">
        <f t="shared" si="129"/>
        <v/>
      </c>
      <c r="V135" s="141" t="str">
        <f t="shared" si="129"/>
        <v/>
      </c>
      <c r="W135" s="141" t="str">
        <f t="shared" si="129"/>
        <v/>
      </c>
      <c r="X135" s="141" t="str">
        <f t="shared" si="129"/>
        <v/>
      </c>
      <c r="Y135" s="141" t="str">
        <f t="shared" si="129"/>
        <v/>
      </c>
      <c r="Z135" s="141" t="str">
        <f t="shared" si="129"/>
        <v/>
      </c>
      <c r="AA135" s="141" t="str">
        <f t="shared" si="129"/>
        <v/>
      </c>
      <c r="AB135" s="141" t="str">
        <f t="shared" si="129"/>
        <v/>
      </c>
      <c r="AC135" s="141" t="str">
        <f t="shared" si="129"/>
        <v/>
      </c>
      <c r="AD135" s="141" t="str">
        <f t="shared" si="129"/>
        <v/>
      </c>
      <c r="AE135" s="141" t="str">
        <f t="shared" si="129"/>
        <v/>
      </c>
      <c r="AF135" s="141" t="str">
        <f t="shared" si="129"/>
        <v/>
      </c>
      <c r="AG135" s="141" t="str">
        <f t="shared" si="129"/>
        <v/>
      </c>
      <c r="AH135" s="154" t="s">
        <v>12</v>
      </c>
      <c r="AI135" s="133"/>
      <c r="AJ135" s="170"/>
      <c r="AK135" s="133"/>
      <c r="AL135" s="133"/>
    </row>
    <row r="136" spans="1:38" ht="15.95" hidden="1" customHeight="1" x14ac:dyDescent="0.25">
      <c r="A136" s="166" t="s">
        <v>86</v>
      </c>
      <c r="B136" s="167" t="s">
        <v>30</v>
      </c>
      <c r="C136" s="141" t="str">
        <f t="shared" ref="C136:AG136" si="130">IF(C17=$R32,$V32*24,IF(C17=$R33,$V33*24,IF(C17=$R34,$V34*24,IF(C17=$R35,$V35*24,IF(C17=$R36,$V36*24,IF(C17=$R37,$V37*24,IF(C17=$R38,$V38*24,IF(C17=$R39,$V39*24,IF(C17=$R40,$V40*24,"")))))))))</f>
        <v/>
      </c>
      <c r="D136" s="141" t="str">
        <f t="shared" si="130"/>
        <v/>
      </c>
      <c r="E136" s="141" t="str">
        <f t="shared" si="130"/>
        <v/>
      </c>
      <c r="F136" s="141" t="str">
        <f t="shared" si="130"/>
        <v/>
      </c>
      <c r="G136" s="141" t="str">
        <f t="shared" si="130"/>
        <v/>
      </c>
      <c r="H136" s="141" t="str">
        <f t="shared" si="130"/>
        <v/>
      </c>
      <c r="I136" s="141" t="str">
        <f t="shared" si="130"/>
        <v/>
      </c>
      <c r="J136" s="141" t="str">
        <f t="shared" si="130"/>
        <v/>
      </c>
      <c r="K136" s="141" t="str">
        <f t="shared" si="130"/>
        <v/>
      </c>
      <c r="L136" s="141" t="str">
        <f t="shared" si="130"/>
        <v/>
      </c>
      <c r="M136" s="141" t="str">
        <f t="shared" si="130"/>
        <v/>
      </c>
      <c r="N136" s="141" t="str">
        <f t="shared" si="130"/>
        <v/>
      </c>
      <c r="O136" s="141" t="str">
        <f t="shared" si="130"/>
        <v/>
      </c>
      <c r="P136" s="141" t="str">
        <f t="shared" si="130"/>
        <v/>
      </c>
      <c r="Q136" s="141" t="str">
        <f t="shared" si="130"/>
        <v/>
      </c>
      <c r="R136" s="141" t="str">
        <f t="shared" si="130"/>
        <v/>
      </c>
      <c r="S136" s="141" t="str">
        <f t="shared" si="130"/>
        <v/>
      </c>
      <c r="T136" s="141" t="str">
        <f t="shared" si="130"/>
        <v/>
      </c>
      <c r="U136" s="141" t="str">
        <f t="shared" si="130"/>
        <v/>
      </c>
      <c r="V136" s="141" t="str">
        <f t="shared" si="130"/>
        <v/>
      </c>
      <c r="W136" s="141" t="str">
        <f t="shared" si="130"/>
        <v/>
      </c>
      <c r="X136" s="141" t="str">
        <f t="shared" si="130"/>
        <v/>
      </c>
      <c r="Y136" s="141" t="str">
        <f t="shared" si="130"/>
        <v/>
      </c>
      <c r="Z136" s="141" t="str">
        <f t="shared" si="130"/>
        <v/>
      </c>
      <c r="AA136" s="141" t="str">
        <f t="shared" si="130"/>
        <v/>
      </c>
      <c r="AB136" s="141" t="str">
        <f t="shared" si="130"/>
        <v/>
      </c>
      <c r="AC136" s="141" t="str">
        <f t="shared" si="130"/>
        <v/>
      </c>
      <c r="AD136" s="141" t="str">
        <f t="shared" si="130"/>
        <v/>
      </c>
      <c r="AE136" s="141" t="str">
        <f t="shared" si="130"/>
        <v/>
      </c>
      <c r="AF136" s="141" t="str">
        <f t="shared" si="130"/>
        <v/>
      </c>
      <c r="AG136" s="141" t="str">
        <f t="shared" si="130"/>
        <v/>
      </c>
      <c r="AH136" s="154" t="s">
        <v>12</v>
      </c>
      <c r="AI136" s="133"/>
      <c r="AJ136" s="170"/>
      <c r="AK136" s="133"/>
      <c r="AL136" s="133"/>
    </row>
    <row r="137" spans="1:38" ht="15.95" hidden="1" customHeight="1" x14ac:dyDescent="0.25">
      <c r="A137" s="153"/>
      <c r="B137" s="168" t="s">
        <v>34</v>
      </c>
      <c r="C137" s="169" t="str">
        <f t="shared" ref="C137:AD137" si="131">IF(C17=$R32,$BD32*24,IF(C17=$R33,$BD33*24,IF(C17=$R34,$BD34*24,IF(C17=$R35,$BD35*24,IF(C17=$R36,$BD36*24,IF(C17=$R37,$BD37*24,IF(C17=$R38,$BD38*24,IF(C17=$R39,$BD39*24,IF(C17=$R40,$BD40*24,"")))))))))</f>
        <v/>
      </c>
      <c r="D137" s="169" t="str">
        <f t="shared" si="131"/>
        <v/>
      </c>
      <c r="E137" s="169" t="str">
        <f t="shared" si="131"/>
        <v/>
      </c>
      <c r="F137" s="169" t="str">
        <f t="shared" si="131"/>
        <v/>
      </c>
      <c r="G137" s="169" t="str">
        <f t="shared" si="131"/>
        <v/>
      </c>
      <c r="H137" s="169" t="str">
        <f t="shared" si="131"/>
        <v/>
      </c>
      <c r="I137" s="169" t="str">
        <f t="shared" si="131"/>
        <v/>
      </c>
      <c r="J137" s="169" t="str">
        <f t="shared" si="131"/>
        <v/>
      </c>
      <c r="K137" s="169" t="str">
        <f t="shared" si="131"/>
        <v/>
      </c>
      <c r="L137" s="169" t="str">
        <f t="shared" si="131"/>
        <v/>
      </c>
      <c r="M137" s="169" t="str">
        <f t="shared" si="131"/>
        <v/>
      </c>
      <c r="N137" s="169" t="str">
        <f t="shared" si="131"/>
        <v/>
      </c>
      <c r="O137" s="169" t="str">
        <f t="shared" si="131"/>
        <v/>
      </c>
      <c r="P137" s="169" t="str">
        <f t="shared" si="131"/>
        <v/>
      </c>
      <c r="Q137" s="169" t="str">
        <f t="shared" si="131"/>
        <v/>
      </c>
      <c r="R137" s="169" t="str">
        <f t="shared" si="131"/>
        <v/>
      </c>
      <c r="S137" s="169" t="str">
        <f t="shared" si="131"/>
        <v/>
      </c>
      <c r="T137" s="169" t="str">
        <f t="shared" si="131"/>
        <v/>
      </c>
      <c r="U137" s="169" t="str">
        <f t="shared" si="131"/>
        <v/>
      </c>
      <c r="V137" s="169" t="str">
        <f t="shared" si="131"/>
        <v/>
      </c>
      <c r="W137" s="169" t="str">
        <f t="shared" si="131"/>
        <v/>
      </c>
      <c r="X137" s="169" t="str">
        <f t="shared" si="131"/>
        <v/>
      </c>
      <c r="Y137" s="169" t="str">
        <f t="shared" si="131"/>
        <v/>
      </c>
      <c r="Z137" s="169" t="str">
        <f t="shared" si="131"/>
        <v/>
      </c>
      <c r="AA137" s="169" t="str">
        <f t="shared" si="131"/>
        <v/>
      </c>
      <c r="AB137" s="169" t="str">
        <f t="shared" si="131"/>
        <v/>
      </c>
      <c r="AC137" s="169" t="str">
        <f t="shared" si="131"/>
        <v/>
      </c>
      <c r="AD137" s="169" t="str">
        <f t="shared" si="131"/>
        <v/>
      </c>
      <c r="AE137" s="169" t="str">
        <f>IF(AE17=$R32,$BD32*24,IF(AE17=$R33,$BD33*24,IF(AE17=$R34,$BD34*24,IF(AE17=$R35,$BD35*24,IF(AE17=$R36,$BD36*24,IF(AE17=$R37,$BD37*24,IF(AE17=$R38,$BD38*24,IF(AE17=$R39,$BD39*24,IF(AE17=$R40,$BD40*24,"")))))))))</f>
        <v/>
      </c>
      <c r="AF137" s="169" t="str">
        <f>IF(AF17=$R32,$BD32*24,IF(AF17=$R33,$BD33*24,IF(AF17=$R34,$BD34*24,IF(AF17=$R35,$BD35*24,IF(AF17=$R36,$BD36*24,IF(AF17=$R37,$BD37*24,IF(AF17=$R38,$BD38*24,IF(AF17=$R39,$BD39*24,IF(AF17=$R40,$BD40*24,"")))))))))</f>
        <v/>
      </c>
      <c r="AG137" s="169" t="str">
        <f>IF(AG17=$R32,$BD32*24,IF(AG17=$R33,$BD33*24,IF(AG17=$R34,$BD34*24,IF(AG17=$R35,$BD35*24,IF(AG17=$R36,$BD36*24,IF(AG17=$R37,$BD37*24,IF(AG17=$R38,$BD38*24,IF(AG17=$R39,$BD39*24,IF(AG17=$R40,$BD40*24,"")))))))))</f>
        <v/>
      </c>
      <c r="AH137" s="148">
        <f>SUM(C137:AG137)</f>
        <v>0</v>
      </c>
      <c r="AI137" s="133"/>
      <c r="AJ137" s="170"/>
      <c r="AK137" s="133"/>
      <c r="AL137" s="133"/>
    </row>
    <row r="138" spans="1:38" ht="15.95" hidden="1" customHeight="1" x14ac:dyDescent="0.25">
      <c r="A138" s="153"/>
      <c r="B138" s="167" t="s">
        <v>59</v>
      </c>
      <c r="C138" s="141">
        <f t="shared" ref="C138:AG138" si="132">IF(C17="V",$C36,IF(C17="PR",$C38,0))</f>
        <v>0</v>
      </c>
      <c r="D138" s="141">
        <f t="shared" si="132"/>
        <v>0</v>
      </c>
      <c r="E138" s="141">
        <f t="shared" si="132"/>
        <v>0</v>
      </c>
      <c r="F138" s="141">
        <f t="shared" si="132"/>
        <v>0</v>
      </c>
      <c r="G138" s="141">
        <f t="shared" si="132"/>
        <v>0</v>
      </c>
      <c r="H138" s="141">
        <f t="shared" si="132"/>
        <v>0</v>
      </c>
      <c r="I138" s="141">
        <f t="shared" si="132"/>
        <v>0</v>
      </c>
      <c r="J138" s="141">
        <f t="shared" si="132"/>
        <v>0</v>
      </c>
      <c r="K138" s="141">
        <f t="shared" si="132"/>
        <v>0</v>
      </c>
      <c r="L138" s="141">
        <f t="shared" si="132"/>
        <v>0</v>
      </c>
      <c r="M138" s="141">
        <f t="shared" si="132"/>
        <v>0</v>
      </c>
      <c r="N138" s="141">
        <f t="shared" si="132"/>
        <v>0</v>
      </c>
      <c r="O138" s="141">
        <f t="shared" si="132"/>
        <v>0</v>
      </c>
      <c r="P138" s="141">
        <f t="shared" si="132"/>
        <v>0</v>
      </c>
      <c r="Q138" s="141">
        <f t="shared" si="132"/>
        <v>0</v>
      </c>
      <c r="R138" s="141">
        <f t="shared" si="132"/>
        <v>0</v>
      </c>
      <c r="S138" s="141">
        <f t="shared" si="132"/>
        <v>0</v>
      </c>
      <c r="T138" s="141">
        <f t="shared" si="132"/>
        <v>0</v>
      </c>
      <c r="U138" s="141">
        <f t="shared" si="132"/>
        <v>0</v>
      </c>
      <c r="V138" s="141">
        <f t="shared" si="132"/>
        <v>0</v>
      </c>
      <c r="W138" s="141">
        <f t="shared" si="132"/>
        <v>0</v>
      </c>
      <c r="X138" s="141">
        <f t="shared" si="132"/>
        <v>0</v>
      </c>
      <c r="Y138" s="141">
        <f t="shared" si="132"/>
        <v>0</v>
      </c>
      <c r="Z138" s="141">
        <f t="shared" si="132"/>
        <v>0</v>
      </c>
      <c r="AA138" s="141">
        <f t="shared" si="132"/>
        <v>0</v>
      </c>
      <c r="AB138" s="141">
        <f t="shared" si="132"/>
        <v>0</v>
      </c>
      <c r="AC138" s="141">
        <f t="shared" si="132"/>
        <v>0</v>
      </c>
      <c r="AD138" s="141">
        <f t="shared" si="132"/>
        <v>0</v>
      </c>
      <c r="AE138" s="141">
        <f t="shared" si="132"/>
        <v>0</v>
      </c>
      <c r="AF138" s="141">
        <f t="shared" si="132"/>
        <v>0</v>
      </c>
      <c r="AG138" s="141">
        <f t="shared" si="132"/>
        <v>0</v>
      </c>
      <c r="AH138" s="226">
        <f>SUM(C138:AG138)</f>
        <v>0</v>
      </c>
      <c r="AI138" s="226"/>
      <c r="AJ138" s="230">
        <f>SUM(AH83+AH94+AH105+AH116+AH127+AH138)</f>
        <v>0</v>
      </c>
      <c r="AK138" s="230"/>
      <c r="AL138" s="133" t="s">
        <v>56</v>
      </c>
    </row>
    <row r="139" spans="1:38" ht="15.95" hidden="1" customHeight="1" x14ac:dyDescent="0.25">
      <c r="A139" s="150" t="s">
        <v>60</v>
      </c>
      <c r="B139" s="167" t="s">
        <v>61</v>
      </c>
      <c r="C139" s="151">
        <f t="shared" ref="C139:AD139" si="133">IF(C17=$R32,$BC32,IF(C17=$R33,$BC33,IF(C17=$R34,$BC34,IF(C17=$R35,$BC35,IF(C17=$R36,$BC36,IF(C17=$R37,$BC37,IF(C17=$R38,$BC38,IF(C17=$R39,$BC39,IF(C17=$R40,$BC40,0)))))))))</f>
        <v>0</v>
      </c>
      <c r="D139" s="151">
        <f t="shared" si="133"/>
        <v>0</v>
      </c>
      <c r="E139" s="151">
        <f t="shared" si="133"/>
        <v>0</v>
      </c>
      <c r="F139" s="151">
        <f t="shared" si="133"/>
        <v>0</v>
      </c>
      <c r="G139" s="151">
        <f t="shared" si="133"/>
        <v>0</v>
      </c>
      <c r="H139" s="151">
        <f t="shared" si="133"/>
        <v>0</v>
      </c>
      <c r="I139" s="151">
        <f t="shared" si="133"/>
        <v>0</v>
      </c>
      <c r="J139" s="151">
        <f t="shared" si="133"/>
        <v>0</v>
      </c>
      <c r="K139" s="151">
        <f t="shared" si="133"/>
        <v>0</v>
      </c>
      <c r="L139" s="151">
        <f t="shared" si="133"/>
        <v>0</v>
      </c>
      <c r="M139" s="151">
        <f t="shared" si="133"/>
        <v>0</v>
      </c>
      <c r="N139" s="151">
        <f t="shared" si="133"/>
        <v>0</v>
      </c>
      <c r="O139" s="151">
        <f t="shared" si="133"/>
        <v>0</v>
      </c>
      <c r="P139" s="151">
        <f t="shared" si="133"/>
        <v>0</v>
      </c>
      <c r="Q139" s="151">
        <f t="shared" si="133"/>
        <v>0</v>
      </c>
      <c r="R139" s="151">
        <f t="shared" si="133"/>
        <v>0</v>
      </c>
      <c r="S139" s="151">
        <f t="shared" si="133"/>
        <v>0</v>
      </c>
      <c r="T139" s="151">
        <f t="shared" si="133"/>
        <v>0</v>
      </c>
      <c r="U139" s="151">
        <f t="shared" si="133"/>
        <v>0</v>
      </c>
      <c r="V139" s="151">
        <f t="shared" si="133"/>
        <v>0</v>
      </c>
      <c r="W139" s="151">
        <f t="shared" si="133"/>
        <v>0</v>
      </c>
      <c r="X139" s="151">
        <f t="shared" si="133"/>
        <v>0</v>
      </c>
      <c r="Y139" s="151">
        <f t="shared" si="133"/>
        <v>0</v>
      </c>
      <c r="Z139" s="151">
        <f t="shared" si="133"/>
        <v>0</v>
      </c>
      <c r="AA139" s="151">
        <f t="shared" si="133"/>
        <v>0</v>
      </c>
      <c r="AB139" s="151">
        <f t="shared" si="133"/>
        <v>0</v>
      </c>
      <c r="AC139" s="151">
        <f t="shared" si="133"/>
        <v>0</v>
      </c>
      <c r="AD139" s="151">
        <f t="shared" si="133"/>
        <v>0</v>
      </c>
      <c r="AE139" s="151">
        <f>IF(AE17=$R32,$BC32,IF(AE17=$R33,$BC33,IF(AE17=$R34,$BC34,IF(AE17=$R35,$BC35,IF(AE17=$R36,$BC36,IF(AE17=$R37,$BC37,IF(AE17=$R38,$BC38,IF(AE17=$R39,$BC39,IF(AE17=$R40,$BC40,0)))))))))</f>
        <v>0</v>
      </c>
      <c r="AF139" s="151">
        <f>IF(AF17=$R32,$BC32,IF(AF17=$R33,$BC33,IF(AF17=$R34,$BC34,IF(AF17=$R35,$BC35,IF(AF17=$R36,$BC36,IF(AF17=$R37,$BC37,IF(AF17=$R38,$BC38,IF(AF17=$R39,$BC39,IF(AF17=$R40,$BC40,0)))))))))</f>
        <v>0</v>
      </c>
      <c r="AG139" s="151">
        <f>IF(AG17=$R32,$BC32,IF(AG17=$R33,$BC33,IF(AG17=$R34,$BC34,IF(AG17=$R35,$BC35,IF(AG17=$R36,$BC36,IF(AG17=$R37,$BC37,IF(AG17=$R38,$BC38,IF(AG17=$R39,$BC39,IF(AG17=$R40,$BC40,0)))))))))</f>
        <v>0</v>
      </c>
      <c r="AH139" s="226">
        <f>SUM(C139:AG139)</f>
        <v>0</v>
      </c>
      <c r="AI139" s="226"/>
      <c r="AJ139" s="174" t="s">
        <v>62</v>
      </c>
      <c r="AK139" s="133" t="s">
        <v>12</v>
      </c>
      <c r="AL139" s="133"/>
    </row>
    <row r="140" spans="1:38" ht="15.95" hidden="1" customHeight="1" x14ac:dyDescent="0.25">
      <c r="A140" s="153" t="s">
        <v>48</v>
      </c>
      <c r="B140" s="149" t="s">
        <v>63</v>
      </c>
      <c r="C140" s="141" t="b">
        <f t="shared" ref="C140:AG140" si="134">IF(C46=1,IF(C135&lt;C136,C139,0))</f>
        <v>0</v>
      </c>
      <c r="D140" s="141">
        <f t="shared" si="134"/>
        <v>0</v>
      </c>
      <c r="E140" s="141">
        <f t="shared" si="134"/>
        <v>0</v>
      </c>
      <c r="F140" s="141" t="b">
        <f t="shared" si="134"/>
        <v>0</v>
      </c>
      <c r="G140" s="141" t="b">
        <f t="shared" si="134"/>
        <v>0</v>
      </c>
      <c r="H140" s="141" t="b">
        <f t="shared" si="134"/>
        <v>0</v>
      </c>
      <c r="I140" s="141" t="b">
        <f t="shared" si="134"/>
        <v>0</v>
      </c>
      <c r="J140" s="141" t="b">
        <f t="shared" si="134"/>
        <v>0</v>
      </c>
      <c r="K140" s="141">
        <f t="shared" si="134"/>
        <v>0</v>
      </c>
      <c r="L140" s="141">
        <f t="shared" si="134"/>
        <v>0</v>
      </c>
      <c r="M140" s="141" t="b">
        <f t="shared" si="134"/>
        <v>0</v>
      </c>
      <c r="N140" s="141" t="b">
        <f t="shared" si="134"/>
        <v>0</v>
      </c>
      <c r="O140" s="141" t="b">
        <f t="shared" si="134"/>
        <v>0</v>
      </c>
      <c r="P140" s="141" t="b">
        <f t="shared" si="134"/>
        <v>0</v>
      </c>
      <c r="Q140" s="141" t="b">
        <f t="shared" si="134"/>
        <v>0</v>
      </c>
      <c r="R140" s="141">
        <f t="shared" si="134"/>
        <v>0</v>
      </c>
      <c r="S140" s="141">
        <f t="shared" si="134"/>
        <v>0</v>
      </c>
      <c r="T140" s="141" t="b">
        <f t="shared" si="134"/>
        <v>0</v>
      </c>
      <c r="U140" s="141" t="b">
        <f t="shared" si="134"/>
        <v>0</v>
      </c>
      <c r="V140" s="141" t="b">
        <f t="shared" si="134"/>
        <v>0</v>
      </c>
      <c r="W140" s="141" t="b">
        <f t="shared" si="134"/>
        <v>0</v>
      </c>
      <c r="X140" s="141" t="b">
        <f t="shared" si="134"/>
        <v>0</v>
      </c>
      <c r="Y140" s="141">
        <f t="shared" si="134"/>
        <v>0</v>
      </c>
      <c r="Z140" s="141">
        <f t="shared" si="134"/>
        <v>0</v>
      </c>
      <c r="AA140" s="141" t="b">
        <f t="shared" si="134"/>
        <v>0</v>
      </c>
      <c r="AB140" s="141" t="b">
        <f t="shared" si="134"/>
        <v>0</v>
      </c>
      <c r="AC140" s="141" t="b">
        <f t="shared" si="134"/>
        <v>0</v>
      </c>
      <c r="AD140" s="141" t="b">
        <f t="shared" si="134"/>
        <v>0</v>
      </c>
      <c r="AE140" s="141" t="b">
        <f t="shared" si="134"/>
        <v>0</v>
      </c>
      <c r="AF140" s="141">
        <f t="shared" si="134"/>
        <v>0</v>
      </c>
      <c r="AG140" s="141">
        <f t="shared" si="134"/>
        <v>0</v>
      </c>
      <c r="AH140" s="154" t="s">
        <v>12</v>
      </c>
      <c r="AI140" s="133"/>
      <c r="AJ140" s="170"/>
      <c r="AK140" s="133"/>
      <c r="AL140" s="133"/>
    </row>
    <row r="141" spans="1:38" ht="15.95" hidden="1" customHeight="1" x14ac:dyDescent="0.25">
      <c r="A141" s="176"/>
      <c r="B141" s="149" t="s">
        <v>64</v>
      </c>
      <c r="C141" s="141">
        <f t="shared" ref="C141:AG141" si="135">IF(C46=1,IF(C135&gt;C136,24-C135,0),0)</f>
        <v>0</v>
      </c>
      <c r="D141" s="141">
        <f t="shared" si="135"/>
        <v>0</v>
      </c>
      <c r="E141" s="141">
        <f t="shared" si="135"/>
        <v>0</v>
      </c>
      <c r="F141" s="141">
        <f t="shared" si="135"/>
        <v>0</v>
      </c>
      <c r="G141" s="141">
        <f t="shared" si="135"/>
        <v>0</v>
      </c>
      <c r="H141" s="141">
        <f t="shared" si="135"/>
        <v>0</v>
      </c>
      <c r="I141" s="141">
        <f t="shared" si="135"/>
        <v>0</v>
      </c>
      <c r="J141" s="141">
        <f t="shared" si="135"/>
        <v>0</v>
      </c>
      <c r="K141" s="141">
        <f t="shared" si="135"/>
        <v>0</v>
      </c>
      <c r="L141" s="141">
        <f t="shared" si="135"/>
        <v>0</v>
      </c>
      <c r="M141" s="141">
        <f t="shared" si="135"/>
        <v>0</v>
      </c>
      <c r="N141" s="141">
        <f t="shared" si="135"/>
        <v>0</v>
      </c>
      <c r="O141" s="141">
        <f t="shared" si="135"/>
        <v>0</v>
      </c>
      <c r="P141" s="141">
        <f t="shared" si="135"/>
        <v>0</v>
      </c>
      <c r="Q141" s="141">
        <f t="shared" si="135"/>
        <v>0</v>
      </c>
      <c r="R141" s="141">
        <f t="shared" si="135"/>
        <v>0</v>
      </c>
      <c r="S141" s="141">
        <f t="shared" si="135"/>
        <v>0</v>
      </c>
      <c r="T141" s="141">
        <f t="shared" si="135"/>
        <v>0</v>
      </c>
      <c r="U141" s="141">
        <f t="shared" si="135"/>
        <v>0</v>
      </c>
      <c r="V141" s="141">
        <f t="shared" si="135"/>
        <v>0</v>
      </c>
      <c r="W141" s="141">
        <f t="shared" si="135"/>
        <v>0</v>
      </c>
      <c r="X141" s="141">
        <f t="shared" si="135"/>
        <v>0</v>
      </c>
      <c r="Y141" s="141">
        <f t="shared" si="135"/>
        <v>0</v>
      </c>
      <c r="Z141" s="141">
        <f t="shared" si="135"/>
        <v>0</v>
      </c>
      <c r="AA141" s="141">
        <f t="shared" si="135"/>
        <v>0</v>
      </c>
      <c r="AB141" s="141">
        <f t="shared" si="135"/>
        <v>0</v>
      </c>
      <c r="AC141" s="141">
        <f t="shared" si="135"/>
        <v>0</v>
      </c>
      <c r="AD141" s="141">
        <f t="shared" si="135"/>
        <v>0</v>
      </c>
      <c r="AE141" s="141">
        <f t="shared" si="135"/>
        <v>0</v>
      </c>
      <c r="AF141" s="141">
        <f t="shared" si="135"/>
        <v>0</v>
      </c>
      <c r="AG141" s="141">
        <f t="shared" si="135"/>
        <v>0</v>
      </c>
      <c r="AH141" s="154" t="s">
        <v>12</v>
      </c>
      <c r="AI141" s="133"/>
      <c r="AJ141" s="170"/>
      <c r="AK141" s="133"/>
      <c r="AL141" s="133"/>
    </row>
    <row r="142" spans="1:38" ht="15.95" hidden="1" customHeight="1" x14ac:dyDescent="0.25">
      <c r="A142" s="176"/>
      <c r="B142" s="149" t="s">
        <v>65</v>
      </c>
      <c r="C142" s="141">
        <f t="shared" ref="C142:AG142" si="136">IF(D46=1,IF(C135&gt;C136,C136,0),0)</f>
        <v>0</v>
      </c>
      <c r="D142" s="141">
        <f t="shared" si="136"/>
        <v>0</v>
      </c>
      <c r="E142" s="141">
        <f t="shared" si="136"/>
        <v>0</v>
      </c>
      <c r="F142" s="141">
        <f t="shared" si="136"/>
        <v>0</v>
      </c>
      <c r="G142" s="141">
        <f t="shared" si="136"/>
        <v>0</v>
      </c>
      <c r="H142" s="141">
        <f t="shared" si="136"/>
        <v>0</v>
      </c>
      <c r="I142" s="141">
        <f t="shared" si="136"/>
        <v>0</v>
      </c>
      <c r="J142" s="141">
        <f t="shared" si="136"/>
        <v>0</v>
      </c>
      <c r="K142" s="141">
        <f t="shared" si="136"/>
        <v>0</v>
      </c>
      <c r="L142" s="141">
        <f t="shared" si="136"/>
        <v>0</v>
      </c>
      <c r="M142" s="141">
        <f t="shared" si="136"/>
        <v>0</v>
      </c>
      <c r="N142" s="141">
        <f t="shared" si="136"/>
        <v>0</v>
      </c>
      <c r="O142" s="141">
        <f t="shared" si="136"/>
        <v>0</v>
      </c>
      <c r="P142" s="141">
        <f t="shared" si="136"/>
        <v>0</v>
      </c>
      <c r="Q142" s="141">
        <f t="shared" si="136"/>
        <v>0</v>
      </c>
      <c r="R142" s="141">
        <f t="shared" si="136"/>
        <v>0</v>
      </c>
      <c r="S142" s="141">
        <f t="shared" si="136"/>
        <v>0</v>
      </c>
      <c r="T142" s="141">
        <f t="shared" si="136"/>
        <v>0</v>
      </c>
      <c r="U142" s="141">
        <f t="shared" si="136"/>
        <v>0</v>
      </c>
      <c r="V142" s="141">
        <f t="shared" si="136"/>
        <v>0</v>
      </c>
      <c r="W142" s="141">
        <f t="shared" si="136"/>
        <v>0</v>
      </c>
      <c r="X142" s="141">
        <f>IF(Y46=1,IF(X135&gt;X136,X136,0),0)</f>
        <v>0</v>
      </c>
      <c r="Y142" s="141">
        <f t="shared" si="136"/>
        <v>0</v>
      </c>
      <c r="Z142" s="141">
        <f t="shared" si="136"/>
        <v>0</v>
      </c>
      <c r="AA142" s="141">
        <f t="shared" si="136"/>
        <v>0</v>
      </c>
      <c r="AB142" s="141">
        <f t="shared" si="136"/>
        <v>0</v>
      </c>
      <c r="AC142" s="141">
        <f t="shared" si="136"/>
        <v>0</v>
      </c>
      <c r="AD142" s="141">
        <f t="shared" si="136"/>
        <v>0</v>
      </c>
      <c r="AE142" s="141">
        <f t="shared" si="136"/>
        <v>0</v>
      </c>
      <c r="AF142" s="141">
        <f t="shared" si="136"/>
        <v>0</v>
      </c>
      <c r="AG142" s="141">
        <f t="shared" si="136"/>
        <v>0</v>
      </c>
      <c r="AH142" s="154" t="s">
        <v>12</v>
      </c>
      <c r="AI142" s="133"/>
      <c r="AJ142" s="170"/>
      <c r="AK142" s="133"/>
      <c r="AL142" s="133"/>
    </row>
    <row r="143" spans="1:38" ht="15.95" hidden="1" customHeight="1" x14ac:dyDescent="0.25">
      <c r="A143" s="176"/>
      <c r="B143" s="149" t="s">
        <v>67</v>
      </c>
      <c r="C143" s="171">
        <f>SUM(C140:C142)</f>
        <v>0</v>
      </c>
      <c r="D143" s="171">
        <f t="shared" ref="D143:AG143" si="137">SUM(D140:D142)</f>
        <v>0</v>
      </c>
      <c r="E143" s="171">
        <f t="shared" si="137"/>
        <v>0</v>
      </c>
      <c r="F143" s="171">
        <f t="shared" si="137"/>
        <v>0</v>
      </c>
      <c r="G143" s="171">
        <f t="shared" si="137"/>
        <v>0</v>
      </c>
      <c r="H143" s="171">
        <f t="shared" si="137"/>
        <v>0</v>
      </c>
      <c r="I143" s="171">
        <f t="shared" si="137"/>
        <v>0</v>
      </c>
      <c r="J143" s="171">
        <f t="shared" si="137"/>
        <v>0</v>
      </c>
      <c r="K143" s="171">
        <f t="shared" si="137"/>
        <v>0</v>
      </c>
      <c r="L143" s="171">
        <f t="shared" si="137"/>
        <v>0</v>
      </c>
      <c r="M143" s="171">
        <f t="shared" si="137"/>
        <v>0</v>
      </c>
      <c r="N143" s="171">
        <f t="shared" si="137"/>
        <v>0</v>
      </c>
      <c r="O143" s="171">
        <f t="shared" si="137"/>
        <v>0</v>
      </c>
      <c r="P143" s="171">
        <f t="shared" si="137"/>
        <v>0</v>
      </c>
      <c r="Q143" s="171">
        <f t="shared" si="137"/>
        <v>0</v>
      </c>
      <c r="R143" s="171">
        <f t="shared" si="137"/>
        <v>0</v>
      </c>
      <c r="S143" s="171">
        <f t="shared" si="137"/>
        <v>0</v>
      </c>
      <c r="T143" s="171">
        <f t="shared" si="137"/>
        <v>0</v>
      </c>
      <c r="U143" s="171">
        <f t="shared" si="137"/>
        <v>0</v>
      </c>
      <c r="V143" s="171">
        <f t="shared" si="137"/>
        <v>0</v>
      </c>
      <c r="W143" s="171">
        <f t="shared" si="137"/>
        <v>0</v>
      </c>
      <c r="X143" s="171">
        <f t="shared" si="137"/>
        <v>0</v>
      </c>
      <c r="Y143" s="171">
        <f t="shared" si="137"/>
        <v>0</v>
      </c>
      <c r="Z143" s="171">
        <f t="shared" si="137"/>
        <v>0</v>
      </c>
      <c r="AA143" s="171">
        <f t="shared" si="137"/>
        <v>0</v>
      </c>
      <c r="AB143" s="171">
        <f t="shared" si="137"/>
        <v>0</v>
      </c>
      <c r="AC143" s="171">
        <f t="shared" si="137"/>
        <v>0</v>
      </c>
      <c r="AD143" s="171">
        <f t="shared" si="137"/>
        <v>0</v>
      </c>
      <c r="AE143" s="171">
        <f t="shared" si="137"/>
        <v>0</v>
      </c>
      <c r="AF143" s="171">
        <f t="shared" si="137"/>
        <v>0</v>
      </c>
      <c r="AG143" s="171">
        <f t="shared" si="137"/>
        <v>0</v>
      </c>
      <c r="AH143" s="154" t="s">
        <v>12</v>
      </c>
      <c r="AI143" s="133"/>
      <c r="AJ143" s="170"/>
      <c r="AK143" s="133"/>
      <c r="AL143" s="133"/>
    </row>
    <row r="144" spans="1:38" ht="15.95" hidden="1" customHeight="1" x14ac:dyDescent="0.25">
      <c r="A144" s="177"/>
      <c r="B144" s="160" t="s">
        <v>68</v>
      </c>
      <c r="C144" s="161">
        <f t="shared" ref="C144:AG144" si="138">IF(C17="V",IF(C17="",0,1),0)</f>
        <v>0</v>
      </c>
      <c r="D144" s="161">
        <f t="shared" si="138"/>
        <v>0</v>
      </c>
      <c r="E144" s="161">
        <f t="shared" si="138"/>
        <v>0</v>
      </c>
      <c r="F144" s="161">
        <f t="shared" si="138"/>
        <v>0</v>
      </c>
      <c r="G144" s="161">
        <f t="shared" si="138"/>
        <v>0</v>
      </c>
      <c r="H144" s="161">
        <f t="shared" si="138"/>
        <v>0</v>
      </c>
      <c r="I144" s="161">
        <f t="shared" si="138"/>
        <v>0</v>
      </c>
      <c r="J144" s="161">
        <f t="shared" si="138"/>
        <v>0</v>
      </c>
      <c r="K144" s="161">
        <f t="shared" si="138"/>
        <v>0</v>
      </c>
      <c r="L144" s="161">
        <f t="shared" si="138"/>
        <v>0</v>
      </c>
      <c r="M144" s="161">
        <f t="shared" si="138"/>
        <v>0</v>
      </c>
      <c r="N144" s="161">
        <f t="shared" si="138"/>
        <v>0</v>
      </c>
      <c r="O144" s="161">
        <f t="shared" si="138"/>
        <v>0</v>
      </c>
      <c r="P144" s="161">
        <f t="shared" si="138"/>
        <v>0</v>
      </c>
      <c r="Q144" s="161">
        <f t="shared" si="138"/>
        <v>0</v>
      </c>
      <c r="R144" s="161">
        <f t="shared" si="138"/>
        <v>0</v>
      </c>
      <c r="S144" s="161">
        <f t="shared" si="138"/>
        <v>0</v>
      </c>
      <c r="T144" s="161">
        <f t="shared" si="138"/>
        <v>0</v>
      </c>
      <c r="U144" s="161">
        <f t="shared" si="138"/>
        <v>0</v>
      </c>
      <c r="V144" s="161">
        <f t="shared" si="138"/>
        <v>0</v>
      </c>
      <c r="W144" s="161">
        <f t="shared" si="138"/>
        <v>0</v>
      </c>
      <c r="X144" s="161">
        <f t="shared" si="138"/>
        <v>0</v>
      </c>
      <c r="Y144" s="161">
        <f t="shared" si="138"/>
        <v>0</v>
      </c>
      <c r="Z144" s="161">
        <f t="shared" si="138"/>
        <v>0</v>
      </c>
      <c r="AA144" s="161">
        <f t="shared" si="138"/>
        <v>0</v>
      </c>
      <c r="AB144" s="161">
        <f t="shared" si="138"/>
        <v>0</v>
      </c>
      <c r="AC144" s="161">
        <f t="shared" si="138"/>
        <v>0</v>
      </c>
      <c r="AD144" s="161">
        <f t="shared" si="138"/>
        <v>0</v>
      </c>
      <c r="AE144" s="161">
        <f t="shared" si="138"/>
        <v>0</v>
      </c>
      <c r="AF144" s="161">
        <f t="shared" si="138"/>
        <v>0</v>
      </c>
      <c r="AG144" s="161">
        <f t="shared" si="138"/>
        <v>0</v>
      </c>
      <c r="AH144" s="154" t="s">
        <v>12</v>
      </c>
      <c r="AI144" s="133"/>
      <c r="AJ144" s="170"/>
      <c r="AK144" s="133"/>
      <c r="AL144" s="133"/>
    </row>
    <row r="145" spans="1:38" ht="15.95" hidden="1" customHeight="1" x14ac:dyDescent="0.25">
      <c r="A145" s="180"/>
      <c r="B145" s="181" t="s">
        <v>16</v>
      </c>
      <c r="C145" s="182">
        <f t="shared" ref="C145:AG145" si="139">IF(C17="PR",IF(C17="",0,1),0)</f>
        <v>0</v>
      </c>
      <c r="D145" s="182">
        <f t="shared" si="139"/>
        <v>0</v>
      </c>
      <c r="E145" s="182">
        <f t="shared" si="139"/>
        <v>0</v>
      </c>
      <c r="F145" s="182">
        <f t="shared" si="139"/>
        <v>0</v>
      </c>
      <c r="G145" s="182">
        <f t="shared" si="139"/>
        <v>0</v>
      </c>
      <c r="H145" s="182">
        <f t="shared" si="139"/>
        <v>0</v>
      </c>
      <c r="I145" s="182">
        <f t="shared" si="139"/>
        <v>0</v>
      </c>
      <c r="J145" s="182">
        <f t="shared" si="139"/>
        <v>0</v>
      </c>
      <c r="K145" s="182">
        <f t="shared" si="139"/>
        <v>0</v>
      </c>
      <c r="L145" s="182">
        <f t="shared" si="139"/>
        <v>0</v>
      </c>
      <c r="M145" s="182">
        <f t="shared" si="139"/>
        <v>0</v>
      </c>
      <c r="N145" s="182">
        <f t="shared" si="139"/>
        <v>0</v>
      </c>
      <c r="O145" s="182">
        <f t="shared" si="139"/>
        <v>0</v>
      </c>
      <c r="P145" s="182">
        <f t="shared" si="139"/>
        <v>0</v>
      </c>
      <c r="Q145" s="182">
        <f t="shared" si="139"/>
        <v>0</v>
      </c>
      <c r="R145" s="182">
        <f t="shared" si="139"/>
        <v>0</v>
      </c>
      <c r="S145" s="182">
        <f t="shared" si="139"/>
        <v>0</v>
      </c>
      <c r="T145" s="182">
        <f t="shared" si="139"/>
        <v>0</v>
      </c>
      <c r="U145" s="182">
        <f t="shared" si="139"/>
        <v>0</v>
      </c>
      <c r="V145" s="182">
        <f t="shared" si="139"/>
        <v>0</v>
      </c>
      <c r="W145" s="182">
        <f t="shared" si="139"/>
        <v>0</v>
      </c>
      <c r="X145" s="182">
        <f t="shared" si="139"/>
        <v>0</v>
      </c>
      <c r="Y145" s="182">
        <f t="shared" si="139"/>
        <v>0</v>
      </c>
      <c r="Z145" s="182">
        <f t="shared" si="139"/>
        <v>0</v>
      </c>
      <c r="AA145" s="182">
        <f t="shared" si="139"/>
        <v>0</v>
      </c>
      <c r="AB145" s="182">
        <f t="shared" si="139"/>
        <v>0</v>
      </c>
      <c r="AC145" s="182">
        <f t="shared" si="139"/>
        <v>0</v>
      </c>
      <c r="AD145" s="182">
        <f t="shared" si="139"/>
        <v>0</v>
      </c>
      <c r="AE145" s="182">
        <f t="shared" si="139"/>
        <v>0</v>
      </c>
      <c r="AF145" s="182">
        <f t="shared" si="139"/>
        <v>0</v>
      </c>
      <c r="AG145" s="182">
        <f t="shared" si="139"/>
        <v>0</v>
      </c>
      <c r="AH145" s="227">
        <f>SUM(C145:AG145)</f>
        <v>0</v>
      </c>
      <c r="AI145" s="227"/>
      <c r="AJ145" s="174" t="s">
        <v>69</v>
      </c>
      <c r="AK145" s="133"/>
      <c r="AL145" s="133"/>
    </row>
    <row r="146" spans="1:38" ht="15.95" hidden="1" customHeight="1" x14ac:dyDescent="0.25">
      <c r="A146" s="164" t="s">
        <v>87</v>
      </c>
      <c r="B146" s="165" t="s">
        <v>29</v>
      </c>
      <c r="C146" s="141" t="str">
        <f t="shared" ref="C146:AG146" si="140">IF(C18=$R32,$S32*24,IF(C18=$R33,$S33*24,IF(C18=$R34,$S34*24,IF(C18=$R35,$S35*24,IF(C18=$R36,$S36*24,IF(C18=$R37,$S37*24,IF(C18=$R38,$S38*24,IF(C18=$R39,$S39*24,IF(C18=$R40,$S40*24,"")))))))))</f>
        <v/>
      </c>
      <c r="D146" s="141" t="str">
        <f t="shared" si="140"/>
        <v/>
      </c>
      <c r="E146" s="141" t="str">
        <f t="shared" si="140"/>
        <v/>
      </c>
      <c r="F146" s="141" t="str">
        <f t="shared" si="140"/>
        <v/>
      </c>
      <c r="G146" s="141" t="str">
        <f t="shared" si="140"/>
        <v/>
      </c>
      <c r="H146" s="141" t="str">
        <f t="shared" si="140"/>
        <v/>
      </c>
      <c r="I146" s="141" t="str">
        <f t="shared" si="140"/>
        <v/>
      </c>
      <c r="J146" s="141" t="str">
        <f t="shared" si="140"/>
        <v/>
      </c>
      <c r="K146" s="141" t="str">
        <f t="shared" si="140"/>
        <v/>
      </c>
      <c r="L146" s="141" t="str">
        <f t="shared" si="140"/>
        <v/>
      </c>
      <c r="M146" s="141" t="str">
        <f t="shared" si="140"/>
        <v/>
      </c>
      <c r="N146" s="141" t="str">
        <f t="shared" si="140"/>
        <v/>
      </c>
      <c r="O146" s="141" t="str">
        <f t="shared" si="140"/>
        <v/>
      </c>
      <c r="P146" s="141" t="str">
        <f t="shared" si="140"/>
        <v/>
      </c>
      <c r="Q146" s="141" t="str">
        <f t="shared" si="140"/>
        <v/>
      </c>
      <c r="R146" s="141" t="str">
        <f t="shared" si="140"/>
        <v/>
      </c>
      <c r="S146" s="141" t="str">
        <f t="shared" si="140"/>
        <v/>
      </c>
      <c r="T146" s="141" t="str">
        <f t="shared" si="140"/>
        <v/>
      </c>
      <c r="U146" s="141" t="str">
        <f t="shared" si="140"/>
        <v/>
      </c>
      <c r="V146" s="141" t="str">
        <f t="shared" si="140"/>
        <v/>
      </c>
      <c r="W146" s="141" t="str">
        <f t="shared" si="140"/>
        <v/>
      </c>
      <c r="X146" s="141" t="str">
        <f t="shared" si="140"/>
        <v/>
      </c>
      <c r="Y146" s="141" t="str">
        <f t="shared" si="140"/>
        <v/>
      </c>
      <c r="Z146" s="141" t="str">
        <f t="shared" si="140"/>
        <v/>
      </c>
      <c r="AA146" s="141" t="str">
        <f t="shared" si="140"/>
        <v/>
      </c>
      <c r="AB146" s="141" t="str">
        <f t="shared" si="140"/>
        <v/>
      </c>
      <c r="AC146" s="141" t="str">
        <f t="shared" si="140"/>
        <v/>
      </c>
      <c r="AD146" s="141" t="str">
        <f t="shared" si="140"/>
        <v/>
      </c>
      <c r="AE146" s="141" t="str">
        <f t="shared" si="140"/>
        <v/>
      </c>
      <c r="AF146" s="141" t="str">
        <f t="shared" si="140"/>
        <v/>
      </c>
      <c r="AG146" s="141" t="str">
        <f t="shared" si="140"/>
        <v/>
      </c>
      <c r="AH146" s="154" t="s">
        <v>12</v>
      </c>
      <c r="AI146" s="133"/>
      <c r="AJ146" s="170"/>
      <c r="AK146" s="133"/>
      <c r="AL146" s="133"/>
    </row>
    <row r="147" spans="1:38" ht="15.95" hidden="1" customHeight="1" x14ac:dyDescent="0.25">
      <c r="A147" s="166" t="s">
        <v>88</v>
      </c>
      <c r="B147" s="167" t="s">
        <v>30</v>
      </c>
      <c r="C147" s="141" t="str">
        <f t="shared" ref="C147:AG147" si="141">IF(C18=$R32,$V32*24,IF(C18=$R33,$V33*24,IF(C18=$R34,$V34*24,IF(C18=$R35,$V35*24,IF(C18=$R36,$V36*24,IF(C18=$R37,$V37*24,IF(C18=$R38,$V38*24,IF(C18=$R39,$V39*24,IF(C18=$R40,$V40*24,"")))))))))</f>
        <v/>
      </c>
      <c r="D147" s="141" t="str">
        <f t="shared" si="141"/>
        <v/>
      </c>
      <c r="E147" s="141" t="str">
        <f t="shared" si="141"/>
        <v/>
      </c>
      <c r="F147" s="141" t="str">
        <f t="shared" si="141"/>
        <v/>
      </c>
      <c r="G147" s="141" t="str">
        <f t="shared" si="141"/>
        <v/>
      </c>
      <c r="H147" s="141" t="str">
        <f t="shared" si="141"/>
        <v/>
      </c>
      <c r="I147" s="141" t="str">
        <f t="shared" si="141"/>
        <v/>
      </c>
      <c r="J147" s="141" t="str">
        <f t="shared" si="141"/>
        <v/>
      </c>
      <c r="K147" s="141" t="str">
        <f t="shared" si="141"/>
        <v/>
      </c>
      <c r="L147" s="141" t="str">
        <f t="shared" si="141"/>
        <v/>
      </c>
      <c r="M147" s="141" t="str">
        <f t="shared" si="141"/>
        <v/>
      </c>
      <c r="N147" s="141" t="str">
        <f t="shared" si="141"/>
        <v/>
      </c>
      <c r="O147" s="141" t="str">
        <f t="shared" si="141"/>
        <v/>
      </c>
      <c r="P147" s="141" t="str">
        <f t="shared" si="141"/>
        <v/>
      </c>
      <c r="Q147" s="141" t="str">
        <f t="shared" si="141"/>
        <v/>
      </c>
      <c r="R147" s="141" t="str">
        <f t="shared" si="141"/>
        <v/>
      </c>
      <c r="S147" s="141" t="str">
        <f t="shared" si="141"/>
        <v/>
      </c>
      <c r="T147" s="141" t="str">
        <f t="shared" si="141"/>
        <v/>
      </c>
      <c r="U147" s="141" t="str">
        <f t="shared" si="141"/>
        <v/>
      </c>
      <c r="V147" s="141" t="str">
        <f t="shared" si="141"/>
        <v/>
      </c>
      <c r="W147" s="141" t="str">
        <f t="shared" si="141"/>
        <v/>
      </c>
      <c r="X147" s="141" t="str">
        <f t="shared" si="141"/>
        <v/>
      </c>
      <c r="Y147" s="141" t="str">
        <f t="shared" si="141"/>
        <v/>
      </c>
      <c r="Z147" s="141" t="str">
        <f t="shared" si="141"/>
        <v/>
      </c>
      <c r="AA147" s="141" t="str">
        <f t="shared" si="141"/>
        <v/>
      </c>
      <c r="AB147" s="141" t="str">
        <f t="shared" si="141"/>
        <v/>
      </c>
      <c r="AC147" s="141" t="str">
        <f t="shared" si="141"/>
        <v/>
      </c>
      <c r="AD147" s="141" t="str">
        <f t="shared" si="141"/>
        <v/>
      </c>
      <c r="AE147" s="141" t="str">
        <f t="shared" si="141"/>
        <v/>
      </c>
      <c r="AF147" s="141" t="str">
        <f t="shared" si="141"/>
        <v/>
      </c>
      <c r="AG147" s="141" t="str">
        <f t="shared" si="141"/>
        <v/>
      </c>
      <c r="AH147" s="154" t="s">
        <v>12</v>
      </c>
      <c r="AI147" s="133"/>
      <c r="AJ147" s="170"/>
      <c r="AK147" s="133"/>
      <c r="AL147" s="133"/>
    </row>
    <row r="148" spans="1:38" ht="15.95" hidden="1" customHeight="1" x14ac:dyDescent="0.25">
      <c r="A148" s="153"/>
      <c r="B148" s="168" t="s">
        <v>34</v>
      </c>
      <c r="C148" s="169" t="str">
        <f t="shared" ref="C148:AD148" si="142">IF(C18=$R32,$BD32*24,IF(C18=$R33,$BD33*24,IF(C18=$R34,$BD34*24,IF(C18=$R35,$BD35*24,IF(C18=$R36,$BD36*24,IF(C18=$R37,$BD37*24,IF(C18=$R38,$BD38*24,IF(C18=$R39,$BD39*24,IF(C18=$R40,$BD40*24,"")))))))))</f>
        <v/>
      </c>
      <c r="D148" s="169" t="str">
        <f t="shared" si="142"/>
        <v/>
      </c>
      <c r="E148" s="169" t="str">
        <f t="shared" si="142"/>
        <v/>
      </c>
      <c r="F148" s="169" t="str">
        <f t="shared" si="142"/>
        <v/>
      </c>
      <c r="G148" s="169" t="str">
        <f t="shared" si="142"/>
        <v/>
      </c>
      <c r="H148" s="169" t="str">
        <f t="shared" si="142"/>
        <v/>
      </c>
      <c r="I148" s="169" t="str">
        <f t="shared" si="142"/>
        <v/>
      </c>
      <c r="J148" s="169" t="str">
        <f t="shared" si="142"/>
        <v/>
      </c>
      <c r="K148" s="169" t="str">
        <f t="shared" si="142"/>
        <v/>
      </c>
      <c r="L148" s="169" t="str">
        <f t="shared" si="142"/>
        <v/>
      </c>
      <c r="M148" s="169" t="str">
        <f t="shared" si="142"/>
        <v/>
      </c>
      <c r="N148" s="169" t="str">
        <f t="shared" si="142"/>
        <v/>
      </c>
      <c r="O148" s="169" t="str">
        <f t="shared" si="142"/>
        <v/>
      </c>
      <c r="P148" s="169" t="str">
        <f t="shared" si="142"/>
        <v/>
      </c>
      <c r="Q148" s="169" t="str">
        <f t="shared" si="142"/>
        <v/>
      </c>
      <c r="R148" s="169" t="str">
        <f t="shared" si="142"/>
        <v/>
      </c>
      <c r="S148" s="169" t="str">
        <f t="shared" si="142"/>
        <v/>
      </c>
      <c r="T148" s="169" t="str">
        <f t="shared" si="142"/>
        <v/>
      </c>
      <c r="U148" s="169" t="str">
        <f t="shared" si="142"/>
        <v/>
      </c>
      <c r="V148" s="169" t="str">
        <f t="shared" si="142"/>
        <v/>
      </c>
      <c r="W148" s="169" t="str">
        <f t="shared" si="142"/>
        <v/>
      </c>
      <c r="X148" s="169" t="str">
        <f t="shared" si="142"/>
        <v/>
      </c>
      <c r="Y148" s="169" t="str">
        <f t="shared" si="142"/>
        <v/>
      </c>
      <c r="Z148" s="169" t="str">
        <f t="shared" si="142"/>
        <v/>
      </c>
      <c r="AA148" s="169" t="str">
        <f t="shared" si="142"/>
        <v/>
      </c>
      <c r="AB148" s="169" t="str">
        <f t="shared" si="142"/>
        <v/>
      </c>
      <c r="AC148" s="169" t="str">
        <f t="shared" si="142"/>
        <v/>
      </c>
      <c r="AD148" s="169" t="str">
        <f t="shared" si="142"/>
        <v/>
      </c>
      <c r="AE148" s="169" t="str">
        <f>IF(AE18=$R32,$BD32*24,IF(AE18=$R33,$BD33*24,IF(AE18=$R34,$BD34*24,IF(AE18=$R35,$BD35*24,IF(AE18=$R36,$BD36*24,IF(AE18=$R37,$BD37*24,IF(AE18=$R38,$BD38*24,IF(AE18=$R39,$BD39*24,IF(AE18=$R40,$BD40*24,"")))))))))</f>
        <v/>
      </c>
      <c r="AF148" s="169" t="str">
        <f>IF(AF18=$R32,$BD32*24,IF(AF18=$R33,$BD33*24,IF(AF18=$R34,$BD34*24,IF(AF18=$R35,$BD35*24,IF(AF18=$R36,$BD36*24,IF(AF18=$R37,$BD37*24,IF(AF18=$R38,$BD38*24,IF(AF18=$R39,$BD39*24,IF(AF18=$R40,$BD40*24,"")))))))))</f>
        <v/>
      </c>
      <c r="AG148" s="169" t="str">
        <f>IF(AG18=$R32,$BD32*24,IF(AG18=$R33,$BD33*24,IF(AG18=$R34,$BD34*24,IF(AG18=$R35,$BD35*24,IF(AG18=$R36,$BD36*24,IF(AG18=$R37,$BD37*24,IF(AG18=$R38,$BD38*24,IF(AG18=$R39,$BD39*24,IF(AG18=$R40,$BD40*24,"")))))))))</f>
        <v/>
      </c>
      <c r="AH148" s="148">
        <f>SUM(C148:AG148)</f>
        <v>0</v>
      </c>
      <c r="AI148" s="133"/>
      <c r="AJ148" s="170"/>
      <c r="AK148" s="133"/>
      <c r="AL148" s="133"/>
    </row>
    <row r="149" spans="1:38" ht="15.95" hidden="1" customHeight="1" x14ac:dyDescent="0.25">
      <c r="A149" s="153"/>
      <c r="B149" s="167" t="s">
        <v>59</v>
      </c>
      <c r="C149" s="141">
        <f t="shared" ref="C149:AG149" si="143">IF(C18="V",$C36,IF(C18="PR",$C38,0))</f>
        <v>0</v>
      </c>
      <c r="D149" s="141">
        <f t="shared" si="143"/>
        <v>0</v>
      </c>
      <c r="E149" s="141">
        <f t="shared" si="143"/>
        <v>0</v>
      </c>
      <c r="F149" s="141">
        <f t="shared" si="143"/>
        <v>0</v>
      </c>
      <c r="G149" s="141">
        <f t="shared" si="143"/>
        <v>0</v>
      </c>
      <c r="H149" s="141">
        <f t="shared" si="143"/>
        <v>0</v>
      </c>
      <c r="I149" s="141">
        <f t="shared" si="143"/>
        <v>0</v>
      </c>
      <c r="J149" s="141">
        <f t="shared" si="143"/>
        <v>0</v>
      </c>
      <c r="K149" s="141">
        <f t="shared" si="143"/>
        <v>0</v>
      </c>
      <c r="L149" s="141">
        <f t="shared" si="143"/>
        <v>0</v>
      </c>
      <c r="M149" s="141">
        <f t="shared" si="143"/>
        <v>0</v>
      </c>
      <c r="N149" s="141">
        <f t="shared" si="143"/>
        <v>0</v>
      </c>
      <c r="O149" s="141">
        <f t="shared" si="143"/>
        <v>0</v>
      </c>
      <c r="P149" s="141">
        <f t="shared" si="143"/>
        <v>0</v>
      </c>
      <c r="Q149" s="141">
        <f t="shared" si="143"/>
        <v>0</v>
      </c>
      <c r="R149" s="141">
        <f t="shared" si="143"/>
        <v>0</v>
      </c>
      <c r="S149" s="141">
        <f t="shared" si="143"/>
        <v>0</v>
      </c>
      <c r="T149" s="141">
        <f t="shared" si="143"/>
        <v>0</v>
      </c>
      <c r="U149" s="141">
        <f t="shared" si="143"/>
        <v>0</v>
      </c>
      <c r="V149" s="141">
        <f t="shared" si="143"/>
        <v>0</v>
      </c>
      <c r="W149" s="141">
        <f t="shared" si="143"/>
        <v>0</v>
      </c>
      <c r="X149" s="141">
        <f t="shared" si="143"/>
        <v>0</v>
      </c>
      <c r="Y149" s="141">
        <f t="shared" si="143"/>
        <v>0</v>
      </c>
      <c r="Z149" s="141">
        <f t="shared" si="143"/>
        <v>0</v>
      </c>
      <c r="AA149" s="141">
        <f t="shared" si="143"/>
        <v>0</v>
      </c>
      <c r="AB149" s="141">
        <f t="shared" si="143"/>
        <v>0</v>
      </c>
      <c r="AC149" s="141">
        <f t="shared" si="143"/>
        <v>0</v>
      </c>
      <c r="AD149" s="141">
        <f t="shared" si="143"/>
        <v>0</v>
      </c>
      <c r="AE149" s="141">
        <f t="shared" si="143"/>
        <v>0</v>
      </c>
      <c r="AF149" s="141">
        <f t="shared" si="143"/>
        <v>0</v>
      </c>
      <c r="AG149" s="141">
        <f t="shared" si="143"/>
        <v>0</v>
      </c>
      <c r="AH149" s="226">
        <f>SUM(C149:AG149)</f>
        <v>0</v>
      </c>
      <c r="AI149" s="226"/>
      <c r="AJ149" s="230">
        <f>SUM(AH94+AH105+AH116+AH127+AH138+AH149)</f>
        <v>0</v>
      </c>
      <c r="AK149" s="230"/>
      <c r="AL149" s="133" t="s">
        <v>56</v>
      </c>
    </row>
    <row r="150" spans="1:38" ht="15.95" hidden="1" customHeight="1" x14ac:dyDescent="0.25">
      <c r="A150" s="150" t="s">
        <v>60</v>
      </c>
      <c r="B150" s="167" t="s">
        <v>61</v>
      </c>
      <c r="C150" s="151">
        <f t="shared" ref="C150:AD150" si="144">IF(C18=$R32,$BC32,IF(C18=$R33,$BC33,IF(C18=$R34,$BC34,IF(C18=$R35,$BC35,IF(C18=$R36,$BC36,IF(C18=$R37,$BC37,IF(C18=$R38,$BC38,IF(C18=$R39,$BC39,IF(C18=$R40,$BC40,0)))))))))</f>
        <v>0</v>
      </c>
      <c r="D150" s="151">
        <f t="shared" si="144"/>
        <v>0</v>
      </c>
      <c r="E150" s="151">
        <f t="shared" si="144"/>
        <v>0</v>
      </c>
      <c r="F150" s="151">
        <f t="shared" si="144"/>
        <v>0</v>
      </c>
      <c r="G150" s="151">
        <f t="shared" si="144"/>
        <v>0</v>
      </c>
      <c r="H150" s="151">
        <f t="shared" si="144"/>
        <v>0</v>
      </c>
      <c r="I150" s="151">
        <f t="shared" si="144"/>
        <v>0</v>
      </c>
      <c r="J150" s="151">
        <f t="shared" si="144"/>
        <v>0</v>
      </c>
      <c r="K150" s="151">
        <f t="shared" si="144"/>
        <v>0</v>
      </c>
      <c r="L150" s="151">
        <f t="shared" si="144"/>
        <v>0</v>
      </c>
      <c r="M150" s="151">
        <f t="shared" si="144"/>
        <v>0</v>
      </c>
      <c r="N150" s="151">
        <f t="shared" si="144"/>
        <v>0</v>
      </c>
      <c r="O150" s="151">
        <f t="shared" si="144"/>
        <v>0</v>
      </c>
      <c r="P150" s="151">
        <f t="shared" si="144"/>
        <v>0</v>
      </c>
      <c r="Q150" s="151">
        <f t="shared" si="144"/>
        <v>0</v>
      </c>
      <c r="R150" s="151">
        <f t="shared" si="144"/>
        <v>0</v>
      </c>
      <c r="S150" s="151">
        <f t="shared" si="144"/>
        <v>0</v>
      </c>
      <c r="T150" s="151">
        <f t="shared" si="144"/>
        <v>0</v>
      </c>
      <c r="U150" s="151">
        <f t="shared" si="144"/>
        <v>0</v>
      </c>
      <c r="V150" s="151">
        <f t="shared" si="144"/>
        <v>0</v>
      </c>
      <c r="W150" s="151">
        <f t="shared" si="144"/>
        <v>0</v>
      </c>
      <c r="X150" s="151">
        <f t="shared" si="144"/>
        <v>0</v>
      </c>
      <c r="Y150" s="151">
        <f t="shared" si="144"/>
        <v>0</v>
      </c>
      <c r="Z150" s="151">
        <f t="shared" si="144"/>
        <v>0</v>
      </c>
      <c r="AA150" s="151">
        <f t="shared" si="144"/>
        <v>0</v>
      </c>
      <c r="AB150" s="151">
        <f t="shared" si="144"/>
        <v>0</v>
      </c>
      <c r="AC150" s="151">
        <f t="shared" si="144"/>
        <v>0</v>
      </c>
      <c r="AD150" s="151">
        <f t="shared" si="144"/>
        <v>0</v>
      </c>
      <c r="AE150" s="151">
        <f>IF(AE18=$R32,$BC32,IF(AE18=$R33,$BC33,IF(AE18=$R34,$BC34,IF(AE18=$R35,$BC35,IF(AE18=$R36,$BC36,IF(AE18=$R37,$BC37,IF(AE18=$R38,$BC38,IF(AE18=$R39,$BC39,IF(AE18=$R40,$BC40,0)))))))))</f>
        <v>0</v>
      </c>
      <c r="AF150" s="151">
        <f>IF(AF18=$R32,$BC32,IF(AF18=$R33,$BC33,IF(AF18=$R34,$BC34,IF(AF18=$R35,$BC35,IF(AF18=$R36,$BC36,IF(AF18=$R37,$BC37,IF(AF18=$R38,$BC38,IF(AF18=$R39,$BC39,IF(AF18=$R40,$BC40,0)))))))))</f>
        <v>0</v>
      </c>
      <c r="AG150" s="151">
        <f>IF(AG18=$R32,$BC32,IF(AG18=$R33,$BC33,IF(AG18=$R34,$BC34,IF(AG18=$R35,$BC35,IF(AG18=$R36,$BC36,IF(AG18=$R37,$BC37,IF(AG18=$R38,$BC38,IF(AG18=$R39,$BC39,IF(AG18=$R40,$BC40,0)))))))))</f>
        <v>0</v>
      </c>
      <c r="AH150" s="226">
        <f>SUM(C150:AG150)</f>
        <v>0</v>
      </c>
      <c r="AI150" s="226"/>
      <c r="AJ150" s="174" t="s">
        <v>62</v>
      </c>
      <c r="AK150" s="133" t="s">
        <v>12</v>
      </c>
      <c r="AL150" s="133"/>
    </row>
    <row r="151" spans="1:38" ht="15.95" hidden="1" customHeight="1" x14ac:dyDescent="0.25">
      <c r="A151" s="153" t="s">
        <v>48</v>
      </c>
      <c r="B151" s="149" t="s">
        <v>63</v>
      </c>
      <c r="C151" s="141" t="b">
        <f>IF(C46=1,IF(C146&lt;C147,C150,0))</f>
        <v>0</v>
      </c>
      <c r="D151" s="141">
        <f t="shared" ref="D151:AG151" si="145">IF(D46=1,IF(D146&lt;D147,D150,0))</f>
        <v>0</v>
      </c>
      <c r="E151" s="141">
        <f t="shared" si="145"/>
        <v>0</v>
      </c>
      <c r="F151" s="141" t="b">
        <f t="shared" si="145"/>
        <v>0</v>
      </c>
      <c r="G151" s="141" t="b">
        <f t="shared" si="145"/>
        <v>0</v>
      </c>
      <c r="H151" s="141" t="b">
        <f t="shared" si="145"/>
        <v>0</v>
      </c>
      <c r="I151" s="141" t="b">
        <f t="shared" si="145"/>
        <v>0</v>
      </c>
      <c r="J151" s="141" t="b">
        <f t="shared" si="145"/>
        <v>0</v>
      </c>
      <c r="K151" s="141">
        <f t="shared" si="145"/>
        <v>0</v>
      </c>
      <c r="L151" s="141">
        <f t="shared" si="145"/>
        <v>0</v>
      </c>
      <c r="M151" s="141" t="b">
        <f t="shared" si="145"/>
        <v>0</v>
      </c>
      <c r="N151" s="141" t="b">
        <f t="shared" si="145"/>
        <v>0</v>
      </c>
      <c r="O151" s="141" t="b">
        <f t="shared" si="145"/>
        <v>0</v>
      </c>
      <c r="P151" s="141" t="b">
        <f t="shared" si="145"/>
        <v>0</v>
      </c>
      <c r="Q151" s="141" t="b">
        <f t="shared" si="145"/>
        <v>0</v>
      </c>
      <c r="R151" s="141">
        <f t="shared" si="145"/>
        <v>0</v>
      </c>
      <c r="S151" s="141">
        <f t="shared" si="145"/>
        <v>0</v>
      </c>
      <c r="T151" s="141" t="b">
        <f t="shared" si="145"/>
        <v>0</v>
      </c>
      <c r="U151" s="141" t="b">
        <f t="shared" si="145"/>
        <v>0</v>
      </c>
      <c r="V151" s="141" t="b">
        <f t="shared" si="145"/>
        <v>0</v>
      </c>
      <c r="W151" s="141" t="b">
        <f t="shared" si="145"/>
        <v>0</v>
      </c>
      <c r="X151" s="141" t="b">
        <f t="shared" si="145"/>
        <v>0</v>
      </c>
      <c r="Y151" s="141">
        <f t="shared" si="145"/>
        <v>0</v>
      </c>
      <c r="Z151" s="141">
        <f t="shared" si="145"/>
        <v>0</v>
      </c>
      <c r="AA151" s="141" t="b">
        <f t="shared" si="145"/>
        <v>0</v>
      </c>
      <c r="AB151" s="141" t="b">
        <f t="shared" si="145"/>
        <v>0</v>
      </c>
      <c r="AC151" s="141" t="b">
        <f t="shared" si="145"/>
        <v>0</v>
      </c>
      <c r="AD151" s="141" t="b">
        <f t="shared" si="145"/>
        <v>0</v>
      </c>
      <c r="AE151" s="141" t="b">
        <f t="shared" si="145"/>
        <v>0</v>
      </c>
      <c r="AF151" s="141">
        <f t="shared" si="145"/>
        <v>0</v>
      </c>
      <c r="AG151" s="141">
        <f t="shared" si="145"/>
        <v>0</v>
      </c>
      <c r="AH151" s="154" t="s">
        <v>12</v>
      </c>
      <c r="AI151" s="133"/>
      <c r="AJ151" s="170"/>
      <c r="AK151" s="133"/>
      <c r="AL151" s="133"/>
    </row>
    <row r="152" spans="1:38" ht="15.95" hidden="1" customHeight="1" x14ac:dyDescent="0.25">
      <c r="A152" s="176"/>
      <c r="B152" s="149" t="s">
        <v>64</v>
      </c>
      <c r="C152" s="141">
        <f t="shared" ref="C152:AG152" si="146">IF(C46=1,IF(C146&gt;C147,24-C146,0),0)</f>
        <v>0</v>
      </c>
      <c r="D152" s="141">
        <f t="shared" si="146"/>
        <v>0</v>
      </c>
      <c r="E152" s="141">
        <f t="shared" si="146"/>
        <v>0</v>
      </c>
      <c r="F152" s="141">
        <f t="shared" si="146"/>
        <v>0</v>
      </c>
      <c r="G152" s="141">
        <f t="shared" si="146"/>
        <v>0</v>
      </c>
      <c r="H152" s="141">
        <f t="shared" si="146"/>
        <v>0</v>
      </c>
      <c r="I152" s="141">
        <f t="shared" si="146"/>
        <v>0</v>
      </c>
      <c r="J152" s="141">
        <f t="shared" si="146"/>
        <v>0</v>
      </c>
      <c r="K152" s="141">
        <f t="shared" si="146"/>
        <v>0</v>
      </c>
      <c r="L152" s="141">
        <f t="shared" si="146"/>
        <v>0</v>
      </c>
      <c r="M152" s="141">
        <f t="shared" si="146"/>
        <v>0</v>
      </c>
      <c r="N152" s="141">
        <f t="shared" si="146"/>
        <v>0</v>
      </c>
      <c r="O152" s="141">
        <f t="shared" si="146"/>
        <v>0</v>
      </c>
      <c r="P152" s="141">
        <f t="shared" si="146"/>
        <v>0</v>
      </c>
      <c r="Q152" s="141">
        <f t="shared" si="146"/>
        <v>0</v>
      </c>
      <c r="R152" s="141">
        <f t="shared" si="146"/>
        <v>0</v>
      </c>
      <c r="S152" s="141">
        <f t="shared" si="146"/>
        <v>0</v>
      </c>
      <c r="T152" s="141">
        <f t="shared" si="146"/>
        <v>0</v>
      </c>
      <c r="U152" s="141">
        <f t="shared" si="146"/>
        <v>0</v>
      </c>
      <c r="V152" s="141">
        <f t="shared" si="146"/>
        <v>0</v>
      </c>
      <c r="W152" s="141">
        <f t="shared" si="146"/>
        <v>0</v>
      </c>
      <c r="X152" s="141">
        <f t="shared" si="146"/>
        <v>0</v>
      </c>
      <c r="Y152" s="141">
        <f t="shared" si="146"/>
        <v>0</v>
      </c>
      <c r="Z152" s="141">
        <f t="shared" si="146"/>
        <v>0</v>
      </c>
      <c r="AA152" s="141">
        <f t="shared" si="146"/>
        <v>0</v>
      </c>
      <c r="AB152" s="141">
        <f t="shared" si="146"/>
        <v>0</v>
      </c>
      <c r="AC152" s="141">
        <f t="shared" si="146"/>
        <v>0</v>
      </c>
      <c r="AD152" s="141">
        <f t="shared" si="146"/>
        <v>0</v>
      </c>
      <c r="AE152" s="141">
        <f t="shared" si="146"/>
        <v>0</v>
      </c>
      <c r="AF152" s="141">
        <f t="shared" si="146"/>
        <v>0</v>
      </c>
      <c r="AG152" s="141">
        <f t="shared" si="146"/>
        <v>0</v>
      </c>
      <c r="AH152" s="154" t="s">
        <v>12</v>
      </c>
      <c r="AI152" s="133"/>
      <c r="AJ152" s="170"/>
      <c r="AK152" s="133"/>
      <c r="AL152" s="133"/>
    </row>
    <row r="153" spans="1:38" ht="15.95" hidden="1" customHeight="1" x14ac:dyDescent="0.25">
      <c r="A153" s="176"/>
      <c r="B153" s="149" t="s">
        <v>65</v>
      </c>
      <c r="C153" s="141">
        <f t="shared" ref="C153:AG153" si="147">IF(D46=1,IF(C146&gt;C147,C147,0),0)</f>
        <v>0</v>
      </c>
      <c r="D153" s="141">
        <f t="shared" si="147"/>
        <v>0</v>
      </c>
      <c r="E153" s="141">
        <f t="shared" si="147"/>
        <v>0</v>
      </c>
      <c r="F153" s="141">
        <f t="shared" si="147"/>
        <v>0</v>
      </c>
      <c r="G153" s="141">
        <f t="shared" si="147"/>
        <v>0</v>
      </c>
      <c r="H153" s="141">
        <f t="shared" si="147"/>
        <v>0</v>
      </c>
      <c r="I153" s="141">
        <f t="shared" si="147"/>
        <v>0</v>
      </c>
      <c r="J153" s="141">
        <f t="shared" si="147"/>
        <v>0</v>
      </c>
      <c r="K153" s="141">
        <f t="shared" si="147"/>
        <v>0</v>
      </c>
      <c r="L153" s="141">
        <f t="shared" si="147"/>
        <v>0</v>
      </c>
      <c r="M153" s="141">
        <f t="shared" si="147"/>
        <v>0</v>
      </c>
      <c r="N153" s="141">
        <f t="shared" si="147"/>
        <v>0</v>
      </c>
      <c r="O153" s="141">
        <f t="shared" si="147"/>
        <v>0</v>
      </c>
      <c r="P153" s="141">
        <f t="shared" si="147"/>
        <v>0</v>
      </c>
      <c r="Q153" s="141">
        <f t="shared" si="147"/>
        <v>0</v>
      </c>
      <c r="R153" s="141">
        <f t="shared" si="147"/>
        <v>0</v>
      </c>
      <c r="S153" s="141">
        <f t="shared" si="147"/>
        <v>0</v>
      </c>
      <c r="T153" s="141">
        <f t="shared" si="147"/>
        <v>0</v>
      </c>
      <c r="U153" s="141">
        <f t="shared" si="147"/>
        <v>0</v>
      </c>
      <c r="V153" s="141">
        <f t="shared" si="147"/>
        <v>0</v>
      </c>
      <c r="W153" s="141">
        <f t="shared" si="147"/>
        <v>0</v>
      </c>
      <c r="X153" s="141">
        <f>IF(Y46=1,IF(X146&gt;X147,X147,0),0)</f>
        <v>0</v>
      </c>
      <c r="Y153" s="141">
        <f t="shared" si="147"/>
        <v>0</v>
      </c>
      <c r="Z153" s="141">
        <f t="shared" si="147"/>
        <v>0</v>
      </c>
      <c r="AA153" s="141">
        <f t="shared" si="147"/>
        <v>0</v>
      </c>
      <c r="AB153" s="141">
        <f t="shared" si="147"/>
        <v>0</v>
      </c>
      <c r="AC153" s="141">
        <f t="shared" si="147"/>
        <v>0</v>
      </c>
      <c r="AD153" s="141">
        <f t="shared" si="147"/>
        <v>0</v>
      </c>
      <c r="AE153" s="141">
        <f t="shared" si="147"/>
        <v>0</v>
      </c>
      <c r="AF153" s="141">
        <f t="shared" si="147"/>
        <v>0</v>
      </c>
      <c r="AG153" s="141">
        <f t="shared" si="147"/>
        <v>0</v>
      </c>
      <c r="AH153" s="154" t="s">
        <v>12</v>
      </c>
      <c r="AI153" s="133"/>
      <c r="AJ153" s="170"/>
      <c r="AK153" s="133"/>
      <c r="AL153" s="133"/>
    </row>
    <row r="154" spans="1:38" ht="15.95" hidden="1" customHeight="1" x14ac:dyDescent="0.25">
      <c r="A154" s="176"/>
      <c r="B154" s="149" t="s">
        <v>67</v>
      </c>
      <c r="C154" s="171">
        <f>SUM(C151:C153)</f>
        <v>0</v>
      </c>
      <c r="D154" s="171">
        <f t="shared" ref="D154:AG154" si="148">SUM(D151:D153)</f>
        <v>0</v>
      </c>
      <c r="E154" s="171">
        <f t="shared" si="148"/>
        <v>0</v>
      </c>
      <c r="F154" s="171">
        <f t="shared" si="148"/>
        <v>0</v>
      </c>
      <c r="G154" s="171">
        <f t="shared" si="148"/>
        <v>0</v>
      </c>
      <c r="H154" s="171">
        <f t="shared" si="148"/>
        <v>0</v>
      </c>
      <c r="I154" s="171">
        <f t="shared" si="148"/>
        <v>0</v>
      </c>
      <c r="J154" s="171">
        <f t="shared" si="148"/>
        <v>0</v>
      </c>
      <c r="K154" s="171">
        <f t="shared" si="148"/>
        <v>0</v>
      </c>
      <c r="L154" s="171">
        <f t="shared" si="148"/>
        <v>0</v>
      </c>
      <c r="M154" s="171">
        <f t="shared" si="148"/>
        <v>0</v>
      </c>
      <c r="N154" s="171">
        <f t="shared" si="148"/>
        <v>0</v>
      </c>
      <c r="O154" s="171">
        <f t="shared" si="148"/>
        <v>0</v>
      </c>
      <c r="P154" s="171">
        <f t="shared" si="148"/>
        <v>0</v>
      </c>
      <c r="Q154" s="171">
        <f t="shared" si="148"/>
        <v>0</v>
      </c>
      <c r="R154" s="171">
        <f t="shared" si="148"/>
        <v>0</v>
      </c>
      <c r="S154" s="171">
        <f t="shared" si="148"/>
        <v>0</v>
      </c>
      <c r="T154" s="171">
        <f t="shared" si="148"/>
        <v>0</v>
      </c>
      <c r="U154" s="171">
        <f t="shared" si="148"/>
        <v>0</v>
      </c>
      <c r="V154" s="171">
        <f t="shared" si="148"/>
        <v>0</v>
      </c>
      <c r="W154" s="171">
        <f t="shared" si="148"/>
        <v>0</v>
      </c>
      <c r="X154" s="171">
        <f t="shared" si="148"/>
        <v>0</v>
      </c>
      <c r="Y154" s="171">
        <f t="shared" si="148"/>
        <v>0</v>
      </c>
      <c r="Z154" s="171">
        <f t="shared" si="148"/>
        <v>0</v>
      </c>
      <c r="AA154" s="171">
        <f t="shared" si="148"/>
        <v>0</v>
      </c>
      <c r="AB154" s="171">
        <f t="shared" si="148"/>
        <v>0</v>
      </c>
      <c r="AC154" s="171">
        <f t="shared" si="148"/>
        <v>0</v>
      </c>
      <c r="AD154" s="171">
        <f t="shared" si="148"/>
        <v>0</v>
      </c>
      <c r="AE154" s="171">
        <f t="shared" si="148"/>
        <v>0</v>
      </c>
      <c r="AF154" s="171">
        <f t="shared" si="148"/>
        <v>0</v>
      </c>
      <c r="AG154" s="171">
        <f t="shared" si="148"/>
        <v>0</v>
      </c>
      <c r="AH154" s="154" t="s">
        <v>12</v>
      </c>
      <c r="AI154" s="133"/>
      <c r="AJ154" s="170"/>
      <c r="AK154" s="133"/>
      <c r="AL154" s="133"/>
    </row>
    <row r="155" spans="1:38" ht="15.95" hidden="1" customHeight="1" x14ac:dyDescent="0.25">
      <c r="A155" s="177"/>
      <c r="B155" s="160" t="s">
        <v>68</v>
      </c>
      <c r="C155" s="161">
        <f t="shared" ref="C155:AG155" si="149">IF(C18="V",IF(C18="",0,1),0)</f>
        <v>0</v>
      </c>
      <c r="D155" s="161">
        <f t="shared" si="149"/>
        <v>0</v>
      </c>
      <c r="E155" s="161">
        <f t="shared" si="149"/>
        <v>0</v>
      </c>
      <c r="F155" s="161">
        <f t="shared" si="149"/>
        <v>0</v>
      </c>
      <c r="G155" s="161">
        <f t="shared" si="149"/>
        <v>0</v>
      </c>
      <c r="H155" s="161">
        <f t="shared" si="149"/>
        <v>0</v>
      </c>
      <c r="I155" s="161">
        <f t="shared" si="149"/>
        <v>0</v>
      </c>
      <c r="J155" s="161">
        <f t="shared" si="149"/>
        <v>0</v>
      </c>
      <c r="K155" s="161">
        <f t="shared" si="149"/>
        <v>0</v>
      </c>
      <c r="L155" s="161">
        <f t="shared" si="149"/>
        <v>0</v>
      </c>
      <c r="M155" s="161">
        <f t="shared" si="149"/>
        <v>0</v>
      </c>
      <c r="N155" s="161">
        <f t="shared" si="149"/>
        <v>0</v>
      </c>
      <c r="O155" s="161">
        <f t="shared" si="149"/>
        <v>0</v>
      </c>
      <c r="P155" s="161">
        <f t="shared" si="149"/>
        <v>0</v>
      </c>
      <c r="Q155" s="161">
        <f t="shared" si="149"/>
        <v>0</v>
      </c>
      <c r="R155" s="161">
        <f t="shared" si="149"/>
        <v>0</v>
      </c>
      <c r="S155" s="161">
        <f t="shared" si="149"/>
        <v>0</v>
      </c>
      <c r="T155" s="161">
        <f t="shared" si="149"/>
        <v>0</v>
      </c>
      <c r="U155" s="161">
        <f t="shared" si="149"/>
        <v>0</v>
      </c>
      <c r="V155" s="161">
        <f t="shared" si="149"/>
        <v>0</v>
      </c>
      <c r="W155" s="161">
        <f t="shared" si="149"/>
        <v>0</v>
      </c>
      <c r="X155" s="161">
        <f t="shared" si="149"/>
        <v>0</v>
      </c>
      <c r="Y155" s="161">
        <f t="shared" si="149"/>
        <v>0</v>
      </c>
      <c r="Z155" s="161">
        <f t="shared" si="149"/>
        <v>0</v>
      </c>
      <c r="AA155" s="161">
        <f t="shared" si="149"/>
        <v>0</v>
      </c>
      <c r="AB155" s="161">
        <f t="shared" si="149"/>
        <v>0</v>
      </c>
      <c r="AC155" s="161">
        <f t="shared" si="149"/>
        <v>0</v>
      </c>
      <c r="AD155" s="161">
        <f t="shared" si="149"/>
        <v>0</v>
      </c>
      <c r="AE155" s="161">
        <f t="shared" si="149"/>
        <v>0</v>
      </c>
      <c r="AF155" s="161">
        <f t="shared" si="149"/>
        <v>0</v>
      </c>
      <c r="AG155" s="161">
        <f t="shared" si="149"/>
        <v>0</v>
      </c>
      <c r="AH155" s="154" t="s">
        <v>12</v>
      </c>
      <c r="AI155" s="133"/>
      <c r="AJ155" s="170"/>
      <c r="AK155" s="133"/>
      <c r="AL155" s="133"/>
    </row>
    <row r="156" spans="1:38" ht="15.95" hidden="1" customHeight="1" x14ac:dyDescent="0.25">
      <c r="A156" s="180"/>
      <c r="B156" s="181" t="s">
        <v>16</v>
      </c>
      <c r="C156" s="182">
        <f t="shared" ref="C156:AG156" si="150">IF(C18="PR",IF(C18="",0,1),0)</f>
        <v>0</v>
      </c>
      <c r="D156" s="182">
        <f t="shared" si="150"/>
        <v>0</v>
      </c>
      <c r="E156" s="182">
        <f t="shared" si="150"/>
        <v>0</v>
      </c>
      <c r="F156" s="182">
        <f t="shared" si="150"/>
        <v>0</v>
      </c>
      <c r="G156" s="182">
        <f t="shared" si="150"/>
        <v>0</v>
      </c>
      <c r="H156" s="182">
        <f t="shared" si="150"/>
        <v>0</v>
      </c>
      <c r="I156" s="182">
        <f t="shared" si="150"/>
        <v>0</v>
      </c>
      <c r="J156" s="182">
        <f t="shared" si="150"/>
        <v>0</v>
      </c>
      <c r="K156" s="182">
        <f t="shared" si="150"/>
        <v>0</v>
      </c>
      <c r="L156" s="182">
        <f t="shared" si="150"/>
        <v>0</v>
      </c>
      <c r="M156" s="182">
        <f t="shared" si="150"/>
        <v>0</v>
      </c>
      <c r="N156" s="182">
        <f t="shared" si="150"/>
        <v>0</v>
      </c>
      <c r="O156" s="182">
        <f t="shared" si="150"/>
        <v>0</v>
      </c>
      <c r="P156" s="182">
        <f t="shared" si="150"/>
        <v>0</v>
      </c>
      <c r="Q156" s="182">
        <f t="shared" si="150"/>
        <v>0</v>
      </c>
      <c r="R156" s="182">
        <f t="shared" si="150"/>
        <v>0</v>
      </c>
      <c r="S156" s="182">
        <f t="shared" si="150"/>
        <v>0</v>
      </c>
      <c r="T156" s="182">
        <f t="shared" si="150"/>
        <v>0</v>
      </c>
      <c r="U156" s="182">
        <f t="shared" si="150"/>
        <v>0</v>
      </c>
      <c r="V156" s="182">
        <f t="shared" si="150"/>
        <v>0</v>
      </c>
      <c r="W156" s="182">
        <f t="shared" si="150"/>
        <v>0</v>
      </c>
      <c r="X156" s="182">
        <f t="shared" si="150"/>
        <v>0</v>
      </c>
      <c r="Y156" s="182">
        <f t="shared" si="150"/>
        <v>0</v>
      </c>
      <c r="Z156" s="182">
        <f t="shared" si="150"/>
        <v>0</v>
      </c>
      <c r="AA156" s="182">
        <f t="shared" si="150"/>
        <v>0</v>
      </c>
      <c r="AB156" s="182">
        <f t="shared" si="150"/>
        <v>0</v>
      </c>
      <c r="AC156" s="182">
        <f t="shared" si="150"/>
        <v>0</v>
      </c>
      <c r="AD156" s="182">
        <f t="shared" si="150"/>
        <v>0</v>
      </c>
      <c r="AE156" s="182">
        <f t="shared" si="150"/>
        <v>0</v>
      </c>
      <c r="AF156" s="182">
        <f t="shared" si="150"/>
        <v>0</v>
      </c>
      <c r="AG156" s="182">
        <f t="shared" si="150"/>
        <v>0</v>
      </c>
      <c r="AH156" s="227">
        <f>SUM(C156:AG156)</f>
        <v>0</v>
      </c>
      <c r="AI156" s="227"/>
      <c r="AJ156" s="174" t="s">
        <v>69</v>
      </c>
      <c r="AK156" s="133"/>
      <c r="AL156" s="133"/>
    </row>
    <row r="157" spans="1:38" ht="15.95" hidden="1" customHeight="1" x14ac:dyDescent="0.25">
      <c r="A157" s="164" t="s">
        <v>126</v>
      </c>
      <c r="B157" s="165" t="s">
        <v>29</v>
      </c>
      <c r="C157" s="141" t="str">
        <f>IF(C19=$R32,$S32*24,IF(C19=$R33,$S33*24,IF(C19=$R34,$S34*24,IF(C19=$R35,$S35*24,IF(C19=$R36,$S36*24,IF(C19=$R37,$S37*24,IF(C19=$R38,$S38*24,IF(C19=$R39,$S39*24,IF(C19=$R40,$S40*24,"")))))))))</f>
        <v/>
      </c>
      <c r="D157" s="141" t="str">
        <f t="shared" ref="D157:AG157" si="151">IF(D19=$R32,$S32*24,IF(D19=$R33,$S33*24,IF(D19=$R34,$S34*24,IF(D19=$R35,$S35*24,IF(D19=$R36,$S36*24,IF(D19=$R37,$S37*24,IF(D19=$R38,$S38*24,IF(D19=$R39,$S39*24,IF(D19=$R40,$S40*24,"")))))))))</f>
        <v/>
      </c>
      <c r="E157" s="141" t="str">
        <f t="shared" si="151"/>
        <v/>
      </c>
      <c r="F157" s="141" t="str">
        <f t="shared" si="151"/>
        <v/>
      </c>
      <c r="G157" s="141" t="str">
        <f t="shared" si="151"/>
        <v/>
      </c>
      <c r="H157" s="141" t="str">
        <f t="shared" si="151"/>
        <v/>
      </c>
      <c r="I157" s="141" t="str">
        <f t="shared" si="151"/>
        <v/>
      </c>
      <c r="J157" s="141" t="str">
        <f t="shared" si="151"/>
        <v/>
      </c>
      <c r="K157" s="141" t="str">
        <f t="shared" si="151"/>
        <v/>
      </c>
      <c r="L157" s="141" t="str">
        <f t="shared" si="151"/>
        <v/>
      </c>
      <c r="M157" s="141" t="str">
        <f t="shared" si="151"/>
        <v/>
      </c>
      <c r="N157" s="141" t="str">
        <f t="shared" si="151"/>
        <v/>
      </c>
      <c r="O157" s="141" t="str">
        <f t="shared" si="151"/>
        <v/>
      </c>
      <c r="P157" s="141" t="str">
        <f t="shared" si="151"/>
        <v/>
      </c>
      <c r="Q157" s="141" t="str">
        <f t="shared" si="151"/>
        <v/>
      </c>
      <c r="R157" s="141" t="str">
        <f t="shared" si="151"/>
        <v/>
      </c>
      <c r="S157" s="141" t="str">
        <f t="shared" si="151"/>
        <v/>
      </c>
      <c r="T157" s="141" t="str">
        <f t="shared" si="151"/>
        <v/>
      </c>
      <c r="U157" s="141" t="str">
        <f t="shared" si="151"/>
        <v/>
      </c>
      <c r="V157" s="141" t="str">
        <f t="shared" si="151"/>
        <v/>
      </c>
      <c r="W157" s="141" t="str">
        <f t="shared" si="151"/>
        <v/>
      </c>
      <c r="X157" s="141" t="str">
        <f t="shared" si="151"/>
        <v/>
      </c>
      <c r="Y157" s="141" t="str">
        <f t="shared" si="151"/>
        <v/>
      </c>
      <c r="Z157" s="141" t="str">
        <f t="shared" si="151"/>
        <v/>
      </c>
      <c r="AA157" s="141" t="str">
        <f t="shared" si="151"/>
        <v/>
      </c>
      <c r="AB157" s="141" t="str">
        <f t="shared" si="151"/>
        <v/>
      </c>
      <c r="AC157" s="141" t="str">
        <f t="shared" si="151"/>
        <v/>
      </c>
      <c r="AD157" s="141" t="str">
        <f t="shared" si="151"/>
        <v/>
      </c>
      <c r="AE157" s="141" t="str">
        <f t="shared" si="151"/>
        <v/>
      </c>
      <c r="AF157" s="141" t="str">
        <f t="shared" si="151"/>
        <v/>
      </c>
      <c r="AG157" s="141" t="str">
        <f t="shared" si="151"/>
        <v/>
      </c>
      <c r="AH157" s="154" t="s">
        <v>12</v>
      </c>
      <c r="AI157" s="133"/>
      <c r="AJ157" s="170"/>
      <c r="AK157" s="133"/>
      <c r="AL157" s="133"/>
    </row>
    <row r="158" spans="1:38" ht="15.95" hidden="1" customHeight="1" x14ac:dyDescent="0.25">
      <c r="A158" s="166" t="s">
        <v>128</v>
      </c>
      <c r="B158" s="167" t="s">
        <v>30</v>
      </c>
      <c r="C158" s="141" t="str">
        <f>IF(C19=$R32,$V32*24,IF(C19=$R33,$V33*24,IF(C19=$R34,$V34*24,IF(C19=$R35,$V35*24,IF(C19=$R36,$V36*24,IF(C19=$R37,$V37*24,IF(C19=$R38,$V38*24,IF(C19=$R39,$V39*24,IF(C19=$R40,$V40*24,"")))))))))</f>
        <v/>
      </c>
      <c r="D158" s="141" t="str">
        <f t="shared" ref="D158:AG158" si="152">IF(D19=$R32,$V32*24,IF(D19=$R33,$V33*24,IF(D19=$R34,$V34*24,IF(D19=$R35,$V35*24,IF(D19=$R36,$V36*24,IF(D19=$R37,$V37*24,IF(D19=$R38,$V38*24,IF(D19=$R39,$V39*24,IF(D19=$R40,$V40*24,"")))))))))</f>
        <v/>
      </c>
      <c r="E158" s="141" t="str">
        <f t="shared" si="152"/>
        <v/>
      </c>
      <c r="F158" s="141" t="str">
        <f t="shared" si="152"/>
        <v/>
      </c>
      <c r="G158" s="141" t="str">
        <f t="shared" si="152"/>
        <v/>
      </c>
      <c r="H158" s="141" t="str">
        <f t="shared" si="152"/>
        <v/>
      </c>
      <c r="I158" s="141" t="str">
        <f t="shared" si="152"/>
        <v/>
      </c>
      <c r="J158" s="141" t="str">
        <f t="shared" si="152"/>
        <v/>
      </c>
      <c r="K158" s="141" t="str">
        <f t="shared" si="152"/>
        <v/>
      </c>
      <c r="L158" s="141" t="str">
        <f t="shared" si="152"/>
        <v/>
      </c>
      <c r="M158" s="141" t="str">
        <f t="shared" si="152"/>
        <v/>
      </c>
      <c r="N158" s="141" t="str">
        <f t="shared" si="152"/>
        <v/>
      </c>
      <c r="O158" s="141" t="str">
        <f t="shared" si="152"/>
        <v/>
      </c>
      <c r="P158" s="141" t="str">
        <f t="shared" si="152"/>
        <v/>
      </c>
      <c r="Q158" s="141" t="str">
        <f t="shared" si="152"/>
        <v/>
      </c>
      <c r="R158" s="141" t="str">
        <f t="shared" si="152"/>
        <v/>
      </c>
      <c r="S158" s="141" t="str">
        <f t="shared" si="152"/>
        <v/>
      </c>
      <c r="T158" s="141" t="str">
        <f t="shared" si="152"/>
        <v/>
      </c>
      <c r="U158" s="141" t="str">
        <f t="shared" si="152"/>
        <v/>
      </c>
      <c r="V158" s="141" t="str">
        <f t="shared" si="152"/>
        <v/>
      </c>
      <c r="W158" s="141" t="str">
        <f t="shared" si="152"/>
        <v/>
      </c>
      <c r="X158" s="141" t="str">
        <f t="shared" si="152"/>
        <v/>
      </c>
      <c r="Y158" s="141" t="str">
        <f t="shared" si="152"/>
        <v/>
      </c>
      <c r="Z158" s="141" t="str">
        <f t="shared" si="152"/>
        <v/>
      </c>
      <c r="AA158" s="141" t="str">
        <f t="shared" si="152"/>
        <v/>
      </c>
      <c r="AB158" s="141" t="str">
        <f t="shared" si="152"/>
        <v/>
      </c>
      <c r="AC158" s="141" t="str">
        <f t="shared" si="152"/>
        <v/>
      </c>
      <c r="AD158" s="141" t="str">
        <f t="shared" si="152"/>
        <v/>
      </c>
      <c r="AE158" s="141" t="str">
        <f t="shared" si="152"/>
        <v/>
      </c>
      <c r="AF158" s="141" t="str">
        <f t="shared" si="152"/>
        <v/>
      </c>
      <c r="AG158" s="141" t="str">
        <f t="shared" si="152"/>
        <v/>
      </c>
      <c r="AH158" s="154" t="s">
        <v>12</v>
      </c>
      <c r="AI158" s="133"/>
      <c r="AJ158" s="170"/>
      <c r="AK158" s="133"/>
      <c r="AL158" s="133"/>
    </row>
    <row r="159" spans="1:38" ht="15.95" hidden="1" customHeight="1" x14ac:dyDescent="0.25">
      <c r="A159" s="153"/>
      <c r="B159" s="183" t="s">
        <v>34</v>
      </c>
      <c r="C159" s="169" t="str">
        <f t="shared" ref="C159:AD159" si="153">IF(C19=$R32,$BD32*24,IF(C19=$R33,$BD33*24,IF(C19=$R34,$BD34*24,IF(C19=$R35,$BD35*24,IF(C19=$R36,$BD36*24,IF(C19=$R37,$BD37*24,IF(C19=$R38,$BD38*24,IF(C19=$R39,$BD39*24,IF(C19=$R40,$BD40*24,"")))))))))</f>
        <v/>
      </c>
      <c r="D159" s="169" t="str">
        <f t="shared" si="153"/>
        <v/>
      </c>
      <c r="E159" s="169" t="str">
        <f t="shared" si="153"/>
        <v/>
      </c>
      <c r="F159" s="169" t="str">
        <f t="shared" si="153"/>
        <v/>
      </c>
      <c r="G159" s="169" t="str">
        <f t="shared" si="153"/>
        <v/>
      </c>
      <c r="H159" s="169" t="str">
        <f t="shared" si="153"/>
        <v/>
      </c>
      <c r="I159" s="169" t="str">
        <f t="shared" si="153"/>
        <v/>
      </c>
      <c r="J159" s="169" t="str">
        <f t="shared" si="153"/>
        <v/>
      </c>
      <c r="K159" s="169" t="str">
        <f t="shared" si="153"/>
        <v/>
      </c>
      <c r="L159" s="169" t="str">
        <f t="shared" si="153"/>
        <v/>
      </c>
      <c r="M159" s="169" t="str">
        <f t="shared" si="153"/>
        <v/>
      </c>
      <c r="N159" s="169" t="str">
        <f t="shared" si="153"/>
        <v/>
      </c>
      <c r="O159" s="169" t="str">
        <f t="shared" si="153"/>
        <v/>
      </c>
      <c r="P159" s="169" t="str">
        <f t="shared" si="153"/>
        <v/>
      </c>
      <c r="Q159" s="169" t="str">
        <f t="shared" si="153"/>
        <v/>
      </c>
      <c r="R159" s="169" t="str">
        <f t="shared" si="153"/>
        <v/>
      </c>
      <c r="S159" s="169" t="str">
        <f t="shared" si="153"/>
        <v/>
      </c>
      <c r="T159" s="169" t="str">
        <f t="shared" si="153"/>
        <v/>
      </c>
      <c r="U159" s="169" t="str">
        <f t="shared" si="153"/>
        <v/>
      </c>
      <c r="V159" s="169" t="str">
        <f t="shared" si="153"/>
        <v/>
      </c>
      <c r="W159" s="169" t="str">
        <f t="shared" si="153"/>
        <v/>
      </c>
      <c r="X159" s="169" t="str">
        <f t="shared" si="153"/>
        <v/>
      </c>
      <c r="Y159" s="169" t="str">
        <f t="shared" si="153"/>
        <v/>
      </c>
      <c r="Z159" s="169" t="str">
        <f t="shared" si="153"/>
        <v/>
      </c>
      <c r="AA159" s="169" t="str">
        <f t="shared" si="153"/>
        <v/>
      </c>
      <c r="AB159" s="169" t="str">
        <f t="shared" si="153"/>
        <v/>
      </c>
      <c r="AC159" s="169" t="str">
        <f t="shared" si="153"/>
        <v/>
      </c>
      <c r="AD159" s="169" t="str">
        <f t="shared" si="153"/>
        <v/>
      </c>
      <c r="AE159" s="169" t="str">
        <f>IF(AE19=$R32,$BD32*24,IF(AE19=$R33,$BD33*24,IF(AE19=$R34,$BD34*24,IF(AE19=$R35,$BD35*24,IF(AE19=$R36,$BD36*24,IF(AE19=$R37,$BD37*24,IF(AE19=$R38,$BD38*24,IF(AE19=$R39,$BD39*24,IF(AE19=$R40,$BD40*24,"")))))))))</f>
        <v/>
      </c>
      <c r="AF159" s="169" t="str">
        <f>IF(AF19=$R32,$BD32*24,IF(AF19=$R33,$BD33*24,IF(AF19=$R34,$BD34*24,IF(AF19=$R35,$BD35*24,IF(AF19=$R36,$BD36*24,IF(AF19=$R37,$BD37*24,IF(AF19=$R38,$BD38*24,IF(AF19=$R39,$BD39*24,IF(AF19=$R40,$BD40*24,"")))))))))</f>
        <v/>
      </c>
      <c r="AG159" s="169" t="str">
        <f>IF(AG19=$R32,$BD32*24,IF(AG19=$R33,$BD33*24,IF(AG19=$R34,$BD34*24,IF(AG19=$R35,$BD35*24,IF(AG19=$R36,$BD36*24,IF(AG19=$R37,$BD37*24,IF(AG19=$R38,$BD38*24,IF(AG19=$R39,$BD39*24,IF(AG19=$R40,$BD40*24,"")))))))))</f>
        <v/>
      </c>
      <c r="AH159" s="148">
        <f>SUM(C159:AG159)</f>
        <v>0</v>
      </c>
      <c r="AI159" s="133"/>
      <c r="AJ159" s="170"/>
      <c r="AK159" s="133"/>
      <c r="AL159" s="133"/>
    </row>
    <row r="160" spans="1:38" ht="15.95" hidden="1" customHeight="1" x14ac:dyDescent="0.25">
      <c r="A160" s="153"/>
      <c r="B160" s="167" t="s">
        <v>59</v>
      </c>
      <c r="C160" s="141">
        <f>IF(C19="V",$C36,IF(C19="PR",$C38,0))</f>
        <v>0</v>
      </c>
      <c r="D160" s="141">
        <f t="shared" ref="D160:AG160" si="154">IF(D19="V",$C36,IF(D19="PR",$C38,0))</f>
        <v>0</v>
      </c>
      <c r="E160" s="141">
        <f t="shared" si="154"/>
        <v>0</v>
      </c>
      <c r="F160" s="141">
        <f t="shared" si="154"/>
        <v>0</v>
      </c>
      <c r="G160" s="141">
        <f t="shared" si="154"/>
        <v>0</v>
      </c>
      <c r="H160" s="141">
        <f t="shared" si="154"/>
        <v>0</v>
      </c>
      <c r="I160" s="141">
        <f t="shared" si="154"/>
        <v>0</v>
      </c>
      <c r="J160" s="141">
        <f t="shared" si="154"/>
        <v>0</v>
      </c>
      <c r="K160" s="141">
        <f t="shared" si="154"/>
        <v>0</v>
      </c>
      <c r="L160" s="141">
        <f t="shared" si="154"/>
        <v>0</v>
      </c>
      <c r="M160" s="141">
        <f t="shared" si="154"/>
        <v>0</v>
      </c>
      <c r="N160" s="141">
        <f t="shared" si="154"/>
        <v>0</v>
      </c>
      <c r="O160" s="141">
        <f t="shared" si="154"/>
        <v>0</v>
      </c>
      <c r="P160" s="141">
        <f t="shared" si="154"/>
        <v>0</v>
      </c>
      <c r="Q160" s="141">
        <f t="shared" si="154"/>
        <v>0</v>
      </c>
      <c r="R160" s="141">
        <f t="shared" si="154"/>
        <v>0</v>
      </c>
      <c r="S160" s="141">
        <f t="shared" si="154"/>
        <v>0</v>
      </c>
      <c r="T160" s="141">
        <f t="shared" si="154"/>
        <v>0</v>
      </c>
      <c r="U160" s="141">
        <f t="shared" si="154"/>
        <v>0</v>
      </c>
      <c r="V160" s="141">
        <f t="shared" si="154"/>
        <v>0</v>
      </c>
      <c r="W160" s="141">
        <f t="shared" si="154"/>
        <v>0</v>
      </c>
      <c r="X160" s="141">
        <f t="shared" si="154"/>
        <v>0</v>
      </c>
      <c r="Y160" s="141">
        <f t="shared" si="154"/>
        <v>0</v>
      </c>
      <c r="Z160" s="141">
        <f t="shared" si="154"/>
        <v>0</v>
      </c>
      <c r="AA160" s="141">
        <f t="shared" si="154"/>
        <v>0</v>
      </c>
      <c r="AB160" s="141">
        <f t="shared" si="154"/>
        <v>0</v>
      </c>
      <c r="AC160" s="141">
        <f t="shared" si="154"/>
        <v>0</v>
      </c>
      <c r="AD160" s="141">
        <f t="shared" si="154"/>
        <v>0</v>
      </c>
      <c r="AE160" s="141">
        <f t="shared" si="154"/>
        <v>0</v>
      </c>
      <c r="AF160" s="141">
        <f t="shared" si="154"/>
        <v>0</v>
      </c>
      <c r="AG160" s="141">
        <f t="shared" si="154"/>
        <v>0</v>
      </c>
      <c r="AH160" s="226">
        <f>SUM(C160:AG160)</f>
        <v>0</v>
      </c>
      <c r="AI160" s="226"/>
      <c r="AJ160" s="230">
        <f>SUM(AH105+AH116+AH127+AH138+AH149+AH160)</f>
        <v>0</v>
      </c>
      <c r="AK160" s="230"/>
      <c r="AL160" s="133" t="s">
        <v>56</v>
      </c>
    </row>
    <row r="161" spans="1:38" ht="15.95" hidden="1" customHeight="1" x14ac:dyDescent="0.25">
      <c r="A161" s="150" t="s">
        <v>60</v>
      </c>
      <c r="B161" s="167" t="s">
        <v>61</v>
      </c>
      <c r="C161" s="151">
        <f t="shared" ref="C161:AD161" si="155">IF(C19=$R32,$BC32,IF(C19=$R33,$BC33,IF(C19=$R34,$BC34,IF(C19=$R35,$BC35,IF(C19=$R36,$BC36,IF(C19=$R37,$BC37,IF(C19=$R38,$BC38,IF(C19=$R39,$BC39,IF(C19=$R40,$BC40,0)))))))))</f>
        <v>0</v>
      </c>
      <c r="D161" s="151">
        <f t="shared" si="155"/>
        <v>0</v>
      </c>
      <c r="E161" s="151">
        <f t="shared" si="155"/>
        <v>0</v>
      </c>
      <c r="F161" s="151">
        <f t="shared" si="155"/>
        <v>0</v>
      </c>
      <c r="G161" s="151">
        <f t="shared" si="155"/>
        <v>0</v>
      </c>
      <c r="H161" s="151">
        <f t="shared" si="155"/>
        <v>0</v>
      </c>
      <c r="I161" s="151">
        <f t="shared" si="155"/>
        <v>0</v>
      </c>
      <c r="J161" s="151">
        <f t="shared" si="155"/>
        <v>0</v>
      </c>
      <c r="K161" s="151">
        <f t="shared" si="155"/>
        <v>0</v>
      </c>
      <c r="L161" s="151">
        <f t="shared" si="155"/>
        <v>0</v>
      </c>
      <c r="M161" s="151">
        <f t="shared" si="155"/>
        <v>0</v>
      </c>
      <c r="N161" s="151">
        <f t="shared" si="155"/>
        <v>0</v>
      </c>
      <c r="O161" s="151">
        <f t="shared" si="155"/>
        <v>0</v>
      </c>
      <c r="P161" s="151">
        <f t="shared" si="155"/>
        <v>0</v>
      </c>
      <c r="Q161" s="151">
        <f t="shared" si="155"/>
        <v>0</v>
      </c>
      <c r="R161" s="151">
        <f t="shared" si="155"/>
        <v>0</v>
      </c>
      <c r="S161" s="151">
        <f t="shared" si="155"/>
        <v>0</v>
      </c>
      <c r="T161" s="151">
        <f t="shared" si="155"/>
        <v>0</v>
      </c>
      <c r="U161" s="151">
        <f t="shared" si="155"/>
        <v>0</v>
      </c>
      <c r="V161" s="151">
        <f t="shared" si="155"/>
        <v>0</v>
      </c>
      <c r="W161" s="151">
        <f t="shared" si="155"/>
        <v>0</v>
      </c>
      <c r="X161" s="151">
        <f t="shared" si="155"/>
        <v>0</v>
      </c>
      <c r="Y161" s="151">
        <f t="shared" si="155"/>
        <v>0</v>
      </c>
      <c r="Z161" s="151">
        <f t="shared" si="155"/>
        <v>0</v>
      </c>
      <c r="AA161" s="151">
        <f t="shared" si="155"/>
        <v>0</v>
      </c>
      <c r="AB161" s="151">
        <f t="shared" si="155"/>
        <v>0</v>
      </c>
      <c r="AC161" s="151">
        <f t="shared" si="155"/>
        <v>0</v>
      </c>
      <c r="AD161" s="151">
        <f t="shared" si="155"/>
        <v>0</v>
      </c>
      <c r="AE161" s="151">
        <f>IF(AE19=$R32,$BC32,IF(AE19=$R33,$BC33,IF(AE19=$R34,$BC34,IF(AE19=$R35,$BC35,IF(AE19=$R36,$BC36,IF(AE19=$R37,$BC37,IF(AE19=$R38,$BC38,IF(AE19=$R39,$BC39,IF(AE19=$R40,$BC40,0)))))))))</f>
        <v>0</v>
      </c>
      <c r="AF161" s="151">
        <f>IF(AF19=$R32,$BC32,IF(AF19=$R33,$BC33,IF(AF19=$R34,$BC34,IF(AF19=$R35,$BC35,IF(AF19=$R36,$BC36,IF(AF19=$R37,$BC37,IF(AF19=$R38,$BC38,IF(AF19=$R39,$BC39,IF(AF19=$R40,$BC40,0)))))))))</f>
        <v>0</v>
      </c>
      <c r="AG161" s="151">
        <f>IF(AG19=$R32,$BC32,IF(AG19=$R33,$BC33,IF(AG19=$R34,$BC34,IF(AG19=$R35,$BC35,IF(AG19=$R36,$BC36,IF(AG19=$R37,$BC37,IF(AG19=$R38,$BC38,IF(AG19=$R39,$BC39,IF(AG19=$R40,$BC40,0)))))))))</f>
        <v>0</v>
      </c>
      <c r="AH161" s="226">
        <f>SUM(C161:AG161)</f>
        <v>0</v>
      </c>
      <c r="AI161" s="226"/>
      <c r="AJ161" s="174" t="s">
        <v>62</v>
      </c>
      <c r="AK161" s="133" t="s">
        <v>12</v>
      </c>
      <c r="AL161" s="133"/>
    </row>
    <row r="162" spans="1:38" ht="15.95" hidden="1" customHeight="1" x14ac:dyDescent="0.25">
      <c r="A162" s="153" t="s">
        <v>48</v>
      </c>
      <c r="B162" s="149" t="s">
        <v>63</v>
      </c>
      <c r="C162" s="141" t="b">
        <f>IF(C46=1,IF(C157&lt;C158,C161,0))</f>
        <v>0</v>
      </c>
      <c r="D162" s="141">
        <f t="shared" ref="D162:AG162" si="156">IF(D46=1,IF(D157&lt;D158,D161,0))</f>
        <v>0</v>
      </c>
      <c r="E162" s="141">
        <f t="shared" si="156"/>
        <v>0</v>
      </c>
      <c r="F162" s="141" t="b">
        <f t="shared" si="156"/>
        <v>0</v>
      </c>
      <c r="G162" s="141" t="b">
        <f t="shared" si="156"/>
        <v>0</v>
      </c>
      <c r="H162" s="141" t="b">
        <f t="shared" si="156"/>
        <v>0</v>
      </c>
      <c r="I162" s="141" t="b">
        <f t="shared" si="156"/>
        <v>0</v>
      </c>
      <c r="J162" s="141" t="b">
        <f t="shared" si="156"/>
        <v>0</v>
      </c>
      <c r="K162" s="141">
        <f t="shared" si="156"/>
        <v>0</v>
      </c>
      <c r="L162" s="141">
        <f t="shared" si="156"/>
        <v>0</v>
      </c>
      <c r="M162" s="141" t="b">
        <f t="shared" si="156"/>
        <v>0</v>
      </c>
      <c r="N162" s="141" t="b">
        <f t="shared" si="156"/>
        <v>0</v>
      </c>
      <c r="O162" s="141" t="b">
        <f t="shared" si="156"/>
        <v>0</v>
      </c>
      <c r="P162" s="141" t="b">
        <f t="shared" si="156"/>
        <v>0</v>
      </c>
      <c r="Q162" s="141" t="b">
        <f t="shared" si="156"/>
        <v>0</v>
      </c>
      <c r="R162" s="141">
        <f t="shared" si="156"/>
        <v>0</v>
      </c>
      <c r="S162" s="141">
        <f t="shared" si="156"/>
        <v>0</v>
      </c>
      <c r="T162" s="141" t="b">
        <f t="shared" si="156"/>
        <v>0</v>
      </c>
      <c r="U162" s="141" t="b">
        <f t="shared" si="156"/>
        <v>0</v>
      </c>
      <c r="V162" s="141" t="b">
        <f t="shared" si="156"/>
        <v>0</v>
      </c>
      <c r="W162" s="141" t="b">
        <f t="shared" si="156"/>
        <v>0</v>
      </c>
      <c r="X162" s="141" t="b">
        <f t="shared" si="156"/>
        <v>0</v>
      </c>
      <c r="Y162" s="141">
        <f t="shared" si="156"/>
        <v>0</v>
      </c>
      <c r="Z162" s="141">
        <f t="shared" si="156"/>
        <v>0</v>
      </c>
      <c r="AA162" s="141" t="b">
        <f t="shared" si="156"/>
        <v>0</v>
      </c>
      <c r="AB162" s="141" t="b">
        <f t="shared" si="156"/>
        <v>0</v>
      </c>
      <c r="AC162" s="141" t="b">
        <f t="shared" si="156"/>
        <v>0</v>
      </c>
      <c r="AD162" s="141" t="b">
        <f t="shared" si="156"/>
        <v>0</v>
      </c>
      <c r="AE162" s="141" t="b">
        <f t="shared" si="156"/>
        <v>0</v>
      </c>
      <c r="AF162" s="141">
        <f t="shared" si="156"/>
        <v>0</v>
      </c>
      <c r="AG162" s="141">
        <f t="shared" si="156"/>
        <v>0</v>
      </c>
      <c r="AH162" s="154" t="s">
        <v>12</v>
      </c>
      <c r="AI162" s="133"/>
      <c r="AJ162" s="170"/>
      <c r="AK162" s="133"/>
      <c r="AL162" s="133"/>
    </row>
    <row r="163" spans="1:38" ht="15.95" hidden="1" customHeight="1" x14ac:dyDescent="0.25">
      <c r="A163" s="176"/>
      <c r="B163" s="149" t="s">
        <v>64</v>
      </c>
      <c r="C163" s="141">
        <f>IF(C46=1,IF(C157&gt;C158,24-C157,0),0)</f>
        <v>0</v>
      </c>
      <c r="D163" s="141">
        <f t="shared" ref="D163:AG163" si="157">IF(D46=1,IF(D157&gt;D158,24-D157,0),0)</f>
        <v>0</v>
      </c>
      <c r="E163" s="141">
        <f t="shared" si="157"/>
        <v>0</v>
      </c>
      <c r="F163" s="141">
        <f t="shared" si="157"/>
        <v>0</v>
      </c>
      <c r="G163" s="141">
        <f t="shared" si="157"/>
        <v>0</v>
      </c>
      <c r="H163" s="141">
        <f t="shared" si="157"/>
        <v>0</v>
      </c>
      <c r="I163" s="141">
        <f t="shared" si="157"/>
        <v>0</v>
      </c>
      <c r="J163" s="141">
        <f t="shared" si="157"/>
        <v>0</v>
      </c>
      <c r="K163" s="141">
        <f t="shared" si="157"/>
        <v>0</v>
      </c>
      <c r="L163" s="141">
        <f t="shared" si="157"/>
        <v>0</v>
      </c>
      <c r="M163" s="141">
        <f t="shared" si="157"/>
        <v>0</v>
      </c>
      <c r="N163" s="141">
        <f t="shared" si="157"/>
        <v>0</v>
      </c>
      <c r="O163" s="141">
        <f t="shared" si="157"/>
        <v>0</v>
      </c>
      <c r="P163" s="141">
        <f t="shared" si="157"/>
        <v>0</v>
      </c>
      <c r="Q163" s="141">
        <f t="shared" si="157"/>
        <v>0</v>
      </c>
      <c r="R163" s="141">
        <f t="shared" si="157"/>
        <v>0</v>
      </c>
      <c r="S163" s="141">
        <f t="shared" si="157"/>
        <v>0</v>
      </c>
      <c r="T163" s="141">
        <f t="shared" si="157"/>
        <v>0</v>
      </c>
      <c r="U163" s="141">
        <f t="shared" si="157"/>
        <v>0</v>
      </c>
      <c r="V163" s="141">
        <f t="shared" si="157"/>
        <v>0</v>
      </c>
      <c r="W163" s="141">
        <f t="shared" si="157"/>
        <v>0</v>
      </c>
      <c r="X163" s="141">
        <f t="shared" si="157"/>
        <v>0</v>
      </c>
      <c r="Y163" s="141">
        <f t="shared" si="157"/>
        <v>0</v>
      </c>
      <c r="Z163" s="141">
        <f t="shared" si="157"/>
        <v>0</v>
      </c>
      <c r="AA163" s="141">
        <f t="shared" si="157"/>
        <v>0</v>
      </c>
      <c r="AB163" s="141">
        <f t="shared" si="157"/>
        <v>0</v>
      </c>
      <c r="AC163" s="141">
        <f t="shared" si="157"/>
        <v>0</v>
      </c>
      <c r="AD163" s="141">
        <f t="shared" si="157"/>
        <v>0</v>
      </c>
      <c r="AE163" s="141">
        <f t="shared" si="157"/>
        <v>0</v>
      </c>
      <c r="AF163" s="141">
        <f t="shared" si="157"/>
        <v>0</v>
      </c>
      <c r="AG163" s="141">
        <f t="shared" si="157"/>
        <v>0</v>
      </c>
      <c r="AH163" s="154" t="s">
        <v>12</v>
      </c>
      <c r="AI163" s="133"/>
      <c r="AJ163" s="170"/>
      <c r="AK163" s="133"/>
      <c r="AL163" s="133"/>
    </row>
    <row r="164" spans="1:38" ht="15.95" hidden="1" customHeight="1" x14ac:dyDescent="0.25">
      <c r="A164" s="176"/>
      <c r="B164" s="149" t="s">
        <v>65</v>
      </c>
      <c r="C164" s="141">
        <f>IF(C46=1,IF(C157&gt;C158,C158,0),0)</f>
        <v>0</v>
      </c>
      <c r="D164" s="141">
        <f t="shared" ref="D164:AG164" si="158">IF(D46=1,IF(D157&gt;D158,D158,0),0)</f>
        <v>0</v>
      </c>
      <c r="E164" s="141">
        <f t="shared" si="158"/>
        <v>0</v>
      </c>
      <c r="F164" s="141">
        <f t="shared" si="158"/>
        <v>0</v>
      </c>
      <c r="G164" s="141">
        <f t="shared" si="158"/>
        <v>0</v>
      </c>
      <c r="H164" s="141">
        <f t="shared" si="158"/>
        <v>0</v>
      </c>
      <c r="I164" s="141">
        <f t="shared" si="158"/>
        <v>0</v>
      </c>
      <c r="J164" s="141">
        <f t="shared" si="158"/>
        <v>0</v>
      </c>
      <c r="K164" s="141">
        <f t="shared" si="158"/>
        <v>0</v>
      </c>
      <c r="L164" s="141">
        <f t="shared" si="158"/>
        <v>0</v>
      </c>
      <c r="M164" s="141">
        <f t="shared" si="158"/>
        <v>0</v>
      </c>
      <c r="N164" s="141">
        <f t="shared" si="158"/>
        <v>0</v>
      </c>
      <c r="O164" s="141">
        <f t="shared" si="158"/>
        <v>0</v>
      </c>
      <c r="P164" s="141">
        <f t="shared" si="158"/>
        <v>0</v>
      </c>
      <c r="Q164" s="141">
        <f t="shared" si="158"/>
        <v>0</v>
      </c>
      <c r="R164" s="141">
        <f t="shared" si="158"/>
        <v>0</v>
      </c>
      <c r="S164" s="141">
        <f t="shared" si="158"/>
        <v>0</v>
      </c>
      <c r="T164" s="141">
        <f t="shared" si="158"/>
        <v>0</v>
      </c>
      <c r="U164" s="141">
        <f t="shared" si="158"/>
        <v>0</v>
      </c>
      <c r="V164" s="141">
        <f t="shared" si="158"/>
        <v>0</v>
      </c>
      <c r="W164" s="141">
        <f t="shared" si="158"/>
        <v>0</v>
      </c>
      <c r="X164" s="141">
        <f t="shared" si="158"/>
        <v>0</v>
      </c>
      <c r="Y164" s="141">
        <f t="shared" si="158"/>
        <v>0</v>
      </c>
      <c r="Z164" s="141">
        <f t="shared" si="158"/>
        <v>0</v>
      </c>
      <c r="AA164" s="141">
        <f t="shared" si="158"/>
        <v>0</v>
      </c>
      <c r="AB164" s="141">
        <f t="shared" si="158"/>
        <v>0</v>
      </c>
      <c r="AC164" s="141">
        <f t="shared" si="158"/>
        <v>0</v>
      </c>
      <c r="AD164" s="141">
        <f t="shared" si="158"/>
        <v>0</v>
      </c>
      <c r="AE164" s="141">
        <f t="shared" si="158"/>
        <v>0</v>
      </c>
      <c r="AF164" s="141">
        <f t="shared" si="158"/>
        <v>0</v>
      </c>
      <c r="AG164" s="141">
        <f t="shared" si="158"/>
        <v>0</v>
      </c>
      <c r="AH164" s="154" t="s">
        <v>12</v>
      </c>
      <c r="AI164" s="133"/>
      <c r="AJ164" s="170"/>
      <c r="AK164" s="133"/>
      <c r="AL164" s="133"/>
    </row>
    <row r="165" spans="1:38" ht="15.95" hidden="1" customHeight="1" x14ac:dyDescent="0.25">
      <c r="A165" s="176"/>
      <c r="B165" s="149" t="s">
        <v>67</v>
      </c>
      <c r="C165" s="171">
        <f t="shared" ref="C165:AG165" si="159">SUM(C162:C164)</f>
        <v>0</v>
      </c>
      <c r="D165" s="171">
        <f t="shared" si="159"/>
        <v>0</v>
      </c>
      <c r="E165" s="171">
        <f t="shared" si="159"/>
        <v>0</v>
      </c>
      <c r="F165" s="171">
        <f t="shared" si="159"/>
        <v>0</v>
      </c>
      <c r="G165" s="171">
        <f t="shared" si="159"/>
        <v>0</v>
      </c>
      <c r="H165" s="171">
        <f t="shared" si="159"/>
        <v>0</v>
      </c>
      <c r="I165" s="171">
        <f t="shared" si="159"/>
        <v>0</v>
      </c>
      <c r="J165" s="171">
        <f t="shared" si="159"/>
        <v>0</v>
      </c>
      <c r="K165" s="171">
        <f t="shared" si="159"/>
        <v>0</v>
      </c>
      <c r="L165" s="171">
        <f t="shared" si="159"/>
        <v>0</v>
      </c>
      <c r="M165" s="171">
        <f t="shared" si="159"/>
        <v>0</v>
      </c>
      <c r="N165" s="171">
        <f t="shared" si="159"/>
        <v>0</v>
      </c>
      <c r="O165" s="171">
        <f t="shared" si="159"/>
        <v>0</v>
      </c>
      <c r="P165" s="171">
        <f t="shared" si="159"/>
        <v>0</v>
      </c>
      <c r="Q165" s="171">
        <f t="shared" si="159"/>
        <v>0</v>
      </c>
      <c r="R165" s="171">
        <f t="shared" si="159"/>
        <v>0</v>
      </c>
      <c r="S165" s="171">
        <f t="shared" si="159"/>
        <v>0</v>
      </c>
      <c r="T165" s="171">
        <f t="shared" si="159"/>
        <v>0</v>
      </c>
      <c r="U165" s="171">
        <f t="shared" si="159"/>
        <v>0</v>
      </c>
      <c r="V165" s="171">
        <f t="shared" si="159"/>
        <v>0</v>
      </c>
      <c r="W165" s="171">
        <f t="shared" si="159"/>
        <v>0</v>
      </c>
      <c r="X165" s="171">
        <f t="shared" si="159"/>
        <v>0</v>
      </c>
      <c r="Y165" s="171">
        <f t="shared" si="159"/>
        <v>0</v>
      </c>
      <c r="Z165" s="171">
        <f t="shared" si="159"/>
        <v>0</v>
      </c>
      <c r="AA165" s="171">
        <f t="shared" si="159"/>
        <v>0</v>
      </c>
      <c r="AB165" s="171">
        <f t="shared" si="159"/>
        <v>0</v>
      </c>
      <c r="AC165" s="171">
        <f t="shared" si="159"/>
        <v>0</v>
      </c>
      <c r="AD165" s="171">
        <f t="shared" si="159"/>
        <v>0</v>
      </c>
      <c r="AE165" s="171">
        <f t="shared" si="159"/>
        <v>0</v>
      </c>
      <c r="AF165" s="171">
        <f t="shared" si="159"/>
        <v>0</v>
      </c>
      <c r="AG165" s="171">
        <f t="shared" si="159"/>
        <v>0</v>
      </c>
      <c r="AH165" s="154" t="s">
        <v>12</v>
      </c>
      <c r="AI165" s="133"/>
      <c r="AJ165" s="170"/>
      <c r="AK165" s="133"/>
      <c r="AL165" s="133"/>
    </row>
    <row r="166" spans="1:38" ht="15.95" hidden="1" customHeight="1" x14ac:dyDescent="0.25">
      <c r="A166" s="177"/>
      <c r="B166" s="160" t="s">
        <v>68</v>
      </c>
      <c r="C166" s="161">
        <f>IF(C19="V",IF(C19="",0,1),0)</f>
        <v>0</v>
      </c>
      <c r="D166" s="161">
        <f t="shared" ref="D166:AG166" si="160">IF(D19="V",IF(D19="",0,1),0)</f>
        <v>0</v>
      </c>
      <c r="E166" s="161">
        <f t="shared" si="160"/>
        <v>0</v>
      </c>
      <c r="F166" s="161">
        <f t="shared" si="160"/>
        <v>0</v>
      </c>
      <c r="G166" s="161">
        <f t="shared" si="160"/>
        <v>0</v>
      </c>
      <c r="H166" s="161">
        <f t="shared" si="160"/>
        <v>0</v>
      </c>
      <c r="I166" s="161">
        <f t="shared" si="160"/>
        <v>0</v>
      </c>
      <c r="J166" s="161">
        <f t="shared" si="160"/>
        <v>0</v>
      </c>
      <c r="K166" s="161">
        <f t="shared" si="160"/>
        <v>0</v>
      </c>
      <c r="L166" s="161">
        <f t="shared" si="160"/>
        <v>0</v>
      </c>
      <c r="M166" s="161">
        <f t="shared" si="160"/>
        <v>0</v>
      </c>
      <c r="N166" s="161">
        <f t="shared" si="160"/>
        <v>0</v>
      </c>
      <c r="O166" s="161">
        <f t="shared" si="160"/>
        <v>0</v>
      </c>
      <c r="P166" s="161">
        <f t="shared" si="160"/>
        <v>0</v>
      </c>
      <c r="Q166" s="161">
        <f t="shared" si="160"/>
        <v>0</v>
      </c>
      <c r="R166" s="161">
        <f t="shared" si="160"/>
        <v>0</v>
      </c>
      <c r="S166" s="161">
        <f t="shared" si="160"/>
        <v>0</v>
      </c>
      <c r="T166" s="161">
        <f t="shared" si="160"/>
        <v>0</v>
      </c>
      <c r="U166" s="161">
        <f t="shared" si="160"/>
        <v>0</v>
      </c>
      <c r="V166" s="161">
        <f t="shared" si="160"/>
        <v>0</v>
      </c>
      <c r="W166" s="161">
        <f t="shared" si="160"/>
        <v>0</v>
      </c>
      <c r="X166" s="161">
        <f t="shared" si="160"/>
        <v>0</v>
      </c>
      <c r="Y166" s="161">
        <f t="shared" si="160"/>
        <v>0</v>
      </c>
      <c r="Z166" s="161">
        <f t="shared" si="160"/>
        <v>0</v>
      </c>
      <c r="AA166" s="161">
        <f t="shared" si="160"/>
        <v>0</v>
      </c>
      <c r="AB166" s="161">
        <f t="shared" si="160"/>
        <v>0</v>
      </c>
      <c r="AC166" s="161">
        <f t="shared" si="160"/>
        <v>0</v>
      </c>
      <c r="AD166" s="161">
        <f t="shared" si="160"/>
        <v>0</v>
      </c>
      <c r="AE166" s="161">
        <f t="shared" si="160"/>
        <v>0</v>
      </c>
      <c r="AF166" s="161">
        <f t="shared" si="160"/>
        <v>0</v>
      </c>
      <c r="AG166" s="161">
        <f t="shared" si="160"/>
        <v>0</v>
      </c>
      <c r="AH166" s="154" t="s">
        <v>12</v>
      </c>
      <c r="AI166" s="133"/>
      <c r="AJ166" s="170"/>
      <c r="AK166" s="133"/>
      <c r="AL166" s="133"/>
    </row>
    <row r="167" spans="1:38" ht="15.95" hidden="1" customHeight="1" x14ac:dyDescent="0.25">
      <c r="A167" s="180"/>
      <c r="B167" s="181" t="s">
        <v>16</v>
      </c>
      <c r="C167" s="182">
        <f>IF(C19="PR",IF(C19="",0,1),0)</f>
        <v>0</v>
      </c>
      <c r="D167" s="182">
        <f t="shared" ref="D167:AG167" si="161">IF(D19="PR",IF(D19="",0,1),0)</f>
        <v>0</v>
      </c>
      <c r="E167" s="182">
        <f t="shared" si="161"/>
        <v>0</v>
      </c>
      <c r="F167" s="182">
        <f t="shared" si="161"/>
        <v>0</v>
      </c>
      <c r="G167" s="182">
        <f t="shared" si="161"/>
        <v>0</v>
      </c>
      <c r="H167" s="182">
        <f t="shared" si="161"/>
        <v>0</v>
      </c>
      <c r="I167" s="182">
        <f t="shared" si="161"/>
        <v>0</v>
      </c>
      <c r="J167" s="182">
        <f t="shared" si="161"/>
        <v>0</v>
      </c>
      <c r="K167" s="182">
        <f t="shared" si="161"/>
        <v>0</v>
      </c>
      <c r="L167" s="182">
        <f t="shared" si="161"/>
        <v>0</v>
      </c>
      <c r="M167" s="182">
        <f t="shared" si="161"/>
        <v>0</v>
      </c>
      <c r="N167" s="182">
        <f t="shared" si="161"/>
        <v>0</v>
      </c>
      <c r="O167" s="182">
        <f t="shared" si="161"/>
        <v>0</v>
      </c>
      <c r="P167" s="182">
        <f t="shared" si="161"/>
        <v>0</v>
      </c>
      <c r="Q167" s="182">
        <f t="shared" si="161"/>
        <v>0</v>
      </c>
      <c r="R167" s="182">
        <f t="shared" si="161"/>
        <v>0</v>
      </c>
      <c r="S167" s="182">
        <f t="shared" si="161"/>
        <v>0</v>
      </c>
      <c r="T167" s="182">
        <f t="shared" si="161"/>
        <v>0</v>
      </c>
      <c r="U167" s="182">
        <f t="shared" si="161"/>
        <v>0</v>
      </c>
      <c r="V167" s="182">
        <f t="shared" si="161"/>
        <v>0</v>
      </c>
      <c r="W167" s="182">
        <f t="shared" si="161"/>
        <v>0</v>
      </c>
      <c r="X167" s="182">
        <f t="shared" si="161"/>
        <v>0</v>
      </c>
      <c r="Y167" s="182">
        <f t="shared" si="161"/>
        <v>0</v>
      </c>
      <c r="Z167" s="182">
        <f t="shared" si="161"/>
        <v>0</v>
      </c>
      <c r="AA167" s="182">
        <f t="shared" si="161"/>
        <v>0</v>
      </c>
      <c r="AB167" s="182">
        <f t="shared" si="161"/>
        <v>0</v>
      </c>
      <c r="AC167" s="182">
        <f t="shared" si="161"/>
        <v>0</v>
      </c>
      <c r="AD167" s="182">
        <f t="shared" si="161"/>
        <v>0</v>
      </c>
      <c r="AE167" s="182">
        <f t="shared" si="161"/>
        <v>0</v>
      </c>
      <c r="AF167" s="182">
        <f t="shared" si="161"/>
        <v>0</v>
      </c>
      <c r="AG167" s="182">
        <f t="shared" si="161"/>
        <v>0</v>
      </c>
      <c r="AH167" s="227">
        <f>SUM(C167:AG167)</f>
        <v>0</v>
      </c>
      <c r="AI167" s="227"/>
      <c r="AJ167" s="174" t="s">
        <v>69</v>
      </c>
      <c r="AK167" s="133"/>
      <c r="AL167" s="133"/>
    </row>
    <row r="168" spans="1:38" ht="15.95" hidden="1" customHeight="1" x14ac:dyDescent="0.25">
      <c r="A168" s="164" t="s">
        <v>127</v>
      </c>
      <c r="B168" s="165" t="s">
        <v>29</v>
      </c>
      <c r="C168" s="141" t="str">
        <f>IF(C20=$R32,$S32*24,IF(C20=$R33,$S33*24,IF(C20=$R34,$S34*24,IF(C20=$R35,$S35*24,IF(C20=$R36,$S36*24,IF(C20=$R37,$S37*24,IF(C20=$R38,$S38*24,IF(C20=$R39,$S39*24,IF(C20=$R40,$S40*24,"")))))))))</f>
        <v/>
      </c>
      <c r="D168" s="141" t="str">
        <f t="shared" ref="D168:AG168" si="162">IF(D20=$R32,$S32*24,IF(D20=$R33,$S33*24,IF(D20=$R34,$S34*24,IF(D20=$R35,$S35*24,IF(D20=$R36,$S36*24,IF(D20=$R37,$S37*24,IF(D20=$R38,$S38*24,IF(D20=$R39,$S39*24,IF(D20=$R40,$S40*24,"")))))))))</f>
        <v/>
      </c>
      <c r="E168" s="141" t="str">
        <f t="shared" si="162"/>
        <v/>
      </c>
      <c r="F168" s="141" t="str">
        <f t="shared" si="162"/>
        <v/>
      </c>
      <c r="G168" s="141" t="str">
        <f t="shared" si="162"/>
        <v/>
      </c>
      <c r="H168" s="141" t="str">
        <f t="shared" si="162"/>
        <v/>
      </c>
      <c r="I168" s="141" t="str">
        <f t="shared" si="162"/>
        <v/>
      </c>
      <c r="J168" s="141" t="str">
        <f t="shared" si="162"/>
        <v/>
      </c>
      <c r="K168" s="141" t="str">
        <f t="shared" si="162"/>
        <v/>
      </c>
      <c r="L168" s="141" t="str">
        <f t="shared" si="162"/>
        <v/>
      </c>
      <c r="M168" s="141" t="str">
        <f t="shared" si="162"/>
        <v/>
      </c>
      <c r="N168" s="141" t="str">
        <f t="shared" si="162"/>
        <v/>
      </c>
      <c r="O168" s="141" t="str">
        <f t="shared" si="162"/>
        <v/>
      </c>
      <c r="P168" s="141" t="str">
        <f t="shared" si="162"/>
        <v/>
      </c>
      <c r="Q168" s="141" t="str">
        <f t="shared" si="162"/>
        <v/>
      </c>
      <c r="R168" s="141" t="str">
        <f t="shared" si="162"/>
        <v/>
      </c>
      <c r="S168" s="141" t="str">
        <f t="shared" si="162"/>
        <v/>
      </c>
      <c r="T168" s="141" t="str">
        <f t="shared" si="162"/>
        <v/>
      </c>
      <c r="U168" s="141" t="str">
        <f t="shared" si="162"/>
        <v/>
      </c>
      <c r="V168" s="141" t="str">
        <f t="shared" si="162"/>
        <v/>
      </c>
      <c r="W168" s="141" t="str">
        <f t="shared" si="162"/>
        <v/>
      </c>
      <c r="X168" s="141" t="str">
        <f t="shared" si="162"/>
        <v/>
      </c>
      <c r="Y168" s="141" t="str">
        <f t="shared" si="162"/>
        <v/>
      </c>
      <c r="Z168" s="141" t="str">
        <f t="shared" si="162"/>
        <v/>
      </c>
      <c r="AA168" s="141" t="str">
        <f t="shared" si="162"/>
        <v/>
      </c>
      <c r="AB168" s="141" t="str">
        <f t="shared" si="162"/>
        <v/>
      </c>
      <c r="AC168" s="141" t="str">
        <f t="shared" si="162"/>
        <v/>
      </c>
      <c r="AD168" s="141" t="str">
        <f t="shared" si="162"/>
        <v/>
      </c>
      <c r="AE168" s="141" t="str">
        <f t="shared" si="162"/>
        <v/>
      </c>
      <c r="AF168" s="141" t="str">
        <f t="shared" si="162"/>
        <v/>
      </c>
      <c r="AG168" s="141" t="str">
        <f t="shared" si="162"/>
        <v/>
      </c>
      <c r="AH168" s="154" t="s">
        <v>12</v>
      </c>
      <c r="AI168" s="133"/>
      <c r="AJ168" s="170"/>
      <c r="AK168" s="133"/>
      <c r="AL168" s="133"/>
    </row>
    <row r="169" spans="1:38" ht="15.95" hidden="1" customHeight="1" x14ac:dyDescent="0.25">
      <c r="A169" s="166" t="s">
        <v>129</v>
      </c>
      <c r="B169" s="167" t="s">
        <v>30</v>
      </c>
      <c r="C169" s="141" t="str">
        <f>IF(C20=$R32,$V32*24,IF(C20=$R33,$V33*24,IF(C20=$R34,$V34*24,IF(C20=$R35,$V35*24,IF(C20=$R36,$V36*24,IF(C20=$R37,$V37*24,IF(C20=$R38,$V38*24,IF(C20=$R39,$V39*24,IF(C20=$R40,$V40*24,"")))))))))</f>
        <v/>
      </c>
      <c r="D169" s="141" t="str">
        <f t="shared" ref="D169:AG169" si="163">IF(D20=$R32,$V32*24,IF(D20=$R33,$V33*24,IF(D20=$R34,$V34*24,IF(D20=$R35,$V35*24,IF(D20=$R36,$V36*24,IF(D20=$R37,$V37*24,IF(D20=$R38,$V38*24,IF(D20=$R39,$V39*24,IF(D20=$R40,$V40*24,"")))))))))</f>
        <v/>
      </c>
      <c r="E169" s="141" t="str">
        <f t="shared" si="163"/>
        <v/>
      </c>
      <c r="F169" s="141" t="str">
        <f t="shared" si="163"/>
        <v/>
      </c>
      <c r="G169" s="141" t="str">
        <f t="shared" si="163"/>
        <v/>
      </c>
      <c r="H169" s="141" t="str">
        <f t="shared" si="163"/>
        <v/>
      </c>
      <c r="I169" s="141" t="str">
        <f t="shared" si="163"/>
        <v/>
      </c>
      <c r="J169" s="141" t="str">
        <f t="shared" si="163"/>
        <v/>
      </c>
      <c r="K169" s="141" t="str">
        <f t="shared" si="163"/>
        <v/>
      </c>
      <c r="L169" s="141" t="str">
        <f t="shared" si="163"/>
        <v/>
      </c>
      <c r="M169" s="141" t="str">
        <f t="shared" si="163"/>
        <v/>
      </c>
      <c r="N169" s="141" t="str">
        <f t="shared" si="163"/>
        <v/>
      </c>
      <c r="O169" s="141" t="str">
        <f t="shared" si="163"/>
        <v/>
      </c>
      <c r="P169" s="141" t="str">
        <f t="shared" si="163"/>
        <v/>
      </c>
      <c r="Q169" s="141" t="str">
        <f t="shared" si="163"/>
        <v/>
      </c>
      <c r="R169" s="141" t="str">
        <f t="shared" si="163"/>
        <v/>
      </c>
      <c r="S169" s="141" t="str">
        <f t="shared" si="163"/>
        <v/>
      </c>
      <c r="T169" s="141" t="str">
        <f t="shared" si="163"/>
        <v/>
      </c>
      <c r="U169" s="141" t="str">
        <f t="shared" si="163"/>
        <v/>
      </c>
      <c r="V169" s="141" t="str">
        <f t="shared" si="163"/>
        <v/>
      </c>
      <c r="W169" s="141" t="str">
        <f t="shared" si="163"/>
        <v/>
      </c>
      <c r="X169" s="141" t="str">
        <f t="shared" si="163"/>
        <v/>
      </c>
      <c r="Y169" s="141" t="str">
        <f t="shared" si="163"/>
        <v/>
      </c>
      <c r="Z169" s="141" t="str">
        <f t="shared" si="163"/>
        <v/>
      </c>
      <c r="AA169" s="141" t="str">
        <f t="shared" si="163"/>
        <v/>
      </c>
      <c r="AB169" s="141" t="str">
        <f t="shared" si="163"/>
        <v/>
      </c>
      <c r="AC169" s="141" t="str">
        <f t="shared" si="163"/>
        <v/>
      </c>
      <c r="AD169" s="141" t="str">
        <f t="shared" si="163"/>
        <v/>
      </c>
      <c r="AE169" s="141" t="str">
        <f t="shared" si="163"/>
        <v/>
      </c>
      <c r="AF169" s="141" t="str">
        <f t="shared" si="163"/>
        <v/>
      </c>
      <c r="AG169" s="141" t="str">
        <f t="shared" si="163"/>
        <v/>
      </c>
      <c r="AH169" s="154" t="s">
        <v>12</v>
      </c>
      <c r="AI169" s="133"/>
      <c r="AJ169" s="170"/>
      <c r="AK169" s="133"/>
      <c r="AL169" s="133"/>
    </row>
    <row r="170" spans="1:38" ht="15.95" hidden="1" customHeight="1" x14ac:dyDescent="0.25">
      <c r="A170" s="153"/>
      <c r="B170" s="183" t="s">
        <v>34</v>
      </c>
      <c r="C170" s="169" t="str">
        <f t="shared" ref="C170:AD170" si="164">IF(C20=$R32,$BD32*24,IF(C20=$R33,$BD33*24,IF(C20=$R34,$BD34*24,IF(C20=$R35,$BD35*24,IF(C20=$R36,$BD36*24,IF(C20=$R37,$BD37*24,IF(C20=$R38,$BD38*24,IF(C20=$R39,$BD39*24,IF(C20=$R40,$BD40*24,"")))))))))</f>
        <v/>
      </c>
      <c r="D170" s="169" t="str">
        <f t="shared" si="164"/>
        <v/>
      </c>
      <c r="E170" s="169" t="str">
        <f t="shared" si="164"/>
        <v/>
      </c>
      <c r="F170" s="169" t="str">
        <f t="shared" si="164"/>
        <v/>
      </c>
      <c r="G170" s="169" t="str">
        <f t="shared" si="164"/>
        <v/>
      </c>
      <c r="H170" s="169" t="str">
        <f t="shared" si="164"/>
        <v/>
      </c>
      <c r="I170" s="169" t="str">
        <f t="shared" si="164"/>
        <v/>
      </c>
      <c r="J170" s="169" t="str">
        <f t="shared" si="164"/>
        <v/>
      </c>
      <c r="K170" s="169" t="str">
        <f t="shared" si="164"/>
        <v/>
      </c>
      <c r="L170" s="169" t="str">
        <f t="shared" si="164"/>
        <v/>
      </c>
      <c r="M170" s="169" t="str">
        <f t="shared" si="164"/>
        <v/>
      </c>
      <c r="N170" s="169" t="str">
        <f t="shared" si="164"/>
        <v/>
      </c>
      <c r="O170" s="169" t="str">
        <f t="shared" si="164"/>
        <v/>
      </c>
      <c r="P170" s="169" t="str">
        <f t="shared" si="164"/>
        <v/>
      </c>
      <c r="Q170" s="169" t="str">
        <f t="shared" si="164"/>
        <v/>
      </c>
      <c r="R170" s="169" t="str">
        <f t="shared" si="164"/>
        <v/>
      </c>
      <c r="S170" s="169" t="str">
        <f t="shared" si="164"/>
        <v/>
      </c>
      <c r="T170" s="169" t="str">
        <f t="shared" si="164"/>
        <v/>
      </c>
      <c r="U170" s="169" t="str">
        <f t="shared" si="164"/>
        <v/>
      </c>
      <c r="V170" s="169" t="str">
        <f t="shared" si="164"/>
        <v/>
      </c>
      <c r="W170" s="169" t="str">
        <f t="shared" si="164"/>
        <v/>
      </c>
      <c r="X170" s="169" t="str">
        <f t="shared" si="164"/>
        <v/>
      </c>
      <c r="Y170" s="169" t="str">
        <f t="shared" si="164"/>
        <v/>
      </c>
      <c r="Z170" s="169" t="str">
        <f t="shared" si="164"/>
        <v/>
      </c>
      <c r="AA170" s="169" t="str">
        <f t="shared" si="164"/>
        <v/>
      </c>
      <c r="AB170" s="169" t="str">
        <f t="shared" si="164"/>
        <v/>
      </c>
      <c r="AC170" s="169" t="str">
        <f t="shared" si="164"/>
        <v/>
      </c>
      <c r="AD170" s="169" t="str">
        <f t="shared" si="164"/>
        <v/>
      </c>
      <c r="AE170" s="169" t="str">
        <f>IF(AE20=$R32,$BD32*24,IF(AE20=$R33,$BD33*24,IF(AE20=$R34,$BD34*24,IF(AE20=$R35,$BD35*24,IF(AE20=$R36,$BD36*24,IF(AE20=$R37,$BD37*24,IF(AE20=$R38,$BD38*24,IF(AE20=$R39,$BD39*24,IF(AE20=$R40,$BD40*24,"")))))))))</f>
        <v/>
      </c>
      <c r="AF170" s="169" t="str">
        <f>IF(AF20=$R32,$BD32*24,IF(AF20=$R33,$BD33*24,IF(AF20=$R34,$BD34*24,IF(AF20=$R35,$BD35*24,IF(AF20=$R36,$BD36*24,IF(AF20=$R37,$BD37*24,IF(AF20=$R38,$BD38*24,IF(AF20=$R39,$BD39*24,IF(AF20=$R40,$BD40*24,"")))))))))</f>
        <v/>
      </c>
      <c r="AG170" s="169" t="str">
        <f>IF(AG20=$R32,$BD32*24,IF(AG20=$R33,$BD33*24,IF(AG20=$R34,$BD34*24,IF(AG20=$R35,$BD35*24,IF(AG20=$R36,$BD36*24,IF(AG20=$R37,$BD37*24,IF(AG20=$R38,$BD38*24,IF(AG20=$R39,$BD39*24,IF(AG20=$R40,$BD40*24,"")))))))))</f>
        <v/>
      </c>
      <c r="AH170" s="148">
        <f>SUM(C170:AG170)</f>
        <v>0</v>
      </c>
      <c r="AI170" s="133"/>
      <c r="AJ170" s="170"/>
      <c r="AK170" s="133"/>
      <c r="AL170" s="133"/>
    </row>
    <row r="171" spans="1:38" ht="15.95" hidden="1" customHeight="1" x14ac:dyDescent="0.25">
      <c r="A171" s="153"/>
      <c r="B171" s="167" t="s">
        <v>59</v>
      </c>
      <c r="C171" s="141">
        <f>IF(C20="V",$C36,IF(C20="PR",$C38,0))</f>
        <v>0</v>
      </c>
      <c r="D171" s="141">
        <f t="shared" ref="D171:AG171" si="165">IF(D20="V",$C36,IF(D20="PR",$C38,0))</f>
        <v>0</v>
      </c>
      <c r="E171" s="141">
        <f t="shared" si="165"/>
        <v>0</v>
      </c>
      <c r="F171" s="141">
        <f t="shared" si="165"/>
        <v>0</v>
      </c>
      <c r="G171" s="141">
        <f t="shared" si="165"/>
        <v>0</v>
      </c>
      <c r="H171" s="141">
        <f t="shared" si="165"/>
        <v>0</v>
      </c>
      <c r="I171" s="141">
        <f t="shared" si="165"/>
        <v>0</v>
      </c>
      <c r="J171" s="141">
        <f t="shared" si="165"/>
        <v>0</v>
      </c>
      <c r="K171" s="141">
        <f t="shared" si="165"/>
        <v>0</v>
      </c>
      <c r="L171" s="141">
        <f t="shared" si="165"/>
        <v>0</v>
      </c>
      <c r="M171" s="141">
        <f t="shared" si="165"/>
        <v>0</v>
      </c>
      <c r="N171" s="141">
        <f t="shared" si="165"/>
        <v>0</v>
      </c>
      <c r="O171" s="141">
        <f t="shared" si="165"/>
        <v>0</v>
      </c>
      <c r="P171" s="141">
        <f t="shared" si="165"/>
        <v>0</v>
      </c>
      <c r="Q171" s="141">
        <f t="shared" si="165"/>
        <v>0</v>
      </c>
      <c r="R171" s="141">
        <f t="shared" si="165"/>
        <v>0</v>
      </c>
      <c r="S171" s="141">
        <f t="shared" si="165"/>
        <v>0</v>
      </c>
      <c r="T171" s="141">
        <f t="shared" si="165"/>
        <v>0</v>
      </c>
      <c r="U171" s="141">
        <f t="shared" si="165"/>
        <v>0</v>
      </c>
      <c r="V171" s="141">
        <f t="shared" si="165"/>
        <v>0</v>
      </c>
      <c r="W171" s="141">
        <f t="shared" si="165"/>
        <v>0</v>
      </c>
      <c r="X171" s="141">
        <f t="shared" si="165"/>
        <v>0</v>
      </c>
      <c r="Y171" s="141">
        <f t="shared" si="165"/>
        <v>0</v>
      </c>
      <c r="Z171" s="141">
        <f t="shared" si="165"/>
        <v>0</v>
      </c>
      <c r="AA171" s="141">
        <f t="shared" si="165"/>
        <v>0</v>
      </c>
      <c r="AB171" s="141">
        <f t="shared" si="165"/>
        <v>0</v>
      </c>
      <c r="AC171" s="141">
        <f t="shared" si="165"/>
        <v>0</v>
      </c>
      <c r="AD171" s="141">
        <f t="shared" si="165"/>
        <v>0</v>
      </c>
      <c r="AE171" s="141">
        <f t="shared" si="165"/>
        <v>0</v>
      </c>
      <c r="AF171" s="141">
        <f t="shared" si="165"/>
        <v>0</v>
      </c>
      <c r="AG171" s="141">
        <f t="shared" si="165"/>
        <v>0</v>
      </c>
      <c r="AH171" s="226">
        <f>SUM(C171:AG171)</f>
        <v>0</v>
      </c>
      <c r="AI171" s="226"/>
      <c r="AJ171" s="230">
        <f>SUM(AH116+AH127+AH138+AH149+AH160+AH171)</f>
        <v>0</v>
      </c>
      <c r="AK171" s="230"/>
      <c r="AL171" s="133" t="s">
        <v>56</v>
      </c>
    </row>
    <row r="172" spans="1:38" ht="15.95" hidden="1" customHeight="1" x14ac:dyDescent="0.25">
      <c r="A172" s="150" t="s">
        <v>60</v>
      </c>
      <c r="B172" s="167" t="s">
        <v>61</v>
      </c>
      <c r="C172" s="151">
        <f t="shared" ref="C172:AD172" si="166">IF(C20=$R32,$BC32,IF(C20=$R33,$BC33,IF(C20=$R34,$BC34,IF(C20=$R35,$BC35,IF(C20=$R36,$BC36,IF(C20=$R37,$BC37,IF(C20=$R38,$BC38,IF(C20=$R39,$BC39,IF(C20=$R40,$BC40,0)))))))))</f>
        <v>0</v>
      </c>
      <c r="D172" s="151">
        <f t="shared" si="166"/>
        <v>0</v>
      </c>
      <c r="E172" s="151">
        <f t="shared" si="166"/>
        <v>0</v>
      </c>
      <c r="F172" s="151">
        <f t="shared" si="166"/>
        <v>0</v>
      </c>
      <c r="G172" s="151">
        <f t="shared" si="166"/>
        <v>0</v>
      </c>
      <c r="H172" s="151">
        <f t="shared" si="166"/>
        <v>0</v>
      </c>
      <c r="I172" s="151">
        <f t="shared" si="166"/>
        <v>0</v>
      </c>
      <c r="J172" s="151">
        <f t="shared" si="166"/>
        <v>0</v>
      </c>
      <c r="K172" s="151">
        <f t="shared" si="166"/>
        <v>0</v>
      </c>
      <c r="L172" s="151">
        <f t="shared" si="166"/>
        <v>0</v>
      </c>
      <c r="M172" s="151">
        <f t="shared" si="166"/>
        <v>0</v>
      </c>
      <c r="N172" s="151">
        <f t="shared" si="166"/>
        <v>0</v>
      </c>
      <c r="O172" s="151">
        <f t="shared" si="166"/>
        <v>0</v>
      </c>
      <c r="P172" s="151">
        <f t="shared" si="166"/>
        <v>0</v>
      </c>
      <c r="Q172" s="151">
        <f t="shared" si="166"/>
        <v>0</v>
      </c>
      <c r="R172" s="151">
        <f t="shared" si="166"/>
        <v>0</v>
      </c>
      <c r="S172" s="151">
        <f t="shared" si="166"/>
        <v>0</v>
      </c>
      <c r="T172" s="151">
        <f t="shared" si="166"/>
        <v>0</v>
      </c>
      <c r="U172" s="151">
        <f t="shared" si="166"/>
        <v>0</v>
      </c>
      <c r="V172" s="151">
        <f t="shared" si="166"/>
        <v>0</v>
      </c>
      <c r="W172" s="151">
        <f t="shared" si="166"/>
        <v>0</v>
      </c>
      <c r="X172" s="151">
        <f t="shared" si="166"/>
        <v>0</v>
      </c>
      <c r="Y172" s="151">
        <f t="shared" si="166"/>
        <v>0</v>
      </c>
      <c r="Z172" s="151">
        <f t="shared" si="166"/>
        <v>0</v>
      </c>
      <c r="AA172" s="151">
        <f t="shared" si="166"/>
        <v>0</v>
      </c>
      <c r="AB172" s="151">
        <f t="shared" si="166"/>
        <v>0</v>
      </c>
      <c r="AC172" s="151">
        <f t="shared" si="166"/>
        <v>0</v>
      </c>
      <c r="AD172" s="151">
        <f t="shared" si="166"/>
        <v>0</v>
      </c>
      <c r="AE172" s="151">
        <f>IF(AE20=$R32,$BC32,IF(AE20=$R33,$BC33,IF(AE20=$R34,$BC34,IF(AE20=$R35,$BC35,IF(AE20=$R36,$BC36,IF(AE20=$R37,$BC37,IF(AE20=$R38,$BC38,IF(AE20=$R39,$BC39,IF(AE20=$R40,$BC40,0)))))))))</f>
        <v>0</v>
      </c>
      <c r="AF172" s="151">
        <f>IF(AF20=$R32,$BC32,IF(AF20=$R33,$BC33,IF(AF20=$R34,$BC34,IF(AF20=$R35,$BC35,IF(AF20=$R36,$BC36,IF(AF20=$R37,$BC37,IF(AF20=$R38,$BC38,IF(AF20=$R39,$BC39,IF(AF20=$R40,$BC40,0)))))))))</f>
        <v>0</v>
      </c>
      <c r="AG172" s="151">
        <f>IF(AG20=$R32,$BC32,IF(AG20=$R33,$BC33,IF(AG20=$R34,$BC34,IF(AG20=$R35,$BC35,IF(AG20=$R36,$BC36,IF(AG20=$R37,$BC37,IF(AG20=$R38,$BC38,IF(AG20=$R39,$BC39,IF(AG20=$R40,$BC40,0)))))))))</f>
        <v>0</v>
      </c>
      <c r="AH172" s="226">
        <f>SUM(C172:AG172)</f>
        <v>0</v>
      </c>
      <c r="AI172" s="226"/>
      <c r="AJ172" s="174" t="s">
        <v>62</v>
      </c>
      <c r="AK172" s="133" t="s">
        <v>12</v>
      </c>
      <c r="AL172" s="133"/>
    </row>
    <row r="173" spans="1:38" ht="15.95" hidden="1" customHeight="1" x14ac:dyDescent="0.25">
      <c r="A173" s="153" t="s">
        <v>48</v>
      </c>
      <c r="B173" s="149" t="s">
        <v>63</v>
      </c>
      <c r="C173" s="141" t="b">
        <f>IF(C46=1,IF(C168&lt;C169,C172,0))</f>
        <v>0</v>
      </c>
      <c r="D173" s="141">
        <f t="shared" ref="D173:AG173" si="167">IF(D46=1,IF(D168&lt;D169,D172,0))</f>
        <v>0</v>
      </c>
      <c r="E173" s="141">
        <f t="shared" si="167"/>
        <v>0</v>
      </c>
      <c r="F173" s="141" t="b">
        <f t="shared" si="167"/>
        <v>0</v>
      </c>
      <c r="G173" s="141" t="b">
        <f t="shared" si="167"/>
        <v>0</v>
      </c>
      <c r="H173" s="141" t="b">
        <f t="shared" si="167"/>
        <v>0</v>
      </c>
      <c r="I173" s="141" t="b">
        <f t="shared" si="167"/>
        <v>0</v>
      </c>
      <c r="J173" s="141" t="b">
        <f t="shared" si="167"/>
        <v>0</v>
      </c>
      <c r="K173" s="141">
        <f t="shared" si="167"/>
        <v>0</v>
      </c>
      <c r="L173" s="141">
        <f t="shared" si="167"/>
        <v>0</v>
      </c>
      <c r="M173" s="141" t="b">
        <f t="shared" si="167"/>
        <v>0</v>
      </c>
      <c r="N173" s="141" t="b">
        <f t="shared" si="167"/>
        <v>0</v>
      </c>
      <c r="O173" s="141" t="b">
        <f t="shared" si="167"/>
        <v>0</v>
      </c>
      <c r="P173" s="141" t="b">
        <f t="shared" si="167"/>
        <v>0</v>
      </c>
      <c r="Q173" s="141" t="b">
        <f t="shared" si="167"/>
        <v>0</v>
      </c>
      <c r="R173" s="141">
        <f t="shared" si="167"/>
        <v>0</v>
      </c>
      <c r="S173" s="141">
        <f t="shared" si="167"/>
        <v>0</v>
      </c>
      <c r="T173" s="141" t="b">
        <f t="shared" si="167"/>
        <v>0</v>
      </c>
      <c r="U173" s="141" t="b">
        <f t="shared" si="167"/>
        <v>0</v>
      </c>
      <c r="V173" s="141" t="b">
        <f t="shared" si="167"/>
        <v>0</v>
      </c>
      <c r="W173" s="141" t="b">
        <f t="shared" si="167"/>
        <v>0</v>
      </c>
      <c r="X173" s="141" t="b">
        <f t="shared" si="167"/>
        <v>0</v>
      </c>
      <c r="Y173" s="141">
        <f t="shared" si="167"/>
        <v>0</v>
      </c>
      <c r="Z173" s="141">
        <f t="shared" si="167"/>
        <v>0</v>
      </c>
      <c r="AA173" s="141" t="b">
        <f t="shared" si="167"/>
        <v>0</v>
      </c>
      <c r="AB173" s="141" t="b">
        <f t="shared" si="167"/>
        <v>0</v>
      </c>
      <c r="AC173" s="141" t="b">
        <f t="shared" si="167"/>
        <v>0</v>
      </c>
      <c r="AD173" s="141" t="b">
        <f t="shared" si="167"/>
        <v>0</v>
      </c>
      <c r="AE173" s="141" t="b">
        <f t="shared" si="167"/>
        <v>0</v>
      </c>
      <c r="AF173" s="141">
        <f t="shared" si="167"/>
        <v>0</v>
      </c>
      <c r="AG173" s="141">
        <f t="shared" si="167"/>
        <v>0</v>
      </c>
      <c r="AH173" s="154" t="s">
        <v>12</v>
      </c>
      <c r="AI173" s="133"/>
      <c r="AJ173" s="170"/>
      <c r="AK173" s="133"/>
      <c r="AL173" s="133"/>
    </row>
    <row r="174" spans="1:38" ht="15.95" hidden="1" customHeight="1" x14ac:dyDescent="0.25">
      <c r="A174" s="176"/>
      <c r="B174" s="149" t="s">
        <v>64</v>
      </c>
      <c r="C174" s="141">
        <f>IF(C46=1,IF(C168&gt;C169,24-C168,0),0)</f>
        <v>0</v>
      </c>
      <c r="D174" s="141">
        <f t="shared" ref="D174:AG174" si="168">IF(D46=1,IF(D168&gt;D169,24-D168,0),0)</f>
        <v>0</v>
      </c>
      <c r="E174" s="141">
        <f t="shared" si="168"/>
        <v>0</v>
      </c>
      <c r="F174" s="141">
        <f t="shared" si="168"/>
        <v>0</v>
      </c>
      <c r="G174" s="141">
        <f t="shared" si="168"/>
        <v>0</v>
      </c>
      <c r="H174" s="141">
        <f t="shared" si="168"/>
        <v>0</v>
      </c>
      <c r="I174" s="141">
        <f t="shared" si="168"/>
        <v>0</v>
      </c>
      <c r="J174" s="141">
        <f t="shared" si="168"/>
        <v>0</v>
      </c>
      <c r="K174" s="141">
        <f t="shared" si="168"/>
        <v>0</v>
      </c>
      <c r="L174" s="141">
        <f t="shared" si="168"/>
        <v>0</v>
      </c>
      <c r="M174" s="141">
        <f t="shared" si="168"/>
        <v>0</v>
      </c>
      <c r="N174" s="141">
        <f t="shared" si="168"/>
        <v>0</v>
      </c>
      <c r="O174" s="141">
        <f t="shared" si="168"/>
        <v>0</v>
      </c>
      <c r="P174" s="141">
        <f t="shared" si="168"/>
        <v>0</v>
      </c>
      <c r="Q174" s="141">
        <f t="shared" si="168"/>
        <v>0</v>
      </c>
      <c r="R174" s="141">
        <f t="shared" si="168"/>
        <v>0</v>
      </c>
      <c r="S174" s="141">
        <f t="shared" si="168"/>
        <v>0</v>
      </c>
      <c r="T174" s="141">
        <f t="shared" si="168"/>
        <v>0</v>
      </c>
      <c r="U174" s="141">
        <f t="shared" si="168"/>
        <v>0</v>
      </c>
      <c r="V174" s="141">
        <f t="shared" si="168"/>
        <v>0</v>
      </c>
      <c r="W174" s="141">
        <f t="shared" si="168"/>
        <v>0</v>
      </c>
      <c r="X174" s="141">
        <f t="shared" si="168"/>
        <v>0</v>
      </c>
      <c r="Y174" s="141">
        <f t="shared" si="168"/>
        <v>0</v>
      </c>
      <c r="Z174" s="141">
        <f t="shared" si="168"/>
        <v>0</v>
      </c>
      <c r="AA174" s="141">
        <f t="shared" si="168"/>
        <v>0</v>
      </c>
      <c r="AB174" s="141">
        <f t="shared" si="168"/>
        <v>0</v>
      </c>
      <c r="AC174" s="141">
        <f t="shared" si="168"/>
        <v>0</v>
      </c>
      <c r="AD174" s="141">
        <f t="shared" si="168"/>
        <v>0</v>
      </c>
      <c r="AE174" s="141">
        <f t="shared" si="168"/>
        <v>0</v>
      </c>
      <c r="AF174" s="141">
        <f t="shared" si="168"/>
        <v>0</v>
      </c>
      <c r="AG174" s="141">
        <f t="shared" si="168"/>
        <v>0</v>
      </c>
      <c r="AH174" s="154" t="s">
        <v>12</v>
      </c>
      <c r="AI174" s="133"/>
      <c r="AJ174" s="170"/>
      <c r="AK174" s="133"/>
      <c r="AL174" s="133"/>
    </row>
    <row r="175" spans="1:38" ht="15.95" hidden="1" customHeight="1" x14ac:dyDescent="0.25">
      <c r="A175" s="176"/>
      <c r="B175" s="149" t="s">
        <v>65</v>
      </c>
      <c r="C175" s="141">
        <f>IF(C46=1,IF(C168&gt;C169,C169,0),0)</f>
        <v>0</v>
      </c>
      <c r="D175" s="141">
        <f t="shared" ref="D175:AG175" si="169">IF(D46=1,IF(D168&gt;D169,D169,0),0)</f>
        <v>0</v>
      </c>
      <c r="E175" s="141">
        <f t="shared" si="169"/>
        <v>0</v>
      </c>
      <c r="F175" s="141">
        <f t="shared" si="169"/>
        <v>0</v>
      </c>
      <c r="G175" s="141">
        <f t="shared" si="169"/>
        <v>0</v>
      </c>
      <c r="H175" s="141">
        <f t="shared" si="169"/>
        <v>0</v>
      </c>
      <c r="I175" s="141">
        <f t="shared" si="169"/>
        <v>0</v>
      </c>
      <c r="J175" s="141">
        <f t="shared" si="169"/>
        <v>0</v>
      </c>
      <c r="K175" s="141">
        <f t="shared" si="169"/>
        <v>0</v>
      </c>
      <c r="L175" s="141">
        <f t="shared" si="169"/>
        <v>0</v>
      </c>
      <c r="M175" s="141">
        <f t="shared" si="169"/>
        <v>0</v>
      </c>
      <c r="N175" s="141">
        <f t="shared" si="169"/>
        <v>0</v>
      </c>
      <c r="O175" s="141">
        <f t="shared" si="169"/>
        <v>0</v>
      </c>
      <c r="P175" s="141">
        <f t="shared" si="169"/>
        <v>0</v>
      </c>
      <c r="Q175" s="141">
        <f t="shared" si="169"/>
        <v>0</v>
      </c>
      <c r="R175" s="141">
        <f t="shared" si="169"/>
        <v>0</v>
      </c>
      <c r="S175" s="141">
        <f t="shared" si="169"/>
        <v>0</v>
      </c>
      <c r="T175" s="141">
        <f t="shared" si="169"/>
        <v>0</v>
      </c>
      <c r="U175" s="141">
        <f t="shared" si="169"/>
        <v>0</v>
      </c>
      <c r="V175" s="141">
        <f t="shared" si="169"/>
        <v>0</v>
      </c>
      <c r="W175" s="141">
        <f t="shared" si="169"/>
        <v>0</v>
      </c>
      <c r="X175" s="141">
        <f t="shared" si="169"/>
        <v>0</v>
      </c>
      <c r="Y175" s="141">
        <f t="shared" si="169"/>
        <v>0</v>
      </c>
      <c r="Z175" s="141">
        <f t="shared" si="169"/>
        <v>0</v>
      </c>
      <c r="AA175" s="141">
        <f t="shared" si="169"/>
        <v>0</v>
      </c>
      <c r="AB175" s="141">
        <f t="shared" si="169"/>
        <v>0</v>
      </c>
      <c r="AC175" s="141">
        <f t="shared" si="169"/>
        <v>0</v>
      </c>
      <c r="AD175" s="141">
        <f t="shared" si="169"/>
        <v>0</v>
      </c>
      <c r="AE175" s="141">
        <f t="shared" si="169"/>
        <v>0</v>
      </c>
      <c r="AF175" s="141">
        <f t="shared" si="169"/>
        <v>0</v>
      </c>
      <c r="AG175" s="141">
        <f t="shared" si="169"/>
        <v>0</v>
      </c>
      <c r="AH175" s="154" t="s">
        <v>12</v>
      </c>
      <c r="AI175" s="133"/>
      <c r="AJ175" s="170"/>
      <c r="AK175" s="133"/>
      <c r="AL175" s="133"/>
    </row>
    <row r="176" spans="1:38" ht="15.95" hidden="1" customHeight="1" x14ac:dyDescent="0.25">
      <c r="A176" s="176"/>
      <c r="B176" s="149" t="s">
        <v>67</v>
      </c>
      <c r="C176" s="171">
        <f>SUM(C173:C175)</f>
        <v>0</v>
      </c>
      <c r="D176" s="171">
        <f t="shared" ref="D176:AG176" si="170">SUM(D173:D175)</f>
        <v>0</v>
      </c>
      <c r="E176" s="171">
        <f t="shared" si="170"/>
        <v>0</v>
      </c>
      <c r="F176" s="171">
        <f t="shared" si="170"/>
        <v>0</v>
      </c>
      <c r="G176" s="171">
        <f t="shared" si="170"/>
        <v>0</v>
      </c>
      <c r="H176" s="171">
        <f t="shared" si="170"/>
        <v>0</v>
      </c>
      <c r="I176" s="171">
        <f t="shared" si="170"/>
        <v>0</v>
      </c>
      <c r="J176" s="171">
        <f t="shared" si="170"/>
        <v>0</v>
      </c>
      <c r="K176" s="171">
        <f t="shared" si="170"/>
        <v>0</v>
      </c>
      <c r="L176" s="171">
        <f t="shared" si="170"/>
        <v>0</v>
      </c>
      <c r="M176" s="171">
        <f t="shared" si="170"/>
        <v>0</v>
      </c>
      <c r="N176" s="171">
        <f t="shared" si="170"/>
        <v>0</v>
      </c>
      <c r="O176" s="171">
        <f t="shared" si="170"/>
        <v>0</v>
      </c>
      <c r="P176" s="171">
        <f t="shared" si="170"/>
        <v>0</v>
      </c>
      <c r="Q176" s="171">
        <f t="shared" si="170"/>
        <v>0</v>
      </c>
      <c r="R176" s="171">
        <f t="shared" si="170"/>
        <v>0</v>
      </c>
      <c r="S176" s="171">
        <f t="shared" si="170"/>
        <v>0</v>
      </c>
      <c r="T176" s="171">
        <f t="shared" si="170"/>
        <v>0</v>
      </c>
      <c r="U176" s="171">
        <f t="shared" si="170"/>
        <v>0</v>
      </c>
      <c r="V176" s="171">
        <f t="shared" si="170"/>
        <v>0</v>
      </c>
      <c r="W176" s="171">
        <f t="shared" si="170"/>
        <v>0</v>
      </c>
      <c r="X176" s="171">
        <f t="shared" si="170"/>
        <v>0</v>
      </c>
      <c r="Y176" s="171">
        <f t="shared" si="170"/>
        <v>0</v>
      </c>
      <c r="Z176" s="171">
        <f t="shared" si="170"/>
        <v>0</v>
      </c>
      <c r="AA176" s="171">
        <f t="shared" si="170"/>
        <v>0</v>
      </c>
      <c r="AB176" s="171">
        <f t="shared" si="170"/>
        <v>0</v>
      </c>
      <c r="AC176" s="171">
        <f t="shared" si="170"/>
        <v>0</v>
      </c>
      <c r="AD176" s="171">
        <f t="shared" si="170"/>
        <v>0</v>
      </c>
      <c r="AE176" s="171">
        <f t="shared" si="170"/>
        <v>0</v>
      </c>
      <c r="AF176" s="171">
        <f t="shared" si="170"/>
        <v>0</v>
      </c>
      <c r="AG176" s="171">
        <f t="shared" si="170"/>
        <v>0</v>
      </c>
      <c r="AH176" s="154" t="s">
        <v>12</v>
      </c>
      <c r="AI176" s="133"/>
      <c r="AJ176" s="170"/>
      <c r="AK176" s="133"/>
      <c r="AL176" s="133"/>
    </row>
    <row r="177" spans="1:38" ht="15.95" hidden="1" customHeight="1" x14ac:dyDescent="0.25">
      <c r="A177" s="177"/>
      <c r="B177" s="160" t="s">
        <v>68</v>
      </c>
      <c r="C177" s="161">
        <f>IF(C20="V",IF(C20="",0,1),0)</f>
        <v>0</v>
      </c>
      <c r="D177" s="161">
        <f t="shared" ref="D177:AG177" si="171">IF(D20="V",IF(D20="",0,1),0)</f>
        <v>0</v>
      </c>
      <c r="E177" s="161">
        <f t="shared" si="171"/>
        <v>0</v>
      </c>
      <c r="F177" s="161">
        <f t="shared" si="171"/>
        <v>0</v>
      </c>
      <c r="G177" s="161">
        <f t="shared" si="171"/>
        <v>0</v>
      </c>
      <c r="H177" s="161">
        <f t="shared" si="171"/>
        <v>0</v>
      </c>
      <c r="I177" s="161">
        <f t="shared" si="171"/>
        <v>0</v>
      </c>
      <c r="J177" s="161">
        <f t="shared" si="171"/>
        <v>0</v>
      </c>
      <c r="K177" s="161">
        <f t="shared" si="171"/>
        <v>0</v>
      </c>
      <c r="L177" s="161">
        <f t="shared" si="171"/>
        <v>0</v>
      </c>
      <c r="M177" s="161">
        <f t="shared" si="171"/>
        <v>0</v>
      </c>
      <c r="N177" s="161">
        <f t="shared" si="171"/>
        <v>0</v>
      </c>
      <c r="O177" s="161">
        <f t="shared" si="171"/>
        <v>0</v>
      </c>
      <c r="P177" s="161">
        <f t="shared" si="171"/>
        <v>0</v>
      </c>
      <c r="Q177" s="161">
        <f t="shared" si="171"/>
        <v>0</v>
      </c>
      <c r="R177" s="161">
        <f t="shared" si="171"/>
        <v>0</v>
      </c>
      <c r="S177" s="161">
        <f t="shared" si="171"/>
        <v>0</v>
      </c>
      <c r="T177" s="161">
        <f t="shared" si="171"/>
        <v>0</v>
      </c>
      <c r="U177" s="161">
        <f t="shared" si="171"/>
        <v>0</v>
      </c>
      <c r="V177" s="161">
        <f t="shared" si="171"/>
        <v>0</v>
      </c>
      <c r="W177" s="161">
        <f t="shared" si="171"/>
        <v>0</v>
      </c>
      <c r="X177" s="161">
        <f t="shared" si="171"/>
        <v>0</v>
      </c>
      <c r="Y177" s="161">
        <f t="shared" si="171"/>
        <v>0</v>
      </c>
      <c r="Z177" s="161">
        <f t="shared" si="171"/>
        <v>0</v>
      </c>
      <c r="AA177" s="161">
        <f t="shared" si="171"/>
        <v>0</v>
      </c>
      <c r="AB177" s="161">
        <f t="shared" si="171"/>
        <v>0</v>
      </c>
      <c r="AC177" s="161">
        <f t="shared" si="171"/>
        <v>0</v>
      </c>
      <c r="AD177" s="161">
        <f t="shared" si="171"/>
        <v>0</v>
      </c>
      <c r="AE177" s="161">
        <f t="shared" si="171"/>
        <v>0</v>
      </c>
      <c r="AF177" s="161">
        <f t="shared" si="171"/>
        <v>0</v>
      </c>
      <c r="AG177" s="161">
        <f t="shared" si="171"/>
        <v>0</v>
      </c>
      <c r="AH177" s="154" t="s">
        <v>12</v>
      </c>
      <c r="AI177" s="133"/>
      <c r="AJ177" s="170"/>
      <c r="AK177" s="133"/>
      <c r="AL177" s="133"/>
    </row>
    <row r="178" spans="1:38" ht="15.95" hidden="1" customHeight="1" x14ac:dyDescent="0.25">
      <c r="A178" s="180"/>
      <c r="B178" s="181" t="s">
        <v>16</v>
      </c>
      <c r="C178" s="182">
        <f>IF(C20="PR",IF(C20="",0,1),0)</f>
        <v>0</v>
      </c>
      <c r="D178" s="182">
        <f t="shared" ref="D178:AG178" si="172">IF(D20="PR",IF(D20="",0,1),0)</f>
        <v>0</v>
      </c>
      <c r="E178" s="182">
        <f t="shared" si="172"/>
        <v>0</v>
      </c>
      <c r="F178" s="182">
        <f t="shared" si="172"/>
        <v>0</v>
      </c>
      <c r="G178" s="182">
        <f t="shared" si="172"/>
        <v>0</v>
      </c>
      <c r="H178" s="182">
        <f t="shared" si="172"/>
        <v>0</v>
      </c>
      <c r="I178" s="182">
        <f t="shared" si="172"/>
        <v>0</v>
      </c>
      <c r="J178" s="182">
        <f t="shared" si="172"/>
        <v>0</v>
      </c>
      <c r="K178" s="182">
        <f t="shared" si="172"/>
        <v>0</v>
      </c>
      <c r="L178" s="182">
        <f t="shared" si="172"/>
        <v>0</v>
      </c>
      <c r="M178" s="182">
        <f t="shared" si="172"/>
        <v>0</v>
      </c>
      <c r="N178" s="182">
        <f t="shared" si="172"/>
        <v>0</v>
      </c>
      <c r="O178" s="182">
        <f t="shared" si="172"/>
        <v>0</v>
      </c>
      <c r="P178" s="182">
        <f t="shared" si="172"/>
        <v>0</v>
      </c>
      <c r="Q178" s="182">
        <f t="shared" si="172"/>
        <v>0</v>
      </c>
      <c r="R178" s="182">
        <f t="shared" si="172"/>
        <v>0</v>
      </c>
      <c r="S178" s="182">
        <f t="shared" si="172"/>
        <v>0</v>
      </c>
      <c r="T178" s="182">
        <f t="shared" si="172"/>
        <v>0</v>
      </c>
      <c r="U178" s="182">
        <f t="shared" si="172"/>
        <v>0</v>
      </c>
      <c r="V178" s="182">
        <f t="shared" si="172"/>
        <v>0</v>
      </c>
      <c r="W178" s="182">
        <f t="shared" si="172"/>
        <v>0</v>
      </c>
      <c r="X178" s="182">
        <f t="shared" si="172"/>
        <v>0</v>
      </c>
      <c r="Y178" s="182">
        <f t="shared" si="172"/>
        <v>0</v>
      </c>
      <c r="Z178" s="182">
        <f t="shared" si="172"/>
        <v>0</v>
      </c>
      <c r="AA178" s="182">
        <f t="shared" si="172"/>
        <v>0</v>
      </c>
      <c r="AB178" s="182">
        <f t="shared" si="172"/>
        <v>0</v>
      </c>
      <c r="AC178" s="182">
        <f t="shared" si="172"/>
        <v>0</v>
      </c>
      <c r="AD178" s="182">
        <f t="shared" si="172"/>
        <v>0</v>
      </c>
      <c r="AE178" s="182">
        <f t="shared" si="172"/>
        <v>0</v>
      </c>
      <c r="AF178" s="182">
        <f t="shared" si="172"/>
        <v>0</v>
      </c>
      <c r="AG178" s="182">
        <f t="shared" si="172"/>
        <v>0</v>
      </c>
      <c r="AH178" s="227">
        <f>SUM(C178:AG178)</f>
        <v>0</v>
      </c>
      <c r="AI178" s="227"/>
      <c r="AJ178" s="174" t="s">
        <v>69</v>
      </c>
      <c r="AK178" s="133"/>
      <c r="AL178" s="133"/>
    </row>
    <row r="179" spans="1:38" ht="15.95" hidden="1" customHeight="1" x14ac:dyDescent="0.25">
      <c r="A179" s="116"/>
      <c r="B179" s="184"/>
      <c r="C179" s="185"/>
      <c r="D179" s="185"/>
      <c r="E179" s="185"/>
      <c r="F179" s="185"/>
      <c r="G179" s="186"/>
      <c r="H179" s="185"/>
      <c r="I179" s="185"/>
      <c r="J179" s="185"/>
      <c r="K179" s="185"/>
      <c r="L179" s="185"/>
      <c r="M179" s="185"/>
      <c r="N179" s="186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185"/>
      <c r="AF179" s="185"/>
      <c r="AG179" s="185"/>
      <c r="AH179" s="133"/>
      <c r="AI179" s="133"/>
      <c r="AJ179" s="133"/>
      <c r="AK179" s="133"/>
      <c r="AL179" s="133"/>
    </row>
    <row r="180" spans="1:38" ht="15.95" hidden="1" customHeight="1" x14ac:dyDescent="0.25">
      <c r="A180" s="116"/>
      <c r="B180" s="184"/>
      <c r="C180" s="185"/>
      <c r="D180" s="185"/>
      <c r="E180" s="185"/>
      <c r="F180" s="185"/>
      <c r="G180" s="186"/>
      <c r="H180" s="185"/>
      <c r="I180" s="185"/>
      <c r="J180" s="185"/>
      <c r="K180" s="185"/>
      <c r="L180" s="185"/>
      <c r="M180" s="185"/>
      <c r="N180" s="186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185"/>
      <c r="AF180" s="185"/>
      <c r="AG180" s="185"/>
      <c r="AH180" s="116"/>
      <c r="AI180" s="116"/>
      <c r="AJ180" s="116"/>
      <c r="AK180" s="116"/>
      <c r="AL180" s="116"/>
    </row>
    <row r="181" spans="1:38" ht="15.95" hidden="1" customHeight="1" x14ac:dyDescent="0.25">
      <c r="A181" s="116"/>
      <c r="B181" s="184"/>
      <c r="C181" s="185"/>
      <c r="D181" s="185"/>
      <c r="E181" s="185"/>
      <c r="F181" s="185"/>
      <c r="G181" s="186"/>
      <c r="H181" s="185"/>
      <c r="I181" s="185"/>
      <c r="J181" s="185"/>
      <c r="K181" s="185"/>
      <c r="L181" s="185"/>
      <c r="M181" s="185"/>
      <c r="N181" s="186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/>
      <c r="AH181" s="116"/>
      <c r="AI181" s="116"/>
      <c r="AJ181" s="116"/>
      <c r="AK181" s="116"/>
      <c r="AL181" s="116"/>
    </row>
    <row r="182" spans="1:38" ht="15.95" hidden="1" customHeight="1" x14ac:dyDescent="0.25">
      <c r="A182" s="116"/>
      <c r="B182" s="126"/>
      <c r="C182" s="116"/>
      <c r="D182" s="116"/>
      <c r="E182" s="116"/>
      <c r="F182" s="116"/>
      <c r="G182" s="114"/>
      <c r="H182" s="116"/>
      <c r="I182" s="116"/>
      <c r="J182" s="116"/>
      <c r="K182" s="116"/>
      <c r="L182" s="116"/>
      <c r="M182" s="116"/>
      <c r="N182" s="114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  <c r="AH182" s="116"/>
      <c r="AI182" s="116"/>
      <c r="AJ182" s="116"/>
      <c r="AK182" s="116"/>
      <c r="AL182" s="116"/>
    </row>
    <row r="183" spans="1:38" ht="15.95" hidden="1" customHeight="1" x14ac:dyDescent="0.25">
      <c r="A183" s="116"/>
      <c r="B183" s="126"/>
      <c r="C183" s="116"/>
      <c r="D183" s="116"/>
      <c r="E183" s="116"/>
      <c r="F183" s="116"/>
      <c r="G183" s="114"/>
      <c r="H183" s="116"/>
      <c r="I183" s="116"/>
      <c r="J183" s="116"/>
      <c r="K183" s="116"/>
      <c r="L183" s="116"/>
      <c r="M183" s="116"/>
      <c r="N183" s="114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  <c r="AI183" s="116"/>
      <c r="AJ183" s="116"/>
      <c r="AK183" s="116"/>
      <c r="AL183" s="116"/>
    </row>
    <row r="184" spans="1:38" ht="15.95" hidden="1" customHeight="1" x14ac:dyDescent="0.25">
      <c r="A184" s="116"/>
      <c r="B184" s="126"/>
      <c r="C184" s="116"/>
      <c r="D184" s="116"/>
      <c r="E184" s="116"/>
      <c r="F184" s="116"/>
      <c r="G184" s="114"/>
      <c r="H184" s="116"/>
      <c r="I184" s="116"/>
      <c r="J184" s="116"/>
      <c r="K184" s="116"/>
      <c r="L184" s="116"/>
      <c r="M184" s="116"/>
      <c r="N184" s="114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  <c r="AI184" s="116"/>
      <c r="AJ184" s="116"/>
      <c r="AK184" s="116"/>
      <c r="AL184" s="116"/>
    </row>
    <row r="185" spans="1:38" ht="15.95" hidden="1" customHeight="1" x14ac:dyDescent="0.25">
      <c r="A185" s="116"/>
      <c r="B185" s="116"/>
      <c r="C185" s="116"/>
      <c r="D185" s="116"/>
      <c r="E185" s="116"/>
      <c r="F185" s="116"/>
      <c r="G185" s="114"/>
      <c r="H185" s="116"/>
      <c r="I185" s="116"/>
      <c r="J185" s="116"/>
      <c r="K185" s="116"/>
      <c r="L185" s="116"/>
      <c r="M185" s="116"/>
      <c r="N185" s="114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  <c r="AI185" s="116"/>
      <c r="AJ185" s="116"/>
      <c r="AK185" s="116"/>
      <c r="AL185" s="116"/>
    </row>
    <row r="186" spans="1:38" ht="15.95" hidden="1" customHeight="1" x14ac:dyDescent="0.25">
      <c r="A186" s="116"/>
      <c r="B186" s="116"/>
      <c r="C186" s="228" t="s">
        <v>89</v>
      </c>
      <c r="D186" s="228"/>
      <c r="E186" s="228"/>
      <c r="F186" s="228"/>
      <c r="G186" s="228"/>
      <c r="H186" s="228"/>
      <c r="I186" s="228"/>
      <c r="J186" s="228"/>
      <c r="K186" s="228"/>
      <c r="L186" s="228"/>
      <c r="M186" s="116"/>
      <c r="N186" s="114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  <c r="AH186" s="116"/>
      <c r="AI186" s="116"/>
      <c r="AJ186" s="116"/>
      <c r="AK186" s="116"/>
      <c r="AL186" s="116"/>
    </row>
    <row r="187" spans="1:38" ht="15.95" hidden="1" customHeight="1" x14ac:dyDescent="0.25">
      <c r="A187" s="180"/>
      <c r="B187" s="181" t="s">
        <v>90</v>
      </c>
      <c r="C187" s="187">
        <f t="shared" ref="C187:AG187" si="173">IF(C49&gt;=4,IF(C49="",0,8),IF(C49&gt;=0.1,IF(C49="",0,C49),""))</f>
        <v>0</v>
      </c>
      <c r="D187" s="187">
        <f t="shared" si="173"/>
        <v>0</v>
      </c>
      <c r="E187" s="187">
        <f t="shared" si="173"/>
        <v>0</v>
      </c>
      <c r="F187" s="187">
        <f t="shared" si="173"/>
        <v>0</v>
      </c>
      <c r="G187" s="187">
        <f t="shared" si="173"/>
        <v>0</v>
      </c>
      <c r="H187" s="187">
        <f t="shared" si="173"/>
        <v>0</v>
      </c>
      <c r="I187" s="187">
        <f t="shared" si="173"/>
        <v>0</v>
      </c>
      <c r="J187" s="187">
        <f t="shared" si="173"/>
        <v>0</v>
      </c>
      <c r="K187" s="187">
        <f t="shared" si="173"/>
        <v>0</v>
      </c>
      <c r="L187" s="187">
        <f t="shared" si="173"/>
        <v>0</v>
      </c>
      <c r="M187" s="187">
        <f t="shared" si="173"/>
        <v>0</v>
      </c>
      <c r="N187" s="187">
        <f t="shared" si="173"/>
        <v>0</v>
      </c>
      <c r="O187" s="187">
        <f t="shared" si="173"/>
        <v>0</v>
      </c>
      <c r="P187" s="187">
        <f t="shared" si="173"/>
        <v>0</v>
      </c>
      <c r="Q187" s="187">
        <f t="shared" si="173"/>
        <v>0</v>
      </c>
      <c r="R187" s="187">
        <f t="shared" si="173"/>
        <v>0</v>
      </c>
      <c r="S187" s="187">
        <f t="shared" si="173"/>
        <v>0</v>
      </c>
      <c r="T187" s="187">
        <f t="shared" si="173"/>
        <v>0</v>
      </c>
      <c r="U187" s="187">
        <f t="shared" si="173"/>
        <v>0</v>
      </c>
      <c r="V187" s="187">
        <f t="shared" si="173"/>
        <v>0</v>
      </c>
      <c r="W187" s="187">
        <f t="shared" si="173"/>
        <v>0</v>
      </c>
      <c r="X187" s="187">
        <f t="shared" si="173"/>
        <v>0</v>
      </c>
      <c r="Y187" s="187">
        <f t="shared" si="173"/>
        <v>0</v>
      </c>
      <c r="Z187" s="187">
        <f t="shared" si="173"/>
        <v>0</v>
      </c>
      <c r="AA187" s="187">
        <f t="shared" si="173"/>
        <v>0</v>
      </c>
      <c r="AB187" s="187">
        <f t="shared" si="173"/>
        <v>0</v>
      </c>
      <c r="AC187" s="187">
        <f t="shared" si="173"/>
        <v>0</v>
      </c>
      <c r="AD187" s="187">
        <f t="shared" si="173"/>
        <v>0</v>
      </c>
      <c r="AE187" s="187">
        <f t="shared" si="173"/>
        <v>0</v>
      </c>
      <c r="AF187" s="187">
        <f t="shared" si="173"/>
        <v>0</v>
      </c>
      <c r="AG187" s="187">
        <f t="shared" si="173"/>
        <v>0</v>
      </c>
      <c r="AH187" s="188">
        <f t="shared" ref="AH187" si="174">SUM(C187:AG187)</f>
        <v>0</v>
      </c>
      <c r="AI187" s="116" t="s">
        <v>91</v>
      </c>
      <c r="AJ187" s="116"/>
      <c r="AK187" s="116"/>
      <c r="AL187" s="116"/>
    </row>
    <row r="188" spans="1:38" ht="15.95" hidden="1" customHeight="1" x14ac:dyDescent="0.25">
      <c r="A188" s="116"/>
      <c r="B188" s="181" t="s">
        <v>92</v>
      </c>
      <c r="C188" s="189">
        <v>1</v>
      </c>
      <c r="D188" s="189">
        <v>2</v>
      </c>
      <c r="E188" s="189">
        <v>3</v>
      </c>
      <c r="F188" s="189">
        <v>4</v>
      </c>
      <c r="G188" s="189">
        <v>5</v>
      </c>
      <c r="H188" s="189">
        <v>6</v>
      </c>
      <c r="I188" s="189">
        <v>7</v>
      </c>
      <c r="J188" s="189">
        <v>8</v>
      </c>
      <c r="K188" s="189">
        <v>9</v>
      </c>
      <c r="L188" s="189">
        <v>10</v>
      </c>
      <c r="M188" s="189">
        <v>11</v>
      </c>
      <c r="N188" s="189">
        <v>12</v>
      </c>
      <c r="O188" s="189">
        <v>13</v>
      </c>
      <c r="P188" s="189">
        <v>14</v>
      </c>
      <c r="Q188" s="189">
        <v>15</v>
      </c>
      <c r="R188" s="189">
        <v>16</v>
      </c>
      <c r="S188" s="189">
        <v>17</v>
      </c>
      <c r="T188" s="189">
        <v>18</v>
      </c>
      <c r="U188" s="189">
        <v>19</v>
      </c>
      <c r="V188" s="189">
        <v>20</v>
      </c>
      <c r="W188" s="189">
        <v>21</v>
      </c>
      <c r="X188" s="189">
        <v>22</v>
      </c>
      <c r="Y188" s="189">
        <v>23</v>
      </c>
      <c r="Z188" s="189">
        <v>24</v>
      </c>
      <c r="AA188" s="189">
        <v>25</v>
      </c>
      <c r="AB188" s="189">
        <v>26</v>
      </c>
      <c r="AC188" s="189">
        <v>27</v>
      </c>
      <c r="AD188" s="189">
        <v>28</v>
      </c>
      <c r="AE188" s="189">
        <v>29</v>
      </c>
      <c r="AF188" s="189">
        <v>30</v>
      </c>
      <c r="AG188" s="189">
        <v>31</v>
      </c>
      <c r="AH188" s="116"/>
      <c r="AI188" s="116"/>
      <c r="AJ188" s="116"/>
      <c r="AK188" s="116"/>
      <c r="AL188" s="116"/>
    </row>
    <row r="189" spans="1:38" ht="15.95" hidden="1" customHeight="1" x14ac:dyDescent="0.25">
      <c r="A189" s="116"/>
      <c r="B189" s="116"/>
      <c r="C189" s="116"/>
      <c r="D189" s="116"/>
      <c r="E189" s="116"/>
      <c r="F189" s="116"/>
      <c r="G189" s="114"/>
      <c r="H189" s="116"/>
      <c r="I189" s="116"/>
      <c r="J189" s="116"/>
      <c r="K189" s="116"/>
      <c r="L189" s="116"/>
      <c r="M189" s="116"/>
      <c r="N189" s="114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  <c r="AH189" s="116"/>
      <c r="AI189" s="116"/>
      <c r="AJ189" s="116"/>
      <c r="AK189" s="116"/>
      <c r="AL189" s="116"/>
    </row>
    <row r="190" spans="1:38" ht="15.95" hidden="1" customHeight="1" x14ac:dyDescent="0.25">
      <c r="A190" s="116"/>
      <c r="B190" s="116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  <c r="AB190" s="221"/>
      <c r="AC190" s="221"/>
      <c r="AD190" s="221"/>
      <c r="AE190" s="221"/>
      <c r="AF190" s="221"/>
      <c r="AG190" s="221"/>
      <c r="AH190" s="116"/>
      <c r="AI190" s="116"/>
      <c r="AJ190" s="116"/>
      <c r="AK190" s="116"/>
      <c r="AL190" s="116"/>
    </row>
    <row r="191" spans="1:38" ht="15.95" hidden="1" customHeight="1" x14ac:dyDescent="0.25">
      <c r="A191" s="116"/>
      <c r="B191" s="181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  <c r="AA191" s="190"/>
      <c r="AB191" s="190"/>
      <c r="AC191" s="190"/>
      <c r="AD191" s="190"/>
      <c r="AE191" s="190"/>
      <c r="AF191" s="190"/>
      <c r="AG191" s="190"/>
      <c r="AH191" s="116"/>
      <c r="AI191" s="116"/>
      <c r="AJ191" s="116"/>
      <c r="AK191" s="116"/>
      <c r="AL191" s="116"/>
    </row>
    <row r="192" spans="1:38" ht="15.95" hidden="1" customHeight="1" x14ac:dyDescent="0.25">
      <c r="A192" s="116"/>
      <c r="B192" s="191"/>
      <c r="C192" s="192"/>
      <c r="D192" s="192"/>
      <c r="E192" s="192"/>
      <c r="F192" s="192"/>
      <c r="G192" s="193"/>
      <c r="H192" s="192"/>
      <c r="I192" s="192"/>
      <c r="J192" s="192"/>
      <c r="K192" s="192"/>
      <c r="L192" s="192"/>
      <c r="M192" s="192"/>
      <c r="N192" s="193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  <c r="AA192" s="192"/>
      <c r="AB192" s="192"/>
      <c r="AC192" s="192"/>
      <c r="AD192" s="192"/>
      <c r="AE192" s="192"/>
      <c r="AF192" s="192"/>
      <c r="AG192" s="192"/>
      <c r="AH192" s="116"/>
      <c r="AI192" s="116"/>
      <c r="AJ192" s="116"/>
      <c r="AK192" s="116"/>
      <c r="AL192" s="116"/>
    </row>
    <row r="193" spans="1:38" ht="15.95" hidden="1" customHeight="1" x14ac:dyDescent="0.25">
      <c r="A193" s="116"/>
      <c r="B193" s="116"/>
      <c r="C193" s="116"/>
      <c r="D193" s="116"/>
      <c r="E193" s="116"/>
      <c r="F193" s="116"/>
      <c r="G193" s="114"/>
      <c r="H193" s="116"/>
      <c r="I193" s="116"/>
      <c r="J193" s="116"/>
      <c r="K193" s="116"/>
      <c r="L193" s="116"/>
      <c r="M193" s="116"/>
      <c r="N193" s="114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  <c r="AH193" s="116"/>
      <c r="AI193" s="116"/>
      <c r="AJ193" s="116"/>
      <c r="AK193" s="116"/>
      <c r="AL193" s="116"/>
    </row>
    <row r="194" spans="1:38" ht="15.95" hidden="1" customHeight="1" x14ac:dyDescent="0.25">
      <c r="A194" s="116"/>
      <c r="B194" s="116"/>
      <c r="C194" s="116"/>
      <c r="D194" s="116"/>
      <c r="E194" s="116"/>
      <c r="F194" s="116"/>
      <c r="G194" s="114"/>
      <c r="H194" s="116"/>
      <c r="I194" s="116"/>
      <c r="J194" s="116"/>
      <c r="K194" s="116"/>
      <c r="L194" s="116"/>
      <c r="M194" s="116"/>
      <c r="N194" s="114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  <c r="AK194" s="116"/>
      <c r="AL194" s="116"/>
    </row>
    <row r="195" spans="1:38" ht="15.95" hidden="1" customHeight="1" x14ac:dyDescent="0.25">
      <c r="A195" s="116"/>
      <c r="B195" s="116"/>
      <c r="C195" s="116"/>
      <c r="D195" s="116"/>
      <c r="E195" s="116"/>
      <c r="F195" s="116"/>
      <c r="G195" s="114"/>
      <c r="H195" s="116"/>
      <c r="I195" s="116"/>
      <c r="J195" s="116"/>
      <c r="K195" s="116"/>
      <c r="L195" s="116"/>
      <c r="M195" s="116"/>
      <c r="N195" s="114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  <c r="AJ195" s="116"/>
      <c r="AK195" s="116"/>
      <c r="AL195" s="116"/>
    </row>
    <row r="196" spans="1:38" ht="15.95" hidden="1" customHeight="1" x14ac:dyDescent="0.25">
      <c r="A196" s="116"/>
      <c r="B196" s="116"/>
      <c r="C196" s="116"/>
      <c r="D196" s="116"/>
      <c r="E196" s="116"/>
      <c r="F196" s="116"/>
      <c r="G196" s="114"/>
      <c r="H196" s="116"/>
      <c r="I196" s="116"/>
      <c r="J196" s="116"/>
      <c r="K196" s="116"/>
      <c r="L196" s="116"/>
      <c r="M196" s="116"/>
      <c r="N196" s="114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  <c r="AJ196" s="116"/>
      <c r="AK196" s="116"/>
      <c r="AL196" s="116"/>
    </row>
    <row r="197" spans="1:38" ht="15.95" hidden="1" customHeight="1" x14ac:dyDescent="0.25">
      <c r="A197" s="116"/>
      <c r="B197" s="116"/>
      <c r="C197" s="116"/>
      <c r="D197" s="116"/>
      <c r="E197" s="116"/>
      <c r="F197" s="116"/>
      <c r="G197" s="114"/>
      <c r="H197" s="116"/>
      <c r="I197" s="116"/>
      <c r="J197" s="116"/>
      <c r="K197" s="116"/>
      <c r="L197" s="116"/>
      <c r="M197" s="116"/>
      <c r="N197" s="114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  <c r="AI197" s="116"/>
      <c r="AJ197" s="116"/>
      <c r="AK197" s="116"/>
      <c r="AL197" s="116"/>
    </row>
    <row r="198" spans="1:38" ht="15.95" hidden="1" customHeight="1" x14ac:dyDescent="0.25">
      <c r="A198" s="116"/>
      <c r="B198" s="116"/>
      <c r="C198" s="116"/>
      <c r="D198" s="116"/>
      <c r="E198" s="116"/>
      <c r="F198" s="116"/>
      <c r="G198" s="114"/>
      <c r="H198" s="116"/>
      <c r="I198" s="116"/>
      <c r="J198" s="116"/>
      <c r="K198" s="116"/>
      <c r="L198" s="116"/>
      <c r="M198" s="116"/>
      <c r="N198" s="114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  <c r="AL198" s="116"/>
    </row>
    <row r="199" spans="1:38" ht="15.95" hidden="1" customHeight="1" x14ac:dyDescent="0.25">
      <c r="A199" s="116"/>
      <c r="B199" s="116"/>
      <c r="C199" s="116"/>
      <c r="D199" s="116"/>
      <c r="E199" s="116"/>
      <c r="F199" s="116"/>
      <c r="G199" s="114"/>
      <c r="H199" s="116"/>
      <c r="I199" s="116"/>
      <c r="J199" s="116"/>
      <c r="K199" s="116"/>
      <c r="L199" s="116"/>
      <c r="M199" s="116"/>
      <c r="N199" s="114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  <c r="AJ199" s="116"/>
      <c r="AK199" s="116"/>
      <c r="AL199" s="116"/>
    </row>
    <row r="200" spans="1:38" ht="15.95" hidden="1" customHeight="1" x14ac:dyDescent="0.25">
      <c r="A200" s="116"/>
      <c r="B200" s="116"/>
      <c r="C200" s="116"/>
      <c r="D200" s="116"/>
      <c r="E200" s="116"/>
      <c r="F200" s="116"/>
      <c r="G200" s="114"/>
      <c r="H200" s="116"/>
      <c r="I200" s="116"/>
      <c r="J200" s="116"/>
      <c r="K200" s="116"/>
      <c r="L200" s="116"/>
      <c r="M200" s="116"/>
      <c r="N200" s="114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  <c r="AI200" s="116"/>
      <c r="AJ200" s="116"/>
      <c r="AK200" s="116"/>
      <c r="AL200" s="116"/>
    </row>
    <row r="201" spans="1:38" ht="20.25" customHeight="1" x14ac:dyDescent="0.25">
      <c r="A201" s="116"/>
      <c r="B201" s="116"/>
      <c r="C201" s="116"/>
      <c r="D201" s="116"/>
      <c r="E201" s="116"/>
      <c r="F201" s="116"/>
      <c r="G201" s="114"/>
      <c r="H201" s="116"/>
      <c r="I201" s="116"/>
      <c r="J201" s="116"/>
      <c r="K201" s="116"/>
      <c r="L201" s="116"/>
      <c r="M201" s="116"/>
      <c r="N201" s="114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  <c r="AK201" s="116"/>
      <c r="AL201" s="116"/>
    </row>
  </sheetData>
  <sheetProtection algorithmName="SHA-512" hashValue="Cj9nvi34bHNWfkFgVqJEVKfq9XySxOYBRVK5haQY8PlSqGjUdNo91aVuXAX406g63NnvXl0CiotVcHW/dharPw==" saltValue="Wf2+tca4fJhswnXOba1J5w==" spinCount="100000" sheet="1" objects="1" scenarios="1" formatCells="0"/>
  <mergeCells count="148">
    <mergeCell ref="AH171:AI171"/>
    <mergeCell ref="AJ171:AK171"/>
    <mergeCell ref="AH172:AI172"/>
    <mergeCell ref="AH178:AI178"/>
    <mergeCell ref="C186:L186"/>
    <mergeCell ref="C190:AG190"/>
    <mergeCell ref="AH150:AI150"/>
    <mergeCell ref="AH156:AI156"/>
    <mergeCell ref="AH160:AI160"/>
    <mergeCell ref="AJ160:AK160"/>
    <mergeCell ref="AH161:AI161"/>
    <mergeCell ref="AH167:AI167"/>
    <mergeCell ref="AH138:AI138"/>
    <mergeCell ref="AJ138:AK138"/>
    <mergeCell ref="AH139:AI139"/>
    <mergeCell ref="AH145:AI145"/>
    <mergeCell ref="AH149:AI149"/>
    <mergeCell ref="AJ149:AK149"/>
    <mergeCell ref="AH117:AI117"/>
    <mergeCell ref="AH123:AI123"/>
    <mergeCell ref="AH127:AI127"/>
    <mergeCell ref="AJ127:AK127"/>
    <mergeCell ref="AH128:AI128"/>
    <mergeCell ref="AH134:AI134"/>
    <mergeCell ref="AH105:AI105"/>
    <mergeCell ref="AJ105:AK105"/>
    <mergeCell ref="AH106:AI106"/>
    <mergeCell ref="AH112:AI112"/>
    <mergeCell ref="AH116:AI116"/>
    <mergeCell ref="AJ116:AK116"/>
    <mergeCell ref="AH83:AI83"/>
    <mergeCell ref="AH84:AI84"/>
    <mergeCell ref="AH90:AI90"/>
    <mergeCell ref="AH94:AI94"/>
    <mergeCell ref="AH95:AI95"/>
    <mergeCell ref="AH101:AI101"/>
    <mergeCell ref="AH61:AI61"/>
    <mergeCell ref="AH62:AI62"/>
    <mergeCell ref="AH68:AI68"/>
    <mergeCell ref="AH72:AI72"/>
    <mergeCell ref="AH73:AI73"/>
    <mergeCell ref="AH79:AI79"/>
    <mergeCell ref="AI48:AJ48"/>
    <mergeCell ref="AI49:AJ49"/>
    <mergeCell ref="AN49:AO49"/>
    <mergeCell ref="AH50:AI50"/>
    <mergeCell ref="AH51:AI51"/>
    <mergeCell ref="AH57:AI57"/>
    <mergeCell ref="C43:D43"/>
    <mergeCell ref="E43:AI43"/>
    <mergeCell ref="AI45:AJ45"/>
    <mergeCell ref="AI46:AJ46"/>
    <mergeCell ref="AI47:AJ47"/>
    <mergeCell ref="AN47:AO47"/>
    <mergeCell ref="S39:T39"/>
    <mergeCell ref="V39:W39"/>
    <mergeCell ref="S40:T40"/>
    <mergeCell ref="V40:W40"/>
    <mergeCell ref="C42:V42"/>
    <mergeCell ref="W42:AH42"/>
    <mergeCell ref="A37:B37"/>
    <mergeCell ref="C37:N37"/>
    <mergeCell ref="S37:T37"/>
    <mergeCell ref="V37:W37"/>
    <mergeCell ref="A38:B38"/>
    <mergeCell ref="C38:N38"/>
    <mergeCell ref="S38:T38"/>
    <mergeCell ref="V38:W38"/>
    <mergeCell ref="A35:B35"/>
    <mergeCell ref="C35:N35"/>
    <mergeCell ref="S35:T35"/>
    <mergeCell ref="V35:W35"/>
    <mergeCell ref="A36:B36"/>
    <mergeCell ref="C36:N36"/>
    <mergeCell ref="S36:T36"/>
    <mergeCell ref="V36:W36"/>
    <mergeCell ref="A33:B33"/>
    <mergeCell ref="C33:N33"/>
    <mergeCell ref="S33:T33"/>
    <mergeCell ref="V33:W33"/>
    <mergeCell ref="A34:B34"/>
    <mergeCell ref="C34:N34"/>
    <mergeCell ref="S34:T34"/>
    <mergeCell ref="V34:W34"/>
    <mergeCell ref="AR31:AZ31"/>
    <mergeCell ref="D26:E26"/>
    <mergeCell ref="G26:H26"/>
    <mergeCell ref="K26:L26"/>
    <mergeCell ref="N26:O26"/>
    <mergeCell ref="R26:S26"/>
    <mergeCell ref="U26:V26"/>
    <mergeCell ref="W26:X26"/>
    <mergeCell ref="BB31:BC31"/>
    <mergeCell ref="A32:B32"/>
    <mergeCell ref="C32:N32"/>
    <mergeCell ref="S32:T32"/>
    <mergeCell ref="V32:W32"/>
    <mergeCell ref="AD32:AG32"/>
    <mergeCell ref="AI32:AJ32"/>
    <mergeCell ref="Z26:AA26"/>
    <mergeCell ref="AH26:AI26"/>
    <mergeCell ref="AJ26:AL26"/>
    <mergeCell ref="AE27:AF27"/>
    <mergeCell ref="C29:AJ29"/>
    <mergeCell ref="A31:N31"/>
    <mergeCell ref="R31:W31"/>
    <mergeCell ref="AD31:AI31"/>
    <mergeCell ref="AH24:AI24"/>
    <mergeCell ref="AJ24:AL24"/>
    <mergeCell ref="D25:E25"/>
    <mergeCell ref="G25:H25"/>
    <mergeCell ref="K25:L25"/>
    <mergeCell ref="N25:O25"/>
    <mergeCell ref="R25:S25"/>
    <mergeCell ref="U25:V25"/>
    <mergeCell ref="W25:X25"/>
    <mergeCell ref="Z25:AA25"/>
    <mergeCell ref="AH25:AI25"/>
    <mergeCell ref="AJ25:AL25"/>
    <mergeCell ref="C23:H23"/>
    <mergeCell ref="J23:O23"/>
    <mergeCell ref="Q23:AA23"/>
    <mergeCell ref="D24:E24"/>
    <mergeCell ref="G24:H24"/>
    <mergeCell ref="K24:L24"/>
    <mergeCell ref="N24:O24"/>
    <mergeCell ref="R24:S24"/>
    <mergeCell ref="U24:V24"/>
    <mergeCell ref="W24:X24"/>
    <mergeCell ref="Z24:AA24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B3:J3"/>
    <mergeCell ref="B4:O4"/>
    <mergeCell ref="Q4:X4"/>
    <mergeCell ref="Z4:AB4"/>
    <mergeCell ref="AC4:AH4"/>
    <mergeCell ref="A8:B8"/>
    <mergeCell ref="A15:B15"/>
    <mergeCell ref="A16:B16"/>
    <mergeCell ref="A17:B17"/>
  </mergeCells>
  <conditionalFormatting sqref="C7:AG20">
    <cfRule type="expression" dxfId="4" priority="1" stopIfTrue="1">
      <formula>C$46=1</formula>
    </cfRule>
  </conditionalFormatting>
  <hyperlinks>
    <hyperlink ref="C42" r:id="rId1" xr:uid="{00000000-0004-0000-0700-000000000000}"/>
  </hyperlinks>
  <printOptions horizontalCentered="1"/>
  <pageMargins left="7.874015748031496E-2" right="7.874015748031496E-2" top="0.31496062992125984" bottom="0" header="0.51181102362204722" footer="0.51181102362204722"/>
  <pageSetup paperSize="9" scale="97" orientation="landscape" useFirstPageNumber="1" r:id="rId2"/>
  <headerFooter alignWithMargins="0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I201"/>
  <sheetViews>
    <sheetView showGridLines="0" showRowColHeaders="0" zoomScale="120" zoomScaleNormal="120" zoomScaleSheetLayoutView="75" workbookViewId="0">
      <selection activeCell="C35" sqref="C35:N35"/>
    </sheetView>
  </sheetViews>
  <sheetFormatPr baseColWidth="10" defaultColWidth="11.140625" defaultRowHeight="20.25" customHeight="1" x14ac:dyDescent="0.25"/>
  <cols>
    <col min="1" max="2" width="9.7109375" style="1" customWidth="1"/>
    <col min="3" max="6" width="3.28515625" style="1" customWidth="1"/>
    <col min="7" max="7" width="3.28515625" style="2" customWidth="1"/>
    <col min="8" max="13" width="3.28515625" style="1" customWidth="1"/>
    <col min="14" max="14" width="3.28515625" style="2" customWidth="1"/>
    <col min="15" max="33" width="3.28515625" style="1" customWidth="1"/>
    <col min="34" max="34" width="7.7109375" style="1" customWidth="1"/>
    <col min="35" max="38" width="4.7109375" style="1" customWidth="1"/>
    <col min="39" max="59" width="6.7109375" style="1" hidden="1" customWidth="1"/>
    <col min="60" max="83" width="4.7109375" style="1" hidden="1" customWidth="1"/>
    <col min="84" max="95" width="0" style="1" hidden="1" customWidth="1"/>
    <col min="96" max="16384" width="11.140625" style="1"/>
  </cols>
  <sheetData>
    <row r="1" spans="1:84" s="2" customFormat="1" ht="19.5" customHeight="1" x14ac:dyDescent="0.35">
      <c r="B1" s="3"/>
      <c r="M1" s="4"/>
      <c r="U1" s="5"/>
      <c r="V1" s="6"/>
      <c r="Z1" s="7"/>
      <c r="AA1" s="7"/>
      <c r="AB1" s="7"/>
      <c r="AC1" s="7"/>
      <c r="AD1" s="7"/>
      <c r="AE1" s="7"/>
      <c r="AF1" s="7"/>
      <c r="AG1" s="1"/>
      <c r="AH1" s="1"/>
      <c r="AI1" s="1"/>
      <c r="AJ1" s="1"/>
    </row>
    <row r="2" spans="1:84" s="2" customFormat="1" ht="19.5" customHeight="1" x14ac:dyDescent="0.35">
      <c r="B2" s="3"/>
      <c r="M2" s="4"/>
      <c r="U2" s="5"/>
      <c r="V2" s="6"/>
      <c r="Z2" s="7"/>
      <c r="AA2" s="7"/>
      <c r="AB2" s="7"/>
      <c r="AC2" s="7"/>
      <c r="AD2" s="7"/>
      <c r="AE2" s="7"/>
      <c r="AF2" s="7"/>
      <c r="AG2" s="1"/>
      <c r="AH2" s="1"/>
      <c r="AI2" s="1"/>
      <c r="AJ2" s="1"/>
    </row>
    <row r="3" spans="1:84" s="2" customFormat="1" ht="19.5" customHeight="1" x14ac:dyDescent="0.35">
      <c r="B3" s="271" t="str">
        <f t="shared" ref="B3:B4" si="0">C32</f>
        <v>VIGILANT</v>
      </c>
      <c r="C3" s="271"/>
      <c r="D3" s="271"/>
      <c r="E3" s="271"/>
      <c r="F3" s="271"/>
      <c r="G3" s="271"/>
      <c r="H3" s="271"/>
      <c r="I3" s="271"/>
      <c r="J3" s="271"/>
      <c r="M3" s="4"/>
      <c r="U3" s="5"/>
      <c r="V3" s="6"/>
      <c r="Z3" s="7"/>
      <c r="AA3" s="7"/>
      <c r="AB3" s="7"/>
      <c r="AC3" s="7"/>
      <c r="AD3" s="7"/>
      <c r="AE3" s="7"/>
      <c r="AF3" s="7"/>
      <c r="AG3" s="1"/>
      <c r="AH3" s="1"/>
      <c r="AI3" s="1"/>
      <c r="AJ3" s="1"/>
    </row>
    <row r="4" spans="1:84" s="9" customFormat="1" ht="17.25" customHeight="1" x14ac:dyDescent="0.25">
      <c r="A4" s="8"/>
      <c r="B4" s="272" t="str">
        <f t="shared" si="0"/>
        <v>TERRAZAS</v>
      </c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1"/>
      <c r="Q4" s="232">
        <f>DATE($C$34,$C$35,1)</f>
        <v>45901</v>
      </c>
      <c r="R4" s="232"/>
      <c r="S4" s="232"/>
      <c r="T4" s="232"/>
      <c r="U4" s="232"/>
      <c r="V4" s="232"/>
      <c r="W4" s="232"/>
      <c r="X4" s="232"/>
      <c r="Y4" s="1"/>
      <c r="Z4" s="259">
        <f>SUM(AH51+AH62+AH73+AH84+AH95+AH106+AH117+AH128+AH139+AH150+AH161+AH172)</f>
        <v>0</v>
      </c>
      <c r="AA4" s="259"/>
      <c r="AB4" s="259"/>
      <c r="AC4" s="267" t="s">
        <v>0</v>
      </c>
      <c r="AD4" s="267"/>
      <c r="AE4" s="267"/>
      <c r="AF4" s="267"/>
      <c r="AG4" s="267"/>
      <c r="AH4" s="267"/>
      <c r="AI4" s="1"/>
      <c r="AJ4" s="1"/>
    </row>
    <row r="5" spans="1:84" s="2" customFormat="1" ht="17.25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/>
      <c r="AD5" s="12"/>
      <c r="AE5" s="12" t="str">
        <f>IF(CA59=28,IF(CA59="",0,1),IF(CA59=1,IF(CA59="",0,1),""))</f>
        <v/>
      </c>
      <c r="AF5" s="12" t="str">
        <f>IF(CA59=29,IF(CA59="",0,1),IF(CA59=1,IF(CA59="",0,1),""))</f>
        <v/>
      </c>
      <c r="AG5" s="12">
        <f>IF(CA59=30,IF(CA59="",0,1),IF(CA59=1,IF(CA59="",0,1),""))</f>
        <v>1</v>
      </c>
      <c r="AH5" s="12" t="str">
        <f>IF(CA59=31,IF(CA59="",0,1),IF(CA59=1,IF(CA59="",0,1),""))</f>
        <v/>
      </c>
      <c r="AI5" s="1"/>
      <c r="AJ5" s="1"/>
    </row>
    <row r="6" spans="1:84" s="13" customFormat="1" ht="17.25" customHeight="1" x14ac:dyDescent="0.25">
      <c r="B6" s="14" t="s">
        <v>1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"/>
      <c r="AJ6" s="1"/>
    </row>
    <row r="7" spans="1:84" s="11" customFormat="1" ht="19.5" customHeight="1" x14ac:dyDescent="0.25">
      <c r="A7" s="16"/>
      <c r="B7" s="17" t="s">
        <v>2</v>
      </c>
      <c r="C7" s="18" t="str">
        <f>IF(AV47="LUNES","lu",IF(AV47="MARTES","ma",IF(AV47="MIERCOLES","mi",IF(AV47="JUEVES","ju",IF(AV47="VIERNES","vi",IF(AV47="SABADO","S",IF(AV47="DOMINGO","D","")))))))</f>
        <v>lu</v>
      </c>
      <c r="D7" s="18" t="str">
        <f t="shared" ref="D7:AD7" si="1">IF(C7="lu","ma",IF(C7="ma","mi",IF(C7="mi","ju",IF(C7="ju","vi",IF(C7="vi","S",IF(C7="S","D",IF(C7="D","lu","")))))))</f>
        <v>ma</v>
      </c>
      <c r="E7" s="18" t="str">
        <f t="shared" si="1"/>
        <v>mi</v>
      </c>
      <c r="F7" s="18" t="str">
        <f t="shared" si="1"/>
        <v>ju</v>
      </c>
      <c r="G7" s="18" t="str">
        <f t="shared" si="1"/>
        <v>vi</v>
      </c>
      <c r="H7" s="18" t="str">
        <f t="shared" si="1"/>
        <v>S</v>
      </c>
      <c r="I7" s="18" t="str">
        <f t="shared" si="1"/>
        <v>D</v>
      </c>
      <c r="J7" s="18" t="str">
        <f t="shared" si="1"/>
        <v>lu</v>
      </c>
      <c r="K7" s="18" t="str">
        <f t="shared" si="1"/>
        <v>ma</v>
      </c>
      <c r="L7" s="18" t="str">
        <f t="shared" si="1"/>
        <v>mi</v>
      </c>
      <c r="M7" s="18" t="str">
        <f t="shared" si="1"/>
        <v>ju</v>
      </c>
      <c r="N7" s="18" t="str">
        <f t="shared" si="1"/>
        <v>vi</v>
      </c>
      <c r="O7" s="18" t="str">
        <f t="shared" si="1"/>
        <v>S</v>
      </c>
      <c r="P7" s="18" t="str">
        <f t="shared" si="1"/>
        <v>D</v>
      </c>
      <c r="Q7" s="18" t="str">
        <f t="shared" si="1"/>
        <v>lu</v>
      </c>
      <c r="R7" s="18" t="str">
        <f t="shared" si="1"/>
        <v>ma</v>
      </c>
      <c r="S7" s="18" t="str">
        <f t="shared" si="1"/>
        <v>mi</v>
      </c>
      <c r="T7" s="18" t="str">
        <f t="shared" si="1"/>
        <v>ju</v>
      </c>
      <c r="U7" s="18" t="str">
        <f t="shared" si="1"/>
        <v>vi</v>
      </c>
      <c r="V7" s="18" t="str">
        <f t="shared" si="1"/>
        <v>S</v>
      </c>
      <c r="W7" s="18" t="str">
        <f t="shared" si="1"/>
        <v>D</v>
      </c>
      <c r="X7" s="18" t="str">
        <f t="shared" si="1"/>
        <v>lu</v>
      </c>
      <c r="Y7" s="18" t="str">
        <f t="shared" si="1"/>
        <v>ma</v>
      </c>
      <c r="Z7" s="18" t="str">
        <f t="shared" si="1"/>
        <v>mi</v>
      </c>
      <c r="AA7" s="18" t="str">
        <f t="shared" si="1"/>
        <v>ju</v>
      </c>
      <c r="AB7" s="18" t="str">
        <f t="shared" si="1"/>
        <v>vi</v>
      </c>
      <c r="AC7" s="18" t="str">
        <f t="shared" si="1"/>
        <v>S</v>
      </c>
      <c r="AD7" s="18" t="str">
        <f t="shared" si="1"/>
        <v>D</v>
      </c>
      <c r="AE7" s="18" t="str">
        <f>IF(AE8="","",IF(AD7="lu","ma",IF(AD7="ma","mi",IF(AD7="mi","ju",IF(AD7="ju","vi",IF(AD7="vi","S",IF(AD7="S","D",IF(AD7="D","lu",""))))))))</f>
        <v>lu</v>
      </c>
      <c r="AF7" s="18" t="str">
        <f>IF(AF8="","",IF(AE7="lu","ma",IF(AE7="ma","mi",IF(AE7="mi","ju",IF(AE7="ju","vi",IF(AE7="vi","S",IF(AE7="S","D",IF(AE7="D","lu",""))))))))</f>
        <v>ma</v>
      </c>
      <c r="AG7" s="18" t="str">
        <f>IF(AG8="","",IF(AF7="lu","ma",IF(AF7="ma","mi",IF(AF7="mi","ju",IF(AF7="ju","vi",IF(AF7="vi","S",IF(AF7="S","D",IF(AF7="D","lu",""))))))))</f>
        <v/>
      </c>
      <c r="AH7" s="16"/>
    </row>
    <row r="8" spans="1:84" s="22" customFormat="1" ht="19.5" customHeight="1" x14ac:dyDescent="0.2">
      <c r="A8" s="270" t="s">
        <v>3</v>
      </c>
      <c r="B8" s="270"/>
      <c r="C8" s="18">
        <v>1</v>
      </c>
      <c r="D8" s="18">
        <v>2</v>
      </c>
      <c r="E8" s="18">
        <v>3</v>
      </c>
      <c r="F8" s="18">
        <v>4</v>
      </c>
      <c r="G8" s="18">
        <v>5</v>
      </c>
      <c r="H8" s="18">
        <v>6</v>
      </c>
      <c r="I8" s="18">
        <v>7</v>
      </c>
      <c r="J8" s="18">
        <v>8</v>
      </c>
      <c r="K8" s="18">
        <v>9</v>
      </c>
      <c r="L8" s="18">
        <v>10</v>
      </c>
      <c r="M8" s="18">
        <v>11</v>
      </c>
      <c r="N8" s="18">
        <v>12</v>
      </c>
      <c r="O8" s="18">
        <v>13</v>
      </c>
      <c r="P8" s="18">
        <v>14</v>
      </c>
      <c r="Q8" s="18">
        <v>15</v>
      </c>
      <c r="R8" s="18">
        <v>16</v>
      </c>
      <c r="S8" s="18">
        <v>17</v>
      </c>
      <c r="T8" s="18">
        <v>18</v>
      </c>
      <c r="U8" s="18">
        <v>19</v>
      </c>
      <c r="V8" s="18">
        <v>20</v>
      </c>
      <c r="W8" s="18">
        <v>21</v>
      </c>
      <c r="X8" s="18">
        <v>22</v>
      </c>
      <c r="Y8" s="18">
        <v>23</v>
      </c>
      <c r="Z8" s="18">
        <v>24</v>
      </c>
      <c r="AA8" s="18">
        <v>25</v>
      </c>
      <c r="AB8" s="18">
        <v>26</v>
      </c>
      <c r="AC8" s="18">
        <v>27</v>
      </c>
      <c r="AD8" s="18">
        <v>28</v>
      </c>
      <c r="AE8" s="18">
        <f>IF(CA59=28,"",IF(CA59=29,29,IF(CA59=30,29,IF(CA59=31,29,""))))</f>
        <v>29</v>
      </c>
      <c r="AF8" s="18">
        <f>IF(CA59=28,"",IF(CA59=29,"",IF(CA59=30,30,IF(CA59=31,30,""))))</f>
        <v>30</v>
      </c>
      <c r="AG8" s="18" t="str">
        <f>IF(CA59=28,"",IF(CA59=29,"",IF(CA59=30,"",IF(CA59=31,31,""))))</f>
        <v/>
      </c>
      <c r="AH8" s="19" t="s">
        <v>60</v>
      </c>
      <c r="AI8" s="20" t="s">
        <v>4</v>
      </c>
      <c r="AJ8" s="20" t="s">
        <v>5</v>
      </c>
      <c r="AK8" s="21" t="s">
        <v>6</v>
      </c>
      <c r="AL8" s="21" t="s">
        <v>7</v>
      </c>
    </row>
    <row r="9" spans="1:84" s="2" customFormat="1" ht="20.100000000000001" customHeight="1" x14ac:dyDescent="0.25">
      <c r="A9" s="288" t="s">
        <v>155</v>
      </c>
      <c r="B9" s="268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4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83">
        <f>SUM(AH50:AH51)</f>
        <v>0</v>
      </c>
      <c r="AI9" s="84">
        <f>AH9-C37</f>
        <v>-162</v>
      </c>
      <c r="AJ9" s="84">
        <f>SUM(C55:AG55)</f>
        <v>0</v>
      </c>
      <c r="AK9" s="84">
        <f>AK32</f>
        <v>0</v>
      </c>
      <c r="AL9" s="18">
        <f>SUM(C56:AG56)</f>
        <v>0</v>
      </c>
      <c r="CB9" s="25">
        <f>ROUNDDOWN(AH9,0)</f>
        <v>0</v>
      </c>
      <c r="CC9" s="26">
        <f>AH9-INT(AH9)</f>
        <v>0</v>
      </c>
      <c r="CD9" s="27">
        <f>CC9/24</f>
        <v>0</v>
      </c>
      <c r="CE9"/>
      <c r="CF9"/>
    </row>
    <row r="10" spans="1:84" s="2" customFormat="1" ht="20.100000000000001" customHeight="1" x14ac:dyDescent="0.25">
      <c r="A10" s="268" t="s">
        <v>157</v>
      </c>
      <c r="B10" s="268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83">
        <f>SUM(AH61:AH62)</f>
        <v>0</v>
      </c>
      <c r="AI10" s="84">
        <f>AH10-C37</f>
        <v>-162</v>
      </c>
      <c r="AJ10" s="84">
        <f>SUM(C66:AG66)</f>
        <v>0</v>
      </c>
      <c r="AK10" s="84">
        <f t="shared" ref="AK10:AK20" si="2">AK33</f>
        <v>0</v>
      </c>
      <c r="AL10" s="18">
        <f>SUM(C67:AG67)</f>
        <v>0</v>
      </c>
      <c r="CF10"/>
    </row>
    <row r="11" spans="1:84" s="2" customFormat="1" ht="20.100000000000001" customHeight="1" x14ac:dyDescent="0.25">
      <c r="A11" s="268" t="s">
        <v>156</v>
      </c>
      <c r="B11" s="268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83">
        <f>SUM(AH72:AH73)</f>
        <v>0</v>
      </c>
      <c r="AI11" s="84">
        <f>AH11-C37</f>
        <v>-162</v>
      </c>
      <c r="AJ11" s="84">
        <f>SUM(C77:AG77)</f>
        <v>0</v>
      </c>
      <c r="AK11" s="84">
        <f t="shared" si="2"/>
        <v>0</v>
      </c>
      <c r="AL11" s="18">
        <f>SUM(C78:AG78)</f>
        <v>0</v>
      </c>
      <c r="CF11"/>
    </row>
    <row r="12" spans="1:84" s="2" customFormat="1" ht="20.100000000000001" customHeight="1" x14ac:dyDescent="0.25">
      <c r="A12" s="268" t="s">
        <v>159</v>
      </c>
      <c r="B12" s="268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83">
        <f>SUM(AH83:AH84)</f>
        <v>0</v>
      </c>
      <c r="AI12" s="84">
        <f>AH12-C37</f>
        <v>-162</v>
      </c>
      <c r="AJ12" s="84">
        <f>SUM(C88:AG88)</f>
        <v>0</v>
      </c>
      <c r="AK12" s="84">
        <f t="shared" si="2"/>
        <v>0</v>
      </c>
      <c r="AL12" s="18">
        <f>SUM(C89:AG89)</f>
        <v>0</v>
      </c>
      <c r="CF12"/>
    </row>
    <row r="13" spans="1:84" s="2" customFormat="1" ht="20.100000000000001" customHeight="1" x14ac:dyDescent="0.25">
      <c r="A13" s="268" t="s">
        <v>160</v>
      </c>
      <c r="B13" s="268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83">
        <f>SUM(AH94:AH95)</f>
        <v>0</v>
      </c>
      <c r="AI13" s="84">
        <f>AH13-C37</f>
        <v>-162</v>
      </c>
      <c r="AJ13" s="84">
        <f>SUM(C99:AG99)</f>
        <v>0</v>
      </c>
      <c r="AK13" s="84">
        <f t="shared" si="2"/>
        <v>0</v>
      </c>
      <c r="AL13" s="18">
        <f>SUM(C100:AG100)</f>
        <v>0</v>
      </c>
      <c r="CB13" s="28"/>
      <c r="CF13"/>
    </row>
    <row r="14" spans="1:84" s="2" customFormat="1" ht="19.5" customHeight="1" x14ac:dyDescent="0.25">
      <c r="A14" s="268" t="s">
        <v>161</v>
      </c>
      <c r="B14" s="268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83">
        <f>SUM(AH105:AH106)</f>
        <v>0</v>
      </c>
      <c r="AI14" s="84">
        <f>AH14-C37</f>
        <v>-162</v>
      </c>
      <c r="AJ14" s="84">
        <f>SUM(C110:AG110)</f>
        <v>0</v>
      </c>
      <c r="AK14" s="84">
        <f t="shared" si="2"/>
        <v>0</v>
      </c>
      <c r="AL14" s="18">
        <f>SUM(C111:AG111)</f>
        <v>0</v>
      </c>
      <c r="CF14"/>
    </row>
    <row r="15" spans="1:84" s="2" customFormat="1" ht="19.5" customHeight="1" x14ac:dyDescent="0.25">
      <c r="A15" s="268" t="s">
        <v>158</v>
      </c>
      <c r="B15" s="268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83">
        <f>SUM(AH116:AH117)</f>
        <v>0</v>
      </c>
      <c r="AI15" s="84">
        <f>AH15-C37</f>
        <v>-162</v>
      </c>
      <c r="AJ15" s="84">
        <f>SUM(C121:AG121)</f>
        <v>0</v>
      </c>
      <c r="AK15" s="84">
        <f t="shared" si="2"/>
        <v>0</v>
      </c>
      <c r="AL15" s="18">
        <f>SUM(C122:AG122)</f>
        <v>0</v>
      </c>
      <c r="CF15"/>
    </row>
    <row r="16" spans="1:84" s="2" customFormat="1" ht="19.5" customHeight="1" x14ac:dyDescent="0.25">
      <c r="A16" s="268" t="s">
        <v>162</v>
      </c>
      <c r="B16" s="268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83">
        <f>SUM(AH127:AH128)</f>
        <v>0</v>
      </c>
      <c r="AI16" s="84">
        <f>AH16-C37</f>
        <v>-162</v>
      </c>
      <c r="AJ16" s="84">
        <f>SUM(C132:AG132)</f>
        <v>0</v>
      </c>
      <c r="AK16" s="84">
        <f t="shared" si="2"/>
        <v>0</v>
      </c>
      <c r="AL16" s="18">
        <f>SUM(C133:AG133)</f>
        <v>0</v>
      </c>
      <c r="CF16"/>
    </row>
    <row r="17" spans="1:87" s="2" customFormat="1" ht="19.5" customHeight="1" x14ac:dyDescent="0.25">
      <c r="A17" s="268" t="s">
        <v>163</v>
      </c>
      <c r="B17" s="268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83">
        <f>SUM(AH138:AH139)</f>
        <v>0</v>
      </c>
      <c r="AI17" s="84">
        <f>AH17-C37</f>
        <v>-162</v>
      </c>
      <c r="AJ17" s="84">
        <f>SUM(C143:AG143)</f>
        <v>0</v>
      </c>
      <c r="AK17" s="84">
        <f t="shared" si="2"/>
        <v>0</v>
      </c>
      <c r="AL17" s="18">
        <f>SUM(C144:AG144)</f>
        <v>0</v>
      </c>
      <c r="CF17"/>
    </row>
    <row r="18" spans="1:87" s="2" customFormat="1" ht="19.5" customHeight="1" x14ac:dyDescent="0.25">
      <c r="A18" s="268" t="s">
        <v>169</v>
      </c>
      <c r="B18" s="268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83">
        <f>SUM(AH149:AH150)</f>
        <v>0</v>
      </c>
      <c r="AI18" s="84">
        <f>AH18-C37</f>
        <v>-162</v>
      </c>
      <c r="AJ18" s="84">
        <f>SUM(C154:AG154)</f>
        <v>0</v>
      </c>
      <c r="AK18" s="84">
        <f t="shared" si="2"/>
        <v>0</v>
      </c>
      <c r="AL18" s="18">
        <f>SUM(C155:AG155)</f>
        <v>0</v>
      </c>
      <c r="CF18"/>
    </row>
    <row r="19" spans="1:87" s="2" customFormat="1" ht="19.5" customHeight="1" x14ac:dyDescent="0.25">
      <c r="A19" s="268" t="s">
        <v>170</v>
      </c>
      <c r="B19" s="268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83">
        <f>SUM(AH160:AH161)</f>
        <v>0</v>
      </c>
      <c r="AI19" s="84">
        <f>AH19-C37</f>
        <v>-162</v>
      </c>
      <c r="AJ19" s="84">
        <f>SUM(C165:AG165)</f>
        <v>0</v>
      </c>
      <c r="AK19" s="84">
        <f t="shared" si="2"/>
        <v>0</v>
      </c>
      <c r="AL19" s="18">
        <f>SUM(C166:AG166)</f>
        <v>0</v>
      </c>
      <c r="CF19"/>
    </row>
    <row r="20" spans="1:87" s="2" customFormat="1" ht="19.5" customHeight="1" x14ac:dyDescent="0.25">
      <c r="A20" s="268" t="s">
        <v>171</v>
      </c>
      <c r="B20" s="268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83">
        <f>SUM(AH171:AH172)</f>
        <v>0</v>
      </c>
      <c r="AI20" s="84">
        <f>AH20-C37</f>
        <v>-162</v>
      </c>
      <c r="AJ20" s="84">
        <f>SUM(C176:AG176)</f>
        <v>0</v>
      </c>
      <c r="AK20" s="84">
        <f t="shared" si="2"/>
        <v>0</v>
      </c>
      <c r="AL20" s="18">
        <f>SUM(C177:AG177)</f>
        <v>0</v>
      </c>
      <c r="CF20"/>
    </row>
    <row r="21" spans="1:87" s="2" customFormat="1" ht="19.5" customHeight="1" x14ac:dyDescent="0.25">
      <c r="A21" s="10"/>
      <c r="B21" s="29" t="s">
        <v>8</v>
      </c>
      <c r="C21" s="113">
        <f>SUM(C51+C62+C73+C84+C95+C106+C117+C128+C139+C150+C161+C172)</f>
        <v>0</v>
      </c>
      <c r="D21" s="113">
        <f t="shared" ref="D21:AG21" si="3">SUM(D51+D62+D73+D84+D95+D106+D117+D128+D139+D150+D161+D172)</f>
        <v>0</v>
      </c>
      <c r="E21" s="113">
        <f t="shared" si="3"/>
        <v>0</v>
      </c>
      <c r="F21" s="113">
        <f t="shared" si="3"/>
        <v>0</v>
      </c>
      <c r="G21" s="113">
        <f t="shared" si="3"/>
        <v>0</v>
      </c>
      <c r="H21" s="113">
        <f t="shared" si="3"/>
        <v>0</v>
      </c>
      <c r="I21" s="113">
        <f t="shared" si="3"/>
        <v>0</v>
      </c>
      <c r="J21" s="113">
        <f t="shared" si="3"/>
        <v>0</v>
      </c>
      <c r="K21" s="113">
        <f t="shared" si="3"/>
        <v>0</v>
      </c>
      <c r="L21" s="113">
        <f t="shared" si="3"/>
        <v>0</v>
      </c>
      <c r="M21" s="113">
        <f t="shared" si="3"/>
        <v>0</v>
      </c>
      <c r="N21" s="113">
        <f t="shared" si="3"/>
        <v>0</v>
      </c>
      <c r="O21" s="113">
        <f t="shared" si="3"/>
        <v>0</v>
      </c>
      <c r="P21" s="113">
        <f t="shared" si="3"/>
        <v>0</v>
      </c>
      <c r="Q21" s="113">
        <f t="shared" si="3"/>
        <v>0</v>
      </c>
      <c r="R21" s="113">
        <f t="shared" si="3"/>
        <v>0</v>
      </c>
      <c r="S21" s="113">
        <f t="shared" si="3"/>
        <v>0</v>
      </c>
      <c r="T21" s="113">
        <f t="shared" si="3"/>
        <v>0</v>
      </c>
      <c r="U21" s="113">
        <f t="shared" si="3"/>
        <v>0</v>
      </c>
      <c r="V21" s="113">
        <f t="shared" si="3"/>
        <v>0</v>
      </c>
      <c r="W21" s="113">
        <f t="shared" si="3"/>
        <v>0</v>
      </c>
      <c r="X21" s="113">
        <f t="shared" si="3"/>
        <v>0</v>
      </c>
      <c r="Y21" s="113">
        <f t="shared" si="3"/>
        <v>0</v>
      </c>
      <c r="Z21" s="113">
        <f t="shared" si="3"/>
        <v>0</v>
      </c>
      <c r="AA21" s="113">
        <f t="shared" si="3"/>
        <v>0</v>
      </c>
      <c r="AB21" s="113">
        <f t="shared" si="3"/>
        <v>0</v>
      </c>
      <c r="AC21" s="113">
        <f t="shared" si="3"/>
        <v>0</v>
      </c>
      <c r="AD21" s="113">
        <f t="shared" si="3"/>
        <v>0</v>
      </c>
      <c r="AE21" s="113">
        <f t="shared" si="3"/>
        <v>0</v>
      </c>
      <c r="AF21" s="113">
        <f t="shared" si="3"/>
        <v>0</v>
      </c>
      <c r="AG21" s="113">
        <f t="shared" si="3"/>
        <v>0</v>
      </c>
      <c r="AH21" s="30"/>
      <c r="AI21" s="30"/>
      <c r="AJ21" s="30"/>
      <c r="AK21" s="30"/>
      <c r="AL21" s="30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</row>
    <row r="22" spans="1:87" s="2" customFormat="1" ht="19.5" customHeight="1" x14ac:dyDescent="0.25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</row>
    <row r="23" spans="1:87" s="2" customFormat="1" ht="19.5" customHeight="1" x14ac:dyDescent="0.25">
      <c r="A23" s="80"/>
      <c r="B23" s="80"/>
      <c r="C23" s="273" t="s">
        <v>9</v>
      </c>
      <c r="D23" s="273"/>
      <c r="E23" s="273"/>
      <c r="F23" s="273"/>
      <c r="G23" s="273"/>
      <c r="H23" s="273"/>
      <c r="I23" s="82"/>
      <c r="J23" s="274" t="s">
        <v>9</v>
      </c>
      <c r="K23" s="274"/>
      <c r="L23" s="274"/>
      <c r="M23" s="274"/>
      <c r="N23" s="274"/>
      <c r="O23" s="274"/>
      <c r="P23" s="32"/>
      <c r="Q23" s="274" t="s">
        <v>136</v>
      </c>
      <c r="R23" s="274"/>
      <c r="S23" s="274"/>
      <c r="T23" s="274"/>
      <c r="U23" s="274"/>
      <c r="V23" s="274"/>
      <c r="W23" s="274"/>
      <c r="X23" s="274"/>
      <c r="Y23" s="274"/>
      <c r="Z23" s="274"/>
      <c r="AA23" s="274"/>
      <c r="AB23" s="82"/>
      <c r="AC23" s="82"/>
      <c r="AD23" s="82"/>
      <c r="AE23" s="82"/>
      <c r="AF23" s="80"/>
      <c r="AG23" s="80"/>
      <c r="AH23" s="80"/>
      <c r="AI23" s="80"/>
      <c r="AJ23" s="80"/>
      <c r="AK23" s="80"/>
      <c r="AL23" s="80"/>
      <c r="AM23"/>
      <c r="AN23"/>
      <c r="AO23"/>
      <c r="AP23"/>
      <c r="AQ23" s="1" t="s">
        <v>10</v>
      </c>
      <c r="AR23" s="1"/>
      <c r="AS23" s="1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</row>
    <row r="24" spans="1:87" ht="14.45" customHeight="1" x14ac:dyDescent="0.25">
      <c r="A24" s="82"/>
      <c r="B24" s="82"/>
      <c r="C24" s="108" t="str">
        <f t="shared" ref="C24:D26" si="4">R32</f>
        <v>D1</v>
      </c>
      <c r="D24" s="275">
        <f t="shared" si="4"/>
        <v>0.25</v>
      </c>
      <c r="E24" s="275"/>
      <c r="F24" s="33" t="s">
        <v>11</v>
      </c>
      <c r="G24" s="276">
        <f t="shared" ref="G24:G26" si="5">V32</f>
        <v>0.75</v>
      </c>
      <c r="H24" s="276"/>
      <c r="I24" s="105"/>
      <c r="J24" s="107" t="str">
        <f t="shared" ref="J24:K26" si="6">R35</f>
        <v>N2</v>
      </c>
      <c r="K24" s="277">
        <f t="shared" si="6"/>
        <v>0.79166666666666663</v>
      </c>
      <c r="L24" s="278"/>
      <c r="M24" s="110" t="s">
        <v>11</v>
      </c>
      <c r="N24" s="277">
        <f>V35</f>
        <v>0.29166666666666669</v>
      </c>
      <c r="O24" s="279"/>
      <c r="P24" s="32"/>
      <c r="Q24" s="107" t="str">
        <f>R38</f>
        <v>G</v>
      </c>
      <c r="R24" s="280"/>
      <c r="S24" s="280"/>
      <c r="T24" s="109" t="s">
        <v>11</v>
      </c>
      <c r="U24" s="280"/>
      <c r="V24" s="280"/>
      <c r="W24" s="281"/>
      <c r="X24" s="280"/>
      <c r="Y24" s="109" t="s">
        <v>11</v>
      </c>
      <c r="Z24" s="282"/>
      <c r="AA24" s="283"/>
      <c r="AB24" s="106"/>
      <c r="AC24" s="80"/>
      <c r="AD24" s="104"/>
      <c r="AE24" s="104"/>
      <c r="AF24" s="104"/>
      <c r="AG24" s="107" t="s">
        <v>12</v>
      </c>
      <c r="AH24" s="256" t="s">
        <v>1</v>
      </c>
      <c r="AI24" s="257"/>
      <c r="AJ24" s="245"/>
      <c r="AK24" s="245"/>
      <c r="AL24" s="245"/>
      <c r="AM24"/>
      <c r="AN24"/>
      <c r="AO24"/>
      <c r="AP24"/>
      <c r="AQ24" s="1" t="s">
        <v>13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</row>
    <row r="25" spans="1:87" s="2" customFormat="1" ht="14.45" customHeight="1" x14ac:dyDescent="0.25">
      <c r="A25" s="82"/>
      <c r="B25" s="82"/>
      <c r="C25" s="108" t="str">
        <f t="shared" si="4"/>
        <v>N1</v>
      </c>
      <c r="D25" s="275">
        <f t="shared" si="4"/>
        <v>0.75</v>
      </c>
      <c r="E25" s="275"/>
      <c r="F25" s="33" t="s">
        <v>11</v>
      </c>
      <c r="G25" s="276">
        <f t="shared" si="5"/>
        <v>0.25</v>
      </c>
      <c r="H25" s="276"/>
      <c r="I25" s="105"/>
      <c r="J25" s="107" t="str">
        <f t="shared" si="6"/>
        <v>N3</v>
      </c>
      <c r="K25" s="280">
        <f t="shared" si="6"/>
        <v>0.91666666666666663</v>
      </c>
      <c r="L25" s="278"/>
      <c r="M25" s="110" t="s">
        <v>11</v>
      </c>
      <c r="N25" s="280">
        <f>V36</f>
        <v>0.25</v>
      </c>
      <c r="O25" s="279"/>
      <c r="P25" s="32"/>
      <c r="Q25" s="107" t="str">
        <f>R39</f>
        <v>H</v>
      </c>
      <c r="R25" s="280"/>
      <c r="S25" s="280"/>
      <c r="T25" s="109" t="s">
        <v>11</v>
      </c>
      <c r="U25" s="280"/>
      <c r="V25" s="280"/>
      <c r="W25" s="281"/>
      <c r="X25" s="280"/>
      <c r="Y25" s="109" t="s">
        <v>11</v>
      </c>
      <c r="Z25" s="284"/>
      <c r="AA25" s="283"/>
      <c r="AB25" s="106"/>
      <c r="AC25" s="80"/>
      <c r="AD25" s="104"/>
      <c r="AE25" s="104"/>
      <c r="AF25" s="104"/>
      <c r="AG25" s="107" t="s">
        <v>14</v>
      </c>
      <c r="AH25" s="256" t="s">
        <v>59</v>
      </c>
      <c r="AI25" s="257"/>
      <c r="AJ25" s="245"/>
      <c r="AK25" s="245"/>
      <c r="AL25" s="245"/>
      <c r="AM25"/>
      <c r="AN25"/>
      <c r="AO25"/>
      <c r="AP25"/>
      <c r="AQ25" s="1" t="s">
        <v>15</v>
      </c>
      <c r="AR25" s="1"/>
      <c r="AS25" s="1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</row>
    <row r="26" spans="1:87" s="2" customFormat="1" ht="14.45" customHeight="1" x14ac:dyDescent="0.25">
      <c r="A26" s="82"/>
      <c r="B26" s="82"/>
      <c r="C26" s="108" t="str">
        <f t="shared" si="4"/>
        <v>D2</v>
      </c>
      <c r="D26" s="275">
        <f t="shared" si="4"/>
        <v>0.29166666666666669</v>
      </c>
      <c r="E26" s="275"/>
      <c r="F26" s="33" t="s">
        <v>11</v>
      </c>
      <c r="G26" s="276">
        <f t="shared" si="5"/>
        <v>0.79166666666666663</v>
      </c>
      <c r="H26" s="276"/>
      <c r="I26" s="105"/>
      <c r="J26" s="107" t="str">
        <f t="shared" si="6"/>
        <v>F</v>
      </c>
      <c r="K26" s="280">
        <f t="shared" si="6"/>
        <v>0.20833333333333334</v>
      </c>
      <c r="L26" s="278"/>
      <c r="M26" s="110" t="s">
        <v>11</v>
      </c>
      <c r="N26" s="280">
        <f>V37</f>
        <v>0.25</v>
      </c>
      <c r="O26" s="279"/>
      <c r="P26" s="32"/>
      <c r="Q26" s="107" t="str">
        <f>R40</f>
        <v>I</v>
      </c>
      <c r="R26" s="280"/>
      <c r="S26" s="280"/>
      <c r="T26" s="109" t="s">
        <v>11</v>
      </c>
      <c r="U26" s="280"/>
      <c r="V26" s="280"/>
      <c r="W26" s="281"/>
      <c r="X26" s="280"/>
      <c r="Y26" s="109" t="s">
        <v>11</v>
      </c>
      <c r="Z26" s="284"/>
      <c r="AA26" s="283"/>
      <c r="AB26" s="106"/>
      <c r="AC26" s="80"/>
      <c r="AD26" s="104"/>
      <c r="AE26" s="104"/>
      <c r="AF26" s="104"/>
      <c r="AG26" s="107" t="s">
        <v>16</v>
      </c>
      <c r="AH26" s="256" t="s">
        <v>42</v>
      </c>
      <c r="AI26" s="257"/>
      <c r="AJ26" s="245"/>
      <c r="AK26" s="245"/>
      <c r="AL26" s="245"/>
      <c r="AM26"/>
      <c r="AN26"/>
      <c r="AO26"/>
      <c r="AP26"/>
      <c r="AQ26" s="1" t="s">
        <v>17</v>
      </c>
      <c r="AR26" s="1"/>
      <c r="AS26" s="1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</row>
    <row r="27" spans="1:87" s="2" customFormat="1" ht="14.45" customHeight="1" x14ac:dyDescent="0.25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82"/>
      <c r="Z27" s="82"/>
      <c r="AA27" s="82"/>
      <c r="AB27" s="82"/>
      <c r="AC27" s="82"/>
      <c r="AD27" s="82"/>
      <c r="AE27" s="262"/>
      <c r="AF27" s="262"/>
      <c r="AG27" s="82"/>
      <c r="AH27" s="82"/>
      <c r="AI27" s="82"/>
      <c r="AJ27" s="32"/>
      <c r="AK27" s="32"/>
      <c r="AL27" s="32"/>
    </row>
    <row r="28" spans="1:87" s="2" customFormat="1" ht="14.45" customHeight="1" x14ac:dyDescent="0.25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32"/>
      <c r="AK28" s="32"/>
      <c r="AL28" s="32"/>
    </row>
    <row r="29" spans="1:87" s="2" customFormat="1" ht="14.45" customHeight="1" x14ac:dyDescent="0.25">
      <c r="A29" s="82"/>
      <c r="B29" s="81" t="s">
        <v>18</v>
      </c>
      <c r="C29" s="251">
        <f>E43</f>
        <v>0</v>
      </c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  <c r="AA29" s="251"/>
      <c r="AB29" s="251"/>
      <c r="AC29" s="251"/>
      <c r="AD29" s="251"/>
      <c r="AE29" s="251"/>
      <c r="AF29" s="251"/>
      <c r="AG29" s="251"/>
      <c r="AH29" s="251"/>
      <c r="AI29" s="251"/>
      <c r="AJ29" s="251"/>
      <c r="AK29" s="32"/>
      <c r="AL29" s="32"/>
    </row>
    <row r="30" spans="1:87" s="2" customFormat="1" ht="19.5" customHeight="1" x14ac:dyDescent="0.35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32"/>
      <c r="AK30" s="32"/>
      <c r="AL30" s="32"/>
      <c r="AN30" s="5" t="s">
        <v>19</v>
      </c>
      <c r="AO30" s="5"/>
      <c r="AP30" s="5" t="s">
        <v>20</v>
      </c>
      <c r="AQ30" s="5" t="s">
        <v>21</v>
      </c>
      <c r="AR30" s="5"/>
      <c r="AS30" s="5"/>
      <c r="AT30" s="5"/>
      <c r="AU30" s="5"/>
      <c r="AV30" s="5"/>
      <c r="AW30" s="5"/>
      <c r="AX30" s="5" t="s">
        <v>22</v>
      </c>
      <c r="AY30" s="5"/>
      <c r="AZ30" s="5" t="s">
        <v>23</v>
      </c>
      <c r="BA30" s="5"/>
      <c r="BB30" s="5"/>
      <c r="BC30" s="5"/>
      <c r="BD30" s="5" t="s">
        <v>24</v>
      </c>
    </row>
    <row r="31" spans="1:87" s="2" customFormat="1" ht="19.5" customHeight="1" x14ac:dyDescent="0.25">
      <c r="A31" s="252" t="s">
        <v>25</v>
      </c>
      <c r="B31" s="252"/>
      <c r="C31" s="252"/>
      <c r="D31" s="252"/>
      <c r="E31" s="252"/>
      <c r="F31" s="252"/>
      <c r="G31" s="252"/>
      <c r="H31" s="252"/>
      <c r="I31" s="252"/>
      <c r="J31" s="252"/>
      <c r="K31" s="252"/>
      <c r="L31" s="252"/>
      <c r="M31" s="252"/>
      <c r="N31" s="252"/>
      <c r="O31" s="114"/>
      <c r="P31" s="114"/>
      <c r="Q31" s="114"/>
      <c r="R31" s="252" t="s">
        <v>9</v>
      </c>
      <c r="S31" s="252"/>
      <c r="T31" s="252"/>
      <c r="U31" s="252"/>
      <c r="V31" s="252"/>
      <c r="W31" s="252"/>
      <c r="X31" s="115"/>
      <c r="Y31" s="115"/>
      <c r="Z31" s="115"/>
      <c r="AA31" s="115"/>
      <c r="AB31" s="115"/>
      <c r="AC31" s="116"/>
      <c r="AD31" s="253" t="s">
        <v>26</v>
      </c>
      <c r="AE31" s="253"/>
      <c r="AF31" s="253"/>
      <c r="AG31" s="253"/>
      <c r="AH31" s="253"/>
      <c r="AI31" s="253"/>
      <c r="AJ31" s="114"/>
      <c r="AK31" s="212" t="s">
        <v>6</v>
      </c>
      <c r="AL31" s="114"/>
      <c r="AN31" s="97" t="s">
        <v>27</v>
      </c>
      <c r="AO31" s="97" t="s">
        <v>28</v>
      </c>
      <c r="AP31" s="97" t="s">
        <v>29</v>
      </c>
      <c r="AQ31" s="97" t="s">
        <v>30</v>
      </c>
      <c r="AR31" s="261" t="s">
        <v>31</v>
      </c>
      <c r="AS31" s="261"/>
      <c r="AT31" s="261"/>
      <c r="AU31" s="261"/>
      <c r="AV31" s="261"/>
      <c r="AW31" s="261"/>
      <c r="AX31" s="261"/>
      <c r="AY31" s="261"/>
      <c r="AZ31" s="261"/>
      <c r="BA31" s="97" t="s">
        <v>32</v>
      </c>
      <c r="BB31" s="260" t="s">
        <v>33</v>
      </c>
      <c r="BC31" s="260"/>
      <c r="BD31" s="103" t="s">
        <v>34</v>
      </c>
      <c r="BE31" s="56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</row>
    <row r="32" spans="1:87" s="2" customFormat="1" ht="19.5" customHeight="1" x14ac:dyDescent="0.25">
      <c r="A32" s="238" t="s">
        <v>35</v>
      </c>
      <c r="B32" s="238"/>
      <c r="C32" s="242" t="s">
        <v>164</v>
      </c>
      <c r="D32" s="242"/>
      <c r="E32" s="242"/>
      <c r="F32" s="242"/>
      <c r="G32" s="242"/>
      <c r="H32" s="242"/>
      <c r="I32" s="242"/>
      <c r="J32" s="242"/>
      <c r="K32" s="242"/>
      <c r="L32" s="242"/>
      <c r="M32" s="242"/>
      <c r="N32" s="242"/>
      <c r="O32" s="114"/>
      <c r="P32" s="114"/>
      <c r="Q32" s="117"/>
      <c r="R32" s="85" t="s">
        <v>150</v>
      </c>
      <c r="S32" s="240">
        <v>0.25</v>
      </c>
      <c r="T32" s="240"/>
      <c r="U32" s="118" t="s">
        <v>11</v>
      </c>
      <c r="V32" s="241">
        <v>0.75</v>
      </c>
      <c r="W32" s="241"/>
      <c r="X32" s="115"/>
      <c r="Y32" s="115"/>
      <c r="Z32" s="115"/>
      <c r="AA32" s="115"/>
      <c r="AB32" s="115"/>
      <c r="AC32" s="116"/>
      <c r="AD32" s="250" t="s">
        <v>36</v>
      </c>
      <c r="AE32" s="250"/>
      <c r="AF32" s="250"/>
      <c r="AG32" s="250"/>
      <c r="AH32" s="86">
        <v>0.5</v>
      </c>
      <c r="AI32" s="254">
        <f>AH32/24</f>
        <v>2.0833333333333332E-2</v>
      </c>
      <c r="AJ32" s="255"/>
      <c r="AK32" s="217">
        <f>AH49</f>
        <v>0</v>
      </c>
      <c r="AL32" s="214" t="s">
        <v>90</v>
      </c>
      <c r="AM32" s="9"/>
      <c r="AN32" s="34">
        <f t="shared" ref="AN32:AN40" si="7">IF(AS32/24=0,0,AS32/24)</f>
        <v>0</v>
      </c>
      <c r="AO32" s="35">
        <f t="shared" ref="AO32:AO40" si="8">IF(BA32=0,"",BA32)</f>
        <v>0.5</v>
      </c>
      <c r="AP32" s="36">
        <f t="shared" ref="AP32:AP39" si="9">S32*24</f>
        <v>6</v>
      </c>
      <c r="AQ32" s="36">
        <f t="shared" ref="AQ32:AQ40" si="10">V32*24</f>
        <v>18</v>
      </c>
      <c r="AR32" s="36">
        <f t="shared" ref="AR32:AR40" si="11">AS32</f>
        <v>0</v>
      </c>
      <c r="AS32" s="37">
        <f t="shared" ref="AS32:AS40" si="12">IF(AV32&gt;=4,AT32,AT32)</f>
        <v>0</v>
      </c>
      <c r="AT32" s="38">
        <f t="shared" ref="AT32:AT40" si="13">IF(AV32&gt;8,8,AU32)</f>
        <v>0</v>
      </c>
      <c r="AU32" s="39">
        <f t="shared" ref="AU32:AU40" si="14">IF(AV32&lt;0,0,AV32)</f>
        <v>0</v>
      </c>
      <c r="AV32" s="40">
        <f t="shared" ref="AV32:AV40" si="15">IF(AP32=AQ32,0,IF(AP32&gt;AQ32,AW32,IF(AP32&gt;=6,AX32,AQ32-AP32)))</f>
        <v>-12</v>
      </c>
      <c r="AW32" s="36">
        <f t="shared" ref="AW32:AW40" si="16">IF(AP32&lt;6,(AQ32-22+24)+(6-AP32),IF(AP32&gt;=22,AY32,IF(AV2&lt;=6,(AQ32-22)+24,8)))</f>
        <v>20</v>
      </c>
      <c r="AX32" s="41">
        <f t="shared" ref="AX32:AX40" si="17">IF(AQ32&gt;22,AZ32,IF(AP32&lt;AQ32,AP32-AQ32,IF(AP32&gt;6,0,(6-AP32))))</f>
        <v>-12</v>
      </c>
      <c r="AY32" s="36">
        <f t="shared" ref="AY32:AY40" si="18">IF(AQ32&lt;=6,(AQ32-AP32)+24,IF(AQ32&gt;22,8,(6-AP32)+24))</f>
        <v>24</v>
      </c>
      <c r="AZ32" s="42">
        <f t="shared" ref="AZ32:AZ40" si="19">IF(AP32&lt;=6,(6-AP32)+(AQ32-22),IF(AP32&gt;22,(AQ32-AP32),(AQ32-22)))</f>
        <v>-4</v>
      </c>
      <c r="BA32" s="36">
        <f t="shared" ref="BA32:BA40" si="20">IF(V32-S32&gt;=0,V32-S32,V32-S32+24)</f>
        <v>0.5</v>
      </c>
      <c r="BB32" s="36">
        <f t="shared" ref="BB32:BB40" si="21">IF(AO32&lt;1,AO32*24,(AO32-24)*24)</f>
        <v>12</v>
      </c>
      <c r="BC32" s="36">
        <f t="shared" ref="BC32:BC40" si="22">IF(BB32&gt;=0,BB32,BB32+24)</f>
        <v>12</v>
      </c>
      <c r="BD32" s="43">
        <f t="shared" ref="BD32:BD40" si="23">IF(AX32&lt;=0,AN32,IF(AX32&gt;=0.1,AX32/24))</f>
        <v>0</v>
      </c>
      <c r="BE32" s="44" t="str">
        <f t="shared" ref="BE32:BE34" si="24">IF(BD38&gt;=4,IF(BD38="",0,8),IF(BD38&gt;=0.1,IF(BD38="",0,BD38),""))</f>
        <v/>
      </c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</row>
    <row r="33" spans="1:80" s="2" customFormat="1" ht="19.5" customHeight="1" x14ac:dyDescent="0.25">
      <c r="A33" s="238" t="s">
        <v>37</v>
      </c>
      <c r="B33" s="238"/>
      <c r="C33" s="242" t="s">
        <v>165</v>
      </c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114"/>
      <c r="P33" s="114"/>
      <c r="Q33" s="117"/>
      <c r="R33" s="85" t="s">
        <v>152</v>
      </c>
      <c r="S33" s="240">
        <v>0.75</v>
      </c>
      <c r="T33" s="240"/>
      <c r="U33" s="118" t="s">
        <v>11</v>
      </c>
      <c r="V33" s="241">
        <v>0.25</v>
      </c>
      <c r="W33" s="241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4"/>
      <c r="AK33" s="217">
        <f>AH60</f>
        <v>0</v>
      </c>
      <c r="AL33" s="214" t="s">
        <v>138</v>
      </c>
      <c r="AM33" s="9"/>
      <c r="AN33" s="35">
        <f t="shared" si="7"/>
        <v>0.33333333333333331</v>
      </c>
      <c r="AO33" s="35">
        <f t="shared" si="8"/>
        <v>23.5</v>
      </c>
      <c r="AP33" s="36">
        <f t="shared" si="9"/>
        <v>18</v>
      </c>
      <c r="AQ33" s="36">
        <f t="shared" si="10"/>
        <v>6</v>
      </c>
      <c r="AR33" s="36">
        <f t="shared" si="11"/>
        <v>8</v>
      </c>
      <c r="AS33" s="37">
        <f t="shared" si="12"/>
        <v>8</v>
      </c>
      <c r="AT33" s="38">
        <f t="shared" si="13"/>
        <v>8</v>
      </c>
      <c r="AU33" s="39">
        <f t="shared" si="14"/>
        <v>8</v>
      </c>
      <c r="AV33" s="36">
        <f t="shared" si="15"/>
        <v>8</v>
      </c>
      <c r="AW33" s="36">
        <f t="shared" si="16"/>
        <v>8</v>
      </c>
      <c r="AX33" s="41">
        <f t="shared" si="17"/>
        <v>0</v>
      </c>
      <c r="AY33" s="36">
        <f t="shared" si="18"/>
        <v>12</v>
      </c>
      <c r="AZ33" s="36">
        <f t="shared" si="19"/>
        <v>-16</v>
      </c>
      <c r="BA33" s="36">
        <f t="shared" si="20"/>
        <v>23.5</v>
      </c>
      <c r="BB33" s="36">
        <f t="shared" si="21"/>
        <v>-12</v>
      </c>
      <c r="BC33" s="36">
        <f t="shared" si="22"/>
        <v>12</v>
      </c>
      <c r="BD33" s="43">
        <f t="shared" si="23"/>
        <v>0.33333333333333331</v>
      </c>
      <c r="BE33" s="44" t="str">
        <f t="shared" si="24"/>
        <v/>
      </c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</row>
    <row r="34" spans="1:80" s="2" customFormat="1" ht="19.5" customHeight="1" x14ac:dyDescent="0.35">
      <c r="A34" s="238" t="s">
        <v>38</v>
      </c>
      <c r="B34" s="238"/>
      <c r="C34" s="242">
        <v>2025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114"/>
      <c r="P34" s="114"/>
      <c r="Q34" s="117"/>
      <c r="R34" s="85" t="s">
        <v>151</v>
      </c>
      <c r="S34" s="240">
        <v>0.29166666666666669</v>
      </c>
      <c r="T34" s="240"/>
      <c r="U34" s="118" t="s">
        <v>11</v>
      </c>
      <c r="V34" s="241">
        <v>0.79166666666666663</v>
      </c>
      <c r="W34" s="241"/>
      <c r="X34" s="115"/>
      <c r="Y34" s="119"/>
      <c r="Z34" s="119"/>
      <c r="AA34" s="119"/>
      <c r="AB34" s="119"/>
      <c r="AC34" s="119"/>
      <c r="AD34" s="119"/>
      <c r="AE34" s="115"/>
      <c r="AF34" s="115"/>
      <c r="AG34" s="115"/>
      <c r="AH34" s="115"/>
      <c r="AI34" s="115"/>
      <c r="AJ34" s="115"/>
      <c r="AK34" s="217">
        <f>AH71</f>
        <v>0</v>
      </c>
      <c r="AL34" s="214" t="s">
        <v>139</v>
      </c>
      <c r="AM34" s="9"/>
      <c r="AN34" s="35">
        <f t="shared" si="7"/>
        <v>0</v>
      </c>
      <c r="AO34" s="35">
        <f t="shared" si="8"/>
        <v>0.49999999999999994</v>
      </c>
      <c r="AP34" s="36">
        <f t="shared" si="9"/>
        <v>7</v>
      </c>
      <c r="AQ34" s="36">
        <f t="shared" si="10"/>
        <v>19</v>
      </c>
      <c r="AR34" s="36">
        <f t="shared" si="11"/>
        <v>0</v>
      </c>
      <c r="AS34" s="37">
        <f t="shared" si="12"/>
        <v>0</v>
      </c>
      <c r="AT34" s="38">
        <f t="shared" si="13"/>
        <v>0</v>
      </c>
      <c r="AU34" s="39">
        <f t="shared" si="14"/>
        <v>0</v>
      </c>
      <c r="AV34" s="36">
        <f t="shared" si="15"/>
        <v>-12</v>
      </c>
      <c r="AW34" s="36">
        <f t="shared" si="16"/>
        <v>21</v>
      </c>
      <c r="AX34" s="41">
        <f t="shared" si="17"/>
        <v>-12</v>
      </c>
      <c r="AY34" s="36">
        <f t="shared" si="18"/>
        <v>23</v>
      </c>
      <c r="AZ34" s="36">
        <f t="shared" si="19"/>
        <v>-3</v>
      </c>
      <c r="BA34" s="36">
        <f t="shared" si="20"/>
        <v>0.49999999999999994</v>
      </c>
      <c r="BB34" s="36">
        <f t="shared" si="21"/>
        <v>11.999999999999998</v>
      </c>
      <c r="BC34" s="36">
        <f t="shared" si="22"/>
        <v>11.999999999999998</v>
      </c>
      <c r="BD34" s="43">
        <f t="shared" si="23"/>
        <v>0</v>
      </c>
      <c r="BE34" s="44" t="str">
        <f t="shared" si="24"/>
        <v/>
      </c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</row>
    <row r="35" spans="1:80" s="2" customFormat="1" ht="19.5" customHeight="1" x14ac:dyDescent="0.25">
      <c r="A35" s="238" t="s">
        <v>39</v>
      </c>
      <c r="B35" s="238"/>
      <c r="C35" s="242">
        <v>9</v>
      </c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114"/>
      <c r="P35" s="114"/>
      <c r="Q35" s="117"/>
      <c r="R35" s="85" t="s">
        <v>153</v>
      </c>
      <c r="S35" s="240">
        <v>0.79166666666666663</v>
      </c>
      <c r="T35" s="240"/>
      <c r="U35" s="118" t="s">
        <v>11</v>
      </c>
      <c r="V35" s="241">
        <v>0.29166666666666669</v>
      </c>
      <c r="W35" s="241"/>
      <c r="X35" s="115"/>
      <c r="Y35" s="120"/>
      <c r="Z35" s="121"/>
      <c r="AA35" s="121"/>
      <c r="AB35" s="120"/>
      <c r="AC35" s="121"/>
      <c r="AD35" s="121"/>
      <c r="AE35" s="115"/>
      <c r="AF35" s="115"/>
      <c r="AG35" s="115"/>
      <c r="AH35" s="115"/>
      <c r="AI35" s="115"/>
      <c r="AJ35" s="115"/>
      <c r="AK35" s="217">
        <f>AH82</f>
        <v>0</v>
      </c>
      <c r="AL35" s="214" t="s">
        <v>140</v>
      </c>
      <c r="AM35" s="9"/>
      <c r="AN35" s="35">
        <f t="shared" si="7"/>
        <v>0.33333333333333331</v>
      </c>
      <c r="AO35" s="35">
        <f t="shared" si="8"/>
        <v>23.5</v>
      </c>
      <c r="AP35" s="36">
        <f t="shared" si="9"/>
        <v>19</v>
      </c>
      <c r="AQ35" s="36">
        <f t="shared" si="10"/>
        <v>7</v>
      </c>
      <c r="AR35" s="36">
        <f t="shared" si="11"/>
        <v>8</v>
      </c>
      <c r="AS35" s="37">
        <f t="shared" si="12"/>
        <v>8</v>
      </c>
      <c r="AT35" s="38">
        <f t="shared" si="13"/>
        <v>8</v>
      </c>
      <c r="AU35" s="39">
        <f t="shared" si="14"/>
        <v>9</v>
      </c>
      <c r="AV35" s="36">
        <f t="shared" si="15"/>
        <v>9</v>
      </c>
      <c r="AW35" s="36">
        <f t="shared" si="16"/>
        <v>9</v>
      </c>
      <c r="AX35" s="41">
        <f t="shared" si="17"/>
        <v>0</v>
      </c>
      <c r="AY35" s="36">
        <f t="shared" si="18"/>
        <v>11</v>
      </c>
      <c r="AZ35" s="36">
        <f t="shared" si="19"/>
        <v>-15</v>
      </c>
      <c r="BA35" s="36">
        <f t="shared" si="20"/>
        <v>23.5</v>
      </c>
      <c r="BB35" s="36">
        <f t="shared" si="21"/>
        <v>-12</v>
      </c>
      <c r="BC35" s="36">
        <f t="shared" si="22"/>
        <v>12</v>
      </c>
      <c r="BD35" s="43">
        <f t="shared" si="23"/>
        <v>0.33333333333333331</v>
      </c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</row>
    <row r="36" spans="1:80" s="2" customFormat="1" ht="19.5" customHeight="1" x14ac:dyDescent="0.25">
      <c r="A36" s="238" t="s">
        <v>40</v>
      </c>
      <c r="B36" s="238"/>
      <c r="C36" s="239">
        <v>5.22</v>
      </c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114"/>
      <c r="P36" s="114"/>
      <c r="Q36" s="117"/>
      <c r="R36" s="85" t="s">
        <v>154</v>
      </c>
      <c r="S36" s="240">
        <v>0.91666666666666663</v>
      </c>
      <c r="T36" s="240"/>
      <c r="U36" s="118" t="s">
        <v>11</v>
      </c>
      <c r="V36" s="241">
        <v>0.25</v>
      </c>
      <c r="W36" s="241"/>
      <c r="X36" s="115"/>
      <c r="Y36" s="120"/>
      <c r="Z36" s="121"/>
      <c r="AA36" s="121"/>
      <c r="AB36" s="120"/>
      <c r="AC36" s="121"/>
      <c r="AD36" s="121"/>
      <c r="AE36" s="115"/>
      <c r="AF36" s="115"/>
      <c r="AG36" s="115"/>
      <c r="AH36" s="115"/>
      <c r="AI36" s="115"/>
      <c r="AJ36" s="115"/>
      <c r="AK36" s="217">
        <f>AH93</f>
        <v>0</v>
      </c>
      <c r="AL36" s="214" t="s">
        <v>141</v>
      </c>
      <c r="AM36" s="9"/>
      <c r="AN36" s="35">
        <f t="shared" si="7"/>
        <v>0.33333333333333331</v>
      </c>
      <c r="AO36" s="35">
        <f t="shared" si="8"/>
        <v>23.333333333333332</v>
      </c>
      <c r="AP36" s="36">
        <f t="shared" si="9"/>
        <v>22</v>
      </c>
      <c r="AQ36" s="36">
        <f t="shared" si="10"/>
        <v>6</v>
      </c>
      <c r="AR36" s="36">
        <f t="shared" si="11"/>
        <v>8</v>
      </c>
      <c r="AS36" s="37">
        <f t="shared" si="12"/>
        <v>8</v>
      </c>
      <c r="AT36" s="38">
        <f t="shared" si="13"/>
        <v>8</v>
      </c>
      <c r="AU36" s="39">
        <f t="shared" si="14"/>
        <v>8</v>
      </c>
      <c r="AV36" s="36">
        <f t="shared" si="15"/>
        <v>8</v>
      </c>
      <c r="AW36" s="36">
        <f t="shared" si="16"/>
        <v>8</v>
      </c>
      <c r="AX36" s="41">
        <f t="shared" si="17"/>
        <v>0</v>
      </c>
      <c r="AY36" s="36">
        <f t="shared" si="18"/>
        <v>8</v>
      </c>
      <c r="AZ36" s="36">
        <f t="shared" si="19"/>
        <v>-16</v>
      </c>
      <c r="BA36" s="36">
        <f t="shared" si="20"/>
        <v>23.333333333333332</v>
      </c>
      <c r="BB36" s="36">
        <f t="shared" si="21"/>
        <v>-16.000000000000028</v>
      </c>
      <c r="BC36" s="36">
        <f t="shared" si="22"/>
        <v>7.9999999999999716</v>
      </c>
      <c r="BD36" s="43">
        <f t="shared" si="23"/>
        <v>0.33333333333333331</v>
      </c>
      <c r="BE36" s="1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</row>
    <row r="37" spans="1:80" s="2" customFormat="1" ht="19.5" customHeight="1" x14ac:dyDescent="0.25">
      <c r="A37" s="238" t="s">
        <v>41</v>
      </c>
      <c r="B37" s="238"/>
      <c r="C37" s="239">
        <v>162</v>
      </c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116"/>
      <c r="P37" s="116"/>
      <c r="Q37" s="117"/>
      <c r="R37" s="85" t="str">
        <f>CONTROL!F40</f>
        <v>F</v>
      </c>
      <c r="S37" s="240">
        <f>CONTROL!G40</f>
        <v>0.20833333333333334</v>
      </c>
      <c r="T37" s="240"/>
      <c r="U37" s="118" t="s">
        <v>11</v>
      </c>
      <c r="V37" s="241">
        <f>CONTROL!H40</f>
        <v>0.25</v>
      </c>
      <c r="W37" s="241"/>
      <c r="X37" s="115"/>
      <c r="Y37" s="120"/>
      <c r="Z37" s="121"/>
      <c r="AA37" s="121"/>
      <c r="AB37" s="120"/>
      <c r="AC37" s="121"/>
      <c r="AD37" s="121"/>
      <c r="AE37" s="115"/>
      <c r="AF37" s="115"/>
      <c r="AG37" s="115"/>
      <c r="AH37" s="115"/>
      <c r="AI37" s="115"/>
      <c r="AJ37" s="116"/>
      <c r="AK37" s="217">
        <f>AH104</f>
        <v>0</v>
      </c>
      <c r="AL37" s="214" t="s">
        <v>142</v>
      </c>
      <c r="AM37" s="9"/>
      <c r="AN37" s="35">
        <f t="shared" si="7"/>
        <v>4.1666666666666664E-2</v>
      </c>
      <c r="AO37" s="35">
        <f t="shared" si="8"/>
        <v>4.1666666666666657E-2</v>
      </c>
      <c r="AP37" s="36">
        <f t="shared" si="9"/>
        <v>5</v>
      </c>
      <c r="AQ37" s="36">
        <f t="shared" si="10"/>
        <v>6</v>
      </c>
      <c r="AR37" s="36">
        <f t="shared" si="11"/>
        <v>1</v>
      </c>
      <c r="AS37" s="37">
        <f t="shared" si="12"/>
        <v>1</v>
      </c>
      <c r="AT37" s="38">
        <f t="shared" si="13"/>
        <v>1</v>
      </c>
      <c r="AU37" s="39">
        <f t="shared" si="14"/>
        <v>1</v>
      </c>
      <c r="AV37" s="36">
        <f t="shared" si="15"/>
        <v>1</v>
      </c>
      <c r="AW37" s="36">
        <f t="shared" si="16"/>
        <v>9</v>
      </c>
      <c r="AX37" s="41">
        <f t="shared" si="17"/>
        <v>-1</v>
      </c>
      <c r="AY37" s="36">
        <f t="shared" si="18"/>
        <v>25</v>
      </c>
      <c r="AZ37" s="36">
        <f t="shared" si="19"/>
        <v>-15</v>
      </c>
      <c r="BA37" s="36">
        <f t="shared" si="20"/>
        <v>4.1666666666666657E-2</v>
      </c>
      <c r="BB37" s="36">
        <f t="shared" si="21"/>
        <v>0.99999999999999978</v>
      </c>
      <c r="BC37" s="36">
        <f t="shared" si="22"/>
        <v>0.99999999999999978</v>
      </c>
      <c r="BD37" s="43">
        <f t="shared" si="23"/>
        <v>4.1666666666666664E-2</v>
      </c>
      <c r="BE37" s="1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</row>
    <row r="38" spans="1:80" s="2" customFormat="1" ht="20.100000000000001" customHeight="1" x14ac:dyDescent="0.25">
      <c r="A38" s="238" t="s">
        <v>42</v>
      </c>
      <c r="B38" s="238"/>
      <c r="C38" s="239">
        <v>0</v>
      </c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122"/>
      <c r="P38" s="122"/>
      <c r="Q38" s="115"/>
      <c r="R38" s="197" t="str">
        <f>CONTROL!F41</f>
        <v>G</v>
      </c>
      <c r="S38" s="222">
        <f>CONTROL!G41</f>
        <v>0.29166666666666669</v>
      </c>
      <c r="T38" s="222"/>
      <c r="U38" s="118" t="s">
        <v>11</v>
      </c>
      <c r="V38" s="223">
        <f>CONTROL!H41</f>
        <v>0.33333333333333331</v>
      </c>
      <c r="W38" s="223"/>
      <c r="X38" s="115"/>
      <c r="Y38" s="120"/>
      <c r="Z38" s="121"/>
      <c r="AA38" s="121"/>
      <c r="AB38" s="120"/>
      <c r="AC38" s="121"/>
      <c r="AD38" s="121"/>
      <c r="AE38" s="116"/>
      <c r="AF38" s="116"/>
      <c r="AG38" s="116"/>
      <c r="AH38" s="116"/>
      <c r="AI38" s="116"/>
      <c r="AJ38" s="114"/>
      <c r="AK38" s="217">
        <f>AH115</f>
        <v>0</v>
      </c>
      <c r="AL38" s="214" t="s">
        <v>143</v>
      </c>
      <c r="AN38" s="35">
        <f t="shared" si="7"/>
        <v>0</v>
      </c>
      <c r="AO38" s="35">
        <f t="shared" si="8"/>
        <v>4.166666666666663E-2</v>
      </c>
      <c r="AP38" s="36">
        <f t="shared" si="9"/>
        <v>7</v>
      </c>
      <c r="AQ38" s="36">
        <f t="shared" si="10"/>
        <v>8</v>
      </c>
      <c r="AR38" s="36">
        <f t="shared" si="11"/>
        <v>0</v>
      </c>
      <c r="AS38" s="37">
        <f t="shared" si="12"/>
        <v>0</v>
      </c>
      <c r="AT38" s="38">
        <f t="shared" si="13"/>
        <v>0</v>
      </c>
      <c r="AU38" s="39">
        <f t="shared" si="14"/>
        <v>0</v>
      </c>
      <c r="AV38" s="36">
        <f t="shared" si="15"/>
        <v>-1</v>
      </c>
      <c r="AW38" s="36">
        <f t="shared" si="16"/>
        <v>10</v>
      </c>
      <c r="AX38" s="41">
        <f t="shared" si="17"/>
        <v>-1</v>
      </c>
      <c r="AY38" s="36">
        <f t="shared" si="18"/>
        <v>23</v>
      </c>
      <c r="AZ38" s="36">
        <f t="shared" si="19"/>
        <v>-14</v>
      </c>
      <c r="BA38" s="36">
        <f t="shared" si="20"/>
        <v>4.166666666666663E-2</v>
      </c>
      <c r="BB38" s="36">
        <f t="shared" si="21"/>
        <v>0.99999999999999911</v>
      </c>
      <c r="BC38" s="36">
        <f t="shared" si="22"/>
        <v>0.99999999999999911</v>
      </c>
      <c r="BD38" s="43">
        <f t="shared" si="23"/>
        <v>0</v>
      </c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</row>
    <row r="39" spans="1:80" s="2" customFormat="1" ht="20.100000000000001" customHeight="1" x14ac:dyDescent="0.25">
      <c r="A39" s="123"/>
      <c r="B39" s="116"/>
      <c r="C39" s="124"/>
      <c r="D39" s="116"/>
      <c r="E39" s="116"/>
      <c r="F39" s="116"/>
      <c r="G39" s="116"/>
      <c r="H39" s="116"/>
      <c r="I39" s="116"/>
      <c r="J39" s="116"/>
      <c r="K39" s="116"/>
      <c r="L39" s="122"/>
      <c r="M39" s="122"/>
      <c r="N39" s="125"/>
      <c r="O39" s="122"/>
      <c r="P39" s="122"/>
      <c r="Q39" s="115"/>
      <c r="R39" s="197" t="str">
        <f>CONTROL!F42</f>
        <v>H</v>
      </c>
      <c r="S39" s="222">
        <f>CONTROL!G42</f>
        <v>0.33333333333333331</v>
      </c>
      <c r="T39" s="222"/>
      <c r="U39" s="118" t="s">
        <v>11</v>
      </c>
      <c r="V39" s="223">
        <f>CONTROL!H42</f>
        <v>0.375</v>
      </c>
      <c r="W39" s="223"/>
      <c r="X39" s="115"/>
      <c r="Y39" s="120"/>
      <c r="Z39" s="121"/>
      <c r="AA39" s="121"/>
      <c r="AB39" s="120"/>
      <c r="AC39" s="121"/>
      <c r="AD39" s="121"/>
      <c r="AE39" s="116"/>
      <c r="AF39" s="116"/>
      <c r="AG39" s="116"/>
      <c r="AH39" s="116"/>
      <c r="AI39" s="116"/>
      <c r="AJ39" s="114"/>
      <c r="AK39" s="217">
        <f>AH126</f>
        <v>0</v>
      </c>
      <c r="AL39" s="214" t="s">
        <v>144</v>
      </c>
      <c r="AN39" s="35">
        <f t="shared" si="7"/>
        <v>0</v>
      </c>
      <c r="AO39" s="35">
        <f t="shared" si="8"/>
        <v>4.1666666666666685E-2</v>
      </c>
      <c r="AP39" s="36">
        <f t="shared" si="9"/>
        <v>8</v>
      </c>
      <c r="AQ39" s="36">
        <f t="shared" si="10"/>
        <v>9</v>
      </c>
      <c r="AR39" s="36">
        <f t="shared" si="11"/>
        <v>0</v>
      </c>
      <c r="AS39" s="37">
        <f t="shared" si="12"/>
        <v>0</v>
      </c>
      <c r="AT39" s="38">
        <f t="shared" si="13"/>
        <v>0</v>
      </c>
      <c r="AU39" s="39">
        <f t="shared" si="14"/>
        <v>0</v>
      </c>
      <c r="AV39" s="36">
        <f t="shared" si="15"/>
        <v>-1</v>
      </c>
      <c r="AW39" s="36">
        <f t="shared" si="16"/>
        <v>11</v>
      </c>
      <c r="AX39" s="41">
        <f t="shared" si="17"/>
        <v>-1</v>
      </c>
      <c r="AY39" s="36">
        <f t="shared" si="18"/>
        <v>22</v>
      </c>
      <c r="AZ39" s="36">
        <f t="shared" si="19"/>
        <v>-13</v>
      </c>
      <c r="BA39" s="36">
        <f t="shared" si="20"/>
        <v>4.1666666666666685E-2</v>
      </c>
      <c r="BB39" s="36">
        <f t="shared" si="21"/>
        <v>1.0000000000000004</v>
      </c>
      <c r="BC39" s="36">
        <f t="shared" si="22"/>
        <v>1.0000000000000004</v>
      </c>
      <c r="BD39" s="43">
        <f t="shared" si="23"/>
        <v>0</v>
      </c>
      <c r="BE39" s="31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</row>
    <row r="40" spans="1:80" s="2" customFormat="1" ht="20.100000000000001" customHeight="1" x14ac:dyDescent="0.25">
      <c r="A40" s="123"/>
      <c r="B40" s="116"/>
      <c r="C40" s="124"/>
      <c r="D40" s="116"/>
      <c r="E40" s="116"/>
      <c r="F40" s="116"/>
      <c r="G40" s="116"/>
      <c r="H40" s="116"/>
      <c r="I40" s="116"/>
      <c r="J40" s="116"/>
      <c r="K40" s="116"/>
      <c r="L40" s="122"/>
      <c r="M40" s="122"/>
      <c r="N40" s="125"/>
      <c r="O40" s="122"/>
      <c r="P40" s="122"/>
      <c r="Q40" s="115"/>
      <c r="R40" s="197" t="str">
        <f>CONTROL!F43</f>
        <v>I</v>
      </c>
      <c r="S40" s="222">
        <f>CONTROL!G43</f>
        <v>0.41666666666666669</v>
      </c>
      <c r="T40" s="222"/>
      <c r="U40" s="118" t="s">
        <v>11</v>
      </c>
      <c r="V40" s="223">
        <f>CONTROL!H43</f>
        <v>0.45833333333333331</v>
      </c>
      <c r="W40" s="223"/>
      <c r="X40" s="115"/>
      <c r="Y40" s="120"/>
      <c r="Z40" s="121"/>
      <c r="AA40" s="121"/>
      <c r="AB40" s="120"/>
      <c r="AC40" s="121"/>
      <c r="AD40" s="121"/>
      <c r="AE40" s="116"/>
      <c r="AF40" s="116"/>
      <c r="AG40" s="116"/>
      <c r="AH40" s="116"/>
      <c r="AI40" s="116"/>
      <c r="AJ40" s="114"/>
      <c r="AK40" s="217">
        <f>AH137</f>
        <v>0</v>
      </c>
      <c r="AL40" s="214" t="s">
        <v>145</v>
      </c>
      <c r="AN40" s="35">
        <f t="shared" si="7"/>
        <v>0</v>
      </c>
      <c r="AO40" s="35">
        <f t="shared" si="8"/>
        <v>4.166666666666663E-2</v>
      </c>
      <c r="AP40" s="36">
        <f>S40*24+24</f>
        <v>34</v>
      </c>
      <c r="AQ40" s="36">
        <f t="shared" si="10"/>
        <v>11</v>
      </c>
      <c r="AR40" s="36">
        <f t="shared" si="11"/>
        <v>0</v>
      </c>
      <c r="AS40" s="37">
        <f t="shared" si="12"/>
        <v>0</v>
      </c>
      <c r="AT40" s="38">
        <f t="shared" si="13"/>
        <v>0</v>
      </c>
      <c r="AU40" s="39">
        <f t="shared" si="14"/>
        <v>0</v>
      </c>
      <c r="AV40" s="36">
        <f t="shared" si="15"/>
        <v>-4</v>
      </c>
      <c r="AW40" s="36">
        <f t="shared" si="16"/>
        <v>-4</v>
      </c>
      <c r="AX40" s="41">
        <f t="shared" si="17"/>
        <v>0</v>
      </c>
      <c r="AY40" s="36">
        <f t="shared" si="18"/>
        <v>-4</v>
      </c>
      <c r="AZ40" s="36">
        <f t="shared" si="19"/>
        <v>-23</v>
      </c>
      <c r="BA40" s="36">
        <f t="shared" si="20"/>
        <v>4.166666666666663E-2</v>
      </c>
      <c r="BB40" s="36">
        <f t="shared" si="21"/>
        <v>0.99999999999999911</v>
      </c>
      <c r="BC40" s="36">
        <f t="shared" si="22"/>
        <v>0.99999999999999911</v>
      </c>
      <c r="BD40" s="43">
        <f t="shared" si="23"/>
        <v>0</v>
      </c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</row>
    <row r="41" spans="1:80" s="2" customFormat="1" ht="20.100000000000001" customHeight="1" x14ac:dyDescent="0.25">
      <c r="A41" s="123"/>
      <c r="B41" s="116"/>
      <c r="C41" s="124"/>
      <c r="D41" s="116"/>
      <c r="E41" s="116"/>
      <c r="F41" s="116"/>
      <c r="G41" s="116"/>
      <c r="H41" s="116"/>
      <c r="I41" s="116"/>
      <c r="J41" s="116"/>
      <c r="K41" s="116"/>
      <c r="L41" s="122"/>
      <c r="M41" s="122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6"/>
      <c r="AB41" s="116"/>
      <c r="AC41" s="116"/>
      <c r="AD41" s="116"/>
      <c r="AE41" s="116"/>
      <c r="AF41" s="116"/>
      <c r="AG41" s="116"/>
      <c r="AH41" s="116"/>
      <c r="AI41" s="116"/>
      <c r="AJ41" s="114"/>
      <c r="AK41" s="217">
        <f>AH148</f>
        <v>0</v>
      </c>
      <c r="AL41" s="214" t="s">
        <v>146</v>
      </c>
      <c r="AN41" s="10"/>
      <c r="AO41" s="10"/>
      <c r="AP41" s="46">
        <f>S41*24</f>
        <v>0</v>
      </c>
      <c r="AQ41" s="10"/>
      <c r="AR41" s="47">
        <v>1</v>
      </c>
      <c r="AS41" s="47">
        <v>2</v>
      </c>
      <c r="AT41" s="47">
        <v>3</v>
      </c>
      <c r="AU41" s="47">
        <v>4</v>
      </c>
      <c r="AV41" s="47">
        <v>5</v>
      </c>
      <c r="AW41" s="47">
        <v>6</v>
      </c>
      <c r="AX41" s="47">
        <v>7</v>
      </c>
      <c r="AY41" s="47">
        <v>8</v>
      </c>
      <c r="AZ41" s="47">
        <v>9</v>
      </c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</row>
    <row r="42" spans="1:80" ht="20.100000000000001" customHeight="1" x14ac:dyDescent="0.25">
      <c r="A42" s="116"/>
      <c r="B42" s="126"/>
      <c r="C42" s="224" t="s">
        <v>43</v>
      </c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5" t="str">
        <f>CONTROL!B38</f>
        <v>OSCAR ORGEIRA © 20.03.00 EXCEL</v>
      </c>
      <c r="X42" s="225"/>
      <c r="Y42" s="225"/>
      <c r="Z42" s="225"/>
      <c r="AA42" s="225"/>
      <c r="AB42" s="225"/>
      <c r="AC42" s="225"/>
      <c r="AD42" s="225"/>
      <c r="AE42" s="225"/>
      <c r="AF42" s="225"/>
      <c r="AG42" s="225"/>
      <c r="AH42" s="225"/>
      <c r="AI42" s="127"/>
      <c r="AJ42" s="116"/>
      <c r="AK42" s="218">
        <f>AH159</f>
        <v>0</v>
      </c>
      <c r="AL42" s="215" t="s">
        <v>147</v>
      </c>
      <c r="BE42" s="10"/>
    </row>
    <row r="43" spans="1:80" ht="20.100000000000001" customHeight="1" x14ac:dyDescent="0.25">
      <c r="A43" s="116"/>
      <c r="B43" s="116"/>
      <c r="C43" s="234" t="s">
        <v>44</v>
      </c>
      <c r="D43" s="234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  <c r="AA43" s="235"/>
      <c r="AB43" s="235"/>
      <c r="AC43" s="235"/>
      <c r="AD43" s="235"/>
      <c r="AE43" s="235"/>
      <c r="AF43" s="235"/>
      <c r="AG43" s="235"/>
      <c r="AH43" s="235"/>
      <c r="AI43" s="235"/>
      <c r="AJ43" s="116"/>
      <c r="AK43" s="218">
        <f>AH170</f>
        <v>0</v>
      </c>
      <c r="AL43" s="215" t="s">
        <v>148</v>
      </c>
      <c r="BE43" s="10"/>
    </row>
    <row r="44" spans="1:80" s="2" customFormat="1" ht="15.95" hidden="1" customHeight="1" x14ac:dyDescent="0.25">
      <c r="A44" s="123"/>
      <c r="B44" s="114"/>
      <c r="C44" s="128"/>
      <c r="D44" s="114"/>
      <c r="E44" s="114"/>
      <c r="F44" s="114"/>
      <c r="G44" s="114"/>
      <c r="H44" s="114"/>
      <c r="I44" s="114"/>
      <c r="J44" s="114"/>
      <c r="K44" s="114"/>
      <c r="L44" s="125"/>
      <c r="M44" s="125"/>
      <c r="N44" s="125"/>
      <c r="O44" s="125"/>
      <c r="P44" s="125"/>
      <c r="Q44" s="125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N44" s="10"/>
      <c r="AO44" s="10"/>
      <c r="AP44" s="10"/>
      <c r="AQ44" s="10"/>
      <c r="AR44" s="47"/>
      <c r="AS44" s="47"/>
      <c r="AT44" s="47"/>
      <c r="AU44" s="47"/>
      <c r="AV44" s="47"/>
      <c r="AW44" s="47"/>
      <c r="AX44" s="47"/>
      <c r="AY44" s="47"/>
      <c r="AZ44" s="47"/>
      <c r="BA44" s="10"/>
      <c r="BB44" s="10"/>
      <c r="BC44" s="10"/>
      <c r="BD44" s="10"/>
      <c r="BE44" s="48" t="str">
        <f>INDEX({"do";"lu";"ma";"mi";"ju";"vi";"sa"},1+MOD($AR$47+4-2,7))</f>
        <v>ju</v>
      </c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</row>
    <row r="45" spans="1:80" ht="15.95" hidden="1" customHeight="1" x14ac:dyDescent="0.25">
      <c r="A45" s="129"/>
      <c r="B45" s="130" t="s">
        <v>46</v>
      </c>
      <c r="C45" s="131" t="str">
        <f t="shared" ref="C45:AH45" si="25">IF(C7="S",IF(C7="",0,1),IF(C7="D",IF(C7="",0,1),""))</f>
        <v/>
      </c>
      <c r="D45" s="131" t="str">
        <f t="shared" si="25"/>
        <v/>
      </c>
      <c r="E45" s="131" t="str">
        <f t="shared" si="25"/>
        <v/>
      </c>
      <c r="F45" s="131" t="str">
        <f t="shared" si="25"/>
        <v/>
      </c>
      <c r="G45" s="131" t="str">
        <f t="shared" si="25"/>
        <v/>
      </c>
      <c r="H45" s="131">
        <f t="shared" si="25"/>
        <v>1</v>
      </c>
      <c r="I45" s="131">
        <f t="shared" si="25"/>
        <v>1</v>
      </c>
      <c r="J45" s="131" t="str">
        <f t="shared" si="25"/>
        <v/>
      </c>
      <c r="K45" s="131" t="str">
        <f t="shared" si="25"/>
        <v/>
      </c>
      <c r="L45" s="131" t="str">
        <f t="shared" si="25"/>
        <v/>
      </c>
      <c r="M45" s="131" t="str">
        <f t="shared" si="25"/>
        <v/>
      </c>
      <c r="N45" s="131" t="str">
        <f t="shared" si="25"/>
        <v/>
      </c>
      <c r="O45" s="131">
        <f t="shared" si="25"/>
        <v>1</v>
      </c>
      <c r="P45" s="131">
        <f t="shared" si="25"/>
        <v>1</v>
      </c>
      <c r="Q45" s="131" t="str">
        <f t="shared" si="25"/>
        <v/>
      </c>
      <c r="R45" s="131" t="str">
        <f t="shared" si="25"/>
        <v/>
      </c>
      <c r="S45" s="131" t="str">
        <f t="shared" si="25"/>
        <v/>
      </c>
      <c r="T45" s="131" t="str">
        <f t="shared" si="25"/>
        <v/>
      </c>
      <c r="U45" s="131" t="str">
        <f t="shared" si="25"/>
        <v/>
      </c>
      <c r="V45" s="131">
        <f t="shared" si="25"/>
        <v>1</v>
      </c>
      <c r="W45" s="131">
        <f t="shared" si="25"/>
        <v>1</v>
      </c>
      <c r="X45" s="131" t="str">
        <f t="shared" si="25"/>
        <v/>
      </c>
      <c r="Y45" s="131" t="str">
        <f t="shared" si="25"/>
        <v/>
      </c>
      <c r="Z45" s="131" t="str">
        <f t="shared" si="25"/>
        <v/>
      </c>
      <c r="AA45" s="131" t="str">
        <f t="shared" si="25"/>
        <v/>
      </c>
      <c r="AB45" s="131" t="str">
        <f t="shared" si="25"/>
        <v/>
      </c>
      <c r="AC45" s="131">
        <f t="shared" si="25"/>
        <v>1</v>
      </c>
      <c r="AD45" s="131">
        <f t="shared" si="25"/>
        <v>1</v>
      </c>
      <c r="AE45" s="131" t="str">
        <f t="shared" si="25"/>
        <v/>
      </c>
      <c r="AF45" s="131" t="str">
        <f t="shared" si="25"/>
        <v/>
      </c>
      <c r="AG45" s="131" t="str">
        <f t="shared" si="25"/>
        <v/>
      </c>
      <c r="AH45" s="132" t="str">
        <f t="shared" si="25"/>
        <v/>
      </c>
      <c r="AI45" s="236" t="s">
        <v>8</v>
      </c>
      <c r="AJ45" s="236"/>
      <c r="AK45" s="133"/>
      <c r="AL45" s="133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49" t="str">
        <f>IF(MONTH($Q$4)&lt;&gt;MONTH($Q$4-(WEEKDAY($Q$4,1)-($AR$47-1))-IF((WEEKDAY($Q$4,1)-($AR$47-1))&lt;=0,7,0)+(ROW(BE45)-ROW($AN$51))*7+(COLUMN(BE45)-COLUMN($AN$51)+1)),"",$Q$4-(WEEKDAY($Q$4,1)-($AR$47-1))-IF((WEEKDAY($Q$4,1)-($AR$47-1))&lt;=0,7,0)+(ROW(BE45)-ROW($AN$51))*7+(COLUMN(BE45)-COLUMN($AN$51)+1))</f>
        <v/>
      </c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</row>
    <row r="46" spans="1:80" s="2" customFormat="1" ht="15.95" hidden="1" customHeight="1" x14ac:dyDescent="0.25">
      <c r="A46" s="134" t="s">
        <v>47</v>
      </c>
      <c r="B46" s="134" t="s">
        <v>48</v>
      </c>
      <c r="C46" s="135" t="str">
        <f t="shared" ref="C46:AG46" si="26">IF(C6="X",IF(C6="",0,1),IF(C45=1,IF(C45="",0,1),""))</f>
        <v/>
      </c>
      <c r="D46" s="135" t="str">
        <f t="shared" si="26"/>
        <v/>
      </c>
      <c r="E46" s="135" t="str">
        <f t="shared" si="26"/>
        <v/>
      </c>
      <c r="F46" s="135" t="str">
        <f t="shared" si="26"/>
        <v/>
      </c>
      <c r="G46" s="135" t="str">
        <f t="shared" si="26"/>
        <v/>
      </c>
      <c r="H46" s="135">
        <f t="shared" si="26"/>
        <v>1</v>
      </c>
      <c r="I46" s="135">
        <f t="shared" si="26"/>
        <v>1</v>
      </c>
      <c r="J46" s="135" t="str">
        <f t="shared" si="26"/>
        <v/>
      </c>
      <c r="K46" s="135" t="str">
        <f t="shared" si="26"/>
        <v/>
      </c>
      <c r="L46" s="135" t="str">
        <f t="shared" si="26"/>
        <v/>
      </c>
      <c r="M46" s="135" t="str">
        <f t="shared" si="26"/>
        <v/>
      </c>
      <c r="N46" s="135" t="str">
        <f t="shared" si="26"/>
        <v/>
      </c>
      <c r="O46" s="135">
        <f t="shared" si="26"/>
        <v>1</v>
      </c>
      <c r="P46" s="135">
        <f t="shared" si="26"/>
        <v>1</v>
      </c>
      <c r="Q46" s="135" t="str">
        <f t="shared" si="26"/>
        <v/>
      </c>
      <c r="R46" s="135" t="str">
        <f t="shared" si="26"/>
        <v/>
      </c>
      <c r="S46" s="135" t="str">
        <f t="shared" si="26"/>
        <v/>
      </c>
      <c r="T46" s="135" t="str">
        <f t="shared" si="26"/>
        <v/>
      </c>
      <c r="U46" s="135" t="str">
        <f t="shared" si="26"/>
        <v/>
      </c>
      <c r="V46" s="135">
        <f t="shared" si="26"/>
        <v>1</v>
      </c>
      <c r="W46" s="135">
        <f t="shared" si="26"/>
        <v>1</v>
      </c>
      <c r="X46" s="135" t="str">
        <f t="shared" si="26"/>
        <v/>
      </c>
      <c r="Y46" s="135" t="str">
        <f t="shared" si="26"/>
        <v/>
      </c>
      <c r="Z46" s="135" t="str">
        <f t="shared" si="26"/>
        <v/>
      </c>
      <c r="AA46" s="135" t="str">
        <f t="shared" si="26"/>
        <v/>
      </c>
      <c r="AB46" s="135" t="str">
        <f t="shared" si="26"/>
        <v/>
      </c>
      <c r="AC46" s="135">
        <f t="shared" si="26"/>
        <v>1</v>
      </c>
      <c r="AD46" s="135">
        <f t="shared" si="26"/>
        <v>1</v>
      </c>
      <c r="AE46" s="132" t="str">
        <f t="shared" si="26"/>
        <v/>
      </c>
      <c r="AF46" s="132" t="str">
        <f t="shared" si="26"/>
        <v/>
      </c>
      <c r="AG46" s="132" t="str">
        <f t="shared" si="26"/>
        <v/>
      </c>
      <c r="AH46" s="136" t="b">
        <f>IF(AH6="X",IF(AH6="",0,1))</f>
        <v>0</v>
      </c>
      <c r="AI46" s="231">
        <f>(AH32-AH33)*AL46</f>
        <v>4</v>
      </c>
      <c r="AJ46" s="231"/>
      <c r="AK46" s="137" t="s">
        <v>49</v>
      </c>
      <c r="AL46" s="138">
        <f>SUM(C46:AG46)</f>
        <v>8</v>
      </c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</row>
    <row r="47" spans="1:80" s="2" customFormat="1" ht="15.95" hidden="1" customHeight="1" x14ac:dyDescent="0.3">
      <c r="A47" s="139" t="s">
        <v>50</v>
      </c>
      <c r="B47" s="140" t="s">
        <v>29</v>
      </c>
      <c r="C47" s="141" t="str">
        <f t="shared" ref="C47:AG47" si="27">IF(C9=$R32,$S32*24,IF(C9=$R33,$S33*24,IF(C9=$R34,$S34*24,IF(C9=$R35,$S35*24,IF(C9=$R36,$S36*24,IF(C9=$R37,$S37*24,IF(C9=$R38,$S38*24,IF(C9=$R39,$S39*24,IF(C9=$R40,$S40*24,"")))))))))</f>
        <v/>
      </c>
      <c r="D47" s="141" t="str">
        <f t="shared" si="27"/>
        <v/>
      </c>
      <c r="E47" s="141" t="str">
        <f t="shared" si="27"/>
        <v/>
      </c>
      <c r="F47" s="141" t="str">
        <f t="shared" si="27"/>
        <v/>
      </c>
      <c r="G47" s="141" t="str">
        <f t="shared" si="27"/>
        <v/>
      </c>
      <c r="H47" s="141" t="str">
        <f t="shared" si="27"/>
        <v/>
      </c>
      <c r="I47" s="141" t="str">
        <f t="shared" si="27"/>
        <v/>
      </c>
      <c r="J47" s="141" t="str">
        <f t="shared" si="27"/>
        <v/>
      </c>
      <c r="K47" s="141" t="str">
        <f t="shared" si="27"/>
        <v/>
      </c>
      <c r="L47" s="141" t="str">
        <f t="shared" si="27"/>
        <v/>
      </c>
      <c r="M47" s="141" t="str">
        <f t="shared" si="27"/>
        <v/>
      </c>
      <c r="N47" s="141" t="str">
        <f t="shared" si="27"/>
        <v/>
      </c>
      <c r="O47" s="141" t="str">
        <f t="shared" si="27"/>
        <v/>
      </c>
      <c r="P47" s="141" t="str">
        <f t="shared" si="27"/>
        <v/>
      </c>
      <c r="Q47" s="141" t="str">
        <f t="shared" si="27"/>
        <v/>
      </c>
      <c r="R47" s="141" t="str">
        <f t="shared" si="27"/>
        <v/>
      </c>
      <c r="S47" s="141" t="str">
        <f t="shared" si="27"/>
        <v/>
      </c>
      <c r="T47" s="141" t="str">
        <f t="shared" si="27"/>
        <v/>
      </c>
      <c r="U47" s="141" t="str">
        <f t="shared" si="27"/>
        <v/>
      </c>
      <c r="V47" s="141" t="str">
        <f t="shared" si="27"/>
        <v/>
      </c>
      <c r="W47" s="141" t="str">
        <f t="shared" si="27"/>
        <v/>
      </c>
      <c r="X47" s="141" t="str">
        <f t="shared" si="27"/>
        <v/>
      </c>
      <c r="Y47" s="141" t="str">
        <f t="shared" si="27"/>
        <v/>
      </c>
      <c r="Z47" s="141" t="str">
        <f t="shared" si="27"/>
        <v/>
      </c>
      <c r="AA47" s="141" t="str">
        <f t="shared" si="27"/>
        <v/>
      </c>
      <c r="AB47" s="141" t="str">
        <f t="shared" si="27"/>
        <v/>
      </c>
      <c r="AC47" s="141" t="str">
        <f t="shared" si="27"/>
        <v/>
      </c>
      <c r="AD47" s="141" t="str">
        <f t="shared" si="27"/>
        <v/>
      </c>
      <c r="AE47" s="141" t="str">
        <f t="shared" si="27"/>
        <v/>
      </c>
      <c r="AF47" s="141" t="str">
        <f t="shared" si="27"/>
        <v/>
      </c>
      <c r="AG47" s="141" t="str">
        <f t="shared" si="27"/>
        <v/>
      </c>
      <c r="AH47" s="142" t="s">
        <v>12</v>
      </c>
      <c r="AI47" s="231">
        <f>(CA59-AH46)*AH33</f>
        <v>0</v>
      </c>
      <c r="AJ47" s="231"/>
      <c r="AK47" s="137" t="s">
        <v>51</v>
      </c>
      <c r="AL47" s="137"/>
      <c r="AN47" s="237" t="s">
        <v>52</v>
      </c>
      <c r="AO47" s="237"/>
      <c r="AP47" s="10"/>
      <c r="AQ47" s="50" t="s">
        <v>53</v>
      </c>
      <c r="AR47" s="46">
        <v>2</v>
      </c>
      <c r="AS47" s="51">
        <v>1</v>
      </c>
      <c r="AT47" s="52" t="str">
        <f>IF(AN53="lu","LUNES",IF(AN53="ma","MARTES",IF(AN53="mi","MIERCOLES",IF(AN53="ju","JUEVES",IF(AN53="vi","VIERNES",IF(AN53="sa","SABADO",IF(AN53="do","DOMINGO",IF(AO53="lu","LUNES",IF(AO53="ma","MARTES",IF(AO53="mi","MIERCOLES",IF(AO53="ju","JUEVES",IF(AO53="vi","VIERNES",IF(AO53="sa","SABADO",IF(AO53="do","DOMINGO",IF(AP53="lu","LUNES",IF(AP53="ma","MARTES",IF(AP53="mi","MIERCOLES",IF(AP53="ju","JUEVES",IF(AP53="vi","VIERNES",IF(AP53="sa","SABADO",IF(AP53="do","DOMINGO",IF(AQ53="lu","LUNES",IF(AQ53="ma","MARTES",IF(AQ53="mi","MIERCOLES",IF(AQ53="ju","JUEVES",IF(AQ53="vi","VIERNES",IF(AQ53="sa","SABADO",IF(AQ53="do","DOMINGO",IF(AR53="lu","LUNES",IF(AR53="ma","MARTES",IF(AR53="mi","MIERCOLES",IF(AR53="ju","JUEVES",IF(AR53="vi","VIERNES",IF(AR53="sa","SABADO",IF(AR53="do","DOMINGO","")))))))))))))))))))))))))))))))))))</f>
        <v>LUNES</v>
      </c>
      <c r="AU47" s="50" t="s">
        <v>54</v>
      </c>
      <c r="AV47" s="53" t="str">
        <f>IF(AT47="LUNES","LUNES",IF(AT47="MARTES","MARTES",IF(AT47="MIERCOLES","MIERCOLES",IF(AT47="JUEVES","JUEVES",IF(AT47="VIERNES","VIERNES",IF(AT47="SABADO","SABADO",IF(AT47="DOMINGO","DOMINGO",IF(AT48="LUNES","LUNES",IF(AT48="MARTES","MARTES",IF(AT48="MIERCOLES","MIERCOLES",IF(AT48="JUEVES","JUEVES",IF(AT48="VIERNES","VIERNES",IF(AT48="SABADO","SABADO",IF(AT48="DOMINGO","DOMINGO",""))))))))))))))</f>
        <v>LUNES</v>
      </c>
      <c r="AW47" s="51">
        <v>28</v>
      </c>
      <c r="AX47" s="46">
        <f>$AR$48+27</f>
        <v>45928</v>
      </c>
      <c r="AY47" s="51">
        <v>30</v>
      </c>
      <c r="AZ47" s="46">
        <f>$AR$48+29</f>
        <v>45930</v>
      </c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</row>
    <row r="48" spans="1:80" s="2" customFormat="1" ht="15.95" hidden="1" customHeight="1" x14ac:dyDescent="0.35">
      <c r="A48" s="143" t="s">
        <v>55</v>
      </c>
      <c r="B48" s="144" t="s">
        <v>30</v>
      </c>
      <c r="C48" s="141" t="str">
        <f t="shared" ref="C48:AG48" si="28">IF(C9=$R32,$V32*24,IF(C9=$R33,$V33*24,IF(C9=$R34,$V34*24,IF(C9=$R35,$V35*24,IF(C9=$R36,$V36*24,IF(C9=$R37,$V37*24,IF(C9=$R38,$V38*24,IF(C9=$R39,$V39*24,IF(C9=$R40,$V40*24,"")))))))))</f>
        <v/>
      </c>
      <c r="D48" s="141" t="str">
        <f t="shared" si="28"/>
        <v/>
      </c>
      <c r="E48" s="141" t="str">
        <f t="shared" si="28"/>
        <v/>
      </c>
      <c r="F48" s="141" t="str">
        <f t="shared" si="28"/>
        <v/>
      </c>
      <c r="G48" s="141" t="str">
        <f t="shared" si="28"/>
        <v/>
      </c>
      <c r="H48" s="141" t="str">
        <f t="shared" si="28"/>
        <v/>
      </c>
      <c r="I48" s="141" t="str">
        <f t="shared" si="28"/>
        <v/>
      </c>
      <c r="J48" s="141" t="str">
        <f t="shared" si="28"/>
        <v/>
      </c>
      <c r="K48" s="141" t="str">
        <f t="shared" si="28"/>
        <v/>
      </c>
      <c r="L48" s="141" t="str">
        <f t="shared" si="28"/>
        <v/>
      </c>
      <c r="M48" s="141" t="str">
        <f t="shared" si="28"/>
        <v/>
      </c>
      <c r="N48" s="141" t="str">
        <f t="shared" si="28"/>
        <v/>
      </c>
      <c r="O48" s="141" t="str">
        <f t="shared" si="28"/>
        <v/>
      </c>
      <c r="P48" s="141" t="str">
        <f t="shared" si="28"/>
        <v/>
      </c>
      <c r="Q48" s="141" t="str">
        <f t="shared" si="28"/>
        <v/>
      </c>
      <c r="R48" s="141" t="str">
        <f t="shared" si="28"/>
        <v/>
      </c>
      <c r="S48" s="141" t="str">
        <f t="shared" si="28"/>
        <v/>
      </c>
      <c r="T48" s="141" t="str">
        <f t="shared" si="28"/>
        <v/>
      </c>
      <c r="U48" s="141" t="str">
        <f t="shared" si="28"/>
        <v/>
      </c>
      <c r="V48" s="141" t="str">
        <f t="shared" si="28"/>
        <v/>
      </c>
      <c r="W48" s="141" t="str">
        <f t="shared" si="28"/>
        <v/>
      </c>
      <c r="X48" s="141" t="str">
        <f t="shared" si="28"/>
        <v/>
      </c>
      <c r="Y48" s="141" t="str">
        <f t="shared" si="28"/>
        <v/>
      </c>
      <c r="Z48" s="141" t="str">
        <f t="shared" si="28"/>
        <v/>
      </c>
      <c r="AA48" s="141" t="str">
        <f t="shared" si="28"/>
        <v/>
      </c>
      <c r="AB48" s="141" t="str">
        <f t="shared" si="28"/>
        <v/>
      </c>
      <c r="AC48" s="141" t="str">
        <f t="shared" si="28"/>
        <v/>
      </c>
      <c r="AD48" s="141" t="str">
        <f t="shared" si="28"/>
        <v/>
      </c>
      <c r="AE48" s="141" t="str">
        <f t="shared" si="28"/>
        <v/>
      </c>
      <c r="AF48" s="141" t="str">
        <f t="shared" si="28"/>
        <v/>
      </c>
      <c r="AG48" s="141" t="str">
        <f t="shared" si="28"/>
        <v/>
      </c>
      <c r="AH48" s="142" t="s">
        <v>12</v>
      </c>
      <c r="AI48" s="230">
        <f>SUM(AI46:AI47)</f>
        <v>4</v>
      </c>
      <c r="AJ48" s="230"/>
      <c r="AK48" s="137" t="s">
        <v>56</v>
      </c>
      <c r="AL48" s="137"/>
      <c r="AN48" s="10"/>
      <c r="AO48" s="10"/>
      <c r="AP48" s="10"/>
      <c r="AQ48" s="50" t="s">
        <v>57</v>
      </c>
      <c r="AR48" s="54">
        <f>DATE($C$34,$C$35,1)</f>
        <v>45901</v>
      </c>
      <c r="AS48" s="51">
        <v>2</v>
      </c>
      <c r="AT48" s="52" t="str">
        <f>IF(AS53="lu","LUNES",IF(AS53="ma","MARTES",IF(AS53="mi","MIERCOLES",IF(AS53="ju","JUEVES",IF(AS53="vi","VIERNES",IF(AS53="sa","SABADO",IF(AS53="do","DOMINGO",IF(AT53="lu","LUNES",IF(AT53="ma","MARTES",IF(AT53="mi","MIERCOLES",IF(AT53="ju","JUEVES",IF(AT53="vi","VIERNES",IF(AT53="sa","SABADO",IF(AT53="do","DOMINGO",""))))))))))))))</f>
        <v/>
      </c>
      <c r="AU48" s="10"/>
      <c r="AV48" s="51"/>
      <c r="AW48" s="51">
        <v>29</v>
      </c>
      <c r="AX48" s="46">
        <f>$AR$48+28</f>
        <v>45929</v>
      </c>
      <c r="AY48" s="51">
        <v>31</v>
      </c>
      <c r="AZ48" s="46">
        <f>$AR$48+30</f>
        <v>45931</v>
      </c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</row>
    <row r="49" spans="1:80" s="2" customFormat="1" ht="15.95" hidden="1" customHeight="1" x14ac:dyDescent="0.25">
      <c r="A49" s="145"/>
      <c r="B49" s="146" t="s">
        <v>34</v>
      </c>
      <c r="C49" s="147" t="str">
        <f t="shared" ref="C49:AD49" si="29">IF(C9=$R32,$BD32*24,IF(C9=$R33,$BD33*24,IF(C9=$R34,$BD34*24,IF(C9=$R35,$BD35*24,IF(C9=$R36,$BD36*24,IF(C9=$R37,$BD37*24,IF(C9=$R38,$BD38*24,IF(C9=$R39,$BD39*24,IF(C9=$R40,$BD40*24,"")))))))))</f>
        <v/>
      </c>
      <c r="D49" s="147" t="str">
        <f t="shared" si="29"/>
        <v/>
      </c>
      <c r="E49" s="147" t="str">
        <f t="shared" si="29"/>
        <v/>
      </c>
      <c r="F49" s="147" t="str">
        <f t="shared" si="29"/>
        <v/>
      </c>
      <c r="G49" s="147" t="str">
        <f t="shared" si="29"/>
        <v/>
      </c>
      <c r="H49" s="147" t="str">
        <f t="shared" si="29"/>
        <v/>
      </c>
      <c r="I49" s="147" t="str">
        <f t="shared" si="29"/>
        <v/>
      </c>
      <c r="J49" s="147" t="str">
        <f t="shared" si="29"/>
        <v/>
      </c>
      <c r="K49" s="147" t="str">
        <f t="shared" si="29"/>
        <v/>
      </c>
      <c r="L49" s="147" t="str">
        <f t="shared" si="29"/>
        <v/>
      </c>
      <c r="M49" s="147" t="str">
        <f t="shared" si="29"/>
        <v/>
      </c>
      <c r="N49" s="147" t="str">
        <f t="shared" si="29"/>
        <v/>
      </c>
      <c r="O49" s="147" t="str">
        <f t="shared" si="29"/>
        <v/>
      </c>
      <c r="P49" s="147" t="str">
        <f t="shared" si="29"/>
        <v/>
      </c>
      <c r="Q49" s="147" t="str">
        <f t="shared" si="29"/>
        <v/>
      </c>
      <c r="R49" s="147" t="str">
        <f t="shared" si="29"/>
        <v/>
      </c>
      <c r="S49" s="147" t="str">
        <f t="shared" si="29"/>
        <v/>
      </c>
      <c r="T49" s="147" t="str">
        <f t="shared" si="29"/>
        <v/>
      </c>
      <c r="U49" s="147" t="str">
        <f t="shared" si="29"/>
        <v/>
      </c>
      <c r="V49" s="147" t="str">
        <f t="shared" si="29"/>
        <v/>
      </c>
      <c r="W49" s="147" t="str">
        <f t="shared" si="29"/>
        <v/>
      </c>
      <c r="X49" s="147" t="str">
        <f t="shared" si="29"/>
        <v/>
      </c>
      <c r="Y49" s="147" t="str">
        <f t="shared" si="29"/>
        <v/>
      </c>
      <c r="Z49" s="147" t="str">
        <f t="shared" si="29"/>
        <v/>
      </c>
      <c r="AA49" s="147" t="str">
        <f t="shared" si="29"/>
        <v/>
      </c>
      <c r="AB49" s="147" t="str">
        <f t="shared" si="29"/>
        <v/>
      </c>
      <c r="AC49" s="147" t="str">
        <f t="shared" si="29"/>
        <v/>
      </c>
      <c r="AD49" s="147" t="str">
        <f t="shared" si="29"/>
        <v/>
      </c>
      <c r="AE49" s="147" t="str">
        <f>IF(AE9=$R32,$BD32*24,IF(AE9=$R33,$BD33*24,IF(AE9=$R34,$BD34*24,IF(AE9=$R35,$BD35*24,IF(AE9=$R36,$BD36*24,IF(AE9=$R37,$BD37*24,IF(AE9=$R38,$BD38*24,IF(AE9=$R39,$BD39*24,IF(AE9=$R40,$BD40*24,"")))))))))</f>
        <v/>
      </c>
      <c r="AF49" s="147" t="str">
        <f>IF(AF9=$R32,$BD32*24,IF(AF9=$R33,$BD33*24,IF(AF9=$R34,$BD34*24,IF(AF9=$R35,$BD35*24,IF(AF9=$R36,$BD36*24,IF(AF9=$R37,$BD37*24,IF(AF9=$R38,$BD38*24,IF(AF9=$R39,$BD39*24,IF(AF9=$R40,$BD40*24,"")))))))))</f>
        <v/>
      </c>
      <c r="AG49" s="147" t="str">
        <f>IF(AG9=$R32,$BD32*24,IF(AG9=$R33,$BD33*24,IF(AG9=$R34,$BD34*24,IF(AG9=$R35,$BD35*24,IF(AG9=$R36,$BD36*24,IF(AG9=$R37,$BD37*24,IF(AG9=$R38,$BD38*24,IF(AG9=$R39,$BD39*24,IF(AG9=$R40,$BD40*24,"")))))))))</f>
        <v/>
      </c>
      <c r="AH49" s="148">
        <f>SUM(C49:AG49)</f>
        <v>0</v>
      </c>
      <c r="AI49" s="231">
        <f>C37*AF36</f>
        <v>0</v>
      </c>
      <c r="AJ49" s="231"/>
      <c r="AK49" s="137" t="s">
        <v>58</v>
      </c>
      <c r="AL49" s="137"/>
      <c r="AN49" s="232">
        <f>Q4</f>
        <v>45901</v>
      </c>
      <c r="AO49" s="232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</row>
    <row r="50" spans="1:80" s="2" customFormat="1" ht="15.95" hidden="1" customHeight="1" x14ac:dyDescent="0.25">
      <c r="A50" s="145"/>
      <c r="B50" s="149" t="s">
        <v>59</v>
      </c>
      <c r="C50" s="141">
        <f t="shared" ref="C50:AG50" si="30">IF(C9="V",$C36,IF(C9="PR",$C38,0))</f>
        <v>0</v>
      </c>
      <c r="D50" s="141">
        <f t="shared" si="30"/>
        <v>0</v>
      </c>
      <c r="E50" s="141">
        <f t="shared" si="30"/>
        <v>0</v>
      </c>
      <c r="F50" s="141">
        <f t="shared" si="30"/>
        <v>0</v>
      </c>
      <c r="G50" s="141">
        <f t="shared" si="30"/>
        <v>0</v>
      </c>
      <c r="H50" s="141">
        <f t="shared" si="30"/>
        <v>0</v>
      </c>
      <c r="I50" s="141">
        <f t="shared" si="30"/>
        <v>0</v>
      </c>
      <c r="J50" s="141">
        <f t="shared" si="30"/>
        <v>0</v>
      </c>
      <c r="K50" s="141">
        <f t="shared" si="30"/>
        <v>0</v>
      </c>
      <c r="L50" s="141">
        <f t="shared" si="30"/>
        <v>0</v>
      </c>
      <c r="M50" s="141">
        <f t="shared" si="30"/>
        <v>0</v>
      </c>
      <c r="N50" s="141">
        <f t="shared" si="30"/>
        <v>0</v>
      </c>
      <c r="O50" s="141">
        <f t="shared" si="30"/>
        <v>0</v>
      </c>
      <c r="P50" s="141">
        <f t="shared" si="30"/>
        <v>0</v>
      </c>
      <c r="Q50" s="141">
        <f t="shared" si="30"/>
        <v>0</v>
      </c>
      <c r="R50" s="141">
        <f t="shared" si="30"/>
        <v>0</v>
      </c>
      <c r="S50" s="141">
        <f t="shared" si="30"/>
        <v>0</v>
      </c>
      <c r="T50" s="141">
        <f t="shared" si="30"/>
        <v>0</v>
      </c>
      <c r="U50" s="141">
        <f t="shared" si="30"/>
        <v>0</v>
      </c>
      <c r="V50" s="141">
        <f t="shared" si="30"/>
        <v>0</v>
      </c>
      <c r="W50" s="141">
        <f t="shared" si="30"/>
        <v>0</v>
      </c>
      <c r="X50" s="141">
        <f t="shared" si="30"/>
        <v>0</v>
      </c>
      <c r="Y50" s="141">
        <f t="shared" si="30"/>
        <v>0</v>
      </c>
      <c r="Z50" s="141">
        <f t="shared" si="30"/>
        <v>0</v>
      </c>
      <c r="AA50" s="141">
        <f t="shared" si="30"/>
        <v>0</v>
      </c>
      <c r="AB50" s="141">
        <f t="shared" si="30"/>
        <v>0</v>
      </c>
      <c r="AC50" s="141">
        <f t="shared" si="30"/>
        <v>0</v>
      </c>
      <c r="AD50" s="141">
        <f t="shared" si="30"/>
        <v>0</v>
      </c>
      <c r="AE50" s="141">
        <f t="shared" si="30"/>
        <v>0</v>
      </c>
      <c r="AF50" s="141">
        <f t="shared" si="30"/>
        <v>0</v>
      </c>
      <c r="AG50" s="141">
        <f t="shared" si="30"/>
        <v>0</v>
      </c>
      <c r="AH50" s="226">
        <f>SUM(C50:AG50)</f>
        <v>0</v>
      </c>
      <c r="AI50" s="226"/>
      <c r="AJ50" s="137" t="s">
        <v>12</v>
      </c>
      <c r="AK50" s="137"/>
      <c r="AL50" s="137"/>
      <c r="AN50" s="48" t="str">
        <f>INDEX({"do";"lu";"ma";"mi";"ju";"vi";"sa"},1+MOD($AR$47+1-2,7))</f>
        <v>lu</v>
      </c>
      <c r="AO50" s="48" t="str">
        <f>INDEX({"do";"lu";"ma";"mi";"ju";"vi";"sa"},1+MOD($AR$47+2-2,7))</f>
        <v>ma</v>
      </c>
      <c r="AP50" s="48" t="str">
        <f>INDEX({"do";"lu";"ma";"mi";"ju";"vi";"sa"},1+MOD($AR$47+3-2,7))</f>
        <v>mi</v>
      </c>
      <c r="AQ50" s="48" t="str">
        <f>INDEX({"do";"lu";"ma";"mi";"ju";"vi";"sa"},1+MOD($AR$47+4-2,7))</f>
        <v>ju</v>
      </c>
      <c r="AR50" s="48" t="str">
        <f>INDEX({"do";"lu";"ma";"mi";"ju";"vi";"sa"},1+MOD($AR$47+5-2,7))</f>
        <v>vi</v>
      </c>
      <c r="AS50" s="48" t="str">
        <f>INDEX({"do";"lu";"ma";"mi";"ju";"vi";"sa"},1+MOD($AR$47+6-2,7))</f>
        <v>sa</v>
      </c>
      <c r="AT50" s="48" t="str">
        <f>INDEX({"do";"lu";"ma";"mi";"ju";"vi";"sa"},1+MOD($AR$47+7-2,7))</f>
        <v>do</v>
      </c>
      <c r="AU50" s="48" t="str">
        <f>INDEX({"do";"lu";"ma";"mi";"ju";"vi";"sa"},1+MOD($AR$47+1-2,7))</f>
        <v>lu</v>
      </c>
      <c r="AV50" s="48" t="str">
        <f>INDEX({"do";"lu";"ma";"mi";"ju";"vi";"sa"},1+MOD($AR$47+2-2,7))</f>
        <v>ma</v>
      </c>
      <c r="AW50" s="48" t="str">
        <f>INDEX({"do";"lu";"ma";"mi";"ju";"vi";"sa"},1+MOD($AR$47+3-2,7))</f>
        <v>mi</v>
      </c>
      <c r="AX50" s="48" t="str">
        <f>INDEX({"do";"lu";"ma";"mi";"ju";"vi";"sa"},1+MOD($AR$47+4-2,7))</f>
        <v>ju</v>
      </c>
      <c r="AY50" s="48" t="str">
        <f>INDEX({"do";"lu";"ma";"mi";"ju";"vi";"sa"},1+MOD($AR$47+5-2,7))</f>
        <v>vi</v>
      </c>
      <c r="AZ50" s="48" t="str">
        <f>INDEX({"do";"lu";"ma";"mi";"ju";"vi";"sa"},1+MOD($AR$47+6-2,7))</f>
        <v>sa</v>
      </c>
      <c r="BA50" s="48" t="str">
        <f>INDEX({"do";"lu";"ma";"mi";"ju";"vi";"sa"},1+MOD($AR$47+7-2,7))</f>
        <v>do</v>
      </c>
      <c r="BB50" s="48" t="str">
        <f>INDEX({"do";"lu";"ma";"mi";"ju";"vi";"sa"},1+MOD($AR$47+1-2,7))</f>
        <v>lu</v>
      </c>
      <c r="BC50" s="48" t="str">
        <f>INDEX({"do";"lu";"ma";"mi";"ju";"vi";"sa"},1+MOD($AR$47+2-2,7))</f>
        <v>ma</v>
      </c>
      <c r="BD50" s="48" t="str">
        <f>INDEX({"do";"lu";"ma";"mi";"ju";"vi";"sa"},1+MOD($AR$47+3-2,7))</f>
        <v>mi</v>
      </c>
      <c r="BE50" s="10"/>
      <c r="BF50" s="48" t="str">
        <f>INDEX({"do";"lu";"ma";"mi";"ju";"vi";"sa"},1+MOD($AR$47+5-2,7))</f>
        <v>vi</v>
      </c>
      <c r="BG50" s="48" t="str">
        <f>INDEX({"do";"lu";"ma";"mi";"ju";"vi";"sa"},1+MOD($AR$47+6-2,7))</f>
        <v>sa</v>
      </c>
      <c r="BH50" s="48" t="str">
        <f>INDEX({"do";"lu";"ma";"mi";"ju";"vi";"sa"},1+MOD($AR$47+7-2,7))</f>
        <v>do</v>
      </c>
      <c r="BI50" s="48" t="str">
        <f>INDEX({"do";"lu";"ma";"mi";"ju";"vi";"sa"},1+MOD($AR$47+1-2,7))</f>
        <v>lu</v>
      </c>
      <c r="BJ50" s="48" t="str">
        <f>INDEX({"do";"lu";"ma";"mi";"ju";"vi";"sa"},1+MOD($AR$47+2-2,7))</f>
        <v>ma</v>
      </c>
      <c r="BK50" s="48" t="str">
        <f>INDEX({"do";"lu";"ma";"mi";"ju";"vi";"sa"},1+MOD($AR$47+3-2,7))</f>
        <v>mi</v>
      </c>
      <c r="BL50" s="48" t="str">
        <f>INDEX({"do";"lu";"ma";"mi";"ju";"vi";"sa"},1+MOD($AR$47+4-2,7))</f>
        <v>ju</v>
      </c>
      <c r="BM50" s="48" t="str">
        <f>INDEX({"do";"lu";"ma";"mi";"ju";"vi";"sa"},1+MOD($AR$47+5-2,7))</f>
        <v>vi</v>
      </c>
      <c r="BN50" s="48" t="str">
        <f>INDEX({"do";"lu";"ma";"mi";"ju";"vi";"sa"},1+MOD($AR$47+6-2,7))</f>
        <v>sa</v>
      </c>
      <c r="BO50" s="48" t="str">
        <f>INDEX({"do";"lu";"ma";"mi";"ju";"vi";"sa"},1+MOD($AR$47+7-2,7))</f>
        <v>do</v>
      </c>
      <c r="BP50" s="48" t="str">
        <f>INDEX({"do";"lu";"ma";"mi";"ju";"vi";"sa"},1+MOD($AR$47+1-2,7))</f>
        <v>lu</v>
      </c>
      <c r="BQ50" s="48" t="str">
        <f>INDEX({"do";"lu";"ma";"mi";"ju";"vi";"sa"},1+MOD($AR$47+2-2,7))</f>
        <v>ma</v>
      </c>
      <c r="BR50" s="48" t="str">
        <f>INDEX({"do";"lu";"ma";"mi";"ju";"vi";"sa"},1+MOD($AR$47+3-2,7))</f>
        <v>mi</v>
      </c>
      <c r="BS50" s="48" t="str">
        <f>INDEX({"do";"lu";"ma";"mi";"ju";"vi";"sa"},1+MOD($AR$47+4-2,7))</f>
        <v>ju</v>
      </c>
      <c r="BT50" s="48" t="str">
        <f>INDEX({"do";"lu";"ma";"mi";"ju";"vi";"sa"},1+MOD($AR$47+5-2,7))</f>
        <v>vi</v>
      </c>
      <c r="BU50" s="48" t="str">
        <f>INDEX({"do";"lu";"ma";"mi";"ju";"vi";"sa"},1+MOD($AR$47+6-2,7))</f>
        <v>sa</v>
      </c>
      <c r="BV50" s="48" t="str">
        <f>INDEX({"do";"lu";"ma";"mi";"ju";"vi";"sa"},1+MOD($AR$47+7-2,7))</f>
        <v>do</v>
      </c>
      <c r="BW50" s="48" t="str">
        <f>INDEX({"do";"lu";"ma";"mi";"ju";"vi";"sa"},1+MOD($AR$47+1-2,7))</f>
        <v>lu</v>
      </c>
      <c r="BX50" s="48" t="str">
        <f>INDEX({"do";"lu";"ma";"mi";"ju";"vi";"sa"},1+MOD($AR$47+2-2,7))</f>
        <v>ma</v>
      </c>
      <c r="BY50" s="10"/>
      <c r="BZ50" s="10"/>
      <c r="CA50" s="10"/>
      <c r="CB50" s="10"/>
    </row>
    <row r="51" spans="1:80" s="2" customFormat="1" ht="15.95" hidden="1" customHeight="1" x14ac:dyDescent="0.25">
      <c r="A51" s="150" t="s">
        <v>60</v>
      </c>
      <c r="B51" s="144" t="s">
        <v>61</v>
      </c>
      <c r="C51" s="151">
        <f t="shared" ref="C51:AD51" si="31">IF(C9=$R32,$BC32,IF(C9=$R33,$BC33,IF(C9=$R34,$BC34,IF(C9=$R35,$BC35,IF(C9=$R36,$BC36,IF(C9=$R37,$BC37,IF(C9=$R38,$BC38,IF(C9=$R39,$BC39,IF(C9=$R40,$BC40,0)))))))))</f>
        <v>0</v>
      </c>
      <c r="D51" s="151">
        <f t="shared" si="31"/>
        <v>0</v>
      </c>
      <c r="E51" s="151">
        <f t="shared" si="31"/>
        <v>0</v>
      </c>
      <c r="F51" s="151">
        <f t="shared" si="31"/>
        <v>0</v>
      </c>
      <c r="G51" s="151">
        <f t="shared" si="31"/>
        <v>0</v>
      </c>
      <c r="H51" s="151">
        <f t="shared" si="31"/>
        <v>0</v>
      </c>
      <c r="I51" s="151">
        <f t="shared" si="31"/>
        <v>0</v>
      </c>
      <c r="J51" s="151">
        <f t="shared" si="31"/>
        <v>0</v>
      </c>
      <c r="K51" s="151">
        <f t="shared" si="31"/>
        <v>0</v>
      </c>
      <c r="L51" s="151">
        <f t="shared" si="31"/>
        <v>0</v>
      </c>
      <c r="M51" s="151">
        <f t="shared" si="31"/>
        <v>0</v>
      </c>
      <c r="N51" s="151">
        <f t="shared" si="31"/>
        <v>0</v>
      </c>
      <c r="O51" s="151">
        <f t="shared" si="31"/>
        <v>0</v>
      </c>
      <c r="P51" s="151">
        <f t="shared" si="31"/>
        <v>0</v>
      </c>
      <c r="Q51" s="151">
        <f t="shared" si="31"/>
        <v>0</v>
      </c>
      <c r="R51" s="151">
        <f t="shared" si="31"/>
        <v>0</v>
      </c>
      <c r="S51" s="151">
        <f t="shared" si="31"/>
        <v>0</v>
      </c>
      <c r="T51" s="151">
        <f t="shared" si="31"/>
        <v>0</v>
      </c>
      <c r="U51" s="151">
        <f t="shared" si="31"/>
        <v>0</v>
      </c>
      <c r="V51" s="151">
        <f t="shared" si="31"/>
        <v>0</v>
      </c>
      <c r="W51" s="151">
        <f t="shared" si="31"/>
        <v>0</v>
      </c>
      <c r="X51" s="151">
        <f t="shared" si="31"/>
        <v>0</v>
      </c>
      <c r="Y51" s="151">
        <f t="shared" si="31"/>
        <v>0</v>
      </c>
      <c r="Z51" s="151">
        <f t="shared" si="31"/>
        <v>0</v>
      </c>
      <c r="AA51" s="151">
        <f t="shared" si="31"/>
        <v>0</v>
      </c>
      <c r="AB51" s="151">
        <f t="shared" si="31"/>
        <v>0</v>
      </c>
      <c r="AC51" s="151">
        <f t="shared" si="31"/>
        <v>0</v>
      </c>
      <c r="AD51" s="151">
        <f t="shared" si="31"/>
        <v>0</v>
      </c>
      <c r="AE51" s="151">
        <f>IF(AE9=$R32,$BC32,IF(AE9=$R33,$BC33,IF(AE9=$R34,$BC34,IF(AE9=$R35,$BC35,IF(AE9=$R36,$BC36,IF(AE9=$R37,$BC37,IF(AE9=$R38,$BC38,IF(AE9=$R39,$BC39,IF(AE9=$R40,$BC40,0)))))))))</f>
        <v>0</v>
      </c>
      <c r="AF51" s="151">
        <f>IF(AF9=$R32,$BC32,IF(AF9=$R33,$BC33,IF(AF9=$R34,$BC34,IF(AF9=$R35,$BC35,IF(AF9=$R36,$BC36,IF(AF9=$R37,$BC37,IF(AF9=$R38,$BC38,IF(AF9=$R39,$BC39,IF(AF9=$R40,$BC40,0)))))))))</f>
        <v>0</v>
      </c>
      <c r="AG51" s="151">
        <f>IF(AG9=$R32,$BC32,IF(AG9=$R33,$BC33,IF(AG9=$R34,$BC34,IF(AG9=$R35,$BC35,IF(AG9=$R36,$BC36,IF(AG9=$R37,$BC37,IF(AG9=$R38,$BC38,IF(AG9=$R39,$BC39,IF(AG9=$R40,$BC40,0)))))))))</f>
        <v>0</v>
      </c>
      <c r="AH51" s="226">
        <f>SUM(C51:AG51)</f>
        <v>0</v>
      </c>
      <c r="AI51" s="226"/>
      <c r="AJ51" s="152" t="s">
        <v>62</v>
      </c>
      <c r="AK51" s="137" t="s">
        <v>12</v>
      </c>
      <c r="AL51" s="137"/>
      <c r="AN51" s="49">
        <f t="shared" ref="AN51:BD51" si="32">IF(MONTH($Q$4)&lt;&gt;MONTH($Q$4-(WEEKDAY($Q$4,1)-($AR$47-1))-IF((WEEKDAY($Q$4,1)-($AR$47-1))&lt;=0,7,0)+(ROW(AN51)-ROW($AN$51))*7+(COLUMN(AN51)-COLUMN($AN$51)+1)),"",$Q$4-(WEEKDAY($Q$4,1)-($AR$47-1))-IF((WEEKDAY($Q$4,1)-($AR$47-1))&lt;=0,7,0)+(ROW(AN51)-ROW($AN$51))*7+(COLUMN(AN51)-COLUMN($AN$51)+1))</f>
        <v>45901</v>
      </c>
      <c r="AO51" s="49">
        <f t="shared" si="32"/>
        <v>45902</v>
      </c>
      <c r="AP51" s="49">
        <f t="shared" si="32"/>
        <v>45903</v>
      </c>
      <c r="AQ51" s="49">
        <f t="shared" si="32"/>
        <v>45904</v>
      </c>
      <c r="AR51" s="49">
        <f t="shared" si="32"/>
        <v>45905</v>
      </c>
      <c r="AS51" s="49">
        <f t="shared" si="32"/>
        <v>45906</v>
      </c>
      <c r="AT51" s="49">
        <f t="shared" si="32"/>
        <v>45907</v>
      </c>
      <c r="AU51" s="49">
        <f t="shared" si="32"/>
        <v>45908</v>
      </c>
      <c r="AV51" s="49">
        <f t="shared" si="32"/>
        <v>45909</v>
      </c>
      <c r="AW51" s="49">
        <f t="shared" si="32"/>
        <v>45910</v>
      </c>
      <c r="AX51" s="49">
        <f t="shared" si="32"/>
        <v>45911</v>
      </c>
      <c r="AY51" s="49">
        <f t="shared" si="32"/>
        <v>45912</v>
      </c>
      <c r="AZ51" s="49">
        <f t="shared" si="32"/>
        <v>45913</v>
      </c>
      <c r="BA51" s="49">
        <f t="shared" si="32"/>
        <v>45914</v>
      </c>
      <c r="BB51" s="49">
        <f t="shared" si="32"/>
        <v>45915</v>
      </c>
      <c r="BC51" s="49">
        <f t="shared" si="32"/>
        <v>45916</v>
      </c>
      <c r="BD51" s="49">
        <f t="shared" si="32"/>
        <v>45917</v>
      </c>
      <c r="BE51" s="31"/>
      <c r="BF51" s="49">
        <f t="shared" ref="BF51:BX51" si="33">IF(MONTH($Q$4)&lt;&gt;MONTH($Q$4-(WEEKDAY($Q$4,1)-($AR$47-1))-IF((WEEKDAY($Q$4,1)-($AR$47-1))&lt;=0,7,0)+(ROW(BF51)-ROW($AN$51))*7+(COLUMN(BF51)-COLUMN($AN$51)+1)),"",$Q$4-(WEEKDAY($Q$4,1)-($AR$47-1))-IF((WEEKDAY($Q$4,1)-($AR$47-1))&lt;=0,7,0)+(ROW(BF51)-ROW($AN$51))*7+(COLUMN(BF51)-COLUMN($AN$51)+1))</f>
        <v>45919</v>
      </c>
      <c r="BG51" s="49">
        <f t="shared" si="33"/>
        <v>45920</v>
      </c>
      <c r="BH51" s="49">
        <f t="shared" si="33"/>
        <v>45921</v>
      </c>
      <c r="BI51" s="49">
        <f t="shared" si="33"/>
        <v>45922</v>
      </c>
      <c r="BJ51" s="49">
        <f t="shared" si="33"/>
        <v>45923</v>
      </c>
      <c r="BK51" s="49">
        <f t="shared" si="33"/>
        <v>45924</v>
      </c>
      <c r="BL51" s="49">
        <f t="shared" si="33"/>
        <v>45925</v>
      </c>
      <c r="BM51" s="49">
        <f t="shared" si="33"/>
        <v>45926</v>
      </c>
      <c r="BN51" s="49">
        <f t="shared" si="33"/>
        <v>45927</v>
      </c>
      <c r="BO51" s="49">
        <f t="shared" si="33"/>
        <v>45928</v>
      </c>
      <c r="BP51" s="49">
        <f t="shared" si="33"/>
        <v>45929</v>
      </c>
      <c r="BQ51" s="49">
        <f t="shared" si="33"/>
        <v>45930</v>
      </c>
      <c r="BR51" s="49" t="str">
        <f t="shared" si="33"/>
        <v/>
      </c>
      <c r="BS51" s="49" t="str">
        <f t="shared" si="33"/>
        <v/>
      </c>
      <c r="BT51" s="49" t="str">
        <f t="shared" si="33"/>
        <v/>
      </c>
      <c r="BU51" s="49" t="str">
        <f t="shared" si="33"/>
        <v/>
      </c>
      <c r="BV51" s="49" t="str">
        <f t="shared" si="33"/>
        <v/>
      </c>
      <c r="BW51" s="49" t="str">
        <f t="shared" si="33"/>
        <v/>
      </c>
      <c r="BX51" s="49" t="str">
        <f t="shared" si="33"/>
        <v/>
      </c>
      <c r="BY51" s="10"/>
      <c r="BZ51" s="10"/>
      <c r="CA51" s="10"/>
      <c r="CB51" s="10"/>
    </row>
    <row r="52" spans="1:80" s="2" customFormat="1" ht="15.95" hidden="1" customHeight="1" x14ac:dyDescent="0.25">
      <c r="A52" s="153" t="s">
        <v>48</v>
      </c>
      <c r="B52" s="149" t="s">
        <v>63</v>
      </c>
      <c r="C52" s="141" t="b">
        <f t="shared" ref="C52:AG52" si="34">IF(C46=1,IF(C47&lt;C48,C51,0))</f>
        <v>0</v>
      </c>
      <c r="D52" s="141" t="b">
        <f t="shared" si="34"/>
        <v>0</v>
      </c>
      <c r="E52" s="141" t="b">
        <f t="shared" si="34"/>
        <v>0</v>
      </c>
      <c r="F52" s="141" t="b">
        <f t="shared" si="34"/>
        <v>0</v>
      </c>
      <c r="G52" s="141" t="b">
        <f t="shared" si="34"/>
        <v>0</v>
      </c>
      <c r="H52" s="141">
        <f t="shared" si="34"/>
        <v>0</v>
      </c>
      <c r="I52" s="141">
        <f t="shared" si="34"/>
        <v>0</v>
      </c>
      <c r="J52" s="141" t="b">
        <f t="shared" si="34"/>
        <v>0</v>
      </c>
      <c r="K52" s="141" t="b">
        <f t="shared" si="34"/>
        <v>0</v>
      </c>
      <c r="L52" s="141" t="b">
        <f t="shared" si="34"/>
        <v>0</v>
      </c>
      <c r="M52" s="141" t="b">
        <f t="shared" si="34"/>
        <v>0</v>
      </c>
      <c r="N52" s="141" t="b">
        <f t="shared" si="34"/>
        <v>0</v>
      </c>
      <c r="O52" s="141">
        <f t="shared" si="34"/>
        <v>0</v>
      </c>
      <c r="P52" s="141">
        <f t="shared" si="34"/>
        <v>0</v>
      </c>
      <c r="Q52" s="141" t="b">
        <f t="shared" si="34"/>
        <v>0</v>
      </c>
      <c r="R52" s="141" t="b">
        <f t="shared" si="34"/>
        <v>0</v>
      </c>
      <c r="S52" s="141" t="b">
        <f t="shared" si="34"/>
        <v>0</v>
      </c>
      <c r="T52" s="141" t="b">
        <f t="shared" si="34"/>
        <v>0</v>
      </c>
      <c r="U52" s="141" t="b">
        <f t="shared" si="34"/>
        <v>0</v>
      </c>
      <c r="V52" s="141">
        <f t="shared" si="34"/>
        <v>0</v>
      </c>
      <c r="W52" s="141">
        <f t="shared" si="34"/>
        <v>0</v>
      </c>
      <c r="X52" s="141" t="b">
        <f t="shared" si="34"/>
        <v>0</v>
      </c>
      <c r="Y52" s="141" t="b">
        <f t="shared" si="34"/>
        <v>0</v>
      </c>
      <c r="Z52" s="141" t="b">
        <f t="shared" si="34"/>
        <v>0</v>
      </c>
      <c r="AA52" s="141" t="b">
        <f t="shared" si="34"/>
        <v>0</v>
      </c>
      <c r="AB52" s="141" t="b">
        <f t="shared" si="34"/>
        <v>0</v>
      </c>
      <c r="AC52" s="141">
        <f t="shared" si="34"/>
        <v>0</v>
      </c>
      <c r="AD52" s="141">
        <f t="shared" si="34"/>
        <v>0</v>
      </c>
      <c r="AE52" s="141" t="b">
        <f t="shared" si="34"/>
        <v>0</v>
      </c>
      <c r="AF52" s="141" t="b">
        <f t="shared" si="34"/>
        <v>0</v>
      </c>
      <c r="AG52" s="141" t="b">
        <f t="shared" si="34"/>
        <v>0</v>
      </c>
      <c r="AH52" s="154" t="s">
        <v>12</v>
      </c>
      <c r="AI52" s="133"/>
      <c r="AJ52" s="155"/>
      <c r="AK52" s="156"/>
      <c r="AL52" s="137"/>
      <c r="AN52" s="55">
        <f t="shared" ref="AN52:AT52" si="35">IF(AN51=$AR$48,IF(AN51="",0,1),"")</f>
        <v>1</v>
      </c>
      <c r="AO52" s="55" t="str">
        <f t="shared" si="35"/>
        <v/>
      </c>
      <c r="AP52" s="55" t="str">
        <f t="shared" si="35"/>
        <v/>
      </c>
      <c r="AQ52" s="55" t="str">
        <f t="shared" si="35"/>
        <v/>
      </c>
      <c r="AR52" s="55" t="str">
        <f t="shared" si="35"/>
        <v/>
      </c>
      <c r="AS52" s="55" t="str">
        <f t="shared" si="35"/>
        <v/>
      </c>
      <c r="AT52" s="55" t="str">
        <f t="shared" si="35"/>
        <v/>
      </c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56"/>
      <c r="BF52" s="10"/>
      <c r="BG52" s="10"/>
      <c r="BH52" s="10"/>
      <c r="BI52" s="10"/>
      <c r="BJ52" s="10"/>
      <c r="BK52" s="10"/>
      <c r="BL52" s="10"/>
      <c r="BM52" s="10"/>
      <c r="BN52" s="10"/>
      <c r="BO52" s="96">
        <f t="shared" ref="BO52:BX52" si="36">BO51</f>
        <v>45928</v>
      </c>
      <c r="BP52" s="96">
        <f t="shared" si="36"/>
        <v>45929</v>
      </c>
      <c r="BQ52" s="96">
        <f t="shared" si="36"/>
        <v>45930</v>
      </c>
      <c r="BR52" s="96" t="str">
        <f t="shared" si="36"/>
        <v/>
      </c>
      <c r="BS52" s="96" t="str">
        <f t="shared" si="36"/>
        <v/>
      </c>
      <c r="BT52" s="96" t="str">
        <f t="shared" si="36"/>
        <v/>
      </c>
      <c r="BU52" s="96" t="str">
        <f t="shared" si="36"/>
        <v/>
      </c>
      <c r="BV52" s="96" t="str">
        <f t="shared" si="36"/>
        <v/>
      </c>
      <c r="BW52" s="96" t="str">
        <f t="shared" si="36"/>
        <v/>
      </c>
      <c r="BX52" s="96" t="str">
        <f t="shared" si="36"/>
        <v/>
      </c>
      <c r="BY52" s="10"/>
      <c r="BZ52" s="10"/>
      <c r="CA52" s="10"/>
      <c r="CB52" s="10"/>
    </row>
    <row r="53" spans="1:80" s="2" customFormat="1" ht="15.95" hidden="1" customHeight="1" x14ac:dyDescent="0.25">
      <c r="A53" s="153"/>
      <c r="B53" s="149" t="s">
        <v>64</v>
      </c>
      <c r="C53" s="141">
        <f t="shared" ref="C53:AG53" si="37">IF(C46=1,IF(C47&gt;C48,24-C47,0),0)</f>
        <v>0</v>
      </c>
      <c r="D53" s="141">
        <f t="shared" si="37"/>
        <v>0</v>
      </c>
      <c r="E53" s="141">
        <f t="shared" si="37"/>
        <v>0</v>
      </c>
      <c r="F53" s="141">
        <f t="shared" si="37"/>
        <v>0</v>
      </c>
      <c r="G53" s="141">
        <f t="shared" si="37"/>
        <v>0</v>
      </c>
      <c r="H53" s="141">
        <f t="shared" si="37"/>
        <v>0</v>
      </c>
      <c r="I53" s="141">
        <f t="shared" si="37"/>
        <v>0</v>
      </c>
      <c r="J53" s="141">
        <f t="shared" si="37"/>
        <v>0</v>
      </c>
      <c r="K53" s="141">
        <f t="shared" si="37"/>
        <v>0</v>
      </c>
      <c r="L53" s="141">
        <f t="shared" si="37"/>
        <v>0</v>
      </c>
      <c r="M53" s="141">
        <f t="shared" si="37"/>
        <v>0</v>
      </c>
      <c r="N53" s="141">
        <f t="shared" si="37"/>
        <v>0</v>
      </c>
      <c r="O53" s="141">
        <f t="shared" si="37"/>
        <v>0</v>
      </c>
      <c r="P53" s="141">
        <f t="shared" si="37"/>
        <v>0</v>
      </c>
      <c r="Q53" s="141">
        <f t="shared" si="37"/>
        <v>0</v>
      </c>
      <c r="R53" s="141">
        <f t="shared" si="37"/>
        <v>0</v>
      </c>
      <c r="S53" s="141">
        <f t="shared" si="37"/>
        <v>0</v>
      </c>
      <c r="T53" s="141">
        <f t="shared" si="37"/>
        <v>0</v>
      </c>
      <c r="U53" s="141">
        <f t="shared" si="37"/>
        <v>0</v>
      </c>
      <c r="V53" s="141">
        <f t="shared" si="37"/>
        <v>0</v>
      </c>
      <c r="W53" s="141">
        <f t="shared" si="37"/>
        <v>0</v>
      </c>
      <c r="X53" s="141">
        <f t="shared" si="37"/>
        <v>0</v>
      </c>
      <c r="Y53" s="141">
        <f t="shared" si="37"/>
        <v>0</v>
      </c>
      <c r="Z53" s="141">
        <f t="shared" si="37"/>
        <v>0</v>
      </c>
      <c r="AA53" s="141">
        <f t="shared" si="37"/>
        <v>0</v>
      </c>
      <c r="AB53" s="141">
        <f t="shared" si="37"/>
        <v>0</v>
      </c>
      <c r="AC53" s="141">
        <f t="shared" si="37"/>
        <v>0</v>
      </c>
      <c r="AD53" s="141">
        <f t="shared" si="37"/>
        <v>0</v>
      </c>
      <c r="AE53" s="141">
        <f t="shared" si="37"/>
        <v>0</v>
      </c>
      <c r="AF53" s="141">
        <f t="shared" si="37"/>
        <v>0</v>
      </c>
      <c r="AG53" s="141">
        <f t="shared" si="37"/>
        <v>0</v>
      </c>
      <c r="AH53" s="154" t="s">
        <v>12</v>
      </c>
      <c r="AI53" s="133"/>
      <c r="AJ53" s="155"/>
      <c r="AK53" s="137"/>
      <c r="AL53" s="137"/>
      <c r="AN53" s="57" t="str">
        <f t="shared" ref="AN53:AT53" si="38">IF(AN52=1,IF(AN52="",0,AN50),"")</f>
        <v>lu</v>
      </c>
      <c r="AO53" s="57" t="str">
        <f t="shared" si="38"/>
        <v/>
      </c>
      <c r="AP53" s="57" t="str">
        <f t="shared" si="38"/>
        <v/>
      </c>
      <c r="AQ53" s="57" t="str">
        <f t="shared" si="38"/>
        <v/>
      </c>
      <c r="AR53" s="57" t="str">
        <f t="shared" si="38"/>
        <v/>
      </c>
      <c r="AS53" s="57" t="str">
        <f t="shared" si="38"/>
        <v/>
      </c>
      <c r="AT53" s="57" t="str">
        <f t="shared" si="38"/>
        <v/>
      </c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56"/>
      <c r="BF53" s="10"/>
      <c r="BG53" s="10"/>
      <c r="BH53" s="10"/>
      <c r="BI53" s="10"/>
      <c r="BJ53" s="10"/>
      <c r="BK53" s="10"/>
      <c r="BL53" s="10"/>
      <c r="BM53" s="10"/>
      <c r="BN53" s="10"/>
      <c r="BO53" s="58">
        <f t="shared" ref="BO53:BX53" si="39">IF(BO52=$AR$48+30,IF(BO52="",0,1),IF(BO52=$AR$48+29,IF(BO52="",0,1),IF(BO52=$AR$48+28,IF(BO52="",0,1),IF(BO52=$AR$48+27,IF(BO52="",0,1),""))))</f>
        <v>1</v>
      </c>
      <c r="BP53" s="58">
        <f t="shared" si="39"/>
        <v>1</v>
      </c>
      <c r="BQ53" s="58">
        <f t="shared" si="39"/>
        <v>1</v>
      </c>
      <c r="BR53" s="58" t="str">
        <f t="shared" si="39"/>
        <v/>
      </c>
      <c r="BS53" s="58" t="str">
        <f t="shared" si="39"/>
        <v/>
      </c>
      <c r="BT53" s="58" t="str">
        <f t="shared" si="39"/>
        <v/>
      </c>
      <c r="BU53" s="58" t="str">
        <f t="shared" si="39"/>
        <v/>
      </c>
      <c r="BV53" s="58" t="str">
        <f t="shared" si="39"/>
        <v/>
      </c>
      <c r="BW53" s="58" t="str">
        <f t="shared" si="39"/>
        <v/>
      </c>
      <c r="BX53" s="58" t="str">
        <f t="shared" si="39"/>
        <v/>
      </c>
      <c r="BY53" s="10"/>
      <c r="BZ53" s="10"/>
      <c r="CA53" s="10"/>
      <c r="CB53" s="10"/>
    </row>
    <row r="54" spans="1:80" s="2" customFormat="1" ht="15.95" hidden="1" customHeight="1" x14ac:dyDescent="0.25">
      <c r="A54" s="157"/>
      <c r="B54" s="149" t="s">
        <v>65</v>
      </c>
      <c r="C54" s="141">
        <f t="shared" ref="C54:AG54" si="40">IF(D46=1,IF(C47&gt;C48,C48,0),0)</f>
        <v>0</v>
      </c>
      <c r="D54" s="141">
        <f t="shared" si="40"/>
        <v>0</v>
      </c>
      <c r="E54" s="141">
        <f t="shared" si="40"/>
        <v>0</v>
      </c>
      <c r="F54" s="141">
        <f t="shared" si="40"/>
        <v>0</v>
      </c>
      <c r="G54" s="141">
        <f t="shared" si="40"/>
        <v>0</v>
      </c>
      <c r="H54" s="141">
        <f t="shared" si="40"/>
        <v>0</v>
      </c>
      <c r="I54" s="141">
        <f t="shared" si="40"/>
        <v>0</v>
      </c>
      <c r="J54" s="141">
        <f t="shared" si="40"/>
        <v>0</v>
      </c>
      <c r="K54" s="141">
        <f t="shared" si="40"/>
        <v>0</v>
      </c>
      <c r="L54" s="141">
        <f t="shared" si="40"/>
        <v>0</v>
      </c>
      <c r="M54" s="141">
        <f t="shared" si="40"/>
        <v>0</v>
      </c>
      <c r="N54" s="141">
        <f t="shared" si="40"/>
        <v>0</v>
      </c>
      <c r="O54" s="141">
        <f t="shared" si="40"/>
        <v>0</v>
      </c>
      <c r="P54" s="141">
        <f t="shared" si="40"/>
        <v>0</v>
      </c>
      <c r="Q54" s="141">
        <f t="shared" si="40"/>
        <v>0</v>
      </c>
      <c r="R54" s="141">
        <f t="shared" si="40"/>
        <v>0</v>
      </c>
      <c r="S54" s="141">
        <f t="shared" si="40"/>
        <v>0</v>
      </c>
      <c r="T54" s="141">
        <f t="shared" si="40"/>
        <v>0</v>
      </c>
      <c r="U54" s="141">
        <f t="shared" si="40"/>
        <v>0</v>
      </c>
      <c r="V54" s="141">
        <f t="shared" si="40"/>
        <v>0</v>
      </c>
      <c r="W54" s="141">
        <f t="shared" si="40"/>
        <v>0</v>
      </c>
      <c r="X54" s="141">
        <f>IF(Y46=1,IF(X47&gt;X48,X48,0),0)</f>
        <v>0</v>
      </c>
      <c r="Y54" s="141">
        <f t="shared" si="40"/>
        <v>0</v>
      </c>
      <c r="Z54" s="141">
        <f t="shared" si="40"/>
        <v>0</v>
      </c>
      <c r="AA54" s="141">
        <f t="shared" si="40"/>
        <v>0</v>
      </c>
      <c r="AB54" s="141">
        <f t="shared" si="40"/>
        <v>0</v>
      </c>
      <c r="AC54" s="141">
        <f t="shared" si="40"/>
        <v>0</v>
      </c>
      <c r="AD54" s="141">
        <f t="shared" si="40"/>
        <v>0</v>
      </c>
      <c r="AE54" s="141">
        <f t="shared" si="40"/>
        <v>0</v>
      </c>
      <c r="AF54" s="141">
        <f t="shared" si="40"/>
        <v>0</v>
      </c>
      <c r="AG54" s="141">
        <f t="shared" si="40"/>
        <v>0</v>
      </c>
      <c r="AH54" s="154" t="s">
        <v>12</v>
      </c>
      <c r="AI54" s="133"/>
      <c r="AJ54" s="155"/>
      <c r="AK54" s="137"/>
      <c r="AL54" s="137"/>
      <c r="AN54" s="10"/>
      <c r="AO54" s="10"/>
      <c r="AP54" s="10"/>
      <c r="AQ54" s="10"/>
      <c r="AR54" s="47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56"/>
      <c r="BF54" s="10"/>
      <c r="BG54" s="10"/>
      <c r="BH54" s="10"/>
      <c r="BI54" s="10"/>
      <c r="BJ54" s="10"/>
      <c r="BK54" s="10"/>
      <c r="BL54" s="10"/>
      <c r="BM54" s="10"/>
      <c r="BN54" s="10"/>
      <c r="BO54" s="52">
        <f t="shared" ref="BO54:BX54" si="41">IF(BO53=1,IF(BO53="",0,BO52),"")</f>
        <v>45928</v>
      </c>
      <c r="BP54" s="52">
        <f t="shared" si="41"/>
        <v>45929</v>
      </c>
      <c r="BQ54" s="52">
        <f t="shared" si="41"/>
        <v>45930</v>
      </c>
      <c r="BR54" s="52" t="str">
        <f t="shared" si="41"/>
        <v/>
      </c>
      <c r="BS54" s="52" t="str">
        <f t="shared" si="41"/>
        <v/>
      </c>
      <c r="BT54" s="52" t="str">
        <f t="shared" si="41"/>
        <v/>
      </c>
      <c r="BU54" s="52" t="str">
        <f t="shared" si="41"/>
        <v/>
      </c>
      <c r="BV54" s="52" t="str">
        <f t="shared" si="41"/>
        <v/>
      </c>
      <c r="BW54" s="52" t="str">
        <f t="shared" si="41"/>
        <v/>
      </c>
      <c r="BX54" s="52" t="str">
        <f t="shared" si="41"/>
        <v/>
      </c>
      <c r="BY54" s="56"/>
      <c r="BZ54" s="97" t="s">
        <v>66</v>
      </c>
      <c r="CA54" s="56"/>
      <c r="CB54" s="10"/>
    </row>
    <row r="55" spans="1:80" s="2" customFormat="1" ht="15.95" hidden="1" customHeight="1" x14ac:dyDescent="0.25">
      <c r="A55" s="157"/>
      <c r="B55" s="149" t="s">
        <v>67</v>
      </c>
      <c r="C55" s="158">
        <f t="shared" ref="C55:AG55" si="42">SUM(C52:C54)</f>
        <v>0</v>
      </c>
      <c r="D55" s="158">
        <f t="shared" si="42"/>
        <v>0</v>
      </c>
      <c r="E55" s="158">
        <f t="shared" si="42"/>
        <v>0</v>
      </c>
      <c r="F55" s="158">
        <f t="shared" si="42"/>
        <v>0</v>
      </c>
      <c r="G55" s="158">
        <f t="shared" si="42"/>
        <v>0</v>
      </c>
      <c r="H55" s="158">
        <f t="shared" si="42"/>
        <v>0</v>
      </c>
      <c r="I55" s="158">
        <f t="shared" si="42"/>
        <v>0</v>
      </c>
      <c r="J55" s="158">
        <f t="shared" si="42"/>
        <v>0</v>
      </c>
      <c r="K55" s="158">
        <f t="shared" si="42"/>
        <v>0</v>
      </c>
      <c r="L55" s="158">
        <f t="shared" si="42"/>
        <v>0</v>
      </c>
      <c r="M55" s="158">
        <f t="shared" si="42"/>
        <v>0</v>
      </c>
      <c r="N55" s="158">
        <f t="shared" si="42"/>
        <v>0</v>
      </c>
      <c r="O55" s="158">
        <f t="shared" si="42"/>
        <v>0</v>
      </c>
      <c r="P55" s="158">
        <f t="shared" si="42"/>
        <v>0</v>
      </c>
      <c r="Q55" s="158">
        <f t="shared" si="42"/>
        <v>0</v>
      </c>
      <c r="R55" s="158">
        <f t="shared" si="42"/>
        <v>0</v>
      </c>
      <c r="S55" s="158">
        <f t="shared" si="42"/>
        <v>0</v>
      </c>
      <c r="T55" s="158">
        <f t="shared" si="42"/>
        <v>0</v>
      </c>
      <c r="U55" s="158">
        <f t="shared" si="42"/>
        <v>0</v>
      </c>
      <c r="V55" s="158">
        <f t="shared" si="42"/>
        <v>0</v>
      </c>
      <c r="W55" s="158">
        <f t="shared" si="42"/>
        <v>0</v>
      </c>
      <c r="X55" s="158">
        <f t="shared" si="42"/>
        <v>0</v>
      </c>
      <c r="Y55" s="158">
        <f t="shared" si="42"/>
        <v>0</v>
      </c>
      <c r="Z55" s="158">
        <f t="shared" si="42"/>
        <v>0</v>
      </c>
      <c r="AA55" s="158">
        <f t="shared" si="42"/>
        <v>0</v>
      </c>
      <c r="AB55" s="158">
        <f t="shared" si="42"/>
        <v>0</v>
      </c>
      <c r="AC55" s="158">
        <f t="shared" si="42"/>
        <v>0</v>
      </c>
      <c r="AD55" s="158">
        <f t="shared" si="42"/>
        <v>0</v>
      </c>
      <c r="AE55" s="158">
        <f t="shared" si="42"/>
        <v>0</v>
      </c>
      <c r="AF55" s="158">
        <f t="shared" si="42"/>
        <v>0</v>
      </c>
      <c r="AG55" s="158">
        <f t="shared" si="42"/>
        <v>0</v>
      </c>
      <c r="AH55" s="154" t="s">
        <v>12</v>
      </c>
      <c r="AI55" s="133"/>
      <c r="AJ55" s="155"/>
      <c r="AK55" s="137"/>
      <c r="AL55" s="137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59"/>
      <c r="BF55" s="10"/>
      <c r="BG55" s="10"/>
      <c r="BH55" s="10"/>
      <c r="BI55" s="10"/>
      <c r="BJ55" s="10"/>
      <c r="BK55" s="10"/>
      <c r="BL55" s="10"/>
      <c r="BM55" s="10"/>
      <c r="BN55" s="10"/>
      <c r="BO55" s="52" t="str">
        <f t="shared" ref="BO55:BX55" si="43">IF(BO54=$AZ48,IF(BO54="",0,$AZ48),"")</f>
        <v/>
      </c>
      <c r="BP55" s="52" t="str">
        <f t="shared" si="43"/>
        <v/>
      </c>
      <c r="BQ55" s="52" t="str">
        <f t="shared" si="43"/>
        <v/>
      </c>
      <c r="BR55" s="52" t="str">
        <f t="shared" si="43"/>
        <v/>
      </c>
      <c r="BS55" s="52" t="str">
        <f t="shared" si="43"/>
        <v/>
      </c>
      <c r="BT55" s="52" t="str">
        <f t="shared" si="43"/>
        <v/>
      </c>
      <c r="BU55" s="52" t="str">
        <f t="shared" si="43"/>
        <v/>
      </c>
      <c r="BV55" s="52" t="str">
        <f t="shared" si="43"/>
        <v/>
      </c>
      <c r="BW55" s="52" t="str">
        <f t="shared" si="43"/>
        <v/>
      </c>
      <c r="BX55" s="52" t="str">
        <f t="shared" si="43"/>
        <v/>
      </c>
      <c r="BY55" s="52">
        <f t="shared" ref="BY55:BY58" si="44">SUM(BO55:BX55)</f>
        <v>0</v>
      </c>
      <c r="BZ55" s="98" t="b">
        <f t="shared" ref="BZ55:BZ58" si="45">IF(BY55=$AZ$48,IF(BY55="",0,31),IF(BY55=$AZ$47,IF(BY55="",0,30),IF(BY55=$AX$48,IF(BY55="",0,29),IF(BY55=$AX$47,IF(BY55="",0,28)))))</f>
        <v>0</v>
      </c>
      <c r="CA55" s="99">
        <v>31</v>
      </c>
      <c r="CB55" s="10"/>
    </row>
    <row r="56" spans="1:80" s="2" customFormat="1" ht="15.95" hidden="1" customHeight="1" x14ac:dyDescent="0.25">
      <c r="A56" s="159"/>
      <c r="B56" s="160" t="s">
        <v>68</v>
      </c>
      <c r="C56" s="161">
        <f t="shared" ref="C56:AG56" si="46">IF(C9="V",IF(C9="",0,1),0)</f>
        <v>0</v>
      </c>
      <c r="D56" s="161">
        <f t="shared" si="46"/>
        <v>0</v>
      </c>
      <c r="E56" s="161">
        <f t="shared" si="46"/>
        <v>0</v>
      </c>
      <c r="F56" s="161">
        <f t="shared" si="46"/>
        <v>0</v>
      </c>
      <c r="G56" s="161">
        <f t="shared" si="46"/>
        <v>0</v>
      </c>
      <c r="H56" s="161">
        <f t="shared" si="46"/>
        <v>0</v>
      </c>
      <c r="I56" s="161">
        <f t="shared" si="46"/>
        <v>0</v>
      </c>
      <c r="J56" s="161">
        <f t="shared" si="46"/>
        <v>0</v>
      </c>
      <c r="K56" s="161">
        <f t="shared" si="46"/>
        <v>0</v>
      </c>
      <c r="L56" s="161">
        <f t="shared" si="46"/>
        <v>0</v>
      </c>
      <c r="M56" s="161">
        <f t="shared" si="46"/>
        <v>0</v>
      </c>
      <c r="N56" s="161">
        <f t="shared" si="46"/>
        <v>0</v>
      </c>
      <c r="O56" s="161">
        <f t="shared" si="46"/>
        <v>0</v>
      </c>
      <c r="P56" s="161">
        <f t="shared" si="46"/>
        <v>0</v>
      </c>
      <c r="Q56" s="161">
        <f t="shared" si="46"/>
        <v>0</v>
      </c>
      <c r="R56" s="161">
        <f t="shared" si="46"/>
        <v>0</v>
      </c>
      <c r="S56" s="161">
        <f t="shared" si="46"/>
        <v>0</v>
      </c>
      <c r="T56" s="161">
        <f t="shared" si="46"/>
        <v>0</v>
      </c>
      <c r="U56" s="161">
        <f t="shared" si="46"/>
        <v>0</v>
      </c>
      <c r="V56" s="161">
        <f t="shared" si="46"/>
        <v>0</v>
      </c>
      <c r="W56" s="161">
        <f t="shared" si="46"/>
        <v>0</v>
      </c>
      <c r="X56" s="161">
        <f t="shared" si="46"/>
        <v>0</v>
      </c>
      <c r="Y56" s="161">
        <f t="shared" si="46"/>
        <v>0</v>
      </c>
      <c r="Z56" s="161">
        <f t="shared" si="46"/>
        <v>0</v>
      </c>
      <c r="AA56" s="161">
        <f t="shared" si="46"/>
        <v>0</v>
      </c>
      <c r="AB56" s="161">
        <f t="shared" si="46"/>
        <v>0</v>
      </c>
      <c r="AC56" s="161">
        <f t="shared" si="46"/>
        <v>0</v>
      </c>
      <c r="AD56" s="161">
        <f t="shared" si="46"/>
        <v>0</v>
      </c>
      <c r="AE56" s="161">
        <f t="shared" si="46"/>
        <v>0</v>
      </c>
      <c r="AF56" s="161">
        <f t="shared" si="46"/>
        <v>0</v>
      </c>
      <c r="AG56" s="161">
        <f t="shared" si="46"/>
        <v>0</v>
      </c>
      <c r="AH56" s="154" t="s">
        <v>12</v>
      </c>
      <c r="AI56" s="133"/>
      <c r="AJ56" s="155"/>
      <c r="AK56" s="137"/>
      <c r="AL56" s="137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59"/>
      <c r="BF56" s="10"/>
      <c r="BG56" s="10"/>
      <c r="BH56" s="10"/>
      <c r="BI56" s="10"/>
      <c r="BJ56" s="10"/>
      <c r="BK56" s="10"/>
      <c r="BL56" s="10"/>
      <c r="BM56" s="10"/>
      <c r="BN56" s="10"/>
      <c r="BO56" s="52" t="str">
        <f t="shared" ref="BO56:BX56" si="47">IF(BO54=$AZ47,IF(BO54="",0,$AZ47),"")</f>
        <v/>
      </c>
      <c r="BP56" s="52" t="str">
        <f t="shared" si="47"/>
        <v/>
      </c>
      <c r="BQ56" s="52">
        <f t="shared" si="47"/>
        <v>45930</v>
      </c>
      <c r="BR56" s="52" t="str">
        <f t="shared" si="47"/>
        <v/>
      </c>
      <c r="BS56" s="52" t="str">
        <f t="shared" si="47"/>
        <v/>
      </c>
      <c r="BT56" s="52" t="str">
        <f t="shared" si="47"/>
        <v/>
      </c>
      <c r="BU56" s="52" t="str">
        <f t="shared" si="47"/>
        <v/>
      </c>
      <c r="BV56" s="52" t="str">
        <f t="shared" si="47"/>
        <v/>
      </c>
      <c r="BW56" s="52" t="str">
        <f t="shared" si="47"/>
        <v/>
      </c>
      <c r="BX56" s="52" t="str">
        <f t="shared" si="47"/>
        <v/>
      </c>
      <c r="BY56" s="52">
        <f t="shared" si="44"/>
        <v>45930</v>
      </c>
      <c r="BZ56" s="98">
        <f t="shared" si="45"/>
        <v>30</v>
      </c>
      <c r="CA56" s="99">
        <v>30</v>
      </c>
      <c r="CB56" s="10"/>
    </row>
    <row r="57" spans="1:80" ht="15.95" hidden="1" customHeight="1" x14ac:dyDescent="0.25">
      <c r="A57" s="129"/>
      <c r="B57" s="162" t="s">
        <v>16</v>
      </c>
      <c r="C57" s="163">
        <f t="shared" ref="C57:AG57" si="48">IF(C9="PR",IF(C9="",0,1),0)</f>
        <v>0</v>
      </c>
      <c r="D57" s="163">
        <f t="shared" si="48"/>
        <v>0</v>
      </c>
      <c r="E57" s="163">
        <f t="shared" si="48"/>
        <v>0</v>
      </c>
      <c r="F57" s="163">
        <f t="shared" si="48"/>
        <v>0</v>
      </c>
      <c r="G57" s="163">
        <f t="shared" si="48"/>
        <v>0</v>
      </c>
      <c r="H57" s="163">
        <f t="shared" si="48"/>
        <v>0</v>
      </c>
      <c r="I57" s="163">
        <f t="shared" si="48"/>
        <v>0</v>
      </c>
      <c r="J57" s="163">
        <f t="shared" si="48"/>
        <v>0</v>
      </c>
      <c r="K57" s="163">
        <f t="shared" si="48"/>
        <v>0</v>
      </c>
      <c r="L57" s="163">
        <f t="shared" si="48"/>
        <v>0</v>
      </c>
      <c r="M57" s="163">
        <f t="shared" si="48"/>
        <v>0</v>
      </c>
      <c r="N57" s="163">
        <f t="shared" si="48"/>
        <v>0</v>
      </c>
      <c r="O57" s="163">
        <f t="shared" si="48"/>
        <v>0</v>
      </c>
      <c r="P57" s="163">
        <f t="shared" si="48"/>
        <v>0</v>
      </c>
      <c r="Q57" s="163">
        <f t="shared" si="48"/>
        <v>0</v>
      </c>
      <c r="R57" s="163">
        <f t="shared" si="48"/>
        <v>0</v>
      </c>
      <c r="S57" s="163">
        <f t="shared" si="48"/>
        <v>0</v>
      </c>
      <c r="T57" s="163">
        <f t="shared" si="48"/>
        <v>0</v>
      </c>
      <c r="U57" s="163">
        <f t="shared" si="48"/>
        <v>0</v>
      </c>
      <c r="V57" s="163">
        <f t="shared" si="48"/>
        <v>0</v>
      </c>
      <c r="W57" s="163">
        <f t="shared" si="48"/>
        <v>0</v>
      </c>
      <c r="X57" s="163">
        <f t="shared" si="48"/>
        <v>0</v>
      </c>
      <c r="Y57" s="163">
        <f t="shared" si="48"/>
        <v>0</v>
      </c>
      <c r="Z57" s="163">
        <f t="shared" si="48"/>
        <v>0</v>
      </c>
      <c r="AA57" s="163">
        <f t="shared" si="48"/>
        <v>0</v>
      </c>
      <c r="AB57" s="163">
        <f t="shared" si="48"/>
        <v>0</v>
      </c>
      <c r="AC57" s="163">
        <f t="shared" si="48"/>
        <v>0</v>
      </c>
      <c r="AD57" s="163">
        <f t="shared" si="48"/>
        <v>0</v>
      </c>
      <c r="AE57" s="163">
        <f t="shared" si="48"/>
        <v>0</v>
      </c>
      <c r="AF57" s="163">
        <f t="shared" si="48"/>
        <v>0</v>
      </c>
      <c r="AG57" s="163">
        <f t="shared" si="48"/>
        <v>0</v>
      </c>
      <c r="AH57" s="233">
        <f>SUM(C57:AG57)</f>
        <v>0</v>
      </c>
      <c r="AI57" s="233"/>
      <c r="AJ57" s="137" t="s">
        <v>69</v>
      </c>
      <c r="AK57" s="133"/>
      <c r="AL57" s="133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59"/>
      <c r="BF57" s="31"/>
      <c r="BG57" s="31"/>
      <c r="BH57" s="31"/>
      <c r="BI57" s="31"/>
      <c r="BJ57" s="31"/>
      <c r="BK57" s="31"/>
      <c r="BL57" s="31"/>
      <c r="BM57" s="31"/>
      <c r="BN57" s="31"/>
      <c r="BO57" s="52" t="str">
        <f t="shared" ref="BO57:BX57" si="49">IF(BO54=$AX48,IF(BO54="",0,$AX48),"")</f>
        <v/>
      </c>
      <c r="BP57" s="52">
        <f t="shared" si="49"/>
        <v>45929</v>
      </c>
      <c r="BQ57" s="52" t="str">
        <f t="shared" si="49"/>
        <v/>
      </c>
      <c r="BR57" s="52" t="str">
        <f t="shared" si="49"/>
        <v/>
      </c>
      <c r="BS57" s="52" t="str">
        <f t="shared" si="49"/>
        <v/>
      </c>
      <c r="BT57" s="52" t="str">
        <f t="shared" si="49"/>
        <v/>
      </c>
      <c r="BU57" s="52" t="str">
        <f t="shared" si="49"/>
        <v/>
      </c>
      <c r="BV57" s="52" t="str">
        <f t="shared" si="49"/>
        <v/>
      </c>
      <c r="BW57" s="52" t="str">
        <f t="shared" si="49"/>
        <v/>
      </c>
      <c r="BX57" s="52" t="str">
        <f t="shared" si="49"/>
        <v/>
      </c>
      <c r="BY57" s="52">
        <f t="shared" si="44"/>
        <v>45929</v>
      </c>
      <c r="BZ57" s="98">
        <f t="shared" si="45"/>
        <v>29</v>
      </c>
      <c r="CA57" s="99">
        <v>29</v>
      </c>
      <c r="CB57" s="31"/>
    </row>
    <row r="58" spans="1:80" s="59" customFormat="1" ht="15.95" hidden="1" customHeight="1" x14ac:dyDescent="0.25">
      <c r="A58" s="164" t="s">
        <v>70</v>
      </c>
      <c r="B58" s="165" t="s">
        <v>29</v>
      </c>
      <c r="C58" s="141" t="str">
        <f t="shared" ref="C58:AG58" si="50">IF(C10=$R32,$S32*24,IF(C10=$R33,$S33*24,IF(C10=$R34,$S34*24,IF(C10=$R35,$S35*24,IF(C10=$R36,$S36*24,IF(C10=$R37,$S37*24,IF(C10=$R38,$S38*24,IF(C10=$R39,$S39*24,IF(C10=$R40,$S40*24,"")))))))))</f>
        <v/>
      </c>
      <c r="D58" s="141" t="str">
        <f t="shared" si="50"/>
        <v/>
      </c>
      <c r="E58" s="141" t="str">
        <f t="shared" si="50"/>
        <v/>
      </c>
      <c r="F58" s="141" t="str">
        <f t="shared" si="50"/>
        <v/>
      </c>
      <c r="G58" s="141" t="str">
        <f t="shared" si="50"/>
        <v/>
      </c>
      <c r="H58" s="141" t="str">
        <f t="shared" si="50"/>
        <v/>
      </c>
      <c r="I58" s="141" t="str">
        <f t="shared" si="50"/>
        <v/>
      </c>
      <c r="J58" s="141" t="str">
        <f t="shared" si="50"/>
        <v/>
      </c>
      <c r="K58" s="141" t="str">
        <f t="shared" si="50"/>
        <v/>
      </c>
      <c r="L58" s="141" t="str">
        <f t="shared" si="50"/>
        <v/>
      </c>
      <c r="M58" s="141" t="str">
        <f t="shared" si="50"/>
        <v/>
      </c>
      <c r="N58" s="141" t="str">
        <f t="shared" si="50"/>
        <v/>
      </c>
      <c r="O58" s="141" t="str">
        <f t="shared" si="50"/>
        <v/>
      </c>
      <c r="P58" s="141" t="str">
        <f t="shared" si="50"/>
        <v/>
      </c>
      <c r="Q58" s="141" t="str">
        <f t="shared" si="50"/>
        <v/>
      </c>
      <c r="R58" s="141" t="str">
        <f t="shared" si="50"/>
        <v/>
      </c>
      <c r="S58" s="141" t="str">
        <f t="shared" si="50"/>
        <v/>
      </c>
      <c r="T58" s="141" t="str">
        <f t="shared" si="50"/>
        <v/>
      </c>
      <c r="U58" s="141" t="str">
        <f t="shared" si="50"/>
        <v/>
      </c>
      <c r="V58" s="141" t="str">
        <f t="shared" si="50"/>
        <v/>
      </c>
      <c r="W58" s="141" t="str">
        <f t="shared" si="50"/>
        <v/>
      </c>
      <c r="X58" s="141" t="str">
        <f t="shared" si="50"/>
        <v/>
      </c>
      <c r="Y58" s="141" t="str">
        <f t="shared" si="50"/>
        <v/>
      </c>
      <c r="Z58" s="141" t="str">
        <f t="shared" si="50"/>
        <v/>
      </c>
      <c r="AA58" s="141" t="str">
        <f t="shared" si="50"/>
        <v/>
      </c>
      <c r="AB58" s="141" t="str">
        <f t="shared" si="50"/>
        <v/>
      </c>
      <c r="AC58" s="141" t="str">
        <f t="shared" si="50"/>
        <v/>
      </c>
      <c r="AD58" s="141" t="str">
        <f t="shared" si="50"/>
        <v/>
      </c>
      <c r="AE58" s="141" t="str">
        <f t="shared" si="50"/>
        <v/>
      </c>
      <c r="AF58" s="141" t="str">
        <f t="shared" si="50"/>
        <v/>
      </c>
      <c r="AG58" s="141" t="str">
        <f t="shared" si="50"/>
        <v/>
      </c>
      <c r="AH58" s="154" t="s">
        <v>12</v>
      </c>
      <c r="AI58" s="133"/>
      <c r="AJ58" s="137"/>
      <c r="AK58" s="137"/>
      <c r="AL58" s="137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1"/>
      <c r="BF58" s="56"/>
      <c r="BG58" s="56"/>
      <c r="BH58" s="56"/>
      <c r="BI58" s="56"/>
      <c r="BJ58" s="56"/>
      <c r="BK58" s="56"/>
      <c r="BL58" s="56"/>
      <c r="BM58" s="56"/>
      <c r="BN58" s="56"/>
      <c r="BO58" s="52">
        <f t="shared" ref="BO58:BX58" si="51">IF(BO54=$AX47,IF(BO54="",0,$AX47),"")</f>
        <v>45928</v>
      </c>
      <c r="BP58" s="52" t="str">
        <f t="shared" si="51"/>
        <v/>
      </c>
      <c r="BQ58" s="52" t="str">
        <f t="shared" si="51"/>
        <v/>
      </c>
      <c r="BR58" s="52" t="str">
        <f t="shared" si="51"/>
        <v/>
      </c>
      <c r="BS58" s="52" t="str">
        <f t="shared" si="51"/>
        <v/>
      </c>
      <c r="BT58" s="52" t="str">
        <f t="shared" si="51"/>
        <v/>
      </c>
      <c r="BU58" s="52" t="str">
        <f t="shared" si="51"/>
        <v/>
      </c>
      <c r="BV58" s="52" t="str">
        <f t="shared" si="51"/>
        <v/>
      </c>
      <c r="BW58" s="52" t="str">
        <f t="shared" si="51"/>
        <v/>
      </c>
      <c r="BX58" s="52" t="str">
        <f t="shared" si="51"/>
        <v/>
      </c>
      <c r="BY58" s="52">
        <f t="shared" si="44"/>
        <v>45928</v>
      </c>
      <c r="BZ58" s="52">
        <f t="shared" si="45"/>
        <v>28</v>
      </c>
      <c r="CA58" s="99">
        <v>28</v>
      </c>
      <c r="CB58" s="56"/>
    </row>
    <row r="59" spans="1:80" s="59" customFormat="1" ht="15.95" hidden="1" customHeight="1" x14ac:dyDescent="0.25">
      <c r="A59" s="166" t="s">
        <v>71</v>
      </c>
      <c r="B59" s="167" t="s">
        <v>30</v>
      </c>
      <c r="C59" s="141" t="str">
        <f t="shared" ref="C59:AG59" si="52">IF(C10=$R32,$V32*24,IF(C10=$R33,$V33*24,IF(C10=$R34,$V34*24,IF(C10=$R35,$V35*24,IF(C10=$R36,$V36*24,IF(C10=$R37,$V37*24,IF(C10=$R38,$V38*24,IF(C10=$R39,$V39*24,IF(C10=$R40,$V40*24,"")))))))))</f>
        <v/>
      </c>
      <c r="D59" s="141" t="str">
        <f t="shared" si="52"/>
        <v/>
      </c>
      <c r="E59" s="141" t="str">
        <f t="shared" si="52"/>
        <v/>
      </c>
      <c r="F59" s="141" t="str">
        <f t="shared" si="52"/>
        <v/>
      </c>
      <c r="G59" s="141" t="str">
        <f t="shared" si="52"/>
        <v/>
      </c>
      <c r="H59" s="141" t="str">
        <f t="shared" si="52"/>
        <v/>
      </c>
      <c r="I59" s="141" t="str">
        <f t="shared" si="52"/>
        <v/>
      </c>
      <c r="J59" s="141" t="str">
        <f t="shared" si="52"/>
        <v/>
      </c>
      <c r="K59" s="141" t="str">
        <f t="shared" si="52"/>
        <v/>
      </c>
      <c r="L59" s="141" t="str">
        <f t="shared" si="52"/>
        <v/>
      </c>
      <c r="M59" s="141" t="str">
        <f t="shared" si="52"/>
        <v/>
      </c>
      <c r="N59" s="141" t="str">
        <f t="shared" si="52"/>
        <v/>
      </c>
      <c r="O59" s="141" t="str">
        <f t="shared" si="52"/>
        <v/>
      </c>
      <c r="P59" s="141" t="str">
        <f t="shared" si="52"/>
        <v/>
      </c>
      <c r="Q59" s="141" t="str">
        <f t="shared" si="52"/>
        <v/>
      </c>
      <c r="R59" s="141" t="str">
        <f t="shared" si="52"/>
        <v/>
      </c>
      <c r="S59" s="141" t="str">
        <f t="shared" si="52"/>
        <v/>
      </c>
      <c r="T59" s="141" t="str">
        <f t="shared" si="52"/>
        <v/>
      </c>
      <c r="U59" s="141" t="str">
        <f t="shared" si="52"/>
        <v/>
      </c>
      <c r="V59" s="141" t="str">
        <f t="shared" si="52"/>
        <v/>
      </c>
      <c r="W59" s="141" t="str">
        <f t="shared" si="52"/>
        <v/>
      </c>
      <c r="X59" s="141" t="str">
        <f t="shared" si="52"/>
        <v/>
      </c>
      <c r="Y59" s="141" t="str">
        <f t="shared" si="52"/>
        <v/>
      </c>
      <c r="Z59" s="141" t="str">
        <f t="shared" si="52"/>
        <v/>
      </c>
      <c r="AA59" s="141" t="str">
        <f t="shared" si="52"/>
        <v/>
      </c>
      <c r="AB59" s="141" t="str">
        <f t="shared" si="52"/>
        <v/>
      </c>
      <c r="AC59" s="141" t="str">
        <f t="shared" si="52"/>
        <v/>
      </c>
      <c r="AD59" s="141" t="str">
        <f t="shared" si="52"/>
        <v/>
      </c>
      <c r="AE59" s="141" t="str">
        <f t="shared" si="52"/>
        <v/>
      </c>
      <c r="AF59" s="141" t="str">
        <f t="shared" si="52"/>
        <v/>
      </c>
      <c r="AG59" s="141" t="str">
        <f t="shared" si="52"/>
        <v/>
      </c>
      <c r="AH59" s="154" t="s">
        <v>12</v>
      </c>
      <c r="AI59" s="133"/>
      <c r="AJ59" s="137"/>
      <c r="AK59" s="137"/>
      <c r="AL59" s="137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1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100" t="s">
        <v>56</v>
      </c>
      <c r="BZ59" s="52">
        <f>SUM(BZ55:BZ58)</f>
        <v>87</v>
      </c>
      <c r="CA59" s="53">
        <f>IF(BZ59=118,31,IF(BZ59=90,31,IF(BZ59=61,31,IF(BZ59=31,31,IF(BZ59=87,30,IF(BZ59=59,30,IF(BZ59=30,30,IF(BZ59=57,29,IF(BZ59=29,29,IF(BZ59=28,28,""))))))))))</f>
        <v>30</v>
      </c>
      <c r="CB59" s="10"/>
    </row>
    <row r="60" spans="1:80" s="59" customFormat="1" ht="15.95" hidden="1" customHeight="1" x14ac:dyDescent="0.25">
      <c r="A60" s="153"/>
      <c r="B60" s="168" t="s">
        <v>34</v>
      </c>
      <c r="C60" s="169" t="str">
        <f t="shared" ref="C60:AD60" si="53">IF(C10=$R32,$BD32*24,IF(C10=$R33,$BD33*24,IF(C10=$R34,$BD34*24,IF(C10=$R35,$BD35*24,IF(C10=$R36,$BD36*24,IF(C10=$R37,$BD37*24,IF(C10=$R38,$BD38*24,IF(C10=$R39,$BD39*24,IF(C10=$R40,$BD40*24,"")))))))))</f>
        <v/>
      </c>
      <c r="D60" s="169" t="str">
        <f t="shared" si="53"/>
        <v/>
      </c>
      <c r="E60" s="169" t="str">
        <f t="shared" si="53"/>
        <v/>
      </c>
      <c r="F60" s="169" t="str">
        <f t="shared" si="53"/>
        <v/>
      </c>
      <c r="G60" s="169" t="str">
        <f t="shared" si="53"/>
        <v/>
      </c>
      <c r="H60" s="169" t="str">
        <f t="shared" si="53"/>
        <v/>
      </c>
      <c r="I60" s="169" t="str">
        <f t="shared" si="53"/>
        <v/>
      </c>
      <c r="J60" s="169" t="str">
        <f t="shared" si="53"/>
        <v/>
      </c>
      <c r="K60" s="169" t="str">
        <f t="shared" si="53"/>
        <v/>
      </c>
      <c r="L60" s="169" t="str">
        <f t="shared" si="53"/>
        <v/>
      </c>
      <c r="M60" s="169" t="str">
        <f t="shared" si="53"/>
        <v/>
      </c>
      <c r="N60" s="169" t="str">
        <f t="shared" si="53"/>
        <v/>
      </c>
      <c r="O60" s="169" t="str">
        <f t="shared" si="53"/>
        <v/>
      </c>
      <c r="P60" s="169" t="str">
        <f t="shared" si="53"/>
        <v/>
      </c>
      <c r="Q60" s="169" t="str">
        <f t="shared" si="53"/>
        <v/>
      </c>
      <c r="R60" s="169" t="str">
        <f t="shared" si="53"/>
        <v/>
      </c>
      <c r="S60" s="169" t="str">
        <f t="shared" si="53"/>
        <v/>
      </c>
      <c r="T60" s="169" t="str">
        <f t="shared" si="53"/>
        <v/>
      </c>
      <c r="U60" s="169" t="str">
        <f t="shared" si="53"/>
        <v/>
      </c>
      <c r="V60" s="169" t="str">
        <f t="shared" si="53"/>
        <v/>
      </c>
      <c r="W60" s="169" t="str">
        <f t="shared" si="53"/>
        <v/>
      </c>
      <c r="X60" s="169" t="str">
        <f t="shared" si="53"/>
        <v/>
      </c>
      <c r="Y60" s="169" t="str">
        <f t="shared" si="53"/>
        <v/>
      </c>
      <c r="Z60" s="169" t="str">
        <f t="shared" si="53"/>
        <v/>
      </c>
      <c r="AA60" s="169" t="str">
        <f t="shared" si="53"/>
        <v/>
      </c>
      <c r="AB60" s="169" t="str">
        <f t="shared" si="53"/>
        <v/>
      </c>
      <c r="AC60" s="169" t="str">
        <f t="shared" si="53"/>
        <v/>
      </c>
      <c r="AD60" s="169" t="str">
        <f t="shared" si="53"/>
        <v/>
      </c>
      <c r="AE60" s="169" t="str">
        <f>IF(AE10=$R32,$BD32*24,IF(AE10=$R33,$BD33*24,IF(AE10=$R34,$BD34*24,IF(AE10=$R35,$BD35*24,IF(AE10=$R36,$BD36*24,IF(AE10=$R37,$BD37*24,IF(AE10=$R38,$BD38*24,IF(AE10=$R39,$BD39*24,IF(AE10=$R40,$BD40*24,"")))))))))</f>
        <v/>
      </c>
      <c r="AF60" s="169" t="str">
        <f>IF(AF10=$R32,$BD32*24,IF(AF10=$R33,$BD33*24,IF(AF10=$R34,$BD34*24,IF(AF10=$R35,$BD35*24,IF(AF10=$R36,$BD36*24,IF(AF10=$R37,$BD37*24,IF(AF10=$R38,$BD38*24,IF(AF10=$R39,$BD39*24,IF(AF10=$R40,$BD40*24,"")))))))))</f>
        <v/>
      </c>
      <c r="AG60" s="169" t="str">
        <f>IF(AG10=$R32,$BD32*24,IF(AG10=$R33,$BD33*24,IF(AG10=$R34,$BD34*24,IF(AG10=$R35,$BD35*24,IF(AG10=$R36,$BD36*24,IF(AG10=$R37,$BD37*24,IF(AG10=$R38,$BD38*24,IF(AG10=$R39,$BD39*24,IF(AG10=$R40,$BD40*24,"")))))))))</f>
        <v/>
      </c>
      <c r="AH60" s="148">
        <f>SUM(C60:AG60)</f>
        <v>0</v>
      </c>
      <c r="AI60" s="133"/>
      <c r="AJ60" s="137"/>
      <c r="AK60" s="137"/>
      <c r="AL60" s="137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1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101">
        <f>CA59</f>
        <v>30</v>
      </c>
      <c r="CB60" s="56"/>
    </row>
    <row r="61" spans="1:80" s="59" customFormat="1" ht="15.95" hidden="1" customHeight="1" x14ac:dyDescent="0.25">
      <c r="A61" s="153"/>
      <c r="B61" s="167" t="s">
        <v>59</v>
      </c>
      <c r="C61" s="141">
        <f t="shared" ref="C61:AG61" si="54">IF(C10="V",$C36,IF(C10="PR",$C38,0))</f>
        <v>0</v>
      </c>
      <c r="D61" s="141">
        <f t="shared" si="54"/>
        <v>0</v>
      </c>
      <c r="E61" s="141">
        <f t="shared" si="54"/>
        <v>0</v>
      </c>
      <c r="F61" s="141">
        <f t="shared" si="54"/>
        <v>0</v>
      </c>
      <c r="G61" s="141">
        <f t="shared" si="54"/>
        <v>0</v>
      </c>
      <c r="H61" s="141">
        <f t="shared" si="54"/>
        <v>0</v>
      </c>
      <c r="I61" s="141">
        <f t="shared" si="54"/>
        <v>0</v>
      </c>
      <c r="J61" s="141">
        <f t="shared" si="54"/>
        <v>0</v>
      </c>
      <c r="K61" s="141">
        <f t="shared" si="54"/>
        <v>0</v>
      </c>
      <c r="L61" s="141">
        <f t="shared" si="54"/>
        <v>0</v>
      </c>
      <c r="M61" s="141">
        <f t="shared" si="54"/>
        <v>0</v>
      </c>
      <c r="N61" s="141">
        <f t="shared" si="54"/>
        <v>0</v>
      </c>
      <c r="O61" s="141">
        <f t="shared" si="54"/>
        <v>0</v>
      </c>
      <c r="P61" s="141">
        <f t="shared" si="54"/>
        <v>0</v>
      </c>
      <c r="Q61" s="141">
        <f t="shared" si="54"/>
        <v>0</v>
      </c>
      <c r="R61" s="141">
        <f t="shared" si="54"/>
        <v>0</v>
      </c>
      <c r="S61" s="141">
        <f t="shared" si="54"/>
        <v>0</v>
      </c>
      <c r="T61" s="141">
        <f t="shared" si="54"/>
        <v>0</v>
      </c>
      <c r="U61" s="141">
        <f t="shared" si="54"/>
        <v>0</v>
      </c>
      <c r="V61" s="141">
        <f t="shared" si="54"/>
        <v>0</v>
      </c>
      <c r="W61" s="141">
        <f t="shared" si="54"/>
        <v>0</v>
      </c>
      <c r="X61" s="141">
        <f t="shared" si="54"/>
        <v>0</v>
      </c>
      <c r="Y61" s="141">
        <f t="shared" si="54"/>
        <v>0</v>
      </c>
      <c r="Z61" s="141">
        <f t="shared" si="54"/>
        <v>0</v>
      </c>
      <c r="AA61" s="141">
        <f t="shared" si="54"/>
        <v>0</v>
      </c>
      <c r="AB61" s="141">
        <f t="shared" si="54"/>
        <v>0</v>
      </c>
      <c r="AC61" s="141">
        <f t="shared" si="54"/>
        <v>0</v>
      </c>
      <c r="AD61" s="141">
        <f t="shared" si="54"/>
        <v>0</v>
      </c>
      <c r="AE61" s="141">
        <f t="shared" si="54"/>
        <v>0</v>
      </c>
      <c r="AF61" s="141">
        <f t="shared" si="54"/>
        <v>0</v>
      </c>
      <c r="AG61" s="141">
        <f t="shared" si="54"/>
        <v>0</v>
      </c>
      <c r="AH61" s="226">
        <f>SUM(C61:AG61)</f>
        <v>0</v>
      </c>
      <c r="AI61" s="226"/>
      <c r="AJ61" s="137" t="s">
        <v>12</v>
      </c>
      <c r="AK61" s="137"/>
      <c r="AL61" s="137"/>
      <c r="BE61" s="1"/>
      <c r="BU61" s="60" t="str">
        <f>BS50</f>
        <v>ju</v>
      </c>
      <c r="BV61" s="60" t="str">
        <f>BT50</f>
        <v>vi</v>
      </c>
      <c r="BW61" s="60" t="str">
        <f>BU50</f>
        <v>sa</v>
      </c>
      <c r="BX61" s="60" t="str">
        <f>BV50</f>
        <v>do</v>
      </c>
      <c r="BY61" s="60" t="str">
        <f>BW50</f>
        <v>lu</v>
      </c>
    </row>
    <row r="62" spans="1:80" s="59" customFormat="1" ht="15.95" hidden="1" customHeight="1" x14ac:dyDescent="0.25">
      <c r="A62" s="150" t="s">
        <v>60</v>
      </c>
      <c r="B62" s="167" t="s">
        <v>61</v>
      </c>
      <c r="C62" s="151">
        <f t="shared" ref="C62:AD62" si="55">IF(C10=$R32,$BC32,IF(C10=$R33,$BC33,IF(C10=$R34,$BC34,IF(C10=$R35,$BC35,IF(C10=$R36,$BC36,IF(C10=$R37,$BC37,IF(C10=$R38,$BC38,IF(C10=$R39,$BC39,IF(C10=$R40,$BC40,0)))))))))</f>
        <v>0</v>
      </c>
      <c r="D62" s="151">
        <f t="shared" si="55"/>
        <v>0</v>
      </c>
      <c r="E62" s="151">
        <f t="shared" si="55"/>
        <v>0</v>
      </c>
      <c r="F62" s="151">
        <f t="shared" si="55"/>
        <v>0</v>
      </c>
      <c r="G62" s="151">
        <f t="shared" si="55"/>
        <v>0</v>
      </c>
      <c r="H62" s="151">
        <f t="shared" si="55"/>
        <v>0</v>
      </c>
      <c r="I62" s="151">
        <f t="shared" si="55"/>
        <v>0</v>
      </c>
      <c r="J62" s="151">
        <f t="shared" si="55"/>
        <v>0</v>
      </c>
      <c r="K62" s="151">
        <f t="shared" si="55"/>
        <v>0</v>
      </c>
      <c r="L62" s="151">
        <f t="shared" si="55"/>
        <v>0</v>
      </c>
      <c r="M62" s="151">
        <f t="shared" si="55"/>
        <v>0</v>
      </c>
      <c r="N62" s="151">
        <f t="shared" si="55"/>
        <v>0</v>
      </c>
      <c r="O62" s="151">
        <f t="shared" si="55"/>
        <v>0</v>
      </c>
      <c r="P62" s="151">
        <f t="shared" si="55"/>
        <v>0</v>
      </c>
      <c r="Q62" s="151">
        <f t="shared" si="55"/>
        <v>0</v>
      </c>
      <c r="R62" s="151">
        <f t="shared" si="55"/>
        <v>0</v>
      </c>
      <c r="S62" s="151">
        <f t="shared" si="55"/>
        <v>0</v>
      </c>
      <c r="T62" s="151">
        <f t="shared" si="55"/>
        <v>0</v>
      </c>
      <c r="U62" s="151">
        <f t="shared" si="55"/>
        <v>0</v>
      </c>
      <c r="V62" s="151">
        <f t="shared" si="55"/>
        <v>0</v>
      </c>
      <c r="W62" s="151">
        <f t="shared" si="55"/>
        <v>0</v>
      </c>
      <c r="X62" s="151">
        <f t="shared" si="55"/>
        <v>0</v>
      </c>
      <c r="Y62" s="151">
        <f t="shared" si="55"/>
        <v>0</v>
      </c>
      <c r="Z62" s="151">
        <f t="shared" si="55"/>
        <v>0</v>
      </c>
      <c r="AA62" s="151">
        <f t="shared" si="55"/>
        <v>0</v>
      </c>
      <c r="AB62" s="151">
        <f t="shared" si="55"/>
        <v>0</v>
      </c>
      <c r="AC62" s="151">
        <f t="shared" si="55"/>
        <v>0</v>
      </c>
      <c r="AD62" s="151">
        <f t="shared" si="55"/>
        <v>0</v>
      </c>
      <c r="AE62" s="151">
        <f>IF(AE10=$R32,$BC32,IF(AE10=$R33,$BC33,IF(AE10=$R34,$BC34,IF(AE10=$R35,$BC35,IF(AE10=$R36,$BC36,IF(AE10=$R37,$BC37,IF(AE10=$R38,$BC38,IF(AE10=$R39,$BC39,IF(AE10=$R40,$BC40,0)))))))))</f>
        <v>0</v>
      </c>
      <c r="AF62" s="151">
        <f>IF(AF10=$R32,$BC32,IF(AF10=$R33,$BC33,IF(AF10=$R34,$BC34,IF(AF10=$R35,$BC35,IF(AF10=$R36,$BC36,IF(AF10=$R37,$BC37,IF(AF10=$R38,$BC38,IF(AF10=$R39,$BC39,IF(AF10=$R40,$BC40,0)))))))))</f>
        <v>0</v>
      </c>
      <c r="AG62" s="151">
        <f>IF(AG10=$R32,$BC32,IF(AG10=$R33,$BC33,IF(AG10=$R34,$BC34,IF(AG10=$R35,$BC35,IF(AG10=$R36,$BC36,IF(AG10=$R37,$BC37,IF(AG10=$R38,$BC38,IF(AG10=$R39,$BC39,IF(AG10=$R40,$BC40,0)))))))))</f>
        <v>0</v>
      </c>
      <c r="AH62" s="226">
        <f>SUM(C62:AG62)</f>
        <v>0</v>
      </c>
      <c r="AI62" s="226"/>
      <c r="AJ62" s="137" t="s">
        <v>62</v>
      </c>
      <c r="AK62" s="137" t="s">
        <v>12</v>
      </c>
      <c r="AL62" s="137"/>
      <c r="BE62" s="1"/>
      <c r="BU62" s="61">
        <v>28</v>
      </c>
      <c r="BV62" s="61">
        <v>29</v>
      </c>
      <c r="BW62" s="61">
        <v>30</v>
      </c>
      <c r="BX62" s="61">
        <v>31</v>
      </c>
      <c r="BY62" s="61">
        <v>1</v>
      </c>
    </row>
    <row r="63" spans="1:80" s="59" customFormat="1" ht="15.95" hidden="1" customHeight="1" x14ac:dyDescent="0.25">
      <c r="A63" s="153" t="s">
        <v>48</v>
      </c>
      <c r="B63" s="149" t="s">
        <v>63</v>
      </c>
      <c r="C63" s="141" t="b">
        <f t="shared" ref="C63:AG63" si="56">IF(C46=1,IF(C58&lt;C59,C62,0))</f>
        <v>0</v>
      </c>
      <c r="D63" s="141" t="b">
        <f t="shared" si="56"/>
        <v>0</v>
      </c>
      <c r="E63" s="141" t="b">
        <f t="shared" si="56"/>
        <v>0</v>
      </c>
      <c r="F63" s="141" t="b">
        <f t="shared" si="56"/>
        <v>0</v>
      </c>
      <c r="G63" s="141" t="b">
        <f t="shared" si="56"/>
        <v>0</v>
      </c>
      <c r="H63" s="141">
        <f t="shared" si="56"/>
        <v>0</v>
      </c>
      <c r="I63" s="141">
        <f t="shared" si="56"/>
        <v>0</v>
      </c>
      <c r="J63" s="141" t="b">
        <f t="shared" si="56"/>
        <v>0</v>
      </c>
      <c r="K63" s="141" t="b">
        <f t="shared" si="56"/>
        <v>0</v>
      </c>
      <c r="L63" s="141" t="b">
        <f t="shared" si="56"/>
        <v>0</v>
      </c>
      <c r="M63" s="141" t="b">
        <f t="shared" si="56"/>
        <v>0</v>
      </c>
      <c r="N63" s="141" t="b">
        <f t="shared" si="56"/>
        <v>0</v>
      </c>
      <c r="O63" s="141">
        <f t="shared" si="56"/>
        <v>0</v>
      </c>
      <c r="P63" s="141">
        <f t="shared" si="56"/>
        <v>0</v>
      </c>
      <c r="Q63" s="141" t="b">
        <f t="shared" si="56"/>
        <v>0</v>
      </c>
      <c r="R63" s="141" t="b">
        <f t="shared" si="56"/>
        <v>0</v>
      </c>
      <c r="S63" s="141" t="b">
        <f t="shared" si="56"/>
        <v>0</v>
      </c>
      <c r="T63" s="141" t="b">
        <f t="shared" si="56"/>
        <v>0</v>
      </c>
      <c r="U63" s="141" t="b">
        <f t="shared" si="56"/>
        <v>0</v>
      </c>
      <c r="V63" s="141">
        <f t="shared" si="56"/>
        <v>0</v>
      </c>
      <c r="W63" s="141">
        <f t="shared" si="56"/>
        <v>0</v>
      </c>
      <c r="X63" s="141" t="b">
        <f t="shared" si="56"/>
        <v>0</v>
      </c>
      <c r="Y63" s="141" t="b">
        <f t="shared" si="56"/>
        <v>0</v>
      </c>
      <c r="Z63" s="141" t="b">
        <f t="shared" si="56"/>
        <v>0</v>
      </c>
      <c r="AA63" s="141" t="b">
        <f t="shared" si="56"/>
        <v>0</v>
      </c>
      <c r="AB63" s="141" t="b">
        <f t="shared" si="56"/>
        <v>0</v>
      </c>
      <c r="AC63" s="141">
        <f t="shared" si="56"/>
        <v>0</v>
      </c>
      <c r="AD63" s="141">
        <f t="shared" si="56"/>
        <v>0</v>
      </c>
      <c r="AE63" s="141" t="b">
        <f t="shared" si="56"/>
        <v>0</v>
      </c>
      <c r="AF63" s="141" t="b">
        <f t="shared" si="56"/>
        <v>0</v>
      </c>
      <c r="AG63" s="141" t="b">
        <f t="shared" si="56"/>
        <v>0</v>
      </c>
      <c r="AH63" s="142" t="s">
        <v>12</v>
      </c>
      <c r="AI63" s="133"/>
      <c r="AJ63" s="137"/>
      <c r="AK63" s="137"/>
      <c r="AL63" s="137"/>
      <c r="BE63" s="1"/>
      <c r="BV63" s="102" t="str">
        <f>IF(CA59=28,IF(CA59="",0,1),IF(CA59=1,IF(CA59="",0,1),""))</f>
        <v/>
      </c>
      <c r="BW63" s="102" t="str">
        <f>IF(CA59=29,IF(CA59="",0,1),IF(CA59=1,IF(CA59="",0,1),""))</f>
        <v/>
      </c>
      <c r="BX63" s="102">
        <f>IF(CA59=30,IF(CA59="",0,1),IF(CA59=1,IF(CA59="",0,1),""))</f>
        <v>1</v>
      </c>
      <c r="BY63" s="102" t="str">
        <f>IF(CA59=31,IF(CA59="",0,1),IF(CA59=1,IF(CA59="",0,1),""))</f>
        <v/>
      </c>
    </row>
    <row r="64" spans="1:80" ht="15.95" hidden="1" customHeight="1" x14ac:dyDescent="0.25">
      <c r="A64" s="153"/>
      <c r="B64" s="149" t="s">
        <v>64</v>
      </c>
      <c r="C64" s="141">
        <f t="shared" ref="C64:AG64" si="57">IF(C46=1,IF(C58&gt;C59,24-C58,0),0)</f>
        <v>0</v>
      </c>
      <c r="D64" s="141">
        <f t="shared" si="57"/>
        <v>0</v>
      </c>
      <c r="E64" s="141">
        <f t="shared" si="57"/>
        <v>0</v>
      </c>
      <c r="F64" s="141">
        <f t="shared" si="57"/>
        <v>0</v>
      </c>
      <c r="G64" s="141">
        <f t="shared" si="57"/>
        <v>0</v>
      </c>
      <c r="H64" s="141">
        <f t="shared" si="57"/>
        <v>0</v>
      </c>
      <c r="I64" s="141">
        <f t="shared" si="57"/>
        <v>0</v>
      </c>
      <c r="J64" s="141">
        <f t="shared" si="57"/>
        <v>0</v>
      </c>
      <c r="K64" s="141">
        <f t="shared" si="57"/>
        <v>0</v>
      </c>
      <c r="L64" s="141">
        <f t="shared" si="57"/>
        <v>0</v>
      </c>
      <c r="M64" s="141">
        <f t="shared" si="57"/>
        <v>0</v>
      </c>
      <c r="N64" s="141">
        <f t="shared" si="57"/>
        <v>0</v>
      </c>
      <c r="O64" s="141">
        <f t="shared" si="57"/>
        <v>0</v>
      </c>
      <c r="P64" s="141">
        <f t="shared" si="57"/>
        <v>0</v>
      </c>
      <c r="Q64" s="141">
        <f t="shared" si="57"/>
        <v>0</v>
      </c>
      <c r="R64" s="141">
        <f t="shared" si="57"/>
        <v>0</v>
      </c>
      <c r="S64" s="141">
        <f t="shared" si="57"/>
        <v>0</v>
      </c>
      <c r="T64" s="141">
        <f t="shared" si="57"/>
        <v>0</v>
      </c>
      <c r="U64" s="141">
        <f t="shared" si="57"/>
        <v>0</v>
      </c>
      <c r="V64" s="141">
        <f t="shared" si="57"/>
        <v>0</v>
      </c>
      <c r="W64" s="141">
        <f t="shared" si="57"/>
        <v>0</v>
      </c>
      <c r="X64" s="141">
        <f t="shared" si="57"/>
        <v>0</v>
      </c>
      <c r="Y64" s="141">
        <f t="shared" si="57"/>
        <v>0</v>
      </c>
      <c r="Z64" s="141">
        <f t="shared" si="57"/>
        <v>0</v>
      </c>
      <c r="AA64" s="141">
        <f t="shared" si="57"/>
        <v>0</v>
      </c>
      <c r="AB64" s="141">
        <f t="shared" si="57"/>
        <v>0</v>
      </c>
      <c r="AC64" s="141">
        <f t="shared" si="57"/>
        <v>0</v>
      </c>
      <c r="AD64" s="141">
        <f t="shared" si="57"/>
        <v>0</v>
      </c>
      <c r="AE64" s="141">
        <f t="shared" si="57"/>
        <v>0</v>
      </c>
      <c r="AF64" s="141">
        <f t="shared" si="57"/>
        <v>0</v>
      </c>
      <c r="AG64" s="141">
        <f t="shared" si="57"/>
        <v>0</v>
      </c>
      <c r="AH64" s="142" t="s">
        <v>12</v>
      </c>
      <c r="AI64" s="133"/>
      <c r="AJ64" s="170"/>
      <c r="AK64" s="133"/>
      <c r="AL64" s="133"/>
      <c r="BU64" s="45" t="s">
        <v>72</v>
      </c>
      <c r="BV64" s="102" t="b">
        <f>IF(BV61="sa",IF(BV61="",0,"1"),IF(BV61="do",IF(BV61="",0,"1")))</f>
        <v>0</v>
      </c>
      <c r="BW64" s="102" t="str">
        <f>IF(BW61="sa",IF(BW61="",0,"1"),IF(BW61="do",IF(BW61="",0,"1")))</f>
        <v>1</v>
      </c>
      <c r="BX64" s="102" t="str">
        <f>IF(BX61="sa",IF(BX61="",0,"1"),IF(BX61="do",IF(BX61="",0,"1")))</f>
        <v>1</v>
      </c>
      <c r="BY64" s="102" t="b">
        <f>IF(BY61="sa",IF(BY61="",0,"1"),IF(BY61="do",IF(BY61="",0,"1")))</f>
        <v>0</v>
      </c>
    </row>
    <row r="65" spans="1:77" ht="15.95" hidden="1" customHeight="1" x14ac:dyDescent="0.25">
      <c r="A65" s="153"/>
      <c r="B65" s="149" t="s">
        <v>65</v>
      </c>
      <c r="C65" s="141">
        <f t="shared" ref="C65:AG65" si="58">IF(D46=1,IF(C58&gt;C59,C59,0),0)</f>
        <v>0</v>
      </c>
      <c r="D65" s="141">
        <f t="shared" si="58"/>
        <v>0</v>
      </c>
      <c r="E65" s="141">
        <f t="shared" si="58"/>
        <v>0</v>
      </c>
      <c r="F65" s="141">
        <f t="shared" si="58"/>
        <v>0</v>
      </c>
      <c r="G65" s="141">
        <f t="shared" si="58"/>
        <v>0</v>
      </c>
      <c r="H65" s="141">
        <f t="shared" si="58"/>
        <v>0</v>
      </c>
      <c r="I65" s="141">
        <f t="shared" si="58"/>
        <v>0</v>
      </c>
      <c r="J65" s="141">
        <f t="shared" si="58"/>
        <v>0</v>
      </c>
      <c r="K65" s="141">
        <f t="shared" si="58"/>
        <v>0</v>
      </c>
      <c r="L65" s="141">
        <f t="shared" si="58"/>
        <v>0</v>
      </c>
      <c r="M65" s="141">
        <f t="shared" si="58"/>
        <v>0</v>
      </c>
      <c r="N65" s="141">
        <f t="shared" si="58"/>
        <v>0</v>
      </c>
      <c r="O65" s="141">
        <f t="shared" si="58"/>
        <v>0</v>
      </c>
      <c r="P65" s="141">
        <f t="shared" si="58"/>
        <v>0</v>
      </c>
      <c r="Q65" s="141">
        <f t="shared" si="58"/>
        <v>0</v>
      </c>
      <c r="R65" s="141">
        <f t="shared" si="58"/>
        <v>0</v>
      </c>
      <c r="S65" s="141">
        <f t="shared" si="58"/>
        <v>0</v>
      </c>
      <c r="T65" s="141">
        <f t="shared" si="58"/>
        <v>0</v>
      </c>
      <c r="U65" s="141">
        <f t="shared" si="58"/>
        <v>0</v>
      </c>
      <c r="V65" s="141">
        <f t="shared" si="58"/>
        <v>0</v>
      </c>
      <c r="W65" s="141">
        <f t="shared" si="58"/>
        <v>0</v>
      </c>
      <c r="X65" s="141">
        <f>IF(Y46=1,IF(X58&gt;X59,X59,0),0)</f>
        <v>0</v>
      </c>
      <c r="Y65" s="141">
        <f t="shared" si="58"/>
        <v>0</v>
      </c>
      <c r="Z65" s="141">
        <f t="shared" si="58"/>
        <v>0</v>
      </c>
      <c r="AA65" s="141">
        <f t="shared" si="58"/>
        <v>0</v>
      </c>
      <c r="AB65" s="141">
        <f t="shared" si="58"/>
        <v>0</v>
      </c>
      <c r="AC65" s="141">
        <f t="shared" si="58"/>
        <v>0</v>
      </c>
      <c r="AD65" s="141">
        <f t="shared" si="58"/>
        <v>0</v>
      </c>
      <c r="AE65" s="141">
        <f t="shared" si="58"/>
        <v>0</v>
      </c>
      <c r="AF65" s="141">
        <f t="shared" si="58"/>
        <v>0</v>
      </c>
      <c r="AG65" s="141">
        <f t="shared" si="58"/>
        <v>0</v>
      </c>
      <c r="AH65" s="142" t="s">
        <v>12</v>
      </c>
      <c r="AI65" s="133"/>
      <c r="AJ65" s="170"/>
      <c r="AK65" s="133"/>
      <c r="AL65" s="133"/>
    </row>
    <row r="66" spans="1:77" ht="15.95" hidden="1" customHeight="1" x14ac:dyDescent="0.25">
      <c r="A66" s="153"/>
      <c r="B66" s="149" t="s">
        <v>67</v>
      </c>
      <c r="C66" s="171">
        <f t="shared" ref="C66:AG66" si="59">SUM(C63:C65)</f>
        <v>0</v>
      </c>
      <c r="D66" s="171">
        <f t="shared" si="59"/>
        <v>0</v>
      </c>
      <c r="E66" s="171">
        <f t="shared" si="59"/>
        <v>0</v>
      </c>
      <c r="F66" s="171">
        <f t="shared" si="59"/>
        <v>0</v>
      </c>
      <c r="G66" s="171">
        <f t="shared" si="59"/>
        <v>0</v>
      </c>
      <c r="H66" s="171">
        <f t="shared" si="59"/>
        <v>0</v>
      </c>
      <c r="I66" s="171">
        <f t="shared" si="59"/>
        <v>0</v>
      </c>
      <c r="J66" s="171">
        <f t="shared" si="59"/>
        <v>0</v>
      </c>
      <c r="K66" s="171">
        <f t="shared" si="59"/>
        <v>0</v>
      </c>
      <c r="L66" s="171">
        <f t="shared" si="59"/>
        <v>0</v>
      </c>
      <c r="M66" s="171">
        <f t="shared" si="59"/>
        <v>0</v>
      </c>
      <c r="N66" s="171">
        <f t="shared" si="59"/>
        <v>0</v>
      </c>
      <c r="O66" s="171">
        <f t="shared" si="59"/>
        <v>0</v>
      </c>
      <c r="P66" s="171">
        <f t="shared" si="59"/>
        <v>0</v>
      </c>
      <c r="Q66" s="171">
        <f t="shared" si="59"/>
        <v>0</v>
      </c>
      <c r="R66" s="171">
        <f t="shared" si="59"/>
        <v>0</v>
      </c>
      <c r="S66" s="171">
        <f t="shared" si="59"/>
        <v>0</v>
      </c>
      <c r="T66" s="171">
        <f t="shared" si="59"/>
        <v>0</v>
      </c>
      <c r="U66" s="171">
        <f t="shared" si="59"/>
        <v>0</v>
      </c>
      <c r="V66" s="171">
        <f t="shared" si="59"/>
        <v>0</v>
      </c>
      <c r="W66" s="171">
        <f t="shared" si="59"/>
        <v>0</v>
      </c>
      <c r="X66" s="171">
        <f t="shared" si="59"/>
        <v>0</v>
      </c>
      <c r="Y66" s="171">
        <f t="shared" si="59"/>
        <v>0</v>
      </c>
      <c r="Z66" s="171">
        <f t="shared" si="59"/>
        <v>0</v>
      </c>
      <c r="AA66" s="171">
        <f t="shared" si="59"/>
        <v>0</v>
      </c>
      <c r="AB66" s="171">
        <f t="shared" si="59"/>
        <v>0</v>
      </c>
      <c r="AC66" s="171">
        <f t="shared" si="59"/>
        <v>0</v>
      </c>
      <c r="AD66" s="171">
        <f t="shared" si="59"/>
        <v>0</v>
      </c>
      <c r="AE66" s="171">
        <f t="shared" si="59"/>
        <v>0</v>
      </c>
      <c r="AF66" s="171">
        <f t="shared" si="59"/>
        <v>0</v>
      </c>
      <c r="AG66" s="171">
        <f t="shared" si="59"/>
        <v>0</v>
      </c>
      <c r="AH66" s="142" t="s">
        <v>12</v>
      </c>
      <c r="AI66" s="133"/>
      <c r="AJ66" s="170"/>
      <c r="AK66" s="133"/>
      <c r="AL66" s="133"/>
      <c r="BU66" s="62"/>
      <c r="BV66" s="63" t="str">
        <f t="shared" ref="BV66:BY67" si="60">IF(BV65=2,IF(BV65="",0,"X"),IF(BV65=2,IF(BV65="",0,2),""))</f>
        <v/>
      </c>
      <c r="BW66" s="63" t="str">
        <f t="shared" si="60"/>
        <v/>
      </c>
      <c r="BX66" s="63" t="str">
        <f t="shared" si="60"/>
        <v/>
      </c>
      <c r="BY66" s="63" t="str">
        <f t="shared" si="60"/>
        <v/>
      </c>
    </row>
    <row r="67" spans="1:77" ht="15.95" hidden="1" customHeight="1" x14ac:dyDescent="0.25">
      <c r="A67" s="172"/>
      <c r="B67" s="160" t="s">
        <v>68</v>
      </c>
      <c r="C67" s="161">
        <f t="shared" ref="C67:AG67" si="61">IF(C10="V",IF(C10="",0,1),0)</f>
        <v>0</v>
      </c>
      <c r="D67" s="161">
        <f t="shared" si="61"/>
        <v>0</v>
      </c>
      <c r="E67" s="161">
        <f t="shared" si="61"/>
        <v>0</v>
      </c>
      <c r="F67" s="161">
        <f t="shared" si="61"/>
        <v>0</v>
      </c>
      <c r="G67" s="161">
        <f t="shared" si="61"/>
        <v>0</v>
      </c>
      <c r="H67" s="161">
        <f t="shared" si="61"/>
        <v>0</v>
      </c>
      <c r="I67" s="161">
        <f t="shared" si="61"/>
        <v>0</v>
      </c>
      <c r="J67" s="161">
        <f t="shared" si="61"/>
        <v>0</v>
      </c>
      <c r="K67" s="161">
        <f t="shared" si="61"/>
        <v>0</v>
      </c>
      <c r="L67" s="161">
        <f t="shared" si="61"/>
        <v>0</v>
      </c>
      <c r="M67" s="161">
        <f t="shared" si="61"/>
        <v>0</v>
      </c>
      <c r="N67" s="161">
        <f t="shared" si="61"/>
        <v>0</v>
      </c>
      <c r="O67" s="161">
        <f t="shared" si="61"/>
        <v>0</v>
      </c>
      <c r="P67" s="161">
        <f t="shared" si="61"/>
        <v>0</v>
      </c>
      <c r="Q67" s="161">
        <f t="shared" si="61"/>
        <v>0</v>
      </c>
      <c r="R67" s="161">
        <f t="shared" si="61"/>
        <v>0</v>
      </c>
      <c r="S67" s="161">
        <f t="shared" si="61"/>
        <v>0</v>
      </c>
      <c r="T67" s="161">
        <f t="shared" si="61"/>
        <v>0</v>
      </c>
      <c r="U67" s="161">
        <f t="shared" si="61"/>
        <v>0</v>
      </c>
      <c r="V67" s="161">
        <f t="shared" si="61"/>
        <v>0</v>
      </c>
      <c r="W67" s="161">
        <f t="shared" si="61"/>
        <v>0</v>
      </c>
      <c r="X67" s="161">
        <f t="shared" si="61"/>
        <v>0</v>
      </c>
      <c r="Y67" s="161">
        <f t="shared" si="61"/>
        <v>0</v>
      </c>
      <c r="Z67" s="161">
        <f t="shared" si="61"/>
        <v>0</v>
      </c>
      <c r="AA67" s="161">
        <f t="shared" si="61"/>
        <v>0</v>
      </c>
      <c r="AB67" s="161">
        <f t="shared" si="61"/>
        <v>0</v>
      </c>
      <c r="AC67" s="161">
        <f t="shared" si="61"/>
        <v>0</v>
      </c>
      <c r="AD67" s="161">
        <f t="shared" si="61"/>
        <v>0</v>
      </c>
      <c r="AE67" s="161">
        <f t="shared" si="61"/>
        <v>0</v>
      </c>
      <c r="AF67" s="161">
        <f t="shared" si="61"/>
        <v>0</v>
      </c>
      <c r="AG67" s="161">
        <f t="shared" si="61"/>
        <v>0</v>
      </c>
      <c r="AH67" s="142" t="s">
        <v>12</v>
      </c>
      <c r="AI67" s="133"/>
      <c r="AJ67" s="170"/>
      <c r="AK67" s="133"/>
      <c r="AL67" s="133"/>
      <c r="BU67" s="64"/>
      <c r="BV67" s="63" t="str">
        <f t="shared" si="60"/>
        <v/>
      </c>
      <c r="BW67" s="63" t="str">
        <f t="shared" si="60"/>
        <v/>
      </c>
      <c r="BX67" s="63" t="str">
        <f t="shared" si="60"/>
        <v/>
      </c>
      <c r="BY67" s="63" t="str">
        <f t="shared" si="60"/>
        <v/>
      </c>
    </row>
    <row r="68" spans="1:77" ht="15.95" hidden="1" customHeight="1" x14ac:dyDescent="0.25">
      <c r="A68" s="173"/>
      <c r="B68" s="130" t="s">
        <v>16</v>
      </c>
      <c r="C68" s="163">
        <f t="shared" ref="C68:AG68" si="62">IF(C10="PR",IF(C10="",0,1),0)</f>
        <v>0</v>
      </c>
      <c r="D68" s="163">
        <f t="shared" si="62"/>
        <v>0</v>
      </c>
      <c r="E68" s="163">
        <f t="shared" si="62"/>
        <v>0</v>
      </c>
      <c r="F68" s="163">
        <f t="shared" si="62"/>
        <v>0</v>
      </c>
      <c r="G68" s="163">
        <f t="shared" si="62"/>
        <v>0</v>
      </c>
      <c r="H68" s="163">
        <f t="shared" si="62"/>
        <v>0</v>
      </c>
      <c r="I68" s="163">
        <f t="shared" si="62"/>
        <v>0</v>
      </c>
      <c r="J68" s="163">
        <f t="shared" si="62"/>
        <v>0</v>
      </c>
      <c r="K68" s="163">
        <f t="shared" si="62"/>
        <v>0</v>
      </c>
      <c r="L68" s="163">
        <f t="shared" si="62"/>
        <v>0</v>
      </c>
      <c r="M68" s="163">
        <f t="shared" si="62"/>
        <v>0</v>
      </c>
      <c r="N68" s="163">
        <f t="shared" si="62"/>
        <v>0</v>
      </c>
      <c r="O68" s="163">
        <f t="shared" si="62"/>
        <v>0</v>
      </c>
      <c r="P68" s="163">
        <f t="shared" si="62"/>
        <v>0</v>
      </c>
      <c r="Q68" s="163">
        <f t="shared" si="62"/>
        <v>0</v>
      </c>
      <c r="R68" s="163">
        <f t="shared" si="62"/>
        <v>0</v>
      </c>
      <c r="S68" s="163">
        <f t="shared" si="62"/>
        <v>0</v>
      </c>
      <c r="T68" s="163">
        <f t="shared" si="62"/>
        <v>0</v>
      </c>
      <c r="U68" s="163">
        <f t="shared" si="62"/>
        <v>0</v>
      </c>
      <c r="V68" s="163">
        <f t="shared" si="62"/>
        <v>0</v>
      </c>
      <c r="W68" s="163">
        <f t="shared" si="62"/>
        <v>0</v>
      </c>
      <c r="X68" s="163">
        <f t="shared" si="62"/>
        <v>0</v>
      </c>
      <c r="Y68" s="163">
        <f t="shared" si="62"/>
        <v>0</v>
      </c>
      <c r="Z68" s="163">
        <f t="shared" si="62"/>
        <v>0</v>
      </c>
      <c r="AA68" s="163">
        <f t="shared" si="62"/>
        <v>0</v>
      </c>
      <c r="AB68" s="163">
        <f t="shared" si="62"/>
        <v>0</v>
      </c>
      <c r="AC68" s="163">
        <f t="shared" si="62"/>
        <v>0</v>
      </c>
      <c r="AD68" s="163">
        <f t="shared" si="62"/>
        <v>0</v>
      </c>
      <c r="AE68" s="163">
        <f t="shared" si="62"/>
        <v>0</v>
      </c>
      <c r="AF68" s="163">
        <f t="shared" si="62"/>
        <v>0</v>
      </c>
      <c r="AG68" s="163">
        <f t="shared" si="62"/>
        <v>0</v>
      </c>
      <c r="AH68" s="229">
        <f>SUM(C68:AG68)</f>
        <v>0</v>
      </c>
      <c r="AI68" s="229"/>
      <c r="AJ68" s="174" t="s">
        <v>69</v>
      </c>
      <c r="AK68" s="133"/>
      <c r="AL68" s="133"/>
    </row>
    <row r="69" spans="1:77" ht="15.95" hidden="1" customHeight="1" x14ac:dyDescent="0.25">
      <c r="A69" s="164" t="s">
        <v>73</v>
      </c>
      <c r="B69" s="165" t="s">
        <v>29</v>
      </c>
      <c r="C69" s="141" t="str">
        <f t="shared" ref="C69:AG69" si="63">IF(C11=$R32,$S32*24,IF(C11=$R33,$S33*24,IF(C11=$R34,$S34*24,IF(C11=$R35,$S35*24,IF(C11=$R36,$S36*24,IF(C11=$R37,$S37*24,IF(C11=$R38,$S38*24,IF(C11=$R39,$S39*24,IF(C11=$R40,$S40*24,"")))))))))</f>
        <v/>
      </c>
      <c r="D69" s="141" t="str">
        <f t="shared" si="63"/>
        <v/>
      </c>
      <c r="E69" s="141" t="str">
        <f t="shared" si="63"/>
        <v/>
      </c>
      <c r="F69" s="141" t="str">
        <f t="shared" si="63"/>
        <v/>
      </c>
      <c r="G69" s="141" t="str">
        <f t="shared" si="63"/>
        <v/>
      </c>
      <c r="H69" s="141" t="str">
        <f t="shared" si="63"/>
        <v/>
      </c>
      <c r="I69" s="141" t="str">
        <f t="shared" si="63"/>
        <v/>
      </c>
      <c r="J69" s="141" t="str">
        <f t="shared" si="63"/>
        <v/>
      </c>
      <c r="K69" s="141" t="str">
        <f t="shared" si="63"/>
        <v/>
      </c>
      <c r="L69" s="141" t="str">
        <f t="shared" si="63"/>
        <v/>
      </c>
      <c r="M69" s="141" t="str">
        <f t="shared" si="63"/>
        <v/>
      </c>
      <c r="N69" s="141" t="str">
        <f t="shared" si="63"/>
        <v/>
      </c>
      <c r="O69" s="141" t="str">
        <f t="shared" si="63"/>
        <v/>
      </c>
      <c r="P69" s="141" t="str">
        <f t="shared" si="63"/>
        <v/>
      </c>
      <c r="Q69" s="141" t="str">
        <f t="shared" si="63"/>
        <v/>
      </c>
      <c r="R69" s="141" t="str">
        <f t="shared" si="63"/>
        <v/>
      </c>
      <c r="S69" s="141" t="str">
        <f t="shared" si="63"/>
        <v/>
      </c>
      <c r="T69" s="141" t="str">
        <f t="shared" si="63"/>
        <v/>
      </c>
      <c r="U69" s="141" t="str">
        <f t="shared" si="63"/>
        <v/>
      </c>
      <c r="V69" s="141" t="str">
        <f t="shared" si="63"/>
        <v/>
      </c>
      <c r="W69" s="141" t="str">
        <f t="shared" si="63"/>
        <v/>
      </c>
      <c r="X69" s="141" t="str">
        <f t="shared" si="63"/>
        <v/>
      </c>
      <c r="Y69" s="141" t="str">
        <f t="shared" si="63"/>
        <v/>
      </c>
      <c r="Z69" s="141" t="str">
        <f t="shared" si="63"/>
        <v/>
      </c>
      <c r="AA69" s="141" t="str">
        <f t="shared" si="63"/>
        <v/>
      </c>
      <c r="AB69" s="141" t="str">
        <f t="shared" si="63"/>
        <v/>
      </c>
      <c r="AC69" s="141" t="str">
        <f t="shared" si="63"/>
        <v/>
      </c>
      <c r="AD69" s="141" t="str">
        <f t="shared" si="63"/>
        <v/>
      </c>
      <c r="AE69" s="141" t="str">
        <f t="shared" si="63"/>
        <v/>
      </c>
      <c r="AF69" s="141" t="str">
        <f t="shared" si="63"/>
        <v/>
      </c>
      <c r="AG69" s="141" t="str">
        <f t="shared" si="63"/>
        <v/>
      </c>
      <c r="AH69" s="154" t="s">
        <v>12</v>
      </c>
      <c r="AI69" s="133"/>
      <c r="AJ69" s="170"/>
      <c r="AK69" s="133"/>
      <c r="AL69" s="133"/>
    </row>
    <row r="70" spans="1:77" ht="15.95" hidden="1" customHeight="1" x14ac:dyDescent="0.25">
      <c r="A70" s="166" t="s">
        <v>74</v>
      </c>
      <c r="B70" s="167" t="s">
        <v>30</v>
      </c>
      <c r="C70" s="141" t="str">
        <f t="shared" ref="C70:AG70" si="64">IF(C11=$R32,$V32*24,IF(C11=$R33,$V33*24,IF(C11=$R34,$V34*24,IF(C11=$R35,$V35*24,IF(C11=$R36,$V36*24,IF(C11=$R37,$V37*24,IF(C11=$R38,$V38*24,IF(C11=$R39,$V39*24,IF(C11=$R40,$V40*24,"")))))))))</f>
        <v/>
      </c>
      <c r="D70" s="141" t="str">
        <f t="shared" si="64"/>
        <v/>
      </c>
      <c r="E70" s="141" t="str">
        <f t="shared" si="64"/>
        <v/>
      </c>
      <c r="F70" s="141" t="str">
        <f t="shared" si="64"/>
        <v/>
      </c>
      <c r="G70" s="141" t="str">
        <f t="shared" si="64"/>
        <v/>
      </c>
      <c r="H70" s="141" t="str">
        <f t="shared" si="64"/>
        <v/>
      </c>
      <c r="I70" s="141" t="str">
        <f t="shared" si="64"/>
        <v/>
      </c>
      <c r="J70" s="141" t="str">
        <f t="shared" si="64"/>
        <v/>
      </c>
      <c r="K70" s="141" t="str">
        <f t="shared" si="64"/>
        <v/>
      </c>
      <c r="L70" s="141" t="str">
        <f t="shared" si="64"/>
        <v/>
      </c>
      <c r="M70" s="141" t="str">
        <f t="shared" si="64"/>
        <v/>
      </c>
      <c r="N70" s="141" t="str">
        <f t="shared" si="64"/>
        <v/>
      </c>
      <c r="O70" s="141" t="str">
        <f t="shared" si="64"/>
        <v/>
      </c>
      <c r="P70" s="141" t="str">
        <f t="shared" si="64"/>
        <v/>
      </c>
      <c r="Q70" s="141" t="str">
        <f t="shared" si="64"/>
        <v/>
      </c>
      <c r="R70" s="141" t="str">
        <f t="shared" si="64"/>
        <v/>
      </c>
      <c r="S70" s="141" t="str">
        <f t="shared" si="64"/>
        <v/>
      </c>
      <c r="T70" s="141" t="str">
        <f t="shared" si="64"/>
        <v/>
      </c>
      <c r="U70" s="141" t="str">
        <f t="shared" si="64"/>
        <v/>
      </c>
      <c r="V70" s="141" t="str">
        <f t="shared" si="64"/>
        <v/>
      </c>
      <c r="W70" s="141" t="str">
        <f t="shared" si="64"/>
        <v/>
      </c>
      <c r="X70" s="141" t="str">
        <f t="shared" si="64"/>
        <v/>
      </c>
      <c r="Y70" s="141" t="str">
        <f t="shared" si="64"/>
        <v/>
      </c>
      <c r="Z70" s="141" t="str">
        <f t="shared" si="64"/>
        <v/>
      </c>
      <c r="AA70" s="141" t="str">
        <f t="shared" si="64"/>
        <v/>
      </c>
      <c r="AB70" s="141" t="str">
        <f t="shared" si="64"/>
        <v/>
      </c>
      <c r="AC70" s="141" t="str">
        <f t="shared" si="64"/>
        <v/>
      </c>
      <c r="AD70" s="141" t="str">
        <f t="shared" si="64"/>
        <v/>
      </c>
      <c r="AE70" s="141" t="str">
        <f t="shared" si="64"/>
        <v/>
      </c>
      <c r="AF70" s="141" t="str">
        <f t="shared" si="64"/>
        <v/>
      </c>
      <c r="AG70" s="141" t="str">
        <f t="shared" si="64"/>
        <v/>
      </c>
      <c r="AH70" s="154" t="s">
        <v>12</v>
      </c>
      <c r="AI70" s="133"/>
      <c r="AJ70" s="170"/>
      <c r="AK70" s="133"/>
      <c r="AL70" s="133"/>
    </row>
    <row r="71" spans="1:77" ht="15.95" hidden="1" customHeight="1" x14ac:dyDescent="0.25">
      <c r="A71" s="153"/>
      <c r="B71" s="168" t="s">
        <v>34</v>
      </c>
      <c r="C71" s="169" t="str">
        <f t="shared" ref="C71:AD71" si="65">IF(C11=$R32,$BD32*24,IF(C11=$R33,$BD33*24,IF(C11=$R34,$BD34*24,IF(C11=$R35,$BD35*24,IF(C11=$R36,$BD36*24,IF(C11=$R37,$BD37*24,IF(C11=$R38,$BD38*24,IF(C11=$R39,$BD39*24,IF(C11=$R40,$BD40*24,"")))))))))</f>
        <v/>
      </c>
      <c r="D71" s="169" t="str">
        <f t="shared" si="65"/>
        <v/>
      </c>
      <c r="E71" s="169" t="str">
        <f t="shared" si="65"/>
        <v/>
      </c>
      <c r="F71" s="169" t="str">
        <f t="shared" si="65"/>
        <v/>
      </c>
      <c r="G71" s="169" t="str">
        <f t="shared" si="65"/>
        <v/>
      </c>
      <c r="H71" s="169" t="str">
        <f t="shared" si="65"/>
        <v/>
      </c>
      <c r="I71" s="169" t="str">
        <f t="shared" si="65"/>
        <v/>
      </c>
      <c r="J71" s="169" t="str">
        <f t="shared" si="65"/>
        <v/>
      </c>
      <c r="K71" s="169" t="str">
        <f t="shared" si="65"/>
        <v/>
      </c>
      <c r="L71" s="169" t="str">
        <f t="shared" si="65"/>
        <v/>
      </c>
      <c r="M71" s="169" t="str">
        <f t="shared" si="65"/>
        <v/>
      </c>
      <c r="N71" s="169" t="str">
        <f t="shared" si="65"/>
        <v/>
      </c>
      <c r="O71" s="169" t="str">
        <f t="shared" si="65"/>
        <v/>
      </c>
      <c r="P71" s="169" t="str">
        <f t="shared" si="65"/>
        <v/>
      </c>
      <c r="Q71" s="169" t="str">
        <f t="shared" si="65"/>
        <v/>
      </c>
      <c r="R71" s="169" t="str">
        <f t="shared" si="65"/>
        <v/>
      </c>
      <c r="S71" s="169" t="str">
        <f t="shared" si="65"/>
        <v/>
      </c>
      <c r="T71" s="169" t="str">
        <f t="shared" si="65"/>
        <v/>
      </c>
      <c r="U71" s="169" t="str">
        <f t="shared" si="65"/>
        <v/>
      </c>
      <c r="V71" s="169" t="str">
        <f t="shared" si="65"/>
        <v/>
      </c>
      <c r="W71" s="169" t="str">
        <f t="shared" si="65"/>
        <v/>
      </c>
      <c r="X71" s="169" t="str">
        <f t="shared" si="65"/>
        <v/>
      </c>
      <c r="Y71" s="169" t="str">
        <f t="shared" si="65"/>
        <v/>
      </c>
      <c r="Z71" s="169" t="str">
        <f t="shared" si="65"/>
        <v/>
      </c>
      <c r="AA71" s="169" t="str">
        <f t="shared" si="65"/>
        <v/>
      </c>
      <c r="AB71" s="169" t="str">
        <f t="shared" si="65"/>
        <v/>
      </c>
      <c r="AC71" s="169" t="str">
        <f t="shared" si="65"/>
        <v/>
      </c>
      <c r="AD71" s="169" t="str">
        <f t="shared" si="65"/>
        <v/>
      </c>
      <c r="AE71" s="169" t="str">
        <f>IF(AE11=$R32,$BD32*24,IF(AE11=$R33,$BD33*24,IF(AE11=$R34,$BD34*24,IF(AE11=$R35,$BD35*24,IF(AE11=$R36,$BD36*24,IF(AE11=$R37,$BD37*24,IF(AE11=$R38,$BD38*24,IF(AE11=$R39,$BD39*24,IF(AE11=$R40,$BD40*24,"")))))))))</f>
        <v/>
      </c>
      <c r="AF71" s="169" t="str">
        <f>IF(AF11=$R32,$BD32*24,IF(AF11=$R33,$BD33*24,IF(AF11=$R34,$BD34*24,IF(AF11=$R35,$BD35*24,IF(AF11=$R36,$BD36*24,IF(AF11=$R37,$BD37*24,IF(AF11=$R38,$BD38*24,IF(AF11=$R39,$BD39*24,IF(AF11=$R40,$BD40*24,"")))))))))</f>
        <v/>
      </c>
      <c r="AG71" s="169" t="str">
        <f>IF(AG11=$R32,$BD32*24,IF(AG11=$R33,$BD33*24,IF(AG11=$R34,$BD34*24,IF(AG11=$R35,$BD35*24,IF(AG11=$R36,$BD36*24,IF(AG11=$R37,$BD37*24,IF(AG11=$R38,$BD38*24,IF(AG11=$R39,$BD39*24,IF(AG11=$R40,$BD40*24,"")))))))))</f>
        <v/>
      </c>
      <c r="AH71" s="148">
        <f>SUM(C71:AG71)</f>
        <v>0</v>
      </c>
      <c r="AI71" s="133"/>
      <c r="AJ71" s="170"/>
      <c r="AK71" s="133"/>
      <c r="AL71" s="133"/>
    </row>
    <row r="72" spans="1:77" ht="15.95" hidden="1" customHeight="1" x14ac:dyDescent="0.25">
      <c r="A72" s="153"/>
      <c r="B72" s="167" t="s">
        <v>59</v>
      </c>
      <c r="C72" s="141">
        <f t="shared" ref="C72:AG72" si="66">IF(C11="V",$C36,IF(C11="PR",$C38,0))</f>
        <v>0</v>
      </c>
      <c r="D72" s="141">
        <f t="shared" si="66"/>
        <v>0</v>
      </c>
      <c r="E72" s="141">
        <f t="shared" si="66"/>
        <v>0</v>
      </c>
      <c r="F72" s="141">
        <f t="shared" si="66"/>
        <v>0</v>
      </c>
      <c r="G72" s="141">
        <f t="shared" si="66"/>
        <v>0</v>
      </c>
      <c r="H72" s="141">
        <f t="shared" si="66"/>
        <v>0</v>
      </c>
      <c r="I72" s="141">
        <f t="shared" si="66"/>
        <v>0</v>
      </c>
      <c r="J72" s="141">
        <f t="shared" si="66"/>
        <v>0</v>
      </c>
      <c r="K72" s="141">
        <f t="shared" si="66"/>
        <v>0</v>
      </c>
      <c r="L72" s="141">
        <f t="shared" si="66"/>
        <v>0</v>
      </c>
      <c r="M72" s="141">
        <f t="shared" si="66"/>
        <v>0</v>
      </c>
      <c r="N72" s="141">
        <f t="shared" si="66"/>
        <v>0</v>
      </c>
      <c r="O72" s="141">
        <f t="shared" si="66"/>
        <v>0</v>
      </c>
      <c r="P72" s="141">
        <f t="shared" si="66"/>
        <v>0</v>
      </c>
      <c r="Q72" s="141">
        <f t="shared" si="66"/>
        <v>0</v>
      </c>
      <c r="R72" s="141">
        <f t="shared" si="66"/>
        <v>0</v>
      </c>
      <c r="S72" s="141">
        <f t="shared" si="66"/>
        <v>0</v>
      </c>
      <c r="T72" s="141">
        <f t="shared" si="66"/>
        <v>0</v>
      </c>
      <c r="U72" s="141">
        <f t="shared" si="66"/>
        <v>0</v>
      </c>
      <c r="V72" s="141">
        <f t="shared" si="66"/>
        <v>0</v>
      </c>
      <c r="W72" s="141">
        <f t="shared" si="66"/>
        <v>0</v>
      </c>
      <c r="X72" s="141">
        <f t="shared" si="66"/>
        <v>0</v>
      </c>
      <c r="Y72" s="141">
        <f t="shared" si="66"/>
        <v>0</v>
      </c>
      <c r="Z72" s="141">
        <f t="shared" si="66"/>
        <v>0</v>
      </c>
      <c r="AA72" s="141">
        <f t="shared" si="66"/>
        <v>0</v>
      </c>
      <c r="AB72" s="141">
        <f t="shared" si="66"/>
        <v>0</v>
      </c>
      <c r="AC72" s="141">
        <f t="shared" si="66"/>
        <v>0</v>
      </c>
      <c r="AD72" s="141">
        <f t="shared" si="66"/>
        <v>0</v>
      </c>
      <c r="AE72" s="141">
        <f t="shared" si="66"/>
        <v>0</v>
      </c>
      <c r="AF72" s="141">
        <f t="shared" si="66"/>
        <v>0</v>
      </c>
      <c r="AG72" s="141">
        <f t="shared" si="66"/>
        <v>0</v>
      </c>
      <c r="AH72" s="226">
        <f>SUM(C72:AG72)</f>
        <v>0</v>
      </c>
      <c r="AI72" s="226"/>
      <c r="AJ72" s="170" t="s">
        <v>12</v>
      </c>
      <c r="AK72" s="133"/>
      <c r="AL72" s="133"/>
    </row>
    <row r="73" spans="1:77" ht="15.95" hidden="1" customHeight="1" x14ac:dyDescent="0.25">
      <c r="A73" s="150" t="s">
        <v>60</v>
      </c>
      <c r="B73" s="167" t="s">
        <v>61</v>
      </c>
      <c r="C73" s="151">
        <f t="shared" ref="C73:AD73" si="67">IF(C11=$R32,$BC32,IF(C11=$R33,$BC33,IF(C11=$R34,$BC34,IF(C11=$R35,$BC35,IF(C11=$R36,$BC36,IF(C11=$R37,$BC37,IF(C11=$R38,$BC38,IF(C11=$R39,$BC39,IF(C11=$R40,$BC40,0)))))))))</f>
        <v>0</v>
      </c>
      <c r="D73" s="151">
        <f t="shared" si="67"/>
        <v>0</v>
      </c>
      <c r="E73" s="151">
        <f t="shared" si="67"/>
        <v>0</v>
      </c>
      <c r="F73" s="151">
        <f t="shared" si="67"/>
        <v>0</v>
      </c>
      <c r="G73" s="151">
        <f t="shared" si="67"/>
        <v>0</v>
      </c>
      <c r="H73" s="151">
        <f t="shared" si="67"/>
        <v>0</v>
      </c>
      <c r="I73" s="151">
        <f t="shared" si="67"/>
        <v>0</v>
      </c>
      <c r="J73" s="151">
        <f t="shared" si="67"/>
        <v>0</v>
      </c>
      <c r="K73" s="151">
        <f t="shared" si="67"/>
        <v>0</v>
      </c>
      <c r="L73" s="151">
        <f t="shared" si="67"/>
        <v>0</v>
      </c>
      <c r="M73" s="151">
        <f t="shared" si="67"/>
        <v>0</v>
      </c>
      <c r="N73" s="151">
        <f t="shared" si="67"/>
        <v>0</v>
      </c>
      <c r="O73" s="151">
        <f t="shared" si="67"/>
        <v>0</v>
      </c>
      <c r="P73" s="151">
        <f t="shared" si="67"/>
        <v>0</v>
      </c>
      <c r="Q73" s="151">
        <f t="shared" si="67"/>
        <v>0</v>
      </c>
      <c r="R73" s="151">
        <f t="shared" si="67"/>
        <v>0</v>
      </c>
      <c r="S73" s="151">
        <f t="shared" si="67"/>
        <v>0</v>
      </c>
      <c r="T73" s="151">
        <f t="shared" si="67"/>
        <v>0</v>
      </c>
      <c r="U73" s="151">
        <f t="shared" si="67"/>
        <v>0</v>
      </c>
      <c r="V73" s="151">
        <f t="shared" si="67"/>
        <v>0</v>
      </c>
      <c r="W73" s="151">
        <f t="shared" si="67"/>
        <v>0</v>
      </c>
      <c r="X73" s="151">
        <f t="shared" si="67"/>
        <v>0</v>
      </c>
      <c r="Y73" s="151">
        <f t="shared" si="67"/>
        <v>0</v>
      </c>
      <c r="Z73" s="151">
        <f t="shared" si="67"/>
        <v>0</v>
      </c>
      <c r="AA73" s="151">
        <f t="shared" si="67"/>
        <v>0</v>
      </c>
      <c r="AB73" s="151">
        <f t="shared" si="67"/>
        <v>0</v>
      </c>
      <c r="AC73" s="151">
        <f t="shared" si="67"/>
        <v>0</v>
      </c>
      <c r="AD73" s="151">
        <f t="shared" si="67"/>
        <v>0</v>
      </c>
      <c r="AE73" s="151">
        <f>IF(AE11=$R32,$BC32,IF(AE11=$R33,$BC33,IF(AE11=$R34,$BC34,IF(AE11=$R35,$BC35,IF(AE11=$R36,$BC36,IF(AE11=$R37,$BC37,IF(AE11=$R38,$BC38,IF(AE11=$R39,$BC39,IF(AE11=$R40,$BC40,0)))))))))</f>
        <v>0</v>
      </c>
      <c r="AF73" s="151">
        <f>IF(AF11=$R32,$BC32,IF(AF11=$R33,$BC33,IF(AF11=$R34,$BC34,IF(AF11=$R35,$BC35,IF(AF11=$R36,$BC36,IF(AF11=$R37,$BC37,IF(AF11=$R38,$BC38,IF(AF11=$R39,$BC39,IF(AF11=$R40,$BC40,0)))))))))</f>
        <v>0</v>
      </c>
      <c r="AG73" s="151">
        <f>IF(AG11=$R32,$BC32,IF(AG11=$R33,$BC33,IF(AG11=$R34,$BC34,IF(AG11=$R35,$BC35,IF(AG11=$R36,$BC36,IF(AG11=$R37,$BC37,IF(AG11=$R38,$BC38,IF(AG11=$R39,$BC39,IF(AG11=$R40,$BC40,0)))))))))</f>
        <v>0</v>
      </c>
      <c r="AH73" s="226">
        <f>SUM(C73:AG73)</f>
        <v>0</v>
      </c>
      <c r="AI73" s="226"/>
      <c r="AJ73" s="175" t="s">
        <v>62</v>
      </c>
      <c r="AK73" s="133" t="s">
        <v>12</v>
      </c>
      <c r="AL73" s="133"/>
    </row>
    <row r="74" spans="1:77" ht="15.95" hidden="1" customHeight="1" x14ac:dyDescent="0.25">
      <c r="A74" s="153" t="s">
        <v>48</v>
      </c>
      <c r="B74" s="149" t="s">
        <v>63</v>
      </c>
      <c r="C74" s="141" t="b">
        <f t="shared" ref="C74:AG74" si="68">IF(C46=1,IF(C69&lt;C70,C73,0))</f>
        <v>0</v>
      </c>
      <c r="D74" s="141" t="b">
        <f t="shared" si="68"/>
        <v>0</v>
      </c>
      <c r="E74" s="141" t="b">
        <f t="shared" si="68"/>
        <v>0</v>
      </c>
      <c r="F74" s="141" t="b">
        <f t="shared" si="68"/>
        <v>0</v>
      </c>
      <c r="G74" s="141" t="b">
        <f t="shared" si="68"/>
        <v>0</v>
      </c>
      <c r="H74" s="141">
        <f t="shared" si="68"/>
        <v>0</v>
      </c>
      <c r="I74" s="141">
        <f t="shared" si="68"/>
        <v>0</v>
      </c>
      <c r="J74" s="141" t="b">
        <f t="shared" si="68"/>
        <v>0</v>
      </c>
      <c r="K74" s="141" t="b">
        <f t="shared" si="68"/>
        <v>0</v>
      </c>
      <c r="L74" s="141" t="b">
        <f t="shared" si="68"/>
        <v>0</v>
      </c>
      <c r="M74" s="141" t="b">
        <f t="shared" si="68"/>
        <v>0</v>
      </c>
      <c r="N74" s="141" t="b">
        <f t="shared" si="68"/>
        <v>0</v>
      </c>
      <c r="O74" s="141">
        <f t="shared" si="68"/>
        <v>0</v>
      </c>
      <c r="P74" s="141">
        <f t="shared" si="68"/>
        <v>0</v>
      </c>
      <c r="Q74" s="141" t="b">
        <f t="shared" si="68"/>
        <v>0</v>
      </c>
      <c r="R74" s="141" t="b">
        <f t="shared" si="68"/>
        <v>0</v>
      </c>
      <c r="S74" s="141" t="b">
        <f t="shared" si="68"/>
        <v>0</v>
      </c>
      <c r="T74" s="141" t="b">
        <f t="shared" si="68"/>
        <v>0</v>
      </c>
      <c r="U74" s="141" t="b">
        <f t="shared" si="68"/>
        <v>0</v>
      </c>
      <c r="V74" s="141">
        <f t="shared" si="68"/>
        <v>0</v>
      </c>
      <c r="W74" s="141">
        <f t="shared" si="68"/>
        <v>0</v>
      </c>
      <c r="X74" s="141" t="b">
        <f t="shared" si="68"/>
        <v>0</v>
      </c>
      <c r="Y74" s="141" t="b">
        <f t="shared" si="68"/>
        <v>0</v>
      </c>
      <c r="Z74" s="141" t="b">
        <f t="shared" si="68"/>
        <v>0</v>
      </c>
      <c r="AA74" s="141" t="b">
        <f t="shared" si="68"/>
        <v>0</v>
      </c>
      <c r="AB74" s="141" t="b">
        <f t="shared" si="68"/>
        <v>0</v>
      </c>
      <c r="AC74" s="141">
        <f t="shared" si="68"/>
        <v>0</v>
      </c>
      <c r="AD74" s="141">
        <f t="shared" si="68"/>
        <v>0</v>
      </c>
      <c r="AE74" s="141" t="b">
        <f t="shared" si="68"/>
        <v>0</v>
      </c>
      <c r="AF74" s="141" t="b">
        <f t="shared" si="68"/>
        <v>0</v>
      </c>
      <c r="AG74" s="141" t="b">
        <f t="shared" si="68"/>
        <v>0</v>
      </c>
      <c r="AH74" s="154" t="s">
        <v>12</v>
      </c>
      <c r="AI74" s="133"/>
      <c r="AJ74" s="170"/>
      <c r="AK74" s="133"/>
      <c r="AL74" s="133"/>
    </row>
    <row r="75" spans="1:77" ht="15.95" hidden="1" customHeight="1" x14ac:dyDescent="0.25">
      <c r="A75" s="176"/>
      <c r="B75" s="149" t="s">
        <v>64</v>
      </c>
      <c r="C75" s="141">
        <f t="shared" ref="C75:AG75" si="69">IF(C46=1,IF(C69&gt;C70,24-C69,0),0)</f>
        <v>0</v>
      </c>
      <c r="D75" s="141">
        <f t="shared" si="69"/>
        <v>0</v>
      </c>
      <c r="E75" s="141">
        <f t="shared" si="69"/>
        <v>0</v>
      </c>
      <c r="F75" s="141">
        <f t="shared" si="69"/>
        <v>0</v>
      </c>
      <c r="G75" s="141">
        <f t="shared" si="69"/>
        <v>0</v>
      </c>
      <c r="H75" s="141">
        <f t="shared" si="69"/>
        <v>0</v>
      </c>
      <c r="I75" s="141">
        <f t="shared" si="69"/>
        <v>0</v>
      </c>
      <c r="J75" s="141">
        <f t="shared" si="69"/>
        <v>0</v>
      </c>
      <c r="K75" s="141">
        <f t="shared" si="69"/>
        <v>0</v>
      </c>
      <c r="L75" s="141">
        <f t="shared" si="69"/>
        <v>0</v>
      </c>
      <c r="M75" s="141">
        <f t="shared" si="69"/>
        <v>0</v>
      </c>
      <c r="N75" s="141">
        <f t="shared" si="69"/>
        <v>0</v>
      </c>
      <c r="O75" s="141">
        <f t="shared" si="69"/>
        <v>0</v>
      </c>
      <c r="P75" s="141">
        <f t="shared" si="69"/>
        <v>0</v>
      </c>
      <c r="Q75" s="141">
        <f t="shared" si="69"/>
        <v>0</v>
      </c>
      <c r="R75" s="141">
        <f t="shared" si="69"/>
        <v>0</v>
      </c>
      <c r="S75" s="141">
        <f t="shared" si="69"/>
        <v>0</v>
      </c>
      <c r="T75" s="141">
        <f t="shared" si="69"/>
        <v>0</v>
      </c>
      <c r="U75" s="141">
        <f t="shared" si="69"/>
        <v>0</v>
      </c>
      <c r="V75" s="141">
        <f t="shared" si="69"/>
        <v>0</v>
      </c>
      <c r="W75" s="141">
        <f t="shared" si="69"/>
        <v>0</v>
      </c>
      <c r="X75" s="141">
        <f t="shared" si="69"/>
        <v>0</v>
      </c>
      <c r="Y75" s="141">
        <f t="shared" si="69"/>
        <v>0</v>
      </c>
      <c r="Z75" s="141">
        <f t="shared" si="69"/>
        <v>0</v>
      </c>
      <c r="AA75" s="141">
        <f t="shared" si="69"/>
        <v>0</v>
      </c>
      <c r="AB75" s="141">
        <f t="shared" si="69"/>
        <v>0</v>
      </c>
      <c r="AC75" s="141">
        <f t="shared" si="69"/>
        <v>0</v>
      </c>
      <c r="AD75" s="141">
        <f t="shared" si="69"/>
        <v>0</v>
      </c>
      <c r="AE75" s="141">
        <f t="shared" si="69"/>
        <v>0</v>
      </c>
      <c r="AF75" s="141">
        <f t="shared" si="69"/>
        <v>0</v>
      </c>
      <c r="AG75" s="141">
        <f t="shared" si="69"/>
        <v>0</v>
      </c>
      <c r="AH75" s="154" t="s">
        <v>12</v>
      </c>
      <c r="AI75" s="133"/>
      <c r="AJ75" s="170"/>
      <c r="AK75" s="133"/>
      <c r="AL75" s="133"/>
    </row>
    <row r="76" spans="1:77" ht="15.95" hidden="1" customHeight="1" x14ac:dyDescent="0.25">
      <c r="A76" s="176"/>
      <c r="B76" s="149" t="s">
        <v>65</v>
      </c>
      <c r="C76" s="141">
        <f t="shared" ref="C76:AG76" si="70">IF(D46=1,IF(C69&gt;C70,C70,0),0)</f>
        <v>0</v>
      </c>
      <c r="D76" s="141">
        <f t="shared" si="70"/>
        <v>0</v>
      </c>
      <c r="E76" s="141">
        <f t="shared" si="70"/>
        <v>0</v>
      </c>
      <c r="F76" s="141">
        <f t="shared" si="70"/>
        <v>0</v>
      </c>
      <c r="G76" s="141">
        <f t="shared" si="70"/>
        <v>0</v>
      </c>
      <c r="H76" s="141">
        <f t="shared" si="70"/>
        <v>0</v>
      </c>
      <c r="I76" s="141">
        <f t="shared" si="70"/>
        <v>0</v>
      </c>
      <c r="J76" s="141">
        <f t="shared" si="70"/>
        <v>0</v>
      </c>
      <c r="K76" s="141">
        <f t="shared" si="70"/>
        <v>0</v>
      </c>
      <c r="L76" s="141">
        <f t="shared" si="70"/>
        <v>0</v>
      </c>
      <c r="M76" s="141">
        <f t="shared" si="70"/>
        <v>0</v>
      </c>
      <c r="N76" s="141">
        <f t="shared" si="70"/>
        <v>0</v>
      </c>
      <c r="O76" s="141">
        <f t="shared" si="70"/>
        <v>0</v>
      </c>
      <c r="P76" s="141">
        <f t="shared" si="70"/>
        <v>0</v>
      </c>
      <c r="Q76" s="141">
        <f t="shared" si="70"/>
        <v>0</v>
      </c>
      <c r="R76" s="141">
        <f t="shared" si="70"/>
        <v>0</v>
      </c>
      <c r="S76" s="141">
        <f t="shared" si="70"/>
        <v>0</v>
      </c>
      <c r="T76" s="141">
        <f t="shared" si="70"/>
        <v>0</v>
      </c>
      <c r="U76" s="141">
        <f t="shared" si="70"/>
        <v>0</v>
      </c>
      <c r="V76" s="141">
        <f t="shared" si="70"/>
        <v>0</v>
      </c>
      <c r="W76" s="141">
        <f t="shared" si="70"/>
        <v>0</v>
      </c>
      <c r="X76" s="141">
        <f>IF(Y46=1,IF(X69&gt;X70,X70,0),0)</f>
        <v>0</v>
      </c>
      <c r="Y76" s="141">
        <f t="shared" si="70"/>
        <v>0</v>
      </c>
      <c r="Z76" s="141">
        <f t="shared" si="70"/>
        <v>0</v>
      </c>
      <c r="AA76" s="141">
        <f t="shared" si="70"/>
        <v>0</v>
      </c>
      <c r="AB76" s="141">
        <f t="shared" si="70"/>
        <v>0</v>
      </c>
      <c r="AC76" s="141">
        <f t="shared" si="70"/>
        <v>0</v>
      </c>
      <c r="AD76" s="141">
        <f t="shared" si="70"/>
        <v>0</v>
      </c>
      <c r="AE76" s="141">
        <f t="shared" si="70"/>
        <v>0</v>
      </c>
      <c r="AF76" s="141">
        <f t="shared" si="70"/>
        <v>0</v>
      </c>
      <c r="AG76" s="141">
        <f t="shared" si="70"/>
        <v>0</v>
      </c>
      <c r="AH76" s="154" t="s">
        <v>12</v>
      </c>
      <c r="AI76" s="133"/>
      <c r="AJ76" s="170"/>
      <c r="AK76" s="133"/>
      <c r="AL76" s="133"/>
    </row>
    <row r="77" spans="1:77" ht="15.95" hidden="1" customHeight="1" x14ac:dyDescent="0.25">
      <c r="A77" s="176"/>
      <c r="B77" s="149" t="s">
        <v>67</v>
      </c>
      <c r="C77" s="171">
        <f t="shared" ref="C77:AG77" si="71">SUM(C74:C76)</f>
        <v>0</v>
      </c>
      <c r="D77" s="171">
        <f t="shared" si="71"/>
        <v>0</v>
      </c>
      <c r="E77" s="171">
        <f t="shared" si="71"/>
        <v>0</v>
      </c>
      <c r="F77" s="171">
        <f t="shared" si="71"/>
        <v>0</v>
      </c>
      <c r="G77" s="171">
        <f t="shared" si="71"/>
        <v>0</v>
      </c>
      <c r="H77" s="171">
        <f t="shared" si="71"/>
        <v>0</v>
      </c>
      <c r="I77" s="171">
        <f t="shared" si="71"/>
        <v>0</v>
      </c>
      <c r="J77" s="171">
        <f t="shared" si="71"/>
        <v>0</v>
      </c>
      <c r="K77" s="171">
        <f t="shared" si="71"/>
        <v>0</v>
      </c>
      <c r="L77" s="171">
        <f t="shared" si="71"/>
        <v>0</v>
      </c>
      <c r="M77" s="171">
        <f t="shared" si="71"/>
        <v>0</v>
      </c>
      <c r="N77" s="171">
        <f t="shared" si="71"/>
        <v>0</v>
      </c>
      <c r="O77" s="171">
        <f t="shared" si="71"/>
        <v>0</v>
      </c>
      <c r="P77" s="171">
        <f t="shared" si="71"/>
        <v>0</v>
      </c>
      <c r="Q77" s="171">
        <f t="shared" si="71"/>
        <v>0</v>
      </c>
      <c r="R77" s="171">
        <f t="shared" si="71"/>
        <v>0</v>
      </c>
      <c r="S77" s="171">
        <f t="shared" si="71"/>
        <v>0</v>
      </c>
      <c r="T77" s="171">
        <f t="shared" si="71"/>
        <v>0</v>
      </c>
      <c r="U77" s="171">
        <f t="shared" si="71"/>
        <v>0</v>
      </c>
      <c r="V77" s="171">
        <f t="shared" si="71"/>
        <v>0</v>
      </c>
      <c r="W77" s="171">
        <f t="shared" si="71"/>
        <v>0</v>
      </c>
      <c r="X77" s="171">
        <f t="shared" si="71"/>
        <v>0</v>
      </c>
      <c r="Y77" s="171">
        <f t="shared" si="71"/>
        <v>0</v>
      </c>
      <c r="Z77" s="171">
        <f t="shared" si="71"/>
        <v>0</v>
      </c>
      <c r="AA77" s="171">
        <f t="shared" si="71"/>
        <v>0</v>
      </c>
      <c r="AB77" s="171">
        <f t="shared" si="71"/>
        <v>0</v>
      </c>
      <c r="AC77" s="171">
        <f t="shared" si="71"/>
        <v>0</v>
      </c>
      <c r="AD77" s="171">
        <f t="shared" si="71"/>
        <v>0</v>
      </c>
      <c r="AE77" s="171">
        <f t="shared" si="71"/>
        <v>0</v>
      </c>
      <c r="AF77" s="171">
        <f t="shared" si="71"/>
        <v>0</v>
      </c>
      <c r="AG77" s="171">
        <f t="shared" si="71"/>
        <v>0</v>
      </c>
      <c r="AH77" s="154" t="s">
        <v>12</v>
      </c>
      <c r="AI77" s="133"/>
      <c r="AJ77" s="170"/>
      <c r="AK77" s="133"/>
      <c r="AL77" s="133"/>
    </row>
    <row r="78" spans="1:77" ht="15.95" hidden="1" customHeight="1" x14ac:dyDescent="0.25">
      <c r="A78" s="177"/>
      <c r="B78" s="160" t="s">
        <v>68</v>
      </c>
      <c r="C78" s="161">
        <f t="shared" ref="C78:AG78" si="72">IF(C11="V",IF(C11="",0,1),0)</f>
        <v>0</v>
      </c>
      <c r="D78" s="161">
        <f t="shared" si="72"/>
        <v>0</v>
      </c>
      <c r="E78" s="161">
        <f t="shared" si="72"/>
        <v>0</v>
      </c>
      <c r="F78" s="161">
        <f t="shared" si="72"/>
        <v>0</v>
      </c>
      <c r="G78" s="161">
        <f t="shared" si="72"/>
        <v>0</v>
      </c>
      <c r="H78" s="161">
        <f t="shared" si="72"/>
        <v>0</v>
      </c>
      <c r="I78" s="161">
        <f t="shared" si="72"/>
        <v>0</v>
      </c>
      <c r="J78" s="161">
        <f t="shared" si="72"/>
        <v>0</v>
      </c>
      <c r="K78" s="161">
        <f t="shared" si="72"/>
        <v>0</v>
      </c>
      <c r="L78" s="161">
        <f t="shared" si="72"/>
        <v>0</v>
      </c>
      <c r="M78" s="161">
        <f t="shared" si="72"/>
        <v>0</v>
      </c>
      <c r="N78" s="161">
        <f t="shared" si="72"/>
        <v>0</v>
      </c>
      <c r="O78" s="161">
        <f t="shared" si="72"/>
        <v>0</v>
      </c>
      <c r="P78" s="161">
        <f t="shared" si="72"/>
        <v>0</v>
      </c>
      <c r="Q78" s="161">
        <f t="shared" si="72"/>
        <v>0</v>
      </c>
      <c r="R78" s="161">
        <f t="shared" si="72"/>
        <v>0</v>
      </c>
      <c r="S78" s="161">
        <f t="shared" si="72"/>
        <v>0</v>
      </c>
      <c r="T78" s="161">
        <f t="shared" si="72"/>
        <v>0</v>
      </c>
      <c r="U78" s="161">
        <f t="shared" si="72"/>
        <v>0</v>
      </c>
      <c r="V78" s="161">
        <f t="shared" si="72"/>
        <v>0</v>
      </c>
      <c r="W78" s="161">
        <f t="shared" si="72"/>
        <v>0</v>
      </c>
      <c r="X78" s="161">
        <f t="shared" si="72"/>
        <v>0</v>
      </c>
      <c r="Y78" s="161">
        <f t="shared" si="72"/>
        <v>0</v>
      </c>
      <c r="Z78" s="161">
        <f t="shared" si="72"/>
        <v>0</v>
      </c>
      <c r="AA78" s="161">
        <f t="shared" si="72"/>
        <v>0</v>
      </c>
      <c r="AB78" s="161">
        <f t="shared" si="72"/>
        <v>0</v>
      </c>
      <c r="AC78" s="161">
        <f t="shared" si="72"/>
        <v>0</v>
      </c>
      <c r="AD78" s="161">
        <f t="shared" si="72"/>
        <v>0</v>
      </c>
      <c r="AE78" s="161">
        <f t="shared" si="72"/>
        <v>0</v>
      </c>
      <c r="AF78" s="161">
        <f t="shared" si="72"/>
        <v>0</v>
      </c>
      <c r="AG78" s="161">
        <f t="shared" si="72"/>
        <v>0</v>
      </c>
      <c r="AH78" s="154" t="s">
        <v>12</v>
      </c>
      <c r="AI78" s="133"/>
      <c r="AJ78" s="170"/>
      <c r="AK78" s="133"/>
      <c r="AL78" s="133"/>
    </row>
    <row r="79" spans="1:77" ht="15.95" hidden="1" customHeight="1" x14ac:dyDescent="0.25">
      <c r="A79" s="173"/>
      <c r="B79" s="130" t="s">
        <v>16</v>
      </c>
      <c r="C79" s="163">
        <f t="shared" ref="C79:AG79" si="73">IF(C11="PR",IF(C11="",0,1),0)</f>
        <v>0</v>
      </c>
      <c r="D79" s="163">
        <f t="shared" si="73"/>
        <v>0</v>
      </c>
      <c r="E79" s="163">
        <f t="shared" si="73"/>
        <v>0</v>
      </c>
      <c r="F79" s="163">
        <f t="shared" si="73"/>
        <v>0</v>
      </c>
      <c r="G79" s="163">
        <f t="shared" si="73"/>
        <v>0</v>
      </c>
      <c r="H79" s="163">
        <f t="shared" si="73"/>
        <v>0</v>
      </c>
      <c r="I79" s="163">
        <f t="shared" si="73"/>
        <v>0</v>
      </c>
      <c r="J79" s="163">
        <f t="shared" si="73"/>
        <v>0</v>
      </c>
      <c r="K79" s="163">
        <f t="shared" si="73"/>
        <v>0</v>
      </c>
      <c r="L79" s="163">
        <f t="shared" si="73"/>
        <v>0</v>
      </c>
      <c r="M79" s="163">
        <f t="shared" si="73"/>
        <v>0</v>
      </c>
      <c r="N79" s="163">
        <f t="shared" si="73"/>
        <v>0</v>
      </c>
      <c r="O79" s="163">
        <f t="shared" si="73"/>
        <v>0</v>
      </c>
      <c r="P79" s="163">
        <f t="shared" si="73"/>
        <v>0</v>
      </c>
      <c r="Q79" s="163">
        <f t="shared" si="73"/>
        <v>0</v>
      </c>
      <c r="R79" s="163">
        <f t="shared" si="73"/>
        <v>0</v>
      </c>
      <c r="S79" s="163">
        <f t="shared" si="73"/>
        <v>0</v>
      </c>
      <c r="T79" s="163">
        <f t="shared" si="73"/>
        <v>0</v>
      </c>
      <c r="U79" s="163">
        <f t="shared" si="73"/>
        <v>0</v>
      </c>
      <c r="V79" s="163">
        <f t="shared" si="73"/>
        <v>0</v>
      </c>
      <c r="W79" s="163">
        <f t="shared" si="73"/>
        <v>0</v>
      </c>
      <c r="X79" s="163">
        <f t="shared" si="73"/>
        <v>0</v>
      </c>
      <c r="Y79" s="163">
        <f t="shared" si="73"/>
        <v>0</v>
      </c>
      <c r="Z79" s="163">
        <f t="shared" si="73"/>
        <v>0</v>
      </c>
      <c r="AA79" s="163">
        <f t="shared" si="73"/>
        <v>0</v>
      </c>
      <c r="AB79" s="163">
        <f t="shared" si="73"/>
        <v>0</v>
      </c>
      <c r="AC79" s="163">
        <f t="shared" si="73"/>
        <v>0</v>
      </c>
      <c r="AD79" s="163">
        <f t="shared" si="73"/>
        <v>0</v>
      </c>
      <c r="AE79" s="163">
        <f t="shared" si="73"/>
        <v>0</v>
      </c>
      <c r="AF79" s="163">
        <f t="shared" si="73"/>
        <v>0</v>
      </c>
      <c r="AG79" s="163">
        <f t="shared" si="73"/>
        <v>0</v>
      </c>
      <c r="AH79" s="229">
        <f>SUM(C79:AG79)</f>
        <v>0</v>
      </c>
      <c r="AI79" s="229"/>
      <c r="AJ79" s="174" t="s">
        <v>69</v>
      </c>
      <c r="AK79" s="133"/>
      <c r="AL79" s="133"/>
    </row>
    <row r="80" spans="1:77" ht="15.95" hidden="1" customHeight="1" x14ac:dyDescent="0.25">
      <c r="A80" s="164" t="s">
        <v>75</v>
      </c>
      <c r="B80" s="165" t="s">
        <v>29</v>
      </c>
      <c r="C80" s="141" t="str">
        <f t="shared" ref="C80:AG80" si="74">IF(C12=$R32,$S32*24,IF(C12=$R33,$S33*24,IF(C12=$R34,$S34*24,IF(C12=$R35,$S35*24,IF(C12=$R36,$S36*24,IF(C12=$R37,$S37*24,IF(C12=$R38,$S38*24,IF(C12=$R39,$S39*24,IF(C12=$R40,$S40*24,"")))))))))</f>
        <v/>
      </c>
      <c r="D80" s="141" t="str">
        <f t="shared" si="74"/>
        <v/>
      </c>
      <c r="E80" s="141" t="str">
        <f t="shared" si="74"/>
        <v/>
      </c>
      <c r="F80" s="141" t="str">
        <f t="shared" si="74"/>
        <v/>
      </c>
      <c r="G80" s="141" t="str">
        <f t="shared" si="74"/>
        <v/>
      </c>
      <c r="H80" s="141" t="str">
        <f t="shared" si="74"/>
        <v/>
      </c>
      <c r="I80" s="141" t="str">
        <f t="shared" si="74"/>
        <v/>
      </c>
      <c r="J80" s="141" t="str">
        <f t="shared" si="74"/>
        <v/>
      </c>
      <c r="K80" s="141" t="str">
        <f t="shared" si="74"/>
        <v/>
      </c>
      <c r="L80" s="141" t="str">
        <f t="shared" si="74"/>
        <v/>
      </c>
      <c r="M80" s="141" t="str">
        <f t="shared" si="74"/>
        <v/>
      </c>
      <c r="N80" s="141" t="str">
        <f t="shared" si="74"/>
        <v/>
      </c>
      <c r="O80" s="141" t="str">
        <f t="shared" si="74"/>
        <v/>
      </c>
      <c r="P80" s="141" t="str">
        <f t="shared" si="74"/>
        <v/>
      </c>
      <c r="Q80" s="141" t="str">
        <f t="shared" si="74"/>
        <v/>
      </c>
      <c r="R80" s="141" t="str">
        <f t="shared" si="74"/>
        <v/>
      </c>
      <c r="S80" s="141" t="str">
        <f t="shared" si="74"/>
        <v/>
      </c>
      <c r="T80" s="141" t="str">
        <f t="shared" si="74"/>
        <v/>
      </c>
      <c r="U80" s="141" t="str">
        <f t="shared" si="74"/>
        <v/>
      </c>
      <c r="V80" s="141" t="str">
        <f t="shared" si="74"/>
        <v/>
      </c>
      <c r="W80" s="141" t="str">
        <f t="shared" si="74"/>
        <v/>
      </c>
      <c r="X80" s="141" t="str">
        <f t="shared" si="74"/>
        <v/>
      </c>
      <c r="Y80" s="141" t="str">
        <f t="shared" si="74"/>
        <v/>
      </c>
      <c r="Z80" s="141" t="str">
        <f t="shared" si="74"/>
        <v/>
      </c>
      <c r="AA80" s="141" t="str">
        <f t="shared" si="74"/>
        <v/>
      </c>
      <c r="AB80" s="141" t="str">
        <f t="shared" si="74"/>
        <v/>
      </c>
      <c r="AC80" s="141" t="str">
        <f t="shared" si="74"/>
        <v/>
      </c>
      <c r="AD80" s="141" t="str">
        <f t="shared" si="74"/>
        <v/>
      </c>
      <c r="AE80" s="141" t="str">
        <f t="shared" si="74"/>
        <v/>
      </c>
      <c r="AF80" s="141" t="str">
        <f t="shared" si="74"/>
        <v/>
      </c>
      <c r="AG80" s="141" t="str">
        <f t="shared" si="74"/>
        <v/>
      </c>
      <c r="AH80" s="154" t="s">
        <v>12</v>
      </c>
      <c r="AI80" s="133"/>
      <c r="AJ80" s="170"/>
      <c r="AK80" s="133"/>
      <c r="AL80" s="133"/>
    </row>
    <row r="81" spans="1:38" ht="15.95" hidden="1" customHeight="1" x14ac:dyDescent="0.25">
      <c r="A81" s="166" t="s">
        <v>76</v>
      </c>
      <c r="B81" s="167" t="s">
        <v>30</v>
      </c>
      <c r="C81" s="141" t="str">
        <f t="shared" ref="C81:AG81" si="75">IF(C12=$R32,$V32*24,IF(C12=$R33,$V33*24,IF(C12=$R34,$V34*24,IF(C12=$R35,$V35*24,IF(C12=$R36,$V36*24,IF(C12=$R37,$V37*24,IF(C12=$R38,$V38*24,IF(C12=$R39,$V39*24,IF(C12=$R40,$V40*24,"")))))))))</f>
        <v/>
      </c>
      <c r="D81" s="141" t="str">
        <f t="shared" si="75"/>
        <v/>
      </c>
      <c r="E81" s="141" t="str">
        <f t="shared" si="75"/>
        <v/>
      </c>
      <c r="F81" s="141" t="str">
        <f t="shared" si="75"/>
        <v/>
      </c>
      <c r="G81" s="141" t="str">
        <f t="shared" si="75"/>
        <v/>
      </c>
      <c r="H81" s="141" t="str">
        <f t="shared" si="75"/>
        <v/>
      </c>
      <c r="I81" s="141" t="str">
        <f t="shared" si="75"/>
        <v/>
      </c>
      <c r="J81" s="141" t="str">
        <f t="shared" si="75"/>
        <v/>
      </c>
      <c r="K81" s="141" t="str">
        <f t="shared" si="75"/>
        <v/>
      </c>
      <c r="L81" s="141" t="str">
        <f t="shared" si="75"/>
        <v/>
      </c>
      <c r="M81" s="141" t="str">
        <f t="shared" si="75"/>
        <v/>
      </c>
      <c r="N81" s="141" t="str">
        <f t="shared" si="75"/>
        <v/>
      </c>
      <c r="O81" s="141" t="str">
        <f t="shared" si="75"/>
        <v/>
      </c>
      <c r="P81" s="141" t="str">
        <f t="shared" si="75"/>
        <v/>
      </c>
      <c r="Q81" s="141" t="str">
        <f t="shared" si="75"/>
        <v/>
      </c>
      <c r="R81" s="141" t="str">
        <f t="shared" si="75"/>
        <v/>
      </c>
      <c r="S81" s="141" t="str">
        <f t="shared" si="75"/>
        <v/>
      </c>
      <c r="T81" s="141" t="str">
        <f t="shared" si="75"/>
        <v/>
      </c>
      <c r="U81" s="141" t="str">
        <f t="shared" si="75"/>
        <v/>
      </c>
      <c r="V81" s="141" t="str">
        <f t="shared" si="75"/>
        <v/>
      </c>
      <c r="W81" s="141" t="str">
        <f t="shared" si="75"/>
        <v/>
      </c>
      <c r="X81" s="141" t="str">
        <f t="shared" si="75"/>
        <v/>
      </c>
      <c r="Y81" s="141" t="str">
        <f t="shared" si="75"/>
        <v/>
      </c>
      <c r="Z81" s="141" t="str">
        <f t="shared" si="75"/>
        <v/>
      </c>
      <c r="AA81" s="141" t="str">
        <f t="shared" si="75"/>
        <v/>
      </c>
      <c r="AB81" s="141" t="str">
        <f t="shared" si="75"/>
        <v/>
      </c>
      <c r="AC81" s="141" t="str">
        <f t="shared" si="75"/>
        <v/>
      </c>
      <c r="AD81" s="141" t="str">
        <f t="shared" si="75"/>
        <v/>
      </c>
      <c r="AE81" s="141" t="str">
        <f t="shared" si="75"/>
        <v/>
      </c>
      <c r="AF81" s="141" t="str">
        <f t="shared" si="75"/>
        <v/>
      </c>
      <c r="AG81" s="141" t="str">
        <f t="shared" si="75"/>
        <v/>
      </c>
      <c r="AH81" s="154" t="s">
        <v>12</v>
      </c>
      <c r="AI81" s="133"/>
      <c r="AJ81" s="170"/>
      <c r="AK81" s="133"/>
      <c r="AL81" s="133"/>
    </row>
    <row r="82" spans="1:38" ht="15.95" hidden="1" customHeight="1" x14ac:dyDescent="0.25">
      <c r="A82" s="153"/>
      <c r="B82" s="168" t="s">
        <v>34</v>
      </c>
      <c r="C82" s="169" t="str">
        <f t="shared" ref="C82:AD82" si="76">IF(C12=$R32,$BD32*24,IF(C12=$R33,$BD33*24,IF(C12=$R34,$BD34*24,IF(C12=$R35,$BD35*24,IF(C12=$R36,$BD36*24,IF(C12=$R37,$BD37*24,IF(C12=$R38,$BD38*24,IF(C12=$R39,$BD39*24,IF(C12=$R40,$BD40*24,"")))))))))</f>
        <v/>
      </c>
      <c r="D82" s="169" t="str">
        <f t="shared" si="76"/>
        <v/>
      </c>
      <c r="E82" s="169" t="str">
        <f t="shared" si="76"/>
        <v/>
      </c>
      <c r="F82" s="169" t="str">
        <f t="shared" si="76"/>
        <v/>
      </c>
      <c r="G82" s="169" t="str">
        <f t="shared" si="76"/>
        <v/>
      </c>
      <c r="H82" s="169" t="str">
        <f t="shared" si="76"/>
        <v/>
      </c>
      <c r="I82" s="169" t="str">
        <f t="shared" si="76"/>
        <v/>
      </c>
      <c r="J82" s="169" t="str">
        <f t="shared" si="76"/>
        <v/>
      </c>
      <c r="K82" s="169" t="str">
        <f t="shared" si="76"/>
        <v/>
      </c>
      <c r="L82" s="169" t="str">
        <f t="shared" si="76"/>
        <v/>
      </c>
      <c r="M82" s="169" t="str">
        <f t="shared" si="76"/>
        <v/>
      </c>
      <c r="N82" s="169" t="str">
        <f t="shared" si="76"/>
        <v/>
      </c>
      <c r="O82" s="169" t="str">
        <f t="shared" si="76"/>
        <v/>
      </c>
      <c r="P82" s="169" t="str">
        <f t="shared" si="76"/>
        <v/>
      </c>
      <c r="Q82" s="169" t="str">
        <f t="shared" si="76"/>
        <v/>
      </c>
      <c r="R82" s="169" t="str">
        <f t="shared" si="76"/>
        <v/>
      </c>
      <c r="S82" s="169" t="str">
        <f t="shared" si="76"/>
        <v/>
      </c>
      <c r="T82" s="169" t="str">
        <f t="shared" si="76"/>
        <v/>
      </c>
      <c r="U82" s="169" t="str">
        <f t="shared" si="76"/>
        <v/>
      </c>
      <c r="V82" s="169" t="str">
        <f t="shared" si="76"/>
        <v/>
      </c>
      <c r="W82" s="169" t="str">
        <f t="shared" si="76"/>
        <v/>
      </c>
      <c r="X82" s="169" t="str">
        <f t="shared" si="76"/>
        <v/>
      </c>
      <c r="Y82" s="169" t="str">
        <f t="shared" si="76"/>
        <v/>
      </c>
      <c r="Z82" s="169" t="str">
        <f t="shared" si="76"/>
        <v/>
      </c>
      <c r="AA82" s="169" t="str">
        <f t="shared" si="76"/>
        <v/>
      </c>
      <c r="AB82" s="169" t="str">
        <f t="shared" si="76"/>
        <v/>
      </c>
      <c r="AC82" s="169" t="str">
        <f t="shared" si="76"/>
        <v/>
      </c>
      <c r="AD82" s="169" t="str">
        <f t="shared" si="76"/>
        <v/>
      </c>
      <c r="AE82" s="169" t="str">
        <f>IF(AE12=$R32,$BD32*24,IF(AE12=$R33,$BD33*24,IF(AE12=$R34,$BD34*24,IF(AE12=$R35,$BD35*24,IF(AE12=$R36,$BD36*24,IF(AE12=$R37,$BD37*24,IF(AE12=$R38,$BD38*24,IF(AE12=$R39,$BD39*24,IF(AE12=$R40,$BD40*24,"")))))))))</f>
        <v/>
      </c>
      <c r="AF82" s="169" t="str">
        <f>IF(AF12=$R32,$BD32*24,IF(AF12=$R33,$BD33*24,IF(AF12=$R34,$BD34*24,IF(AF12=$R35,$BD35*24,IF(AF12=$R36,$BD36*24,IF(AF12=$R37,$BD37*24,IF(AF12=$R38,$BD38*24,IF(AF12=$R39,$BD39*24,IF(AF12=$R40,$BD40*24,"")))))))))</f>
        <v/>
      </c>
      <c r="AG82" s="169" t="str">
        <f>IF(AG12=$R32,$BD32*24,IF(AG12=$R33,$BD33*24,IF(AG12=$R34,$BD34*24,IF(AG12=$R35,$BD35*24,IF(AG12=$R36,$BD36*24,IF(AG12=$R37,$BD37*24,IF(AG12=$R38,$BD38*24,IF(AG12=$R39,$BD39*24,IF(AG12=$R40,$BD40*24,"")))))))))</f>
        <v/>
      </c>
      <c r="AH82" s="148">
        <f>SUM(C82:AG82)</f>
        <v>0</v>
      </c>
      <c r="AI82" s="133"/>
      <c r="AJ82" s="170"/>
      <c r="AK82" s="133"/>
      <c r="AL82" s="133"/>
    </row>
    <row r="83" spans="1:38" ht="15.95" hidden="1" customHeight="1" x14ac:dyDescent="0.25">
      <c r="A83" s="153"/>
      <c r="B83" s="167" t="s">
        <v>59</v>
      </c>
      <c r="C83" s="141">
        <f t="shared" ref="C83:AG83" si="77">IF(C12="V",$C36,IF(C12="PR",$C38,0))</f>
        <v>0</v>
      </c>
      <c r="D83" s="141">
        <f t="shared" si="77"/>
        <v>0</v>
      </c>
      <c r="E83" s="141">
        <f t="shared" si="77"/>
        <v>0</v>
      </c>
      <c r="F83" s="141">
        <f t="shared" si="77"/>
        <v>0</v>
      </c>
      <c r="G83" s="141">
        <f t="shared" si="77"/>
        <v>0</v>
      </c>
      <c r="H83" s="141">
        <f t="shared" si="77"/>
        <v>0</v>
      </c>
      <c r="I83" s="141">
        <f t="shared" si="77"/>
        <v>0</v>
      </c>
      <c r="J83" s="141">
        <f t="shared" si="77"/>
        <v>0</v>
      </c>
      <c r="K83" s="141">
        <f t="shared" si="77"/>
        <v>0</v>
      </c>
      <c r="L83" s="141">
        <f t="shared" si="77"/>
        <v>0</v>
      </c>
      <c r="M83" s="141">
        <f t="shared" si="77"/>
        <v>0</v>
      </c>
      <c r="N83" s="141">
        <f t="shared" si="77"/>
        <v>0</v>
      </c>
      <c r="O83" s="141">
        <f t="shared" si="77"/>
        <v>0</v>
      </c>
      <c r="P83" s="141">
        <f t="shared" si="77"/>
        <v>0</v>
      </c>
      <c r="Q83" s="141">
        <f t="shared" si="77"/>
        <v>0</v>
      </c>
      <c r="R83" s="141">
        <f t="shared" si="77"/>
        <v>0</v>
      </c>
      <c r="S83" s="141">
        <f t="shared" si="77"/>
        <v>0</v>
      </c>
      <c r="T83" s="141">
        <f t="shared" si="77"/>
        <v>0</v>
      </c>
      <c r="U83" s="141">
        <f t="shared" si="77"/>
        <v>0</v>
      </c>
      <c r="V83" s="141">
        <f t="shared" si="77"/>
        <v>0</v>
      </c>
      <c r="W83" s="141">
        <f t="shared" si="77"/>
        <v>0</v>
      </c>
      <c r="X83" s="141">
        <f t="shared" si="77"/>
        <v>0</v>
      </c>
      <c r="Y83" s="141">
        <f t="shared" si="77"/>
        <v>0</v>
      </c>
      <c r="Z83" s="141">
        <f t="shared" si="77"/>
        <v>0</v>
      </c>
      <c r="AA83" s="141">
        <f t="shared" si="77"/>
        <v>0</v>
      </c>
      <c r="AB83" s="141">
        <f t="shared" si="77"/>
        <v>0</v>
      </c>
      <c r="AC83" s="141">
        <f t="shared" si="77"/>
        <v>0</v>
      </c>
      <c r="AD83" s="141">
        <f t="shared" si="77"/>
        <v>0</v>
      </c>
      <c r="AE83" s="141">
        <f t="shared" si="77"/>
        <v>0</v>
      </c>
      <c r="AF83" s="141">
        <f t="shared" si="77"/>
        <v>0</v>
      </c>
      <c r="AG83" s="141">
        <f t="shared" si="77"/>
        <v>0</v>
      </c>
      <c r="AH83" s="226">
        <f>SUM(C83:AG83)</f>
        <v>0</v>
      </c>
      <c r="AI83" s="226"/>
      <c r="AJ83" s="170" t="s">
        <v>12</v>
      </c>
      <c r="AK83" s="133"/>
      <c r="AL83" s="133"/>
    </row>
    <row r="84" spans="1:38" ht="15.95" hidden="1" customHeight="1" x14ac:dyDescent="0.25">
      <c r="A84" s="150" t="s">
        <v>60</v>
      </c>
      <c r="B84" s="167" t="s">
        <v>61</v>
      </c>
      <c r="C84" s="151">
        <f t="shared" ref="C84:AD84" si="78">IF(C12=$R32,$BC32,IF(C12=$R33,$BC33,IF(C12=$R34,$BC34,IF(C12=$R35,$BC35,IF(C12=$R36,$BC36,IF(C12=$R37,$BC37,IF(C12=$R38,$BC38,IF(C12=$R39,$BC39,IF(C12=$R40,$BC40,0)))))))))</f>
        <v>0</v>
      </c>
      <c r="D84" s="151">
        <f t="shared" si="78"/>
        <v>0</v>
      </c>
      <c r="E84" s="151">
        <f t="shared" si="78"/>
        <v>0</v>
      </c>
      <c r="F84" s="151">
        <f t="shared" si="78"/>
        <v>0</v>
      </c>
      <c r="G84" s="151">
        <f t="shared" si="78"/>
        <v>0</v>
      </c>
      <c r="H84" s="151">
        <f t="shared" si="78"/>
        <v>0</v>
      </c>
      <c r="I84" s="151">
        <f t="shared" si="78"/>
        <v>0</v>
      </c>
      <c r="J84" s="151">
        <f t="shared" si="78"/>
        <v>0</v>
      </c>
      <c r="K84" s="151">
        <f t="shared" si="78"/>
        <v>0</v>
      </c>
      <c r="L84" s="151">
        <f t="shared" si="78"/>
        <v>0</v>
      </c>
      <c r="M84" s="151">
        <f t="shared" si="78"/>
        <v>0</v>
      </c>
      <c r="N84" s="151">
        <f t="shared" si="78"/>
        <v>0</v>
      </c>
      <c r="O84" s="151">
        <f t="shared" si="78"/>
        <v>0</v>
      </c>
      <c r="P84" s="151">
        <f t="shared" si="78"/>
        <v>0</v>
      </c>
      <c r="Q84" s="151">
        <f t="shared" si="78"/>
        <v>0</v>
      </c>
      <c r="R84" s="151">
        <f t="shared" si="78"/>
        <v>0</v>
      </c>
      <c r="S84" s="151">
        <f t="shared" si="78"/>
        <v>0</v>
      </c>
      <c r="T84" s="151">
        <f t="shared" si="78"/>
        <v>0</v>
      </c>
      <c r="U84" s="151">
        <f t="shared" si="78"/>
        <v>0</v>
      </c>
      <c r="V84" s="151">
        <f t="shared" si="78"/>
        <v>0</v>
      </c>
      <c r="W84" s="151">
        <f t="shared" si="78"/>
        <v>0</v>
      </c>
      <c r="X84" s="151">
        <f t="shared" si="78"/>
        <v>0</v>
      </c>
      <c r="Y84" s="151">
        <f t="shared" si="78"/>
        <v>0</v>
      </c>
      <c r="Z84" s="151">
        <f t="shared" si="78"/>
        <v>0</v>
      </c>
      <c r="AA84" s="151">
        <f t="shared" si="78"/>
        <v>0</v>
      </c>
      <c r="AB84" s="151">
        <f t="shared" si="78"/>
        <v>0</v>
      </c>
      <c r="AC84" s="151">
        <f t="shared" si="78"/>
        <v>0</v>
      </c>
      <c r="AD84" s="151">
        <f t="shared" si="78"/>
        <v>0</v>
      </c>
      <c r="AE84" s="151">
        <f>IF(AE12=$R32,$BC32,IF(AE12=$R33,$BC33,IF(AE12=$R34,$BC34,IF(AE12=$R35,$BC35,IF(AE12=$R36,$BC36,IF(AE12=$R37,$BC37,IF(AE12=$R38,$BC38,IF(AE12=$R39,$BC39,IF(AE12=$R40,$BC40,0)))))))))</f>
        <v>0</v>
      </c>
      <c r="AF84" s="151">
        <f>IF(AF12=$R32,$BC32,IF(AF12=$R33,$BC33,IF(AF12=$R34,$BC34,IF(AF12=$R35,$BC35,IF(AF12=$R36,$BC36,IF(AF12=$R37,$BC37,IF(AF12=$R38,$BC38,IF(AF12=$R39,$BC39,IF(AF12=$R40,$BC40,0)))))))))</f>
        <v>0</v>
      </c>
      <c r="AG84" s="151">
        <f>IF(AG12=$R32,$BC32,IF(AG12=$R33,$BC33,IF(AG12=$R34,$BC34,IF(AG12=$R35,$BC35,IF(AG12=$R36,$BC36,IF(AG12=$R37,$BC37,IF(AG12=$R38,$BC38,IF(AG12=$R39,$BC39,IF(AG12=$R40,$BC40,0)))))))))</f>
        <v>0</v>
      </c>
      <c r="AH84" s="226">
        <f>SUM(C84:AG84)</f>
        <v>0</v>
      </c>
      <c r="AI84" s="226"/>
      <c r="AJ84" s="175" t="s">
        <v>62</v>
      </c>
      <c r="AK84" s="133" t="s">
        <v>12</v>
      </c>
      <c r="AL84" s="133"/>
    </row>
    <row r="85" spans="1:38" ht="15.95" hidden="1" customHeight="1" x14ac:dyDescent="0.25">
      <c r="A85" s="153" t="s">
        <v>48</v>
      </c>
      <c r="B85" s="149" t="s">
        <v>63</v>
      </c>
      <c r="C85" s="141" t="b">
        <f t="shared" ref="C85:AG85" si="79">IF(C46=1,IF(C80&lt;C81,C84,0))</f>
        <v>0</v>
      </c>
      <c r="D85" s="141" t="b">
        <f t="shared" si="79"/>
        <v>0</v>
      </c>
      <c r="E85" s="141" t="b">
        <f t="shared" si="79"/>
        <v>0</v>
      </c>
      <c r="F85" s="141" t="b">
        <f t="shared" si="79"/>
        <v>0</v>
      </c>
      <c r="G85" s="141" t="b">
        <f t="shared" si="79"/>
        <v>0</v>
      </c>
      <c r="H85" s="141">
        <f t="shared" si="79"/>
        <v>0</v>
      </c>
      <c r="I85" s="141">
        <f t="shared" si="79"/>
        <v>0</v>
      </c>
      <c r="J85" s="141" t="b">
        <f t="shared" si="79"/>
        <v>0</v>
      </c>
      <c r="K85" s="141" t="b">
        <f t="shared" si="79"/>
        <v>0</v>
      </c>
      <c r="L85" s="141" t="b">
        <f t="shared" si="79"/>
        <v>0</v>
      </c>
      <c r="M85" s="141" t="b">
        <f t="shared" si="79"/>
        <v>0</v>
      </c>
      <c r="N85" s="141" t="b">
        <f t="shared" si="79"/>
        <v>0</v>
      </c>
      <c r="O85" s="141">
        <f t="shared" si="79"/>
        <v>0</v>
      </c>
      <c r="P85" s="141">
        <f t="shared" si="79"/>
        <v>0</v>
      </c>
      <c r="Q85" s="141" t="b">
        <f t="shared" si="79"/>
        <v>0</v>
      </c>
      <c r="R85" s="141" t="b">
        <f t="shared" si="79"/>
        <v>0</v>
      </c>
      <c r="S85" s="141" t="b">
        <f t="shared" si="79"/>
        <v>0</v>
      </c>
      <c r="T85" s="141" t="b">
        <f t="shared" si="79"/>
        <v>0</v>
      </c>
      <c r="U85" s="141" t="b">
        <f t="shared" si="79"/>
        <v>0</v>
      </c>
      <c r="V85" s="141">
        <f t="shared" si="79"/>
        <v>0</v>
      </c>
      <c r="W85" s="141">
        <f t="shared" si="79"/>
        <v>0</v>
      </c>
      <c r="X85" s="141" t="b">
        <f t="shared" si="79"/>
        <v>0</v>
      </c>
      <c r="Y85" s="141" t="b">
        <f t="shared" si="79"/>
        <v>0</v>
      </c>
      <c r="Z85" s="141" t="b">
        <f t="shared" si="79"/>
        <v>0</v>
      </c>
      <c r="AA85" s="141" t="b">
        <f t="shared" si="79"/>
        <v>0</v>
      </c>
      <c r="AB85" s="141" t="b">
        <f t="shared" si="79"/>
        <v>0</v>
      </c>
      <c r="AC85" s="141">
        <f t="shared" si="79"/>
        <v>0</v>
      </c>
      <c r="AD85" s="141">
        <f t="shared" si="79"/>
        <v>0</v>
      </c>
      <c r="AE85" s="141" t="b">
        <f t="shared" si="79"/>
        <v>0</v>
      </c>
      <c r="AF85" s="141" t="b">
        <f t="shared" si="79"/>
        <v>0</v>
      </c>
      <c r="AG85" s="141" t="b">
        <f t="shared" si="79"/>
        <v>0</v>
      </c>
      <c r="AH85" s="154" t="s">
        <v>12</v>
      </c>
      <c r="AI85" s="133"/>
      <c r="AJ85" s="170"/>
      <c r="AK85" s="133"/>
      <c r="AL85" s="133"/>
    </row>
    <row r="86" spans="1:38" ht="15.95" hidden="1" customHeight="1" x14ac:dyDescent="0.25">
      <c r="A86" s="176"/>
      <c r="B86" s="149" t="s">
        <v>64</v>
      </c>
      <c r="C86" s="141">
        <f t="shared" ref="C86:AG86" si="80">IF(C46=1,IF(C80&gt;C81,24-C80,0),0)</f>
        <v>0</v>
      </c>
      <c r="D86" s="141">
        <f t="shared" si="80"/>
        <v>0</v>
      </c>
      <c r="E86" s="141">
        <f t="shared" si="80"/>
        <v>0</v>
      </c>
      <c r="F86" s="141">
        <f t="shared" si="80"/>
        <v>0</v>
      </c>
      <c r="G86" s="141">
        <f t="shared" si="80"/>
        <v>0</v>
      </c>
      <c r="H86" s="141">
        <f t="shared" si="80"/>
        <v>0</v>
      </c>
      <c r="I86" s="141">
        <f t="shared" si="80"/>
        <v>0</v>
      </c>
      <c r="J86" s="141">
        <f t="shared" si="80"/>
        <v>0</v>
      </c>
      <c r="K86" s="141">
        <f t="shared" si="80"/>
        <v>0</v>
      </c>
      <c r="L86" s="141">
        <f t="shared" si="80"/>
        <v>0</v>
      </c>
      <c r="M86" s="141">
        <f t="shared" si="80"/>
        <v>0</v>
      </c>
      <c r="N86" s="141">
        <f t="shared" si="80"/>
        <v>0</v>
      </c>
      <c r="O86" s="141">
        <f t="shared" si="80"/>
        <v>0</v>
      </c>
      <c r="P86" s="141">
        <f t="shared" si="80"/>
        <v>0</v>
      </c>
      <c r="Q86" s="141">
        <f t="shared" si="80"/>
        <v>0</v>
      </c>
      <c r="R86" s="141">
        <f t="shared" si="80"/>
        <v>0</v>
      </c>
      <c r="S86" s="141">
        <f t="shared" si="80"/>
        <v>0</v>
      </c>
      <c r="T86" s="141">
        <f t="shared" si="80"/>
        <v>0</v>
      </c>
      <c r="U86" s="141">
        <f t="shared" si="80"/>
        <v>0</v>
      </c>
      <c r="V86" s="141">
        <f t="shared" si="80"/>
        <v>0</v>
      </c>
      <c r="W86" s="141">
        <f t="shared" si="80"/>
        <v>0</v>
      </c>
      <c r="X86" s="141">
        <f t="shared" si="80"/>
        <v>0</v>
      </c>
      <c r="Y86" s="141">
        <f t="shared" si="80"/>
        <v>0</v>
      </c>
      <c r="Z86" s="141">
        <f t="shared" si="80"/>
        <v>0</v>
      </c>
      <c r="AA86" s="141">
        <f t="shared" si="80"/>
        <v>0</v>
      </c>
      <c r="AB86" s="141">
        <f t="shared" si="80"/>
        <v>0</v>
      </c>
      <c r="AC86" s="141">
        <f t="shared" si="80"/>
        <v>0</v>
      </c>
      <c r="AD86" s="141">
        <f t="shared" si="80"/>
        <v>0</v>
      </c>
      <c r="AE86" s="141">
        <f t="shared" si="80"/>
        <v>0</v>
      </c>
      <c r="AF86" s="141">
        <f t="shared" si="80"/>
        <v>0</v>
      </c>
      <c r="AG86" s="141">
        <f t="shared" si="80"/>
        <v>0</v>
      </c>
      <c r="AH86" s="154" t="s">
        <v>12</v>
      </c>
      <c r="AI86" s="133"/>
      <c r="AJ86" s="170"/>
      <c r="AK86" s="133"/>
      <c r="AL86" s="133"/>
    </row>
    <row r="87" spans="1:38" ht="15.95" hidden="1" customHeight="1" x14ac:dyDescent="0.25">
      <c r="A87" s="176"/>
      <c r="B87" s="149" t="s">
        <v>65</v>
      </c>
      <c r="C87" s="141">
        <f t="shared" ref="C87:AG87" si="81">IF(D46=1,IF(C80&gt;C81,C81,0),0)</f>
        <v>0</v>
      </c>
      <c r="D87" s="141">
        <f t="shared" si="81"/>
        <v>0</v>
      </c>
      <c r="E87" s="141">
        <f t="shared" si="81"/>
        <v>0</v>
      </c>
      <c r="F87" s="141">
        <f t="shared" si="81"/>
        <v>0</v>
      </c>
      <c r="G87" s="141">
        <f t="shared" si="81"/>
        <v>0</v>
      </c>
      <c r="H87" s="141">
        <f t="shared" si="81"/>
        <v>0</v>
      </c>
      <c r="I87" s="141">
        <f t="shared" si="81"/>
        <v>0</v>
      </c>
      <c r="J87" s="141">
        <f t="shared" si="81"/>
        <v>0</v>
      </c>
      <c r="K87" s="141">
        <f t="shared" si="81"/>
        <v>0</v>
      </c>
      <c r="L87" s="141">
        <f t="shared" si="81"/>
        <v>0</v>
      </c>
      <c r="M87" s="141">
        <f t="shared" si="81"/>
        <v>0</v>
      </c>
      <c r="N87" s="141">
        <f t="shared" si="81"/>
        <v>0</v>
      </c>
      <c r="O87" s="141">
        <f t="shared" si="81"/>
        <v>0</v>
      </c>
      <c r="P87" s="141">
        <f t="shared" si="81"/>
        <v>0</v>
      </c>
      <c r="Q87" s="141">
        <f t="shared" si="81"/>
        <v>0</v>
      </c>
      <c r="R87" s="141">
        <f t="shared" si="81"/>
        <v>0</v>
      </c>
      <c r="S87" s="141">
        <f t="shared" si="81"/>
        <v>0</v>
      </c>
      <c r="T87" s="141">
        <f t="shared" si="81"/>
        <v>0</v>
      </c>
      <c r="U87" s="141">
        <f t="shared" si="81"/>
        <v>0</v>
      </c>
      <c r="V87" s="141">
        <f t="shared" si="81"/>
        <v>0</v>
      </c>
      <c r="W87" s="141">
        <f t="shared" si="81"/>
        <v>0</v>
      </c>
      <c r="X87" s="141">
        <f>IF(Y46=1,IF(X80&gt;X81,X81,0),0)</f>
        <v>0</v>
      </c>
      <c r="Y87" s="141">
        <f t="shared" si="81"/>
        <v>0</v>
      </c>
      <c r="Z87" s="141">
        <f t="shared" si="81"/>
        <v>0</v>
      </c>
      <c r="AA87" s="141">
        <f t="shared" si="81"/>
        <v>0</v>
      </c>
      <c r="AB87" s="141">
        <f t="shared" si="81"/>
        <v>0</v>
      </c>
      <c r="AC87" s="141">
        <f t="shared" si="81"/>
        <v>0</v>
      </c>
      <c r="AD87" s="141">
        <f t="shared" si="81"/>
        <v>0</v>
      </c>
      <c r="AE87" s="141">
        <f t="shared" si="81"/>
        <v>0</v>
      </c>
      <c r="AF87" s="141">
        <f t="shared" si="81"/>
        <v>0</v>
      </c>
      <c r="AG87" s="141">
        <f t="shared" si="81"/>
        <v>0</v>
      </c>
      <c r="AH87" s="154" t="s">
        <v>12</v>
      </c>
      <c r="AI87" s="133"/>
      <c r="AJ87" s="170"/>
      <c r="AK87" s="133"/>
      <c r="AL87" s="133"/>
    </row>
    <row r="88" spans="1:38" ht="15.95" hidden="1" customHeight="1" x14ac:dyDescent="0.25">
      <c r="A88" s="176"/>
      <c r="B88" s="149" t="s">
        <v>67</v>
      </c>
      <c r="C88" s="171">
        <f t="shared" ref="C88:AG88" si="82">SUM(C85:C87)</f>
        <v>0</v>
      </c>
      <c r="D88" s="171">
        <f t="shared" si="82"/>
        <v>0</v>
      </c>
      <c r="E88" s="171">
        <f t="shared" si="82"/>
        <v>0</v>
      </c>
      <c r="F88" s="171">
        <f t="shared" si="82"/>
        <v>0</v>
      </c>
      <c r="G88" s="171">
        <f t="shared" si="82"/>
        <v>0</v>
      </c>
      <c r="H88" s="171">
        <f t="shared" si="82"/>
        <v>0</v>
      </c>
      <c r="I88" s="171">
        <f t="shared" si="82"/>
        <v>0</v>
      </c>
      <c r="J88" s="171">
        <f t="shared" si="82"/>
        <v>0</v>
      </c>
      <c r="K88" s="171">
        <f t="shared" si="82"/>
        <v>0</v>
      </c>
      <c r="L88" s="171">
        <f t="shared" si="82"/>
        <v>0</v>
      </c>
      <c r="M88" s="171">
        <f t="shared" si="82"/>
        <v>0</v>
      </c>
      <c r="N88" s="171">
        <f t="shared" si="82"/>
        <v>0</v>
      </c>
      <c r="O88" s="171">
        <f t="shared" si="82"/>
        <v>0</v>
      </c>
      <c r="P88" s="171">
        <f t="shared" si="82"/>
        <v>0</v>
      </c>
      <c r="Q88" s="171">
        <f t="shared" si="82"/>
        <v>0</v>
      </c>
      <c r="R88" s="171">
        <f t="shared" si="82"/>
        <v>0</v>
      </c>
      <c r="S88" s="171">
        <f t="shared" si="82"/>
        <v>0</v>
      </c>
      <c r="T88" s="171">
        <f t="shared" si="82"/>
        <v>0</v>
      </c>
      <c r="U88" s="171">
        <f t="shared" si="82"/>
        <v>0</v>
      </c>
      <c r="V88" s="171">
        <f t="shared" si="82"/>
        <v>0</v>
      </c>
      <c r="W88" s="171">
        <f t="shared" si="82"/>
        <v>0</v>
      </c>
      <c r="X88" s="171">
        <f t="shared" si="82"/>
        <v>0</v>
      </c>
      <c r="Y88" s="171">
        <f t="shared" si="82"/>
        <v>0</v>
      </c>
      <c r="Z88" s="171">
        <f t="shared" si="82"/>
        <v>0</v>
      </c>
      <c r="AA88" s="171">
        <f t="shared" si="82"/>
        <v>0</v>
      </c>
      <c r="AB88" s="171">
        <f t="shared" si="82"/>
        <v>0</v>
      </c>
      <c r="AC88" s="171">
        <f t="shared" si="82"/>
        <v>0</v>
      </c>
      <c r="AD88" s="171">
        <f t="shared" si="82"/>
        <v>0</v>
      </c>
      <c r="AE88" s="171">
        <f t="shared" si="82"/>
        <v>0</v>
      </c>
      <c r="AF88" s="171">
        <f t="shared" si="82"/>
        <v>0</v>
      </c>
      <c r="AG88" s="171">
        <f t="shared" si="82"/>
        <v>0</v>
      </c>
      <c r="AH88" s="154" t="s">
        <v>12</v>
      </c>
      <c r="AI88" s="133"/>
      <c r="AJ88" s="170"/>
      <c r="AK88" s="133"/>
      <c r="AL88" s="133"/>
    </row>
    <row r="89" spans="1:38" ht="15.95" hidden="1" customHeight="1" x14ac:dyDescent="0.25">
      <c r="A89" s="177"/>
      <c r="B89" s="160" t="s">
        <v>68</v>
      </c>
      <c r="C89" s="161">
        <f t="shared" ref="C89:AG89" si="83">IF(C12="V",IF(C12="",0,1),0)</f>
        <v>0</v>
      </c>
      <c r="D89" s="161">
        <f t="shared" si="83"/>
        <v>0</v>
      </c>
      <c r="E89" s="161">
        <f t="shared" si="83"/>
        <v>0</v>
      </c>
      <c r="F89" s="161">
        <f t="shared" si="83"/>
        <v>0</v>
      </c>
      <c r="G89" s="161">
        <f t="shared" si="83"/>
        <v>0</v>
      </c>
      <c r="H89" s="161">
        <f t="shared" si="83"/>
        <v>0</v>
      </c>
      <c r="I89" s="161">
        <f t="shared" si="83"/>
        <v>0</v>
      </c>
      <c r="J89" s="161">
        <f t="shared" si="83"/>
        <v>0</v>
      </c>
      <c r="K89" s="161">
        <f t="shared" si="83"/>
        <v>0</v>
      </c>
      <c r="L89" s="161">
        <f t="shared" si="83"/>
        <v>0</v>
      </c>
      <c r="M89" s="161">
        <f t="shared" si="83"/>
        <v>0</v>
      </c>
      <c r="N89" s="161">
        <f t="shared" si="83"/>
        <v>0</v>
      </c>
      <c r="O89" s="161">
        <f t="shared" si="83"/>
        <v>0</v>
      </c>
      <c r="P89" s="161">
        <f t="shared" si="83"/>
        <v>0</v>
      </c>
      <c r="Q89" s="161">
        <f t="shared" si="83"/>
        <v>0</v>
      </c>
      <c r="R89" s="161">
        <f t="shared" si="83"/>
        <v>0</v>
      </c>
      <c r="S89" s="161">
        <f t="shared" si="83"/>
        <v>0</v>
      </c>
      <c r="T89" s="161">
        <f t="shared" si="83"/>
        <v>0</v>
      </c>
      <c r="U89" s="161">
        <f t="shared" si="83"/>
        <v>0</v>
      </c>
      <c r="V89" s="161">
        <f t="shared" si="83"/>
        <v>0</v>
      </c>
      <c r="W89" s="161">
        <f t="shared" si="83"/>
        <v>0</v>
      </c>
      <c r="X89" s="161">
        <f t="shared" si="83"/>
        <v>0</v>
      </c>
      <c r="Y89" s="161">
        <f t="shared" si="83"/>
        <v>0</v>
      </c>
      <c r="Z89" s="161">
        <f t="shared" si="83"/>
        <v>0</v>
      </c>
      <c r="AA89" s="161">
        <f t="shared" si="83"/>
        <v>0</v>
      </c>
      <c r="AB89" s="161">
        <f t="shared" si="83"/>
        <v>0</v>
      </c>
      <c r="AC89" s="161">
        <f t="shared" si="83"/>
        <v>0</v>
      </c>
      <c r="AD89" s="161">
        <f t="shared" si="83"/>
        <v>0</v>
      </c>
      <c r="AE89" s="161">
        <f t="shared" si="83"/>
        <v>0</v>
      </c>
      <c r="AF89" s="161">
        <f t="shared" si="83"/>
        <v>0</v>
      </c>
      <c r="AG89" s="161">
        <f t="shared" si="83"/>
        <v>0</v>
      </c>
      <c r="AH89" s="154"/>
      <c r="AI89" s="133"/>
      <c r="AJ89" s="170"/>
      <c r="AK89" s="133"/>
      <c r="AL89" s="133"/>
    </row>
    <row r="90" spans="1:38" ht="15.95" hidden="1" customHeight="1" x14ac:dyDescent="0.25">
      <c r="A90" s="173"/>
      <c r="B90" s="130" t="s">
        <v>16</v>
      </c>
      <c r="C90" s="163">
        <f t="shared" ref="C90:AG90" si="84">IF(C12="PR",IF(C12="",0,1),0)</f>
        <v>0</v>
      </c>
      <c r="D90" s="163">
        <f t="shared" si="84"/>
        <v>0</v>
      </c>
      <c r="E90" s="163">
        <f t="shared" si="84"/>
        <v>0</v>
      </c>
      <c r="F90" s="163">
        <f t="shared" si="84"/>
        <v>0</v>
      </c>
      <c r="G90" s="163">
        <f t="shared" si="84"/>
        <v>0</v>
      </c>
      <c r="H90" s="163">
        <f t="shared" si="84"/>
        <v>0</v>
      </c>
      <c r="I90" s="163">
        <f t="shared" si="84"/>
        <v>0</v>
      </c>
      <c r="J90" s="163">
        <f t="shared" si="84"/>
        <v>0</v>
      </c>
      <c r="K90" s="163">
        <f t="shared" si="84"/>
        <v>0</v>
      </c>
      <c r="L90" s="163">
        <f t="shared" si="84"/>
        <v>0</v>
      </c>
      <c r="M90" s="163">
        <f t="shared" si="84"/>
        <v>0</v>
      </c>
      <c r="N90" s="163">
        <f t="shared" si="84"/>
        <v>0</v>
      </c>
      <c r="O90" s="163">
        <f t="shared" si="84"/>
        <v>0</v>
      </c>
      <c r="P90" s="163">
        <f t="shared" si="84"/>
        <v>0</v>
      </c>
      <c r="Q90" s="163">
        <f t="shared" si="84"/>
        <v>0</v>
      </c>
      <c r="R90" s="163">
        <f t="shared" si="84"/>
        <v>0</v>
      </c>
      <c r="S90" s="163">
        <f t="shared" si="84"/>
        <v>0</v>
      </c>
      <c r="T90" s="163">
        <f t="shared" si="84"/>
        <v>0</v>
      </c>
      <c r="U90" s="163">
        <f t="shared" si="84"/>
        <v>0</v>
      </c>
      <c r="V90" s="163">
        <f t="shared" si="84"/>
        <v>0</v>
      </c>
      <c r="W90" s="163">
        <f t="shared" si="84"/>
        <v>0</v>
      </c>
      <c r="X90" s="163">
        <f t="shared" si="84"/>
        <v>0</v>
      </c>
      <c r="Y90" s="163">
        <f t="shared" si="84"/>
        <v>0</v>
      </c>
      <c r="Z90" s="163">
        <f t="shared" si="84"/>
        <v>0</v>
      </c>
      <c r="AA90" s="163">
        <f t="shared" si="84"/>
        <v>0</v>
      </c>
      <c r="AB90" s="163">
        <f t="shared" si="84"/>
        <v>0</v>
      </c>
      <c r="AC90" s="163">
        <f t="shared" si="84"/>
        <v>0</v>
      </c>
      <c r="AD90" s="163">
        <f t="shared" si="84"/>
        <v>0</v>
      </c>
      <c r="AE90" s="163">
        <f t="shared" si="84"/>
        <v>0</v>
      </c>
      <c r="AF90" s="163">
        <f t="shared" si="84"/>
        <v>0</v>
      </c>
      <c r="AG90" s="163">
        <f t="shared" si="84"/>
        <v>0</v>
      </c>
      <c r="AH90" s="229">
        <f>SUM(C90:AG90)</f>
        <v>0</v>
      </c>
      <c r="AI90" s="229"/>
      <c r="AJ90" s="174" t="s">
        <v>69</v>
      </c>
      <c r="AK90" s="133"/>
      <c r="AL90" s="133"/>
    </row>
    <row r="91" spans="1:38" ht="15.95" hidden="1" customHeight="1" x14ac:dyDescent="0.25">
      <c r="A91" s="164" t="s">
        <v>77</v>
      </c>
      <c r="B91" s="165" t="s">
        <v>29</v>
      </c>
      <c r="C91" s="141" t="str">
        <f t="shared" ref="C91:AG91" si="85">IF(C13=$R32,$S32*24,IF(C13=$R33,$S33*24,IF(C13=$R34,$S34*24,IF(C13=$R35,$S35*24,IF(C13=$R36,$S36*24,IF(C13=$R37,$S37*24,IF(C13=$R38,$S38*24,IF(C13=$R39,$S39*24,IF(C13=$R40,$S40*24,"")))))))))</f>
        <v/>
      </c>
      <c r="D91" s="141" t="str">
        <f t="shared" si="85"/>
        <v/>
      </c>
      <c r="E91" s="141" t="str">
        <f t="shared" si="85"/>
        <v/>
      </c>
      <c r="F91" s="141" t="str">
        <f t="shared" si="85"/>
        <v/>
      </c>
      <c r="G91" s="141" t="str">
        <f t="shared" si="85"/>
        <v/>
      </c>
      <c r="H91" s="141" t="str">
        <f t="shared" si="85"/>
        <v/>
      </c>
      <c r="I91" s="141" t="str">
        <f t="shared" si="85"/>
        <v/>
      </c>
      <c r="J91" s="141" t="str">
        <f t="shared" si="85"/>
        <v/>
      </c>
      <c r="K91" s="141" t="str">
        <f t="shared" si="85"/>
        <v/>
      </c>
      <c r="L91" s="141" t="str">
        <f t="shared" si="85"/>
        <v/>
      </c>
      <c r="M91" s="141" t="str">
        <f t="shared" si="85"/>
        <v/>
      </c>
      <c r="N91" s="141" t="str">
        <f t="shared" si="85"/>
        <v/>
      </c>
      <c r="O91" s="141" t="str">
        <f t="shared" si="85"/>
        <v/>
      </c>
      <c r="P91" s="141" t="str">
        <f t="shared" si="85"/>
        <v/>
      </c>
      <c r="Q91" s="141" t="str">
        <f t="shared" si="85"/>
        <v/>
      </c>
      <c r="R91" s="141" t="str">
        <f t="shared" si="85"/>
        <v/>
      </c>
      <c r="S91" s="141" t="str">
        <f t="shared" si="85"/>
        <v/>
      </c>
      <c r="T91" s="141" t="str">
        <f t="shared" si="85"/>
        <v/>
      </c>
      <c r="U91" s="141" t="str">
        <f t="shared" si="85"/>
        <v/>
      </c>
      <c r="V91" s="141" t="str">
        <f t="shared" si="85"/>
        <v/>
      </c>
      <c r="W91" s="141" t="str">
        <f t="shared" si="85"/>
        <v/>
      </c>
      <c r="X91" s="141" t="str">
        <f t="shared" si="85"/>
        <v/>
      </c>
      <c r="Y91" s="141" t="str">
        <f t="shared" si="85"/>
        <v/>
      </c>
      <c r="Z91" s="141" t="str">
        <f t="shared" si="85"/>
        <v/>
      </c>
      <c r="AA91" s="141" t="str">
        <f t="shared" si="85"/>
        <v/>
      </c>
      <c r="AB91" s="141" t="str">
        <f t="shared" si="85"/>
        <v/>
      </c>
      <c r="AC91" s="141" t="str">
        <f t="shared" si="85"/>
        <v/>
      </c>
      <c r="AD91" s="141" t="str">
        <f t="shared" si="85"/>
        <v/>
      </c>
      <c r="AE91" s="141" t="str">
        <f t="shared" si="85"/>
        <v/>
      </c>
      <c r="AF91" s="141" t="str">
        <f t="shared" si="85"/>
        <v/>
      </c>
      <c r="AG91" s="141" t="str">
        <f t="shared" si="85"/>
        <v/>
      </c>
      <c r="AH91" s="154" t="s">
        <v>12</v>
      </c>
      <c r="AI91" s="133"/>
      <c r="AJ91" s="170"/>
      <c r="AK91" s="133"/>
      <c r="AL91" s="133"/>
    </row>
    <row r="92" spans="1:38" ht="15.95" hidden="1" customHeight="1" x14ac:dyDescent="0.25">
      <c r="A92" s="166" t="s">
        <v>78</v>
      </c>
      <c r="B92" s="167" t="s">
        <v>30</v>
      </c>
      <c r="C92" s="141" t="str">
        <f t="shared" ref="C92:AG92" si="86">IF(C13=$R32,$V32*24,IF(C13=$R33,$V33*24,IF(C13=$R34,$V34*24,IF(C13=$R35,$V35*24,IF(C13=$R36,$V36*24,IF(C13=$R37,$V37*24,IF(C13=$R38,$V38*24,IF(C13=$R39,$V39*24,IF(C13=$R40,$V40*24,"")))))))))</f>
        <v/>
      </c>
      <c r="D92" s="141" t="str">
        <f t="shared" si="86"/>
        <v/>
      </c>
      <c r="E92" s="141" t="str">
        <f t="shared" si="86"/>
        <v/>
      </c>
      <c r="F92" s="141" t="str">
        <f t="shared" si="86"/>
        <v/>
      </c>
      <c r="G92" s="141" t="str">
        <f t="shared" si="86"/>
        <v/>
      </c>
      <c r="H92" s="141" t="str">
        <f t="shared" si="86"/>
        <v/>
      </c>
      <c r="I92" s="141" t="str">
        <f t="shared" si="86"/>
        <v/>
      </c>
      <c r="J92" s="141" t="str">
        <f t="shared" si="86"/>
        <v/>
      </c>
      <c r="K92" s="141" t="str">
        <f t="shared" si="86"/>
        <v/>
      </c>
      <c r="L92" s="141" t="str">
        <f t="shared" si="86"/>
        <v/>
      </c>
      <c r="M92" s="141" t="str">
        <f t="shared" si="86"/>
        <v/>
      </c>
      <c r="N92" s="141" t="str">
        <f t="shared" si="86"/>
        <v/>
      </c>
      <c r="O92" s="141" t="str">
        <f t="shared" si="86"/>
        <v/>
      </c>
      <c r="P92" s="141" t="str">
        <f t="shared" si="86"/>
        <v/>
      </c>
      <c r="Q92" s="141" t="str">
        <f t="shared" si="86"/>
        <v/>
      </c>
      <c r="R92" s="141" t="str">
        <f t="shared" si="86"/>
        <v/>
      </c>
      <c r="S92" s="141" t="str">
        <f t="shared" si="86"/>
        <v/>
      </c>
      <c r="T92" s="141" t="str">
        <f t="shared" si="86"/>
        <v/>
      </c>
      <c r="U92" s="141" t="str">
        <f t="shared" si="86"/>
        <v/>
      </c>
      <c r="V92" s="141" t="str">
        <f t="shared" si="86"/>
        <v/>
      </c>
      <c r="W92" s="141" t="str">
        <f t="shared" si="86"/>
        <v/>
      </c>
      <c r="X92" s="141" t="str">
        <f t="shared" si="86"/>
        <v/>
      </c>
      <c r="Y92" s="141" t="str">
        <f t="shared" si="86"/>
        <v/>
      </c>
      <c r="Z92" s="141" t="str">
        <f t="shared" si="86"/>
        <v/>
      </c>
      <c r="AA92" s="141" t="str">
        <f t="shared" si="86"/>
        <v/>
      </c>
      <c r="AB92" s="141" t="str">
        <f t="shared" si="86"/>
        <v/>
      </c>
      <c r="AC92" s="141" t="str">
        <f t="shared" si="86"/>
        <v/>
      </c>
      <c r="AD92" s="141" t="str">
        <f t="shared" si="86"/>
        <v/>
      </c>
      <c r="AE92" s="141" t="str">
        <f t="shared" si="86"/>
        <v/>
      </c>
      <c r="AF92" s="141" t="str">
        <f t="shared" si="86"/>
        <v/>
      </c>
      <c r="AG92" s="141" t="str">
        <f t="shared" si="86"/>
        <v/>
      </c>
      <c r="AH92" s="154" t="s">
        <v>12</v>
      </c>
      <c r="AI92" s="133"/>
      <c r="AJ92" s="170"/>
      <c r="AK92" s="133"/>
      <c r="AL92" s="133"/>
    </row>
    <row r="93" spans="1:38" ht="15.95" hidden="1" customHeight="1" x14ac:dyDescent="0.25">
      <c r="A93" s="153"/>
      <c r="B93" s="168" t="s">
        <v>34</v>
      </c>
      <c r="C93" s="169" t="str">
        <f t="shared" ref="C93:AD93" si="87">IF(C13=$R32,$BD32*24,IF(C13=$R33,$BD33*24,IF(C13=$R34,$BD34*24,IF(C13=$R35,$BD35*24,IF(C13=$R36,$BD36*24,IF(C13=$R37,$BD37*24,IF(C13=$R38,$BD38*24,IF(C13=$R39,$BD39*24,IF(C13=$R40,$BD40*24,"")))))))))</f>
        <v/>
      </c>
      <c r="D93" s="169" t="str">
        <f t="shared" si="87"/>
        <v/>
      </c>
      <c r="E93" s="169" t="str">
        <f t="shared" si="87"/>
        <v/>
      </c>
      <c r="F93" s="169" t="str">
        <f t="shared" si="87"/>
        <v/>
      </c>
      <c r="G93" s="169" t="str">
        <f t="shared" si="87"/>
        <v/>
      </c>
      <c r="H93" s="169" t="str">
        <f t="shared" si="87"/>
        <v/>
      </c>
      <c r="I93" s="169" t="str">
        <f t="shared" si="87"/>
        <v/>
      </c>
      <c r="J93" s="169" t="str">
        <f t="shared" si="87"/>
        <v/>
      </c>
      <c r="K93" s="169" t="str">
        <f t="shared" si="87"/>
        <v/>
      </c>
      <c r="L93" s="169" t="str">
        <f t="shared" si="87"/>
        <v/>
      </c>
      <c r="M93" s="169" t="str">
        <f t="shared" si="87"/>
        <v/>
      </c>
      <c r="N93" s="169" t="str">
        <f t="shared" si="87"/>
        <v/>
      </c>
      <c r="O93" s="169" t="str">
        <f t="shared" si="87"/>
        <v/>
      </c>
      <c r="P93" s="169" t="str">
        <f t="shared" si="87"/>
        <v/>
      </c>
      <c r="Q93" s="169" t="str">
        <f t="shared" si="87"/>
        <v/>
      </c>
      <c r="R93" s="169" t="str">
        <f t="shared" si="87"/>
        <v/>
      </c>
      <c r="S93" s="169" t="str">
        <f t="shared" si="87"/>
        <v/>
      </c>
      <c r="T93" s="169" t="str">
        <f t="shared" si="87"/>
        <v/>
      </c>
      <c r="U93" s="169" t="str">
        <f t="shared" si="87"/>
        <v/>
      </c>
      <c r="V93" s="169" t="str">
        <f t="shared" si="87"/>
        <v/>
      </c>
      <c r="W93" s="169" t="str">
        <f t="shared" si="87"/>
        <v/>
      </c>
      <c r="X93" s="169" t="str">
        <f t="shared" si="87"/>
        <v/>
      </c>
      <c r="Y93" s="169" t="str">
        <f t="shared" si="87"/>
        <v/>
      </c>
      <c r="Z93" s="169" t="str">
        <f t="shared" si="87"/>
        <v/>
      </c>
      <c r="AA93" s="169" t="str">
        <f t="shared" si="87"/>
        <v/>
      </c>
      <c r="AB93" s="169" t="str">
        <f t="shared" si="87"/>
        <v/>
      </c>
      <c r="AC93" s="169" t="str">
        <f t="shared" si="87"/>
        <v/>
      </c>
      <c r="AD93" s="169" t="str">
        <f t="shared" si="87"/>
        <v/>
      </c>
      <c r="AE93" s="169" t="str">
        <f>IF(AE13=$R32,$BD32*24,IF(AE13=$R33,$BD33*24,IF(AE13=$R34,$BD34*24,IF(AE13=$R35,$BD35*24,IF(AE13=$R36,$BD36*24,IF(AE13=$R37,$BD37*24,IF(AE13=$R38,$BD38*24,IF(AE13=$R39,$BD39*24,IF(AE13=$R40,$BD40*24,"")))))))))</f>
        <v/>
      </c>
      <c r="AF93" s="169" t="str">
        <f>IF(AF13=$R32,$BD32*24,IF(AF13=$R33,$BD33*24,IF(AF13=$R34,$BD34*24,IF(AF13=$R35,$BD35*24,IF(AF13=$R36,$BD36*24,IF(AF13=$R37,$BD37*24,IF(AF13=$R38,$BD38*24,IF(AF13=$R39,$BD39*24,IF(AF13=$R40,$BD40*24,"")))))))))</f>
        <v/>
      </c>
      <c r="AG93" s="169" t="str">
        <f>IF(AG13=$R32,$BD32*24,IF(AG13=$R33,$BD33*24,IF(AG13=$R34,$BD34*24,IF(AG13=$R35,$BD35*24,IF(AG13=$R36,$BD36*24,IF(AG13=$R37,$BD37*24,IF(AG13=$R38,$BD38*24,IF(AG13=$R39,$BD39*24,IF(AG13=$R40,$BD40*24,"")))))))))</f>
        <v/>
      </c>
      <c r="AH93" s="148">
        <f>SUM(C93:AG93)</f>
        <v>0</v>
      </c>
      <c r="AI93" s="133"/>
      <c r="AJ93" s="170"/>
      <c r="AK93" s="133"/>
      <c r="AL93" s="133"/>
    </row>
    <row r="94" spans="1:38" ht="15.95" hidden="1" customHeight="1" x14ac:dyDescent="0.25">
      <c r="A94" s="153"/>
      <c r="B94" s="167" t="s">
        <v>59</v>
      </c>
      <c r="C94" s="141">
        <f t="shared" ref="C94:AG94" si="88">IF(C13="V",$C36,IF(C13="PR",$C38,0))</f>
        <v>0</v>
      </c>
      <c r="D94" s="141">
        <f t="shared" si="88"/>
        <v>0</v>
      </c>
      <c r="E94" s="141">
        <f t="shared" si="88"/>
        <v>0</v>
      </c>
      <c r="F94" s="141">
        <f t="shared" si="88"/>
        <v>0</v>
      </c>
      <c r="G94" s="141">
        <f t="shared" si="88"/>
        <v>0</v>
      </c>
      <c r="H94" s="141">
        <f t="shared" si="88"/>
        <v>0</v>
      </c>
      <c r="I94" s="141">
        <f t="shared" si="88"/>
        <v>0</v>
      </c>
      <c r="J94" s="141">
        <f t="shared" si="88"/>
        <v>0</v>
      </c>
      <c r="K94" s="141">
        <f t="shared" si="88"/>
        <v>0</v>
      </c>
      <c r="L94" s="141">
        <f t="shared" si="88"/>
        <v>0</v>
      </c>
      <c r="M94" s="141">
        <f t="shared" si="88"/>
        <v>0</v>
      </c>
      <c r="N94" s="141">
        <f t="shared" si="88"/>
        <v>0</v>
      </c>
      <c r="O94" s="141">
        <f t="shared" si="88"/>
        <v>0</v>
      </c>
      <c r="P94" s="141">
        <f t="shared" si="88"/>
        <v>0</v>
      </c>
      <c r="Q94" s="141">
        <f t="shared" si="88"/>
        <v>0</v>
      </c>
      <c r="R94" s="141">
        <f t="shared" si="88"/>
        <v>0</v>
      </c>
      <c r="S94" s="141">
        <f t="shared" si="88"/>
        <v>0</v>
      </c>
      <c r="T94" s="141">
        <f t="shared" si="88"/>
        <v>0</v>
      </c>
      <c r="U94" s="141">
        <f t="shared" si="88"/>
        <v>0</v>
      </c>
      <c r="V94" s="141">
        <f t="shared" si="88"/>
        <v>0</v>
      </c>
      <c r="W94" s="141">
        <f t="shared" si="88"/>
        <v>0</v>
      </c>
      <c r="X94" s="141">
        <f t="shared" si="88"/>
        <v>0</v>
      </c>
      <c r="Y94" s="141">
        <f t="shared" si="88"/>
        <v>0</v>
      </c>
      <c r="Z94" s="141">
        <f t="shared" si="88"/>
        <v>0</v>
      </c>
      <c r="AA94" s="141">
        <f t="shared" si="88"/>
        <v>0</v>
      </c>
      <c r="AB94" s="141">
        <f t="shared" si="88"/>
        <v>0</v>
      </c>
      <c r="AC94" s="141">
        <f t="shared" si="88"/>
        <v>0</v>
      </c>
      <c r="AD94" s="141">
        <f t="shared" si="88"/>
        <v>0</v>
      </c>
      <c r="AE94" s="141">
        <f t="shared" si="88"/>
        <v>0</v>
      </c>
      <c r="AF94" s="141">
        <f t="shared" si="88"/>
        <v>0</v>
      </c>
      <c r="AG94" s="141">
        <f t="shared" si="88"/>
        <v>0</v>
      </c>
      <c r="AH94" s="231">
        <f>SUM(C94:AG94)</f>
        <v>0</v>
      </c>
      <c r="AI94" s="231"/>
      <c r="AJ94" s="170" t="s">
        <v>12</v>
      </c>
      <c r="AK94" s="133"/>
      <c r="AL94" s="133"/>
    </row>
    <row r="95" spans="1:38" ht="15.95" hidden="1" customHeight="1" x14ac:dyDescent="0.25">
      <c r="A95" s="150" t="s">
        <v>60</v>
      </c>
      <c r="B95" s="167" t="s">
        <v>61</v>
      </c>
      <c r="C95" s="151">
        <f t="shared" ref="C95:AD95" si="89">IF(C13=$R32,$BC32,IF(C13=$R33,$BC33,IF(C13=$R34,$BC34,IF(C13=$R35,$BC35,IF(C13=$R36,$BC36,IF(C13=$R37,$BC37,IF(C13=$R38,$BC38,IF(C13=$R39,$BC39,IF(C13=$R40,$BC40,0)))))))))</f>
        <v>0</v>
      </c>
      <c r="D95" s="151">
        <f t="shared" si="89"/>
        <v>0</v>
      </c>
      <c r="E95" s="151">
        <f t="shared" si="89"/>
        <v>0</v>
      </c>
      <c r="F95" s="151">
        <f t="shared" si="89"/>
        <v>0</v>
      </c>
      <c r="G95" s="151">
        <f t="shared" si="89"/>
        <v>0</v>
      </c>
      <c r="H95" s="151">
        <f t="shared" si="89"/>
        <v>0</v>
      </c>
      <c r="I95" s="151">
        <f t="shared" si="89"/>
        <v>0</v>
      </c>
      <c r="J95" s="151">
        <f t="shared" si="89"/>
        <v>0</v>
      </c>
      <c r="K95" s="151">
        <f t="shared" si="89"/>
        <v>0</v>
      </c>
      <c r="L95" s="151">
        <f t="shared" si="89"/>
        <v>0</v>
      </c>
      <c r="M95" s="151">
        <f t="shared" si="89"/>
        <v>0</v>
      </c>
      <c r="N95" s="151">
        <f t="shared" si="89"/>
        <v>0</v>
      </c>
      <c r="O95" s="151">
        <f t="shared" si="89"/>
        <v>0</v>
      </c>
      <c r="P95" s="151">
        <f t="shared" si="89"/>
        <v>0</v>
      </c>
      <c r="Q95" s="151">
        <f t="shared" si="89"/>
        <v>0</v>
      </c>
      <c r="R95" s="151">
        <f t="shared" si="89"/>
        <v>0</v>
      </c>
      <c r="S95" s="151">
        <f t="shared" si="89"/>
        <v>0</v>
      </c>
      <c r="T95" s="151">
        <f t="shared" si="89"/>
        <v>0</v>
      </c>
      <c r="U95" s="151">
        <f t="shared" si="89"/>
        <v>0</v>
      </c>
      <c r="V95" s="151">
        <f t="shared" si="89"/>
        <v>0</v>
      </c>
      <c r="W95" s="151">
        <f t="shared" si="89"/>
        <v>0</v>
      </c>
      <c r="X95" s="151">
        <f t="shared" si="89"/>
        <v>0</v>
      </c>
      <c r="Y95" s="151">
        <f t="shared" si="89"/>
        <v>0</v>
      </c>
      <c r="Z95" s="151">
        <f t="shared" si="89"/>
        <v>0</v>
      </c>
      <c r="AA95" s="151">
        <f t="shared" si="89"/>
        <v>0</v>
      </c>
      <c r="AB95" s="151">
        <f t="shared" si="89"/>
        <v>0</v>
      </c>
      <c r="AC95" s="151">
        <f t="shared" si="89"/>
        <v>0</v>
      </c>
      <c r="AD95" s="151">
        <f t="shared" si="89"/>
        <v>0</v>
      </c>
      <c r="AE95" s="151">
        <f>IF(AE13=$R32,$BC32,IF(AE13=$R33,$BC33,IF(AE13=$R34,$BC34,IF(AE13=$R35,$BC35,IF(AE13=$R36,$BC36,IF(AE13=$R37,$BC37,IF(AE13=$R38,$BC38,IF(AE13=$R39,$BC39,IF(AE13=$R40,$BC40,0)))))))))</f>
        <v>0</v>
      </c>
      <c r="AF95" s="151">
        <f>IF(AF13=$R32,$BC32,IF(AF13=$R33,$BC33,IF(AF13=$R34,$BC34,IF(AF13=$R35,$BC35,IF(AF13=$R36,$BC36,IF(AF13=$R37,$BC37,IF(AF13=$R38,$BC38,IF(AF13=$R39,$BC39,IF(AF13=$R40,$BC40,0)))))))))</f>
        <v>0</v>
      </c>
      <c r="AG95" s="151">
        <f>IF(AG13=$R32,$BC32,IF(AG13=$R33,$BC33,IF(AG13=$R34,$BC34,IF(AG13=$R35,$BC35,IF(AG13=$R36,$BC36,IF(AG13=$R37,$BC37,IF(AG13=$R38,$BC38,IF(AG13=$R39,$BC39,IF(AG13=$R40,$BC40,0)))))))))</f>
        <v>0</v>
      </c>
      <c r="AH95" s="226">
        <f>SUM(C95:AG95)</f>
        <v>0</v>
      </c>
      <c r="AI95" s="226"/>
      <c r="AJ95" s="175" t="s">
        <v>62</v>
      </c>
      <c r="AK95" s="133" t="s">
        <v>12</v>
      </c>
      <c r="AL95" s="133"/>
    </row>
    <row r="96" spans="1:38" ht="15.95" hidden="1" customHeight="1" x14ac:dyDescent="0.25">
      <c r="A96" s="153" t="s">
        <v>48</v>
      </c>
      <c r="B96" s="149" t="s">
        <v>63</v>
      </c>
      <c r="C96" s="141" t="b">
        <f t="shared" ref="C96:AG96" si="90">IF(C46=1,IF(C91&lt;C92,C95,0))</f>
        <v>0</v>
      </c>
      <c r="D96" s="141" t="b">
        <f t="shared" si="90"/>
        <v>0</v>
      </c>
      <c r="E96" s="141" t="b">
        <f t="shared" si="90"/>
        <v>0</v>
      </c>
      <c r="F96" s="141" t="b">
        <f t="shared" si="90"/>
        <v>0</v>
      </c>
      <c r="G96" s="141" t="b">
        <f t="shared" si="90"/>
        <v>0</v>
      </c>
      <c r="H96" s="141">
        <f t="shared" si="90"/>
        <v>0</v>
      </c>
      <c r="I96" s="141">
        <f t="shared" si="90"/>
        <v>0</v>
      </c>
      <c r="J96" s="141" t="b">
        <f t="shared" si="90"/>
        <v>0</v>
      </c>
      <c r="K96" s="141" t="b">
        <f t="shared" si="90"/>
        <v>0</v>
      </c>
      <c r="L96" s="141" t="b">
        <f t="shared" si="90"/>
        <v>0</v>
      </c>
      <c r="M96" s="141" t="b">
        <f t="shared" si="90"/>
        <v>0</v>
      </c>
      <c r="N96" s="141" t="b">
        <f t="shared" si="90"/>
        <v>0</v>
      </c>
      <c r="O96" s="141">
        <f t="shared" si="90"/>
        <v>0</v>
      </c>
      <c r="P96" s="141">
        <f t="shared" si="90"/>
        <v>0</v>
      </c>
      <c r="Q96" s="141" t="b">
        <f t="shared" si="90"/>
        <v>0</v>
      </c>
      <c r="R96" s="141" t="b">
        <f t="shared" si="90"/>
        <v>0</v>
      </c>
      <c r="S96" s="141" t="b">
        <f t="shared" si="90"/>
        <v>0</v>
      </c>
      <c r="T96" s="141" t="b">
        <f t="shared" si="90"/>
        <v>0</v>
      </c>
      <c r="U96" s="141" t="b">
        <f t="shared" si="90"/>
        <v>0</v>
      </c>
      <c r="V96" s="141">
        <f t="shared" si="90"/>
        <v>0</v>
      </c>
      <c r="W96" s="141">
        <f t="shared" si="90"/>
        <v>0</v>
      </c>
      <c r="X96" s="141" t="b">
        <f t="shared" si="90"/>
        <v>0</v>
      </c>
      <c r="Y96" s="141" t="b">
        <f t="shared" si="90"/>
        <v>0</v>
      </c>
      <c r="Z96" s="141" t="b">
        <f t="shared" si="90"/>
        <v>0</v>
      </c>
      <c r="AA96" s="141" t="b">
        <f t="shared" si="90"/>
        <v>0</v>
      </c>
      <c r="AB96" s="141" t="b">
        <f t="shared" si="90"/>
        <v>0</v>
      </c>
      <c r="AC96" s="141">
        <f t="shared" si="90"/>
        <v>0</v>
      </c>
      <c r="AD96" s="141">
        <f t="shared" si="90"/>
        <v>0</v>
      </c>
      <c r="AE96" s="141" t="b">
        <f t="shared" si="90"/>
        <v>0</v>
      </c>
      <c r="AF96" s="141" t="b">
        <f t="shared" si="90"/>
        <v>0</v>
      </c>
      <c r="AG96" s="141" t="b">
        <f t="shared" si="90"/>
        <v>0</v>
      </c>
      <c r="AH96" s="154" t="s">
        <v>12</v>
      </c>
      <c r="AI96" s="133"/>
      <c r="AJ96" s="170"/>
      <c r="AK96" s="133"/>
      <c r="AL96" s="133"/>
    </row>
    <row r="97" spans="1:57" ht="15.95" hidden="1" customHeight="1" x14ac:dyDescent="0.25">
      <c r="A97" s="176"/>
      <c r="B97" s="149" t="s">
        <v>64</v>
      </c>
      <c r="C97" s="141">
        <f t="shared" ref="C97:AG97" si="91">IF(C46=1,IF(C91&gt;C92,24-C91,0),0)</f>
        <v>0</v>
      </c>
      <c r="D97" s="141">
        <f t="shared" si="91"/>
        <v>0</v>
      </c>
      <c r="E97" s="141">
        <f t="shared" si="91"/>
        <v>0</v>
      </c>
      <c r="F97" s="141">
        <f t="shared" si="91"/>
        <v>0</v>
      </c>
      <c r="G97" s="141">
        <f t="shared" si="91"/>
        <v>0</v>
      </c>
      <c r="H97" s="141">
        <f t="shared" si="91"/>
        <v>0</v>
      </c>
      <c r="I97" s="141">
        <f t="shared" si="91"/>
        <v>0</v>
      </c>
      <c r="J97" s="141">
        <f t="shared" si="91"/>
        <v>0</v>
      </c>
      <c r="K97" s="141">
        <f t="shared" si="91"/>
        <v>0</v>
      </c>
      <c r="L97" s="141">
        <f t="shared" si="91"/>
        <v>0</v>
      </c>
      <c r="M97" s="141">
        <f t="shared" si="91"/>
        <v>0</v>
      </c>
      <c r="N97" s="141">
        <f t="shared" si="91"/>
        <v>0</v>
      </c>
      <c r="O97" s="141">
        <f t="shared" si="91"/>
        <v>0</v>
      </c>
      <c r="P97" s="141">
        <f t="shared" si="91"/>
        <v>0</v>
      </c>
      <c r="Q97" s="141">
        <f t="shared" si="91"/>
        <v>0</v>
      </c>
      <c r="R97" s="141">
        <f t="shared" si="91"/>
        <v>0</v>
      </c>
      <c r="S97" s="141">
        <f t="shared" si="91"/>
        <v>0</v>
      </c>
      <c r="T97" s="141">
        <f t="shared" si="91"/>
        <v>0</v>
      </c>
      <c r="U97" s="141">
        <f t="shared" si="91"/>
        <v>0</v>
      </c>
      <c r="V97" s="141">
        <f t="shared" si="91"/>
        <v>0</v>
      </c>
      <c r="W97" s="141">
        <f t="shared" si="91"/>
        <v>0</v>
      </c>
      <c r="X97" s="141">
        <f t="shared" si="91"/>
        <v>0</v>
      </c>
      <c r="Y97" s="141">
        <f t="shared" si="91"/>
        <v>0</v>
      </c>
      <c r="Z97" s="141">
        <f t="shared" si="91"/>
        <v>0</v>
      </c>
      <c r="AA97" s="141">
        <f t="shared" si="91"/>
        <v>0</v>
      </c>
      <c r="AB97" s="141">
        <f t="shared" si="91"/>
        <v>0</v>
      </c>
      <c r="AC97" s="141">
        <f t="shared" si="91"/>
        <v>0</v>
      </c>
      <c r="AD97" s="141">
        <f t="shared" si="91"/>
        <v>0</v>
      </c>
      <c r="AE97" s="141">
        <f t="shared" si="91"/>
        <v>0</v>
      </c>
      <c r="AF97" s="141">
        <f t="shared" si="91"/>
        <v>0</v>
      </c>
      <c r="AG97" s="141">
        <f t="shared" si="91"/>
        <v>0</v>
      </c>
      <c r="AH97" s="154" t="s">
        <v>12</v>
      </c>
      <c r="AI97" s="133"/>
      <c r="AJ97" s="170"/>
      <c r="AK97" s="133"/>
      <c r="AL97" s="133"/>
    </row>
    <row r="98" spans="1:57" ht="15.95" hidden="1" customHeight="1" x14ac:dyDescent="0.25">
      <c r="A98" s="176"/>
      <c r="B98" s="149" t="s">
        <v>65</v>
      </c>
      <c r="C98" s="141">
        <f t="shared" ref="C98:AG98" si="92">IF(D46=1,IF(C91&gt;C92,C92,0),0)</f>
        <v>0</v>
      </c>
      <c r="D98" s="141">
        <f t="shared" si="92"/>
        <v>0</v>
      </c>
      <c r="E98" s="141">
        <f t="shared" si="92"/>
        <v>0</v>
      </c>
      <c r="F98" s="141">
        <f t="shared" si="92"/>
        <v>0</v>
      </c>
      <c r="G98" s="141">
        <f t="shared" si="92"/>
        <v>0</v>
      </c>
      <c r="H98" s="141">
        <f t="shared" si="92"/>
        <v>0</v>
      </c>
      <c r="I98" s="141">
        <f t="shared" si="92"/>
        <v>0</v>
      </c>
      <c r="J98" s="141">
        <f t="shared" si="92"/>
        <v>0</v>
      </c>
      <c r="K98" s="141">
        <f t="shared" si="92"/>
        <v>0</v>
      </c>
      <c r="L98" s="141">
        <f t="shared" si="92"/>
        <v>0</v>
      </c>
      <c r="M98" s="141">
        <f t="shared" si="92"/>
        <v>0</v>
      </c>
      <c r="N98" s="141">
        <f t="shared" si="92"/>
        <v>0</v>
      </c>
      <c r="O98" s="141">
        <f t="shared" si="92"/>
        <v>0</v>
      </c>
      <c r="P98" s="141">
        <f t="shared" si="92"/>
        <v>0</v>
      </c>
      <c r="Q98" s="141">
        <f t="shared" si="92"/>
        <v>0</v>
      </c>
      <c r="R98" s="141">
        <f t="shared" si="92"/>
        <v>0</v>
      </c>
      <c r="S98" s="141">
        <f t="shared" si="92"/>
        <v>0</v>
      </c>
      <c r="T98" s="141">
        <f t="shared" si="92"/>
        <v>0</v>
      </c>
      <c r="U98" s="141">
        <f t="shared" si="92"/>
        <v>0</v>
      </c>
      <c r="V98" s="141">
        <f t="shared" si="92"/>
        <v>0</v>
      </c>
      <c r="W98" s="141">
        <f t="shared" si="92"/>
        <v>0</v>
      </c>
      <c r="X98" s="141">
        <f>IF(Y46=1,IF(X91&gt;X92,X92,0),0)</f>
        <v>0</v>
      </c>
      <c r="Y98" s="141">
        <f t="shared" si="92"/>
        <v>0</v>
      </c>
      <c r="Z98" s="141">
        <f t="shared" si="92"/>
        <v>0</v>
      </c>
      <c r="AA98" s="141">
        <f t="shared" si="92"/>
        <v>0</v>
      </c>
      <c r="AB98" s="141">
        <f t="shared" si="92"/>
        <v>0</v>
      </c>
      <c r="AC98" s="141">
        <f t="shared" si="92"/>
        <v>0</v>
      </c>
      <c r="AD98" s="141">
        <f t="shared" si="92"/>
        <v>0</v>
      </c>
      <c r="AE98" s="141">
        <f t="shared" si="92"/>
        <v>0</v>
      </c>
      <c r="AF98" s="141">
        <f t="shared" si="92"/>
        <v>0</v>
      </c>
      <c r="AG98" s="141">
        <f t="shared" si="92"/>
        <v>0</v>
      </c>
      <c r="AH98" s="154" t="s">
        <v>12</v>
      </c>
      <c r="AI98" s="133"/>
      <c r="AJ98" s="170"/>
      <c r="AK98" s="133"/>
      <c r="AL98" s="133"/>
    </row>
    <row r="99" spans="1:57" ht="15.95" hidden="1" customHeight="1" x14ac:dyDescent="0.25">
      <c r="A99" s="176"/>
      <c r="B99" s="149" t="s">
        <v>67</v>
      </c>
      <c r="C99" s="178">
        <f t="shared" ref="C99:AG99" si="93">SUM(C96:C98)</f>
        <v>0</v>
      </c>
      <c r="D99" s="178">
        <f t="shared" si="93"/>
        <v>0</v>
      </c>
      <c r="E99" s="178">
        <f t="shared" si="93"/>
        <v>0</v>
      </c>
      <c r="F99" s="178">
        <f t="shared" si="93"/>
        <v>0</v>
      </c>
      <c r="G99" s="178">
        <f t="shared" si="93"/>
        <v>0</v>
      </c>
      <c r="H99" s="178">
        <f t="shared" si="93"/>
        <v>0</v>
      </c>
      <c r="I99" s="178">
        <f t="shared" si="93"/>
        <v>0</v>
      </c>
      <c r="J99" s="178">
        <f t="shared" si="93"/>
        <v>0</v>
      </c>
      <c r="K99" s="178">
        <f t="shared" si="93"/>
        <v>0</v>
      </c>
      <c r="L99" s="178">
        <f t="shared" si="93"/>
        <v>0</v>
      </c>
      <c r="M99" s="178">
        <f t="shared" si="93"/>
        <v>0</v>
      </c>
      <c r="N99" s="178">
        <f t="shared" si="93"/>
        <v>0</v>
      </c>
      <c r="O99" s="178">
        <f t="shared" si="93"/>
        <v>0</v>
      </c>
      <c r="P99" s="178">
        <f t="shared" si="93"/>
        <v>0</v>
      </c>
      <c r="Q99" s="178">
        <f t="shared" si="93"/>
        <v>0</v>
      </c>
      <c r="R99" s="178">
        <f t="shared" si="93"/>
        <v>0</v>
      </c>
      <c r="S99" s="178">
        <f t="shared" si="93"/>
        <v>0</v>
      </c>
      <c r="T99" s="178">
        <f t="shared" si="93"/>
        <v>0</v>
      </c>
      <c r="U99" s="178">
        <f t="shared" si="93"/>
        <v>0</v>
      </c>
      <c r="V99" s="178">
        <f t="shared" si="93"/>
        <v>0</v>
      </c>
      <c r="W99" s="178">
        <f t="shared" si="93"/>
        <v>0</v>
      </c>
      <c r="X99" s="178">
        <f t="shared" si="93"/>
        <v>0</v>
      </c>
      <c r="Y99" s="178">
        <f t="shared" si="93"/>
        <v>0</v>
      </c>
      <c r="Z99" s="178">
        <f t="shared" si="93"/>
        <v>0</v>
      </c>
      <c r="AA99" s="178">
        <f t="shared" si="93"/>
        <v>0</v>
      </c>
      <c r="AB99" s="178">
        <f t="shared" si="93"/>
        <v>0</v>
      </c>
      <c r="AC99" s="178">
        <f t="shared" si="93"/>
        <v>0</v>
      </c>
      <c r="AD99" s="178">
        <f t="shared" si="93"/>
        <v>0</v>
      </c>
      <c r="AE99" s="178">
        <f t="shared" si="93"/>
        <v>0</v>
      </c>
      <c r="AF99" s="178">
        <f t="shared" si="93"/>
        <v>0</v>
      </c>
      <c r="AG99" s="178">
        <f t="shared" si="93"/>
        <v>0</v>
      </c>
      <c r="AH99" s="154" t="s">
        <v>12</v>
      </c>
      <c r="AI99" s="133"/>
      <c r="AJ99" s="170"/>
      <c r="AK99" s="133"/>
      <c r="AL99" s="133"/>
    </row>
    <row r="100" spans="1:57" ht="15.95" hidden="1" customHeight="1" x14ac:dyDescent="0.25">
      <c r="A100" s="177"/>
      <c r="B100" s="160" t="s">
        <v>68</v>
      </c>
      <c r="C100" s="161">
        <f t="shared" ref="C100:AG100" si="94">IF(C13="V",IF(C13="",0,1),0)</f>
        <v>0</v>
      </c>
      <c r="D100" s="161">
        <f t="shared" si="94"/>
        <v>0</v>
      </c>
      <c r="E100" s="161">
        <f t="shared" si="94"/>
        <v>0</v>
      </c>
      <c r="F100" s="161">
        <f t="shared" si="94"/>
        <v>0</v>
      </c>
      <c r="G100" s="161">
        <f t="shared" si="94"/>
        <v>0</v>
      </c>
      <c r="H100" s="161">
        <f t="shared" si="94"/>
        <v>0</v>
      </c>
      <c r="I100" s="161">
        <f t="shared" si="94"/>
        <v>0</v>
      </c>
      <c r="J100" s="161">
        <f t="shared" si="94"/>
        <v>0</v>
      </c>
      <c r="K100" s="161">
        <f t="shared" si="94"/>
        <v>0</v>
      </c>
      <c r="L100" s="161">
        <f t="shared" si="94"/>
        <v>0</v>
      </c>
      <c r="M100" s="161">
        <f t="shared" si="94"/>
        <v>0</v>
      </c>
      <c r="N100" s="161">
        <f t="shared" si="94"/>
        <v>0</v>
      </c>
      <c r="O100" s="161">
        <f t="shared" si="94"/>
        <v>0</v>
      </c>
      <c r="P100" s="161">
        <f t="shared" si="94"/>
        <v>0</v>
      </c>
      <c r="Q100" s="161">
        <f t="shared" si="94"/>
        <v>0</v>
      </c>
      <c r="R100" s="161">
        <f t="shared" si="94"/>
        <v>0</v>
      </c>
      <c r="S100" s="161">
        <f t="shared" si="94"/>
        <v>0</v>
      </c>
      <c r="T100" s="161">
        <f t="shared" si="94"/>
        <v>0</v>
      </c>
      <c r="U100" s="161">
        <f t="shared" si="94"/>
        <v>0</v>
      </c>
      <c r="V100" s="161">
        <f t="shared" si="94"/>
        <v>0</v>
      </c>
      <c r="W100" s="161">
        <f t="shared" si="94"/>
        <v>0</v>
      </c>
      <c r="X100" s="161">
        <f t="shared" si="94"/>
        <v>0</v>
      </c>
      <c r="Y100" s="161">
        <f t="shared" si="94"/>
        <v>0</v>
      </c>
      <c r="Z100" s="161">
        <f t="shared" si="94"/>
        <v>0</v>
      </c>
      <c r="AA100" s="161">
        <f t="shared" si="94"/>
        <v>0</v>
      </c>
      <c r="AB100" s="161">
        <f t="shared" si="94"/>
        <v>0</v>
      </c>
      <c r="AC100" s="161">
        <f t="shared" si="94"/>
        <v>0</v>
      </c>
      <c r="AD100" s="161">
        <f t="shared" si="94"/>
        <v>0</v>
      </c>
      <c r="AE100" s="161">
        <f t="shared" si="94"/>
        <v>0</v>
      </c>
      <c r="AF100" s="161">
        <f t="shared" si="94"/>
        <v>0</v>
      </c>
      <c r="AG100" s="161">
        <f t="shared" si="94"/>
        <v>0</v>
      </c>
      <c r="AH100" s="154" t="s">
        <v>12</v>
      </c>
      <c r="AI100" s="133"/>
      <c r="AJ100" s="170"/>
      <c r="AK100" s="133"/>
      <c r="AL100" s="133"/>
    </row>
    <row r="101" spans="1:57" ht="15.95" hidden="1" customHeight="1" x14ac:dyDescent="0.25">
      <c r="A101" s="173"/>
      <c r="B101" s="130" t="s">
        <v>16</v>
      </c>
      <c r="C101" s="179">
        <f t="shared" ref="C101:AG101" si="95">IF(C13="PR",IF(C13="",0,1),0)</f>
        <v>0</v>
      </c>
      <c r="D101" s="179">
        <f t="shared" si="95"/>
        <v>0</v>
      </c>
      <c r="E101" s="179">
        <f t="shared" si="95"/>
        <v>0</v>
      </c>
      <c r="F101" s="179">
        <f t="shared" si="95"/>
        <v>0</v>
      </c>
      <c r="G101" s="179">
        <f t="shared" si="95"/>
        <v>0</v>
      </c>
      <c r="H101" s="179">
        <f t="shared" si="95"/>
        <v>0</v>
      </c>
      <c r="I101" s="179">
        <f t="shared" si="95"/>
        <v>0</v>
      </c>
      <c r="J101" s="179">
        <f t="shared" si="95"/>
        <v>0</v>
      </c>
      <c r="K101" s="179">
        <f t="shared" si="95"/>
        <v>0</v>
      </c>
      <c r="L101" s="179">
        <f t="shared" si="95"/>
        <v>0</v>
      </c>
      <c r="M101" s="179">
        <f t="shared" si="95"/>
        <v>0</v>
      </c>
      <c r="N101" s="179">
        <f t="shared" si="95"/>
        <v>0</v>
      </c>
      <c r="O101" s="179">
        <f t="shared" si="95"/>
        <v>0</v>
      </c>
      <c r="P101" s="179">
        <f t="shared" si="95"/>
        <v>0</v>
      </c>
      <c r="Q101" s="179">
        <f t="shared" si="95"/>
        <v>0</v>
      </c>
      <c r="R101" s="179">
        <f t="shared" si="95"/>
        <v>0</v>
      </c>
      <c r="S101" s="179">
        <f t="shared" si="95"/>
        <v>0</v>
      </c>
      <c r="T101" s="179">
        <f t="shared" si="95"/>
        <v>0</v>
      </c>
      <c r="U101" s="179">
        <f t="shared" si="95"/>
        <v>0</v>
      </c>
      <c r="V101" s="179">
        <f t="shared" si="95"/>
        <v>0</v>
      </c>
      <c r="W101" s="179">
        <f t="shared" si="95"/>
        <v>0</v>
      </c>
      <c r="X101" s="179">
        <f t="shared" si="95"/>
        <v>0</v>
      </c>
      <c r="Y101" s="179">
        <f t="shared" si="95"/>
        <v>0</v>
      </c>
      <c r="Z101" s="179">
        <f t="shared" si="95"/>
        <v>0</v>
      </c>
      <c r="AA101" s="179">
        <f t="shared" si="95"/>
        <v>0</v>
      </c>
      <c r="AB101" s="179">
        <f t="shared" si="95"/>
        <v>0</v>
      </c>
      <c r="AC101" s="179">
        <f t="shared" si="95"/>
        <v>0</v>
      </c>
      <c r="AD101" s="179">
        <f t="shared" si="95"/>
        <v>0</v>
      </c>
      <c r="AE101" s="179">
        <f t="shared" si="95"/>
        <v>0</v>
      </c>
      <c r="AF101" s="179">
        <f t="shared" si="95"/>
        <v>0</v>
      </c>
      <c r="AG101" s="179">
        <f t="shared" si="95"/>
        <v>0</v>
      </c>
      <c r="AH101" s="229">
        <f>SUM(C101:AG101)</f>
        <v>0</v>
      </c>
      <c r="AI101" s="229"/>
      <c r="AJ101" s="174" t="s">
        <v>69</v>
      </c>
      <c r="AK101" s="133"/>
      <c r="AL101" s="133"/>
    </row>
    <row r="102" spans="1:57" ht="15.95" hidden="1" customHeight="1" x14ac:dyDescent="0.25">
      <c r="A102" s="164" t="s">
        <v>79</v>
      </c>
      <c r="B102" s="165" t="s">
        <v>29</v>
      </c>
      <c r="C102" s="141" t="str">
        <f t="shared" ref="C102:AG102" si="96">IF(C14=$R32,$S32*24,IF(C14=$R33,$S33*24,IF(C14=$R34,$S34*24,IF(C14=$R35,$S35*24,IF(C14=$R36,$S36*24,IF(C14=$R37,$S37*24,IF(C14=$R38,$S38*24,IF(C14=$R39,$S39*24,IF(C14=$R40,$S40*24,"")))))))))</f>
        <v/>
      </c>
      <c r="D102" s="141" t="str">
        <f t="shared" si="96"/>
        <v/>
      </c>
      <c r="E102" s="141" t="str">
        <f t="shared" si="96"/>
        <v/>
      </c>
      <c r="F102" s="141" t="str">
        <f t="shared" si="96"/>
        <v/>
      </c>
      <c r="G102" s="141" t="str">
        <f t="shared" si="96"/>
        <v/>
      </c>
      <c r="H102" s="141" t="str">
        <f t="shared" si="96"/>
        <v/>
      </c>
      <c r="I102" s="141" t="str">
        <f t="shared" si="96"/>
        <v/>
      </c>
      <c r="J102" s="141" t="str">
        <f t="shared" si="96"/>
        <v/>
      </c>
      <c r="K102" s="141" t="str">
        <f t="shared" si="96"/>
        <v/>
      </c>
      <c r="L102" s="141" t="str">
        <f t="shared" si="96"/>
        <v/>
      </c>
      <c r="M102" s="141" t="str">
        <f t="shared" si="96"/>
        <v/>
      </c>
      <c r="N102" s="141" t="str">
        <f t="shared" si="96"/>
        <v/>
      </c>
      <c r="O102" s="141" t="str">
        <f t="shared" si="96"/>
        <v/>
      </c>
      <c r="P102" s="141" t="str">
        <f t="shared" si="96"/>
        <v/>
      </c>
      <c r="Q102" s="141" t="str">
        <f t="shared" si="96"/>
        <v/>
      </c>
      <c r="R102" s="141" t="str">
        <f t="shared" si="96"/>
        <v/>
      </c>
      <c r="S102" s="141" t="str">
        <f t="shared" si="96"/>
        <v/>
      </c>
      <c r="T102" s="141" t="str">
        <f t="shared" si="96"/>
        <v/>
      </c>
      <c r="U102" s="141" t="str">
        <f t="shared" si="96"/>
        <v/>
      </c>
      <c r="V102" s="141" t="str">
        <f t="shared" si="96"/>
        <v/>
      </c>
      <c r="W102" s="141" t="str">
        <f t="shared" si="96"/>
        <v/>
      </c>
      <c r="X102" s="141" t="str">
        <f t="shared" si="96"/>
        <v/>
      </c>
      <c r="Y102" s="141" t="str">
        <f t="shared" si="96"/>
        <v/>
      </c>
      <c r="Z102" s="141" t="str">
        <f t="shared" si="96"/>
        <v/>
      </c>
      <c r="AA102" s="141" t="str">
        <f t="shared" si="96"/>
        <v/>
      </c>
      <c r="AB102" s="141" t="str">
        <f t="shared" si="96"/>
        <v/>
      </c>
      <c r="AC102" s="141" t="str">
        <f t="shared" si="96"/>
        <v/>
      </c>
      <c r="AD102" s="141" t="str">
        <f t="shared" si="96"/>
        <v/>
      </c>
      <c r="AE102" s="141" t="str">
        <f t="shared" si="96"/>
        <v/>
      </c>
      <c r="AF102" s="141" t="str">
        <f t="shared" si="96"/>
        <v/>
      </c>
      <c r="AG102" s="141" t="str">
        <f t="shared" si="96"/>
        <v/>
      </c>
      <c r="AH102" s="154" t="s">
        <v>12</v>
      </c>
      <c r="AI102" s="133"/>
      <c r="AJ102" s="170"/>
      <c r="AK102" s="133"/>
      <c r="AL102" s="133"/>
    </row>
    <row r="103" spans="1:57" ht="15.95" hidden="1" customHeight="1" x14ac:dyDescent="0.25">
      <c r="A103" s="166" t="s">
        <v>80</v>
      </c>
      <c r="B103" s="167" t="s">
        <v>30</v>
      </c>
      <c r="C103" s="141" t="str">
        <f t="shared" ref="C103:AG103" si="97">IF(C14=$R32,$V32*24,IF(C14=$R33,$V33*24,IF(C14=$R34,$V34*24,IF(C14=$R35,$V35*24,IF(C14=$R36,$V36*24,IF(C14=$R37,$V37*24,IF(C14=$R38,$V38*24,IF(C14=$R39,$V39*24,IF(C14=$R40,$V40*24,"")))))))))</f>
        <v/>
      </c>
      <c r="D103" s="141" t="str">
        <f t="shared" si="97"/>
        <v/>
      </c>
      <c r="E103" s="141" t="str">
        <f t="shared" si="97"/>
        <v/>
      </c>
      <c r="F103" s="141" t="str">
        <f t="shared" si="97"/>
        <v/>
      </c>
      <c r="G103" s="141" t="str">
        <f t="shared" si="97"/>
        <v/>
      </c>
      <c r="H103" s="141" t="str">
        <f t="shared" si="97"/>
        <v/>
      </c>
      <c r="I103" s="141" t="str">
        <f t="shared" si="97"/>
        <v/>
      </c>
      <c r="J103" s="141" t="str">
        <f t="shared" si="97"/>
        <v/>
      </c>
      <c r="K103" s="141" t="str">
        <f t="shared" si="97"/>
        <v/>
      </c>
      <c r="L103" s="141" t="str">
        <f t="shared" si="97"/>
        <v/>
      </c>
      <c r="M103" s="141" t="str">
        <f t="shared" si="97"/>
        <v/>
      </c>
      <c r="N103" s="141" t="str">
        <f t="shared" si="97"/>
        <v/>
      </c>
      <c r="O103" s="141" t="str">
        <f t="shared" si="97"/>
        <v/>
      </c>
      <c r="P103" s="141" t="str">
        <f t="shared" si="97"/>
        <v/>
      </c>
      <c r="Q103" s="141" t="str">
        <f t="shared" si="97"/>
        <v/>
      </c>
      <c r="R103" s="141" t="str">
        <f t="shared" si="97"/>
        <v/>
      </c>
      <c r="S103" s="141" t="str">
        <f t="shared" si="97"/>
        <v/>
      </c>
      <c r="T103" s="141" t="str">
        <f t="shared" si="97"/>
        <v/>
      </c>
      <c r="U103" s="141" t="str">
        <f t="shared" si="97"/>
        <v/>
      </c>
      <c r="V103" s="141" t="str">
        <f t="shared" si="97"/>
        <v/>
      </c>
      <c r="W103" s="141" t="str">
        <f t="shared" si="97"/>
        <v/>
      </c>
      <c r="X103" s="141" t="str">
        <f t="shared" si="97"/>
        <v/>
      </c>
      <c r="Y103" s="141" t="str">
        <f t="shared" si="97"/>
        <v/>
      </c>
      <c r="Z103" s="141" t="str">
        <f t="shared" si="97"/>
        <v/>
      </c>
      <c r="AA103" s="141" t="str">
        <f t="shared" si="97"/>
        <v/>
      </c>
      <c r="AB103" s="141" t="str">
        <f t="shared" si="97"/>
        <v/>
      </c>
      <c r="AC103" s="141" t="str">
        <f t="shared" si="97"/>
        <v/>
      </c>
      <c r="AD103" s="141" t="str">
        <f t="shared" si="97"/>
        <v/>
      </c>
      <c r="AE103" s="141" t="str">
        <f t="shared" si="97"/>
        <v/>
      </c>
      <c r="AF103" s="141" t="str">
        <f t="shared" si="97"/>
        <v/>
      </c>
      <c r="AG103" s="141" t="str">
        <f t="shared" si="97"/>
        <v/>
      </c>
      <c r="AH103" s="154" t="s">
        <v>12</v>
      </c>
      <c r="AI103" s="133"/>
      <c r="AJ103" s="170"/>
      <c r="AK103" s="133"/>
      <c r="AL103" s="133"/>
    </row>
    <row r="104" spans="1:57" ht="15.95" hidden="1" customHeight="1" x14ac:dyDescent="0.25">
      <c r="A104" s="153"/>
      <c r="B104" s="168" t="s">
        <v>34</v>
      </c>
      <c r="C104" s="169" t="str">
        <f t="shared" ref="C104:AD104" si="98">IF(C14=$R32,$BD32*24,IF(C14=$R33,$BD33*24,IF(C14=$R34,$BD34*24,IF(C14=$R35,$BD35*24,IF(C14=$R36,$BD36*24,IF(C14=$R37,$BD37*24,IF(C14=$R38,$BD38*24,IF(C14=$R39,$BD39*24,IF(C14=$R40,$BD40*24,"")))))))))</f>
        <v/>
      </c>
      <c r="D104" s="169" t="str">
        <f t="shared" si="98"/>
        <v/>
      </c>
      <c r="E104" s="169" t="str">
        <f t="shared" si="98"/>
        <v/>
      </c>
      <c r="F104" s="169" t="str">
        <f t="shared" si="98"/>
        <v/>
      </c>
      <c r="G104" s="169" t="str">
        <f t="shared" si="98"/>
        <v/>
      </c>
      <c r="H104" s="169" t="str">
        <f t="shared" si="98"/>
        <v/>
      </c>
      <c r="I104" s="169" t="str">
        <f t="shared" si="98"/>
        <v/>
      </c>
      <c r="J104" s="169" t="str">
        <f t="shared" si="98"/>
        <v/>
      </c>
      <c r="K104" s="169" t="str">
        <f t="shared" si="98"/>
        <v/>
      </c>
      <c r="L104" s="169" t="str">
        <f t="shared" si="98"/>
        <v/>
      </c>
      <c r="M104" s="169" t="str">
        <f t="shared" si="98"/>
        <v/>
      </c>
      <c r="N104" s="169" t="str">
        <f t="shared" si="98"/>
        <v/>
      </c>
      <c r="O104" s="169" t="str">
        <f t="shared" si="98"/>
        <v/>
      </c>
      <c r="P104" s="169" t="str">
        <f t="shared" si="98"/>
        <v/>
      </c>
      <c r="Q104" s="169" t="str">
        <f t="shared" si="98"/>
        <v/>
      </c>
      <c r="R104" s="169" t="str">
        <f t="shared" si="98"/>
        <v/>
      </c>
      <c r="S104" s="169" t="str">
        <f t="shared" si="98"/>
        <v/>
      </c>
      <c r="T104" s="169" t="str">
        <f t="shared" si="98"/>
        <v/>
      </c>
      <c r="U104" s="169" t="str">
        <f t="shared" si="98"/>
        <v/>
      </c>
      <c r="V104" s="169" t="str">
        <f t="shared" si="98"/>
        <v/>
      </c>
      <c r="W104" s="169" t="str">
        <f t="shared" si="98"/>
        <v/>
      </c>
      <c r="X104" s="169" t="str">
        <f t="shared" si="98"/>
        <v/>
      </c>
      <c r="Y104" s="169" t="str">
        <f t="shared" si="98"/>
        <v/>
      </c>
      <c r="Z104" s="169" t="str">
        <f t="shared" si="98"/>
        <v/>
      </c>
      <c r="AA104" s="169" t="str">
        <f t="shared" si="98"/>
        <v/>
      </c>
      <c r="AB104" s="169" t="str">
        <f t="shared" si="98"/>
        <v/>
      </c>
      <c r="AC104" s="169" t="str">
        <f t="shared" si="98"/>
        <v/>
      </c>
      <c r="AD104" s="169" t="str">
        <f t="shared" si="98"/>
        <v/>
      </c>
      <c r="AE104" s="169" t="str">
        <f>IF(AE14=$R32,$BD32*24,IF(AE14=$R33,$BD33*24,IF(AE14=$R34,$BD34*24,IF(AE14=$R35,$BD35*24,IF(AE14=$R36,$BD36*24,IF(AE14=$R37,$BD37*24,IF(AE14=$R38,$BD38*24,IF(AE14=$R39,$BD39*24,IF(AE14=$R40,$BD40*24,"")))))))))</f>
        <v/>
      </c>
      <c r="AF104" s="169" t="str">
        <f>IF(AF14=$R32,$BD32*24,IF(AF14=$R33,$BD33*24,IF(AF14=$R34,$BD34*24,IF(AF14=$R35,$BD35*24,IF(AF14=$R36,$BD36*24,IF(AF14=$R37,$BD37*24,IF(AF14=$R38,$BD38*24,IF(AF14=$R39,$BD39*24,IF(AF14=$R40,$BD40*24,"")))))))))</f>
        <v/>
      </c>
      <c r="AG104" s="169" t="str">
        <f>IF(AG14=$R32,$BD32*24,IF(AG14=$R33,$BD33*24,IF(AG14=$R34,$BD34*24,IF(AG14=$R35,$BD35*24,IF(AG14=$R36,$BD36*24,IF(AG14=$R37,$BD37*24,IF(AG14=$R38,$BD38*24,IF(AG14=$R39,$BD39*24,IF(AG14=$R40,$BD40*24,"")))))))))</f>
        <v/>
      </c>
      <c r="AH104" s="148">
        <f>SUM(C104:AG104)</f>
        <v>0</v>
      </c>
      <c r="AI104" s="133"/>
      <c r="AJ104" s="170"/>
      <c r="AK104" s="133"/>
      <c r="AL104" s="133"/>
    </row>
    <row r="105" spans="1:57" ht="15.95" hidden="1" customHeight="1" x14ac:dyDescent="0.25">
      <c r="A105" s="153"/>
      <c r="B105" s="167" t="s">
        <v>59</v>
      </c>
      <c r="C105" s="141">
        <f t="shared" ref="C105:AG105" si="99">IF(C14="V",$C36,IF(C14="PR",$C38,0))</f>
        <v>0</v>
      </c>
      <c r="D105" s="141">
        <f t="shared" si="99"/>
        <v>0</v>
      </c>
      <c r="E105" s="141">
        <f t="shared" si="99"/>
        <v>0</v>
      </c>
      <c r="F105" s="141">
        <f t="shared" si="99"/>
        <v>0</v>
      </c>
      <c r="G105" s="141">
        <f t="shared" si="99"/>
        <v>0</v>
      </c>
      <c r="H105" s="141">
        <f t="shared" si="99"/>
        <v>0</v>
      </c>
      <c r="I105" s="141">
        <f t="shared" si="99"/>
        <v>0</v>
      </c>
      <c r="J105" s="141">
        <f t="shared" si="99"/>
        <v>0</v>
      </c>
      <c r="K105" s="141">
        <f t="shared" si="99"/>
        <v>0</v>
      </c>
      <c r="L105" s="141">
        <f t="shared" si="99"/>
        <v>0</v>
      </c>
      <c r="M105" s="141">
        <f t="shared" si="99"/>
        <v>0</v>
      </c>
      <c r="N105" s="141">
        <f t="shared" si="99"/>
        <v>0</v>
      </c>
      <c r="O105" s="141">
        <f t="shared" si="99"/>
        <v>0</v>
      </c>
      <c r="P105" s="141">
        <f t="shared" si="99"/>
        <v>0</v>
      </c>
      <c r="Q105" s="141">
        <f t="shared" si="99"/>
        <v>0</v>
      </c>
      <c r="R105" s="141">
        <f t="shared" si="99"/>
        <v>0</v>
      </c>
      <c r="S105" s="141">
        <f t="shared" si="99"/>
        <v>0</v>
      </c>
      <c r="T105" s="141">
        <f t="shared" si="99"/>
        <v>0</v>
      </c>
      <c r="U105" s="141">
        <f t="shared" si="99"/>
        <v>0</v>
      </c>
      <c r="V105" s="141">
        <f t="shared" si="99"/>
        <v>0</v>
      </c>
      <c r="W105" s="141">
        <f t="shared" si="99"/>
        <v>0</v>
      </c>
      <c r="X105" s="141">
        <f t="shared" si="99"/>
        <v>0</v>
      </c>
      <c r="Y105" s="141">
        <f t="shared" si="99"/>
        <v>0</v>
      </c>
      <c r="Z105" s="141">
        <f t="shared" si="99"/>
        <v>0</v>
      </c>
      <c r="AA105" s="141">
        <f t="shared" si="99"/>
        <v>0</v>
      </c>
      <c r="AB105" s="141">
        <f t="shared" si="99"/>
        <v>0</v>
      </c>
      <c r="AC105" s="141">
        <f t="shared" si="99"/>
        <v>0</v>
      </c>
      <c r="AD105" s="141">
        <f t="shared" si="99"/>
        <v>0</v>
      </c>
      <c r="AE105" s="141">
        <f t="shared" si="99"/>
        <v>0</v>
      </c>
      <c r="AF105" s="141">
        <f t="shared" si="99"/>
        <v>0</v>
      </c>
      <c r="AG105" s="141">
        <f t="shared" si="99"/>
        <v>0</v>
      </c>
      <c r="AH105" s="226">
        <f>SUM(C105:AG105)</f>
        <v>0</v>
      </c>
      <c r="AI105" s="226"/>
      <c r="AJ105" s="230">
        <f>SUM(AH50+AH61+AH72+AH83+AH94+AH105)</f>
        <v>0</v>
      </c>
      <c r="AK105" s="230"/>
      <c r="AL105" s="133" t="s">
        <v>56</v>
      </c>
      <c r="AM105" s="1" t="s">
        <v>12</v>
      </c>
    </row>
    <row r="106" spans="1:57" ht="15.95" hidden="1" customHeight="1" x14ac:dyDescent="0.25">
      <c r="A106" s="150" t="s">
        <v>60</v>
      </c>
      <c r="B106" s="167" t="s">
        <v>61</v>
      </c>
      <c r="C106" s="151">
        <f t="shared" ref="C106:AD106" si="100">IF(C14=$R32,$BC32,IF(C14=$R33,$BC33,IF(C14=$R34,$BC34,IF(C14=$R35,$BC35,IF(C14=$R36,$BC36,IF(C14=$R37,$BC37,IF(C14=$R38,$BC38,IF(C14=$R39,$BC39,IF(C14=$R40,$BC40,0)))))))))</f>
        <v>0</v>
      </c>
      <c r="D106" s="151">
        <f t="shared" si="100"/>
        <v>0</v>
      </c>
      <c r="E106" s="151">
        <f t="shared" si="100"/>
        <v>0</v>
      </c>
      <c r="F106" s="151">
        <f t="shared" si="100"/>
        <v>0</v>
      </c>
      <c r="G106" s="151">
        <f t="shared" si="100"/>
        <v>0</v>
      </c>
      <c r="H106" s="151">
        <f t="shared" si="100"/>
        <v>0</v>
      </c>
      <c r="I106" s="151">
        <f t="shared" si="100"/>
        <v>0</v>
      </c>
      <c r="J106" s="151">
        <f t="shared" si="100"/>
        <v>0</v>
      </c>
      <c r="K106" s="151">
        <f t="shared" si="100"/>
        <v>0</v>
      </c>
      <c r="L106" s="151">
        <f t="shared" si="100"/>
        <v>0</v>
      </c>
      <c r="M106" s="151">
        <f t="shared" si="100"/>
        <v>0</v>
      </c>
      <c r="N106" s="151">
        <f t="shared" si="100"/>
        <v>0</v>
      </c>
      <c r="O106" s="151">
        <f t="shared" si="100"/>
        <v>0</v>
      </c>
      <c r="P106" s="151">
        <f t="shared" si="100"/>
        <v>0</v>
      </c>
      <c r="Q106" s="151">
        <f t="shared" si="100"/>
        <v>0</v>
      </c>
      <c r="R106" s="151">
        <f t="shared" si="100"/>
        <v>0</v>
      </c>
      <c r="S106" s="151">
        <f t="shared" si="100"/>
        <v>0</v>
      </c>
      <c r="T106" s="151">
        <f t="shared" si="100"/>
        <v>0</v>
      </c>
      <c r="U106" s="151">
        <f t="shared" si="100"/>
        <v>0</v>
      </c>
      <c r="V106" s="151">
        <f t="shared" si="100"/>
        <v>0</v>
      </c>
      <c r="W106" s="151">
        <f t="shared" si="100"/>
        <v>0</v>
      </c>
      <c r="X106" s="151">
        <f t="shared" si="100"/>
        <v>0</v>
      </c>
      <c r="Y106" s="151">
        <f t="shared" si="100"/>
        <v>0</v>
      </c>
      <c r="Z106" s="151">
        <f t="shared" si="100"/>
        <v>0</v>
      </c>
      <c r="AA106" s="151">
        <f t="shared" si="100"/>
        <v>0</v>
      </c>
      <c r="AB106" s="151">
        <f t="shared" si="100"/>
        <v>0</v>
      </c>
      <c r="AC106" s="151">
        <f t="shared" si="100"/>
        <v>0</v>
      </c>
      <c r="AD106" s="151">
        <f t="shared" si="100"/>
        <v>0</v>
      </c>
      <c r="AE106" s="151">
        <f>IF(AE14=$R32,$BC32,IF(AE14=$R33,$BC33,IF(AE14=$R34,$BC34,IF(AE14=$R35,$BC35,IF(AE14=$R36,$BC36,IF(AE14=$R37,$BC37,IF(AE14=$R38,$BC38,IF(AE14=$R39,$BC39,IF(AE14=$R40,$BC40,0)))))))))</f>
        <v>0</v>
      </c>
      <c r="AF106" s="151">
        <f>IF(AF14=$R32,$BC32,IF(AF14=$R33,$BC33,IF(AF14=$R34,$BC34,IF(AF14=$R35,$BC35,IF(AF14=$R36,$BC36,IF(AF14=$R37,$BC37,IF(AF14=$R38,$BC38,IF(AF14=$R39,$BC39,IF(AF14=$R40,$BC40,0)))))))))</f>
        <v>0</v>
      </c>
      <c r="AG106" s="151">
        <f>IF(AG14=$R32,$BC32,IF(AG14=$R33,$BC33,IF(AG14=$R34,$BC34,IF(AG14=$R35,$BC35,IF(AG14=$R36,$BC36,IF(AG14=$R37,$BC37,IF(AG14=$R38,$BC38,IF(AG14=$R39,$BC39,IF(AG14=$R40,$BC40,0)))))))))</f>
        <v>0</v>
      </c>
      <c r="AH106" s="226">
        <f>SUM(C106:AG106)</f>
        <v>0</v>
      </c>
      <c r="AI106" s="226"/>
      <c r="AJ106" s="174" t="s">
        <v>62</v>
      </c>
      <c r="AK106" s="133" t="s">
        <v>12</v>
      </c>
      <c r="AL106" s="133"/>
    </row>
    <row r="107" spans="1:57" ht="15.95" hidden="1" customHeight="1" x14ac:dyDescent="0.25">
      <c r="A107" s="153" t="s">
        <v>48</v>
      </c>
      <c r="B107" s="149" t="s">
        <v>63</v>
      </c>
      <c r="C107" s="141" t="b">
        <f t="shared" ref="C107:AG107" si="101">IF(C46=1,IF(C102&lt;C103,C106,0))</f>
        <v>0</v>
      </c>
      <c r="D107" s="141" t="b">
        <f t="shared" si="101"/>
        <v>0</v>
      </c>
      <c r="E107" s="141" t="b">
        <f t="shared" si="101"/>
        <v>0</v>
      </c>
      <c r="F107" s="141" t="b">
        <f t="shared" si="101"/>
        <v>0</v>
      </c>
      <c r="G107" s="141" t="b">
        <f t="shared" si="101"/>
        <v>0</v>
      </c>
      <c r="H107" s="141">
        <f t="shared" si="101"/>
        <v>0</v>
      </c>
      <c r="I107" s="141">
        <f t="shared" si="101"/>
        <v>0</v>
      </c>
      <c r="J107" s="141" t="b">
        <f t="shared" si="101"/>
        <v>0</v>
      </c>
      <c r="K107" s="141" t="b">
        <f t="shared" si="101"/>
        <v>0</v>
      </c>
      <c r="L107" s="141" t="b">
        <f t="shared" si="101"/>
        <v>0</v>
      </c>
      <c r="M107" s="141" t="b">
        <f t="shared" si="101"/>
        <v>0</v>
      </c>
      <c r="N107" s="141" t="b">
        <f t="shared" si="101"/>
        <v>0</v>
      </c>
      <c r="O107" s="141">
        <f t="shared" si="101"/>
        <v>0</v>
      </c>
      <c r="P107" s="141">
        <f t="shared" si="101"/>
        <v>0</v>
      </c>
      <c r="Q107" s="141" t="b">
        <f t="shared" si="101"/>
        <v>0</v>
      </c>
      <c r="R107" s="141" t="b">
        <f t="shared" si="101"/>
        <v>0</v>
      </c>
      <c r="S107" s="141" t="b">
        <f t="shared" si="101"/>
        <v>0</v>
      </c>
      <c r="T107" s="141" t="b">
        <f t="shared" si="101"/>
        <v>0</v>
      </c>
      <c r="U107" s="141" t="b">
        <f t="shared" si="101"/>
        <v>0</v>
      </c>
      <c r="V107" s="141">
        <f t="shared" si="101"/>
        <v>0</v>
      </c>
      <c r="W107" s="141">
        <f t="shared" si="101"/>
        <v>0</v>
      </c>
      <c r="X107" s="141" t="b">
        <f t="shared" si="101"/>
        <v>0</v>
      </c>
      <c r="Y107" s="141" t="b">
        <f t="shared" si="101"/>
        <v>0</v>
      </c>
      <c r="Z107" s="141" t="b">
        <f t="shared" si="101"/>
        <v>0</v>
      </c>
      <c r="AA107" s="141" t="b">
        <f t="shared" si="101"/>
        <v>0</v>
      </c>
      <c r="AB107" s="141" t="b">
        <f t="shared" si="101"/>
        <v>0</v>
      </c>
      <c r="AC107" s="141">
        <f t="shared" si="101"/>
        <v>0</v>
      </c>
      <c r="AD107" s="141">
        <f t="shared" si="101"/>
        <v>0</v>
      </c>
      <c r="AE107" s="141" t="b">
        <f t="shared" si="101"/>
        <v>0</v>
      </c>
      <c r="AF107" s="141" t="b">
        <f t="shared" si="101"/>
        <v>0</v>
      </c>
      <c r="AG107" s="141" t="b">
        <f t="shared" si="101"/>
        <v>0</v>
      </c>
      <c r="AH107" s="154" t="s">
        <v>12</v>
      </c>
      <c r="AI107" s="133"/>
      <c r="AJ107" s="170"/>
      <c r="AK107" s="133"/>
      <c r="AL107" s="133"/>
      <c r="BE107" s="31"/>
    </row>
    <row r="108" spans="1:57" ht="15.95" hidden="1" customHeight="1" x14ac:dyDescent="0.25">
      <c r="A108" s="176"/>
      <c r="B108" s="149" t="s">
        <v>64</v>
      </c>
      <c r="C108" s="141">
        <f>IF(C46=1,IF(C113&gt;C114,24-C113,0),0)</f>
        <v>0</v>
      </c>
      <c r="D108" s="141">
        <f t="shared" ref="D108:AG108" si="102">IF(D46=1,IF(D102&gt;D103,24-D102,0),0)</f>
        <v>0</v>
      </c>
      <c r="E108" s="141">
        <f t="shared" si="102"/>
        <v>0</v>
      </c>
      <c r="F108" s="141">
        <f t="shared" si="102"/>
        <v>0</v>
      </c>
      <c r="G108" s="141">
        <f t="shared" si="102"/>
        <v>0</v>
      </c>
      <c r="H108" s="141">
        <f t="shared" si="102"/>
        <v>0</v>
      </c>
      <c r="I108" s="141">
        <f t="shared" si="102"/>
        <v>0</v>
      </c>
      <c r="J108" s="141">
        <f t="shared" si="102"/>
        <v>0</v>
      </c>
      <c r="K108" s="141">
        <f t="shared" si="102"/>
        <v>0</v>
      </c>
      <c r="L108" s="141">
        <f t="shared" si="102"/>
        <v>0</v>
      </c>
      <c r="M108" s="141">
        <f t="shared" si="102"/>
        <v>0</v>
      </c>
      <c r="N108" s="141">
        <f t="shared" si="102"/>
        <v>0</v>
      </c>
      <c r="O108" s="141">
        <f t="shared" si="102"/>
        <v>0</v>
      </c>
      <c r="P108" s="141">
        <f t="shared" si="102"/>
        <v>0</v>
      </c>
      <c r="Q108" s="141">
        <f t="shared" si="102"/>
        <v>0</v>
      </c>
      <c r="R108" s="141">
        <f t="shared" si="102"/>
        <v>0</v>
      </c>
      <c r="S108" s="141">
        <f t="shared" si="102"/>
        <v>0</v>
      </c>
      <c r="T108" s="141">
        <f t="shared" si="102"/>
        <v>0</v>
      </c>
      <c r="U108" s="141">
        <f t="shared" si="102"/>
        <v>0</v>
      </c>
      <c r="V108" s="141">
        <f t="shared" si="102"/>
        <v>0</v>
      </c>
      <c r="W108" s="141">
        <f t="shared" si="102"/>
        <v>0</v>
      </c>
      <c r="X108" s="141">
        <f t="shared" si="102"/>
        <v>0</v>
      </c>
      <c r="Y108" s="141">
        <f t="shared" si="102"/>
        <v>0</v>
      </c>
      <c r="Z108" s="141">
        <f t="shared" si="102"/>
        <v>0</v>
      </c>
      <c r="AA108" s="141">
        <f t="shared" si="102"/>
        <v>0</v>
      </c>
      <c r="AB108" s="141">
        <f t="shared" si="102"/>
        <v>0</v>
      </c>
      <c r="AC108" s="141">
        <f t="shared" si="102"/>
        <v>0</v>
      </c>
      <c r="AD108" s="141">
        <f t="shared" si="102"/>
        <v>0</v>
      </c>
      <c r="AE108" s="141">
        <f t="shared" si="102"/>
        <v>0</v>
      </c>
      <c r="AF108" s="141">
        <f t="shared" si="102"/>
        <v>0</v>
      </c>
      <c r="AG108" s="141">
        <f t="shared" si="102"/>
        <v>0</v>
      </c>
      <c r="AH108" s="154" t="s">
        <v>12</v>
      </c>
      <c r="AI108" s="133"/>
      <c r="AJ108" s="170"/>
      <c r="AK108" s="133"/>
      <c r="AL108" s="133"/>
    </row>
    <row r="109" spans="1:57" ht="15.95" hidden="1" customHeight="1" x14ac:dyDescent="0.25">
      <c r="A109" s="176"/>
      <c r="B109" s="149" t="s">
        <v>65</v>
      </c>
      <c r="C109" s="141">
        <f t="shared" ref="C109:AG109" si="103">IF(D46=1,IF(C102&gt;C103,C103,0),0)</f>
        <v>0</v>
      </c>
      <c r="D109" s="141">
        <f t="shared" si="103"/>
        <v>0</v>
      </c>
      <c r="E109" s="141">
        <f t="shared" si="103"/>
        <v>0</v>
      </c>
      <c r="F109" s="141">
        <f t="shared" si="103"/>
        <v>0</v>
      </c>
      <c r="G109" s="141">
        <f t="shared" si="103"/>
        <v>0</v>
      </c>
      <c r="H109" s="141">
        <f t="shared" si="103"/>
        <v>0</v>
      </c>
      <c r="I109" s="141">
        <f t="shared" si="103"/>
        <v>0</v>
      </c>
      <c r="J109" s="141">
        <f t="shared" si="103"/>
        <v>0</v>
      </c>
      <c r="K109" s="141">
        <f t="shared" si="103"/>
        <v>0</v>
      </c>
      <c r="L109" s="141">
        <f t="shared" si="103"/>
        <v>0</v>
      </c>
      <c r="M109" s="141">
        <f t="shared" si="103"/>
        <v>0</v>
      </c>
      <c r="N109" s="141">
        <f t="shared" si="103"/>
        <v>0</v>
      </c>
      <c r="O109" s="141">
        <f t="shared" si="103"/>
        <v>0</v>
      </c>
      <c r="P109" s="141">
        <f t="shared" si="103"/>
        <v>0</v>
      </c>
      <c r="Q109" s="141">
        <f t="shared" si="103"/>
        <v>0</v>
      </c>
      <c r="R109" s="141">
        <f t="shared" si="103"/>
        <v>0</v>
      </c>
      <c r="S109" s="141">
        <f t="shared" si="103"/>
        <v>0</v>
      </c>
      <c r="T109" s="141">
        <f t="shared" si="103"/>
        <v>0</v>
      </c>
      <c r="U109" s="141">
        <f t="shared" si="103"/>
        <v>0</v>
      </c>
      <c r="V109" s="141">
        <f t="shared" si="103"/>
        <v>0</v>
      </c>
      <c r="W109" s="141">
        <f t="shared" si="103"/>
        <v>0</v>
      </c>
      <c r="X109" s="141">
        <f>IF(Y46=1,IF(X102&gt;X103,X103,0),0)</f>
        <v>0</v>
      </c>
      <c r="Y109" s="141">
        <f t="shared" si="103"/>
        <v>0</v>
      </c>
      <c r="Z109" s="141">
        <f t="shared" si="103"/>
        <v>0</v>
      </c>
      <c r="AA109" s="141">
        <f t="shared" si="103"/>
        <v>0</v>
      </c>
      <c r="AB109" s="141">
        <f t="shared" si="103"/>
        <v>0</v>
      </c>
      <c r="AC109" s="141">
        <f t="shared" si="103"/>
        <v>0</v>
      </c>
      <c r="AD109" s="141">
        <f t="shared" si="103"/>
        <v>0</v>
      </c>
      <c r="AE109" s="141">
        <f t="shared" si="103"/>
        <v>0</v>
      </c>
      <c r="AF109" s="141">
        <f t="shared" si="103"/>
        <v>0</v>
      </c>
      <c r="AG109" s="141">
        <f t="shared" si="103"/>
        <v>0</v>
      </c>
      <c r="AH109" s="154" t="s">
        <v>12</v>
      </c>
      <c r="AI109" s="133"/>
      <c r="AJ109" s="170"/>
      <c r="AK109" s="133"/>
      <c r="AL109" s="133"/>
    </row>
    <row r="110" spans="1:57" ht="15.95" hidden="1" customHeight="1" x14ac:dyDescent="0.25">
      <c r="A110" s="176"/>
      <c r="B110" s="149" t="s">
        <v>67</v>
      </c>
      <c r="C110" s="171">
        <f t="shared" ref="C110:AG110" si="104">SUM(C107:C109)</f>
        <v>0</v>
      </c>
      <c r="D110" s="171">
        <f t="shared" si="104"/>
        <v>0</v>
      </c>
      <c r="E110" s="171">
        <f t="shared" si="104"/>
        <v>0</v>
      </c>
      <c r="F110" s="171">
        <f t="shared" si="104"/>
        <v>0</v>
      </c>
      <c r="G110" s="171">
        <f t="shared" si="104"/>
        <v>0</v>
      </c>
      <c r="H110" s="171">
        <f t="shared" si="104"/>
        <v>0</v>
      </c>
      <c r="I110" s="171">
        <f t="shared" si="104"/>
        <v>0</v>
      </c>
      <c r="J110" s="171">
        <f t="shared" si="104"/>
        <v>0</v>
      </c>
      <c r="K110" s="171">
        <f t="shared" si="104"/>
        <v>0</v>
      </c>
      <c r="L110" s="171">
        <f t="shared" si="104"/>
        <v>0</v>
      </c>
      <c r="M110" s="171">
        <f t="shared" si="104"/>
        <v>0</v>
      </c>
      <c r="N110" s="171">
        <f t="shared" si="104"/>
        <v>0</v>
      </c>
      <c r="O110" s="171">
        <f t="shared" si="104"/>
        <v>0</v>
      </c>
      <c r="P110" s="171">
        <f t="shared" si="104"/>
        <v>0</v>
      </c>
      <c r="Q110" s="171">
        <f t="shared" si="104"/>
        <v>0</v>
      </c>
      <c r="R110" s="171">
        <f t="shared" si="104"/>
        <v>0</v>
      </c>
      <c r="S110" s="171">
        <f t="shared" si="104"/>
        <v>0</v>
      </c>
      <c r="T110" s="171">
        <f t="shared" si="104"/>
        <v>0</v>
      </c>
      <c r="U110" s="171">
        <f t="shared" si="104"/>
        <v>0</v>
      </c>
      <c r="V110" s="171">
        <f t="shared" si="104"/>
        <v>0</v>
      </c>
      <c r="W110" s="171">
        <f t="shared" si="104"/>
        <v>0</v>
      </c>
      <c r="X110" s="171">
        <f t="shared" si="104"/>
        <v>0</v>
      </c>
      <c r="Y110" s="171">
        <f t="shared" si="104"/>
        <v>0</v>
      </c>
      <c r="Z110" s="171">
        <f t="shared" si="104"/>
        <v>0</v>
      </c>
      <c r="AA110" s="171">
        <f t="shared" si="104"/>
        <v>0</v>
      </c>
      <c r="AB110" s="171">
        <f t="shared" si="104"/>
        <v>0</v>
      </c>
      <c r="AC110" s="171">
        <f t="shared" si="104"/>
        <v>0</v>
      </c>
      <c r="AD110" s="171">
        <f t="shared" si="104"/>
        <v>0</v>
      </c>
      <c r="AE110" s="171">
        <f t="shared" si="104"/>
        <v>0</v>
      </c>
      <c r="AF110" s="171">
        <f t="shared" si="104"/>
        <v>0</v>
      </c>
      <c r="AG110" s="171">
        <f t="shared" si="104"/>
        <v>0</v>
      </c>
      <c r="AH110" s="154" t="s">
        <v>12</v>
      </c>
      <c r="AI110" s="133"/>
      <c r="AJ110" s="170"/>
      <c r="AK110" s="133"/>
      <c r="AL110" s="133"/>
    </row>
    <row r="111" spans="1:57" ht="15.95" hidden="1" customHeight="1" x14ac:dyDescent="0.25">
      <c r="A111" s="177"/>
      <c r="B111" s="160" t="s">
        <v>68</v>
      </c>
      <c r="C111" s="161">
        <f t="shared" ref="C111:AG111" si="105">IF(C14="V",IF(C14="",0,1),0)</f>
        <v>0</v>
      </c>
      <c r="D111" s="161">
        <f t="shared" si="105"/>
        <v>0</v>
      </c>
      <c r="E111" s="161">
        <f t="shared" si="105"/>
        <v>0</v>
      </c>
      <c r="F111" s="161">
        <f t="shared" si="105"/>
        <v>0</v>
      </c>
      <c r="G111" s="161">
        <f t="shared" si="105"/>
        <v>0</v>
      </c>
      <c r="H111" s="161">
        <f t="shared" si="105"/>
        <v>0</v>
      </c>
      <c r="I111" s="161">
        <f t="shared" si="105"/>
        <v>0</v>
      </c>
      <c r="J111" s="161">
        <f t="shared" si="105"/>
        <v>0</v>
      </c>
      <c r="K111" s="161">
        <f t="shared" si="105"/>
        <v>0</v>
      </c>
      <c r="L111" s="161">
        <f t="shared" si="105"/>
        <v>0</v>
      </c>
      <c r="M111" s="161">
        <f t="shared" si="105"/>
        <v>0</v>
      </c>
      <c r="N111" s="161">
        <f t="shared" si="105"/>
        <v>0</v>
      </c>
      <c r="O111" s="161">
        <f t="shared" si="105"/>
        <v>0</v>
      </c>
      <c r="P111" s="161">
        <f t="shared" si="105"/>
        <v>0</v>
      </c>
      <c r="Q111" s="161">
        <f t="shared" si="105"/>
        <v>0</v>
      </c>
      <c r="R111" s="161">
        <f t="shared" si="105"/>
        <v>0</v>
      </c>
      <c r="S111" s="161">
        <f t="shared" si="105"/>
        <v>0</v>
      </c>
      <c r="T111" s="161">
        <f t="shared" si="105"/>
        <v>0</v>
      </c>
      <c r="U111" s="161">
        <f t="shared" si="105"/>
        <v>0</v>
      </c>
      <c r="V111" s="161">
        <f t="shared" si="105"/>
        <v>0</v>
      </c>
      <c r="W111" s="161">
        <f t="shared" si="105"/>
        <v>0</v>
      </c>
      <c r="X111" s="161">
        <f t="shared" si="105"/>
        <v>0</v>
      </c>
      <c r="Y111" s="161">
        <f t="shared" si="105"/>
        <v>0</v>
      </c>
      <c r="Z111" s="161">
        <f t="shared" si="105"/>
        <v>0</v>
      </c>
      <c r="AA111" s="161">
        <f t="shared" si="105"/>
        <v>0</v>
      </c>
      <c r="AB111" s="161">
        <f t="shared" si="105"/>
        <v>0</v>
      </c>
      <c r="AC111" s="161">
        <f t="shared" si="105"/>
        <v>0</v>
      </c>
      <c r="AD111" s="161">
        <f t="shared" si="105"/>
        <v>0</v>
      </c>
      <c r="AE111" s="161">
        <f t="shared" si="105"/>
        <v>0</v>
      </c>
      <c r="AF111" s="161">
        <f t="shared" si="105"/>
        <v>0</v>
      </c>
      <c r="AG111" s="161">
        <f t="shared" si="105"/>
        <v>0</v>
      </c>
      <c r="AH111" s="154" t="s">
        <v>12</v>
      </c>
      <c r="AI111" s="133"/>
      <c r="AJ111" s="170"/>
      <c r="AK111" s="133"/>
      <c r="AL111" s="133"/>
    </row>
    <row r="112" spans="1:57" ht="15.95" hidden="1" customHeight="1" x14ac:dyDescent="0.25">
      <c r="A112" s="180"/>
      <c r="B112" s="181" t="s">
        <v>16</v>
      </c>
      <c r="C112" s="182">
        <f t="shared" ref="C112:AG112" si="106">IF(C14="PR",IF(C14="",0,1),0)</f>
        <v>0</v>
      </c>
      <c r="D112" s="182">
        <f t="shared" si="106"/>
        <v>0</v>
      </c>
      <c r="E112" s="182">
        <f t="shared" si="106"/>
        <v>0</v>
      </c>
      <c r="F112" s="182">
        <f t="shared" si="106"/>
        <v>0</v>
      </c>
      <c r="G112" s="182">
        <f t="shared" si="106"/>
        <v>0</v>
      </c>
      <c r="H112" s="182">
        <f t="shared" si="106"/>
        <v>0</v>
      </c>
      <c r="I112" s="182">
        <f t="shared" si="106"/>
        <v>0</v>
      </c>
      <c r="J112" s="182">
        <f t="shared" si="106"/>
        <v>0</v>
      </c>
      <c r="K112" s="182">
        <f t="shared" si="106"/>
        <v>0</v>
      </c>
      <c r="L112" s="182">
        <f t="shared" si="106"/>
        <v>0</v>
      </c>
      <c r="M112" s="182">
        <f t="shared" si="106"/>
        <v>0</v>
      </c>
      <c r="N112" s="182">
        <f t="shared" si="106"/>
        <v>0</v>
      </c>
      <c r="O112" s="182">
        <f t="shared" si="106"/>
        <v>0</v>
      </c>
      <c r="P112" s="182">
        <f t="shared" si="106"/>
        <v>0</v>
      </c>
      <c r="Q112" s="182">
        <f t="shared" si="106"/>
        <v>0</v>
      </c>
      <c r="R112" s="182">
        <f t="shared" si="106"/>
        <v>0</v>
      </c>
      <c r="S112" s="182">
        <f t="shared" si="106"/>
        <v>0</v>
      </c>
      <c r="T112" s="182">
        <f t="shared" si="106"/>
        <v>0</v>
      </c>
      <c r="U112" s="182">
        <f t="shared" si="106"/>
        <v>0</v>
      </c>
      <c r="V112" s="182">
        <f t="shared" si="106"/>
        <v>0</v>
      </c>
      <c r="W112" s="182">
        <f t="shared" si="106"/>
        <v>0</v>
      </c>
      <c r="X112" s="182">
        <f t="shared" si="106"/>
        <v>0</v>
      </c>
      <c r="Y112" s="182">
        <f t="shared" si="106"/>
        <v>0</v>
      </c>
      <c r="Z112" s="182">
        <f t="shared" si="106"/>
        <v>0</v>
      </c>
      <c r="AA112" s="182">
        <f t="shared" si="106"/>
        <v>0</v>
      </c>
      <c r="AB112" s="182">
        <f t="shared" si="106"/>
        <v>0</v>
      </c>
      <c r="AC112" s="182">
        <f t="shared" si="106"/>
        <v>0</v>
      </c>
      <c r="AD112" s="182">
        <f t="shared" si="106"/>
        <v>0</v>
      </c>
      <c r="AE112" s="182">
        <f t="shared" si="106"/>
        <v>0</v>
      </c>
      <c r="AF112" s="182">
        <f t="shared" si="106"/>
        <v>0</v>
      </c>
      <c r="AG112" s="182">
        <f t="shared" si="106"/>
        <v>0</v>
      </c>
      <c r="AH112" s="227">
        <f>SUM(C112:AG112)</f>
        <v>0</v>
      </c>
      <c r="AI112" s="227"/>
      <c r="AJ112" s="174" t="s">
        <v>69</v>
      </c>
      <c r="AK112" s="133"/>
      <c r="AL112" s="133"/>
    </row>
    <row r="113" spans="1:57" s="31" customFormat="1" ht="15.95" hidden="1" customHeight="1" x14ac:dyDescent="0.25">
      <c r="A113" s="164" t="s">
        <v>81</v>
      </c>
      <c r="B113" s="165" t="s">
        <v>29</v>
      </c>
      <c r="C113" s="141" t="str">
        <f t="shared" ref="C113:AG113" si="107">IF(C15=$R32,$S32*24,IF(C15=$R33,$S33*24,IF(C15=$R34,$S34*24,IF(C15=$R35,$S35*24,IF(C15=$R36,$S36*24,IF(C15=$R37,$S37*24,IF(C15=$R38,$S38*24,IF(C15=$R39,$S39*24,IF(C15=$R40,$S40*24,"")))))))))</f>
        <v/>
      </c>
      <c r="D113" s="141" t="str">
        <f t="shared" si="107"/>
        <v/>
      </c>
      <c r="E113" s="141" t="str">
        <f t="shared" si="107"/>
        <v/>
      </c>
      <c r="F113" s="141" t="str">
        <f t="shared" si="107"/>
        <v/>
      </c>
      <c r="G113" s="141" t="str">
        <f t="shared" si="107"/>
        <v/>
      </c>
      <c r="H113" s="141" t="str">
        <f t="shared" si="107"/>
        <v/>
      </c>
      <c r="I113" s="141" t="str">
        <f t="shared" si="107"/>
        <v/>
      </c>
      <c r="J113" s="141" t="str">
        <f t="shared" si="107"/>
        <v/>
      </c>
      <c r="K113" s="141" t="str">
        <f t="shared" si="107"/>
        <v/>
      </c>
      <c r="L113" s="141" t="str">
        <f t="shared" si="107"/>
        <v/>
      </c>
      <c r="M113" s="141" t="str">
        <f t="shared" si="107"/>
        <v/>
      </c>
      <c r="N113" s="141" t="str">
        <f t="shared" si="107"/>
        <v/>
      </c>
      <c r="O113" s="141" t="str">
        <f t="shared" si="107"/>
        <v/>
      </c>
      <c r="P113" s="141" t="str">
        <f t="shared" si="107"/>
        <v/>
      </c>
      <c r="Q113" s="141" t="str">
        <f t="shared" si="107"/>
        <v/>
      </c>
      <c r="R113" s="141" t="str">
        <f t="shared" si="107"/>
        <v/>
      </c>
      <c r="S113" s="141" t="str">
        <f t="shared" si="107"/>
        <v/>
      </c>
      <c r="T113" s="141" t="str">
        <f t="shared" si="107"/>
        <v/>
      </c>
      <c r="U113" s="141" t="str">
        <f t="shared" si="107"/>
        <v/>
      </c>
      <c r="V113" s="141" t="str">
        <f t="shared" si="107"/>
        <v/>
      </c>
      <c r="W113" s="141" t="str">
        <f t="shared" si="107"/>
        <v/>
      </c>
      <c r="X113" s="141" t="str">
        <f t="shared" si="107"/>
        <v/>
      </c>
      <c r="Y113" s="141" t="str">
        <f t="shared" si="107"/>
        <v/>
      </c>
      <c r="Z113" s="141" t="str">
        <f t="shared" si="107"/>
        <v/>
      </c>
      <c r="AA113" s="141" t="str">
        <f t="shared" si="107"/>
        <v/>
      </c>
      <c r="AB113" s="141" t="str">
        <f t="shared" si="107"/>
        <v/>
      </c>
      <c r="AC113" s="141" t="str">
        <f t="shared" si="107"/>
        <v/>
      </c>
      <c r="AD113" s="141" t="str">
        <f t="shared" si="107"/>
        <v/>
      </c>
      <c r="AE113" s="141" t="str">
        <f t="shared" si="107"/>
        <v/>
      </c>
      <c r="AF113" s="141" t="str">
        <f t="shared" si="107"/>
        <v/>
      </c>
      <c r="AG113" s="141" t="str">
        <f t="shared" si="107"/>
        <v/>
      </c>
      <c r="AH113" s="154" t="s">
        <v>12</v>
      </c>
      <c r="AI113" s="133"/>
      <c r="AJ113" s="170"/>
      <c r="AK113" s="133"/>
      <c r="AL113" s="133"/>
      <c r="BE113" s="1"/>
    </row>
    <row r="114" spans="1:57" ht="15.95" hidden="1" customHeight="1" x14ac:dyDescent="0.25">
      <c r="A114" s="166" t="s">
        <v>82</v>
      </c>
      <c r="B114" s="167" t="s">
        <v>30</v>
      </c>
      <c r="C114" s="141" t="str">
        <f t="shared" ref="C114:AG114" si="108">IF(C15=$R32,$V32*24,IF(C15=$R33,$V33*24,IF(C15=$R34,$V34*24,IF(C15=$R35,$V35*24,IF(C15=$R36,$V36*24,IF(C15=$R37,$V37*24,IF(C15=$R38,$V38*24,IF(C15=$R39,$V39*24,IF(C15=$R40,$V40*24,"")))))))))</f>
        <v/>
      </c>
      <c r="D114" s="141" t="str">
        <f t="shared" si="108"/>
        <v/>
      </c>
      <c r="E114" s="141" t="str">
        <f t="shared" si="108"/>
        <v/>
      </c>
      <c r="F114" s="141" t="str">
        <f t="shared" si="108"/>
        <v/>
      </c>
      <c r="G114" s="141" t="str">
        <f t="shared" si="108"/>
        <v/>
      </c>
      <c r="H114" s="141" t="str">
        <f t="shared" si="108"/>
        <v/>
      </c>
      <c r="I114" s="141" t="str">
        <f t="shared" si="108"/>
        <v/>
      </c>
      <c r="J114" s="141" t="str">
        <f t="shared" si="108"/>
        <v/>
      </c>
      <c r="K114" s="141" t="str">
        <f t="shared" si="108"/>
        <v/>
      </c>
      <c r="L114" s="141" t="str">
        <f t="shared" si="108"/>
        <v/>
      </c>
      <c r="M114" s="141" t="str">
        <f t="shared" si="108"/>
        <v/>
      </c>
      <c r="N114" s="141" t="str">
        <f t="shared" si="108"/>
        <v/>
      </c>
      <c r="O114" s="141" t="str">
        <f t="shared" si="108"/>
        <v/>
      </c>
      <c r="P114" s="141" t="str">
        <f t="shared" si="108"/>
        <v/>
      </c>
      <c r="Q114" s="141" t="str">
        <f t="shared" si="108"/>
        <v/>
      </c>
      <c r="R114" s="141" t="str">
        <f t="shared" si="108"/>
        <v/>
      </c>
      <c r="S114" s="141" t="str">
        <f t="shared" si="108"/>
        <v/>
      </c>
      <c r="T114" s="141" t="str">
        <f t="shared" si="108"/>
        <v/>
      </c>
      <c r="U114" s="141" t="str">
        <f t="shared" si="108"/>
        <v/>
      </c>
      <c r="V114" s="141" t="str">
        <f t="shared" si="108"/>
        <v/>
      </c>
      <c r="W114" s="141" t="str">
        <f t="shared" si="108"/>
        <v/>
      </c>
      <c r="X114" s="141" t="str">
        <f t="shared" si="108"/>
        <v/>
      </c>
      <c r="Y114" s="141" t="str">
        <f t="shared" si="108"/>
        <v/>
      </c>
      <c r="Z114" s="141" t="str">
        <f t="shared" si="108"/>
        <v/>
      </c>
      <c r="AA114" s="141" t="str">
        <f t="shared" si="108"/>
        <v/>
      </c>
      <c r="AB114" s="141" t="str">
        <f t="shared" si="108"/>
        <v/>
      </c>
      <c r="AC114" s="141" t="str">
        <f t="shared" si="108"/>
        <v/>
      </c>
      <c r="AD114" s="141" t="str">
        <f t="shared" si="108"/>
        <v/>
      </c>
      <c r="AE114" s="141" t="str">
        <f t="shared" si="108"/>
        <v/>
      </c>
      <c r="AF114" s="141" t="str">
        <f t="shared" si="108"/>
        <v/>
      </c>
      <c r="AG114" s="141" t="str">
        <f t="shared" si="108"/>
        <v/>
      </c>
      <c r="AH114" s="154" t="s">
        <v>12</v>
      </c>
      <c r="AI114" s="133"/>
      <c r="AJ114" s="170"/>
      <c r="AK114" s="133"/>
      <c r="AL114" s="133"/>
    </row>
    <row r="115" spans="1:57" ht="15.95" hidden="1" customHeight="1" x14ac:dyDescent="0.25">
      <c r="A115" s="153"/>
      <c r="B115" s="168" t="s">
        <v>34</v>
      </c>
      <c r="C115" s="169" t="str">
        <f t="shared" ref="C115:AD115" si="109">IF(C15=$R32,$BD32*24,IF(C15=$R33,$BD33*24,IF(C15=$R34,$BD34*24,IF(C15=$R35,$BD35*24,IF(C15=$R36,$BD36*24,IF(C15=$R37,$BD37*24,IF(C15=$R38,$BD38*24,IF(C15=$R39,$BD39*24,IF(C15=$R40,$BD40*24,"")))))))))</f>
        <v/>
      </c>
      <c r="D115" s="169" t="str">
        <f t="shared" si="109"/>
        <v/>
      </c>
      <c r="E115" s="169" t="str">
        <f t="shared" si="109"/>
        <v/>
      </c>
      <c r="F115" s="169" t="str">
        <f t="shared" si="109"/>
        <v/>
      </c>
      <c r="G115" s="169" t="str">
        <f t="shared" si="109"/>
        <v/>
      </c>
      <c r="H115" s="169" t="str">
        <f t="shared" si="109"/>
        <v/>
      </c>
      <c r="I115" s="169" t="str">
        <f t="shared" si="109"/>
        <v/>
      </c>
      <c r="J115" s="169" t="str">
        <f t="shared" si="109"/>
        <v/>
      </c>
      <c r="K115" s="169" t="str">
        <f t="shared" si="109"/>
        <v/>
      </c>
      <c r="L115" s="169" t="str">
        <f t="shared" si="109"/>
        <v/>
      </c>
      <c r="M115" s="169" t="str">
        <f t="shared" si="109"/>
        <v/>
      </c>
      <c r="N115" s="169" t="str">
        <f t="shared" si="109"/>
        <v/>
      </c>
      <c r="O115" s="169" t="str">
        <f t="shared" si="109"/>
        <v/>
      </c>
      <c r="P115" s="169" t="str">
        <f t="shared" si="109"/>
        <v/>
      </c>
      <c r="Q115" s="169" t="str">
        <f t="shared" si="109"/>
        <v/>
      </c>
      <c r="R115" s="169" t="str">
        <f t="shared" si="109"/>
        <v/>
      </c>
      <c r="S115" s="169" t="str">
        <f t="shared" si="109"/>
        <v/>
      </c>
      <c r="T115" s="169" t="str">
        <f t="shared" si="109"/>
        <v/>
      </c>
      <c r="U115" s="169" t="str">
        <f t="shared" si="109"/>
        <v/>
      </c>
      <c r="V115" s="169" t="str">
        <f t="shared" si="109"/>
        <v/>
      </c>
      <c r="W115" s="169" t="str">
        <f t="shared" si="109"/>
        <v/>
      </c>
      <c r="X115" s="169" t="str">
        <f t="shared" si="109"/>
        <v/>
      </c>
      <c r="Y115" s="169" t="str">
        <f t="shared" si="109"/>
        <v/>
      </c>
      <c r="Z115" s="169" t="str">
        <f t="shared" si="109"/>
        <v/>
      </c>
      <c r="AA115" s="169" t="str">
        <f t="shared" si="109"/>
        <v/>
      </c>
      <c r="AB115" s="169" t="str">
        <f t="shared" si="109"/>
        <v/>
      </c>
      <c r="AC115" s="169" t="str">
        <f t="shared" si="109"/>
        <v/>
      </c>
      <c r="AD115" s="169" t="str">
        <f t="shared" si="109"/>
        <v/>
      </c>
      <c r="AE115" s="169" t="str">
        <f>IF(AE15=$R32,$BD32*24,IF(AE15=$R33,$BD33*24,IF(AE15=$R34,$BD34*24,IF(AE15=$R35,$BD35*24,IF(AE15=$R36,$BD36*24,IF(AE15=$R37,$BD37*24,IF(AE15=$R38,$BD38*24,IF(AE15=$R39,$BD39*24,IF(AE15=$R40,$BD40*24,"")))))))))</f>
        <v/>
      </c>
      <c r="AF115" s="169" t="str">
        <f>IF(AF15=$R32,$BD32*24,IF(AF15=$R33,$BD33*24,IF(AF15=$R34,$BD34*24,IF(AF15=$R35,$BD35*24,IF(AF15=$R36,$BD36*24,IF(AF15=$R37,$BD37*24,IF(AF15=$R38,$BD38*24,IF(AF15=$R39,$BD39*24,IF(AF15=$R40,$BD40*24,"")))))))))</f>
        <v/>
      </c>
      <c r="AG115" s="169" t="str">
        <f>IF(AG15=$R32,$BD32*24,IF(AG15=$R33,$BD33*24,IF(AG15=$R34,$BD34*24,IF(AG15=$R35,$BD35*24,IF(AG15=$R36,$BD36*24,IF(AG15=$R37,$BD37*24,IF(AG15=$R38,$BD38*24,IF(AG15=$R39,$BD39*24,IF(AG15=$R40,$BD40*24,"")))))))))</f>
        <v/>
      </c>
      <c r="AH115" s="148">
        <f>SUM(C115:AG115)</f>
        <v>0</v>
      </c>
      <c r="AI115" s="133"/>
      <c r="AJ115" s="170"/>
      <c r="AK115" s="133"/>
      <c r="AL115" s="133"/>
    </row>
    <row r="116" spans="1:57" ht="15.95" hidden="1" customHeight="1" x14ac:dyDescent="0.25">
      <c r="A116" s="153"/>
      <c r="B116" s="167" t="s">
        <v>59</v>
      </c>
      <c r="C116" s="141">
        <f t="shared" ref="C116:AG116" si="110">IF(C15="V",$C36,IF(C15="PR",$C38,0))</f>
        <v>0</v>
      </c>
      <c r="D116" s="141">
        <f t="shared" si="110"/>
        <v>0</v>
      </c>
      <c r="E116" s="141">
        <f t="shared" si="110"/>
        <v>0</v>
      </c>
      <c r="F116" s="141">
        <f t="shared" si="110"/>
        <v>0</v>
      </c>
      <c r="G116" s="141">
        <f t="shared" si="110"/>
        <v>0</v>
      </c>
      <c r="H116" s="141">
        <f t="shared" si="110"/>
        <v>0</v>
      </c>
      <c r="I116" s="141">
        <f t="shared" si="110"/>
        <v>0</v>
      </c>
      <c r="J116" s="141">
        <f t="shared" si="110"/>
        <v>0</v>
      </c>
      <c r="K116" s="141">
        <f t="shared" si="110"/>
        <v>0</v>
      </c>
      <c r="L116" s="141">
        <f t="shared" si="110"/>
        <v>0</v>
      </c>
      <c r="M116" s="141">
        <f t="shared" si="110"/>
        <v>0</v>
      </c>
      <c r="N116" s="141">
        <f t="shared" si="110"/>
        <v>0</v>
      </c>
      <c r="O116" s="141">
        <f t="shared" si="110"/>
        <v>0</v>
      </c>
      <c r="P116" s="141">
        <f t="shared" si="110"/>
        <v>0</v>
      </c>
      <c r="Q116" s="141">
        <f t="shared" si="110"/>
        <v>0</v>
      </c>
      <c r="R116" s="141">
        <f t="shared" si="110"/>
        <v>0</v>
      </c>
      <c r="S116" s="141">
        <f t="shared" si="110"/>
        <v>0</v>
      </c>
      <c r="T116" s="141">
        <f t="shared" si="110"/>
        <v>0</v>
      </c>
      <c r="U116" s="141">
        <f t="shared" si="110"/>
        <v>0</v>
      </c>
      <c r="V116" s="141">
        <f t="shared" si="110"/>
        <v>0</v>
      </c>
      <c r="W116" s="141">
        <f t="shared" si="110"/>
        <v>0</v>
      </c>
      <c r="X116" s="141">
        <f t="shared" si="110"/>
        <v>0</v>
      </c>
      <c r="Y116" s="141">
        <f t="shared" si="110"/>
        <v>0</v>
      </c>
      <c r="Z116" s="141">
        <f t="shared" si="110"/>
        <v>0</v>
      </c>
      <c r="AA116" s="141">
        <f t="shared" si="110"/>
        <v>0</v>
      </c>
      <c r="AB116" s="141">
        <f t="shared" si="110"/>
        <v>0</v>
      </c>
      <c r="AC116" s="141">
        <f t="shared" si="110"/>
        <v>0</v>
      </c>
      <c r="AD116" s="141">
        <f t="shared" si="110"/>
        <v>0</v>
      </c>
      <c r="AE116" s="141">
        <f t="shared" si="110"/>
        <v>0</v>
      </c>
      <c r="AF116" s="141">
        <f t="shared" si="110"/>
        <v>0</v>
      </c>
      <c r="AG116" s="141">
        <f t="shared" si="110"/>
        <v>0</v>
      </c>
      <c r="AH116" s="226">
        <f>SUM(C116:AG116)</f>
        <v>0</v>
      </c>
      <c r="AI116" s="226"/>
      <c r="AJ116" s="230">
        <f>SUM(AH61+AH72+AH83+AH94+AH105+AH116)</f>
        <v>0</v>
      </c>
      <c r="AK116" s="230"/>
      <c r="AL116" s="133" t="s">
        <v>56</v>
      </c>
    </row>
    <row r="117" spans="1:57" ht="15.95" hidden="1" customHeight="1" x14ac:dyDescent="0.25">
      <c r="A117" s="150" t="s">
        <v>60</v>
      </c>
      <c r="B117" s="167" t="s">
        <v>61</v>
      </c>
      <c r="C117" s="151">
        <f t="shared" ref="C117:AD117" si="111">IF(C15=$R32,$BC32,IF(C15=$R33,$BC33,IF(C15=$R34,$BC34,IF(C15=$R35,$BC35,IF(C15=$R36,$BC36,IF(C15=$R37,$BC37,IF(C15=$R38,$BC38,IF(C15=$R39,$BC39,IF(C15=$R40,$BC40,0)))))))))</f>
        <v>0</v>
      </c>
      <c r="D117" s="151">
        <f t="shared" si="111"/>
        <v>0</v>
      </c>
      <c r="E117" s="151">
        <f t="shared" si="111"/>
        <v>0</v>
      </c>
      <c r="F117" s="151">
        <f t="shared" si="111"/>
        <v>0</v>
      </c>
      <c r="G117" s="151">
        <f t="shared" si="111"/>
        <v>0</v>
      </c>
      <c r="H117" s="151">
        <f t="shared" si="111"/>
        <v>0</v>
      </c>
      <c r="I117" s="151">
        <f t="shared" si="111"/>
        <v>0</v>
      </c>
      <c r="J117" s="151">
        <f t="shared" si="111"/>
        <v>0</v>
      </c>
      <c r="K117" s="151">
        <f t="shared" si="111"/>
        <v>0</v>
      </c>
      <c r="L117" s="151">
        <f t="shared" si="111"/>
        <v>0</v>
      </c>
      <c r="M117" s="151">
        <f t="shared" si="111"/>
        <v>0</v>
      </c>
      <c r="N117" s="151">
        <f t="shared" si="111"/>
        <v>0</v>
      </c>
      <c r="O117" s="151">
        <f t="shared" si="111"/>
        <v>0</v>
      </c>
      <c r="P117" s="151">
        <f t="shared" si="111"/>
        <v>0</v>
      </c>
      <c r="Q117" s="151">
        <f t="shared" si="111"/>
        <v>0</v>
      </c>
      <c r="R117" s="151">
        <f t="shared" si="111"/>
        <v>0</v>
      </c>
      <c r="S117" s="151">
        <f t="shared" si="111"/>
        <v>0</v>
      </c>
      <c r="T117" s="151">
        <f t="shared" si="111"/>
        <v>0</v>
      </c>
      <c r="U117" s="151">
        <f t="shared" si="111"/>
        <v>0</v>
      </c>
      <c r="V117" s="151">
        <f t="shared" si="111"/>
        <v>0</v>
      </c>
      <c r="W117" s="151">
        <f t="shared" si="111"/>
        <v>0</v>
      </c>
      <c r="X117" s="151">
        <f t="shared" si="111"/>
        <v>0</v>
      </c>
      <c r="Y117" s="151">
        <f t="shared" si="111"/>
        <v>0</v>
      </c>
      <c r="Z117" s="151">
        <f t="shared" si="111"/>
        <v>0</v>
      </c>
      <c r="AA117" s="151">
        <f t="shared" si="111"/>
        <v>0</v>
      </c>
      <c r="AB117" s="151">
        <f t="shared" si="111"/>
        <v>0</v>
      </c>
      <c r="AC117" s="151">
        <f t="shared" si="111"/>
        <v>0</v>
      </c>
      <c r="AD117" s="151">
        <f t="shared" si="111"/>
        <v>0</v>
      </c>
      <c r="AE117" s="151">
        <f>IF(AE15=$R32,$BC32,IF(AE15=$R33,$BC33,IF(AE15=$R34,$BC34,IF(AE15=$R35,$BC35,IF(AE15=$R36,$BC36,IF(AE15=$R37,$BC37,IF(AE15=$R38,$BC38,IF(AE15=$R39,$BC39,IF(AE15=$R40,$BC40,0)))))))))</f>
        <v>0</v>
      </c>
      <c r="AF117" s="151">
        <f>IF(AF15=$R32,$BC32,IF(AF15=$R33,$BC33,IF(AF15=$R34,$BC34,IF(AF15=$R35,$BC35,IF(AF15=$R36,$BC36,IF(AF15=$R37,$BC37,IF(AF15=$R38,$BC38,IF(AF15=$R39,$BC39,IF(AF15=$R40,$BC40,0)))))))))</f>
        <v>0</v>
      </c>
      <c r="AG117" s="151">
        <f>IF(AG15=$R32,$BC32,IF(AG15=$R33,$BC33,IF(AG15=$R34,$BC34,IF(AG15=$R35,$BC35,IF(AG15=$R36,$BC36,IF(AG15=$R37,$BC37,IF(AG15=$R38,$BC38,IF(AG15=$R39,$BC39,IF(AG15=$R40,$BC40,0)))))))))</f>
        <v>0</v>
      </c>
      <c r="AH117" s="226">
        <f>SUM(C117:AG117)</f>
        <v>0</v>
      </c>
      <c r="AI117" s="226"/>
      <c r="AJ117" s="174" t="s">
        <v>62</v>
      </c>
      <c r="AK117" s="133" t="s">
        <v>12</v>
      </c>
      <c r="AL117" s="133"/>
    </row>
    <row r="118" spans="1:57" ht="15.95" hidden="1" customHeight="1" x14ac:dyDescent="0.25">
      <c r="A118" s="153" t="s">
        <v>48</v>
      </c>
      <c r="B118" s="149" t="s">
        <v>63</v>
      </c>
      <c r="C118" s="141" t="b">
        <f t="shared" ref="C118:AG118" si="112">IF(C46=1,IF(C113&lt;C114,C117,0))</f>
        <v>0</v>
      </c>
      <c r="D118" s="141" t="b">
        <f t="shared" si="112"/>
        <v>0</v>
      </c>
      <c r="E118" s="141" t="b">
        <f t="shared" si="112"/>
        <v>0</v>
      </c>
      <c r="F118" s="141" t="b">
        <f t="shared" si="112"/>
        <v>0</v>
      </c>
      <c r="G118" s="141" t="b">
        <f t="shared" si="112"/>
        <v>0</v>
      </c>
      <c r="H118" s="141">
        <f t="shared" si="112"/>
        <v>0</v>
      </c>
      <c r="I118" s="141">
        <f t="shared" si="112"/>
        <v>0</v>
      </c>
      <c r="J118" s="141" t="b">
        <f t="shared" si="112"/>
        <v>0</v>
      </c>
      <c r="K118" s="141" t="b">
        <f t="shared" si="112"/>
        <v>0</v>
      </c>
      <c r="L118" s="141" t="b">
        <f t="shared" si="112"/>
        <v>0</v>
      </c>
      <c r="M118" s="141" t="b">
        <f t="shared" si="112"/>
        <v>0</v>
      </c>
      <c r="N118" s="141" t="b">
        <f t="shared" si="112"/>
        <v>0</v>
      </c>
      <c r="O118" s="141">
        <f t="shared" si="112"/>
        <v>0</v>
      </c>
      <c r="P118" s="141">
        <f t="shared" si="112"/>
        <v>0</v>
      </c>
      <c r="Q118" s="141" t="b">
        <f t="shared" si="112"/>
        <v>0</v>
      </c>
      <c r="R118" s="141" t="b">
        <f t="shared" si="112"/>
        <v>0</v>
      </c>
      <c r="S118" s="141" t="b">
        <f t="shared" si="112"/>
        <v>0</v>
      </c>
      <c r="T118" s="141" t="b">
        <f t="shared" si="112"/>
        <v>0</v>
      </c>
      <c r="U118" s="141" t="b">
        <f t="shared" si="112"/>
        <v>0</v>
      </c>
      <c r="V118" s="141">
        <f t="shared" si="112"/>
        <v>0</v>
      </c>
      <c r="W118" s="141">
        <f t="shared" si="112"/>
        <v>0</v>
      </c>
      <c r="X118" s="141" t="b">
        <f t="shared" si="112"/>
        <v>0</v>
      </c>
      <c r="Y118" s="141" t="b">
        <f t="shared" si="112"/>
        <v>0</v>
      </c>
      <c r="Z118" s="141" t="b">
        <f t="shared" si="112"/>
        <v>0</v>
      </c>
      <c r="AA118" s="141" t="b">
        <f t="shared" si="112"/>
        <v>0</v>
      </c>
      <c r="AB118" s="141" t="b">
        <f t="shared" si="112"/>
        <v>0</v>
      </c>
      <c r="AC118" s="141">
        <f t="shared" si="112"/>
        <v>0</v>
      </c>
      <c r="AD118" s="141">
        <f t="shared" si="112"/>
        <v>0</v>
      </c>
      <c r="AE118" s="141" t="b">
        <f t="shared" si="112"/>
        <v>0</v>
      </c>
      <c r="AF118" s="141" t="b">
        <f t="shared" si="112"/>
        <v>0</v>
      </c>
      <c r="AG118" s="141" t="b">
        <f t="shared" si="112"/>
        <v>0</v>
      </c>
      <c r="AH118" s="154" t="s">
        <v>12</v>
      </c>
      <c r="AI118" s="133"/>
      <c r="AJ118" s="170"/>
      <c r="AK118" s="133"/>
      <c r="AL118" s="133"/>
    </row>
    <row r="119" spans="1:57" ht="15.95" hidden="1" customHeight="1" x14ac:dyDescent="0.25">
      <c r="A119" s="176"/>
      <c r="B119" s="149" t="s">
        <v>64</v>
      </c>
      <c r="C119" s="141">
        <f t="shared" ref="C119:AG119" si="113">IF(C46=1,IF(C113&gt;C114,24-C113,0),0)</f>
        <v>0</v>
      </c>
      <c r="D119" s="141">
        <f t="shared" si="113"/>
        <v>0</v>
      </c>
      <c r="E119" s="141">
        <f t="shared" si="113"/>
        <v>0</v>
      </c>
      <c r="F119" s="141">
        <f t="shared" si="113"/>
        <v>0</v>
      </c>
      <c r="G119" s="141">
        <f t="shared" si="113"/>
        <v>0</v>
      </c>
      <c r="H119" s="141">
        <f t="shared" si="113"/>
        <v>0</v>
      </c>
      <c r="I119" s="141">
        <f t="shared" si="113"/>
        <v>0</v>
      </c>
      <c r="J119" s="141">
        <f t="shared" si="113"/>
        <v>0</v>
      </c>
      <c r="K119" s="141">
        <f t="shared" si="113"/>
        <v>0</v>
      </c>
      <c r="L119" s="141">
        <f t="shared" si="113"/>
        <v>0</v>
      </c>
      <c r="M119" s="141">
        <f t="shared" si="113"/>
        <v>0</v>
      </c>
      <c r="N119" s="141">
        <f t="shared" si="113"/>
        <v>0</v>
      </c>
      <c r="O119" s="141">
        <f t="shared" si="113"/>
        <v>0</v>
      </c>
      <c r="P119" s="141">
        <f t="shared" si="113"/>
        <v>0</v>
      </c>
      <c r="Q119" s="141">
        <f t="shared" si="113"/>
        <v>0</v>
      </c>
      <c r="R119" s="141">
        <f t="shared" si="113"/>
        <v>0</v>
      </c>
      <c r="S119" s="141">
        <f t="shared" si="113"/>
        <v>0</v>
      </c>
      <c r="T119" s="141">
        <f t="shared" si="113"/>
        <v>0</v>
      </c>
      <c r="U119" s="141">
        <f t="shared" si="113"/>
        <v>0</v>
      </c>
      <c r="V119" s="141">
        <f t="shared" si="113"/>
        <v>0</v>
      </c>
      <c r="W119" s="141">
        <f t="shared" si="113"/>
        <v>0</v>
      </c>
      <c r="X119" s="141">
        <f t="shared" si="113"/>
        <v>0</v>
      </c>
      <c r="Y119" s="141">
        <f t="shared" si="113"/>
        <v>0</v>
      </c>
      <c r="Z119" s="141">
        <f t="shared" si="113"/>
        <v>0</v>
      </c>
      <c r="AA119" s="141">
        <f t="shared" si="113"/>
        <v>0</v>
      </c>
      <c r="AB119" s="141">
        <f t="shared" si="113"/>
        <v>0</v>
      </c>
      <c r="AC119" s="141">
        <f t="shared" si="113"/>
        <v>0</v>
      </c>
      <c r="AD119" s="141">
        <f t="shared" si="113"/>
        <v>0</v>
      </c>
      <c r="AE119" s="141">
        <f t="shared" si="113"/>
        <v>0</v>
      </c>
      <c r="AF119" s="141">
        <f t="shared" si="113"/>
        <v>0</v>
      </c>
      <c r="AG119" s="141">
        <f t="shared" si="113"/>
        <v>0</v>
      </c>
      <c r="AH119" s="154" t="s">
        <v>12</v>
      </c>
      <c r="AI119" s="133"/>
      <c r="AJ119" s="170"/>
      <c r="AK119" s="133"/>
      <c r="AL119" s="133"/>
    </row>
    <row r="120" spans="1:57" ht="15.95" hidden="1" customHeight="1" x14ac:dyDescent="0.25">
      <c r="A120" s="176"/>
      <c r="B120" s="149" t="s">
        <v>65</v>
      </c>
      <c r="C120" s="141">
        <f t="shared" ref="C120:AG120" si="114">IF(D46=1,IF(C113&gt;C114,C114,0),0)</f>
        <v>0</v>
      </c>
      <c r="D120" s="141">
        <f t="shared" si="114"/>
        <v>0</v>
      </c>
      <c r="E120" s="141">
        <f t="shared" si="114"/>
        <v>0</v>
      </c>
      <c r="F120" s="141">
        <f t="shared" si="114"/>
        <v>0</v>
      </c>
      <c r="G120" s="141">
        <f t="shared" si="114"/>
        <v>0</v>
      </c>
      <c r="H120" s="141">
        <f t="shared" si="114"/>
        <v>0</v>
      </c>
      <c r="I120" s="141">
        <f t="shared" si="114"/>
        <v>0</v>
      </c>
      <c r="J120" s="141">
        <f t="shared" si="114"/>
        <v>0</v>
      </c>
      <c r="K120" s="141">
        <f t="shared" si="114"/>
        <v>0</v>
      </c>
      <c r="L120" s="141">
        <f t="shared" si="114"/>
        <v>0</v>
      </c>
      <c r="M120" s="141">
        <f t="shared" si="114"/>
        <v>0</v>
      </c>
      <c r="N120" s="141">
        <f t="shared" si="114"/>
        <v>0</v>
      </c>
      <c r="O120" s="141">
        <f t="shared" si="114"/>
        <v>0</v>
      </c>
      <c r="P120" s="141">
        <f t="shared" si="114"/>
        <v>0</v>
      </c>
      <c r="Q120" s="141">
        <f t="shared" si="114"/>
        <v>0</v>
      </c>
      <c r="R120" s="141">
        <f t="shared" si="114"/>
        <v>0</v>
      </c>
      <c r="S120" s="141">
        <f t="shared" si="114"/>
        <v>0</v>
      </c>
      <c r="T120" s="141">
        <f t="shared" si="114"/>
        <v>0</v>
      </c>
      <c r="U120" s="141">
        <f t="shared" si="114"/>
        <v>0</v>
      </c>
      <c r="V120" s="141">
        <f t="shared" si="114"/>
        <v>0</v>
      </c>
      <c r="W120" s="141">
        <f t="shared" si="114"/>
        <v>0</v>
      </c>
      <c r="X120" s="141">
        <f>IF(Y46=1,IF(X113&gt;X114,X114,0),0)</f>
        <v>0</v>
      </c>
      <c r="Y120" s="141">
        <f t="shared" si="114"/>
        <v>0</v>
      </c>
      <c r="Z120" s="141">
        <f t="shared" si="114"/>
        <v>0</v>
      </c>
      <c r="AA120" s="141">
        <f t="shared" si="114"/>
        <v>0</v>
      </c>
      <c r="AB120" s="141">
        <f t="shared" si="114"/>
        <v>0</v>
      </c>
      <c r="AC120" s="141">
        <f t="shared" si="114"/>
        <v>0</v>
      </c>
      <c r="AD120" s="141">
        <f t="shared" si="114"/>
        <v>0</v>
      </c>
      <c r="AE120" s="141">
        <f t="shared" si="114"/>
        <v>0</v>
      </c>
      <c r="AF120" s="141">
        <f t="shared" si="114"/>
        <v>0</v>
      </c>
      <c r="AG120" s="141">
        <f t="shared" si="114"/>
        <v>0</v>
      </c>
      <c r="AH120" s="154" t="s">
        <v>12</v>
      </c>
      <c r="AI120" s="133"/>
      <c r="AJ120" s="170"/>
      <c r="AK120" s="133"/>
      <c r="AL120" s="133"/>
    </row>
    <row r="121" spans="1:57" ht="15.95" hidden="1" customHeight="1" x14ac:dyDescent="0.25">
      <c r="A121" s="176"/>
      <c r="B121" s="149" t="s">
        <v>67</v>
      </c>
      <c r="C121" s="171">
        <f t="shared" ref="C121:AG121" si="115">SUM(C118:C120)</f>
        <v>0</v>
      </c>
      <c r="D121" s="171">
        <f t="shared" si="115"/>
        <v>0</v>
      </c>
      <c r="E121" s="171">
        <f t="shared" si="115"/>
        <v>0</v>
      </c>
      <c r="F121" s="171">
        <f t="shared" si="115"/>
        <v>0</v>
      </c>
      <c r="G121" s="171">
        <f t="shared" si="115"/>
        <v>0</v>
      </c>
      <c r="H121" s="171">
        <f t="shared" si="115"/>
        <v>0</v>
      </c>
      <c r="I121" s="171">
        <f t="shared" si="115"/>
        <v>0</v>
      </c>
      <c r="J121" s="171">
        <f t="shared" si="115"/>
        <v>0</v>
      </c>
      <c r="K121" s="171">
        <f t="shared" si="115"/>
        <v>0</v>
      </c>
      <c r="L121" s="171">
        <f t="shared" si="115"/>
        <v>0</v>
      </c>
      <c r="M121" s="171">
        <f t="shared" si="115"/>
        <v>0</v>
      </c>
      <c r="N121" s="171">
        <f t="shared" si="115"/>
        <v>0</v>
      </c>
      <c r="O121" s="171">
        <f t="shared" si="115"/>
        <v>0</v>
      </c>
      <c r="P121" s="171">
        <f t="shared" si="115"/>
        <v>0</v>
      </c>
      <c r="Q121" s="171">
        <f t="shared" si="115"/>
        <v>0</v>
      </c>
      <c r="R121" s="171">
        <f t="shared" si="115"/>
        <v>0</v>
      </c>
      <c r="S121" s="171">
        <f t="shared" si="115"/>
        <v>0</v>
      </c>
      <c r="T121" s="171">
        <f t="shared" si="115"/>
        <v>0</v>
      </c>
      <c r="U121" s="171">
        <f t="shared" si="115"/>
        <v>0</v>
      </c>
      <c r="V121" s="171">
        <f t="shared" si="115"/>
        <v>0</v>
      </c>
      <c r="W121" s="171">
        <f t="shared" si="115"/>
        <v>0</v>
      </c>
      <c r="X121" s="171">
        <f t="shared" si="115"/>
        <v>0</v>
      </c>
      <c r="Y121" s="171">
        <f t="shared" si="115"/>
        <v>0</v>
      </c>
      <c r="Z121" s="171">
        <f t="shared" si="115"/>
        <v>0</v>
      </c>
      <c r="AA121" s="171">
        <f t="shared" si="115"/>
        <v>0</v>
      </c>
      <c r="AB121" s="171">
        <f t="shared" si="115"/>
        <v>0</v>
      </c>
      <c r="AC121" s="171">
        <f t="shared" si="115"/>
        <v>0</v>
      </c>
      <c r="AD121" s="171">
        <f t="shared" si="115"/>
        <v>0</v>
      </c>
      <c r="AE121" s="171">
        <f t="shared" si="115"/>
        <v>0</v>
      </c>
      <c r="AF121" s="171">
        <f t="shared" si="115"/>
        <v>0</v>
      </c>
      <c r="AG121" s="171">
        <f t="shared" si="115"/>
        <v>0</v>
      </c>
      <c r="AH121" s="154" t="s">
        <v>12</v>
      </c>
      <c r="AI121" s="133"/>
      <c r="AJ121" s="170"/>
      <c r="AK121" s="133"/>
      <c r="AL121" s="133"/>
    </row>
    <row r="122" spans="1:57" ht="15.95" hidden="1" customHeight="1" x14ac:dyDescent="0.25">
      <c r="A122" s="177"/>
      <c r="B122" s="160" t="s">
        <v>68</v>
      </c>
      <c r="C122" s="182">
        <f t="shared" ref="C122:AG122" si="116">IF(C15="V",IF(C15="",0,1),0)</f>
        <v>0</v>
      </c>
      <c r="D122" s="182">
        <f t="shared" si="116"/>
        <v>0</v>
      </c>
      <c r="E122" s="182">
        <f t="shared" si="116"/>
        <v>0</v>
      </c>
      <c r="F122" s="182">
        <f t="shared" si="116"/>
        <v>0</v>
      </c>
      <c r="G122" s="182">
        <f t="shared" si="116"/>
        <v>0</v>
      </c>
      <c r="H122" s="182">
        <f t="shared" si="116"/>
        <v>0</v>
      </c>
      <c r="I122" s="182">
        <f t="shared" si="116"/>
        <v>0</v>
      </c>
      <c r="J122" s="182">
        <f t="shared" si="116"/>
        <v>0</v>
      </c>
      <c r="K122" s="182">
        <f t="shared" si="116"/>
        <v>0</v>
      </c>
      <c r="L122" s="182">
        <f t="shared" si="116"/>
        <v>0</v>
      </c>
      <c r="M122" s="182">
        <f t="shared" si="116"/>
        <v>0</v>
      </c>
      <c r="N122" s="182">
        <f t="shared" si="116"/>
        <v>0</v>
      </c>
      <c r="O122" s="182">
        <f t="shared" si="116"/>
        <v>0</v>
      </c>
      <c r="P122" s="182">
        <f t="shared" si="116"/>
        <v>0</v>
      </c>
      <c r="Q122" s="182">
        <f t="shared" si="116"/>
        <v>0</v>
      </c>
      <c r="R122" s="182">
        <f t="shared" si="116"/>
        <v>0</v>
      </c>
      <c r="S122" s="182">
        <f t="shared" si="116"/>
        <v>0</v>
      </c>
      <c r="T122" s="182">
        <f t="shared" si="116"/>
        <v>0</v>
      </c>
      <c r="U122" s="182">
        <f t="shared" si="116"/>
        <v>0</v>
      </c>
      <c r="V122" s="182">
        <f t="shared" si="116"/>
        <v>0</v>
      </c>
      <c r="W122" s="182">
        <f t="shared" si="116"/>
        <v>0</v>
      </c>
      <c r="X122" s="182">
        <f t="shared" si="116"/>
        <v>0</v>
      </c>
      <c r="Y122" s="182">
        <f t="shared" si="116"/>
        <v>0</v>
      </c>
      <c r="Z122" s="182">
        <f t="shared" si="116"/>
        <v>0</v>
      </c>
      <c r="AA122" s="182">
        <f t="shared" si="116"/>
        <v>0</v>
      </c>
      <c r="AB122" s="182">
        <f t="shared" si="116"/>
        <v>0</v>
      </c>
      <c r="AC122" s="182">
        <f t="shared" si="116"/>
        <v>0</v>
      </c>
      <c r="AD122" s="182">
        <f t="shared" si="116"/>
        <v>0</v>
      </c>
      <c r="AE122" s="182">
        <f t="shared" si="116"/>
        <v>0</v>
      </c>
      <c r="AF122" s="182">
        <f t="shared" si="116"/>
        <v>0</v>
      </c>
      <c r="AG122" s="182">
        <f t="shared" si="116"/>
        <v>0</v>
      </c>
      <c r="AH122" s="154" t="s">
        <v>12</v>
      </c>
      <c r="AI122" s="133"/>
      <c r="AJ122" s="170"/>
      <c r="AK122" s="133"/>
      <c r="AL122" s="133"/>
    </row>
    <row r="123" spans="1:57" ht="15.95" hidden="1" customHeight="1" x14ac:dyDescent="0.25">
      <c r="A123" s="180"/>
      <c r="B123" s="181" t="s">
        <v>16</v>
      </c>
      <c r="C123" s="182">
        <f t="shared" ref="C123:AG123" si="117">IF(C15="PR",IF(C15="",0,1),0)</f>
        <v>0</v>
      </c>
      <c r="D123" s="182">
        <f t="shared" si="117"/>
        <v>0</v>
      </c>
      <c r="E123" s="182">
        <f t="shared" si="117"/>
        <v>0</v>
      </c>
      <c r="F123" s="182">
        <f t="shared" si="117"/>
        <v>0</v>
      </c>
      <c r="G123" s="182">
        <f t="shared" si="117"/>
        <v>0</v>
      </c>
      <c r="H123" s="182">
        <f t="shared" si="117"/>
        <v>0</v>
      </c>
      <c r="I123" s="182">
        <f t="shared" si="117"/>
        <v>0</v>
      </c>
      <c r="J123" s="182">
        <f t="shared" si="117"/>
        <v>0</v>
      </c>
      <c r="K123" s="182">
        <f t="shared" si="117"/>
        <v>0</v>
      </c>
      <c r="L123" s="182">
        <f t="shared" si="117"/>
        <v>0</v>
      </c>
      <c r="M123" s="182">
        <f t="shared" si="117"/>
        <v>0</v>
      </c>
      <c r="N123" s="182">
        <f t="shared" si="117"/>
        <v>0</v>
      </c>
      <c r="O123" s="182">
        <f t="shared" si="117"/>
        <v>0</v>
      </c>
      <c r="P123" s="182">
        <f t="shared" si="117"/>
        <v>0</v>
      </c>
      <c r="Q123" s="182">
        <f t="shared" si="117"/>
        <v>0</v>
      </c>
      <c r="R123" s="182">
        <f t="shared" si="117"/>
        <v>0</v>
      </c>
      <c r="S123" s="182">
        <f t="shared" si="117"/>
        <v>0</v>
      </c>
      <c r="T123" s="182">
        <f t="shared" si="117"/>
        <v>0</v>
      </c>
      <c r="U123" s="182">
        <f t="shared" si="117"/>
        <v>0</v>
      </c>
      <c r="V123" s="182">
        <f t="shared" si="117"/>
        <v>0</v>
      </c>
      <c r="W123" s="182">
        <f t="shared" si="117"/>
        <v>0</v>
      </c>
      <c r="X123" s="182">
        <f t="shared" si="117"/>
        <v>0</v>
      </c>
      <c r="Y123" s="182">
        <f t="shared" si="117"/>
        <v>0</v>
      </c>
      <c r="Z123" s="182">
        <f t="shared" si="117"/>
        <v>0</v>
      </c>
      <c r="AA123" s="182">
        <f t="shared" si="117"/>
        <v>0</v>
      </c>
      <c r="AB123" s="182">
        <f t="shared" si="117"/>
        <v>0</v>
      </c>
      <c r="AC123" s="182">
        <f t="shared" si="117"/>
        <v>0</v>
      </c>
      <c r="AD123" s="182">
        <f t="shared" si="117"/>
        <v>0</v>
      </c>
      <c r="AE123" s="182">
        <f t="shared" si="117"/>
        <v>0</v>
      </c>
      <c r="AF123" s="182">
        <f t="shared" si="117"/>
        <v>0</v>
      </c>
      <c r="AG123" s="182">
        <f t="shared" si="117"/>
        <v>0</v>
      </c>
      <c r="AH123" s="227">
        <f>SUM(C123:AG123)</f>
        <v>0</v>
      </c>
      <c r="AI123" s="227"/>
      <c r="AJ123" s="174" t="s">
        <v>69</v>
      </c>
      <c r="AK123" s="133"/>
      <c r="AL123" s="133"/>
    </row>
    <row r="124" spans="1:57" ht="15.95" hidden="1" customHeight="1" x14ac:dyDescent="0.25">
      <c r="A124" s="164" t="s">
        <v>83</v>
      </c>
      <c r="B124" s="165" t="s">
        <v>29</v>
      </c>
      <c r="C124" s="141" t="str">
        <f t="shared" ref="C124:AG124" si="118">IF(C16=$R32,$S32*24,IF(C16=$R33,$S33*24,IF(C16=$R34,$S34*24,IF(C16=$R35,$S35*24,IF(C16=$R36,$S36*24,IF(C16=$R37,$S37*24,IF(C16=$R38,$S38*24,IF(C16=$R39,$S39*24,IF(C16=$R40,$S40*24,"")))))))))</f>
        <v/>
      </c>
      <c r="D124" s="141" t="str">
        <f t="shared" si="118"/>
        <v/>
      </c>
      <c r="E124" s="141" t="str">
        <f t="shared" si="118"/>
        <v/>
      </c>
      <c r="F124" s="141" t="str">
        <f t="shared" si="118"/>
        <v/>
      </c>
      <c r="G124" s="141" t="str">
        <f t="shared" si="118"/>
        <v/>
      </c>
      <c r="H124" s="141" t="str">
        <f t="shared" si="118"/>
        <v/>
      </c>
      <c r="I124" s="141" t="str">
        <f t="shared" si="118"/>
        <v/>
      </c>
      <c r="J124" s="141" t="str">
        <f t="shared" si="118"/>
        <v/>
      </c>
      <c r="K124" s="141" t="str">
        <f t="shared" si="118"/>
        <v/>
      </c>
      <c r="L124" s="141" t="str">
        <f t="shared" si="118"/>
        <v/>
      </c>
      <c r="M124" s="141" t="str">
        <f t="shared" si="118"/>
        <v/>
      </c>
      <c r="N124" s="141" t="str">
        <f t="shared" si="118"/>
        <v/>
      </c>
      <c r="O124" s="141" t="str">
        <f t="shared" si="118"/>
        <v/>
      </c>
      <c r="P124" s="141" t="str">
        <f t="shared" si="118"/>
        <v/>
      </c>
      <c r="Q124" s="141" t="str">
        <f t="shared" si="118"/>
        <v/>
      </c>
      <c r="R124" s="141" t="str">
        <f t="shared" si="118"/>
        <v/>
      </c>
      <c r="S124" s="141" t="str">
        <f t="shared" si="118"/>
        <v/>
      </c>
      <c r="T124" s="141" t="str">
        <f t="shared" si="118"/>
        <v/>
      </c>
      <c r="U124" s="141" t="str">
        <f t="shared" si="118"/>
        <v/>
      </c>
      <c r="V124" s="141" t="str">
        <f t="shared" si="118"/>
        <v/>
      </c>
      <c r="W124" s="141" t="str">
        <f t="shared" si="118"/>
        <v/>
      </c>
      <c r="X124" s="141" t="str">
        <f t="shared" si="118"/>
        <v/>
      </c>
      <c r="Y124" s="141" t="str">
        <f t="shared" si="118"/>
        <v/>
      </c>
      <c r="Z124" s="141" t="str">
        <f t="shared" si="118"/>
        <v/>
      </c>
      <c r="AA124" s="141" t="str">
        <f t="shared" si="118"/>
        <v/>
      </c>
      <c r="AB124" s="141" t="str">
        <f t="shared" si="118"/>
        <v/>
      </c>
      <c r="AC124" s="141" t="str">
        <f t="shared" si="118"/>
        <v/>
      </c>
      <c r="AD124" s="141" t="str">
        <f t="shared" si="118"/>
        <v/>
      </c>
      <c r="AE124" s="141" t="str">
        <f t="shared" si="118"/>
        <v/>
      </c>
      <c r="AF124" s="141" t="str">
        <f t="shared" si="118"/>
        <v/>
      </c>
      <c r="AG124" s="141" t="str">
        <f t="shared" si="118"/>
        <v/>
      </c>
      <c r="AH124" s="154" t="s">
        <v>12</v>
      </c>
      <c r="AI124" s="133"/>
      <c r="AJ124" s="170"/>
      <c r="AK124" s="133"/>
      <c r="AL124" s="133"/>
    </row>
    <row r="125" spans="1:57" ht="15.95" hidden="1" customHeight="1" x14ac:dyDescent="0.25">
      <c r="A125" s="166" t="s">
        <v>84</v>
      </c>
      <c r="B125" s="167" t="s">
        <v>30</v>
      </c>
      <c r="C125" s="141" t="str">
        <f t="shared" ref="C125:AG125" si="119">IF(C16=$R32,$V32*24,IF(C16=$R33,$V33*24,IF(C16=$R34,$V34*24,IF(C16=$R35,$V35*24,IF(C16=$R36,$V36*24,IF(C16=$R37,$V37*24,IF(C16=$R38,$V38*24,IF(C16=$R39,$V39*24,IF(C16=$R40,$V40*24,"")))))))))</f>
        <v/>
      </c>
      <c r="D125" s="141" t="str">
        <f t="shared" si="119"/>
        <v/>
      </c>
      <c r="E125" s="141" t="str">
        <f t="shared" si="119"/>
        <v/>
      </c>
      <c r="F125" s="141" t="str">
        <f t="shared" si="119"/>
        <v/>
      </c>
      <c r="G125" s="141" t="str">
        <f t="shared" si="119"/>
        <v/>
      </c>
      <c r="H125" s="141" t="str">
        <f t="shared" si="119"/>
        <v/>
      </c>
      <c r="I125" s="141" t="str">
        <f t="shared" si="119"/>
        <v/>
      </c>
      <c r="J125" s="141" t="str">
        <f t="shared" si="119"/>
        <v/>
      </c>
      <c r="K125" s="141" t="str">
        <f t="shared" si="119"/>
        <v/>
      </c>
      <c r="L125" s="141" t="str">
        <f t="shared" si="119"/>
        <v/>
      </c>
      <c r="M125" s="141" t="str">
        <f t="shared" si="119"/>
        <v/>
      </c>
      <c r="N125" s="141" t="str">
        <f t="shared" si="119"/>
        <v/>
      </c>
      <c r="O125" s="141" t="str">
        <f t="shared" si="119"/>
        <v/>
      </c>
      <c r="P125" s="141" t="str">
        <f t="shared" si="119"/>
        <v/>
      </c>
      <c r="Q125" s="141" t="str">
        <f t="shared" si="119"/>
        <v/>
      </c>
      <c r="R125" s="141" t="str">
        <f t="shared" si="119"/>
        <v/>
      </c>
      <c r="S125" s="141" t="str">
        <f t="shared" si="119"/>
        <v/>
      </c>
      <c r="T125" s="141" t="str">
        <f t="shared" si="119"/>
        <v/>
      </c>
      <c r="U125" s="141" t="str">
        <f t="shared" si="119"/>
        <v/>
      </c>
      <c r="V125" s="141" t="str">
        <f t="shared" si="119"/>
        <v/>
      </c>
      <c r="W125" s="141" t="str">
        <f t="shared" si="119"/>
        <v/>
      </c>
      <c r="X125" s="141" t="str">
        <f t="shared" si="119"/>
        <v/>
      </c>
      <c r="Y125" s="141" t="str">
        <f t="shared" si="119"/>
        <v/>
      </c>
      <c r="Z125" s="141" t="str">
        <f t="shared" si="119"/>
        <v/>
      </c>
      <c r="AA125" s="141" t="str">
        <f t="shared" si="119"/>
        <v/>
      </c>
      <c r="AB125" s="141" t="str">
        <f t="shared" si="119"/>
        <v/>
      </c>
      <c r="AC125" s="141" t="str">
        <f t="shared" si="119"/>
        <v/>
      </c>
      <c r="AD125" s="141" t="str">
        <f t="shared" si="119"/>
        <v/>
      </c>
      <c r="AE125" s="141" t="str">
        <f t="shared" si="119"/>
        <v/>
      </c>
      <c r="AF125" s="141" t="str">
        <f t="shared" si="119"/>
        <v/>
      </c>
      <c r="AG125" s="141" t="str">
        <f t="shared" si="119"/>
        <v/>
      </c>
      <c r="AH125" s="154" t="s">
        <v>12</v>
      </c>
      <c r="AI125" s="133"/>
      <c r="AJ125" s="170"/>
      <c r="AK125" s="133"/>
      <c r="AL125" s="133"/>
    </row>
    <row r="126" spans="1:57" ht="15.95" hidden="1" customHeight="1" x14ac:dyDescent="0.25">
      <c r="A126" s="153"/>
      <c r="B126" s="168" t="s">
        <v>34</v>
      </c>
      <c r="C126" s="169" t="str">
        <f t="shared" ref="C126:AD126" si="120">IF(C16=$R32,$BD32*24,IF(C16=$R33,$BD33*24,IF(C16=$R34,$BD34*24,IF(C16=$R35,$BD35*24,IF(C16=$R36,$BD36*24,IF(C16=$R37,$BD37*24,IF(C16=$R38,$BD38*24,IF(C16=$R39,$BD39*24,IF(C16=$R40,$BD40*24,"")))))))))</f>
        <v/>
      </c>
      <c r="D126" s="169" t="str">
        <f t="shared" si="120"/>
        <v/>
      </c>
      <c r="E126" s="169" t="str">
        <f t="shared" si="120"/>
        <v/>
      </c>
      <c r="F126" s="169" t="str">
        <f t="shared" si="120"/>
        <v/>
      </c>
      <c r="G126" s="169" t="str">
        <f t="shared" si="120"/>
        <v/>
      </c>
      <c r="H126" s="169" t="str">
        <f t="shared" si="120"/>
        <v/>
      </c>
      <c r="I126" s="169" t="str">
        <f t="shared" si="120"/>
        <v/>
      </c>
      <c r="J126" s="169" t="str">
        <f t="shared" si="120"/>
        <v/>
      </c>
      <c r="K126" s="169" t="str">
        <f t="shared" si="120"/>
        <v/>
      </c>
      <c r="L126" s="169" t="str">
        <f t="shared" si="120"/>
        <v/>
      </c>
      <c r="M126" s="169" t="str">
        <f t="shared" si="120"/>
        <v/>
      </c>
      <c r="N126" s="169" t="str">
        <f t="shared" si="120"/>
        <v/>
      </c>
      <c r="O126" s="169" t="str">
        <f t="shared" si="120"/>
        <v/>
      </c>
      <c r="P126" s="169" t="str">
        <f t="shared" si="120"/>
        <v/>
      </c>
      <c r="Q126" s="169" t="str">
        <f t="shared" si="120"/>
        <v/>
      </c>
      <c r="R126" s="169" t="str">
        <f t="shared" si="120"/>
        <v/>
      </c>
      <c r="S126" s="169" t="str">
        <f t="shared" si="120"/>
        <v/>
      </c>
      <c r="T126" s="169" t="str">
        <f t="shared" si="120"/>
        <v/>
      </c>
      <c r="U126" s="169" t="str">
        <f t="shared" si="120"/>
        <v/>
      </c>
      <c r="V126" s="169" t="str">
        <f t="shared" si="120"/>
        <v/>
      </c>
      <c r="W126" s="169" t="str">
        <f t="shared" si="120"/>
        <v/>
      </c>
      <c r="X126" s="169" t="str">
        <f t="shared" si="120"/>
        <v/>
      </c>
      <c r="Y126" s="169" t="str">
        <f t="shared" si="120"/>
        <v/>
      </c>
      <c r="Z126" s="169" t="str">
        <f t="shared" si="120"/>
        <v/>
      </c>
      <c r="AA126" s="169" t="str">
        <f t="shared" si="120"/>
        <v/>
      </c>
      <c r="AB126" s="169" t="str">
        <f t="shared" si="120"/>
        <v/>
      </c>
      <c r="AC126" s="169" t="str">
        <f t="shared" si="120"/>
        <v/>
      </c>
      <c r="AD126" s="169" t="str">
        <f t="shared" si="120"/>
        <v/>
      </c>
      <c r="AE126" s="169" t="str">
        <f>IF(AE16=$R32,$BD32*24,IF(AE16=$R33,$BD33*24,IF(AE16=$R34,$BD34*24,IF(AE16=$R35,$BD35*24,IF(AE16=$R36,$BD36*24,IF(AE16=$R37,$BD37*24,IF(AE16=$R38,$BD38*24,IF(AE16=$R39,$BD39*24,IF(AE16=$R40,$BD40*24,"")))))))))</f>
        <v/>
      </c>
      <c r="AF126" s="169" t="str">
        <f>IF(AF16=$R32,$BD32*24,IF(AF16=$R33,$BD33*24,IF(AF16=$R34,$BD34*24,IF(AF16=$R35,$BD35*24,IF(AF16=$R36,$BD36*24,IF(AF16=$R37,$BD37*24,IF(AF16=$R38,$BD38*24,IF(AF16=$R39,$BD39*24,IF(AF16=$R40,$BD40*24,"")))))))))</f>
        <v/>
      </c>
      <c r="AG126" s="169" t="str">
        <f>IF(AG16=$R32,$BD32*24,IF(AG16=$R33,$BD33*24,IF(AG16=$R34,$BD34*24,IF(AG16=$R35,$BD35*24,IF(AG16=$R36,$BD36*24,IF(AG16=$R37,$BD37*24,IF(AG16=$R38,$BD38*24,IF(AG16=$R39,$BD39*24,IF(AG16=$R40,$BD40*24,"")))))))))</f>
        <v/>
      </c>
      <c r="AH126" s="148">
        <f>SUM(C126:AG126)</f>
        <v>0</v>
      </c>
      <c r="AI126" s="133"/>
      <c r="AJ126" s="170"/>
      <c r="AK126" s="133"/>
      <c r="AL126" s="133"/>
    </row>
    <row r="127" spans="1:57" ht="15.95" hidden="1" customHeight="1" x14ac:dyDescent="0.25">
      <c r="A127" s="153"/>
      <c r="B127" s="167" t="s">
        <v>59</v>
      </c>
      <c r="C127" s="141">
        <f t="shared" ref="C127:AG127" si="121">IF(C16="V",$C36,IF(C16="PR",$C38,0))</f>
        <v>0</v>
      </c>
      <c r="D127" s="141">
        <f t="shared" si="121"/>
        <v>0</v>
      </c>
      <c r="E127" s="141">
        <f t="shared" si="121"/>
        <v>0</v>
      </c>
      <c r="F127" s="141">
        <f t="shared" si="121"/>
        <v>0</v>
      </c>
      <c r="G127" s="141">
        <f t="shared" si="121"/>
        <v>0</v>
      </c>
      <c r="H127" s="141">
        <f t="shared" si="121"/>
        <v>0</v>
      </c>
      <c r="I127" s="141">
        <f t="shared" si="121"/>
        <v>0</v>
      </c>
      <c r="J127" s="141">
        <f t="shared" si="121"/>
        <v>0</v>
      </c>
      <c r="K127" s="141">
        <f t="shared" si="121"/>
        <v>0</v>
      </c>
      <c r="L127" s="141">
        <f t="shared" si="121"/>
        <v>0</v>
      </c>
      <c r="M127" s="141">
        <f t="shared" si="121"/>
        <v>0</v>
      </c>
      <c r="N127" s="141">
        <f t="shared" si="121"/>
        <v>0</v>
      </c>
      <c r="O127" s="141">
        <f t="shared" si="121"/>
        <v>0</v>
      </c>
      <c r="P127" s="141">
        <f t="shared" si="121"/>
        <v>0</v>
      </c>
      <c r="Q127" s="141">
        <f t="shared" si="121"/>
        <v>0</v>
      </c>
      <c r="R127" s="141">
        <f t="shared" si="121"/>
        <v>0</v>
      </c>
      <c r="S127" s="141">
        <f t="shared" si="121"/>
        <v>0</v>
      </c>
      <c r="T127" s="141">
        <f t="shared" si="121"/>
        <v>0</v>
      </c>
      <c r="U127" s="141">
        <f t="shared" si="121"/>
        <v>0</v>
      </c>
      <c r="V127" s="141">
        <f t="shared" si="121"/>
        <v>0</v>
      </c>
      <c r="W127" s="141">
        <f t="shared" si="121"/>
        <v>0</v>
      </c>
      <c r="X127" s="141">
        <f t="shared" si="121"/>
        <v>0</v>
      </c>
      <c r="Y127" s="141">
        <f t="shared" si="121"/>
        <v>0</v>
      </c>
      <c r="Z127" s="141">
        <f t="shared" si="121"/>
        <v>0</v>
      </c>
      <c r="AA127" s="141">
        <f t="shared" si="121"/>
        <v>0</v>
      </c>
      <c r="AB127" s="141">
        <f t="shared" si="121"/>
        <v>0</v>
      </c>
      <c r="AC127" s="141">
        <f t="shared" si="121"/>
        <v>0</v>
      </c>
      <c r="AD127" s="141">
        <f t="shared" si="121"/>
        <v>0</v>
      </c>
      <c r="AE127" s="141">
        <f t="shared" si="121"/>
        <v>0</v>
      </c>
      <c r="AF127" s="141">
        <f t="shared" si="121"/>
        <v>0</v>
      </c>
      <c r="AG127" s="141">
        <f t="shared" si="121"/>
        <v>0</v>
      </c>
      <c r="AH127" s="226">
        <f>SUM(C127:AG127)</f>
        <v>0</v>
      </c>
      <c r="AI127" s="226"/>
      <c r="AJ127" s="230">
        <f>SUM(AH72+AH83+AH94+AH105+AH116+AH127)</f>
        <v>0</v>
      </c>
      <c r="AK127" s="230"/>
      <c r="AL127" s="133" t="s">
        <v>56</v>
      </c>
    </row>
    <row r="128" spans="1:57" ht="15.95" hidden="1" customHeight="1" x14ac:dyDescent="0.25">
      <c r="A128" s="150" t="s">
        <v>60</v>
      </c>
      <c r="B128" s="167" t="s">
        <v>61</v>
      </c>
      <c r="C128" s="151">
        <f t="shared" ref="C128:AD128" si="122">IF(C16=$R32,$BC32,IF(C16=$R33,$BC33,IF(C16=$R34,$BC34,IF(C16=$R35,$BC35,IF(C16=$R36,$BC36,IF(C16=$R37,$BC37,IF(C16=$R38,$BC38,IF(C16=$R39,$BC39,IF(C16=$R40,$BC40,0)))))))))</f>
        <v>0</v>
      </c>
      <c r="D128" s="151">
        <f t="shared" si="122"/>
        <v>0</v>
      </c>
      <c r="E128" s="151">
        <f t="shared" si="122"/>
        <v>0</v>
      </c>
      <c r="F128" s="151">
        <f t="shared" si="122"/>
        <v>0</v>
      </c>
      <c r="G128" s="151">
        <f t="shared" si="122"/>
        <v>0</v>
      </c>
      <c r="H128" s="151">
        <f t="shared" si="122"/>
        <v>0</v>
      </c>
      <c r="I128" s="151">
        <f t="shared" si="122"/>
        <v>0</v>
      </c>
      <c r="J128" s="151">
        <f t="shared" si="122"/>
        <v>0</v>
      </c>
      <c r="K128" s="151">
        <f t="shared" si="122"/>
        <v>0</v>
      </c>
      <c r="L128" s="151">
        <f t="shared" si="122"/>
        <v>0</v>
      </c>
      <c r="M128" s="151">
        <f t="shared" si="122"/>
        <v>0</v>
      </c>
      <c r="N128" s="151">
        <f t="shared" si="122"/>
        <v>0</v>
      </c>
      <c r="O128" s="151">
        <f t="shared" si="122"/>
        <v>0</v>
      </c>
      <c r="P128" s="151">
        <f t="shared" si="122"/>
        <v>0</v>
      </c>
      <c r="Q128" s="151">
        <f t="shared" si="122"/>
        <v>0</v>
      </c>
      <c r="R128" s="151">
        <f t="shared" si="122"/>
        <v>0</v>
      </c>
      <c r="S128" s="151">
        <f t="shared" si="122"/>
        <v>0</v>
      </c>
      <c r="T128" s="151">
        <f t="shared" si="122"/>
        <v>0</v>
      </c>
      <c r="U128" s="151">
        <f t="shared" si="122"/>
        <v>0</v>
      </c>
      <c r="V128" s="151">
        <f t="shared" si="122"/>
        <v>0</v>
      </c>
      <c r="W128" s="151">
        <f t="shared" si="122"/>
        <v>0</v>
      </c>
      <c r="X128" s="151">
        <f t="shared" si="122"/>
        <v>0</v>
      </c>
      <c r="Y128" s="151">
        <f t="shared" si="122"/>
        <v>0</v>
      </c>
      <c r="Z128" s="151">
        <f t="shared" si="122"/>
        <v>0</v>
      </c>
      <c r="AA128" s="151">
        <f t="shared" si="122"/>
        <v>0</v>
      </c>
      <c r="AB128" s="151">
        <f t="shared" si="122"/>
        <v>0</v>
      </c>
      <c r="AC128" s="151">
        <f t="shared" si="122"/>
        <v>0</v>
      </c>
      <c r="AD128" s="151">
        <f t="shared" si="122"/>
        <v>0</v>
      </c>
      <c r="AE128" s="151">
        <f>IF(AE16=$R32,$BC32,IF(AE16=$R33,$BC33,IF(AE16=$R34,$BC34,IF(AE16=$R35,$BC35,IF(AE16=$R36,$BC36,IF(AE16=$R37,$BC37,IF(AE16=$R38,$BC38,IF(AE16=$R39,$BC39,IF(AE16=$R40,$BC40,0)))))))))</f>
        <v>0</v>
      </c>
      <c r="AF128" s="151">
        <f>IF(AF16=$R32,$BC32,IF(AF16=$R33,$BC33,IF(AF16=$R34,$BC34,IF(AF16=$R35,$BC35,IF(AF16=$R36,$BC36,IF(AF16=$R37,$BC37,IF(AF16=$R38,$BC38,IF(AF16=$R39,$BC39,IF(AF16=$R40,$BC40,0)))))))))</f>
        <v>0</v>
      </c>
      <c r="AG128" s="151">
        <f>IF(AG16=$R32,$BC32,IF(AG16=$R33,$BC33,IF(AG16=$R34,$BC34,IF(AG16=$R35,$BC35,IF(AG16=$R36,$BC36,IF(AG16=$R37,$BC37,IF(AG16=$R38,$BC38,IF(AG16=$R39,$BC39,IF(AG16=$R40,$BC40,0)))))))))</f>
        <v>0</v>
      </c>
      <c r="AH128" s="226">
        <f>SUM(C128:AG128)</f>
        <v>0</v>
      </c>
      <c r="AI128" s="226"/>
      <c r="AJ128" s="174" t="s">
        <v>62</v>
      </c>
      <c r="AK128" s="133" t="s">
        <v>12</v>
      </c>
      <c r="AL128" s="133"/>
    </row>
    <row r="129" spans="1:38" ht="15.95" hidden="1" customHeight="1" x14ac:dyDescent="0.25">
      <c r="A129" s="153" t="s">
        <v>48</v>
      </c>
      <c r="B129" s="149" t="s">
        <v>63</v>
      </c>
      <c r="C129" s="141" t="b">
        <f t="shared" ref="C129:AG129" si="123">IF(C46=1,IF(C124&lt;C125,C128,0))</f>
        <v>0</v>
      </c>
      <c r="D129" s="141" t="b">
        <f t="shared" si="123"/>
        <v>0</v>
      </c>
      <c r="E129" s="141" t="b">
        <f t="shared" si="123"/>
        <v>0</v>
      </c>
      <c r="F129" s="141" t="b">
        <f t="shared" si="123"/>
        <v>0</v>
      </c>
      <c r="G129" s="141" t="b">
        <f t="shared" si="123"/>
        <v>0</v>
      </c>
      <c r="H129" s="141">
        <f t="shared" si="123"/>
        <v>0</v>
      </c>
      <c r="I129" s="141">
        <f t="shared" si="123"/>
        <v>0</v>
      </c>
      <c r="J129" s="141" t="b">
        <f t="shared" si="123"/>
        <v>0</v>
      </c>
      <c r="K129" s="141" t="b">
        <f t="shared" si="123"/>
        <v>0</v>
      </c>
      <c r="L129" s="141" t="b">
        <f t="shared" si="123"/>
        <v>0</v>
      </c>
      <c r="M129" s="141" t="b">
        <f t="shared" si="123"/>
        <v>0</v>
      </c>
      <c r="N129" s="141" t="b">
        <f t="shared" si="123"/>
        <v>0</v>
      </c>
      <c r="O129" s="141">
        <f t="shared" si="123"/>
        <v>0</v>
      </c>
      <c r="P129" s="141">
        <f t="shared" si="123"/>
        <v>0</v>
      </c>
      <c r="Q129" s="141" t="b">
        <f t="shared" si="123"/>
        <v>0</v>
      </c>
      <c r="R129" s="141" t="b">
        <f t="shared" si="123"/>
        <v>0</v>
      </c>
      <c r="S129" s="141" t="b">
        <f t="shared" si="123"/>
        <v>0</v>
      </c>
      <c r="T129" s="141" t="b">
        <f t="shared" si="123"/>
        <v>0</v>
      </c>
      <c r="U129" s="141" t="b">
        <f t="shared" si="123"/>
        <v>0</v>
      </c>
      <c r="V129" s="141">
        <f t="shared" si="123"/>
        <v>0</v>
      </c>
      <c r="W129" s="141">
        <f t="shared" si="123"/>
        <v>0</v>
      </c>
      <c r="X129" s="141" t="b">
        <f t="shared" si="123"/>
        <v>0</v>
      </c>
      <c r="Y129" s="141" t="b">
        <f t="shared" si="123"/>
        <v>0</v>
      </c>
      <c r="Z129" s="141" t="b">
        <f t="shared" si="123"/>
        <v>0</v>
      </c>
      <c r="AA129" s="141" t="b">
        <f t="shared" si="123"/>
        <v>0</v>
      </c>
      <c r="AB129" s="141" t="b">
        <f t="shared" si="123"/>
        <v>0</v>
      </c>
      <c r="AC129" s="141">
        <f t="shared" si="123"/>
        <v>0</v>
      </c>
      <c r="AD129" s="141">
        <f t="shared" si="123"/>
        <v>0</v>
      </c>
      <c r="AE129" s="141" t="b">
        <f t="shared" si="123"/>
        <v>0</v>
      </c>
      <c r="AF129" s="141" t="b">
        <f t="shared" si="123"/>
        <v>0</v>
      </c>
      <c r="AG129" s="141" t="b">
        <f t="shared" si="123"/>
        <v>0</v>
      </c>
      <c r="AH129" s="154" t="s">
        <v>12</v>
      </c>
      <c r="AI129" s="133"/>
      <c r="AJ129" s="170"/>
      <c r="AK129" s="133"/>
      <c r="AL129" s="133"/>
    </row>
    <row r="130" spans="1:38" ht="15.95" hidden="1" customHeight="1" x14ac:dyDescent="0.25">
      <c r="A130" s="176"/>
      <c r="B130" s="149" t="s">
        <v>64</v>
      </c>
      <c r="C130" s="141">
        <f t="shared" ref="C130:AG130" si="124">IF(C46=1,IF(C124&gt;C125,24-C124,0),0)</f>
        <v>0</v>
      </c>
      <c r="D130" s="141">
        <f t="shared" si="124"/>
        <v>0</v>
      </c>
      <c r="E130" s="141">
        <f t="shared" si="124"/>
        <v>0</v>
      </c>
      <c r="F130" s="141">
        <f t="shared" si="124"/>
        <v>0</v>
      </c>
      <c r="G130" s="141">
        <f t="shared" si="124"/>
        <v>0</v>
      </c>
      <c r="H130" s="141">
        <f t="shared" si="124"/>
        <v>0</v>
      </c>
      <c r="I130" s="141">
        <f t="shared" si="124"/>
        <v>0</v>
      </c>
      <c r="J130" s="141">
        <f t="shared" si="124"/>
        <v>0</v>
      </c>
      <c r="K130" s="141">
        <f t="shared" si="124"/>
        <v>0</v>
      </c>
      <c r="L130" s="141">
        <f t="shared" si="124"/>
        <v>0</v>
      </c>
      <c r="M130" s="141">
        <f t="shared" si="124"/>
        <v>0</v>
      </c>
      <c r="N130" s="141">
        <f t="shared" si="124"/>
        <v>0</v>
      </c>
      <c r="O130" s="141">
        <f t="shared" si="124"/>
        <v>0</v>
      </c>
      <c r="P130" s="141">
        <f t="shared" si="124"/>
        <v>0</v>
      </c>
      <c r="Q130" s="141">
        <f t="shared" si="124"/>
        <v>0</v>
      </c>
      <c r="R130" s="141">
        <f t="shared" si="124"/>
        <v>0</v>
      </c>
      <c r="S130" s="141">
        <f t="shared" si="124"/>
        <v>0</v>
      </c>
      <c r="T130" s="141">
        <f t="shared" si="124"/>
        <v>0</v>
      </c>
      <c r="U130" s="141">
        <f t="shared" si="124"/>
        <v>0</v>
      </c>
      <c r="V130" s="141">
        <f t="shared" si="124"/>
        <v>0</v>
      </c>
      <c r="W130" s="141">
        <f t="shared" si="124"/>
        <v>0</v>
      </c>
      <c r="X130" s="141">
        <f t="shared" si="124"/>
        <v>0</v>
      </c>
      <c r="Y130" s="141">
        <f t="shared" si="124"/>
        <v>0</v>
      </c>
      <c r="Z130" s="141">
        <f t="shared" si="124"/>
        <v>0</v>
      </c>
      <c r="AA130" s="141">
        <f t="shared" si="124"/>
        <v>0</v>
      </c>
      <c r="AB130" s="141">
        <f t="shared" si="124"/>
        <v>0</v>
      </c>
      <c r="AC130" s="141">
        <f t="shared" si="124"/>
        <v>0</v>
      </c>
      <c r="AD130" s="141">
        <f t="shared" si="124"/>
        <v>0</v>
      </c>
      <c r="AE130" s="141">
        <f t="shared" si="124"/>
        <v>0</v>
      </c>
      <c r="AF130" s="141">
        <f t="shared" si="124"/>
        <v>0</v>
      </c>
      <c r="AG130" s="141">
        <f t="shared" si="124"/>
        <v>0</v>
      </c>
      <c r="AH130" s="154" t="s">
        <v>12</v>
      </c>
      <c r="AI130" s="133"/>
      <c r="AJ130" s="170"/>
      <c r="AK130" s="133"/>
      <c r="AL130" s="133"/>
    </row>
    <row r="131" spans="1:38" ht="15.95" hidden="1" customHeight="1" x14ac:dyDescent="0.25">
      <c r="A131" s="176"/>
      <c r="B131" s="149" t="s">
        <v>65</v>
      </c>
      <c r="C131" s="141">
        <f t="shared" ref="C131:AG131" si="125">IF(D46=1,IF(C124&gt;C125,C125,0),0)</f>
        <v>0</v>
      </c>
      <c r="D131" s="141">
        <f t="shared" si="125"/>
        <v>0</v>
      </c>
      <c r="E131" s="141">
        <f t="shared" si="125"/>
        <v>0</v>
      </c>
      <c r="F131" s="141">
        <f t="shared" si="125"/>
        <v>0</v>
      </c>
      <c r="G131" s="141">
        <f t="shared" si="125"/>
        <v>0</v>
      </c>
      <c r="H131" s="141">
        <f t="shared" si="125"/>
        <v>0</v>
      </c>
      <c r="I131" s="141">
        <f t="shared" si="125"/>
        <v>0</v>
      </c>
      <c r="J131" s="141">
        <f t="shared" si="125"/>
        <v>0</v>
      </c>
      <c r="K131" s="141">
        <f t="shared" si="125"/>
        <v>0</v>
      </c>
      <c r="L131" s="141">
        <f t="shared" si="125"/>
        <v>0</v>
      </c>
      <c r="M131" s="141">
        <f t="shared" si="125"/>
        <v>0</v>
      </c>
      <c r="N131" s="141">
        <f t="shared" si="125"/>
        <v>0</v>
      </c>
      <c r="O131" s="141">
        <f t="shared" si="125"/>
        <v>0</v>
      </c>
      <c r="P131" s="141">
        <f t="shared" si="125"/>
        <v>0</v>
      </c>
      <c r="Q131" s="141">
        <f t="shared" si="125"/>
        <v>0</v>
      </c>
      <c r="R131" s="141">
        <f t="shared" si="125"/>
        <v>0</v>
      </c>
      <c r="S131" s="141">
        <f t="shared" si="125"/>
        <v>0</v>
      </c>
      <c r="T131" s="141">
        <f t="shared" si="125"/>
        <v>0</v>
      </c>
      <c r="U131" s="141">
        <f t="shared" si="125"/>
        <v>0</v>
      </c>
      <c r="V131" s="141">
        <f t="shared" si="125"/>
        <v>0</v>
      </c>
      <c r="W131" s="141">
        <f t="shared" si="125"/>
        <v>0</v>
      </c>
      <c r="X131" s="141">
        <f>IF(Y46=1,IF(X124&gt;X125,X125,0),0)</f>
        <v>0</v>
      </c>
      <c r="Y131" s="141">
        <f t="shared" si="125"/>
        <v>0</v>
      </c>
      <c r="Z131" s="141">
        <f t="shared" si="125"/>
        <v>0</v>
      </c>
      <c r="AA131" s="141">
        <f t="shared" si="125"/>
        <v>0</v>
      </c>
      <c r="AB131" s="141">
        <f t="shared" si="125"/>
        <v>0</v>
      </c>
      <c r="AC131" s="141">
        <f t="shared" si="125"/>
        <v>0</v>
      </c>
      <c r="AD131" s="141">
        <f t="shared" si="125"/>
        <v>0</v>
      </c>
      <c r="AE131" s="141">
        <f t="shared" si="125"/>
        <v>0</v>
      </c>
      <c r="AF131" s="141">
        <f t="shared" si="125"/>
        <v>0</v>
      </c>
      <c r="AG131" s="141">
        <f t="shared" si="125"/>
        <v>0</v>
      </c>
      <c r="AH131" s="154" t="s">
        <v>12</v>
      </c>
      <c r="AI131" s="133"/>
      <c r="AJ131" s="170"/>
      <c r="AK131" s="133"/>
      <c r="AL131" s="133"/>
    </row>
    <row r="132" spans="1:38" ht="15.95" hidden="1" customHeight="1" x14ac:dyDescent="0.25">
      <c r="A132" s="176"/>
      <c r="B132" s="149" t="s">
        <v>67</v>
      </c>
      <c r="C132" s="171">
        <f t="shared" ref="C132:AG132" si="126">SUM(C129:C131)</f>
        <v>0</v>
      </c>
      <c r="D132" s="171">
        <f t="shared" si="126"/>
        <v>0</v>
      </c>
      <c r="E132" s="171">
        <f t="shared" si="126"/>
        <v>0</v>
      </c>
      <c r="F132" s="171">
        <f t="shared" si="126"/>
        <v>0</v>
      </c>
      <c r="G132" s="171">
        <f t="shared" si="126"/>
        <v>0</v>
      </c>
      <c r="H132" s="171">
        <f t="shared" si="126"/>
        <v>0</v>
      </c>
      <c r="I132" s="171">
        <f t="shared" si="126"/>
        <v>0</v>
      </c>
      <c r="J132" s="171">
        <f t="shared" si="126"/>
        <v>0</v>
      </c>
      <c r="K132" s="171">
        <f t="shared" si="126"/>
        <v>0</v>
      </c>
      <c r="L132" s="171">
        <f t="shared" si="126"/>
        <v>0</v>
      </c>
      <c r="M132" s="171">
        <f t="shared" si="126"/>
        <v>0</v>
      </c>
      <c r="N132" s="171">
        <f t="shared" si="126"/>
        <v>0</v>
      </c>
      <c r="O132" s="171">
        <f t="shared" si="126"/>
        <v>0</v>
      </c>
      <c r="P132" s="171">
        <f t="shared" si="126"/>
        <v>0</v>
      </c>
      <c r="Q132" s="171">
        <f t="shared" si="126"/>
        <v>0</v>
      </c>
      <c r="R132" s="171">
        <f t="shared" si="126"/>
        <v>0</v>
      </c>
      <c r="S132" s="171">
        <f t="shared" si="126"/>
        <v>0</v>
      </c>
      <c r="T132" s="171">
        <f t="shared" si="126"/>
        <v>0</v>
      </c>
      <c r="U132" s="171">
        <f t="shared" si="126"/>
        <v>0</v>
      </c>
      <c r="V132" s="171">
        <f t="shared" si="126"/>
        <v>0</v>
      </c>
      <c r="W132" s="171">
        <f t="shared" si="126"/>
        <v>0</v>
      </c>
      <c r="X132" s="171">
        <f t="shared" si="126"/>
        <v>0</v>
      </c>
      <c r="Y132" s="171">
        <f t="shared" si="126"/>
        <v>0</v>
      </c>
      <c r="Z132" s="171">
        <f t="shared" si="126"/>
        <v>0</v>
      </c>
      <c r="AA132" s="171">
        <f t="shared" si="126"/>
        <v>0</v>
      </c>
      <c r="AB132" s="171">
        <f t="shared" si="126"/>
        <v>0</v>
      </c>
      <c r="AC132" s="171">
        <f t="shared" si="126"/>
        <v>0</v>
      </c>
      <c r="AD132" s="171">
        <f t="shared" si="126"/>
        <v>0</v>
      </c>
      <c r="AE132" s="171">
        <f t="shared" si="126"/>
        <v>0</v>
      </c>
      <c r="AF132" s="171">
        <f t="shared" si="126"/>
        <v>0</v>
      </c>
      <c r="AG132" s="171">
        <f t="shared" si="126"/>
        <v>0</v>
      </c>
      <c r="AH132" s="154" t="s">
        <v>12</v>
      </c>
      <c r="AI132" s="133"/>
      <c r="AJ132" s="170"/>
      <c r="AK132" s="133"/>
      <c r="AL132" s="133"/>
    </row>
    <row r="133" spans="1:38" ht="15.95" hidden="1" customHeight="1" x14ac:dyDescent="0.25">
      <c r="A133" s="177"/>
      <c r="B133" s="160" t="s">
        <v>68</v>
      </c>
      <c r="C133" s="161">
        <f t="shared" ref="C133:AG133" si="127">IF(C16="V",IF(C16="",0,1),0)</f>
        <v>0</v>
      </c>
      <c r="D133" s="161">
        <f t="shared" si="127"/>
        <v>0</v>
      </c>
      <c r="E133" s="161">
        <f t="shared" si="127"/>
        <v>0</v>
      </c>
      <c r="F133" s="161">
        <f t="shared" si="127"/>
        <v>0</v>
      </c>
      <c r="G133" s="161">
        <f t="shared" si="127"/>
        <v>0</v>
      </c>
      <c r="H133" s="161">
        <f t="shared" si="127"/>
        <v>0</v>
      </c>
      <c r="I133" s="161">
        <f t="shared" si="127"/>
        <v>0</v>
      </c>
      <c r="J133" s="161">
        <f t="shared" si="127"/>
        <v>0</v>
      </c>
      <c r="K133" s="161">
        <f t="shared" si="127"/>
        <v>0</v>
      </c>
      <c r="L133" s="161">
        <f t="shared" si="127"/>
        <v>0</v>
      </c>
      <c r="M133" s="161">
        <f t="shared" si="127"/>
        <v>0</v>
      </c>
      <c r="N133" s="161">
        <f t="shared" si="127"/>
        <v>0</v>
      </c>
      <c r="O133" s="161">
        <f t="shared" si="127"/>
        <v>0</v>
      </c>
      <c r="P133" s="161">
        <f t="shared" si="127"/>
        <v>0</v>
      </c>
      <c r="Q133" s="161">
        <f t="shared" si="127"/>
        <v>0</v>
      </c>
      <c r="R133" s="161">
        <f t="shared" si="127"/>
        <v>0</v>
      </c>
      <c r="S133" s="161">
        <f t="shared" si="127"/>
        <v>0</v>
      </c>
      <c r="T133" s="161">
        <f t="shared" si="127"/>
        <v>0</v>
      </c>
      <c r="U133" s="161">
        <f t="shared" si="127"/>
        <v>0</v>
      </c>
      <c r="V133" s="161">
        <f t="shared" si="127"/>
        <v>0</v>
      </c>
      <c r="W133" s="161">
        <f t="shared" si="127"/>
        <v>0</v>
      </c>
      <c r="X133" s="161">
        <f t="shared" si="127"/>
        <v>0</v>
      </c>
      <c r="Y133" s="161">
        <f t="shared" si="127"/>
        <v>0</v>
      </c>
      <c r="Z133" s="161">
        <f t="shared" si="127"/>
        <v>0</v>
      </c>
      <c r="AA133" s="161">
        <f t="shared" si="127"/>
        <v>0</v>
      </c>
      <c r="AB133" s="161">
        <f t="shared" si="127"/>
        <v>0</v>
      </c>
      <c r="AC133" s="161">
        <f t="shared" si="127"/>
        <v>0</v>
      </c>
      <c r="AD133" s="161">
        <f t="shared" si="127"/>
        <v>0</v>
      </c>
      <c r="AE133" s="161">
        <f t="shared" si="127"/>
        <v>0</v>
      </c>
      <c r="AF133" s="161">
        <f t="shared" si="127"/>
        <v>0</v>
      </c>
      <c r="AG133" s="161">
        <f t="shared" si="127"/>
        <v>0</v>
      </c>
      <c r="AH133" s="154" t="s">
        <v>12</v>
      </c>
      <c r="AI133" s="133"/>
      <c r="AJ133" s="170"/>
      <c r="AK133" s="133"/>
      <c r="AL133" s="133"/>
    </row>
    <row r="134" spans="1:38" ht="15.95" hidden="1" customHeight="1" x14ac:dyDescent="0.25">
      <c r="A134" s="180"/>
      <c r="B134" s="181" t="s">
        <v>16</v>
      </c>
      <c r="C134" s="182">
        <f t="shared" ref="C134:AG134" si="128">IF(C16="PR",IF(C16="",0,1),0)</f>
        <v>0</v>
      </c>
      <c r="D134" s="182">
        <f t="shared" si="128"/>
        <v>0</v>
      </c>
      <c r="E134" s="182">
        <f t="shared" si="128"/>
        <v>0</v>
      </c>
      <c r="F134" s="182">
        <f t="shared" si="128"/>
        <v>0</v>
      </c>
      <c r="G134" s="182">
        <f t="shared" si="128"/>
        <v>0</v>
      </c>
      <c r="H134" s="182">
        <f t="shared" si="128"/>
        <v>0</v>
      </c>
      <c r="I134" s="182">
        <f t="shared" si="128"/>
        <v>0</v>
      </c>
      <c r="J134" s="182">
        <f t="shared" si="128"/>
        <v>0</v>
      </c>
      <c r="K134" s="182">
        <f t="shared" si="128"/>
        <v>0</v>
      </c>
      <c r="L134" s="182">
        <f t="shared" si="128"/>
        <v>0</v>
      </c>
      <c r="M134" s="182">
        <f t="shared" si="128"/>
        <v>0</v>
      </c>
      <c r="N134" s="182">
        <f t="shared" si="128"/>
        <v>0</v>
      </c>
      <c r="O134" s="182">
        <f t="shared" si="128"/>
        <v>0</v>
      </c>
      <c r="P134" s="182">
        <f t="shared" si="128"/>
        <v>0</v>
      </c>
      <c r="Q134" s="182">
        <f t="shared" si="128"/>
        <v>0</v>
      </c>
      <c r="R134" s="182">
        <f t="shared" si="128"/>
        <v>0</v>
      </c>
      <c r="S134" s="182">
        <f t="shared" si="128"/>
        <v>0</v>
      </c>
      <c r="T134" s="182">
        <f t="shared" si="128"/>
        <v>0</v>
      </c>
      <c r="U134" s="182">
        <f t="shared" si="128"/>
        <v>0</v>
      </c>
      <c r="V134" s="182">
        <f t="shared" si="128"/>
        <v>0</v>
      </c>
      <c r="W134" s="182">
        <f t="shared" si="128"/>
        <v>0</v>
      </c>
      <c r="X134" s="182">
        <f t="shared" si="128"/>
        <v>0</v>
      </c>
      <c r="Y134" s="182">
        <f t="shared" si="128"/>
        <v>0</v>
      </c>
      <c r="Z134" s="182">
        <f t="shared" si="128"/>
        <v>0</v>
      </c>
      <c r="AA134" s="182">
        <f t="shared" si="128"/>
        <v>0</v>
      </c>
      <c r="AB134" s="182">
        <f t="shared" si="128"/>
        <v>0</v>
      </c>
      <c r="AC134" s="182">
        <f t="shared" si="128"/>
        <v>0</v>
      </c>
      <c r="AD134" s="182">
        <f t="shared" si="128"/>
        <v>0</v>
      </c>
      <c r="AE134" s="182">
        <f t="shared" si="128"/>
        <v>0</v>
      </c>
      <c r="AF134" s="182">
        <f t="shared" si="128"/>
        <v>0</v>
      </c>
      <c r="AG134" s="182">
        <f t="shared" si="128"/>
        <v>0</v>
      </c>
      <c r="AH134" s="227">
        <f>SUM(C134:AG134)</f>
        <v>0</v>
      </c>
      <c r="AI134" s="227"/>
      <c r="AJ134" s="174" t="s">
        <v>69</v>
      </c>
      <c r="AK134" s="133"/>
      <c r="AL134" s="133"/>
    </row>
    <row r="135" spans="1:38" ht="15.95" hidden="1" customHeight="1" x14ac:dyDescent="0.25">
      <c r="A135" s="164" t="s">
        <v>85</v>
      </c>
      <c r="B135" s="165" t="s">
        <v>29</v>
      </c>
      <c r="C135" s="141" t="str">
        <f t="shared" ref="C135:AG135" si="129">IF(C17=$R32,$S32*24,IF(C17=$R33,$S33*24,IF(C17=$R34,$S34*24,IF(C17=$R35,$S35*24,IF(C17=$R36,$S36*24,IF(C17=$R37,$S37*24,IF(C17=$R38,$S38*24,IF(C17=$R39,$S39*24,IF(C17=$R40,$S40*24,"")))))))))</f>
        <v/>
      </c>
      <c r="D135" s="141" t="str">
        <f t="shared" si="129"/>
        <v/>
      </c>
      <c r="E135" s="141" t="str">
        <f t="shared" si="129"/>
        <v/>
      </c>
      <c r="F135" s="141" t="str">
        <f t="shared" si="129"/>
        <v/>
      </c>
      <c r="G135" s="141" t="str">
        <f t="shared" si="129"/>
        <v/>
      </c>
      <c r="H135" s="141" t="str">
        <f t="shared" si="129"/>
        <v/>
      </c>
      <c r="I135" s="141" t="str">
        <f t="shared" si="129"/>
        <v/>
      </c>
      <c r="J135" s="141" t="str">
        <f t="shared" si="129"/>
        <v/>
      </c>
      <c r="K135" s="141" t="str">
        <f t="shared" si="129"/>
        <v/>
      </c>
      <c r="L135" s="141" t="str">
        <f t="shared" si="129"/>
        <v/>
      </c>
      <c r="M135" s="141" t="str">
        <f t="shared" si="129"/>
        <v/>
      </c>
      <c r="N135" s="141" t="str">
        <f t="shared" si="129"/>
        <v/>
      </c>
      <c r="O135" s="141" t="str">
        <f t="shared" si="129"/>
        <v/>
      </c>
      <c r="P135" s="141" t="str">
        <f t="shared" si="129"/>
        <v/>
      </c>
      <c r="Q135" s="141" t="str">
        <f t="shared" si="129"/>
        <v/>
      </c>
      <c r="R135" s="141" t="str">
        <f t="shared" si="129"/>
        <v/>
      </c>
      <c r="S135" s="141" t="str">
        <f t="shared" si="129"/>
        <v/>
      </c>
      <c r="T135" s="141" t="str">
        <f t="shared" si="129"/>
        <v/>
      </c>
      <c r="U135" s="141" t="str">
        <f t="shared" si="129"/>
        <v/>
      </c>
      <c r="V135" s="141" t="str">
        <f t="shared" si="129"/>
        <v/>
      </c>
      <c r="W135" s="141" t="str">
        <f t="shared" si="129"/>
        <v/>
      </c>
      <c r="X135" s="141" t="str">
        <f t="shared" si="129"/>
        <v/>
      </c>
      <c r="Y135" s="141" t="str">
        <f t="shared" si="129"/>
        <v/>
      </c>
      <c r="Z135" s="141" t="str">
        <f t="shared" si="129"/>
        <v/>
      </c>
      <c r="AA135" s="141" t="str">
        <f t="shared" si="129"/>
        <v/>
      </c>
      <c r="AB135" s="141" t="str">
        <f t="shared" si="129"/>
        <v/>
      </c>
      <c r="AC135" s="141" t="str">
        <f t="shared" si="129"/>
        <v/>
      </c>
      <c r="AD135" s="141" t="str">
        <f t="shared" si="129"/>
        <v/>
      </c>
      <c r="AE135" s="141" t="str">
        <f t="shared" si="129"/>
        <v/>
      </c>
      <c r="AF135" s="141" t="str">
        <f t="shared" si="129"/>
        <v/>
      </c>
      <c r="AG135" s="141" t="str">
        <f t="shared" si="129"/>
        <v/>
      </c>
      <c r="AH135" s="154" t="s">
        <v>12</v>
      </c>
      <c r="AI135" s="133"/>
      <c r="AJ135" s="170"/>
      <c r="AK135" s="133"/>
      <c r="AL135" s="133"/>
    </row>
    <row r="136" spans="1:38" ht="15.95" hidden="1" customHeight="1" x14ac:dyDescent="0.25">
      <c r="A136" s="166" t="s">
        <v>86</v>
      </c>
      <c r="B136" s="167" t="s">
        <v>30</v>
      </c>
      <c r="C136" s="141" t="str">
        <f t="shared" ref="C136:AG136" si="130">IF(C17=$R32,$V32*24,IF(C17=$R33,$V33*24,IF(C17=$R34,$V34*24,IF(C17=$R35,$V35*24,IF(C17=$R36,$V36*24,IF(C17=$R37,$V37*24,IF(C17=$R38,$V38*24,IF(C17=$R39,$V39*24,IF(C17=$R40,$V40*24,"")))))))))</f>
        <v/>
      </c>
      <c r="D136" s="141" t="str">
        <f t="shared" si="130"/>
        <v/>
      </c>
      <c r="E136" s="141" t="str">
        <f t="shared" si="130"/>
        <v/>
      </c>
      <c r="F136" s="141" t="str">
        <f t="shared" si="130"/>
        <v/>
      </c>
      <c r="G136" s="141" t="str">
        <f t="shared" si="130"/>
        <v/>
      </c>
      <c r="H136" s="141" t="str">
        <f t="shared" si="130"/>
        <v/>
      </c>
      <c r="I136" s="141" t="str">
        <f t="shared" si="130"/>
        <v/>
      </c>
      <c r="J136" s="141" t="str">
        <f t="shared" si="130"/>
        <v/>
      </c>
      <c r="K136" s="141" t="str">
        <f t="shared" si="130"/>
        <v/>
      </c>
      <c r="L136" s="141" t="str">
        <f t="shared" si="130"/>
        <v/>
      </c>
      <c r="M136" s="141" t="str">
        <f t="shared" si="130"/>
        <v/>
      </c>
      <c r="N136" s="141" t="str">
        <f t="shared" si="130"/>
        <v/>
      </c>
      <c r="O136" s="141" t="str">
        <f t="shared" si="130"/>
        <v/>
      </c>
      <c r="P136" s="141" t="str">
        <f t="shared" si="130"/>
        <v/>
      </c>
      <c r="Q136" s="141" t="str">
        <f t="shared" si="130"/>
        <v/>
      </c>
      <c r="R136" s="141" t="str">
        <f t="shared" si="130"/>
        <v/>
      </c>
      <c r="S136" s="141" t="str">
        <f t="shared" si="130"/>
        <v/>
      </c>
      <c r="T136" s="141" t="str">
        <f t="shared" si="130"/>
        <v/>
      </c>
      <c r="U136" s="141" t="str">
        <f t="shared" si="130"/>
        <v/>
      </c>
      <c r="V136" s="141" t="str">
        <f t="shared" si="130"/>
        <v/>
      </c>
      <c r="W136" s="141" t="str">
        <f t="shared" si="130"/>
        <v/>
      </c>
      <c r="X136" s="141" t="str">
        <f t="shared" si="130"/>
        <v/>
      </c>
      <c r="Y136" s="141" t="str">
        <f t="shared" si="130"/>
        <v/>
      </c>
      <c r="Z136" s="141" t="str">
        <f t="shared" si="130"/>
        <v/>
      </c>
      <c r="AA136" s="141" t="str">
        <f t="shared" si="130"/>
        <v/>
      </c>
      <c r="AB136" s="141" t="str">
        <f t="shared" si="130"/>
        <v/>
      </c>
      <c r="AC136" s="141" t="str">
        <f t="shared" si="130"/>
        <v/>
      </c>
      <c r="AD136" s="141" t="str">
        <f t="shared" si="130"/>
        <v/>
      </c>
      <c r="AE136" s="141" t="str">
        <f t="shared" si="130"/>
        <v/>
      </c>
      <c r="AF136" s="141" t="str">
        <f t="shared" si="130"/>
        <v/>
      </c>
      <c r="AG136" s="141" t="str">
        <f t="shared" si="130"/>
        <v/>
      </c>
      <c r="AH136" s="154" t="s">
        <v>12</v>
      </c>
      <c r="AI136" s="133"/>
      <c r="AJ136" s="170"/>
      <c r="AK136" s="133"/>
      <c r="AL136" s="133"/>
    </row>
    <row r="137" spans="1:38" ht="15.95" hidden="1" customHeight="1" x14ac:dyDescent="0.25">
      <c r="A137" s="153"/>
      <c r="B137" s="168" t="s">
        <v>34</v>
      </c>
      <c r="C137" s="169" t="str">
        <f t="shared" ref="C137:AD137" si="131">IF(C17=$R32,$BD32*24,IF(C17=$R33,$BD33*24,IF(C17=$R34,$BD34*24,IF(C17=$R35,$BD35*24,IF(C17=$R36,$BD36*24,IF(C17=$R37,$BD37*24,IF(C17=$R38,$BD38*24,IF(C17=$R39,$BD39*24,IF(C17=$R40,$BD40*24,"")))))))))</f>
        <v/>
      </c>
      <c r="D137" s="169" t="str">
        <f t="shared" si="131"/>
        <v/>
      </c>
      <c r="E137" s="169" t="str">
        <f t="shared" si="131"/>
        <v/>
      </c>
      <c r="F137" s="169" t="str">
        <f t="shared" si="131"/>
        <v/>
      </c>
      <c r="G137" s="169" t="str">
        <f t="shared" si="131"/>
        <v/>
      </c>
      <c r="H137" s="169" t="str">
        <f t="shared" si="131"/>
        <v/>
      </c>
      <c r="I137" s="169" t="str">
        <f t="shared" si="131"/>
        <v/>
      </c>
      <c r="J137" s="169" t="str">
        <f t="shared" si="131"/>
        <v/>
      </c>
      <c r="K137" s="169" t="str">
        <f t="shared" si="131"/>
        <v/>
      </c>
      <c r="L137" s="169" t="str">
        <f t="shared" si="131"/>
        <v/>
      </c>
      <c r="M137" s="169" t="str">
        <f t="shared" si="131"/>
        <v/>
      </c>
      <c r="N137" s="169" t="str">
        <f t="shared" si="131"/>
        <v/>
      </c>
      <c r="O137" s="169" t="str">
        <f t="shared" si="131"/>
        <v/>
      </c>
      <c r="P137" s="169" t="str">
        <f t="shared" si="131"/>
        <v/>
      </c>
      <c r="Q137" s="169" t="str">
        <f t="shared" si="131"/>
        <v/>
      </c>
      <c r="R137" s="169" t="str">
        <f t="shared" si="131"/>
        <v/>
      </c>
      <c r="S137" s="169" t="str">
        <f t="shared" si="131"/>
        <v/>
      </c>
      <c r="T137" s="169" t="str">
        <f t="shared" si="131"/>
        <v/>
      </c>
      <c r="U137" s="169" t="str">
        <f t="shared" si="131"/>
        <v/>
      </c>
      <c r="V137" s="169" t="str">
        <f t="shared" si="131"/>
        <v/>
      </c>
      <c r="W137" s="169" t="str">
        <f t="shared" si="131"/>
        <v/>
      </c>
      <c r="X137" s="169" t="str">
        <f t="shared" si="131"/>
        <v/>
      </c>
      <c r="Y137" s="169" t="str">
        <f t="shared" si="131"/>
        <v/>
      </c>
      <c r="Z137" s="169" t="str">
        <f t="shared" si="131"/>
        <v/>
      </c>
      <c r="AA137" s="169" t="str">
        <f t="shared" si="131"/>
        <v/>
      </c>
      <c r="AB137" s="169" t="str">
        <f t="shared" si="131"/>
        <v/>
      </c>
      <c r="AC137" s="169" t="str">
        <f t="shared" si="131"/>
        <v/>
      </c>
      <c r="AD137" s="169" t="str">
        <f t="shared" si="131"/>
        <v/>
      </c>
      <c r="AE137" s="169" t="str">
        <f>IF(AE17=$R32,$BD32*24,IF(AE17=$R33,$BD33*24,IF(AE17=$R34,$BD34*24,IF(AE17=$R35,$BD35*24,IF(AE17=$R36,$BD36*24,IF(AE17=$R37,$BD37*24,IF(AE17=$R38,$BD38*24,IF(AE17=$R39,$BD39*24,IF(AE17=$R40,$BD40*24,"")))))))))</f>
        <v/>
      </c>
      <c r="AF137" s="169" t="str">
        <f>IF(AF17=$R32,$BD32*24,IF(AF17=$R33,$BD33*24,IF(AF17=$R34,$BD34*24,IF(AF17=$R35,$BD35*24,IF(AF17=$R36,$BD36*24,IF(AF17=$R37,$BD37*24,IF(AF17=$R38,$BD38*24,IF(AF17=$R39,$BD39*24,IF(AF17=$R40,$BD40*24,"")))))))))</f>
        <v/>
      </c>
      <c r="AG137" s="169" t="str">
        <f>IF(AG17=$R32,$BD32*24,IF(AG17=$R33,$BD33*24,IF(AG17=$R34,$BD34*24,IF(AG17=$R35,$BD35*24,IF(AG17=$R36,$BD36*24,IF(AG17=$R37,$BD37*24,IF(AG17=$R38,$BD38*24,IF(AG17=$R39,$BD39*24,IF(AG17=$R40,$BD40*24,"")))))))))</f>
        <v/>
      </c>
      <c r="AH137" s="148">
        <f>SUM(C137:AG137)</f>
        <v>0</v>
      </c>
      <c r="AI137" s="133"/>
      <c r="AJ137" s="170"/>
      <c r="AK137" s="133"/>
      <c r="AL137" s="133"/>
    </row>
    <row r="138" spans="1:38" ht="15.95" hidden="1" customHeight="1" x14ac:dyDescent="0.25">
      <c r="A138" s="153"/>
      <c r="B138" s="167" t="s">
        <v>59</v>
      </c>
      <c r="C138" s="141">
        <f t="shared" ref="C138:AG138" si="132">IF(C17="V",$C36,IF(C17="PR",$C38,0))</f>
        <v>0</v>
      </c>
      <c r="D138" s="141">
        <f t="shared" si="132"/>
        <v>0</v>
      </c>
      <c r="E138" s="141">
        <f t="shared" si="132"/>
        <v>0</v>
      </c>
      <c r="F138" s="141">
        <f t="shared" si="132"/>
        <v>0</v>
      </c>
      <c r="G138" s="141">
        <f t="shared" si="132"/>
        <v>0</v>
      </c>
      <c r="H138" s="141">
        <f t="shared" si="132"/>
        <v>0</v>
      </c>
      <c r="I138" s="141">
        <f t="shared" si="132"/>
        <v>0</v>
      </c>
      <c r="J138" s="141">
        <f t="shared" si="132"/>
        <v>0</v>
      </c>
      <c r="K138" s="141">
        <f t="shared" si="132"/>
        <v>0</v>
      </c>
      <c r="L138" s="141">
        <f t="shared" si="132"/>
        <v>0</v>
      </c>
      <c r="M138" s="141">
        <f t="shared" si="132"/>
        <v>0</v>
      </c>
      <c r="N138" s="141">
        <f t="shared" si="132"/>
        <v>0</v>
      </c>
      <c r="O138" s="141">
        <f t="shared" si="132"/>
        <v>0</v>
      </c>
      <c r="P138" s="141">
        <f t="shared" si="132"/>
        <v>0</v>
      </c>
      <c r="Q138" s="141">
        <f t="shared" si="132"/>
        <v>0</v>
      </c>
      <c r="R138" s="141">
        <f t="shared" si="132"/>
        <v>0</v>
      </c>
      <c r="S138" s="141">
        <f t="shared" si="132"/>
        <v>0</v>
      </c>
      <c r="T138" s="141">
        <f t="shared" si="132"/>
        <v>0</v>
      </c>
      <c r="U138" s="141">
        <f t="shared" si="132"/>
        <v>0</v>
      </c>
      <c r="V138" s="141">
        <f t="shared" si="132"/>
        <v>0</v>
      </c>
      <c r="W138" s="141">
        <f t="shared" si="132"/>
        <v>0</v>
      </c>
      <c r="X138" s="141">
        <f t="shared" si="132"/>
        <v>0</v>
      </c>
      <c r="Y138" s="141">
        <f t="shared" si="132"/>
        <v>0</v>
      </c>
      <c r="Z138" s="141">
        <f t="shared" si="132"/>
        <v>0</v>
      </c>
      <c r="AA138" s="141">
        <f t="shared" si="132"/>
        <v>0</v>
      </c>
      <c r="AB138" s="141">
        <f t="shared" si="132"/>
        <v>0</v>
      </c>
      <c r="AC138" s="141">
        <f t="shared" si="132"/>
        <v>0</v>
      </c>
      <c r="AD138" s="141">
        <f t="shared" si="132"/>
        <v>0</v>
      </c>
      <c r="AE138" s="141">
        <f t="shared" si="132"/>
        <v>0</v>
      </c>
      <c r="AF138" s="141">
        <f t="shared" si="132"/>
        <v>0</v>
      </c>
      <c r="AG138" s="141">
        <f t="shared" si="132"/>
        <v>0</v>
      </c>
      <c r="AH138" s="226">
        <f>SUM(C138:AG138)</f>
        <v>0</v>
      </c>
      <c r="AI138" s="226"/>
      <c r="AJ138" s="230">
        <f>SUM(AH83+AH94+AH105+AH116+AH127+AH138)</f>
        <v>0</v>
      </c>
      <c r="AK138" s="230"/>
      <c r="AL138" s="133" t="s">
        <v>56</v>
      </c>
    </row>
    <row r="139" spans="1:38" ht="15.95" hidden="1" customHeight="1" x14ac:dyDescent="0.25">
      <c r="A139" s="150" t="s">
        <v>60</v>
      </c>
      <c r="B139" s="167" t="s">
        <v>61</v>
      </c>
      <c r="C139" s="151">
        <f t="shared" ref="C139:AD139" si="133">IF(C17=$R32,$BC32,IF(C17=$R33,$BC33,IF(C17=$R34,$BC34,IF(C17=$R35,$BC35,IF(C17=$R36,$BC36,IF(C17=$R37,$BC37,IF(C17=$R38,$BC38,IF(C17=$R39,$BC39,IF(C17=$R40,$BC40,0)))))))))</f>
        <v>0</v>
      </c>
      <c r="D139" s="151">
        <f t="shared" si="133"/>
        <v>0</v>
      </c>
      <c r="E139" s="151">
        <f t="shared" si="133"/>
        <v>0</v>
      </c>
      <c r="F139" s="151">
        <f t="shared" si="133"/>
        <v>0</v>
      </c>
      <c r="G139" s="151">
        <f t="shared" si="133"/>
        <v>0</v>
      </c>
      <c r="H139" s="151">
        <f t="shared" si="133"/>
        <v>0</v>
      </c>
      <c r="I139" s="151">
        <f t="shared" si="133"/>
        <v>0</v>
      </c>
      <c r="J139" s="151">
        <f t="shared" si="133"/>
        <v>0</v>
      </c>
      <c r="K139" s="151">
        <f t="shared" si="133"/>
        <v>0</v>
      </c>
      <c r="L139" s="151">
        <f t="shared" si="133"/>
        <v>0</v>
      </c>
      <c r="M139" s="151">
        <f t="shared" si="133"/>
        <v>0</v>
      </c>
      <c r="N139" s="151">
        <f t="shared" si="133"/>
        <v>0</v>
      </c>
      <c r="O139" s="151">
        <f t="shared" si="133"/>
        <v>0</v>
      </c>
      <c r="P139" s="151">
        <f t="shared" si="133"/>
        <v>0</v>
      </c>
      <c r="Q139" s="151">
        <f t="shared" si="133"/>
        <v>0</v>
      </c>
      <c r="R139" s="151">
        <f t="shared" si="133"/>
        <v>0</v>
      </c>
      <c r="S139" s="151">
        <f t="shared" si="133"/>
        <v>0</v>
      </c>
      <c r="T139" s="151">
        <f t="shared" si="133"/>
        <v>0</v>
      </c>
      <c r="U139" s="151">
        <f t="shared" si="133"/>
        <v>0</v>
      </c>
      <c r="V139" s="151">
        <f t="shared" si="133"/>
        <v>0</v>
      </c>
      <c r="W139" s="151">
        <f t="shared" si="133"/>
        <v>0</v>
      </c>
      <c r="X139" s="151">
        <f t="shared" si="133"/>
        <v>0</v>
      </c>
      <c r="Y139" s="151">
        <f t="shared" si="133"/>
        <v>0</v>
      </c>
      <c r="Z139" s="151">
        <f t="shared" si="133"/>
        <v>0</v>
      </c>
      <c r="AA139" s="151">
        <f t="shared" si="133"/>
        <v>0</v>
      </c>
      <c r="AB139" s="151">
        <f t="shared" si="133"/>
        <v>0</v>
      </c>
      <c r="AC139" s="151">
        <f t="shared" si="133"/>
        <v>0</v>
      </c>
      <c r="AD139" s="151">
        <f t="shared" si="133"/>
        <v>0</v>
      </c>
      <c r="AE139" s="151">
        <f>IF(AE17=$R32,$BC32,IF(AE17=$R33,$BC33,IF(AE17=$R34,$BC34,IF(AE17=$R35,$BC35,IF(AE17=$R36,$BC36,IF(AE17=$R37,$BC37,IF(AE17=$R38,$BC38,IF(AE17=$R39,$BC39,IF(AE17=$R40,$BC40,0)))))))))</f>
        <v>0</v>
      </c>
      <c r="AF139" s="151">
        <f>IF(AF17=$R32,$BC32,IF(AF17=$R33,$BC33,IF(AF17=$R34,$BC34,IF(AF17=$R35,$BC35,IF(AF17=$R36,$BC36,IF(AF17=$R37,$BC37,IF(AF17=$R38,$BC38,IF(AF17=$R39,$BC39,IF(AF17=$R40,$BC40,0)))))))))</f>
        <v>0</v>
      </c>
      <c r="AG139" s="151">
        <f>IF(AG17=$R32,$BC32,IF(AG17=$R33,$BC33,IF(AG17=$R34,$BC34,IF(AG17=$R35,$BC35,IF(AG17=$R36,$BC36,IF(AG17=$R37,$BC37,IF(AG17=$R38,$BC38,IF(AG17=$R39,$BC39,IF(AG17=$R40,$BC40,0)))))))))</f>
        <v>0</v>
      </c>
      <c r="AH139" s="226">
        <f>SUM(C139:AG139)</f>
        <v>0</v>
      </c>
      <c r="AI139" s="226"/>
      <c r="AJ139" s="174" t="s">
        <v>62</v>
      </c>
      <c r="AK139" s="133" t="s">
        <v>12</v>
      </c>
      <c r="AL139" s="133"/>
    </row>
    <row r="140" spans="1:38" ht="15.95" hidden="1" customHeight="1" x14ac:dyDescent="0.25">
      <c r="A140" s="153" t="s">
        <v>48</v>
      </c>
      <c r="B140" s="149" t="s">
        <v>63</v>
      </c>
      <c r="C140" s="141" t="b">
        <f t="shared" ref="C140:AG140" si="134">IF(C46=1,IF(C135&lt;C136,C139,0))</f>
        <v>0</v>
      </c>
      <c r="D140" s="141" t="b">
        <f t="shared" si="134"/>
        <v>0</v>
      </c>
      <c r="E140" s="141" t="b">
        <f t="shared" si="134"/>
        <v>0</v>
      </c>
      <c r="F140" s="141" t="b">
        <f t="shared" si="134"/>
        <v>0</v>
      </c>
      <c r="G140" s="141" t="b">
        <f t="shared" si="134"/>
        <v>0</v>
      </c>
      <c r="H140" s="141">
        <f t="shared" si="134"/>
        <v>0</v>
      </c>
      <c r="I140" s="141">
        <f t="shared" si="134"/>
        <v>0</v>
      </c>
      <c r="J140" s="141" t="b">
        <f t="shared" si="134"/>
        <v>0</v>
      </c>
      <c r="K140" s="141" t="b">
        <f t="shared" si="134"/>
        <v>0</v>
      </c>
      <c r="L140" s="141" t="b">
        <f t="shared" si="134"/>
        <v>0</v>
      </c>
      <c r="M140" s="141" t="b">
        <f t="shared" si="134"/>
        <v>0</v>
      </c>
      <c r="N140" s="141" t="b">
        <f t="shared" si="134"/>
        <v>0</v>
      </c>
      <c r="O140" s="141">
        <f t="shared" si="134"/>
        <v>0</v>
      </c>
      <c r="P140" s="141">
        <f t="shared" si="134"/>
        <v>0</v>
      </c>
      <c r="Q140" s="141" t="b">
        <f t="shared" si="134"/>
        <v>0</v>
      </c>
      <c r="R140" s="141" t="b">
        <f t="shared" si="134"/>
        <v>0</v>
      </c>
      <c r="S140" s="141" t="b">
        <f t="shared" si="134"/>
        <v>0</v>
      </c>
      <c r="T140" s="141" t="b">
        <f t="shared" si="134"/>
        <v>0</v>
      </c>
      <c r="U140" s="141" t="b">
        <f t="shared" si="134"/>
        <v>0</v>
      </c>
      <c r="V140" s="141">
        <f t="shared" si="134"/>
        <v>0</v>
      </c>
      <c r="W140" s="141">
        <f t="shared" si="134"/>
        <v>0</v>
      </c>
      <c r="X140" s="141" t="b">
        <f t="shared" si="134"/>
        <v>0</v>
      </c>
      <c r="Y140" s="141" t="b">
        <f t="shared" si="134"/>
        <v>0</v>
      </c>
      <c r="Z140" s="141" t="b">
        <f t="shared" si="134"/>
        <v>0</v>
      </c>
      <c r="AA140" s="141" t="b">
        <f t="shared" si="134"/>
        <v>0</v>
      </c>
      <c r="AB140" s="141" t="b">
        <f t="shared" si="134"/>
        <v>0</v>
      </c>
      <c r="AC140" s="141">
        <f t="shared" si="134"/>
        <v>0</v>
      </c>
      <c r="AD140" s="141">
        <f t="shared" si="134"/>
        <v>0</v>
      </c>
      <c r="AE140" s="141" t="b">
        <f t="shared" si="134"/>
        <v>0</v>
      </c>
      <c r="AF140" s="141" t="b">
        <f t="shared" si="134"/>
        <v>0</v>
      </c>
      <c r="AG140" s="141" t="b">
        <f t="shared" si="134"/>
        <v>0</v>
      </c>
      <c r="AH140" s="154" t="s">
        <v>12</v>
      </c>
      <c r="AI140" s="133"/>
      <c r="AJ140" s="170"/>
      <c r="AK140" s="133"/>
      <c r="AL140" s="133"/>
    </row>
    <row r="141" spans="1:38" ht="15.95" hidden="1" customHeight="1" x14ac:dyDescent="0.25">
      <c r="A141" s="176"/>
      <c r="B141" s="149" t="s">
        <v>64</v>
      </c>
      <c r="C141" s="141">
        <f t="shared" ref="C141:AG141" si="135">IF(C46=1,IF(C135&gt;C136,24-C135,0),0)</f>
        <v>0</v>
      </c>
      <c r="D141" s="141">
        <f t="shared" si="135"/>
        <v>0</v>
      </c>
      <c r="E141" s="141">
        <f t="shared" si="135"/>
        <v>0</v>
      </c>
      <c r="F141" s="141">
        <f t="shared" si="135"/>
        <v>0</v>
      </c>
      <c r="G141" s="141">
        <f t="shared" si="135"/>
        <v>0</v>
      </c>
      <c r="H141" s="141">
        <f t="shared" si="135"/>
        <v>0</v>
      </c>
      <c r="I141" s="141">
        <f t="shared" si="135"/>
        <v>0</v>
      </c>
      <c r="J141" s="141">
        <f t="shared" si="135"/>
        <v>0</v>
      </c>
      <c r="K141" s="141">
        <f t="shared" si="135"/>
        <v>0</v>
      </c>
      <c r="L141" s="141">
        <f t="shared" si="135"/>
        <v>0</v>
      </c>
      <c r="M141" s="141">
        <f t="shared" si="135"/>
        <v>0</v>
      </c>
      <c r="N141" s="141">
        <f t="shared" si="135"/>
        <v>0</v>
      </c>
      <c r="O141" s="141">
        <f t="shared" si="135"/>
        <v>0</v>
      </c>
      <c r="P141" s="141">
        <f t="shared" si="135"/>
        <v>0</v>
      </c>
      <c r="Q141" s="141">
        <f t="shared" si="135"/>
        <v>0</v>
      </c>
      <c r="R141" s="141">
        <f t="shared" si="135"/>
        <v>0</v>
      </c>
      <c r="S141" s="141">
        <f t="shared" si="135"/>
        <v>0</v>
      </c>
      <c r="T141" s="141">
        <f t="shared" si="135"/>
        <v>0</v>
      </c>
      <c r="U141" s="141">
        <f t="shared" si="135"/>
        <v>0</v>
      </c>
      <c r="V141" s="141">
        <f t="shared" si="135"/>
        <v>0</v>
      </c>
      <c r="W141" s="141">
        <f t="shared" si="135"/>
        <v>0</v>
      </c>
      <c r="X141" s="141">
        <f t="shared" si="135"/>
        <v>0</v>
      </c>
      <c r="Y141" s="141">
        <f t="shared" si="135"/>
        <v>0</v>
      </c>
      <c r="Z141" s="141">
        <f t="shared" si="135"/>
        <v>0</v>
      </c>
      <c r="AA141" s="141">
        <f t="shared" si="135"/>
        <v>0</v>
      </c>
      <c r="AB141" s="141">
        <f t="shared" si="135"/>
        <v>0</v>
      </c>
      <c r="AC141" s="141">
        <f t="shared" si="135"/>
        <v>0</v>
      </c>
      <c r="AD141" s="141">
        <f t="shared" si="135"/>
        <v>0</v>
      </c>
      <c r="AE141" s="141">
        <f t="shared" si="135"/>
        <v>0</v>
      </c>
      <c r="AF141" s="141">
        <f t="shared" si="135"/>
        <v>0</v>
      </c>
      <c r="AG141" s="141">
        <f t="shared" si="135"/>
        <v>0</v>
      </c>
      <c r="AH141" s="154" t="s">
        <v>12</v>
      </c>
      <c r="AI141" s="133"/>
      <c r="AJ141" s="170"/>
      <c r="AK141" s="133"/>
      <c r="AL141" s="133"/>
    </row>
    <row r="142" spans="1:38" ht="15.95" hidden="1" customHeight="1" x14ac:dyDescent="0.25">
      <c r="A142" s="176"/>
      <c r="B142" s="149" t="s">
        <v>65</v>
      </c>
      <c r="C142" s="141">
        <f t="shared" ref="C142:AG142" si="136">IF(D46=1,IF(C135&gt;C136,C136,0),0)</f>
        <v>0</v>
      </c>
      <c r="D142" s="141">
        <f t="shared" si="136"/>
        <v>0</v>
      </c>
      <c r="E142" s="141">
        <f t="shared" si="136"/>
        <v>0</v>
      </c>
      <c r="F142" s="141">
        <f t="shared" si="136"/>
        <v>0</v>
      </c>
      <c r="G142" s="141">
        <f t="shared" si="136"/>
        <v>0</v>
      </c>
      <c r="H142" s="141">
        <f t="shared" si="136"/>
        <v>0</v>
      </c>
      <c r="I142" s="141">
        <f t="shared" si="136"/>
        <v>0</v>
      </c>
      <c r="J142" s="141">
        <f t="shared" si="136"/>
        <v>0</v>
      </c>
      <c r="K142" s="141">
        <f t="shared" si="136"/>
        <v>0</v>
      </c>
      <c r="L142" s="141">
        <f t="shared" si="136"/>
        <v>0</v>
      </c>
      <c r="M142" s="141">
        <f t="shared" si="136"/>
        <v>0</v>
      </c>
      <c r="N142" s="141">
        <f t="shared" si="136"/>
        <v>0</v>
      </c>
      <c r="O142" s="141">
        <f t="shared" si="136"/>
        <v>0</v>
      </c>
      <c r="P142" s="141">
        <f t="shared" si="136"/>
        <v>0</v>
      </c>
      <c r="Q142" s="141">
        <f t="shared" si="136"/>
        <v>0</v>
      </c>
      <c r="R142" s="141">
        <f t="shared" si="136"/>
        <v>0</v>
      </c>
      <c r="S142" s="141">
        <f t="shared" si="136"/>
        <v>0</v>
      </c>
      <c r="T142" s="141">
        <f t="shared" si="136"/>
        <v>0</v>
      </c>
      <c r="U142" s="141">
        <f t="shared" si="136"/>
        <v>0</v>
      </c>
      <c r="V142" s="141">
        <f t="shared" si="136"/>
        <v>0</v>
      </c>
      <c r="W142" s="141">
        <f t="shared" si="136"/>
        <v>0</v>
      </c>
      <c r="X142" s="141">
        <f>IF(Y46=1,IF(X135&gt;X136,X136,0),0)</f>
        <v>0</v>
      </c>
      <c r="Y142" s="141">
        <f t="shared" si="136"/>
        <v>0</v>
      </c>
      <c r="Z142" s="141">
        <f t="shared" si="136"/>
        <v>0</v>
      </c>
      <c r="AA142" s="141">
        <f t="shared" si="136"/>
        <v>0</v>
      </c>
      <c r="AB142" s="141">
        <f t="shared" si="136"/>
        <v>0</v>
      </c>
      <c r="AC142" s="141">
        <f t="shared" si="136"/>
        <v>0</v>
      </c>
      <c r="AD142" s="141">
        <f t="shared" si="136"/>
        <v>0</v>
      </c>
      <c r="AE142" s="141">
        <f t="shared" si="136"/>
        <v>0</v>
      </c>
      <c r="AF142" s="141">
        <f t="shared" si="136"/>
        <v>0</v>
      </c>
      <c r="AG142" s="141">
        <f t="shared" si="136"/>
        <v>0</v>
      </c>
      <c r="AH142" s="154" t="s">
        <v>12</v>
      </c>
      <c r="AI142" s="133"/>
      <c r="AJ142" s="170"/>
      <c r="AK142" s="133"/>
      <c r="AL142" s="133"/>
    </row>
    <row r="143" spans="1:38" ht="15.95" hidden="1" customHeight="1" x14ac:dyDescent="0.25">
      <c r="A143" s="176"/>
      <c r="B143" s="149" t="s">
        <v>67</v>
      </c>
      <c r="C143" s="171">
        <f>SUM(C140:C142)</f>
        <v>0</v>
      </c>
      <c r="D143" s="171">
        <f t="shared" ref="D143:AG143" si="137">SUM(D140:D142)</f>
        <v>0</v>
      </c>
      <c r="E143" s="171">
        <f t="shared" si="137"/>
        <v>0</v>
      </c>
      <c r="F143" s="171">
        <f t="shared" si="137"/>
        <v>0</v>
      </c>
      <c r="G143" s="171">
        <f t="shared" si="137"/>
        <v>0</v>
      </c>
      <c r="H143" s="171">
        <f t="shared" si="137"/>
        <v>0</v>
      </c>
      <c r="I143" s="171">
        <f t="shared" si="137"/>
        <v>0</v>
      </c>
      <c r="J143" s="171">
        <f t="shared" si="137"/>
        <v>0</v>
      </c>
      <c r="K143" s="171">
        <f t="shared" si="137"/>
        <v>0</v>
      </c>
      <c r="L143" s="171">
        <f t="shared" si="137"/>
        <v>0</v>
      </c>
      <c r="M143" s="171">
        <f t="shared" si="137"/>
        <v>0</v>
      </c>
      <c r="N143" s="171">
        <f t="shared" si="137"/>
        <v>0</v>
      </c>
      <c r="O143" s="171">
        <f t="shared" si="137"/>
        <v>0</v>
      </c>
      <c r="P143" s="171">
        <f t="shared" si="137"/>
        <v>0</v>
      </c>
      <c r="Q143" s="171">
        <f t="shared" si="137"/>
        <v>0</v>
      </c>
      <c r="R143" s="171">
        <f t="shared" si="137"/>
        <v>0</v>
      </c>
      <c r="S143" s="171">
        <f t="shared" si="137"/>
        <v>0</v>
      </c>
      <c r="T143" s="171">
        <f t="shared" si="137"/>
        <v>0</v>
      </c>
      <c r="U143" s="171">
        <f t="shared" si="137"/>
        <v>0</v>
      </c>
      <c r="V143" s="171">
        <f t="shared" si="137"/>
        <v>0</v>
      </c>
      <c r="W143" s="171">
        <f t="shared" si="137"/>
        <v>0</v>
      </c>
      <c r="X143" s="171">
        <f t="shared" si="137"/>
        <v>0</v>
      </c>
      <c r="Y143" s="171">
        <f t="shared" si="137"/>
        <v>0</v>
      </c>
      <c r="Z143" s="171">
        <f t="shared" si="137"/>
        <v>0</v>
      </c>
      <c r="AA143" s="171">
        <f t="shared" si="137"/>
        <v>0</v>
      </c>
      <c r="AB143" s="171">
        <f t="shared" si="137"/>
        <v>0</v>
      </c>
      <c r="AC143" s="171">
        <f t="shared" si="137"/>
        <v>0</v>
      </c>
      <c r="AD143" s="171">
        <f t="shared" si="137"/>
        <v>0</v>
      </c>
      <c r="AE143" s="171">
        <f t="shared" si="137"/>
        <v>0</v>
      </c>
      <c r="AF143" s="171">
        <f t="shared" si="137"/>
        <v>0</v>
      </c>
      <c r="AG143" s="171">
        <f t="shared" si="137"/>
        <v>0</v>
      </c>
      <c r="AH143" s="154" t="s">
        <v>12</v>
      </c>
      <c r="AI143" s="133"/>
      <c r="AJ143" s="170"/>
      <c r="AK143" s="133"/>
      <c r="AL143" s="133"/>
    </row>
    <row r="144" spans="1:38" ht="15.95" hidden="1" customHeight="1" x14ac:dyDescent="0.25">
      <c r="A144" s="177"/>
      <c r="B144" s="160" t="s">
        <v>68</v>
      </c>
      <c r="C144" s="161">
        <f t="shared" ref="C144:AG144" si="138">IF(C17="V",IF(C17="",0,1),0)</f>
        <v>0</v>
      </c>
      <c r="D144" s="161">
        <f t="shared" si="138"/>
        <v>0</v>
      </c>
      <c r="E144" s="161">
        <f t="shared" si="138"/>
        <v>0</v>
      </c>
      <c r="F144" s="161">
        <f t="shared" si="138"/>
        <v>0</v>
      </c>
      <c r="G144" s="161">
        <f t="shared" si="138"/>
        <v>0</v>
      </c>
      <c r="H144" s="161">
        <f t="shared" si="138"/>
        <v>0</v>
      </c>
      <c r="I144" s="161">
        <f t="shared" si="138"/>
        <v>0</v>
      </c>
      <c r="J144" s="161">
        <f t="shared" si="138"/>
        <v>0</v>
      </c>
      <c r="K144" s="161">
        <f t="shared" si="138"/>
        <v>0</v>
      </c>
      <c r="L144" s="161">
        <f t="shared" si="138"/>
        <v>0</v>
      </c>
      <c r="M144" s="161">
        <f t="shared" si="138"/>
        <v>0</v>
      </c>
      <c r="N144" s="161">
        <f t="shared" si="138"/>
        <v>0</v>
      </c>
      <c r="O144" s="161">
        <f t="shared" si="138"/>
        <v>0</v>
      </c>
      <c r="P144" s="161">
        <f t="shared" si="138"/>
        <v>0</v>
      </c>
      <c r="Q144" s="161">
        <f t="shared" si="138"/>
        <v>0</v>
      </c>
      <c r="R144" s="161">
        <f t="shared" si="138"/>
        <v>0</v>
      </c>
      <c r="S144" s="161">
        <f t="shared" si="138"/>
        <v>0</v>
      </c>
      <c r="T144" s="161">
        <f t="shared" si="138"/>
        <v>0</v>
      </c>
      <c r="U144" s="161">
        <f t="shared" si="138"/>
        <v>0</v>
      </c>
      <c r="V144" s="161">
        <f t="shared" si="138"/>
        <v>0</v>
      </c>
      <c r="W144" s="161">
        <f t="shared" si="138"/>
        <v>0</v>
      </c>
      <c r="X144" s="161">
        <f t="shared" si="138"/>
        <v>0</v>
      </c>
      <c r="Y144" s="161">
        <f t="shared" si="138"/>
        <v>0</v>
      </c>
      <c r="Z144" s="161">
        <f t="shared" si="138"/>
        <v>0</v>
      </c>
      <c r="AA144" s="161">
        <f t="shared" si="138"/>
        <v>0</v>
      </c>
      <c r="AB144" s="161">
        <f t="shared" si="138"/>
        <v>0</v>
      </c>
      <c r="AC144" s="161">
        <f t="shared" si="138"/>
        <v>0</v>
      </c>
      <c r="AD144" s="161">
        <f t="shared" si="138"/>
        <v>0</v>
      </c>
      <c r="AE144" s="161">
        <f t="shared" si="138"/>
        <v>0</v>
      </c>
      <c r="AF144" s="161">
        <f t="shared" si="138"/>
        <v>0</v>
      </c>
      <c r="AG144" s="161">
        <f t="shared" si="138"/>
        <v>0</v>
      </c>
      <c r="AH144" s="154" t="s">
        <v>12</v>
      </c>
      <c r="AI144" s="133"/>
      <c r="AJ144" s="170"/>
      <c r="AK144" s="133"/>
      <c r="AL144" s="133"/>
    </row>
    <row r="145" spans="1:38" ht="15.95" hidden="1" customHeight="1" x14ac:dyDescent="0.25">
      <c r="A145" s="180"/>
      <c r="B145" s="181" t="s">
        <v>16</v>
      </c>
      <c r="C145" s="182">
        <f t="shared" ref="C145:AG145" si="139">IF(C17="PR",IF(C17="",0,1),0)</f>
        <v>0</v>
      </c>
      <c r="D145" s="182">
        <f t="shared" si="139"/>
        <v>0</v>
      </c>
      <c r="E145" s="182">
        <f t="shared" si="139"/>
        <v>0</v>
      </c>
      <c r="F145" s="182">
        <f t="shared" si="139"/>
        <v>0</v>
      </c>
      <c r="G145" s="182">
        <f t="shared" si="139"/>
        <v>0</v>
      </c>
      <c r="H145" s="182">
        <f t="shared" si="139"/>
        <v>0</v>
      </c>
      <c r="I145" s="182">
        <f t="shared" si="139"/>
        <v>0</v>
      </c>
      <c r="J145" s="182">
        <f t="shared" si="139"/>
        <v>0</v>
      </c>
      <c r="K145" s="182">
        <f t="shared" si="139"/>
        <v>0</v>
      </c>
      <c r="L145" s="182">
        <f t="shared" si="139"/>
        <v>0</v>
      </c>
      <c r="M145" s="182">
        <f t="shared" si="139"/>
        <v>0</v>
      </c>
      <c r="N145" s="182">
        <f t="shared" si="139"/>
        <v>0</v>
      </c>
      <c r="O145" s="182">
        <f t="shared" si="139"/>
        <v>0</v>
      </c>
      <c r="P145" s="182">
        <f t="shared" si="139"/>
        <v>0</v>
      </c>
      <c r="Q145" s="182">
        <f t="shared" si="139"/>
        <v>0</v>
      </c>
      <c r="R145" s="182">
        <f t="shared" si="139"/>
        <v>0</v>
      </c>
      <c r="S145" s="182">
        <f t="shared" si="139"/>
        <v>0</v>
      </c>
      <c r="T145" s="182">
        <f t="shared" si="139"/>
        <v>0</v>
      </c>
      <c r="U145" s="182">
        <f t="shared" si="139"/>
        <v>0</v>
      </c>
      <c r="V145" s="182">
        <f t="shared" si="139"/>
        <v>0</v>
      </c>
      <c r="W145" s="182">
        <f t="shared" si="139"/>
        <v>0</v>
      </c>
      <c r="X145" s="182">
        <f t="shared" si="139"/>
        <v>0</v>
      </c>
      <c r="Y145" s="182">
        <f t="shared" si="139"/>
        <v>0</v>
      </c>
      <c r="Z145" s="182">
        <f t="shared" si="139"/>
        <v>0</v>
      </c>
      <c r="AA145" s="182">
        <f t="shared" si="139"/>
        <v>0</v>
      </c>
      <c r="AB145" s="182">
        <f t="shared" si="139"/>
        <v>0</v>
      </c>
      <c r="AC145" s="182">
        <f t="shared" si="139"/>
        <v>0</v>
      </c>
      <c r="AD145" s="182">
        <f t="shared" si="139"/>
        <v>0</v>
      </c>
      <c r="AE145" s="182">
        <f t="shared" si="139"/>
        <v>0</v>
      </c>
      <c r="AF145" s="182">
        <f t="shared" si="139"/>
        <v>0</v>
      </c>
      <c r="AG145" s="182">
        <f t="shared" si="139"/>
        <v>0</v>
      </c>
      <c r="AH145" s="227">
        <f>SUM(C145:AG145)</f>
        <v>0</v>
      </c>
      <c r="AI145" s="227"/>
      <c r="AJ145" s="174" t="s">
        <v>69</v>
      </c>
      <c r="AK145" s="133"/>
      <c r="AL145" s="133"/>
    </row>
    <row r="146" spans="1:38" ht="15.95" hidden="1" customHeight="1" x14ac:dyDescent="0.25">
      <c r="A146" s="164" t="s">
        <v>87</v>
      </c>
      <c r="B146" s="165" t="s">
        <v>29</v>
      </c>
      <c r="C146" s="141" t="str">
        <f t="shared" ref="C146:AG146" si="140">IF(C18=$R32,$S32*24,IF(C18=$R33,$S33*24,IF(C18=$R34,$S34*24,IF(C18=$R35,$S35*24,IF(C18=$R36,$S36*24,IF(C18=$R37,$S37*24,IF(C18=$R38,$S38*24,IF(C18=$R39,$S39*24,IF(C18=$R40,$S40*24,"")))))))))</f>
        <v/>
      </c>
      <c r="D146" s="141" t="str">
        <f t="shared" si="140"/>
        <v/>
      </c>
      <c r="E146" s="141" t="str">
        <f t="shared" si="140"/>
        <v/>
      </c>
      <c r="F146" s="141" t="str">
        <f t="shared" si="140"/>
        <v/>
      </c>
      <c r="G146" s="141" t="str">
        <f t="shared" si="140"/>
        <v/>
      </c>
      <c r="H146" s="141" t="str">
        <f t="shared" si="140"/>
        <v/>
      </c>
      <c r="I146" s="141" t="str">
        <f t="shared" si="140"/>
        <v/>
      </c>
      <c r="J146" s="141" t="str">
        <f t="shared" si="140"/>
        <v/>
      </c>
      <c r="K146" s="141" t="str">
        <f t="shared" si="140"/>
        <v/>
      </c>
      <c r="L146" s="141" t="str">
        <f t="shared" si="140"/>
        <v/>
      </c>
      <c r="M146" s="141" t="str">
        <f t="shared" si="140"/>
        <v/>
      </c>
      <c r="N146" s="141" t="str">
        <f t="shared" si="140"/>
        <v/>
      </c>
      <c r="O146" s="141" t="str">
        <f t="shared" si="140"/>
        <v/>
      </c>
      <c r="P146" s="141" t="str">
        <f t="shared" si="140"/>
        <v/>
      </c>
      <c r="Q146" s="141" t="str">
        <f t="shared" si="140"/>
        <v/>
      </c>
      <c r="R146" s="141" t="str">
        <f t="shared" si="140"/>
        <v/>
      </c>
      <c r="S146" s="141" t="str">
        <f t="shared" si="140"/>
        <v/>
      </c>
      <c r="T146" s="141" t="str">
        <f t="shared" si="140"/>
        <v/>
      </c>
      <c r="U146" s="141" t="str">
        <f t="shared" si="140"/>
        <v/>
      </c>
      <c r="V146" s="141" t="str">
        <f t="shared" si="140"/>
        <v/>
      </c>
      <c r="W146" s="141" t="str">
        <f t="shared" si="140"/>
        <v/>
      </c>
      <c r="X146" s="141" t="str">
        <f t="shared" si="140"/>
        <v/>
      </c>
      <c r="Y146" s="141" t="str">
        <f t="shared" si="140"/>
        <v/>
      </c>
      <c r="Z146" s="141" t="str">
        <f t="shared" si="140"/>
        <v/>
      </c>
      <c r="AA146" s="141" t="str">
        <f t="shared" si="140"/>
        <v/>
      </c>
      <c r="AB146" s="141" t="str">
        <f t="shared" si="140"/>
        <v/>
      </c>
      <c r="AC146" s="141" t="str">
        <f t="shared" si="140"/>
        <v/>
      </c>
      <c r="AD146" s="141" t="str">
        <f t="shared" si="140"/>
        <v/>
      </c>
      <c r="AE146" s="141" t="str">
        <f t="shared" si="140"/>
        <v/>
      </c>
      <c r="AF146" s="141" t="str">
        <f t="shared" si="140"/>
        <v/>
      </c>
      <c r="AG146" s="141" t="str">
        <f t="shared" si="140"/>
        <v/>
      </c>
      <c r="AH146" s="154" t="s">
        <v>12</v>
      </c>
      <c r="AI146" s="133"/>
      <c r="AJ146" s="170"/>
      <c r="AK146" s="133"/>
      <c r="AL146" s="133"/>
    </row>
    <row r="147" spans="1:38" ht="15.95" hidden="1" customHeight="1" x14ac:dyDescent="0.25">
      <c r="A147" s="166" t="s">
        <v>88</v>
      </c>
      <c r="B147" s="167" t="s">
        <v>30</v>
      </c>
      <c r="C147" s="141" t="str">
        <f t="shared" ref="C147:AG147" si="141">IF(C18=$R32,$V32*24,IF(C18=$R33,$V33*24,IF(C18=$R34,$V34*24,IF(C18=$R35,$V35*24,IF(C18=$R36,$V36*24,IF(C18=$R37,$V37*24,IF(C18=$R38,$V38*24,IF(C18=$R39,$V39*24,IF(C18=$R40,$V40*24,"")))))))))</f>
        <v/>
      </c>
      <c r="D147" s="141" t="str">
        <f t="shared" si="141"/>
        <v/>
      </c>
      <c r="E147" s="141" t="str">
        <f t="shared" si="141"/>
        <v/>
      </c>
      <c r="F147" s="141" t="str">
        <f t="shared" si="141"/>
        <v/>
      </c>
      <c r="G147" s="141" t="str">
        <f t="shared" si="141"/>
        <v/>
      </c>
      <c r="H147" s="141" t="str">
        <f t="shared" si="141"/>
        <v/>
      </c>
      <c r="I147" s="141" t="str">
        <f t="shared" si="141"/>
        <v/>
      </c>
      <c r="J147" s="141" t="str">
        <f t="shared" si="141"/>
        <v/>
      </c>
      <c r="K147" s="141" t="str">
        <f t="shared" si="141"/>
        <v/>
      </c>
      <c r="L147" s="141" t="str">
        <f t="shared" si="141"/>
        <v/>
      </c>
      <c r="M147" s="141" t="str">
        <f t="shared" si="141"/>
        <v/>
      </c>
      <c r="N147" s="141" t="str">
        <f t="shared" si="141"/>
        <v/>
      </c>
      <c r="O147" s="141" t="str">
        <f t="shared" si="141"/>
        <v/>
      </c>
      <c r="P147" s="141" t="str">
        <f t="shared" si="141"/>
        <v/>
      </c>
      <c r="Q147" s="141" t="str">
        <f t="shared" si="141"/>
        <v/>
      </c>
      <c r="R147" s="141" t="str">
        <f t="shared" si="141"/>
        <v/>
      </c>
      <c r="S147" s="141" t="str">
        <f t="shared" si="141"/>
        <v/>
      </c>
      <c r="T147" s="141" t="str">
        <f t="shared" si="141"/>
        <v/>
      </c>
      <c r="U147" s="141" t="str">
        <f t="shared" si="141"/>
        <v/>
      </c>
      <c r="V147" s="141" t="str">
        <f t="shared" si="141"/>
        <v/>
      </c>
      <c r="W147" s="141" t="str">
        <f t="shared" si="141"/>
        <v/>
      </c>
      <c r="X147" s="141" t="str">
        <f t="shared" si="141"/>
        <v/>
      </c>
      <c r="Y147" s="141" t="str">
        <f t="shared" si="141"/>
        <v/>
      </c>
      <c r="Z147" s="141" t="str">
        <f t="shared" si="141"/>
        <v/>
      </c>
      <c r="AA147" s="141" t="str">
        <f t="shared" si="141"/>
        <v/>
      </c>
      <c r="AB147" s="141" t="str">
        <f t="shared" si="141"/>
        <v/>
      </c>
      <c r="AC147" s="141" t="str">
        <f t="shared" si="141"/>
        <v/>
      </c>
      <c r="AD147" s="141" t="str">
        <f t="shared" si="141"/>
        <v/>
      </c>
      <c r="AE147" s="141" t="str">
        <f t="shared" si="141"/>
        <v/>
      </c>
      <c r="AF147" s="141" t="str">
        <f t="shared" si="141"/>
        <v/>
      </c>
      <c r="AG147" s="141" t="str">
        <f t="shared" si="141"/>
        <v/>
      </c>
      <c r="AH147" s="154" t="s">
        <v>12</v>
      </c>
      <c r="AI147" s="133"/>
      <c r="AJ147" s="170"/>
      <c r="AK147" s="133"/>
      <c r="AL147" s="133"/>
    </row>
    <row r="148" spans="1:38" ht="15.95" hidden="1" customHeight="1" x14ac:dyDescent="0.25">
      <c r="A148" s="153"/>
      <c r="B148" s="168" t="s">
        <v>34</v>
      </c>
      <c r="C148" s="169" t="str">
        <f t="shared" ref="C148:AD148" si="142">IF(C18=$R32,$BD32*24,IF(C18=$R33,$BD33*24,IF(C18=$R34,$BD34*24,IF(C18=$R35,$BD35*24,IF(C18=$R36,$BD36*24,IF(C18=$R37,$BD37*24,IF(C18=$R38,$BD38*24,IF(C18=$R39,$BD39*24,IF(C18=$R40,$BD40*24,"")))))))))</f>
        <v/>
      </c>
      <c r="D148" s="169" t="str">
        <f t="shared" si="142"/>
        <v/>
      </c>
      <c r="E148" s="169" t="str">
        <f t="shared" si="142"/>
        <v/>
      </c>
      <c r="F148" s="169" t="str">
        <f t="shared" si="142"/>
        <v/>
      </c>
      <c r="G148" s="169" t="str">
        <f t="shared" si="142"/>
        <v/>
      </c>
      <c r="H148" s="169" t="str">
        <f t="shared" si="142"/>
        <v/>
      </c>
      <c r="I148" s="169" t="str">
        <f t="shared" si="142"/>
        <v/>
      </c>
      <c r="J148" s="169" t="str">
        <f t="shared" si="142"/>
        <v/>
      </c>
      <c r="K148" s="169" t="str">
        <f t="shared" si="142"/>
        <v/>
      </c>
      <c r="L148" s="169" t="str">
        <f t="shared" si="142"/>
        <v/>
      </c>
      <c r="M148" s="169" t="str">
        <f t="shared" si="142"/>
        <v/>
      </c>
      <c r="N148" s="169" t="str">
        <f t="shared" si="142"/>
        <v/>
      </c>
      <c r="O148" s="169" t="str">
        <f t="shared" si="142"/>
        <v/>
      </c>
      <c r="P148" s="169" t="str">
        <f t="shared" si="142"/>
        <v/>
      </c>
      <c r="Q148" s="169" t="str">
        <f t="shared" si="142"/>
        <v/>
      </c>
      <c r="R148" s="169" t="str">
        <f t="shared" si="142"/>
        <v/>
      </c>
      <c r="S148" s="169" t="str">
        <f t="shared" si="142"/>
        <v/>
      </c>
      <c r="T148" s="169" t="str">
        <f t="shared" si="142"/>
        <v/>
      </c>
      <c r="U148" s="169" t="str">
        <f t="shared" si="142"/>
        <v/>
      </c>
      <c r="V148" s="169" t="str">
        <f t="shared" si="142"/>
        <v/>
      </c>
      <c r="W148" s="169" t="str">
        <f t="shared" si="142"/>
        <v/>
      </c>
      <c r="X148" s="169" t="str">
        <f t="shared" si="142"/>
        <v/>
      </c>
      <c r="Y148" s="169" t="str">
        <f t="shared" si="142"/>
        <v/>
      </c>
      <c r="Z148" s="169" t="str">
        <f t="shared" si="142"/>
        <v/>
      </c>
      <c r="AA148" s="169" t="str">
        <f t="shared" si="142"/>
        <v/>
      </c>
      <c r="AB148" s="169" t="str">
        <f t="shared" si="142"/>
        <v/>
      </c>
      <c r="AC148" s="169" t="str">
        <f t="shared" si="142"/>
        <v/>
      </c>
      <c r="AD148" s="169" t="str">
        <f t="shared" si="142"/>
        <v/>
      </c>
      <c r="AE148" s="169" t="str">
        <f>IF(AE18=$R32,$BD32*24,IF(AE18=$R33,$BD33*24,IF(AE18=$R34,$BD34*24,IF(AE18=$R35,$BD35*24,IF(AE18=$R36,$BD36*24,IF(AE18=$R37,$BD37*24,IF(AE18=$R38,$BD38*24,IF(AE18=$R39,$BD39*24,IF(AE18=$R40,$BD40*24,"")))))))))</f>
        <v/>
      </c>
      <c r="AF148" s="169" t="str">
        <f>IF(AF18=$R32,$BD32*24,IF(AF18=$R33,$BD33*24,IF(AF18=$R34,$BD34*24,IF(AF18=$R35,$BD35*24,IF(AF18=$R36,$BD36*24,IF(AF18=$R37,$BD37*24,IF(AF18=$R38,$BD38*24,IF(AF18=$R39,$BD39*24,IF(AF18=$R40,$BD40*24,"")))))))))</f>
        <v/>
      </c>
      <c r="AG148" s="169" t="str">
        <f>IF(AG18=$R32,$BD32*24,IF(AG18=$R33,$BD33*24,IF(AG18=$R34,$BD34*24,IF(AG18=$R35,$BD35*24,IF(AG18=$R36,$BD36*24,IF(AG18=$R37,$BD37*24,IF(AG18=$R38,$BD38*24,IF(AG18=$R39,$BD39*24,IF(AG18=$R40,$BD40*24,"")))))))))</f>
        <v/>
      </c>
      <c r="AH148" s="148">
        <f>SUM(C148:AG148)</f>
        <v>0</v>
      </c>
      <c r="AI148" s="133"/>
      <c r="AJ148" s="170"/>
      <c r="AK148" s="133"/>
      <c r="AL148" s="133"/>
    </row>
    <row r="149" spans="1:38" ht="15.95" hidden="1" customHeight="1" x14ac:dyDescent="0.25">
      <c r="A149" s="153"/>
      <c r="B149" s="167" t="s">
        <v>59</v>
      </c>
      <c r="C149" s="141">
        <f t="shared" ref="C149:AG149" si="143">IF(C18="V",$C36,IF(C18="PR",$C38,0))</f>
        <v>0</v>
      </c>
      <c r="D149" s="141">
        <f t="shared" si="143"/>
        <v>0</v>
      </c>
      <c r="E149" s="141">
        <f t="shared" si="143"/>
        <v>0</v>
      </c>
      <c r="F149" s="141">
        <f t="shared" si="143"/>
        <v>0</v>
      </c>
      <c r="G149" s="141">
        <f t="shared" si="143"/>
        <v>0</v>
      </c>
      <c r="H149" s="141">
        <f t="shared" si="143"/>
        <v>0</v>
      </c>
      <c r="I149" s="141">
        <f t="shared" si="143"/>
        <v>0</v>
      </c>
      <c r="J149" s="141">
        <f t="shared" si="143"/>
        <v>0</v>
      </c>
      <c r="K149" s="141">
        <f t="shared" si="143"/>
        <v>0</v>
      </c>
      <c r="L149" s="141">
        <f t="shared" si="143"/>
        <v>0</v>
      </c>
      <c r="M149" s="141">
        <f t="shared" si="143"/>
        <v>0</v>
      </c>
      <c r="N149" s="141">
        <f t="shared" si="143"/>
        <v>0</v>
      </c>
      <c r="O149" s="141">
        <f t="shared" si="143"/>
        <v>0</v>
      </c>
      <c r="P149" s="141">
        <f t="shared" si="143"/>
        <v>0</v>
      </c>
      <c r="Q149" s="141">
        <f t="shared" si="143"/>
        <v>0</v>
      </c>
      <c r="R149" s="141">
        <f t="shared" si="143"/>
        <v>0</v>
      </c>
      <c r="S149" s="141">
        <f t="shared" si="143"/>
        <v>0</v>
      </c>
      <c r="T149" s="141">
        <f t="shared" si="143"/>
        <v>0</v>
      </c>
      <c r="U149" s="141">
        <f t="shared" si="143"/>
        <v>0</v>
      </c>
      <c r="V149" s="141">
        <f t="shared" si="143"/>
        <v>0</v>
      </c>
      <c r="W149" s="141">
        <f t="shared" si="143"/>
        <v>0</v>
      </c>
      <c r="X149" s="141">
        <f t="shared" si="143"/>
        <v>0</v>
      </c>
      <c r="Y149" s="141">
        <f t="shared" si="143"/>
        <v>0</v>
      </c>
      <c r="Z149" s="141">
        <f t="shared" si="143"/>
        <v>0</v>
      </c>
      <c r="AA149" s="141">
        <f t="shared" si="143"/>
        <v>0</v>
      </c>
      <c r="AB149" s="141">
        <f t="shared" si="143"/>
        <v>0</v>
      </c>
      <c r="AC149" s="141">
        <f t="shared" si="143"/>
        <v>0</v>
      </c>
      <c r="AD149" s="141">
        <f t="shared" si="143"/>
        <v>0</v>
      </c>
      <c r="AE149" s="141">
        <f t="shared" si="143"/>
        <v>0</v>
      </c>
      <c r="AF149" s="141">
        <f t="shared" si="143"/>
        <v>0</v>
      </c>
      <c r="AG149" s="141">
        <f t="shared" si="143"/>
        <v>0</v>
      </c>
      <c r="AH149" s="226">
        <f>SUM(C149:AG149)</f>
        <v>0</v>
      </c>
      <c r="AI149" s="226"/>
      <c r="AJ149" s="230">
        <f>SUM(AH94+AH105+AH116+AH127+AH138+AH149)</f>
        <v>0</v>
      </c>
      <c r="AK149" s="230"/>
      <c r="AL149" s="133" t="s">
        <v>56</v>
      </c>
    </row>
    <row r="150" spans="1:38" ht="15.95" hidden="1" customHeight="1" x14ac:dyDescent="0.25">
      <c r="A150" s="150" t="s">
        <v>60</v>
      </c>
      <c r="B150" s="167" t="s">
        <v>61</v>
      </c>
      <c r="C150" s="151">
        <f t="shared" ref="C150:AD150" si="144">IF(C18=$R32,$BC32,IF(C18=$R33,$BC33,IF(C18=$R34,$BC34,IF(C18=$R35,$BC35,IF(C18=$R36,$BC36,IF(C18=$R37,$BC37,IF(C18=$R38,$BC38,IF(C18=$R39,$BC39,IF(C18=$R40,$BC40,0)))))))))</f>
        <v>0</v>
      </c>
      <c r="D150" s="151">
        <f t="shared" si="144"/>
        <v>0</v>
      </c>
      <c r="E150" s="151">
        <f t="shared" si="144"/>
        <v>0</v>
      </c>
      <c r="F150" s="151">
        <f t="shared" si="144"/>
        <v>0</v>
      </c>
      <c r="G150" s="151">
        <f t="shared" si="144"/>
        <v>0</v>
      </c>
      <c r="H150" s="151">
        <f t="shared" si="144"/>
        <v>0</v>
      </c>
      <c r="I150" s="151">
        <f t="shared" si="144"/>
        <v>0</v>
      </c>
      <c r="J150" s="151">
        <f t="shared" si="144"/>
        <v>0</v>
      </c>
      <c r="K150" s="151">
        <f t="shared" si="144"/>
        <v>0</v>
      </c>
      <c r="L150" s="151">
        <f t="shared" si="144"/>
        <v>0</v>
      </c>
      <c r="M150" s="151">
        <f t="shared" si="144"/>
        <v>0</v>
      </c>
      <c r="N150" s="151">
        <f t="shared" si="144"/>
        <v>0</v>
      </c>
      <c r="O150" s="151">
        <f t="shared" si="144"/>
        <v>0</v>
      </c>
      <c r="P150" s="151">
        <f t="shared" si="144"/>
        <v>0</v>
      </c>
      <c r="Q150" s="151">
        <f t="shared" si="144"/>
        <v>0</v>
      </c>
      <c r="R150" s="151">
        <f t="shared" si="144"/>
        <v>0</v>
      </c>
      <c r="S150" s="151">
        <f t="shared" si="144"/>
        <v>0</v>
      </c>
      <c r="T150" s="151">
        <f t="shared" si="144"/>
        <v>0</v>
      </c>
      <c r="U150" s="151">
        <f t="shared" si="144"/>
        <v>0</v>
      </c>
      <c r="V150" s="151">
        <f t="shared" si="144"/>
        <v>0</v>
      </c>
      <c r="W150" s="151">
        <f t="shared" si="144"/>
        <v>0</v>
      </c>
      <c r="X150" s="151">
        <f t="shared" si="144"/>
        <v>0</v>
      </c>
      <c r="Y150" s="151">
        <f t="shared" si="144"/>
        <v>0</v>
      </c>
      <c r="Z150" s="151">
        <f t="shared" si="144"/>
        <v>0</v>
      </c>
      <c r="AA150" s="151">
        <f t="shared" si="144"/>
        <v>0</v>
      </c>
      <c r="AB150" s="151">
        <f t="shared" si="144"/>
        <v>0</v>
      </c>
      <c r="AC150" s="151">
        <f t="shared" si="144"/>
        <v>0</v>
      </c>
      <c r="AD150" s="151">
        <f t="shared" si="144"/>
        <v>0</v>
      </c>
      <c r="AE150" s="151">
        <f>IF(AE18=$R32,$BC32,IF(AE18=$R33,$BC33,IF(AE18=$R34,$BC34,IF(AE18=$R35,$BC35,IF(AE18=$R36,$BC36,IF(AE18=$R37,$BC37,IF(AE18=$R38,$BC38,IF(AE18=$R39,$BC39,IF(AE18=$R40,$BC40,0)))))))))</f>
        <v>0</v>
      </c>
      <c r="AF150" s="151">
        <f>IF(AF18=$R32,$BC32,IF(AF18=$R33,$BC33,IF(AF18=$R34,$BC34,IF(AF18=$R35,$BC35,IF(AF18=$R36,$BC36,IF(AF18=$R37,$BC37,IF(AF18=$R38,$BC38,IF(AF18=$R39,$BC39,IF(AF18=$R40,$BC40,0)))))))))</f>
        <v>0</v>
      </c>
      <c r="AG150" s="151">
        <f>IF(AG18=$R32,$BC32,IF(AG18=$R33,$BC33,IF(AG18=$R34,$BC34,IF(AG18=$R35,$BC35,IF(AG18=$R36,$BC36,IF(AG18=$R37,$BC37,IF(AG18=$R38,$BC38,IF(AG18=$R39,$BC39,IF(AG18=$R40,$BC40,0)))))))))</f>
        <v>0</v>
      </c>
      <c r="AH150" s="226">
        <f>SUM(C150:AG150)</f>
        <v>0</v>
      </c>
      <c r="AI150" s="226"/>
      <c r="AJ150" s="174" t="s">
        <v>62</v>
      </c>
      <c r="AK150" s="133" t="s">
        <v>12</v>
      </c>
      <c r="AL150" s="133"/>
    </row>
    <row r="151" spans="1:38" ht="15.95" hidden="1" customHeight="1" x14ac:dyDescent="0.25">
      <c r="A151" s="153" t="s">
        <v>48</v>
      </c>
      <c r="B151" s="149" t="s">
        <v>63</v>
      </c>
      <c r="C151" s="141" t="b">
        <f>IF(C46=1,IF(C146&lt;C147,C150,0))</f>
        <v>0</v>
      </c>
      <c r="D151" s="141" t="b">
        <f t="shared" ref="D151:AG151" si="145">IF(D46=1,IF(D146&lt;D147,D150,0))</f>
        <v>0</v>
      </c>
      <c r="E151" s="141" t="b">
        <f t="shared" si="145"/>
        <v>0</v>
      </c>
      <c r="F151" s="141" t="b">
        <f t="shared" si="145"/>
        <v>0</v>
      </c>
      <c r="G151" s="141" t="b">
        <f t="shared" si="145"/>
        <v>0</v>
      </c>
      <c r="H151" s="141">
        <f t="shared" si="145"/>
        <v>0</v>
      </c>
      <c r="I151" s="141">
        <f t="shared" si="145"/>
        <v>0</v>
      </c>
      <c r="J151" s="141" t="b">
        <f t="shared" si="145"/>
        <v>0</v>
      </c>
      <c r="K151" s="141" t="b">
        <f t="shared" si="145"/>
        <v>0</v>
      </c>
      <c r="L151" s="141" t="b">
        <f t="shared" si="145"/>
        <v>0</v>
      </c>
      <c r="M151" s="141" t="b">
        <f t="shared" si="145"/>
        <v>0</v>
      </c>
      <c r="N151" s="141" t="b">
        <f t="shared" si="145"/>
        <v>0</v>
      </c>
      <c r="O151" s="141">
        <f t="shared" si="145"/>
        <v>0</v>
      </c>
      <c r="P151" s="141">
        <f t="shared" si="145"/>
        <v>0</v>
      </c>
      <c r="Q151" s="141" t="b">
        <f t="shared" si="145"/>
        <v>0</v>
      </c>
      <c r="R151" s="141" t="b">
        <f t="shared" si="145"/>
        <v>0</v>
      </c>
      <c r="S151" s="141" t="b">
        <f t="shared" si="145"/>
        <v>0</v>
      </c>
      <c r="T151" s="141" t="b">
        <f t="shared" si="145"/>
        <v>0</v>
      </c>
      <c r="U151" s="141" t="b">
        <f t="shared" si="145"/>
        <v>0</v>
      </c>
      <c r="V151" s="141">
        <f t="shared" si="145"/>
        <v>0</v>
      </c>
      <c r="W151" s="141">
        <f t="shared" si="145"/>
        <v>0</v>
      </c>
      <c r="X151" s="141" t="b">
        <f t="shared" si="145"/>
        <v>0</v>
      </c>
      <c r="Y151" s="141" t="b">
        <f t="shared" si="145"/>
        <v>0</v>
      </c>
      <c r="Z151" s="141" t="b">
        <f t="shared" si="145"/>
        <v>0</v>
      </c>
      <c r="AA151" s="141" t="b">
        <f t="shared" si="145"/>
        <v>0</v>
      </c>
      <c r="AB151" s="141" t="b">
        <f t="shared" si="145"/>
        <v>0</v>
      </c>
      <c r="AC151" s="141">
        <f t="shared" si="145"/>
        <v>0</v>
      </c>
      <c r="AD151" s="141">
        <f t="shared" si="145"/>
        <v>0</v>
      </c>
      <c r="AE151" s="141" t="b">
        <f t="shared" si="145"/>
        <v>0</v>
      </c>
      <c r="AF151" s="141" t="b">
        <f t="shared" si="145"/>
        <v>0</v>
      </c>
      <c r="AG151" s="141" t="b">
        <f t="shared" si="145"/>
        <v>0</v>
      </c>
      <c r="AH151" s="154" t="s">
        <v>12</v>
      </c>
      <c r="AI151" s="133"/>
      <c r="AJ151" s="170"/>
      <c r="AK151" s="133"/>
      <c r="AL151" s="133"/>
    </row>
    <row r="152" spans="1:38" ht="15.95" hidden="1" customHeight="1" x14ac:dyDescent="0.25">
      <c r="A152" s="176"/>
      <c r="B152" s="149" t="s">
        <v>64</v>
      </c>
      <c r="C152" s="141">
        <f t="shared" ref="C152:AG152" si="146">IF(C46=1,IF(C146&gt;C147,24-C146,0),0)</f>
        <v>0</v>
      </c>
      <c r="D152" s="141">
        <f t="shared" si="146"/>
        <v>0</v>
      </c>
      <c r="E152" s="141">
        <f t="shared" si="146"/>
        <v>0</v>
      </c>
      <c r="F152" s="141">
        <f t="shared" si="146"/>
        <v>0</v>
      </c>
      <c r="G152" s="141">
        <f t="shared" si="146"/>
        <v>0</v>
      </c>
      <c r="H152" s="141">
        <f t="shared" si="146"/>
        <v>0</v>
      </c>
      <c r="I152" s="141">
        <f t="shared" si="146"/>
        <v>0</v>
      </c>
      <c r="J152" s="141">
        <f t="shared" si="146"/>
        <v>0</v>
      </c>
      <c r="K152" s="141">
        <f t="shared" si="146"/>
        <v>0</v>
      </c>
      <c r="L152" s="141">
        <f t="shared" si="146"/>
        <v>0</v>
      </c>
      <c r="M152" s="141">
        <f t="shared" si="146"/>
        <v>0</v>
      </c>
      <c r="N152" s="141">
        <f t="shared" si="146"/>
        <v>0</v>
      </c>
      <c r="O152" s="141">
        <f t="shared" si="146"/>
        <v>0</v>
      </c>
      <c r="P152" s="141">
        <f t="shared" si="146"/>
        <v>0</v>
      </c>
      <c r="Q152" s="141">
        <f t="shared" si="146"/>
        <v>0</v>
      </c>
      <c r="R152" s="141">
        <f t="shared" si="146"/>
        <v>0</v>
      </c>
      <c r="S152" s="141">
        <f t="shared" si="146"/>
        <v>0</v>
      </c>
      <c r="T152" s="141">
        <f t="shared" si="146"/>
        <v>0</v>
      </c>
      <c r="U152" s="141">
        <f t="shared" si="146"/>
        <v>0</v>
      </c>
      <c r="V152" s="141">
        <f t="shared" si="146"/>
        <v>0</v>
      </c>
      <c r="W152" s="141">
        <f t="shared" si="146"/>
        <v>0</v>
      </c>
      <c r="X152" s="141">
        <f t="shared" si="146"/>
        <v>0</v>
      </c>
      <c r="Y152" s="141">
        <f t="shared" si="146"/>
        <v>0</v>
      </c>
      <c r="Z152" s="141">
        <f t="shared" si="146"/>
        <v>0</v>
      </c>
      <c r="AA152" s="141">
        <f t="shared" si="146"/>
        <v>0</v>
      </c>
      <c r="AB152" s="141">
        <f t="shared" si="146"/>
        <v>0</v>
      </c>
      <c r="AC152" s="141">
        <f t="shared" si="146"/>
        <v>0</v>
      </c>
      <c r="AD152" s="141">
        <f t="shared" si="146"/>
        <v>0</v>
      </c>
      <c r="AE152" s="141">
        <f t="shared" si="146"/>
        <v>0</v>
      </c>
      <c r="AF152" s="141">
        <f t="shared" si="146"/>
        <v>0</v>
      </c>
      <c r="AG152" s="141">
        <f t="shared" si="146"/>
        <v>0</v>
      </c>
      <c r="AH152" s="154" t="s">
        <v>12</v>
      </c>
      <c r="AI152" s="133"/>
      <c r="AJ152" s="170"/>
      <c r="AK152" s="133"/>
      <c r="AL152" s="133"/>
    </row>
    <row r="153" spans="1:38" ht="15.95" hidden="1" customHeight="1" x14ac:dyDescent="0.25">
      <c r="A153" s="176"/>
      <c r="B153" s="149" t="s">
        <v>65</v>
      </c>
      <c r="C153" s="141">
        <f t="shared" ref="C153:AG153" si="147">IF(D46=1,IF(C146&gt;C147,C147,0),0)</f>
        <v>0</v>
      </c>
      <c r="D153" s="141">
        <f t="shared" si="147"/>
        <v>0</v>
      </c>
      <c r="E153" s="141">
        <f t="shared" si="147"/>
        <v>0</v>
      </c>
      <c r="F153" s="141">
        <f t="shared" si="147"/>
        <v>0</v>
      </c>
      <c r="G153" s="141">
        <f t="shared" si="147"/>
        <v>0</v>
      </c>
      <c r="H153" s="141">
        <f t="shared" si="147"/>
        <v>0</v>
      </c>
      <c r="I153" s="141">
        <f t="shared" si="147"/>
        <v>0</v>
      </c>
      <c r="J153" s="141">
        <f t="shared" si="147"/>
        <v>0</v>
      </c>
      <c r="K153" s="141">
        <f t="shared" si="147"/>
        <v>0</v>
      </c>
      <c r="L153" s="141">
        <f t="shared" si="147"/>
        <v>0</v>
      </c>
      <c r="M153" s="141">
        <f t="shared" si="147"/>
        <v>0</v>
      </c>
      <c r="N153" s="141">
        <f t="shared" si="147"/>
        <v>0</v>
      </c>
      <c r="O153" s="141">
        <f t="shared" si="147"/>
        <v>0</v>
      </c>
      <c r="P153" s="141">
        <f t="shared" si="147"/>
        <v>0</v>
      </c>
      <c r="Q153" s="141">
        <f t="shared" si="147"/>
        <v>0</v>
      </c>
      <c r="R153" s="141">
        <f t="shared" si="147"/>
        <v>0</v>
      </c>
      <c r="S153" s="141">
        <f t="shared" si="147"/>
        <v>0</v>
      </c>
      <c r="T153" s="141">
        <f t="shared" si="147"/>
        <v>0</v>
      </c>
      <c r="U153" s="141">
        <f t="shared" si="147"/>
        <v>0</v>
      </c>
      <c r="V153" s="141">
        <f t="shared" si="147"/>
        <v>0</v>
      </c>
      <c r="W153" s="141">
        <f t="shared" si="147"/>
        <v>0</v>
      </c>
      <c r="X153" s="141">
        <f>IF(Y46=1,IF(X146&gt;X147,X147,0),0)</f>
        <v>0</v>
      </c>
      <c r="Y153" s="141">
        <f t="shared" si="147"/>
        <v>0</v>
      </c>
      <c r="Z153" s="141">
        <f t="shared" si="147"/>
        <v>0</v>
      </c>
      <c r="AA153" s="141">
        <f t="shared" si="147"/>
        <v>0</v>
      </c>
      <c r="AB153" s="141">
        <f t="shared" si="147"/>
        <v>0</v>
      </c>
      <c r="AC153" s="141">
        <f t="shared" si="147"/>
        <v>0</v>
      </c>
      <c r="AD153" s="141">
        <f t="shared" si="147"/>
        <v>0</v>
      </c>
      <c r="AE153" s="141">
        <f t="shared" si="147"/>
        <v>0</v>
      </c>
      <c r="AF153" s="141">
        <f t="shared" si="147"/>
        <v>0</v>
      </c>
      <c r="AG153" s="141">
        <f t="shared" si="147"/>
        <v>0</v>
      </c>
      <c r="AH153" s="154" t="s">
        <v>12</v>
      </c>
      <c r="AI153" s="133"/>
      <c r="AJ153" s="170"/>
      <c r="AK153" s="133"/>
      <c r="AL153" s="133"/>
    </row>
    <row r="154" spans="1:38" ht="15.95" hidden="1" customHeight="1" x14ac:dyDescent="0.25">
      <c r="A154" s="176"/>
      <c r="B154" s="149" t="s">
        <v>67</v>
      </c>
      <c r="C154" s="171">
        <f>SUM(C151:C153)</f>
        <v>0</v>
      </c>
      <c r="D154" s="171">
        <f t="shared" ref="D154:AG154" si="148">SUM(D151:D153)</f>
        <v>0</v>
      </c>
      <c r="E154" s="171">
        <f t="shared" si="148"/>
        <v>0</v>
      </c>
      <c r="F154" s="171">
        <f t="shared" si="148"/>
        <v>0</v>
      </c>
      <c r="G154" s="171">
        <f t="shared" si="148"/>
        <v>0</v>
      </c>
      <c r="H154" s="171">
        <f t="shared" si="148"/>
        <v>0</v>
      </c>
      <c r="I154" s="171">
        <f t="shared" si="148"/>
        <v>0</v>
      </c>
      <c r="J154" s="171">
        <f t="shared" si="148"/>
        <v>0</v>
      </c>
      <c r="K154" s="171">
        <f t="shared" si="148"/>
        <v>0</v>
      </c>
      <c r="L154" s="171">
        <f t="shared" si="148"/>
        <v>0</v>
      </c>
      <c r="M154" s="171">
        <f t="shared" si="148"/>
        <v>0</v>
      </c>
      <c r="N154" s="171">
        <f t="shared" si="148"/>
        <v>0</v>
      </c>
      <c r="O154" s="171">
        <f t="shared" si="148"/>
        <v>0</v>
      </c>
      <c r="P154" s="171">
        <f t="shared" si="148"/>
        <v>0</v>
      </c>
      <c r="Q154" s="171">
        <f t="shared" si="148"/>
        <v>0</v>
      </c>
      <c r="R154" s="171">
        <f t="shared" si="148"/>
        <v>0</v>
      </c>
      <c r="S154" s="171">
        <f t="shared" si="148"/>
        <v>0</v>
      </c>
      <c r="T154" s="171">
        <f t="shared" si="148"/>
        <v>0</v>
      </c>
      <c r="U154" s="171">
        <f t="shared" si="148"/>
        <v>0</v>
      </c>
      <c r="V154" s="171">
        <f t="shared" si="148"/>
        <v>0</v>
      </c>
      <c r="W154" s="171">
        <f t="shared" si="148"/>
        <v>0</v>
      </c>
      <c r="X154" s="171">
        <f t="shared" si="148"/>
        <v>0</v>
      </c>
      <c r="Y154" s="171">
        <f t="shared" si="148"/>
        <v>0</v>
      </c>
      <c r="Z154" s="171">
        <f t="shared" si="148"/>
        <v>0</v>
      </c>
      <c r="AA154" s="171">
        <f t="shared" si="148"/>
        <v>0</v>
      </c>
      <c r="AB154" s="171">
        <f t="shared" si="148"/>
        <v>0</v>
      </c>
      <c r="AC154" s="171">
        <f t="shared" si="148"/>
        <v>0</v>
      </c>
      <c r="AD154" s="171">
        <f t="shared" si="148"/>
        <v>0</v>
      </c>
      <c r="AE154" s="171">
        <f t="shared" si="148"/>
        <v>0</v>
      </c>
      <c r="AF154" s="171">
        <f t="shared" si="148"/>
        <v>0</v>
      </c>
      <c r="AG154" s="171">
        <f t="shared" si="148"/>
        <v>0</v>
      </c>
      <c r="AH154" s="154" t="s">
        <v>12</v>
      </c>
      <c r="AI154" s="133"/>
      <c r="AJ154" s="170"/>
      <c r="AK154" s="133"/>
      <c r="AL154" s="133"/>
    </row>
    <row r="155" spans="1:38" ht="15.95" hidden="1" customHeight="1" x14ac:dyDescent="0.25">
      <c r="A155" s="177"/>
      <c r="B155" s="160" t="s">
        <v>68</v>
      </c>
      <c r="C155" s="161">
        <f t="shared" ref="C155:AG155" si="149">IF(C18="V",IF(C18="",0,1),0)</f>
        <v>0</v>
      </c>
      <c r="D155" s="161">
        <f t="shared" si="149"/>
        <v>0</v>
      </c>
      <c r="E155" s="161">
        <f t="shared" si="149"/>
        <v>0</v>
      </c>
      <c r="F155" s="161">
        <f t="shared" si="149"/>
        <v>0</v>
      </c>
      <c r="G155" s="161">
        <f t="shared" si="149"/>
        <v>0</v>
      </c>
      <c r="H155" s="161">
        <f t="shared" si="149"/>
        <v>0</v>
      </c>
      <c r="I155" s="161">
        <f t="shared" si="149"/>
        <v>0</v>
      </c>
      <c r="J155" s="161">
        <f t="shared" si="149"/>
        <v>0</v>
      </c>
      <c r="K155" s="161">
        <f t="shared" si="149"/>
        <v>0</v>
      </c>
      <c r="L155" s="161">
        <f t="shared" si="149"/>
        <v>0</v>
      </c>
      <c r="M155" s="161">
        <f t="shared" si="149"/>
        <v>0</v>
      </c>
      <c r="N155" s="161">
        <f t="shared" si="149"/>
        <v>0</v>
      </c>
      <c r="O155" s="161">
        <f t="shared" si="149"/>
        <v>0</v>
      </c>
      <c r="P155" s="161">
        <f t="shared" si="149"/>
        <v>0</v>
      </c>
      <c r="Q155" s="161">
        <f t="shared" si="149"/>
        <v>0</v>
      </c>
      <c r="R155" s="161">
        <f t="shared" si="149"/>
        <v>0</v>
      </c>
      <c r="S155" s="161">
        <f t="shared" si="149"/>
        <v>0</v>
      </c>
      <c r="T155" s="161">
        <f t="shared" si="149"/>
        <v>0</v>
      </c>
      <c r="U155" s="161">
        <f t="shared" si="149"/>
        <v>0</v>
      </c>
      <c r="V155" s="161">
        <f t="shared" si="149"/>
        <v>0</v>
      </c>
      <c r="W155" s="161">
        <f t="shared" si="149"/>
        <v>0</v>
      </c>
      <c r="X155" s="161">
        <f t="shared" si="149"/>
        <v>0</v>
      </c>
      <c r="Y155" s="161">
        <f t="shared" si="149"/>
        <v>0</v>
      </c>
      <c r="Z155" s="161">
        <f t="shared" si="149"/>
        <v>0</v>
      </c>
      <c r="AA155" s="161">
        <f t="shared" si="149"/>
        <v>0</v>
      </c>
      <c r="AB155" s="161">
        <f t="shared" si="149"/>
        <v>0</v>
      </c>
      <c r="AC155" s="161">
        <f t="shared" si="149"/>
        <v>0</v>
      </c>
      <c r="AD155" s="161">
        <f t="shared" si="149"/>
        <v>0</v>
      </c>
      <c r="AE155" s="161">
        <f t="shared" si="149"/>
        <v>0</v>
      </c>
      <c r="AF155" s="161">
        <f t="shared" si="149"/>
        <v>0</v>
      </c>
      <c r="AG155" s="161">
        <f t="shared" si="149"/>
        <v>0</v>
      </c>
      <c r="AH155" s="154" t="s">
        <v>12</v>
      </c>
      <c r="AI155" s="133"/>
      <c r="AJ155" s="170"/>
      <c r="AK155" s="133"/>
      <c r="AL155" s="133"/>
    </row>
    <row r="156" spans="1:38" ht="15.95" hidden="1" customHeight="1" x14ac:dyDescent="0.25">
      <c r="A156" s="180"/>
      <c r="B156" s="181" t="s">
        <v>16</v>
      </c>
      <c r="C156" s="182">
        <f t="shared" ref="C156:AG156" si="150">IF(C18="PR",IF(C18="",0,1),0)</f>
        <v>0</v>
      </c>
      <c r="D156" s="182">
        <f t="shared" si="150"/>
        <v>0</v>
      </c>
      <c r="E156" s="182">
        <f t="shared" si="150"/>
        <v>0</v>
      </c>
      <c r="F156" s="182">
        <f t="shared" si="150"/>
        <v>0</v>
      </c>
      <c r="G156" s="182">
        <f t="shared" si="150"/>
        <v>0</v>
      </c>
      <c r="H156" s="182">
        <f t="shared" si="150"/>
        <v>0</v>
      </c>
      <c r="I156" s="182">
        <f t="shared" si="150"/>
        <v>0</v>
      </c>
      <c r="J156" s="182">
        <f t="shared" si="150"/>
        <v>0</v>
      </c>
      <c r="K156" s="182">
        <f t="shared" si="150"/>
        <v>0</v>
      </c>
      <c r="L156" s="182">
        <f t="shared" si="150"/>
        <v>0</v>
      </c>
      <c r="M156" s="182">
        <f t="shared" si="150"/>
        <v>0</v>
      </c>
      <c r="N156" s="182">
        <f t="shared" si="150"/>
        <v>0</v>
      </c>
      <c r="O156" s="182">
        <f t="shared" si="150"/>
        <v>0</v>
      </c>
      <c r="P156" s="182">
        <f t="shared" si="150"/>
        <v>0</v>
      </c>
      <c r="Q156" s="182">
        <f t="shared" si="150"/>
        <v>0</v>
      </c>
      <c r="R156" s="182">
        <f t="shared" si="150"/>
        <v>0</v>
      </c>
      <c r="S156" s="182">
        <f t="shared" si="150"/>
        <v>0</v>
      </c>
      <c r="T156" s="182">
        <f t="shared" si="150"/>
        <v>0</v>
      </c>
      <c r="U156" s="182">
        <f t="shared" si="150"/>
        <v>0</v>
      </c>
      <c r="V156" s="182">
        <f t="shared" si="150"/>
        <v>0</v>
      </c>
      <c r="W156" s="182">
        <f t="shared" si="150"/>
        <v>0</v>
      </c>
      <c r="X156" s="182">
        <f t="shared" si="150"/>
        <v>0</v>
      </c>
      <c r="Y156" s="182">
        <f t="shared" si="150"/>
        <v>0</v>
      </c>
      <c r="Z156" s="182">
        <f t="shared" si="150"/>
        <v>0</v>
      </c>
      <c r="AA156" s="182">
        <f t="shared" si="150"/>
        <v>0</v>
      </c>
      <c r="AB156" s="182">
        <f t="shared" si="150"/>
        <v>0</v>
      </c>
      <c r="AC156" s="182">
        <f t="shared" si="150"/>
        <v>0</v>
      </c>
      <c r="AD156" s="182">
        <f t="shared" si="150"/>
        <v>0</v>
      </c>
      <c r="AE156" s="182">
        <f t="shared" si="150"/>
        <v>0</v>
      </c>
      <c r="AF156" s="182">
        <f t="shared" si="150"/>
        <v>0</v>
      </c>
      <c r="AG156" s="182">
        <f t="shared" si="150"/>
        <v>0</v>
      </c>
      <c r="AH156" s="227">
        <f>SUM(C156:AG156)</f>
        <v>0</v>
      </c>
      <c r="AI156" s="227"/>
      <c r="AJ156" s="174" t="s">
        <v>69</v>
      </c>
      <c r="AK156" s="133"/>
      <c r="AL156" s="133"/>
    </row>
    <row r="157" spans="1:38" ht="15.95" hidden="1" customHeight="1" x14ac:dyDescent="0.25">
      <c r="A157" s="164" t="s">
        <v>126</v>
      </c>
      <c r="B157" s="165" t="s">
        <v>29</v>
      </c>
      <c r="C157" s="141" t="str">
        <f>IF(C19=$R32,$S32*24,IF(C19=$R33,$S33*24,IF(C19=$R34,$S34*24,IF(C19=$R35,$S35*24,IF(C19=$R36,$S36*24,IF(C19=$R37,$S37*24,IF(C19=$R38,$S38*24,IF(C19=$R39,$S39*24,IF(C19=$R40,$S40*24,"")))))))))</f>
        <v/>
      </c>
      <c r="D157" s="141" t="str">
        <f t="shared" ref="D157:AG157" si="151">IF(D19=$R32,$S32*24,IF(D19=$R33,$S33*24,IF(D19=$R34,$S34*24,IF(D19=$R35,$S35*24,IF(D19=$R36,$S36*24,IF(D19=$R37,$S37*24,IF(D19=$R38,$S38*24,IF(D19=$R39,$S39*24,IF(D19=$R40,$S40*24,"")))))))))</f>
        <v/>
      </c>
      <c r="E157" s="141" t="str">
        <f t="shared" si="151"/>
        <v/>
      </c>
      <c r="F157" s="141" t="str">
        <f t="shared" si="151"/>
        <v/>
      </c>
      <c r="G157" s="141" t="str">
        <f t="shared" si="151"/>
        <v/>
      </c>
      <c r="H157" s="141" t="str">
        <f t="shared" si="151"/>
        <v/>
      </c>
      <c r="I157" s="141" t="str">
        <f t="shared" si="151"/>
        <v/>
      </c>
      <c r="J157" s="141" t="str">
        <f t="shared" si="151"/>
        <v/>
      </c>
      <c r="K157" s="141" t="str">
        <f t="shared" si="151"/>
        <v/>
      </c>
      <c r="L157" s="141" t="str">
        <f t="shared" si="151"/>
        <v/>
      </c>
      <c r="M157" s="141" t="str">
        <f t="shared" si="151"/>
        <v/>
      </c>
      <c r="N157" s="141" t="str">
        <f t="shared" si="151"/>
        <v/>
      </c>
      <c r="O157" s="141" t="str">
        <f t="shared" si="151"/>
        <v/>
      </c>
      <c r="P157" s="141" t="str">
        <f t="shared" si="151"/>
        <v/>
      </c>
      <c r="Q157" s="141" t="str">
        <f t="shared" si="151"/>
        <v/>
      </c>
      <c r="R157" s="141" t="str">
        <f t="shared" si="151"/>
        <v/>
      </c>
      <c r="S157" s="141" t="str">
        <f t="shared" si="151"/>
        <v/>
      </c>
      <c r="T157" s="141" t="str">
        <f t="shared" si="151"/>
        <v/>
      </c>
      <c r="U157" s="141" t="str">
        <f t="shared" si="151"/>
        <v/>
      </c>
      <c r="V157" s="141" t="str">
        <f t="shared" si="151"/>
        <v/>
      </c>
      <c r="W157" s="141" t="str">
        <f t="shared" si="151"/>
        <v/>
      </c>
      <c r="X157" s="141" t="str">
        <f t="shared" si="151"/>
        <v/>
      </c>
      <c r="Y157" s="141" t="str">
        <f t="shared" si="151"/>
        <v/>
      </c>
      <c r="Z157" s="141" t="str">
        <f t="shared" si="151"/>
        <v/>
      </c>
      <c r="AA157" s="141" t="str">
        <f t="shared" si="151"/>
        <v/>
      </c>
      <c r="AB157" s="141" t="str">
        <f t="shared" si="151"/>
        <v/>
      </c>
      <c r="AC157" s="141" t="str">
        <f t="shared" si="151"/>
        <v/>
      </c>
      <c r="AD157" s="141" t="str">
        <f t="shared" si="151"/>
        <v/>
      </c>
      <c r="AE157" s="141" t="str">
        <f t="shared" si="151"/>
        <v/>
      </c>
      <c r="AF157" s="141" t="str">
        <f t="shared" si="151"/>
        <v/>
      </c>
      <c r="AG157" s="141" t="str">
        <f t="shared" si="151"/>
        <v/>
      </c>
      <c r="AH157" s="154" t="s">
        <v>12</v>
      </c>
      <c r="AI157" s="133"/>
      <c r="AJ157" s="170"/>
      <c r="AK157" s="133"/>
      <c r="AL157" s="133"/>
    </row>
    <row r="158" spans="1:38" ht="15.95" hidden="1" customHeight="1" x14ac:dyDescent="0.25">
      <c r="A158" s="166" t="s">
        <v>128</v>
      </c>
      <c r="B158" s="167" t="s">
        <v>30</v>
      </c>
      <c r="C158" s="141" t="str">
        <f>IF(C19=$R32,$V32*24,IF(C19=$R33,$V33*24,IF(C19=$R34,$V34*24,IF(C19=$R35,$V35*24,IF(C19=$R36,$V36*24,IF(C19=$R37,$V37*24,IF(C19=$R38,$V38*24,IF(C19=$R39,$V39*24,IF(C19=$R40,$V40*24,"")))))))))</f>
        <v/>
      </c>
      <c r="D158" s="141" t="str">
        <f t="shared" ref="D158:AG158" si="152">IF(D19=$R32,$V32*24,IF(D19=$R33,$V33*24,IF(D19=$R34,$V34*24,IF(D19=$R35,$V35*24,IF(D19=$R36,$V36*24,IF(D19=$R37,$V37*24,IF(D19=$R38,$V38*24,IF(D19=$R39,$V39*24,IF(D19=$R40,$V40*24,"")))))))))</f>
        <v/>
      </c>
      <c r="E158" s="141" t="str">
        <f t="shared" si="152"/>
        <v/>
      </c>
      <c r="F158" s="141" t="str">
        <f t="shared" si="152"/>
        <v/>
      </c>
      <c r="G158" s="141" t="str">
        <f t="shared" si="152"/>
        <v/>
      </c>
      <c r="H158" s="141" t="str">
        <f t="shared" si="152"/>
        <v/>
      </c>
      <c r="I158" s="141" t="str">
        <f t="shared" si="152"/>
        <v/>
      </c>
      <c r="J158" s="141" t="str">
        <f t="shared" si="152"/>
        <v/>
      </c>
      <c r="K158" s="141" t="str">
        <f t="shared" si="152"/>
        <v/>
      </c>
      <c r="L158" s="141" t="str">
        <f t="shared" si="152"/>
        <v/>
      </c>
      <c r="M158" s="141" t="str">
        <f t="shared" si="152"/>
        <v/>
      </c>
      <c r="N158" s="141" t="str">
        <f t="shared" si="152"/>
        <v/>
      </c>
      <c r="O158" s="141" t="str">
        <f t="shared" si="152"/>
        <v/>
      </c>
      <c r="P158" s="141" t="str">
        <f t="shared" si="152"/>
        <v/>
      </c>
      <c r="Q158" s="141" t="str">
        <f t="shared" si="152"/>
        <v/>
      </c>
      <c r="R158" s="141" t="str">
        <f t="shared" si="152"/>
        <v/>
      </c>
      <c r="S158" s="141" t="str">
        <f t="shared" si="152"/>
        <v/>
      </c>
      <c r="T158" s="141" t="str">
        <f t="shared" si="152"/>
        <v/>
      </c>
      <c r="U158" s="141" t="str">
        <f t="shared" si="152"/>
        <v/>
      </c>
      <c r="V158" s="141" t="str">
        <f t="shared" si="152"/>
        <v/>
      </c>
      <c r="W158" s="141" t="str">
        <f t="shared" si="152"/>
        <v/>
      </c>
      <c r="X158" s="141" t="str">
        <f t="shared" si="152"/>
        <v/>
      </c>
      <c r="Y158" s="141" t="str">
        <f t="shared" si="152"/>
        <v/>
      </c>
      <c r="Z158" s="141" t="str">
        <f t="shared" si="152"/>
        <v/>
      </c>
      <c r="AA158" s="141" t="str">
        <f t="shared" si="152"/>
        <v/>
      </c>
      <c r="AB158" s="141" t="str">
        <f t="shared" si="152"/>
        <v/>
      </c>
      <c r="AC158" s="141" t="str">
        <f t="shared" si="152"/>
        <v/>
      </c>
      <c r="AD158" s="141" t="str">
        <f t="shared" si="152"/>
        <v/>
      </c>
      <c r="AE158" s="141" t="str">
        <f t="shared" si="152"/>
        <v/>
      </c>
      <c r="AF158" s="141" t="str">
        <f t="shared" si="152"/>
        <v/>
      </c>
      <c r="AG158" s="141" t="str">
        <f t="shared" si="152"/>
        <v/>
      </c>
      <c r="AH158" s="154" t="s">
        <v>12</v>
      </c>
      <c r="AI158" s="133"/>
      <c r="AJ158" s="170"/>
      <c r="AK158" s="133"/>
      <c r="AL158" s="133"/>
    </row>
    <row r="159" spans="1:38" ht="15.95" hidden="1" customHeight="1" x14ac:dyDescent="0.25">
      <c r="A159" s="153"/>
      <c r="B159" s="183" t="s">
        <v>34</v>
      </c>
      <c r="C159" s="169" t="str">
        <f t="shared" ref="C159:AD159" si="153">IF(C19=$R32,$BD32*24,IF(C19=$R33,$BD33*24,IF(C19=$R34,$BD34*24,IF(C19=$R35,$BD35*24,IF(C19=$R36,$BD36*24,IF(C19=$R37,$BD37*24,IF(C19=$R38,$BD38*24,IF(C19=$R39,$BD39*24,IF(C19=$R40,$BD40*24,"")))))))))</f>
        <v/>
      </c>
      <c r="D159" s="169" t="str">
        <f t="shared" si="153"/>
        <v/>
      </c>
      <c r="E159" s="169" t="str">
        <f t="shared" si="153"/>
        <v/>
      </c>
      <c r="F159" s="169" t="str">
        <f t="shared" si="153"/>
        <v/>
      </c>
      <c r="G159" s="169" t="str">
        <f t="shared" si="153"/>
        <v/>
      </c>
      <c r="H159" s="169" t="str">
        <f t="shared" si="153"/>
        <v/>
      </c>
      <c r="I159" s="169" t="str">
        <f t="shared" si="153"/>
        <v/>
      </c>
      <c r="J159" s="169" t="str">
        <f t="shared" si="153"/>
        <v/>
      </c>
      <c r="K159" s="169" t="str">
        <f t="shared" si="153"/>
        <v/>
      </c>
      <c r="L159" s="169" t="str">
        <f t="shared" si="153"/>
        <v/>
      </c>
      <c r="M159" s="169" t="str">
        <f t="shared" si="153"/>
        <v/>
      </c>
      <c r="N159" s="169" t="str">
        <f t="shared" si="153"/>
        <v/>
      </c>
      <c r="O159" s="169" t="str">
        <f t="shared" si="153"/>
        <v/>
      </c>
      <c r="P159" s="169" t="str">
        <f t="shared" si="153"/>
        <v/>
      </c>
      <c r="Q159" s="169" t="str">
        <f t="shared" si="153"/>
        <v/>
      </c>
      <c r="R159" s="169" t="str">
        <f t="shared" si="153"/>
        <v/>
      </c>
      <c r="S159" s="169" t="str">
        <f t="shared" si="153"/>
        <v/>
      </c>
      <c r="T159" s="169" t="str">
        <f t="shared" si="153"/>
        <v/>
      </c>
      <c r="U159" s="169" t="str">
        <f t="shared" si="153"/>
        <v/>
      </c>
      <c r="V159" s="169" t="str">
        <f t="shared" si="153"/>
        <v/>
      </c>
      <c r="W159" s="169" t="str">
        <f t="shared" si="153"/>
        <v/>
      </c>
      <c r="X159" s="169" t="str">
        <f t="shared" si="153"/>
        <v/>
      </c>
      <c r="Y159" s="169" t="str">
        <f t="shared" si="153"/>
        <v/>
      </c>
      <c r="Z159" s="169" t="str">
        <f t="shared" si="153"/>
        <v/>
      </c>
      <c r="AA159" s="169" t="str">
        <f t="shared" si="153"/>
        <v/>
      </c>
      <c r="AB159" s="169" t="str">
        <f t="shared" si="153"/>
        <v/>
      </c>
      <c r="AC159" s="169" t="str">
        <f t="shared" si="153"/>
        <v/>
      </c>
      <c r="AD159" s="169" t="str">
        <f t="shared" si="153"/>
        <v/>
      </c>
      <c r="AE159" s="169" t="str">
        <f>IF(AE19=$R32,$BD32*24,IF(AE19=$R33,$BD33*24,IF(AE19=$R34,$BD34*24,IF(AE19=$R35,$BD35*24,IF(AE19=$R36,$BD36*24,IF(AE19=$R37,$BD37*24,IF(AE19=$R38,$BD38*24,IF(AE19=$R39,$BD39*24,IF(AE19=$R40,$BD40*24,"")))))))))</f>
        <v/>
      </c>
      <c r="AF159" s="169" t="str">
        <f>IF(AF19=$R32,$BD32*24,IF(AF19=$R33,$BD33*24,IF(AF19=$R34,$BD34*24,IF(AF19=$R35,$BD35*24,IF(AF19=$R36,$BD36*24,IF(AF19=$R37,$BD37*24,IF(AF19=$R38,$BD38*24,IF(AF19=$R39,$BD39*24,IF(AF19=$R40,$BD40*24,"")))))))))</f>
        <v/>
      </c>
      <c r="AG159" s="169" t="str">
        <f>IF(AG19=$R32,$BD32*24,IF(AG19=$R33,$BD33*24,IF(AG19=$R34,$BD34*24,IF(AG19=$R35,$BD35*24,IF(AG19=$R36,$BD36*24,IF(AG19=$R37,$BD37*24,IF(AG19=$R38,$BD38*24,IF(AG19=$R39,$BD39*24,IF(AG19=$R40,$BD40*24,"")))))))))</f>
        <v/>
      </c>
      <c r="AH159" s="148">
        <f>SUM(C159:AG159)</f>
        <v>0</v>
      </c>
      <c r="AI159" s="133"/>
      <c r="AJ159" s="170"/>
      <c r="AK159" s="133"/>
      <c r="AL159" s="133"/>
    </row>
    <row r="160" spans="1:38" ht="15.95" hidden="1" customHeight="1" x14ac:dyDescent="0.25">
      <c r="A160" s="153"/>
      <c r="B160" s="167" t="s">
        <v>59</v>
      </c>
      <c r="C160" s="141">
        <f>IF(C19="V",$C36,IF(C19="PR",$C38,0))</f>
        <v>0</v>
      </c>
      <c r="D160" s="141">
        <f t="shared" ref="D160:AG160" si="154">IF(D19="V",$C36,IF(D19="PR",$C38,0))</f>
        <v>0</v>
      </c>
      <c r="E160" s="141">
        <f t="shared" si="154"/>
        <v>0</v>
      </c>
      <c r="F160" s="141">
        <f t="shared" si="154"/>
        <v>0</v>
      </c>
      <c r="G160" s="141">
        <f t="shared" si="154"/>
        <v>0</v>
      </c>
      <c r="H160" s="141">
        <f t="shared" si="154"/>
        <v>0</v>
      </c>
      <c r="I160" s="141">
        <f t="shared" si="154"/>
        <v>0</v>
      </c>
      <c r="J160" s="141">
        <f t="shared" si="154"/>
        <v>0</v>
      </c>
      <c r="K160" s="141">
        <f t="shared" si="154"/>
        <v>0</v>
      </c>
      <c r="L160" s="141">
        <f t="shared" si="154"/>
        <v>0</v>
      </c>
      <c r="M160" s="141">
        <f t="shared" si="154"/>
        <v>0</v>
      </c>
      <c r="N160" s="141">
        <f t="shared" si="154"/>
        <v>0</v>
      </c>
      <c r="O160" s="141">
        <f t="shared" si="154"/>
        <v>0</v>
      </c>
      <c r="P160" s="141">
        <f t="shared" si="154"/>
        <v>0</v>
      </c>
      <c r="Q160" s="141">
        <f t="shared" si="154"/>
        <v>0</v>
      </c>
      <c r="R160" s="141">
        <f t="shared" si="154"/>
        <v>0</v>
      </c>
      <c r="S160" s="141">
        <f t="shared" si="154"/>
        <v>0</v>
      </c>
      <c r="T160" s="141">
        <f t="shared" si="154"/>
        <v>0</v>
      </c>
      <c r="U160" s="141">
        <f t="shared" si="154"/>
        <v>0</v>
      </c>
      <c r="V160" s="141">
        <f t="shared" si="154"/>
        <v>0</v>
      </c>
      <c r="W160" s="141">
        <f t="shared" si="154"/>
        <v>0</v>
      </c>
      <c r="X160" s="141">
        <f t="shared" si="154"/>
        <v>0</v>
      </c>
      <c r="Y160" s="141">
        <f t="shared" si="154"/>
        <v>0</v>
      </c>
      <c r="Z160" s="141">
        <f t="shared" si="154"/>
        <v>0</v>
      </c>
      <c r="AA160" s="141">
        <f t="shared" si="154"/>
        <v>0</v>
      </c>
      <c r="AB160" s="141">
        <f t="shared" si="154"/>
        <v>0</v>
      </c>
      <c r="AC160" s="141">
        <f t="shared" si="154"/>
        <v>0</v>
      </c>
      <c r="AD160" s="141">
        <f t="shared" si="154"/>
        <v>0</v>
      </c>
      <c r="AE160" s="141">
        <f t="shared" si="154"/>
        <v>0</v>
      </c>
      <c r="AF160" s="141">
        <f t="shared" si="154"/>
        <v>0</v>
      </c>
      <c r="AG160" s="141">
        <f t="shared" si="154"/>
        <v>0</v>
      </c>
      <c r="AH160" s="226">
        <f>SUM(C160:AG160)</f>
        <v>0</v>
      </c>
      <c r="AI160" s="226"/>
      <c r="AJ160" s="230">
        <f>SUM(AH105+AH116+AH127+AH138+AH149+AH160)</f>
        <v>0</v>
      </c>
      <c r="AK160" s="230"/>
      <c r="AL160" s="133" t="s">
        <v>56</v>
      </c>
    </row>
    <row r="161" spans="1:38" ht="15.95" hidden="1" customHeight="1" x14ac:dyDescent="0.25">
      <c r="A161" s="150" t="s">
        <v>60</v>
      </c>
      <c r="B161" s="167" t="s">
        <v>61</v>
      </c>
      <c r="C161" s="151">
        <f t="shared" ref="C161:AD161" si="155">IF(C19=$R32,$BC32,IF(C19=$R33,$BC33,IF(C19=$R34,$BC34,IF(C19=$R35,$BC35,IF(C19=$R36,$BC36,IF(C19=$R37,$BC37,IF(C19=$R38,$BC38,IF(C19=$R39,$BC39,IF(C19=$R40,$BC40,0)))))))))</f>
        <v>0</v>
      </c>
      <c r="D161" s="151">
        <f t="shared" si="155"/>
        <v>0</v>
      </c>
      <c r="E161" s="151">
        <f t="shared" si="155"/>
        <v>0</v>
      </c>
      <c r="F161" s="151">
        <f t="shared" si="155"/>
        <v>0</v>
      </c>
      <c r="G161" s="151">
        <f t="shared" si="155"/>
        <v>0</v>
      </c>
      <c r="H161" s="151">
        <f t="shared" si="155"/>
        <v>0</v>
      </c>
      <c r="I161" s="151">
        <f t="shared" si="155"/>
        <v>0</v>
      </c>
      <c r="J161" s="151">
        <f t="shared" si="155"/>
        <v>0</v>
      </c>
      <c r="K161" s="151">
        <f t="shared" si="155"/>
        <v>0</v>
      </c>
      <c r="L161" s="151">
        <f t="shared" si="155"/>
        <v>0</v>
      </c>
      <c r="M161" s="151">
        <f t="shared" si="155"/>
        <v>0</v>
      </c>
      <c r="N161" s="151">
        <f t="shared" si="155"/>
        <v>0</v>
      </c>
      <c r="O161" s="151">
        <f t="shared" si="155"/>
        <v>0</v>
      </c>
      <c r="P161" s="151">
        <f t="shared" si="155"/>
        <v>0</v>
      </c>
      <c r="Q161" s="151">
        <f t="shared" si="155"/>
        <v>0</v>
      </c>
      <c r="R161" s="151">
        <f t="shared" si="155"/>
        <v>0</v>
      </c>
      <c r="S161" s="151">
        <f t="shared" si="155"/>
        <v>0</v>
      </c>
      <c r="T161" s="151">
        <f t="shared" si="155"/>
        <v>0</v>
      </c>
      <c r="U161" s="151">
        <f t="shared" si="155"/>
        <v>0</v>
      </c>
      <c r="V161" s="151">
        <f t="shared" si="155"/>
        <v>0</v>
      </c>
      <c r="W161" s="151">
        <f t="shared" si="155"/>
        <v>0</v>
      </c>
      <c r="X161" s="151">
        <f t="shared" si="155"/>
        <v>0</v>
      </c>
      <c r="Y161" s="151">
        <f t="shared" si="155"/>
        <v>0</v>
      </c>
      <c r="Z161" s="151">
        <f t="shared" si="155"/>
        <v>0</v>
      </c>
      <c r="AA161" s="151">
        <f t="shared" si="155"/>
        <v>0</v>
      </c>
      <c r="AB161" s="151">
        <f t="shared" si="155"/>
        <v>0</v>
      </c>
      <c r="AC161" s="151">
        <f t="shared" si="155"/>
        <v>0</v>
      </c>
      <c r="AD161" s="151">
        <f t="shared" si="155"/>
        <v>0</v>
      </c>
      <c r="AE161" s="151">
        <f>IF(AE19=$R32,$BC32,IF(AE19=$R33,$BC33,IF(AE19=$R34,$BC34,IF(AE19=$R35,$BC35,IF(AE19=$R36,$BC36,IF(AE19=$R37,$BC37,IF(AE19=$R38,$BC38,IF(AE19=$R39,$BC39,IF(AE19=$R40,$BC40,0)))))))))</f>
        <v>0</v>
      </c>
      <c r="AF161" s="151">
        <f>IF(AF19=$R32,$BC32,IF(AF19=$R33,$BC33,IF(AF19=$R34,$BC34,IF(AF19=$R35,$BC35,IF(AF19=$R36,$BC36,IF(AF19=$R37,$BC37,IF(AF19=$R38,$BC38,IF(AF19=$R39,$BC39,IF(AF19=$R40,$BC40,0)))))))))</f>
        <v>0</v>
      </c>
      <c r="AG161" s="151">
        <f>IF(AG19=$R32,$BC32,IF(AG19=$R33,$BC33,IF(AG19=$R34,$BC34,IF(AG19=$R35,$BC35,IF(AG19=$R36,$BC36,IF(AG19=$R37,$BC37,IF(AG19=$R38,$BC38,IF(AG19=$R39,$BC39,IF(AG19=$R40,$BC40,0)))))))))</f>
        <v>0</v>
      </c>
      <c r="AH161" s="226">
        <f>SUM(C161:AG161)</f>
        <v>0</v>
      </c>
      <c r="AI161" s="226"/>
      <c r="AJ161" s="174" t="s">
        <v>62</v>
      </c>
      <c r="AK161" s="133" t="s">
        <v>12</v>
      </c>
      <c r="AL161" s="133"/>
    </row>
    <row r="162" spans="1:38" ht="15.95" hidden="1" customHeight="1" x14ac:dyDescent="0.25">
      <c r="A162" s="153" t="s">
        <v>48</v>
      </c>
      <c r="B162" s="149" t="s">
        <v>63</v>
      </c>
      <c r="C162" s="141" t="b">
        <f>IF(C46=1,IF(C157&lt;C158,C161,0))</f>
        <v>0</v>
      </c>
      <c r="D162" s="141" t="b">
        <f t="shared" ref="D162:AG162" si="156">IF(D46=1,IF(D157&lt;D158,D161,0))</f>
        <v>0</v>
      </c>
      <c r="E162" s="141" t="b">
        <f t="shared" si="156"/>
        <v>0</v>
      </c>
      <c r="F162" s="141" t="b">
        <f t="shared" si="156"/>
        <v>0</v>
      </c>
      <c r="G162" s="141" t="b">
        <f t="shared" si="156"/>
        <v>0</v>
      </c>
      <c r="H162" s="141">
        <f t="shared" si="156"/>
        <v>0</v>
      </c>
      <c r="I162" s="141">
        <f t="shared" si="156"/>
        <v>0</v>
      </c>
      <c r="J162" s="141" t="b">
        <f t="shared" si="156"/>
        <v>0</v>
      </c>
      <c r="K162" s="141" t="b">
        <f t="shared" si="156"/>
        <v>0</v>
      </c>
      <c r="L162" s="141" t="b">
        <f t="shared" si="156"/>
        <v>0</v>
      </c>
      <c r="M162" s="141" t="b">
        <f t="shared" si="156"/>
        <v>0</v>
      </c>
      <c r="N162" s="141" t="b">
        <f t="shared" si="156"/>
        <v>0</v>
      </c>
      <c r="O162" s="141">
        <f t="shared" si="156"/>
        <v>0</v>
      </c>
      <c r="P162" s="141">
        <f t="shared" si="156"/>
        <v>0</v>
      </c>
      <c r="Q162" s="141" t="b">
        <f t="shared" si="156"/>
        <v>0</v>
      </c>
      <c r="R162" s="141" t="b">
        <f t="shared" si="156"/>
        <v>0</v>
      </c>
      <c r="S162" s="141" t="b">
        <f t="shared" si="156"/>
        <v>0</v>
      </c>
      <c r="T162" s="141" t="b">
        <f t="shared" si="156"/>
        <v>0</v>
      </c>
      <c r="U162" s="141" t="b">
        <f t="shared" si="156"/>
        <v>0</v>
      </c>
      <c r="V162" s="141">
        <f t="shared" si="156"/>
        <v>0</v>
      </c>
      <c r="W162" s="141">
        <f t="shared" si="156"/>
        <v>0</v>
      </c>
      <c r="X162" s="141" t="b">
        <f t="shared" si="156"/>
        <v>0</v>
      </c>
      <c r="Y162" s="141" t="b">
        <f t="shared" si="156"/>
        <v>0</v>
      </c>
      <c r="Z162" s="141" t="b">
        <f t="shared" si="156"/>
        <v>0</v>
      </c>
      <c r="AA162" s="141" t="b">
        <f t="shared" si="156"/>
        <v>0</v>
      </c>
      <c r="AB162" s="141" t="b">
        <f t="shared" si="156"/>
        <v>0</v>
      </c>
      <c r="AC162" s="141">
        <f t="shared" si="156"/>
        <v>0</v>
      </c>
      <c r="AD162" s="141">
        <f t="shared" si="156"/>
        <v>0</v>
      </c>
      <c r="AE162" s="141" t="b">
        <f t="shared" si="156"/>
        <v>0</v>
      </c>
      <c r="AF162" s="141" t="b">
        <f t="shared" si="156"/>
        <v>0</v>
      </c>
      <c r="AG162" s="141" t="b">
        <f t="shared" si="156"/>
        <v>0</v>
      </c>
      <c r="AH162" s="154" t="s">
        <v>12</v>
      </c>
      <c r="AI162" s="133"/>
      <c r="AJ162" s="170"/>
      <c r="AK162" s="133"/>
      <c r="AL162" s="133"/>
    </row>
    <row r="163" spans="1:38" ht="15.95" hidden="1" customHeight="1" x14ac:dyDescent="0.25">
      <c r="A163" s="176"/>
      <c r="B163" s="149" t="s">
        <v>64</v>
      </c>
      <c r="C163" s="141">
        <f>IF(C46=1,IF(C157&gt;C158,24-C157,0),0)</f>
        <v>0</v>
      </c>
      <c r="D163" s="141">
        <f t="shared" ref="D163:AG163" si="157">IF(D46=1,IF(D157&gt;D158,24-D157,0),0)</f>
        <v>0</v>
      </c>
      <c r="E163" s="141">
        <f t="shared" si="157"/>
        <v>0</v>
      </c>
      <c r="F163" s="141">
        <f t="shared" si="157"/>
        <v>0</v>
      </c>
      <c r="G163" s="141">
        <f t="shared" si="157"/>
        <v>0</v>
      </c>
      <c r="H163" s="141">
        <f t="shared" si="157"/>
        <v>0</v>
      </c>
      <c r="I163" s="141">
        <f t="shared" si="157"/>
        <v>0</v>
      </c>
      <c r="J163" s="141">
        <f t="shared" si="157"/>
        <v>0</v>
      </c>
      <c r="K163" s="141">
        <f t="shared" si="157"/>
        <v>0</v>
      </c>
      <c r="L163" s="141">
        <f t="shared" si="157"/>
        <v>0</v>
      </c>
      <c r="M163" s="141">
        <f t="shared" si="157"/>
        <v>0</v>
      </c>
      <c r="N163" s="141">
        <f t="shared" si="157"/>
        <v>0</v>
      </c>
      <c r="O163" s="141">
        <f t="shared" si="157"/>
        <v>0</v>
      </c>
      <c r="P163" s="141">
        <f t="shared" si="157"/>
        <v>0</v>
      </c>
      <c r="Q163" s="141">
        <f t="shared" si="157"/>
        <v>0</v>
      </c>
      <c r="R163" s="141">
        <f t="shared" si="157"/>
        <v>0</v>
      </c>
      <c r="S163" s="141">
        <f t="shared" si="157"/>
        <v>0</v>
      </c>
      <c r="T163" s="141">
        <f t="shared" si="157"/>
        <v>0</v>
      </c>
      <c r="U163" s="141">
        <f t="shared" si="157"/>
        <v>0</v>
      </c>
      <c r="V163" s="141">
        <f t="shared" si="157"/>
        <v>0</v>
      </c>
      <c r="W163" s="141">
        <f t="shared" si="157"/>
        <v>0</v>
      </c>
      <c r="X163" s="141">
        <f t="shared" si="157"/>
        <v>0</v>
      </c>
      <c r="Y163" s="141">
        <f t="shared" si="157"/>
        <v>0</v>
      </c>
      <c r="Z163" s="141">
        <f t="shared" si="157"/>
        <v>0</v>
      </c>
      <c r="AA163" s="141">
        <f t="shared" si="157"/>
        <v>0</v>
      </c>
      <c r="AB163" s="141">
        <f t="shared" si="157"/>
        <v>0</v>
      </c>
      <c r="AC163" s="141">
        <f t="shared" si="157"/>
        <v>0</v>
      </c>
      <c r="AD163" s="141">
        <f t="shared" si="157"/>
        <v>0</v>
      </c>
      <c r="AE163" s="141">
        <f t="shared" si="157"/>
        <v>0</v>
      </c>
      <c r="AF163" s="141">
        <f t="shared" si="157"/>
        <v>0</v>
      </c>
      <c r="AG163" s="141">
        <f t="shared" si="157"/>
        <v>0</v>
      </c>
      <c r="AH163" s="154" t="s">
        <v>12</v>
      </c>
      <c r="AI163" s="133"/>
      <c r="AJ163" s="170"/>
      <c r="AK163" s="133"/>
      <c r="AL163" s="133"/>
    </row>
    <row r="164" spans="1:38" ht="15.95" hidden="1" customHeight="1" x14ac:dyDescent="0.25">
      <c r="A164" s="176"/>
      <c r="B164" s="149" t="s">
        <v>65</v>
      </c>
      <c r="C164" s="141">
        <f>IF(C46=1,IF(C157&gt;C158,C158,0),0)</f>
        <v>0</v>
      </c>
      <c r="D164" s="141">
        <f t="shared" ref="D164:AG164" si="158">IF(D46=1,IF(D157&gt;D158,D158,0),0)</f>
        <v>0</v>
      </c>
      <c r="E164" s="141">
        <f t="shared" si="158"/>
        <v>0</v>
      </c>
      <c r="F164" s="141">
        <f t="shared" si="158"/>
        <v>0</v>
      </c>
      <c r="G164" s="141">
        <f t="shared" si="158"/>
        <v>0</v>
      </c>
      <c r="H164" s="141">
        <f t="shared" si="158"/>
        <v>0</v>
      </c>
      <c r="I164" s="141">
        <f t="shared" si="158"/>
        <v>0</v>
      </c>
      <c r="J164" s="141">
        <f t="shared" si="158"/>
        <v>0</v>
      </c>
      <c r="K164" s="141">
        <f t="shared" si="158"/>
        <v>0</v>
      </c>
      <c r="L164" s="141">
        <f t="shared" si="158"/>
        <v>0</v>
      </c>
      <c r="M164" s="141">
        <f t="shared" si="158"/>
        <v>0</v>
      </c>
      <c r="N164" s="141">
        <f t="shared" si="158"/>
        <v>0</v>
      </c>
      <c r="O164" s="141">
        <f t="shared" si="158"/>
        <v>0</v>
      </c>
      <c r="P164" s="141">
        <f t="shared" si="158"/>
        <v>0</v>
      </c>
      <c r="Q164" s="141">
        <f t="shared" si="158"/>
        <v>0</v>
      </c>
      <c r="R164" s="141">
        <f t="shared" si="158"/>
        <v>0</v>
      </c>
      <c r="S164" s="141">
        <f t="shared" si="158"/>
        <v>0</v>
      </c>
      <c r="T164" s="141">
        <f t="shared" si="158"/>
        <v>0</v>
      </c>
      <c r="U164" s="141">
        <f t="shared" si="158"/>
        <v>0</v>
      </c>
      <c r="V164" s="141">
        <f t="shared" si="158"/>
        <v>0</v>
      </c>
      <c r="W164" s="141">
        <f t="shared" si="158"/>
        <v>0</v>
      </c>
      <c r="X164" s="141">
        <f t="shared" si="158"/>
        <v>0</v>
      </c>
      <c r="Y164" s="141">
        <f t="shared" si="158"/>
        <v>0</v>
      </c>
      <c r="Z164" s="141">
        <f t="shared" si="158"/>
        <v>0</v>
      </c>
      <c r="AA164" s="141">
        <f t="shared" si="158"/>
        <v>0</v>
      </c>
      <c r="AB164" s="141">
        <f t="shared" si="158"/>
        <v>0</v>
      </c>
      <c r="AC164" s="141">
        <f t="shared" si="158"/>
        <v>0</v>
      </c>
      <c r="AD164" s="141">
        <f t="shared" si="158"/>
        <v>0</v>
      </c>
      <c r="AE164" s="141">
        <f t="shared" si="158"/>
        <v>0</v>
      </c>
      <c r="AF164" s="141">
        <f t="shared" si="158"/>
        <v>0</v>
      </c>
      <c r="AG164" s="141">
        <f t="shared" si="158"/>
        <v>0</v>
      </c>
      <c r="AH164" s="154" t="s">
        <v>12</v>
      </c>
      <c r="AI164" s="133"/>
      <c r="AJ164" s="170"/>
      <c r="AK164" s="133"/>
      <c r="AL164" s="133"/>
    </row>
    <row r="165" spans="1:38" ht="15.95" hidden="1" customHeight="1" x14ac:dyDescent="0.25">
      <c r="A165" s="176"/>
      <c r="B165" s="149" t="s">
        <v>67</v>
      </c>
      <c r="C165" s="171">
        <f t="shared" ref="C165:AG165" si="159">SUM(C162:C164)</f>
        <v>0</v>
      </c>
      <c r="D165" s="171">
        <f t="shared" si="159"/>
        <v>0</v>
      </c>
      <c r="E165" s="171">
        <f t="shared" si="159"/>
        <v>0</v>
      </c>
      <c r="F165" s="171">
        <f t="shared" si="159"/>
        <v>0</v>
      </c>
      <c r="G165" s="171">
        <f t="shared" si="159"/>
        <v>0</v>
      </c>
      <c r="H165" s="171">
        <f t="shared" si="159"/>
        <v>0</v>
      </c>
      <c r="I165" s="171">
        <f t="shared" si="159"/>
        <v>0</v>
      </c>
      <c r="J165" s="171">
        <f t="shared" si="159"/>
        <v>0</v>
      </c>
      <c r="K165" s="171">
        <f t="shared" si="159"/>
        <v>0</v>
      </c>
      <c r="L165" s="171">
        <f t="shared" si="159"/>
        <v>0</v>
      </c>
      <c r="M165" s="171">
        <f t="shared" si="159"/>
        <v>0</v>
      </c>
      <c r="N165" s="171">
        <f t="shared" si="159"/>
        <v>0</v>
      </c>
      <c r="O165" s="171">
        <f t="shared" si="159"/>
        <v>0</v>
      </c>
      <c r="P165" s="171">
        <f t="shared" si="159"/>
        <v>0</v>
      </c>
      <c r="Q165" s="171">
        <f t="shared" si="159"/>
        <v>0</v>
      </c>
      <c r="R165" s="171">
        <f t="shared" si="159"/>
        <v>0</v>
      </c>
      <c r="S165" s="171">
        <f t="shared" si="159"/>
        <v>0</v>
      </c>
      <c r="T165" s="171">
        <f t="shared" si="159"/>
        <v>0</v>
      </c>
      <c r="U165" s="171">
        <f t="shared" si="159"/>
        <v>0</v>
      </c>
      <c r="V165" s="171">
        <f t="shared" si="159"/>
        <v>0</v>
      </c>
      <c r="W165" s="171">
        <f t="shared" si="159"/>
        <v>0</v>
      </c>
      <c r="X165" s="171">
        <f t="shared" si="159"/>
        <v>0</v>
      </c>
      <c r="Y165" s="171">
        <f t="shared" si="159"/>
        <v>0</v>
      </c>
      <c r="Z165" s="171">
        <f t="shared" si="159"/>
        <v>0</v>
      </c>
      <c r="AA165" s="171">
        <f t="shared" si="159"/>
        <v>0</v>
      </c>
      <c r="AB165" s="171">
        <f t="shared" si="159"/>
        <v>0</v>
      </c>
      <c r="AC165" s="171">
        <f t="shared" si="159"/>
        <v>0</v>
      </c>
      <c r="AD165" s="171">
        <f t="shared" si="159"/>
        <v>0</v>
      </c>
      <c r="AE165" s="171">
        <f t="shared" si="159"/>
        <v>0</v>
      </c>
      <c r="AF165" s="171">
        <f t="shared" si="159"/>
        <v>0</v>
      </c>
      <c r="AG165" s="171">
        <f t="shared" si="159"/>
        <v>0</v>
      </c>
      <c r="AH165" s="154" t="s">
        <v>12</v>
      </c>
      <c r="AI165" s="133"/>
      <c r="AJ165" s="170"/>
      <c r="AK165" s="133"/>
      <c r="AL165" s="133"/>
    </row>
    <row r="166" spans="1:38" ht="15.95" hidden="1" customHeight="1" x14ac:dyDescent="0.25">
      <c r="A166" s="177"/>
      <c r="B166" s="160" t="s">
        <v>68</v>
      </c>
      <c r="C166" s="161">
        <f>IF(C19="V",IF(C19="",0,1),0)</f>
        <v>0</v>
      </c>
      <c r="D166" s="161">
        <f t="shared" ref="D166:AG166" si="160">IF(D19="V",IF(D19="",0,1),0)</f>
        <v>0</v>
      </c>
      <c r="E166" s="161">
        <f t="shared" si="160"/>
        <v>0</v>
      </c>
      <c r="F166" s="161">
        <f t="shared" si="160"/>
        <v>0</v>
      </c>
      <c r="G166" s="161">
        <f t="shared" si="160"/>
        <v>0</v>
      </c>
      <c r="H166" s="161">
        <f t="shared" si="160"/>
        <v>0</v>
      </c>
      <c r="I166" s="161">
        <f t="shared" si="160"/>
        <v>0</v>
      </c>
      <c r="J166" s="161">
        <f t="shared" si="160"/>
        <v>0</v>
      </c>
      <c r="K166" s="161">
        <f t="shared" si="160"/>
        <v>0</v>
      </c>
      <c r="L166" s="161">
        <f t="shared" si="160"/>
        <v>0</v>
      </c>
      <c r="M166" s="161">
        <f t="shared" si="160"/>
        <v>0</v>
      </c>
      <c r="N166" s="161">
        <f t="shared" si="160"/>
        <v>0</v>
      </c>
      <c r="O166" s="161">
        <f t="shared" si="160"/>
        <v>0</v>
      </c>
      <c r="P166" s="161">
        <f t="shared" si="160"/>
        <v>0</v>
      </c>
      <c r="Q166" s="161">
        <f t="shared" si="160"/>
        <v>0</v>
      </c>
      <c r="R166" s="161">
        <f t="shared" si="160"/>
        <v>0</v>
      </c>
      <c r="S166" s="161">
        <f t="shared" si="160"/>
        <v>0</v>
      </c>
      <c r="T166" s="161">
        <f t="shared" si="160"/>
        <v>0</v>
      </c>
      <c r="U166" s="161">
        <f t="shared" si="160"/>
        <v>0</v>
      </c>
      <c r="V166" s="161">
        <f t="shared" si="160"/>
        <v>0</v>
      </c>
      <c r="W166" s="161">
        <f t="shared" si="160"/>
        <v>0</v>
      </c>
      <c r="X166" s="161">
        <f t="shared" si="160"/>
        <v>0</v>
      </c>
      <c r="Y166" s="161">
        <f t="shared" si="160"/>
        <v>0</v>
      </c>
      <c r="Z166" s="161">
        <f t="shared" si="160"/>
        <v>0</v>
      </c>
      <c r="AA166" s="161">
        <f t="shared" si="160"/>
        <v>0</v>
      </c>
      <c r="AB166" s="161">
        <f t="shared" si="160"/>
        <v>0</v>
      </c>
      <c r="AC166" s="161">
        <f t="shared" si="160"/>
        <v>0</v>
      </c>
      <c r="AD166" s="161">
        <f t="shared" si="160"/>
        <v>0</v>
      </c>
      <c r="AE166" s="161">
        <f t="shared" si="160"/>
        <v>0</v>
      </c>
      <c r="AF166" s="161">
        <f t="shared" si="160"/>
        <v>0</v>
      </c>
      <c r="AG166" s="161">
        <f t="shared" si="160"/>
        <v>0</v>
      </c>
      <c r="AH166" s="154" t="s">
        <v>12</v>
      </c>
      <c r="AI166" s="133"/>
      <c r="AJ166" s="170"/>
      <c r="AK166" s="133"/>
      <c r="AL166" s="133"/>
    </row>
    <row r="167" spans="1:38" ht="15.95" hidden="1" customHeight="1" x14ac:dyDescent="0.25">
      <c r="A167" s="180"/>
      <c r="B167" s="181" t="s">
        <v>16</v>
      </c>
      <c r="C167" s="182">
        <f>IF(C19="PR",IF(C19="",0,1),0)</f>
        <v>0</v>
      </c>
      <c r="D167" s="182">
        <f t="shared" ref="D167:AG167" si="161">IF(D19="PR",IF(D19="",0,1),0)</f>
        <v>0</v>
      </c>
      <c r="E167" s="182">
        <f t="shared" si="161"/>
        <v>0</v>
      </c>
      <c r="F167" s="182">
        <f t="shared" si="161"/>
        <v>0</v>
      </c>
      <c r="G167" s="182">
        <f t="shared" si="161"/>
        <v>0</v>
      </c>
      <c r="H167" s="182">
        <f t="shared" si="161"/>
        <v>0</v>
      </c>
      <c r="I167" s="182">
        <f t="shared" si="161"/>
        <v>0</v>
      </c>
      <c r="J167" s="182">
        <f t="shared" si="161"/>
        <v>0</v>
      </c>
      <c r="K167" s="182">
        <f t="shared" si="161"/>
        <v>0</v>
      </c>
      <c r="L167" s="182">
        <f t="shared" si="161"/>
        <v>0</v>
      </c>
      <c r="M167" s="182">
        <f t="shared" si="161"/>
        <v>0</v>
      </c>
      <c r="N167" s="182">
        <f t="shared" si="161"/>
        <v>0</v>
      </c>
      <c r="O167" s="182">
        <f t="shared" si="161"/>
        <v>0</v>
      </c>
      <c r="P167" s="182">
        <f t="shared" si="161"/>
        <v>0</v>
      </c>
      <c r="Q167" s="182">
        <f t="shared" si="161"/>
        <v>0</v>
      </c>
      <c r="R167" s="182">
        <f t="shared" si="161"/>
        <v>0</v>
      </c>
      <c r="S167" s="182">
        <f t="shared" si="161"/>
        <v>0</v>
      </c>
      <c r="T167" s="182">
        <f t="shared" si="161"/>
        <v>0</v>
      </c>
      <c r="U167" s="182">
        <f t="shared" si="161"/>
        <v>0</v>
      </c>
      <c r="V167" s="182">
        <f t="shared" si="161"/>
        <v>0</v>
      </c>
      <c r="W167" s="182">
        <f t="shared" si="161"/>
        <v>0</v>
      </c>
      <c r="X167" s="182">
        <f t="shared" si="161"/>
        <v>0</v>
      </c>
      <c r="Y167" s="182">
        <f t="shared" si="161"/>
        <v>0</v>
      </c>
      <c r="Z167" s="182">
        <f t="shared" si="161"/>
        <v>0</v>
      </c>
      <c r="AA167" s="182">
        <f t="shared" si="161"/>
        <v>0</v>
      </c>
      <c r="AB167" s="182">
        <f t="shared" si="161"/>
        <v>0</v>
      </c>
      <c r="AC167" s="182">
        <f t="shared" si="161"/>
        <v>0</v>
      </c>
      <c r="AD167" s="182">
        <f t="shared" si="161"/>
        <v>0</v>
      </c>
      <c r="AE167" s="182">
        <f t="shared" si="161"/>
        <v>0</v>
      </c>
      <c r="AF167" s="182">
        <f t="shared" si="161"/>
        <v>0</v>
      </c>
      <c r="AG167" s="182">
        <f t="shared" si="161"/>
        <v>0</v>
      </c>
      <c r="AH167" s="227">
        <f>SUM(C167:AG167)</f>
        <v>0</v>
      </c>
      <c r="AI167" s="227"/>
      <c r="AJ167" s="174" t="s">
        <v>69</v>
      </c>
      <c r="AK167" s="133"/>
      <c r="AL167" s="133"/>
    </row>
    <row r="168" spans="1:38" ht="15.95" hidden="1" customHeight="1" x14ac:dyDescent="0.25">
      <c r="A168" s="164" t="s">
        <v>127</v>
      </c>
      <c r="B168" s="165" t="s">
        <v>29</v>
      </c>
      <c r="C168" s="141" t="str">
        <f>IF(C20=$R32,$S32*24,IF(C20=$R33,$S33*24,IF(C20=$R34,$S34*24,IF(C20=$R35,$S35*24,IF(C20=$R36,$S36*24,IF(C20=$R37,$S37*24,IF(C20=$R38,$S38*24,IF(C20=$R39,$S39*24,IF(C20=$R40,$S40*24,"")))))))))</f>
        <v/>
      </c>
      <c r="D168" s="141" t="str">
        <f t="shared" ref="D168:AG168" si="162">IF(D20=$R32,$S32*24,IF(D20=$R33,$S33*24,IF(D20=$R34,$S34*24,IF(D20=$R35,$S35*24,IF(D20=$R36,$S36*24,IF(D20=$R37,$S37*24,IF(D20=$R38,$S38*24,IF(D20=$R39,$S39*24,IF(D20=$R40,$S40*24,"")))))))))</f>
        <v/>
      </c>
      <c r="E168" s="141" t="str">
        <f t="shared" si="162"/>
        <v/>
      </c>
      <c r="F168" s="141" t="str">
        <f t="shared" si="162"/>
        <v/>
      </c>
      <c r="G168" s="141" t="str">
        <f t="shared" si="162"/>
        <v/>
      </c>
      <c r="H168" s="141" t="str">
        <f t="shared" si="162"/>
        <v/>
      </c>
      <c r="I168" s="141" t="str">
        <f t="shared" si="162"/>
        <v/>
      </c>
      <c r="J168" s="141" t="str">
        <f t="shared" si="162"/>
        <v/>
      </c>
      <c r="K168" s="141" t="str">
        <f t="shared" si="162"/>
        <v/>
      </c>
      <c r="L168" s="141" t="str">
        <f t="shared" si="162"/>
        <v/>
      </c>
      <c r="M168" s="141" t="str">
        <f t="shared" si="162"/>
        <v/>
      </c>
      <c r="N168" s="141" t="str">
        <f t="shared" si="162"/>
        <v/>
      </c>
      <c r="O168" s="141" t="str">
        <f t="shared" si="162"/>
        <v/>
      </c>
      <c r="P168" s="141" t="str">
        <f t="shared" si="162"/>
        <v/>
      </c>
      <c r="Q168" s="141" t="str">
        <f t="shared" si="162"/>
        <v/>
      </c>
      <c r="R168" s="141" t="str">
        <f t="shared" si="162"/>
        <v/>
      </c>
      <c r="S168" s="141" t="str">
        <f t="shared" si="162"/>
        <v/>
      </c>
      <c r="T168" s="141" t="str">
        <f t="shared" si="162"/>
        <v/>
      </c>
      <c r="U168" s="141" t="str">
        <f t="shared" si="162"/>
        <v/>
      </c>
      <c r="V168" s="141" t="str">
        <f t="shared" si="162"/>
        <v/>
      </c>
      <c r="W168" s="141" t="str">
        <f t="shared" si="162"/>
        <v/>
      </c>
      <c r="X168" s="141" t="str">
        <f t="shared" si="162"/>
        <v/>
      </c>
      <c r="Y168" s="141" t="str">
        <f t="shared" si="162"/>
        <v/>
      </c>
      <c r="Z168" s="141" t="str">
        <f t="shared" si="162"/>
        <v/>
      </c>
      <c r="AA168" s="141" t="str">
        <f t="shared" si="162"/>
        <v/>
      </c>
      <c r="AB168" s="141" t="str">
        <f t="shared" si="162"/>
        <v/>
      </c>
      <c r="AC168" s="141" t="str">
        <f t="shared" si="162"/>
        <v/>
      </c>
      <c r="AD168" s="141" t="str">
        <f t="shared" si="162"/>
        <v/>
      </c>
      <c r="AE168" s="141" t="str">
        <f t="shared" si="162"/>
        <v/>
      </c>
      <c r="AF168" s="141" t="str">
        <f t="shared" si="162"/>
        <v/>
      </c>
      <c r="AG168" s="141" t="str">
        <f t="shared" si="162"/>
        <v/>
      </c>
      <c r="AH168" s="154" t="s">
        <v>12</v>
      </c>
      <c r="AI168" s="133"/>
      <c r="AJ168" s="170"/>
      <c r="AK168" s="133"/>
      <c r="AL168" s="133"/>
    </row>
    <row r="169" spans="1:38" ht="15.95" hidden="1" customHeight="1" x14ac:dyDescent="0.25">
      <c r="A169" s="166" t="s">
        <v>129</v>
      </c>
      <c r="B169" s="167" t="s">
        <v>30</v>
      </c>
      <c r="C169" s="141" t="str">
        <f>IF(C20=$R32,$V32*24,IF(C20=$R33,$V33*24,IF(C20=$R34,$V34*24,IF(C20=$R35,$V35*24,IF(C20=$R36,$V36*24,IF(C20=$R37,$V37*24,IF(C20=$R38,$V38*24,IF(C20=$R39,$V39*24,IF(C20=$R40,$V40*24,"")))))))))</f>
        <v/>
      </c>
      <c r="D169" s="141" t="str">
        <f t="shared" ref="D169:AG169" si="163">IF(D20=$R32,$V32*24,IF(D20=$R33,$V33*24,IF(D20=$R34,$V34*24,IF(D20=$R35,$V35*24,IF(D20=$R36,$V36*24,IF(D20=$R37,$V37*24,IF(D20=$R38,$V38*24,IF(D20=$R39,$V39*24,IF(D20=$R40,$V40*24,"")))))))))</f>
        <v/>
      </c>
      <c r="E169" s="141" t="str">
        <f t="shared" si="163"/>
        <v/>
      </c>
      <c r="F169" s="141" t="str">
        <f t="shared" si="163"/>
        <v/>
      </c>
      <c r="G169" s="141" t="str">
        <f t="shared" si="163"/>
        <v/>
      </c>
      <c r="H169" s="141" t="str">
        <f t="shared" si="163"/>
        <v/>
      </c>
      <c r="I169" s="141" t="str">
        <f t="shared" si="163"/>
        <v/>
      </c>
      <c r="J169" s="141" t="str">
        <f t="shared" si="163"/>
        <v/>
      </c>
      <c r="K169" s="141" t="str">
        <f t="shared" si="163"/>
        <v/>
      </c>
      <c r="L169" s="141" t="str">
        <f t="shared" si="163"/>
        <v/>
      </c>
      <c r="M169" s="141" t="str">
        <f t="shared" si="163"/>
        <v/>
      </c>
      <c r="N169" s="141" t="str">
        <f t="shared" si="163"/>
        <v/>
      </c>
      <c r="O169" s="141" t="str">
        <f t="shared" si="163"/>
        <v/>
      </c>
      <c r="P169" s="141" t="str">
        <f t="shared" si="163"/>
        <v/>
      </c>
      <c r="Q169" s="141" t="str">
        <f t="shared" si="163"/>
        <v/>
      </c>
      <c r="R169" s="141" t="str">
        <f t="shared" si="163"/>
        <v/>
      </c>
      <c r="S169" s="141" t="str">
        <f t="shared" si="163"/>
        <v/>
      </c>
      <c r="T169" s="141" t="str">
        <f t="shared" si="163"/>
        <v/>
      </c>
      <c r="U169" s="141" t="str">
        <f t="shared" si="163"/>
        <v/>
      </c>
      <c r="V169" s="141" t="str">
        <f t="shared" si="163"/>
        <v/>
      </c>
      <c r="W169" s="141" t="str">
        <f t="shared" si="163"/>
        <v/>
      </c>
      <c r="X169" s="141" t="str">
        <f t="shared" si="163"/>
        <v/>
      </c>
      <c r="Y169" s="141" t="str">
        <f t="shared" si="163"/>
        <v/>
      </c>
      <c r="Z169" s="141" t="str">
        <f t="shared" si="163"/>
        <v/>
      </c>
      <c r="AA169" s="141" t="str">
        <f t="shared" si="163"/>
        <v/>
      </c>
      <c r="AB169" s="141" t="str">
        <f t="shared" si="163"/>
        <v/>
      </c>
      <c r="AC169" s="141" t="str">
        <f t="shared" si="163"/>
        <v/>
      </c>
      <c r="AD169" s="141" t="str">
        <f t="shared" si="163"/>
        <v/>
      </c>
      <c r="AE169" s="141" t="str">
        <f t="shared" si="163"/>
        <v/>
      </c>
      <c r="AF169" s="141" t="str">
        <f t="shared" si="163"/>
        <v/>
      </c>
      <c r="AG169" s="141" t="str">
        <f t="shared" si="163"/>
        <v/>
      </c>
      <c r="AH169" s="154" t="s">
        <v>12</v>
      </c>
      <c r="AI169" s="133"/>
      <c r="AJ169" s="170"/>
      <c r="AK169" s="133"/>
      <c r="AL169" s="133"/>
    </row>
    <row r="170" spans="1:38" ht="15.95" hidden="1" customHeight="1" x14ac:dyDescent="0.25">
      <c r="A170" s="153"/>
      <c r="B170" s="183" t="s">
        <v>34</v>
      </c>
      <c r="C170" s="169" t="str">
        <f t="shared" ref="C170:AD170" si="164">IF(C20=$R32,$BD32*24,IF(C20=$R33,$BD33*24,IF(C20=$R34,$BD34*24,IF(C20=$R35,$BD35*24,IF(C20=$R36,$BD36*24,IF(C20=$R37,$BD37*24,IF(C20=$R38,$BD38*24,IF(C20=$R39,$BD39*24,IF(C20=$R40,$BD40*24,"")))))))))</f>
        <v/>
      </c>
      <c r="D170" s="169" t="str">
        <f t="shared" si="164"/>
        <v/>
      </c>
      <c r="E170" s="169" t="str">
        <f t="shared" si="164"/>
        <v/>
      </c>
      <c r="F170" s="169" t="str">
        <f t="shared" si="164"/>
        <v/>
      </c>
      <c r="G170" s="169" t="str">
        <f t="shared" si="164"/>
        <v/>
      </c>
      <c r="H170" s="169" t="str">
        <f t="shared" si="164"/>
        <v/>
      </c>
      <c r="I170" s="169" t="str">
        <f t="shared" si="164"/>
        <v/>
      </c>
      <c r="J170" s="169" t="str">
        <f t="shared" si="164"/>
        <v/>
      </c>
      <c r="K170" s="169" t="str">
        <f t="shared" si="164"/>
        <v/>
      </c>
      <c r="L170" s="169" t="str">
        <f t="shared" si="164"/>
        <v/>
      </c>
      <c r="M170" s="169" t="str">
        <f t="shared" si="164"/>
        <v/>
      </c>
      <c r="N170" s="169" t="str">
        <f t="shared" si="164"/>
        <v/>
      </c>
      <c r="O170" s="169" t="str">
        <f t="shared" si="164"/>
        <v/>
      </c>
      <c r="P170" s="169" t="str">
        <f t="shared" si="164"/>
        <v/>
      </c>
      <c r="Q170" s="169" t="str">
        <f t="shared" si="164"/>
        <v/>
      </c>
      <c r="R170" s="169" t="str">
        <f t="shared" si="164"/>
        <v/>
      </c>
      <c r="S170" s="169" t="str">
        <f t="shared" si="164"/>
        <v/>
      </c>
      <c r="T170" s="169" t="str">
        <f t="shared" si="164"/>
        <v/>
      </c>
      <c r="U170" s="169" t="str">
        <f t="shared" si="164"/>
        <v/>
      </c>
      <c r="V170" s="169" t="str">
        <f t="shared" si="164"/>
        <v/>
      </c>
      <c r="W170" s="169" t="str">
        <f t="shared" si="164"/>
        <v/>
      </c>
      <c r="X170" s="169" t="str">
        <f t="shared" si="164"/>
        <v/>
      </c>
      <c r="Y170" s="169" t="str">
        <f t="shared" si="164"/>
        <v/>
      </c>
      <c r="Z170" s="169" t="str">
        <f t="shared" si="164"/>
        <v/>
      </c>
      <c r="AA170" s="169" t="str">
        <f t="shared" si="164"/>
        <v/>
      </c>
      <c r="AB170" s="169" t="str">
        <f t="shared" si="164"/>
        <v/>
      </c>
      <c r="AC170" s="169" t="str">
        <f t="shared" si="164"/>
        <v/>
      </c>
      <c r="AD170" s="169" t="str">
        <f t="shared" si="164"/>
        <v/>
      </c>
      <c r="AE170" s="169" t="str">
        <f>IF(AE20=$R32,$BD32*24,IF(AE20=$R33,$BD33*24,IF(AE20=$R34,$BD34*24,IF(AE20=$R35,$BD35*24,IF(AE20=$R36,$BD36*24,IF(AE20=$R37,$BD37*24,IF(AE20=$R38,$BD38*24,IF(AE20=$R39,$BD39*24,IF(AE20=$R40,$BD40*24,"")))))))))</f>
        <v/>
      </c>
      <c r="AF170" s="169" t="str">
        <f>IF(AF20=$R32,$BD32*24,IF(AF20=$R33,$BD33*24,IF(AF20=$R34,$BD34*24,IF(AF20=$R35,$BD35*24,IF(AF20=$R36,$BD36*24,IF(AF20=$R37,$BD37*24,IF(AF20=$R38,$BD38*24,IF(AF20=$R39,$BD39*24,IF(AF20=$R40,$BD40*24,"")))))))))</f>
        <v/>
      </c>
      <c r="AG170" s="169" t="str">
        <f>IF(AG20=$R32,$BD32*24,IF(AG20=$R33,$BD33*24,IF(AG20=$R34,$BD34*24,IF(AG20=$R35,$BD35*24,IF(AG20=$R36,$BD36*24,IF(AG20=$R37,$BD37*24,IF(AG20=$R38,$BD38*24,IF(AG20=$R39,$BD39*24,IF(AG20=$R40,$BD40*24,"")))))))))</f>
        <v/>
      </c>
      <c r="AH170" s="148">
        <f>SUM(C170:AG170)</f>
        <v>0</v>
      </c>
      <c r="AI170" s="133"/>
      <c r="AJ170" s="170"/>
      <c r="AK170" s="133"/>
      <c r="AL170" s="133"/>
    </row>
    <row r="171" spans="1:38" ht="15.95" hidden="1" customHeight="1" x14ac:dyDescent="0.25">
      <c r="A171" s="153"/>
      <c r="B171" s="167" t="s">
        <v>59</v>
      </c>
      <c r="C171" s="141">
        <f>IF(C20="V",$C36,IF(C20="PR",$C38,0))</f>
        <v>0</v>
      </c>
      <c r="D171" s="141">
        <f t="shared" ref="D171:AG171" si="165">IF(D20="V",$C36,IF(D20="PR",$C38,0))</f>
        <v>0</v>
      </c>
      <c r="E171" s="141">
        <f t="shared" si="165"/>
        <v>0</v>
      </c>
      <c r="F171" s="141">
        <f t="shared" si="165"/>
        <v>0</v>
      </c>
      <c r="G171" s="141">
        <f t="shared" si="165"/>
        <v>0</v>
      </c>
      <c r="H171" s="141">
        <f t="shared" si="165"/>
        <v>0</v>
      </c>
      <c r="I171" s="141">
        <f t="shared" si="165"/>
        <v>0</v>
      </c>
      <c r="J171" s="141">
        <f t="shared" si="165"/>
        <v>0</v>
      </c>
      <c r="K171" s="141">
        <f t="shared" si="165"/>
        <v>0</v>
      </c>
      <c r="L171" s="141">
        <f t="shared" si="165"/>
        <v>0</v>
      </c>
      <c r="M171" s="141">
        <f t="shared" si="165"/>
        <v>0</v>
      </c>
      <c r="N171" s="141">
        <f t="shared" si="165"/>
        <v>0</v>
      </c>
      <c r="O171" s="141">
        <f t="shared" si="165"/>
        <v>0</v>
      </c>
      <c r="P171" s="141">
        <f t="shared" si="165"/>
        <v>0</v>
      </c>
      <c r="Q171" s="141">
        <f t="shared" si="165"/>
        <v>0</v>
      </c>
      <c r="R171" s="141">
        <f t="shared" si="165"/>
        <v>0</v>
      </c>
      <c r="S171" s="141">
        <f t="shared" si="165"/>
        <v>0</v>
      </c>
      <c r="T171" s="141">
        <f t="shared" si="165"/>
        <v>0</v>
      </c>
      <c r="U171" s="141">
        <f t="shared" si="165"/>
        <v>0</v>
      </c>
      <c r="V171" s="141">
        <f t="shared" si="165"/>
        <v>0</v>
      </c>
      <c r="W171" s="141">
        <f t="shared" si="165"/>
        <v>0</v>
      </c>
      <c r="X171" s="141">
        <f t="shared" si="165"/>
        <v>0</v>
      </c>
      <c r="Y171" s="141">
        <f t="shared" si="165"/>
        <v>0</v>
      </c>
      <c r="Z171" s="141">
        <f t="shared" si="165"/>
        <v>0</v>
      </c>
      <c r="AA171" s="141">
        <f t="shared" si="165"/>
        <v>0</v>
      </c>
      <c r="AB171" s="141">
        <f t="shared" si="165"/>
        <v>0</v>
      </c>
      <c r="AC171" s="141">
        <f t="shared" si="165"/>
        <v>0</v>
      </c>
      <c r="AD171" s="141">
        <f t="shared" si="165"/>
        <v>0</v>
      </c>
      <c r="AE171" s="141">
        <f t="shared" si="165"/>
        <v>0</v>
      </c>
      <c r="AF171" s="141">
        <f t="shared" si="165"/>
        <v>0</v>
      </c>
      <c r="AG171" s="141">
        <f t="shared" si="165"/>
        <v>0</v>
      </c>
      <c r="AH171" s="226">
        <f>SUM(C171:AG171)</f>
        <v>0</v>
      </c>
      <c r="AI171" s="226"/>
      <c r="AJ171" s="230">
        <f>SUM(AH116+AH127+AH138+AH149+AH160+AH171)</f>
        <v>0</v>
      </c>
      <c r="AK171" s="230"/>
      <c r="AL171" s="133" t="s">
        <v>56</v>
      </c>
    </row>
    <row r="172" spans="1:38" ht="15.95" hidden="1" customHeight="1" x14ac:dyDescent="0.25">
      <c r="A172" s="150" t="s">
        <v>60</v>
      </c>
      <c r="B172" s="167" t="s">
        <v>61</v>
      </c>
      <c r="C172" s="151">
        <f t="shared" ref="C172:AD172" si="166">IF(C20=$R32,$BC32,IF(C20=$R33,$BC33,IF(C20=$R34,$BC34,IF(C20=$R35,$BC35,IF(C20=$R36,$BC36,IF(C20=$R37,$BC37,IF(C20=$R38,$BC38,IF(C20=$R39,$BC39,IF(C20=$R40,$BC40,0)))))))))</f>
        <v>0</v>
      </c>
      <c r="D172" s="151">
        <f t="shared" si="166"/>
        <v>0</v>
      </c>
      <c r="E172" s="151">
        <f t="shared" si="166"/>
        <v>0</v>
      </c>
      <c r="F172" s="151">
        <f t="shared" si="166"/>
        <v>0</v>
      </c>
      <c r="G172" s="151">
        <f t="shared" si="166"/>
        <v>0</v>
      </c>
      <c r="H172" s="151">
        <f t="shared" si="166"/>
        <v>0</v>
      </c>
      <c r="I172" s="151">
        <f t="shared" si="166"/>
        <v>0</v>
      </c>
      <c r="J172" s="151">
        <f t="shared" si="166"/>
        <v>0</v>
      </c>
      <c r="K172" s="151">
        <f t="shared" si="166"/>
        <v>0</v>
      </c>
      <c r="L172" s="151">
        <f t="shared" si="166"/>
        <v>0</v>
      </c>
      <c r="M172" s="151">
        <f t="shared" si="166"/>
        <v>0</v>
      </c>
      <c r="N172" s="151">
        <f t="shared" si="166"/>
        <v>0</v>
      </c>
      <c r="O172" s="151">
        <f t="shared" si="166"/>
        <v>0</v>
      </c>
      <c r="P172" s="151">
        <f t="shared" si="166"/>
        <v>0</v>
      </c>
      <c r="Q172" s="151">
        <f t="shared" si="166"/>
        <v>0</v>
      </c>
      <c r="R172" s="151">
        <f t="shared" si="166"/>
        <v>0</v>
      </c>
      <c r="S172" s="151">
        <f t="shared" si="166"/>
        <v>0</v>
      </c>
      <c r="T172" s="151">
        <f t="shared" si="166"/>
        <v>0</v>
      </c>
      <c r="U172" s="151">
        <f t="shared" si="166"/>
        <v>0</v>
      </c>
      <c r="V172" s="151">
        <f t="shared" si="166"/>
        <v>0</v>
      </c>
      <c r="W172" s="151">
        <f t="shared" si="166"/>
        <v>0</v>
      </c>
      <c r="X172" s="151">
        <f t="shared" si="166"/>
        <v>0</v>
      </c>
      <c r="Y172" s="151">
        <f t="shared" si="166"/>
        <v>0</v>
      </c>
      <c r="Z172" s="151">
        <f t="shared" si="166"/>
        <v>0</v>
      </c>
      <c r="AA172" s="151">
        <f t="shared" si="166"/>
        <v>0</v>
      </c>
      <c r="AB172" s="151">
        <f t="shared" si="166"/>
        <v>0</v>
      </c>
      <c r="AC172" s="151">
        <f t="shared" si="166"/>
        <v>0</v>
      </c>
      <c r="AD172" s="151">
        <f t="shared" si="166"/>
        <v>0</v>
      </c>
      <c r="AE172" s="151">
        <f>IF(AE20=$R32,$BC32,IF(AE20=$R33,$BC33,IF(AE20=$R34,$BC34,IF(AE20=$R35,$BC35,IF(AE20=$R36,$BC36,IF(AE20=$R37,$BC37,IF(AE20=$R38,$BC38,IF(AE20=$R39,$BC39,IF(AE20=$R40,$BC40,0)))))))))</f>
        <v>0</v>
      </c>
      <c r="AF172" s="151">
        <f>IF(AF20=$R32,$BC32,IF(AF20=$R33,$BC33,IF(AF20=$R34,$BC34,IF(AF20=$R35,$BC35,IF(AF20=$R36,$BC36,IF(AF20=$R37,$BC37,IF(AF20=$R38,$BC38,IF(AF20=$R39,$BC39,IF(AF20=$R40,$BC40,0)))))))))</f>
        <v>0</v>
      </c>
      <c r="AG172" s="151">
        <f>IF(AG20=$R32,$BC32,IF(AG20=$R33,$BC33,IF(AG20=$R34,$BC34,IF(AG20=$R35,$BC35,IF(AG20=$R36,$BC36,IF(AG20=$R37,$BC37,IF(AG20=$R38,$BC38,IF(AG20=$R39,$BC39,IF(AG20=$R40,$BC40,0)))))))))</f>
        <v>0</v>
      </c>
      <c r="AH172" s="226">
        <f>SUM(C172:AG172)</f>
        <v>0</v>
      </c>
      <c r="AI172" s="226"/>
      <c r="AJ172" s="174" t="s">
        <v>62</v>
      </c>
      <c r="AK172" s="133" t="s">
        <v>12</v>
      </c>
      <c r="AL172" s="133"/>
    </row>
    <row r="173" spans="1:38" ht="15.95" hidden="1" customHeight="1" x14ac:dyDescent="0.25">
      <c r="A173" s="153" t="s">
        <v>48</v>
      </c>
      <c r="B173" s="149" t="s">
        <v>63</v>
      </c>
      <c r="C173" s="141" t="b">
        <f>IF(C46=1,IF(C168&lt;C169,C172,0))</f>
        <v>0</v>
      </c>
      <c r="D173" s="141" t="b">
        <f t="shared" ref="D173:AG173" si="167">IF(D46=1,IF(D168&lt;D169,D172,0))</f>
        <v>0</v>
      </c>
      <c r="E173" s="141" t="b">
        <f t="shared" si="167"/>
        <v>0</v>
      </c>
      <c r="F173" s="141" t="b">
        <f t="shared" si="167"/>
        <v>0</v>
      </c>
      <c r="G173" s="141" t="b">
        <f t="shared" si="167"/>
        <v>0</v>
      </c>
      <c r="H173" s="141">
        <f t="shared" si="167"/>
        <v>0</v>
      </c>
      <c r="I173" s="141">
        <f t="shared" si="167"/>
        <v>0</v>
      </c>
      <c r="J173" s="141" t="b">
        <f t="shared" si="167"/>
        <v>0</v>
      </c>
      <c r="K173" s="141" t="b">
        <f t="shared" si="167"/>
        <v>0</v>
      </c>
      <c r="L173" s="141" t="b">
        <f t="shared" si="167"/>
        <v>0</v>
      </c>
      <c r="M173" s="141" t="b">
        <f t="shared" si="167"/>
        <v>0</v>
      </c>
      <c r="N173" s="141" t="b">
        <f t="shared" si="167"/>
        <v>0</v>
      </c>
      <c r="O173" s="141">
        <f t="shared" si="167"/>
        <v>0</v>
      </c>
      <c r="P173" s="141">
        <f t="shared" si="167"/>
        <v>0</v>
      </c>
      <c r="Q173" s="141" t="b">
        <f t="shared" si="167"/>
        <v>0</v>
      </c>
      <c r="R173" s="141" t="b">
        <f t="shared" si="167"/>
        <v>0</v>
      </c>
      <c r="S173" s="141" t="b">
        <f t="shared" si="167"/>
        <v>0</v>
      </c>
      <c r="T173" s="141" t="b">
        <f t="shared" si="167"/>
        <v>0</v>
      </c>
      <c r="U173" s="141" t="b">
        <f t="shared" si="167"/>
        <v>0</v>
      </c>
      <c r="V173" s="141">
        <f t="shared" si="167"/>
        <v>0</v>
      </c>
      <c r="W173" s="141">
        <f t="shared" si="167"/>
        <v>0</v>
      </c>
      <c r="X173" s="141" t="b">
        <f t="shared" si="167"/>
        <v>0</v>
      </c>
      <c r="Y173" s="141" t="b">
        <f t="shared" si="167"/>
        <v>0</v>
      </c>
      <c r="Z173" s="141" t="b">
        <f t="shared" si="167"/>
        <v>0</v>
      </c>
      <c r="AA173" s="141" t="b">
        <f t="shared" si="167"/>
        <v>0</v>
      </c>
      <c r="AB173" s="141" t="b">
        <f t="shared" si="167"/>
        <v>0</v>
      </c>
      <c r="AC173" s="141">
        <f t="shared" si="167"/>
        <v>0</v>
      </c>
      <c r="AD173" s="141">
        <f t="shared" si="167"/>
        <v>0</v>
      </c>
      <c r="AE173" s="141" t="b">
        <f t="shared" si="167"/>
        <v>0</v>
      </c>
      <c r="AF173" s="141" t="b">
        <f t="shared" si="167"/>
        <v>0</v>
      </c>
      <c r="AG173" s="141" t="b">
        <f t="shared" si="167"/>
        <v>0</v>
      </c>
      <c r="AH173" s="154" t="s">
        <v>12</v>
      </c>
      <c r="AI173" s="133"/>
      <c r="AJ173" s="170"/>
      <c r="AK173" s="133"/>
      <c r="AL173" s="133"/>
    </row>
    <row r="174" spans="1:38" ht="15.95" hidden="1" customHeight="1" x14ac:dyDescent="0.25">
      <c r="A174" s="176"/>
      <c r="B174" s="149" t="s">
        <v>64</v>
      </c>
      <c r="C174" s="141">
        <f>IF(C46=1,IF(C168&gt;C169,24-C168,0),0)</f>
        <v>0</v>
      </c>
      <c r="D174" s="141">
        <f t="shared" ref="D174:AG174" si="168">IF(D46=1,IF(D168&gt;D169,24-D168,0),0)</f>
        <v>0</v>
      </c>
      <c r="E174" s="141">
        <f t="shared" si="168"/>
        <v>0</v>
      </c>
      <c r="F174" s="141">
        <f t="shared" si="168"/>
        <v>0</v>
      </c>
      <c r="G174" s="141">
        <f t="shared" si="168"/>
        <v>0</v>
      </c>
      <c r="H174" s="141">
        <f t="shared" si="168"/>
        <v>0</v>
      </c>
      <c r="I174" s="141">
        <f t="shared" si="168"/>
        <v>0</v>
      </c>
      <c r="J174" s="141">
        <f t="shared" si="168"/>
        <v>0</v>
      </c>
      <c r="K174" s="141">
        <f t="shared" si="168"/>
        <v>0</v>
      </c>
      <c r="L174" s="141">
        <f t="shared" si="168"/>
        <v>0</v>
      </c>
      <c r="M174" s="141">
        <f t="shared" si="168"/>
        <v>0</v>
      </c>
      <c r="N174" s="141">
        <f t="shared" si="168"/>
        <v>0</v>
      </c>
      <c r="O174" s="141">
        <f t="shared" si="168"/>
        <v>0</v>
      </c>
      <c r="P174" s="141">
        <f t="shared" si="168"/>
        <v>0</v>
      </c>
      <c r="Q174" s="141">
        <f t="shared" si="168"/>
        <v>0</v>
      </c>
      <c r="R174" s="141">
        <f t="shared" si="168"/>
        <v>0</v>
      </c>
      <c r="S174" s="141">
        <f t="shared" si="168"/>
        <v>0</v>
      </c>
      <c r="T174" s="141">
        <f t="shared" si="168"/>
        <v>0</v>
      </c>
      <c r="U174" s="141">
        <f t="shared" si="168"/>
        <v>0</v>
      </c>
      <c r="V174" s="141">
        <f t="shared" si="168"/>
        <v>0</v>
      </c>
      <c r="W174" s="141">
        <f t="shared" si="168"/>
        <v>0</v>
      </c>
      <c r="X174" s="141">
        <f t="shared" si="168"/>
        <v>0</v>
      </c>
      <c r="Y174" s="141">
        <f t="shared" si="168"/>
        <v>0</v>
      </c>
      <c r="Z174" s="141">
        <f t="shared" si="168"/>
        <v>0</v>
      </c>
      <c r="AA174" s="141">
        <f t="shared" si="168"/>
        <v>0</v>
      </c>
      <c r="AB174" s="141">
        <f t="shared" si="168"/>
        <v>0</v>
      </c>
      <c r="AC174" s="141">
        <f t="shared" si="168"/>
        <v>0</v>
      </c>
      <c r="AD174" s="141">
        <f t="shared" si="168"/>
        <v>0</v>
      </c>
      <c r="AE174" s="141">
        <f t="shared" si="168"/>
        <v>0</v>
      </c>
      <c r="AF174" s="141">
        <f t="shared" si="168"/>
        <v>0</v>
      </c>
      <c r="AG174" s="141">
        <f t="shared" si="168"/>
        <v>0</v>
      </c>
      <c r="AH174" s="154" t="s">
        <v>12</v>
      </c>
      <c r="AI174" s="133"/>
      <c r="AJ174" s="170"/>
      <c r="AK174" s="133"/>
      <c r="AL174" s="133"/>
    </row>
    <row r="175" spans="1:38" ht="15.95" hidden="1" customHeight="1" x14ac:dyDescent="0.25">
      <c r="A175" s="176"/>
      <c r="B175" s="149" t="s">
        <v>65</v>
      </c>
      <c r="C175" s="141">
        <f>IF(C46=1,IF(C168&gt;C169,C169,0),0)</f>
        <v>0</v>
      </c>
      <c r="D175" s="141">
        <f t="shared" ref="D175:AG175" si="169">IF(D46=1,IF(D168&gt;D169,D169,0),0)</f>
        <v>0</v>
      </c>
      <c r="E175" s="141">
        <f t="shared" si="169"/>
        <v>0</v>
      </c>
      <c r="F175" s="141">
        <f t="shared" si="169"/>
        <v>0</v>
      </c>
      <c r="G175" s="141">
        <f t="shared" si="169"/>
        <v>0</v>
      </c>
      <c r="H175" s="141">
        <f t="shared" si="169"/>
        <v>0</v>
      </c>
      <c r="I175" s="141">
        <f t="shared" si="169"/>
        <v>0</v>
      </c>
      <c r="J175" s="141">
        <f t="shared" si="169"/>
        <v>0</v>
      </c>
      <c r="K175" s="141">
        <f t="shared" si="169"/>
        <v>0</v>
      </c>
      <c r="L175" s="141">
        <f t="shared" si="169"/>
        <v>0</v>
      </c>
      <c r="M175" s="141">
        <f t="shared" si="169"/>
        <v>0</v>
      </c>
      <c r="N175" s="141">
        <f t="shared" si="169"/>
        <v>0</v>
      </c>
      <c r="O175" s="141">
        <f t="shared" si="169"/>
        <v>0</v>
      </c>
      <c r="P175" s="141">
        <f t="shared" si="169"/>
        <v>0</v>
      </c>
      <c r="Q175" s="141">
        <f t="shared" si="169"/>
        <v>0</v>
      </c>
      <c r="R175" s="141">
        <f t="shared" si="169"/>
        <v>0</v>
      </c>
      <c r="S175" s="141">
        <f t="shared" si="169"/>
        <v>0</v>
      </c>
      <c r="T175" s="141">
        <f t="shared" si="169"/>
        <v>0</v>
      </c>
      <c r="U175" s="141">
        <f t="shared" si="169"/>
        <v>0</v>
      </c>
      <c r="V175" s="141">
        <f t="shared" si="169"/>
        <v>0</v>
      </c>
      <c r="W175" s="141">
        <f t="shared" si="169"/>
        <v>0</v>
      </c>
      <c r="X175" s="141">
        <f t="shared" si="169"/>
        <v>0</v>
      </c>
      <c r="Y175" s="141">
        <f t="shared" si="169"/>
        <v>0</v>
      </c>
      <c r="Z175" s="141">
        <f t="shared" si="169"/>
        <v>0</v>
      </c>
      <c r="AA175" s="141">
        <f t="shared" si="169"/>
        <v>0</v>
      </c>
      <c r="AB175" s="141">
        <f t="shared" si="169"/>
        <v>0</v>
      </c>
      <c r="AC175" s="141">
        <f t="shared" si="169"/>
        <v>0</v>
      </c>
      <c r="AD175" s="141">
        <f t="shared" si="169"/>
        <v>0</v>
      </c>
      <c r="AE175" s="141">
        <f t="shared" si="169"/>
        <v>0</v>
      </c>
      <c r="AF175" s="141">
        <f t="shared" si="169"/>
        <v>0</v>
      </c>
      <c r="AG175" s="141">
        <f t="shared" si="169"/>
        <v>0</v>
      </c>
      <c r="AH175" s="154" t="s">
        <v>12</v>
      </c>
      <c r="AI175" s="133"/>
      <c r="AJ175" s="170"/>
      <c r="AK175" s="133"/>
      <c r="AL175" s="133"/>
    </row>
    <row r="176" spans="1:38" ht="15.95" hidden="1" customHeight="1" x14ac:dyDescent="0.25">
      <c r="A176" s="176"/>
      <c r="B176" s="149" t="s">
        <v>67</v>
      </c>
      <c r="C176" s="171">
        <f>SUM(C173:C175)</f>
        <v>0</v>
      </c>
      <c r="D176" s="171">
        <f t="shared" ref="D176:AG176" si="170">SUM(D173:D175)</f>
        <v>0</v>
      </c>
      <c r="E176" s="171">
        <f t="shared" si="170"/>
        <v>0</v>
      </c>
      <c r="F176" s="171">
        <f t="shared" si="170"/>
        <v>0</v>
      </c>
      <c r="G176" s="171">
        <f t="shared" si="170"/>
        <v>0</v>
      </c>
      <c r="H176" s="171">
        <f t="shared" si="170"/>
        <v>0</v>
      </c>
      <c r="I176" s="171">
        <f t="shared" si="170"/>
        <v>0</v>
      </c>
      <c r="J176" s="171">
        <f t="shared" si="170"/>
        <v>0</v>
      </c>
      <c r="K176" s="171">
        <f t="shared" si="170"/>
        <v>0</v>
      </c>
      <c r="L176" s="171">
        <f t="shared" si="170"/>
        <v>0</v>
      </c>
      <c r="M176" s="171">
        <f t="shared" si="170"/>
        <v>0</v>
      </c>
      <c r="N176" s="171">
        <f t="shared" si="170"/>
        <v>0</v>
      </c>
      <c r="O176" s="171">
        <f t="shared" si="170"/>
        <v>0</v>
      </c>
      <c r="P176" s="171">
        <f t="shared" si="170"/>
        <v>0</v>
      </c>
      <c r="Q176" s="171">
        <f t="shared" si="170"/>
        <v>0</v>
      </c>
      <c r="R176" s="171">
        <f t="shared" si="170"/>
        <v>0</v>
      </c>
      <c r="S176" s="171">
        <f t="shared" si="170"/>
        <v>0</v>
      </c>
      <c r="T176" s="171">
        <f t="shared" si="170"/>
        <v>0</v>
      </c>
      <c r="U176" s="171">
        <f t="shared" si="170"/>
        <v>0</v>
      </c>
      <c r="V176" s="171">
        <f t="shared" si="170"/>
        <v>0</v>
      </c>
      <c r="W176" s="171">
        <f t="shared" si="170"/>
        <v>0</v>
      </c>
      <c r="X176" s="171">
        <f t="shared" si="170"/>
        <v>0</v>
      </c>
      <c r="Y176" s="171">
        <f t="shared" si="170"/>
        <v>0</v>
      </c>
      <c r="Z176" s="171">
        <f t="shared" si="170"/>
        <v>0</v>
      </c>
      <c r="AA176" s="171">
        <f t="shared" si="170"/>
        <v>0</v>
      </c>
      <c r="AB176" s="171">
        <f t="shared" si="170"/>
        <v>0</v>
      </c>
      <c r="AC176" s="171">
        <f t="shared" si="170"/>
        <v>0</v>
      </c>
      <c r="AD176" s="171">
        <f t="shared" si="170"/>
        <v>0</v>
      </c>
      <c r="AE176" s="171">
        <f t="shared" si="170"/>
        <v>0</v>
      </c>
      <c r="AF176" s="171">
        <f t="shared" si="170"/>
        <v>0</v>
      </c>
      <c r="AG176" s="171">
        <f t="shared" si="170"/>
        <v>0</v>
      </c>
      <c r="AH176" s="154" t="s">
        <v>12</v>
      </c>
      <c r="AI176" s="133"/>
      <c r="AJ176" s="170"/>
      <c r="AK176" s="133"/>
      <c r="AL176" s="133"/>
    </row>
    <row r="177" spans="1:38" ht="15.95" hidden="1" customHeight="1" x14ac:dyDescent="0.25">
      <c r="A177" s="177"/>
      <c r="B177" s="160" t="s">
        <v>68</v>
      </c>
      <c r="C177" s="161">
        <f>IF(C20="V",IF(C20="",0,1),0)</f>
        <v>0</v>
      </c>
      <c r="D177" s="161">
        <f t="shared" ref="D177:AG177" si="171">IF(D20="V",IF(D20="",0,1),0)</f>
        <v>0</v>
      </c>
      <c r="E177" s="161">
        <f t="shared" si="171"/>
        <v>0</v>
      </c>
      <c r="F177" s="161">
        <f t="shared" si="171"/>
        <v>0</v>
      </c>
      <c r="G177" s="161">
        <f t="shared" si="171"/>
        <v>0</v>
      </c>
      <c r="H177" s="161">
        <f t="shared" si="171"/>
        <v>0</v>
      </c>
      <c r="I177" s="161">
        <f t="shared" si="171"/>
        <v>0</v>
      </c>
      <c r="J177" s="161">
        <f t="shared" si="171"/>
        <v>0</v>
      </c>
      <c r="K177" s="161">
        <f t="shared" si="171"/>
        <v>0</v>
      </c>
      <c r="L177" s="161">
        <f t="shared" si="171"/>
        <v>0</v>
      </c>
      <c r="M177" s="161">
        <f t="shared" si="171"/>
        <v>0</v>
      </c>
      <c r="N177" s="161">
        <f t="shared" si="171"/>
        <v>0</v>
      </c>
      <c r="O177" s="161">
        <f t="shared" si="171"/>
        <v>0</v>
      </c>
      <c r="P177" s="161">
        <f t="shared" si="171"/>
        <v>0</v>
      </c>
      <c r="Q177" s="161">
        <f t="shared" si="171"/>
        <v>0</v>
      </c>
      <c r="R177" s="161">
        <f t="shared" si="171"/>
        <v>0</v>
      </c>
      <c r="S177" s="161">
        <f t="shared" si="171"/>
        <v>0</v>
      </c>
      <c r="T177" s="161">
        <f t="shared" si="171"/>
        <v>0</v>
      </c>
      <c r="U177" s="161">
        <f t="shared" si="171"/>
        <v>0</v>
      </c>
      <c r="V177" s="161">
        <f t="shared" si="171"/>
        <v>0</v>
      </c>
      <c r="W177" s="161">
        <f t="shared" si="171"/>
        <v>0</v>
      </c>
      <c r="X177" s="161">
        <f t="shared" si="171"/>
        <v>0</v>
      </c>
      <c r="Y177" s="161">
        <f t="shared" si="171"/>
        <v>0</v>
      </c>
      <c r="Z177" s="161">
        <f t="shared" si="171"/>
        <v>0</v>
      </c>
      <c r="AA177" s="161">
        <f t="shared" si="171"/>
        <v>0</v>
      </c>
      <c r="AB177" s="161">
        <f t="shared" si="171"/>
        <v>0</v>
      </c>
      <c r="AC177" s="161">
        <f t="shared" si="171"/>
        <v>0</v>
      </c>
      <c r="AD177" s="161">
        <f t="shared" si="171"/>
        <v>0</v>
      </c>
      <c r="AE177" s="161">
        <f t="shared" si="171"/>
        <v>0</v>
      </c>
      <c r="AF177" s="161">
        <f t="shared" si="171"/>
        <v>0</v>
      </c>
      <c r="AG177" s="161">
        <f t="shared" si="171"/>
        <v>0</v>
      </c>
      <c r="AH177" s="154" t="s">
        <v>12</v>
      </c>
      <c r="AI177" s="133"/>
      <c r="AJ177" s="170"/>
      <c r="AK177" s="133"/>
      <c r="AL177" s="133"/>
    </row>
    <row r="178" spans="1:38" ht="15.95" hidden="1" customHeight="1" x14ac:dyDescent="0.25">
      <c r="A178" s="180"/>
      <c r="B178" s="181" t="s">
        <v>16</v>
      </c>
      <c r="C178" s="182">
        <f>IF(C20="PR",IF(C20="",0,1),0)</f>
        <v>0</v>
      </c>
      <c r="D178" s="182">
        <f t="shared" ref="D178:AG178" si="172">IF(D20="PR",IF(D20="",0,1),0)</f>
        <v>0</v>
      </c>
      <c r="E178" s="182">
        <f t="shared" si="172"/>
        <v>0</v>
      </c>
      <c r="F178" s="182">
        <f t="shared" si="172"/>
        <v>0</v>
      </c>
      <c r="G178" s="182">
        <f t="shared" si="172"/>
        <v>0</v>
      </c>
      <c r="H178" s="182">
        <f t="shared" si="172"/>
        <v>0</v>
      </c>
      <c r="I178" s="182">
        <f t="shared" si="172"/>
        <v>0</v>
      </c>
      <c r="J178" s="182">
        <f t="shared" si="172"/>
        <v>0</v>
      </c>
      <c r="K178" s="182">
        <f t="shared" si="172"/>
        <v>0</v>
      </c>
      <c r="L178" s="182">
        <f t="shared" si="172"/>
        <v>0</v>
      </c>
      <c r="M178" s="182">
        <f t="shared" si="172"/>
        <v>0</v>
      </c>
      <c r="N178" s="182">
        <f t="shared" si="172"/>
        <v>0</v>
      </c>
      <c r="O178" s="182">
        <f t="shared" si="172"/>
        <v>0</v>
      </c>
      <c r="P178" s="182">
        <f t="shared" si="172"/>
        <v>0</v>
      </c>
      <c r="Q178" s="182">
        <f t="shared" si="172"/>
        <v>0</v>
      </c>
      <c r="R178" s="182">
        <f t="shared" si="172"/>
        <v>0</v>
      </c>
      <c r="S178" s="182">
        <f t="shared" si="172"/>
        <v>0</v>
      </c>
      <c r="T178" s="182">
        <f t="shared" si="172"/>
        <v>0</v>
      </c>
      <c r="U178" s="182">
        <f t="shared" si="172"/>
        <v>0</v>
      </c>
      <c r="V178" s="182">
        <f t="shared" si="172"/>
        <v>0</v>
      </c>
      <c r="W178" s="182">
        <f t="shared" si="172"/>
        <v>0</v>
      </c>
      <c r="X178" s="182">
        <f t="shared" si="172"/>
        <v>0</v>
      </c>
      <c r="Y178" s="182">
        <f t="shared" si="172"/>
        <v>0</v>
      </c>
      <c r="Z178" s="182">
        <f t="shared" si="172"/>
        <v>0</v>
      </c>
      <c r="AA178" s="182">
        <f t="shared" si="172"/>
        <v>0</v>
      </c>
      <c r="AB178" s="182">
        <f t="shared" si="172"/>
        <v>0</v>
      </c>
      <c r="AC178" s="182">
        <f t="shared" si="172"/>
        <v>0</v>
      </c>
      <c r="AD178" s="182">
        <f t="shared" si="172"/>
        <v>0</v>
      </c>
      <c r="AE178" s="182">
        <f t="shared" si="172"/>
        <v>0</v>
      </c>
      <c r="AF178" s="182">
        <f t="shared" si="172"/>
        <v>0</v>
      </c>
      <c r="AG178" s="182">
        <f t="shared" si="172"/>
        <v>0</v>
      </c>
      <c r="AH178" s="227">
        <f>SUM(C178:AG178)</f>
        <v>0</v>
      </c>
      <c r="AI178" s="227"/>
      <c r="AJ178" s="174" t="s">
        <v>69</v>
      </c>
      <c r="AK178" s="133"/>
      <c r="AL178" s="133"/>
    </row>
    <row r="179" spans="1:38" ht="15.95" hidden="1" customHeight="1" x14ac:dyDescent="0.25">
      <c r="A179" s="116"/>
      <c r="B179" s="184"/>
      <c r="C179" s="185"/>
      <c r="D179" s="185"/>
      <c r="E179" s="185"/>
      <c r="F179" s="185"/>
      <c r="G179" s="186"/>
      <c r="H179" s="185"/>
      <c r="I179" s="185"/>
      <c r="J179" s="185"/>
      <c r="K179" s="185"/>
      <c r="L179" s="185"/>
      <c r="M179" s="185"/>
      <c r="N179" s="186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185"/>
      <c r="AF179" s="185"/>
      <c r="AG179" s="185"/>
      <c r="AH179" s="133"/>
      <c r="AI179" s="133"/>
      <c r="AJ179" s="133"/>
      <c r="AK179" s="133"/>
      <c r="AL179" s="133"/>
    </row>
    <row r="180" spans="1:38" ht="15.95" hidden="1" customHeight="1" x14ac:dyDescent="0.25">
      <c r="A180" s="116"/>
      <c r="B180" s="184"/>
      <c r="C180" s="185"/>
      <c r="D180" s="185"/>
      <c r="E180" s="185"/>
      <c r="F180" s="185"/>
      <c r="G180" s="186"/>
      <c r="H180" s="185"/>
      <c r="I180" s="185"/>
      <c r="J180" s="185"/>
      <c r="K180" s="185"/>
      <c r="L180" s="185"/>
      <c r="M180" s="185"/>
      <c r="N180" s="186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185"/>
      <c r="AF180" s="185"/>
      <c r="AG180" s="185"/>
      <c r="AH180" s="116"/>
      <c r="AI180" s="116"/>
      <c r="AJ180" s="116"/>
      <c r="AK180" s="116"/>
      <c r="AL180" s="116"/>
    </row>
    <row r="181" spans="1:38" ht="15.95" hidden="1" customHeight="1" x14ac:dyDescent="0.25">
      <c r="A181" s="116"/>
      <c r="B181" s="184"/>
      <c r="C181" s="185"/>
      <c r="D181" s="185"/>
      <c r="E181" s="185"/>
      <c r="F181" s="185"/>
      <c r="G181" s="186"/>
      <c r="H181" s="185"/>
      <c r="I181" s="185"/>
      <c r="J181" s="185"/>
      <c r="K181" s="185"/>
      <c r="L181" s="185"/>
      <c r="M181" s="185"/>
      <c r="N181" s="186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/>
      <c r="AH181" s="116"/>
      <c r="AI181" s="116"/>
      <c r="AJ181" s="116"/>
      <c r="AK181" s="116"/>
      <c r="AL181" s="116"/>
    </row>
    <row r="182" spans="1:38" ht="15.95" hidden="1" customHeight="1" x14ac:dyDescent="0.25">
      <c r="A182" s="116"/>
      <c r="B182" s="126"/>
      <c r="C182" s="116"/>
      <c r="D182" s="116"/>
      <c r="E182" s="116"/>
      <c r="F182" s="116"/>
      <c r="G182" s="114"/>
      <c r="H182" s="116"/>
      <c r="I182" s="116"/>
      <c r="J182" s="116"/>
      <c r="K182" s="116"/>
      <c r="L182" s="116"/>
      <c r="M182" s="116"/>
      <c r="N182" s="114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  <c r="AH182" s="116"/>
      <c r="AI182" s="116"/>
      <c r="AJ182" s="116"/>
      <c r="AK182" s="116"/>
      <c r="AL182" s="116"/>
    </row>
    <row r="183" spans="1:38" ht="15.95" hidden="1" customHeight="1" x14ac:dyDescent="0.25">
      <c r="A183" s="116"/>
      <c r="B183" s="126"/>
      <c r="C183" s="116"/>
      <c r="D183" s="116"/>
      <c r="E183" s="116"/>
      <c r="F183" s="116"/>
      <c r="G183" s="114"/>
      <c r="H183" s="116"/>
      <c r="I183" s="116"/>
      <c r="J183" s="116"/>
      <c r="K183" s="116"/>
      <c r="L183" s="116"/>
      <c r="M183" s="116"/>
      <c r="N183" s="114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  <c r="AI183" s="116"/>
      <c r="AJ183" s="116"/>
      <c r="AK183" s="116"/>
      <c r="AL183" s="116"/>
    </row>
    <row r="184" spans="1:38" ht="15.95" hidden="1" customHeight="1" x14ac:dyDescent="0.25">
      <c r="A184" s="116"/>
      <c r="B184" s="126"/>
      <c r="C184" s="116"/>
      <c r="D184" s="116"/>
      <c r="E184" s="116"/>
      <c r="F184" s="116"/>
      <c r="G184" s="114"/>
      <c r="H184" s="116"/>
      <c r="I184" s="116"/>
      <c r="J184" s="116"/>
      <c r="K184" s="116"/>
      <c r="L184" s="116"/>
      <c r="M184" s="116"/>
      <c r="N184" s="114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  <c r="AI184" s="116"/>
      <c r="AJ184" s="116"/>
      <c r="AK184" s="116"/>
      <c r="AL184" s="116"/>
    </row>
    <row r="185" spans="1:38" ht="15.95" hidden="1" customHeight="1" x14ac:dyDescent="0.25">
      <c r="A185" s="116"/>
      <c r="B185" s="116"/>
      <c r="C185" s="116"/>
      <c r="D185" s="116"/>
      <c r="E185" s="116"/>
      <c r="F185" s="116"/>
      <c r="G185" s="114"/>
      <c r="H185" s="116"/>
      <c r="I185" s="116"/>
      <c r="J185" s="116"/>
      <c r="K185" s="116"/>
      <c r="L185" s="116"/>
      <c r="M185" s="116"/>
      <c r="N185" s="114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  <c r="AI185" s="116"/>
      <c r="AJ185" s="116"/>
      <c r="AK185" s="116"/>
      <c r="AL185" s="116"/>
    </row>
    <row r="186" spans="1:38" ht="15.95" hidden="1" customHeight="1" x14ac:dyDescent="0.25">
      <c r="A186" s="116"/>
      <c r="B186" s="116"/>
      <c r="C186" s="228" t="s">
        <v>89</v>
      </c>
      <c r="D186" s="228"/>
      <c r="E186" s="228"/>
      <c r="F186" s="228"/>
      <c r="G186" s="228"/>
      <c r="H186" s="228"/>
      <c r="I186" s="228"/>
      <c r="J186" s="228"/>
      <c r="K186" s="228"/>
      <c r="L186" s="228"/>
      <c r="M186" s="116"/>
      <c r="N186" s="114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  <c r="AH186" s="116"/>
      <c r="AI186" s="116"/>
      <c r="AJ186" s="116"/>
      <c r="AK186" s="116"/>
      <c r="AL186" s="116"/>
    </row>
    <row r="187" spans="1:38" ht="15.95" hidden="1" customHeight="1" x14ac:dyDescent="0.25">
      <c r="A187" s="180"/>
      <c r="B187" s="181" t="s">
        <v>90</v>
      </c>
      <c r="C187" s="187">
        <f t="shared" ref="C187:AG187" si="173">IF(C49&gt;=4,IF(C49="",0,8),IF(C49&gt;=0.1,IF(C49="",0,C49),""))</f>
        <v>0</v>
      </c>
      <c r="D187" s="187">
        <f t="shared" si="173"/>
        <v>0</v>
      </c>
      <c r="E187" s="187">
        <f t="shared" si="173"/>
        <v>0</v>
      </c>
      <c r="F187" s="187">
        <f t="shared" si="173"/>
        <v>0</v>
      </c>
      <c r="G187" s="187">
        <f t="shared" si="173"/>
        <v>0</v>
      </c>
      <c r="H187" s="187">
        <f t="shared" si="173"/>
        <v>0</v>
      </c>
      <c r="I187" s="187">
        <f t="shared" si="173"/>
        <v>0</v>
      </c>
      <c r="J187" s="187">
        <f t="shared" si="173"/>
        <v>0</v>
      </c>
      <c r="K187" s="187">
        <f t="shared" si="173"/>
        <v>0</v>
      </c>
      <c r="L187" s="187">
        <f t="shared" si="173"/>
        <v>0</v>
      </c>
      <c r="M187" s="187">
        <f t="shared" si="173"/>
        <v>0</v>
      </c>
      <c r="N187" s="187">
        <f t="shared" si="173"/>
        <v>0</v>
      </c>
      <c r="O187" s="187">
        <f t="shared" si="173"/>
        <v>0</v>
      </c>
      <c r="P187" s="187">
        <f t="shared" si="173"/>
        <v>0</v>
      </c>
      <c r="Q187" s="187">
        <f t="shared" si="173"/>
        <v>0</v>
      </c>
      <c r="R187" s="187">
        <f t="shared" si="173"/>
        <v>0</v>
      </c>
      <c r="S187" s="187">
        <f t="shared" si="173"/>
        <v>0</v>
      </c>
      <c r="T187" s="187">
        <f t="shared" si="173"/>
        <v>0</v>
      </c>
      <c r="U187" s="187">
        <f t="shared" si="173"/>
        <v>0</v>
      </c>
      <c r="V187" s="187">
        <f t="shared" si="173"/>
        <v>0</v>
      </c>
      <c r="W187" s="187">
        <f t="shared" si="173"/>
        <v>0</v>
      </c>
      <c r="X187" s="187">
        <f t="shared" si="173"/>
        <v>0</v>
      </c>
      <c r="Y187" s="187">
        <f t="shared" si="173"/>
        <v>0</v>
      </c>
      <c r="Z187" s="187">
        <f t="shared" si="173"/>
        <v>0</v>
      </c>
      <c r="AA187" s="187">
        <f t="shared" si="173"/>
        <v>0</v>
      </c>
      <c r="AB187" s="187">
        <f t="shared" si="173"/>
        <v>0</v>
      </c>
      <c r="AC187" s="187">
        <f t="shared" si="173"/>
        <v>0</v>
      </c>
      <c r="AD187" s="187">
        <f t="shared" si="173"/>
        <v>0</v>
      </c>
      <c r="AE187" s="187">
        <f t="shared" si="173"/>
        <v>0</v>
      </c>
      <c r="AF187" s="187">
        <f t="shared" si="173"/>
        <v>0</v>
      </c>
      <c r="AG187" s="187">
        <f t="shared" si="173"/>
        <v>0</v>
      </c>
      <c r="AH187" s="188">
        <f t="shared" ref="AH187" si="174">SUM(C187:AG187)</f>
        <v>0</v>
      </c>
      <c r="AI187" s="116" t="s">
        <v>91</v>
      </c>
      <c r="AJ187" s="116"/>
      <c r="AK187" s="116"/>
      <c r="AL187" s="116"/>
    </row>
    <row r="188" spans="1:38" ht="15.95" hidden="1" customHeight="1" x14ac:dyDescent="0.25">
      <c r="A188" s="116"/>
      <c r="B188" s="181" t="s">
        <v>92</v>
      </c>
      <c r="C188" s="189">
        <v>1</v>
      </c>
      <c r="D188" s="189">
        <v>2</v>
      </c>
      <c r="E188" s="189">
        <v>3</v>
      </c>
      <c r="F188" s="189">
        <v>4</v>
      </c>
      <c r="G188" s="189">
        <v>5</v>
      </c>
      <c r="H188" s="189">
        <v>6</v>
      </c>
      <c r="I188" s="189">
        <v>7</v>
      </c>
      <c r="J188" s="189">
        <v>8</v>
      </c>
      <c r="K188" s="189">
        <v>9</v>
      </c>
      <c r="L188" s="189">
        <v>10</v>
      </c>
      <c r="M188" s="189">
        <v>11</v>
      </c>
      <c r="N188" s="189">
        <v>12</v>
      </c>
      <c r="O188" s="189">
        <v>13</v>
      </c>
      <c r="P188" s="189">
        <v>14</v>
      </c>
      <c r="Q188" s="189">
        <v>15</v>
      </c>
      <c r="R188" s="189">
        <v>16</v>
      </c>
      <c r="S188" s="189">
        <v>17</v>
      </c>
      <c r="T188" s="189">
        <v>18</v>
      </c>
      <c r="U188" s="189">
        <v>19</v>
      </c>
      <c r="V188" s="189">
        <v>20</v>
      </c>
      <c r="W188" s="189">
        <v>21</v>
      </c>
      <c r="X188" s="189">
        <v>22</v>
      </c>
      <c r="Y188" s="189">
        <v>23</v>
      </c>
      <c r="Z188" s="189">
        <v>24</v>
      </c>
      <c r="AA188" s="189">
        <v>25</v>
      </c>
      <c r="AB188" s="189">
        <v>26</v>
      </c>
      <c r="AC188" s="189">
        <v>27</v>
      </c>
      <c r="AD188" s="189">
        <v>28</v>
      </c>
      <c r="AE188" s="189">
        <v>29</v>
      </c>
      <c r="AF188" s="189">
        <v>30</v>
      </c>
      <c r="AG188" s="189">
        <v>31</v>
      </c>
      <c r="AH188" s="116"/>
      <c r="AI188" s="116"/>
      <c r="AJ188" s="116"/>
      <c r="AK188" s="116"/>
      <c r="AL188" s="116"/>
    </row>
    <row r="189" spans="1:38" ht="15.95" hidden="1" customHeight="1" x14ac:dyDescent="0.25">
      <c r="A189" s="116"/>
      <c r="B189" s="116"/>
      <c r="C189" s="116"/>
      <c r="D189" s="116"/>
      <c r="E189" s="116"/>
      <c r="F189" s="116"/>
      <c r="G189" s="114"/>
      <c r="H189" s="116"/>
      <c r="I189" s="116"/>
      <c r="J189" s="116"/>
      <c r="K189" s="116"/>
      <c r="L189" s="116"/>
      <c r="M189" s="116"/>
      <c r="N189" s="114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  <c r="AH189" s="116"/>
      <c r="AI189" s="116"/>
      <c r="AJ189" s="116"/>
      <c r="AK189" s="116"/>
      <c r="AL189" s="116"/>
    </row>
    <row r="190" spans="1:38" ht="15.95" hidden="1" customHeight="1" x14ac:dyDescent="0.25">
      <c r="A190" s="116"/>
      <c r="B190" s="116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  <c r="AB190" s="221"/>
      <c r="AC190" s="221"/>
      <c r="AD190" s="221"/>
      <c r="AE190" s="221"/>
      <c r="AF190" s="221"/>
      <c r="AG190" s="221"/>
      <c r="AH190" s="116"/>
      <c r="AI190" s="116"/>
      <c r="AJ190" s="116"/>
      <c r="AK190" s="116"/>
      <c r="AL190" s="116"/>
    </row>
    <row r="191" spans="1:38" ht="15.95" hidden="1" customHeight="1" x14ac:dyDescent="0.25">
      <c r="A191" s="116"/>
      <c r="B191" s="181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  <c r="AA191" s="190"/>
      <c r="AB191" s="190"/>
      <c r="AC191" s="190"/>
      <c r="AD191" s="190"/>
      <c r="AE191" s="190"/>
      <c r="AF191" s="190"/>
      <c r="AG191" s="190"/>
      <c r="AH191" s="116"/>
      <c r="AI191" s="116"/>
      <c r="AJ191" s="116"/>
      <c r="AK191" s="116"/>
      <c r="AL191" s="116"/>
    </row>
    <row r="192" spans="1:38" ht="15.95" hidden="1" customHeight="1" x14ac:dyDescent="0.25">
      <c r="A192" s="116"/>
      <c r="B192" s="191"/>
      <c r="C192" s="192"/>
      <c r="D192" s="192"/>
      <c r="E192" s="192"/>
      <c r="F192" s="192"/>
      <c r="G192" s="193"/>
      <c r="H192" s="192"/>
      <c r="I192" s="192"/>
      <c r="J192" s="192"/>
      <c r="K192" s="192"/>
      <c r="L192" s="192"/>
      <c r="M192" s="192"/>
      <c r="N192" s="193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  <c r="AA192" s="192"/>
      <c r="AB192" s="192"/>
      <c r="AC192" s="192"/>
      <c r="AD192" s="192"/>
      <c r="AE192" s="192"/>
      <c r="AF192" s="192"/>
      <c r="AG192" s="192"/>
      <c r="AH192" s="116"/>
      <c r="AI192" s="116"/>
      <c r="AJ192" s="116"/>
      <c r="AK192" s="116"/>
      <c r="AL192" s="116"/>
    </row>
    <row r="193" spans="1:38" ht="15.95" hidden="1" customHeight="1" x14ac:dyDescent="0.25">
      <c r="A193" s="116"/>
      <c r="B193" s="116"/>
      <c r="C193" s="116"/>
      <c r="D193" s="116"/>
      <c r="E193" s="116"/>
      <c r="F193" s="116"/>
      <c r="G193" s="114"/>
      <c r="H193" s="116"/>
      <c r="I193" s="116"/>
      <c r="J193" s="116"/>
      <c r="K193" s="116"/>
      <c r="L193" s="116"/>
      <c r="M193" s="116"/>
      <c r="N193" s="114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  <c r="AH193" s="116"/>
      <c r="AI193" s="116"/>
      <c r="AJ193" s="116"/>
      <c r="AK193" s="116"/>
      <c r="AL193" s="116"/>
    </row>
    <row r="194" spans="1:38" ht="15.95" hidden="1" customHeight="1" x14ac:dyDescent="0.25">
      <c r="A194" s="116"/>
      <c r="B194" s="116"/>
      <c r="C194" s="116"/>
      <c r="D194" s="116"/>
      <c r="E194" s="116"/>
      <c r="F194" s="116"/>
      <c r="G194" s="114"/>
      <c r="H194" s="116"/>
      <c r="I194" s="116"/>
      <c r="J194" s="116"/>
      <c r="K194" s="116"/>
      <c r="L194" s="116"/>
      <c r="M194" s="116"/>
      <c r="N194" s="114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  <c r="AK194" s="116"/>
      <c r="AL194" s="116"/>
    </row>
    <row r="195" spans="1:38" ht="15.95" hidden="1" customHeight="1" x14ac:dyDescent="0.25">
      <c r="A195" s="116"/>
      <c r="B195" s="116"/>
      <c r="C195" s="116"/>
      <c r="D195" s="116"/>
      <c r="E195" s="116"/>
      <c r="F195" s="116"/>
      <c r="G195" s="114"/>
      <c r="H195" s="116"/>
      <c r="I195" s="116"/>
      <c r="J195" s="116"/>
      <c r="K195" s="116"/>
      <c r="L195" s="116"/>
      <c r="M195" s="116"/>
      <c r="N195" s="114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  <c r="AJ195" s="116"/>
      <c r="AK195" s="116"/>
      <c r="AL195" s="116"/>
    </row>
    <row r="196" spans="1:38" ht="15.95" hidden="1" customHeight="1" x14ac:dyDescent="0.25">
      <c r="A196" s="116"/>
      <c r="B196" s="116"/>
      <c r="C196" s="116"/>
      <c r="D196" s="116"/>
      <c r="E196" s="116"/>
      <c r="F196" s="116"/>
      <c r="G196" s="114"/>
      <c r="H196" s="116"/>
      <c r="I196" s="116"/>
      <c r="J196" s="116"/>
      <c r="K196" s="116"/>
      <c r="L196" s="116"/>
      <c r="M196" s="116"/>
      <c r="N196" s="114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  <c r="AJ196" s="116"/>
      <c r="AK196" s="116"/>
      <c r="AL196" s="116"/>
    </row>
    <row r="197" spans="1:38" ht="15.95" hidden="1" customHeight="1" x14ac:dyDescent="0.25">
      <c r="A197" s="116"/>
      <c r="B197" s="116"/>
      <c r="C197" s="116"/>
      <c r="D197" s="116"/>
      <c r="E197" s="116"/>
      <c r="F197" s="116"/>
      <c r="G197" s="114"/>
      <c r="H197" s="116"/>
      <c r="I197" s="116"/>
      <c r="J197" s="116"/>
      <c r="K197" s="116"/>
      <c r="L197" s="116"/>
      <c r="M197" s="116"/>
      <c r="N197" s="114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  <c r="AI197" s="116"/>
      <c r="AJ197" s="116"/>
      <c r="AK197" s="116"/>
      <c r="AL197" s="116"/>
    </row>
    <row r="198" spans="1:38" ht="15.95" hidden="1" customHeight="1" x14ac:dyDescent="0.25">
      <c r="A198" s="116"/>
      <c r="B198" s="116"/>
      <c r="C198" s="116"/>
      <c r="D198" s="116"/>
      <c r="E198" s="116"/>
      <c r="F198" s="116"/>
      <c r="G198" s="114"/>
      <c r="H198" s="116"/>
      <c r="I198" s="116"/>
      <c r="J198" s="116"/>
      <c r="K198" s="116"/>
      <c r="L198" s="116"/>
      <c r="M198" s="116"/>
      <c r="N198" s="114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  <c r="AL198" s="116"/>
    </row>
    <row r="199" spans="1:38" ht="15.95" hidden="1" customHeight="1" x14ac:dyDescent="0.25">
      <c r="A199" s="116"/>
      <c r="B199" s="116"/>
      <c r="C199" s="116"/>
      <c r="D199" s="116"/>
      <c r="E199" s="116"/>
      <c r="F199" s="116"/>
      <c r="G199" s="114"/>
      <c r="H199" s="116"/>
      <c r="I199" s="116"/>
      <c r="J199" s="116"/>
      <c r="K199" s="116"/>
      <c r="L199" s="116"/>
      <c r="M199" s="116"/>
      <c r="N199" s="114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  <c r="AJ199" s="116"/>
      <c r="AK199" s="116"/>
      <c r="AL199" s="116"/>
    </row>
    <row r="200" spans="1:38" ht="15.95" hidden="1" customHeight="1" x14ac:dyDescent="0.25">
      <c r="A200" s="116"/>
      <c r="B200" s="116"/>
      <c r="C200" s="116"/>
      <c r="D200" s="116"/>
      <c r="E200" s="116"/>
      <c r="F200" s="116"/>
      <c r="G200" s="114"/>
      <c r="H200" s="116"/>
      <c r="I200" s="116"/>
      <c r="J200" s="116"/>
      <c r="K200" s="116"/>
      <c r="L200" s="116"/>
      <c r="M200" s="116"/>
      <c r="N200" s="114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  <c r="AI200" s="116"/>
      <c r="AJ200" s="116"/>
      <c r="AK200" s="116"/>
      <c r="AL200" s="116"/>
    </row>
    <row r="201" spans="1:38" ht="20.25" customHeight="1" x14ac:dyDescent="0.25">
      <c r="A201" s="116"/>
      <c r="B201" s="116"/>
      <c r="C201" s="116"/>
      <c r="D201" s="116"/>
      <c r="E201" s="116"/>
      <c r="F201" s="116"/>
      <c r="G201" s="114"/>
      <c r="H201" s="116"/>
      <c r="I201" s="116"/>
      <c r="J201" s="116"/>
      <c r="K201" s="116"/>
      <c r="L201" s="116"/>
      <c r="M201" s="116"/>
      <c r="N201" s="114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  <c r="AK201" s="116"/>
      <c r="AL201" s="116"/>
    </row>
  </sheetData>
  <sheetProtection algorithmName="SHA-512" hashValue="rHGUHkVCu2VBuVOoziMqZXVIZDltC8s30uI0yI1dODIIGbEr14HMOsXGTwIF4/4RKpb3Kz7pe+K2YyUmLWa6XA==" saltValue="BrvL7wHpKY9NgzaRhHNgpA==" spinCount="100000" sheet="1" objects="1" scenarios="1" formatCells="0"/>
  <mergeCells count="148">
    <mergeCell ref="AH171:AI171"/>
    <mergeCell ref="AJ171:AK171"/>
    <mergeCell ref="AH172:AI172"/>
    <mergeCell ref="AH178:AI178"/>
    <mergeCell ref="C186:L186"/>
    <mergeCell ref="C190:AG190"/>
    <mergeCell ref="AH150:AI150"/>
    <mergeCell ref="AH156:AI156"/>
    <mergeCell ref="AH160:AI160"/>
    <mergeCell ref="AJ160:AK160"/>
    <mergeCell ref="AH161:AI161"/>
    <mergeCell ref="AH167:AI167"/>
    <mergeCell ref="AH138:AI138"/>
    <mergeCell ref="AJ138:AK138"/>
    <mergeCell ref="AH139:AI139"/>
    <mergeCell ref="AH145:AI145"/>
    <mergeCell ref="AH149:AI149"/>
    <mergeCell ref="AJ149:AK149"/>
    <mergeCell ref="AH117:AI117"/>
    <mergeCell ref="AH123:AI123"/>
    <mergeCell ref="AH127:AI127"/>
    <mergeCell ref="AJ127:AK127"/>
    <mergeCell ref="AH128:AI128"/>
    <mergeCell ref="AH134:AI134"/>
    <mergeCell ref="AH105:AI105"/>
    <mergeCell ref="AJ105:AK105"/>
    <mergeCell ref="AH106:AI106"/>
    <mergeCell ref="AH112:AI112"/>
    <mergeCell ref="AH116:AI116"/>
    <mergeCell ref="AJ116:AK116"/>
    <mergeCell ref="AH83:AI83"/>
    <mergeCell ref="AH84:AI84"/>
    <mergeCell ref="AH90:AI90"/>
    <mergeCell ref="AH94:AI94"/>
    <mergeCell ref="AH95:AI95"/>
    <mergeCell ref="AH101:AI101"/>
    <mergeCell ref="AH61:AI61"/>
    <mergeCell ref="AH62:AI62"/>
    <mergeCell ref="AH68:AI68"/>
    <mergeCell ref="AH72:AI72"/>
    <mergeCell ref="AH73:AI73"/>
    <mergeCell ref="AH79:AI79"/>
    <mergeCell ref="AI48:AJ48"/>
    <mergeCell ref="AI49:AJ49"/>
    <mergeCell ref="AN49:AO49"/>
    <mergeCell ref="AH50:AI50"/>
    <mergeCell ref="AH51:AI51"/>
    <mergeCell ref="AH57:AI57"/>
    <mergeCell ref="C43:D43"/>
    <mergeCell ref="E43:AI43"/>
    <mergeCell ref="AI45:AJ45"/>
    <mergeCell ref="AI46:AJ46"/>
    <mergeCell ref="AI47:AJ47"/>
    <mergeCell ref="AN47:AO47"/>
    <mergeCell ref="S39:T39"/>
    <mergeCell ref="V39:W39"/>
    <mergeCell ref="S40:T40"/>
    <mergeCell ref="V40:W40"/>
    <mergeCell ref="C42:V42"/>
    <mergeCell ref="W42:AH42"/>
    <mergeCell ref="A37:B37"/>
    <mergeCell ref="C37:N37"/>
    <mergeCell ref="S37:T37"/>
    <mergeCell ref="V37:W37"/>
    <mergeCell ref="A38:B38"/>
    <mergeCell ref="C38:N38"/>
    <mergeCell ref="S38:T38"/>
    <mergeCell ref="V38:W38"/>
    <mergeCell ref="A35:B35"/>
    <mergeCell ref="C35:N35"/>
    <mergeCell ref="S35:T35"/>
    <mergeCell ref="V35:W35"/>
    <mergeCell ref="A36:B36"/>
    <mergeCell ref="C36:N36"/>
    <mergeCell ref="S36:T36"/>
    <mergeCell ref="V36:W36"/>
    <mergeCell ref="A33:B33"/>
    <mergeCell ref="C33:N33"/>
    <mergeCell ref="S33:T33"/>
    <mergeCell ref="V33:W33"/>
    <mergeCell ref="A34:B34"/>
    <mergeCell ref="C34:N34"/>
    <mergeCell ref="S34:T34"/>
    <mergeCell ref="V34:W34"/>
    <mergeCell ref="AR31:AZ31"/>
    <mergeCell ref="D26:E26"/>
    <mergeCell ref="G26:H26"/>
    <mergeCell ref="K26:L26"/>
    <mergeCell ref="N26:O26"/>
    <mergeCell ref="R26:S26"/>
    <mergeCell ref="U26:V26"/>
    <mergeCell ref="W26:X26"/>
    <mergeCell ref="BB31:BC31"/>
    <mergeCell ref="A32:B32"/>
    <mergeCell ref="C32:N32"/>
    <mergeCell ref="S32:T32"/>
    <mergeCell ref="V32:W32"/>
    <mergeCell ref="AD32:AG32"/>
    <mergeCell ref="AI32:AJ32"/>
    <mergeCell ref="Z26:AA26"/>
    <mergeCell ref="AH26:AI26"/>
    <mergeCell ref="AJ26:AL26"/>
    <mergeCell ref="AE27:AF27"/>
    <mergeCell ref="C29:AJ29"/>
    <mergeCell ref="A31:N31"/>
    <mergeCell ref="R31:W31"/>
    <mergeCell ref="AD31:AI31"/>
    <mergeCell ref="AH24:AI24"/>
    <mergeCell ref="AJ24:AL24"/>
    <mergeCell ref="D25:E25"/>
    <mergeCell ref="G25:H25"/>
    <mergeCell ref="K25:L25"/>
    <mergeCell ref="N25:O25"/>
    <mergeCell ref="R25:S25"/>
    <mergeCell ref="U25:V25"/>
    <mergeCell ref="W25:X25"/>
    <mergeCell ref="Z25:AA25"/>
    <mergeCell ref="AH25:AI25"/>
    <mergeCell ref="AJ25:AL25"/>
    <mergeCell ref="C23:H23"/>
    <mergeCell ref="J23:O23"/>
    <mergeCell ref="Q23:AA23"/>
    <mergeCell ref="D24:E24"/>
    <mergeCell ref="G24:H24"/>
    <mergeCell ref="K24:L24"/>
    <mergeCell ref="N24:O24"/>
    <mergeCell ref="R24:S24"/>
    <mergeCell ref="U24:V24"/>
    <mergeCell ref="W24:X24"/>
    <mergeCell ref="Z24:AA24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B3:J3"/>
    <mergeCell ref="B4:O4"/>
    <mergeCell ref="Q4:X4"/>
    <mergeCell ref="Z4:AB4"/>
    <mergeCell ref="AC4:AH4"/>
    <mergeCell ref="A8:B8"/>
    <mergeCell ref="A15:B15"/>
    <mergeCell ref="A16:B16"/>
    <mergeCell ref="A17:B17"/>
  </mergeCells>
  <conditionalFormatting sqref="C7:AG20">
    <cfRule type="expression" dxfId="3" priority="1" stopIfTrue="1">
      <formula>C$46=1</formula>
    </cfRule>
  </conditionalFormatting>
  <hyperlinks>
    <hyperlink ref="C42" r:id="rId1" xr:uid="{00000000-0004-0000-0800-000000000000}"/>
  </hyperlinks>
  <printOptions horizontalCentered="1"/>
  <pageMargins left="7.874015748031496E-2" right="7.874015748031496E-2" top="0.31496062992125984" bottom="0" header="0.51181102362204722" footer="0.51181102362204722"/>
  <pageSetup paperSize="9" scale="97" orientation="landscape" useFirstPageNumber="1" r:id="rId2"/>
  <headerFooter alignWithMargins="0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CI201"/>
  <sheetViews>
    <sheetView showGridLines="0" showRowColHeaders="0" zoomScale="120" zoomScaleNormal="120" zoomScaleSheetLayoutView="75" workbookViewId="0">
      <selection activeCell="C35" sqref="C35:N35"/>
    </sheetView>
  </sheetViews>
  <sheetFormatPr baseColWidth="10" defaultColWidth="11.140625" defaultRowHeight="20.25" customHeight="1" x14ac:dyDescent="0.25"/>
  <cols>
    <col min="1" max="2" width="9.7109375" style="1" customWidth="1"/>
    <col min="3" max="6" width="3.28515625" style="1" customWidth="1"/>
    <col min="7" max="7" width="3.28515625" style="2" customWidth="1"/>
    <col min="8" max="13" width="3.28515625" style="1" customWidth="1"/>
    <col min="14" max="14" width="3.28515625" style="2" customWidth="1"/>
    <col min="15" max="33" width="3.28515625" style="1" customWidth="1"/>
    <col min="34" max="34" width="7.7109375" style="1" customWidth="1"/>
    <col min="35" max="38" width="4.7109375" style="1" customWidth="1"/>
    <col min="39" max="59" width="6.7109375" style="1" hidden="1" customWidth="1"/>
    <col min="60" max="83" width="4.7109375" style="1" hidden="1" customWidth="1"/>
    <col min="84" max="95" width="0" style="1" hidden="1" customWidth="1"/>
    <col min="96" max="16384" width="11.140625" style="1"/>
  </cols>
  <sheetData>
    <row r="1" spans="1:84" s="2" customFormat="1" ht="19.5" customHeight="1" x14ac:dyDescent="0.35">
      <c r="B1" s="3"/>
      <c r="M1" s="4"/>
      <c r="U1" s="5"/>
      <c r="V1" s="6"/>
      <c r="Z1" s="7"/>
      <c r="AA1" s="7"/>
      <c r="AB1" s="7"/>
      <c r="AC1" s="7"/>
      <c r="AD1" s="7"/>
      <c r="AE1" s="7"/>
      <c r="AF1" s="7"/>
      <c r="AG1" s="1"/>
      <c r="AH1" s="1"/>
      <c r="AI1" s="1"/>
      <c r="AJ1" s="1"/>
    </row>
    <row r="2" spans="1:84" s="2" customFormat="1" ht="19.5" customHeight="1" x14ac:dyDescent="0.35">
      <c r="B2" s="3"/>
      <c r="M2" s="4"/>
      <c r="U2" s="5"/>
      <c r="V2" s="6"/>
      <c r="Z2" s="7"/>
      <c r="AA2" s="7"/>
      <c r="AB2" s="7"/>
      <c r="AC2" s="7"/>
      <c r="AD2" s="7"/>
      <c r="AE2" s="7"/>
      <c r="AF2" s="7"/>
      <c r="AG2" s="1"/>
      <c r="AH2" s="1"/>
      <c r="AI2" s="1"/>
      <c r="AJ2" s="1"/>
    </row>
    <row r="3" spans="1:84" s="2" customFormat="1" ht="19.5" customHeight="1" x14ac:dyDescent="0.35">
      <c r="B3" s="271" t="str">
        <f t="shared" ref="B3:B4" si="0">C32</f>
        <v>EMPRESA</v>
      </c>
      <c r="C3" s="271"/>
      <c r="D3" s="271"/>
      <c r="E3" s="271"/>
      <c r="F3" s="271"/>
      <c r="G3" s="271"/>
      <c r="H3" s="271"/>
      <c r="I3" s="271"/>
      <c r="J3" s="271"/>
      <c r="M3" s="4"/>
      <c r="U3" s="5"/>
      <c r="V3" s="6"/>
      <c r="Z3" s="7"/>
      <c r="AA3" s="7"/>
      <c r="AB3" s="7"/>
      <c r="AC3" s="7"/>
      <c r="AD3" s="7"/>
      <c r="AE3" s="7"/>
      <c r="AF3" s="7"/>
      <c r="AG3" s="1"/>
      <c r="AH3" s="1"/>
      <c r="AI3" s="1"/>
      <c r="AJ3" s="1"/>
    </row>
    <row r="4" spans="1:84" s="9" customFormat="1" ht="17.25" customHeight="1" x14ac:dyDescent="0.25">
      <c r="A4" s="8"/>
      <c r="B4" s="272" t="str">
        <f t="shared" si="0"/>
        <v>CENTRO</v>
      </c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1"/>
      <c r="Q4" s="232">
        <f>DATE($C$34,$C$35,1)</f>
        <v>45931</v>
      </c>
      <c r="R4" s="232"/>
      <c r="S4" s="232"/>
      <c r="T4" s="232"/>
      <c r="U4" s="232"/>
      <c r="V4" s="232"/>
      <c r="W4" s="232"/>
      <c r="X4" s="232"/>
      <c r="Y4" s="1"/>
      <c r="Z4" s="259">
        <f>SUM(AH51+AH62+AH73+AH84+AH95+AH106+AH117+AH128+AH139+AH150+AH161+AH172)</f>
        <v>0</v>
      </c>
      <c r="AA4" s="259"/>
      <c r="AB4" s="259"/>
      <c r="AC4" s="267" t="s">
        <v>0</v>
      </c>
      <c r="AD4" s="267"/>
      <c r="AE4" s="267"/>
      <c r="AF4" s="267"/>
      <c r="AG4" s="267"/>
      <c r="AH4" s="267"/>
      <c r="AI4" s="1"/>
      <c r="AJ4" s="1"/>
    </row>
    <row r="5" spans="1:84" s="2" customFormat="1" ht="17.25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/>
      <c r="AD5" s="12"/>
      <c r="AE5" s="12" t="str">
        <f>IF(CA59=28,IF(CA59="",0,1),IF(CA59=1,IF(CA59="",0,1),""))</f>
        <v/>
      </c>
      <c r="AF5" s="12" t="str">
        <f>IF(CA59=29,IF(CA59="",0,1),IF(CA59=1,IF(CA59="",0,1),""))</f>
        <v/>
      </c>
      <c r="AG5" s="12" t="str">
        <f>IF(CA59=30,IF(CA59="",0,1),IF(CA59=1,IF(CA59="",0,1),""))</f>
        <v/>
      </c>
      <c r="AH5" s="12">
        <f>IF(CA59=31,IF(CA59="",0,1),IF(CA59=1,IF(CA59="",0,1),""))</f>
        <v>1</v>
      </c>
      <c r="AI5" s="1"/>
      <c r="AJ5" s="1"/>
    </row>
    <row r="6" spans="1:84" s="13" customFormat="1" ht="17.25" customHeight="1" x14ac:dyDescent="0.25">
      <c r="B6" s="14" t="s">
        <v>1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"/>
      <c r="AJ6" s="1"/>
    </row>
    <row r="7" spans="1:84" s="11" customFormat="1" ht="19.5" customHeight="1" x14ac:dyDescent="0.25">
      <c r="A7" s="16"/>
      <c r="B7" s="17" t="s">
        <v>2</v>
      </c>
      <c r="C7" s="18" t="str">
        <f>IF(AV47="LUNES","lu",IF(AV47="MARTES","ma",IF(AV47="MIERCOLES","mi",IF(AV47="JUEVES","ju",IF(AV47="VIERNES","vi",IF(AV47="SABADO","S",IF(AV47="DOMINGO","D","")))))))</f>
        <v>mi</v>
      </c>
      <c r="D7" s="18" t="str">
        <f t="shared" ref="D7:AD7" si="1">IF(C7="lu","ma",IF(C7="ma","mi",IF(C7="mi","ju",IF(C7="ju","vi",IF(C7="vi","S",IF(C7="S","D",IF(C7="D","lu","")))))))</f>
        <v>ju</v>
      </c>
      <c r="E7" s="18" t="str">
        <f t="shared" si="1"/>
        <v>vi</v>
      </c>
      <c r="F7" s="18" t="str">
        <f t="shared" si="1"/>
        <v>S</v>
      </c>
      <c r="G7" s="18" t="str">
        <f t="shared" si="1"/>
        <v>D</v>
      </c>
      <c r="H7" s="18" t="str">
        <f t="shared" si="1"/>
        <v>lu</v>
      </c>
      <c r="I7" s="18" t="str">
        <f t="shared" si="1"/>
        <v>ma</v>
      </c>
      <c r="J7" s="18" t="str">
        <f t="shared" si="1"/>
        <v>mi</v>
      </c>
      <c r="K7" s="18" t="str">
        <f t="shared" si="1"/>
        <v>ju</v>
      </c>
      <c r="L7" s="18" t="str">
        <f t="shared" si="1"/>
        <v>vi</v>
      </c>
      <c r="M7" s="18" t="str">
        <f t="shared" si="1"/>
        <v>S</v>
      </c>
      <c r="N7" s="18" t="str">
        <f t="shared" si="1"/>
        <v>D</v>
      </c>
      <c r="O7" s="18" t="str">
        <f t="shared" si="1"/>
        <v>lu</v>
      </c>
      <c r="P7" s="18" t="str">
        <f t="shared" si="1"/>
        <v>ma</v>
      </c>
      <c r="Q7" s="18" t="str">
        <f t="shared" si="1"/>
        <v>mi</v>
      </c>
      <c r="R7" s="18" t="str">
        <f t="shared" si="1"/>
        <v>ju</v>
      </c>
      <c r="S7" s="18" t="str">
        <f t="shared" si="1"/>
        <v>vi</v>
      </c>
      <c r="T7" s="18" t="str">
        <f t="shared" si="1"/>
        <v>S</v>
      </c>
      <c r="U7" s="18" t="str">
        <f t="shared" si="1"/>
        <v>D</v>
      </c>
      <c r="V7" s="18" t="str">
        <f t="shared" si="1"/>
        <v>lu</v>
      </c>
      <c r="W7" s="18" t="str">
        <f t="shared" si="1"/>
        <v>ma</v>
      </c>
      <c r="X7" s="18" t="str">
        <f t="shared" si="1"/>
        <v>mi</v>
      </c>
      <c r="Y7" s="18" t="str">
        <f t="shared" si="1"/>
        <v>ju</v>
      </c>
      <c r="Z7" s="18" t="str">
        <f t="shared" si="1"/>
        <v>vi</v>
      </c>
      <c r="AA7" s="18" t="str">
        <f t="shared" si="1"/>
        <v>S</v>
      </c>
      <c r="AB7" s="18" t="str">
        <f t="shared" si="1"/>
        <v>D</v>
      </c>
      <c r="AC7" s="18" t="str">
        <f t="shared" si="1"/>
        <v>lu</v>
      </c>
      <c r="AD7" s="18" t="str">
        <f t="shared" si="1"/>
        <v>ma</v>
      </c>
      <c r="AE7" s="18" t="str">
        <f>IF(AE8="","",IF(AD7="lu","ma",IF(AD7="ma","mi",IF(AD7="mi","ju",IF(AD7="ju","vi",IF(AD7="vi","S",IF(AD7="S","D",IF(AD7="D","lu",""))))))))</f>
        <v>mi</v>
      </c>
      <c r="AF7" s="18" t="str">
        <f>IF(AF8="","",IF(AE7="lu","ma",IF(AE7="ma","mi",IF(AE7="mi","ju",IF(AE7="ju","vi",IF(AE7="vi","S",IF(AE7="S","D",IF(AE7="D","lu",""))))))))</f>
        <v>ju</v>
      </c>
      <c r="AG7" s="18" t="str">
        <f>IF(AG8="","",IF(AF7="lu","ma",IF(AF7="ma","mi",IF(AF7="mi","ju",IF(AF7="ju","vi",IF(AF7="vi","S",IF(AF7="S","D",IF(AF7="D","lu",""))))))))</f>
        <v>vi</v>
      </c>
      <c r="AH7" s="16"/>
    </row>
    <row r="8" spans="1:84" s="22" customFormat="1" ht="19.5" customHeight="1" x14ac:dyDescent="0.2">
      <c r="A8" s="270" t="s">
        <v>3</v>
      </c>
      <c r="B8" s="270"/>
      <c r="C8" s="18">
        <v>1</v>
      </c>
      <c r="D8" s="18">
        <v>2</v>
      </c>
      <c r="E8" s="18">
        <v>3</v>
      </c>
      <c r="F8" s="18">
        <v>4</v>
      </c>
      <c r="G8" s="18">
        <v>5</v>
      </c>
      <c r="H8" s="18">
        <v>6</v>
      </c>
      <c r="I8" s="18">
        <v>7</v>
      </c>
      <c r="J8" s="18">
        <v>8</v>
      </c>
      <c r="K8" s="18">
        <v>9</v>
      </c>
      <c r="L8" s="18">
        <v>10</v>
      </c>
      <c r="M8" s="18">
        <v>11</v>
      </c>
      <c r="N8" s="18">
        <v>12</v>
      </c>
      <c r="O8" s="18">
        <v>13</v>
      </c>
      <c r="P8" s="18">
        <v>14</v>
      </c>
      <c r="Q8" s="18">
        <v>15</v>
      </c>
      <c r="R8" s="18">
        <v>16</v>
      </c>
      <c r="S8" s="18">
        <v>17</v>
      </c>
      <c r="T8" s="18">
        <v>18</v>
      </c>
      <c r="U8" s="18">
        <v>19</v>
      </c>
      <c r="V8" s="18">
        <v>20</v>
      </c>
      <c r="W8" s="18">
        <v>21</v>
      </c>
      <c r="X8" s="18">
        <v>22</v>
      </c>
      <c r="Y8" s="18">
        <v>23</v>
      </c>
      <c r="Z8" s="18">
        <v>24</v>
      </c>
      <c r="AA8" s="18">
        <v>25</v>
      </c>
      <c r="AB8" s="18">
        <v>26</v>
      </c>
      <c r="AC8" s="18">
        <v>27</v>
      </c>
      <c r="AD8" s="18">
        <v>28</v>
      </c>
      <c r="AE8" s="18">
        <f>IF(CA59=28,"",IF(CA59=29,29,IF(CA59=30,29,IF(CA59=31,29,""))))</f>
        <v>29</v>
      </c>
      <c r="AF8" s="18">
        <f>IF(CA59=28,"",IF(CA59=29,"",IF(CA59=30,30,IF(CA59=31,30,""))))</f>
        <v>30</v>
      </c>
      <c r="AG8" s="18">
        <f>IF(CA59=28,"",IF(CA59=29,"",IF(CA59=30,"",IF(CA59=31,31,""))))</f>
        <v>31</v>
      </c>
      <c r="AH8" s="19" t="s">
        <v>60</v>
      </c>
      <c r="AI8" s="20" t="s">
        <v>4</v>
      </c>
      <c r="AJ8" s="20" t="s">
        <v>5</v>
      </c>
      <c r="AK8" s="21" t="s">
        <v>6</v>
      </c>
      <c r="AL8" s="21" t="s">
        <v>7</v>
      </c>
    </row>
    <row r="9" spans="1:84" s="2" customFormat="1" ht="20.100000000000001" customHeight="1" x14ac:dyDescent="0.25">
      <c r="A9" s="268" t="s">
        <v>155</v>
      </c>
      <c r="B9" s="268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4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83">
        <f>SUM(AH50:AH51)</f>
        <v>0</v>
      </c>
      <c r="AI9" s="84">
        <f>AH9-C37</f>
        <v>-162</v>
      </c>
      <c r="AJ9" s="84">
        <f>SUM(C55:AG55)</f>
        <v>0</v>
      </c>
      <c r="AK9" s="84">
        <f>AK32</f>
        <v>0</v>
      </c>
      <c r="AL9" s="18">
        <f>SUM(C56:AG56)</f>
        <v>0</v>
      </c>
      <c r="CB9" s="25">
        <f>ROUNDDOWN(AH9,0)</f>
        <v>0</v>
      </c>
      <c r="CC9" s="26">
        <f>AH9-INT(AH9)</f>
        <v>0</v>
      </c>
      <c r="CD9" s="27">
        <f>CC9/24</f>
        <v>0</v>
      </c>
      <c r="CE9"/>
      <c r="CF9"/>
    </row>
    <row r="10" spans="1:84" s="2" customFormat="1" ht="20.100000000000001" customHeight="1" x14ac:dyDescent="0.25">
      <c r="A10" s="268" t="s">
        <v>157</v>
      </c>
      <c r="B10" s="268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83">
        <f>SUM(AH61:AH62)</f>
        <v>0</v>
      </c>
      <c r="AI10" s="84">
        <f>AH10-C37</f>
        <v>-162</v>
      </c>
      <c r="AJ10" s="84">
        <f>SUM(C66:AG66)</f>
        <v>0</v>
      </c>
      <c r="AK10" s="84">
        <f t="shared" ref="AK10:AK20" si="2">AK33</f>
        <v>0</v>
      </c>
      <c r="AL10" s="18">
        <f>SUM(C67:AG67)</f>
        <v>0</v>
      </c>
      <c r="CF10"/>
    </row>
    <row r="11" spans="1:84" s="2" customFormat="1" ht="20.100000000000001" customHeight="1" x14ac:dyDescent="0.25">
      <c r="A11" s="268" t="s">
        <v>156</v>
      </c>
      <c r="B11" s="268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83">
        <f>SUM(AH72:AH73)</f>
        <v>0</v>
      </c>
      <c r="AI11" s="84">
        <f>AH11-C37</f>
        <v>-162</v>
      </c>
      <c r="AJ11" s="84">
        <f>SUM(C77:AG77)</f>
        <v>0</v>
      </c>
      <c r="AK11" s="84">
        <f t="shared" si="2"/>
        <v>0</v>
      </c>
      <c r="AL11" s="18">
        <f>SUM(C78:AG78)</f>
        <v>0</v>
      </c>
      <c r="CF11"/>
    </row>
    <row r="12" spans="1:84" s="2" customFormat="1" ht="20.100000000000001" customHeight="1" x14ac:dyDescent="0.25">
      <c r="A12" s="268" t="s">
        <v>174</v>
      </c>
      <c r="B12" s="268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83">
        <f>SUM(AH83:AH84)</f>
        <v>0</v>
      </c>
      <c r="AI12" s="84">
        <f>AH12-C37</f>
        <v>-162</v>
      </c>
      <c r="AJ12" s="84">
        <f>SUM(C88:AG88)</f>
        <v>0</v>
      </c>
      <c r="AK12" s="84">
        <f t="shared" si="2"/>
        <v>0</v>
      </c>
      <c r="AL12" s="18">
        <f>SUM(C89:AG89)</f>
        <v>0</v>
      </c>
      <c r="CF12"/>
    </row>
    <row r="13" spans="1:84" s="2" customFormat="1" ht="20.100000000000001" customHeight="1" x14ac:dyDescent="0.25">
      <c r="A13" s="268" t="s">
        <v>166</v>
      </c>
      <c r="B13" s="268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83">
        <f>SUM(AH94:AH95)</f>
        <v>0</v>
      </c>
      <c r="AI13" s="84">
        <f>AH13-C37</f>
        <v>-162</v>
      </c>
      <c r="AJ13" s="84">
        <f>SUM(C99:AG99)</f>
        <v>0</v>
      </c>
      <c r="AK13" s="84">
        <f t="shared" si="2"/>
        <v>0</v>
      </c>
      <c r="AL13" s="18">
        <f>SUM(C100:AG100)</f>
        <v>0</v>
      </c>
      <c r="CB13" s="28"/>
      <c r="CF13"/>
    </row>
    <row r="14" spans="1:84" s="2" customFormat="1" ht="19.5" customHeight="1" x14ac:dyDescent="0.25">
      <c r="A14" s="268" t="s">
        <v>161</v>
      </c>
      <c r="B14" s="268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83">
        <f>SUM(AH105:AH106)</f>
        <v>0</v>
      </c>
      <c r="AI14" s="84">
        <f>AH14-C37</f>
        <v>-162</v>
      </c>
      <c r="AJ14" s="84">
        <f>SUM(C110:AG110)</f>
        <v>0</v>
      </c>
      <c r="AK14" s="84">
        <f t="shared" si="2"/>
        <v>0</v>
      </c>
      <c r="AL14" s="18">
        <f>SUM(C111:AG111)</f>
        <v>0</v>
      </c>
      <c r="CF14"/>
    </row>
    <row r="15" spans="1:84" s="2" customFormat="1" ht="19.5" customHeight="1" x14ac:dyDescent="0.25">
      <c r="A15" s="268" t="s">
        <v>158</v>
      </c>
      <c r="B15" s="268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83">
        <f>SUM(AH116:AH117)</f>
        <v>0</v>
      </c>
      <c r="AI15" s="84">
        <f>AH15-C37</f>
        <v>-162</v>
      </c>
      <c r="AJ15" s="84">
        <f>SUM(C121:AG121)</f>
        <v>0</v>
      </c>
      <c r="AK15" s="84">
        <f t="shared" si="2"/>
        <v>0</v>
      </c>
      <c r="AL15" s="18">
        <f>SUM(C122:AG122)</f>
        <v>0</v>
      </c>
      <c r="CF15"/>
    </row>
    <row r="16" spans="1:84" s="2" customFormat="1" ht="19.5" customHeight="1" x14ac:dyDescent="0.25">
      <c r="A16" s="268" t="s">
        <v>162</v>
      </c>
      <c r="B16" s="268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83">
        <f>SUM(AH127:AH128)</f>
        <v>0</v>
      </c>
      <c r="AI16" s="84">
        <f>AH16-C37</f>
        <v>-162</v>
      </c>
      <c r="AJ16" s="84">
        <f>SUM(C132:AG132)</f>
        <v>0</v>
      </c>
      <c r="AK16" s="84">
        <f t="shared" si="2"/>
        <v>0</v>
      </c>
      <c r="AL16" s="18">
        <f>SUM(C133:AG133)</f>
        <v>0</v>
      </c>
      <c r="CF16"/>
    </row>
    <row r="17" spans="1:87" s="2" customFormat="1" ht="19.5" customHeight="1" x14ac:dyDescent="0.25">
      <c r="A17" s="268" t="s">
        <v>163</v>
      </c>
      <c r="B17" s="268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83">
        <f>SUM(AH138:AH139)</f>
        <v>0</v>
      </c>
      <c r="AI17" s="84">
        <f>AH17-C37</f>
        <v>-162</v>
      </c>
      <c r="AJ17" s="84">
        <f>SUM(C143:AG143)</f>
        <v>0</v>
      </c>
      <c r="AK17" s="84">
        <f t="shared" si="2"/>
        <v>0</v>
      </c>
      <c r="AL17" s="18">
        <f>SUM(C144:AG144)</f>
        <v>0</v>
      </c>
      <c r="CF17"/>
    </row>
    <row r="18" spans="1:87" s="2" customFormat="1" ht="19.5" customHeight="1" x14ac:dyDescent="0.25">
      <c r="A18" s="268" t="s">
        <v>169</v>
      </c>
      <c r="B18" s="268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83">
        <f>SUM(AH149:AH150)</f>
        <v>0</v>
      </c>
      <c r="AI18" s="84">
        <f>AH18-C37</f>
        <v>-162</v>
      </c>
      <c r="AJ18" s="84">
        <f>SUM(C154:AG154)</f>
        <v>0</v>
      </c>
      <c r="AK18" s="84">
        <f t="shared" si="2"/>
        <v>0</v>
      </c>
      <c r="AL18" s="18">
        <f>SUM(C155:AG155)</f>
        <v>0</v>
      </c>
      <c r="CF18"/>
    </row>
    <row r="19" spans="1:87" s="2" customFormat="1" ht="19.5" customHeight="1" x14ac:dyDescent="0.25">
      <c r="A19" s="268"/>
      <c r="B19" s="268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83">
        <f>SUM(AH160:AH161)</f>
        <v>0</v>
      </c>
      <c r="AI19" s="84">
        <f>AH19-C37</f>
        <v>-162</v>
      </c>
      <c r="AJ19" s="84">
        <f>SUM(C165:AG165)</f>
        <v>0</v>
      </c>
      <c r="AK19" s="84">
        <f t="shared" si="2"/>
        <v>0</v>
      </c>
      <c r="AL19" s="18">
        <f>SUM(C166:AG166)</f>
        <v>0</v>
      </c>
      <c r="CF19"/>
    </row>
    <row r="20" spans="1:87" s="2" customFormat="1" ht="19.5" customHeight="1" x14ac:dyDescent="0.25">
      <c r="A20" s="268"/>
      <c r="B20" s="268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83">
        <f>SUM(AH171:AH172)</f>
        <v>0</v>
      </c>
      <c r="AI20" s="84">
        <f>AH20-C37</f>
        <v>-162</v>
      </c>
      <c r="AJ20" s="84">
        <f>SUM(C176:AG176)</f>
        <v>0</v>
      </c>
      <c r="AK20" s="84">
        <f t="shared" si="2"/>
        <v>0</v>
      </c>
      <c r="AL20" s="18">
        <f>SUM(C177:AG177)</f>
        <v>0</v>
      </c>
      <c r="CF20"/>
    </row>
    <row r="21" spans="1:87" s="2" customFormat="1" ht="19.5" customHeight="1" x14ac:dyDescent="0.25">
      <c r="A21" s="10"/>
      <c r="B21" s="29" t="s">
        <v>8</v>
      </c>
      <c r="C21" s="113">
        <f>SUM(C51+C62+C73+C84+C95+C106+C117+C128+C139+C150+C161+C172)</f>
        <v>0</v>
      </c>
      <c r="D21" s="113">
        <f t="shared" ref="D21:AG21" si="3">SUM(D51+D62+D73+D84+D95+D106+D117+D128+D139+D150+D161+D172)</f>
        <v>0</v>
      </c>
      <c r="E21" s="113">
        <f t="shared" si="3"/>
        <v>0</v>
      </c>
      <c r="F21" s="113">
        <f t="shared" si="3"/>
        <v>0</v>
      </c>
      <c r="G21" s="113">
        <f t="shared" si="3"/>
        <v>0</v>
      </c>
      <c r="H21" s="113">
        <f t="shared" si="3"/>
        <v>0</v>
      </c>
      <c r="I21" s="113">
        <f t="shared" si="3"/>
        <v>0</v>
      </c>
      <c r="J21" s="113">
        <f t="shared" si="3"/>
        <v>0</v>
      </c>
      <c r="K21" s="113">
        <f t="shared" si="3"/>
        <v>0</v>
      </c>
      <c r="L21" s="113">
        <f t="shared" si="3"/>
        <v>0</v>
      </c>
      <c r="M21" s="113">
        <f t="shared" si="3"/>
        <v>0</v>
      </c>
      <c r="N21" s="113">
        <f t="shared" si="3"/>
        <v>0</v>
      </c>
      <c r="O21" s="113">
        <f t="shared" si="3"/>
        <v>0</v>
      </c>
      <c r="P21" s="113">
        <f t="shared" si="3"/>
        <v>0</v>
      </c>
      <c r="Q21" s="113">
        <f t="shared" si="3"/>
        <v>0</v>
      </c>
      <c r="R21" s="113">
        <f t="shared" si="3"/>
        <v>0</v>
      </c>
      <c r="S21" s="113">
        <f t="shared" si="3"/>
        <v>0</v>
      </c>
      <c r="T21" s="113">
        <f t="shared" si="3"/>
        <v>0</v>
      </c>
      <c r="U21" s="113">
        <f t="shared" si="3"/>
        <v>0</v>
      </c>
      <c r="V21" s="113">
        <f t="shared" si="3"/>
        <v>0</v>
      </c>
      <c r="W21" s="113">
        <f t="shared" si="3"/>
        <v>0</v>
      </c>
      <c r="X21" s="113">
        <f t="shared" si="3"/>
        <v>0</v>
      </c>
      <c r="Y21" s="113">
        <f t="shared" si="3"/>
        <v>0</v>
      </c>
      <c r="Z21" s="113">
        <f t="shared" si="3"/>
        <v>0</v>
      </c>
      <c r="AA21" s="113">
        <f t="shared" si="3"/>
        <v>0</v>
      </c>
      <c r="AB21" s="113">
        <f t="shared" si="3"/>
        <v>0</v>
      </c>
      <c r="AC21" s="113">
        <f t="shared" si="3"/>
        <v>0</v>
      </c>
      <c r="AD21" s="113">
        <f t="shared" si="3"/>
        <v>0</v>
      </c>
      <c r="AE21" s="113">
        <f t="shared" si="3"/>
        <v>0</v>
      </c>
      <c r="AF21" s="113">
        <f t="shared" si="3"/>
        <v>0</v>
      </c>
      <c r="AG21" s="113">
        <f t="shared" si="3"/>
        <v>0</v>
      </c>
      <c r="AH21" s="30"/>
      <c r="AI21" s="30"/>
      <c r="AJ21" s="30"/>
      <c r="AK21" s="30"/>
      <c r="AL21" s="30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</row>
    <row r="22" spans="1:87" s="2" customFormat="1" ht="19.5" customHeight="1" x14ac:dyDescent="0.25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</row>
    <row r="23" spans="1:87" s="2" customFormat="1" ht="19.5" customHeight="1" x14ac:dyDescent="0.25">
      <c r="A23" s="80"/>
      <c r="B23" s="80"/>
      <c r="C23" s="273" t="s">
        <v>9</v>
      </c>
      <c r="D23" s="273"/>
      <c r="E23" s="273"/>
      <c r="F23" s="273"/>
      <c r="G23" s="273"/>
      <c r="H23" s="273"/>
      <c r="I23" s="82"/>
      <c r="J23" s="274" t="s">
        <v>9</v>
      </c>
      <c r="K23" s="274"/>
      <c r="L23" s="274"/>
      <c r="M23" s="274"/>
      <c r="N23" s="274"/>
      <c r="O23" s="274"/>
      <c r="P23" s="32"/>
      <c r="Q23" s="274" t="s">
        <v>136</v>
      </c>
      <c r="R23" s="274"/>
      <c r="S23" s="274"/>
      <c r="T23" s="274"/>
      <c r="U23" s="274"/>
      <c r="V23" s="274"/>
      <c r="W23" s="274"/>
      <c r="X23" s="274"/>
      <c r="Y23" s="274"/>
      <c r="Z23" s="274"/>
      <c r="AA23" s="274"/>
      <c r="AB23" s="82"/>
      <c r="AC23" s="82"/>
      <c r="AD23" s="82"/>
      <c r="AE23" s="82"/>
      <c r="AF23" s="80"/>
      <c r="AG23" s="80"/>
      <c r="AH23" s="80"/>
      <c r="AI23" s="80"/>
      <c r="AJ23" s="80"/>
      <c r="AK23" s="80"/>
      <c r="AL23" s="80"/>
      <c r="AM23"/>
      <c r="AN23"/>
      <c r="AO23"/>
      <c r="AP23"/>
      <c r="AQ23" s="1" t="s">
        <v>10</v>
      </c>
      <c r="AR23" s="1"/>
      <c r="AS23" s="1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</row>
    <row r="24" spans="1:87" ht="14.45" customHeight="1" x14ac:dyDescent="0.25">
      <c r="A24" s="82"/>
      <c r="B24" s="82"/>
      <c r="C24" s="108" t="str">
        <f t="shared" ref="C24:D26" si="4">R32</f>
        <v>D1</v>
      </c>
      <c r="D24" s="275">
        <f t="shared" si="4"/>
        <v>0.25</v>
      </c>
      <c r="E24" s="275"/>
      <c r="F24" s="33" t="s">
        <v>11</v>
      </c>
      <c r="G24" s="276">
        <f t="shared" ref="G24:G26" si="5">V32</f>
        <v>0.75</v>
      </c>
      <c r="H24" s="276"/>
      <c r="I24" s="105"/>
      <c r="J24" s="107" t="str">
        <f t="shared" ref="J24:K26" si="6">R35</f>
        <v>N2</v>
      </c>
      <c r="K24" s="277">
        <f t="shared" si="6"/>
        <v>0.79166666666666663</v>
      </c>
      <c r="L24" s="278"/>
      <c r="M24" s="110" t="s">
        <v>11</v>
      </c>
      <c r="N24" s="277">
        <f>V35</f>
        <v>0.29166666666666669</v>
      </c>
      <c r="O24" s="279"/>
      <c r="P24" s="32"/>
      <c r="Q24" s="107" t="str">
        <f>R38</f>
        <v>G</v>
      </c>
      <c r="R24" s="280"/>
      <c r="S24" s="280"/>
      <c r="T24" s="109" t="s">
        <v>11</v>
      </c>
      <c r="U24" s="280"/>
      <c r="V24" s="280"/>
      <c r="W24" s="281"/>
      <c r="X24" s="280"/>
      <c r="Y24" s="109" t="s">
        <v>11</v>
      </c>
      <c r="Z24" s="282"/>
      <c r="AA24" s="283"/>
      <c r="AB24" s="106"/>
      <c r="AC24" s="80"/>
      <c r="AD24" s="104"/>
      <c r="AE24" s="104"/>
      <c r="AF24" s="104"/>
      <c r="AG24" s="107" t="s">
        <v>12</v>
      </c>
      <c r="AH24" s="256" t="s">
        <v>1</v>
      </c>
      <c r="AI24" s="257"/>
      <c r="AJ24" s="245"/>
      <c r="AK24" s="245"/>
      <c r="AL24" s="245"/>
      <c r="AM24"/>
      <c r="AN24"/>
      <c r="AO24"/>
      <c r="AP24"/>
      <c r="AQ24" s="1" t="s">
        <v>13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</row>
    <row r="25" spans="1:87" s="2" customFormat="1" ht="14.45" customHeight="1" x14ac:dyDescent="0.25">
      <c r="A25" s="82"/>
      <c r="B25" s="82"/>
      <c r="C25" s="108" t="str">
        <f t="shared" si="4"/>
        <v>N1</v>
      </c>
      <c r="D25" s="275">
        <f t="shared" si="4"/>
        <v>0.75</v>
      </c>
      <c r="E25" s="275"/>
      <c r="F25" s="33" t="s">
        <v>11</v>
      </c>
      <c r="G25" s="276">
        <f t="shared" si="5"/>
        <v>0.25</v>
      </c>
      <c r="H25" s="276"/>
      <c r="I25" s="105"/>
      <c r="J25" s="107" t="str">
        <f t="shared" si="6"/>
        <v>N3</v>
      </c>
      <c r="K25" s="280">
        <f t="shared" si="6"/>
        <v>0.91666666666666663</v>
      </c>
      <c r="L25" s="278"/>
      <c r="M25" s="110" t="s">
        <v>11</v>
      </c>
      <c r="N25" s="280">
        <f>V36</f>
        <v>0.25</v>
      </c>
      <c r="O25" s="279"/>
      <c r="P25" s="32"/>
      <c r="Q25" s="107" t="str">
        <f>R39</f>
        <v>H</v>
      </c>
      <c r="R25" s="280"/>
      <c r="S25" s="280"/>
      <c r="T25" s="109" t="s">
        <v>11</v>
      </c>
      <c r="U25" s="280"/>
      <c r="V25" s="280"/>
      <c r="W25" s="281"/>
      <c r="X25" s="280"/>
      <c r="Y25" s="109" t="s">
        <v>11</v>
      </c>
      <c r="Z25" s="284"/>
      <c r="AA25" s="283"/>
      <c r="AB25" s="106"/>
      <c r="AC25" s="80"/>
      <c r="AD25" s="104"/>
      <c r="AE25" s="104"/>
      <c r="AF25" s="104"/>
      <c r="AG25" s="107" t="s">
        <v>14</v>
      </c>
      <c r="AH25" s="256" t="s">
        <v>59</v>
      </c>
      <c r="AI25" s="257"/>
      <c r="AJ25" s="245"/>
      <c r="AK25" s="245"/>
      <c r="AL25" s="245"/>
      <c r="AM25"/>
      <c r="AN25"/>
      <c r="AO25"/>
      <c r="AP25"/>
      <c r="AQ25" s="1" t="s">
        <v>15</v>
      </c>
      <c r="AR25" s="1"/>
      <c r="AS25" s="1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</row>
    <row r="26" spans="1:87" s="2" customFormat="1" ht="14.45" customHeight="1" x14ac:dyDescent="0.25">
      <c r="A26" s="82"/>
      <c r="B26" s="82"/>
      <c r="C26" s="108" t="str">
        <f t="shared" si="4"/>
        <v>D2</v>
      </c>
      <c r="D26" s="275">
        <f t="shared" si="4"/>
        <v>0.29166666666666669</v>
      </c>
      <c r="E26" s="275"/>
      <c r="F26" s="33" t="s">
        <v>11</v>
      </c>
      <c r="G26" s="276">
        <f t="shared" si="5"/>
        <v>0.79166666666666663</v>
      </c>
      <c r="H26" s="276"/>
      <c r="I26" s="105"/>
      <c r="J26" s="107" t="str">
        <f t="shared" si="6"/>
        <v>F</v>
      </c>
      <c r="K26" s="280">
        <f t="shared" si="6"/>
        <v>0.20833333333333334</v>
      </c>
      <c r="L26" s="278"/>
      <c r="M26" s="110" t="s">
        <v>11</v>
      </c>
      <c r="N26" s="280">
        <f>V37</f>
        <v>0.25</v>
      </c>
      <c r="O26" s="279"/>
      <c r="P26" s="32"/>
      <c r="Q26" s="107" t="str">
        <f>R40</f>
        <v>I</v>
      </c>
      <c r="R26" s="280"/>
      <c r="S26" s="280"/>
      <c r="T26" s="109" t="s">
        <v>11</v>
      </c>
      <c r="U26" s="280"/>
      <c r="V26" s="280"/>
      <c r="W26" s="281"/>
      <c r="X26" s="280"/>
      <c r="Y26" s="109" t="s">
        <v>11</v>
      </c>
      <c r="Z26" s="284"/>
      <c r="AA26" s="283"/>
      <c r="AB26" s="106"/>
      <c r="AC26" s="80"/>
      <c r="AD26" s="104"/>
      <c r="AE26" s="104"/>
      <c r="AF26" s="104"/>
      <c r="AG26" s="107" t="s">
        <v>16</v>
      </c>
      <c r="AH26" s="256" t="s">
        <v>42</v>
      </c>
      <c r="AI26" s="257"/>
      <c r="AJ26" s="245"/>
      <c r="AK26" s="245"/>
      <c r="AL26" s="245"/>
      <c r="AM26"/>
      <c r="AN26"/>
      <c r="AO26"/>
      <c r="AP26"/>
      <c r="AQ26" s="1" t="s">
        <v>17</v>
      </c>
      <c r="AR26" s="1"/>
      <c r="AS26" s="1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</row>
    <row r="27" spans="1:87" s="2" customFormat="1" ht="14.45" customHeight="1" x14ac:dyDescent="0.25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82"/>
      <c r="Z27" s="82"/>
      <c r="AA27" s="82"/>
      <c r="AB27" s="82"/>
      <c r="AC27" s="82"/>
      <c r="AD27" s="82"/>
      <c r="AE27" s="262"/>
      <c r="AF27" s="262"/>
      <c r="AG27" s="82"/>
      <c r="AH27" s="82"/>
      <c r="AI27" s="82"/>
      <c r="AJ27" s="32"/>
      <c r="AK27" s="32"/>
      <c r="AL27" s="32"/>
    </row>
    <row r="28" spans="1:87" s="2" customFormat="1" ht="14.45" customHeight="1" x14ac:dyDescent="0.25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32"/>
      <c r="AK28" s="32"/>
      <c r="AL28" s="32"/>
    </row>
    <row r="29" spans="1:87" s="2" customFormat="1" ht="14.45" customHeight="1" x14ac:dyDescent="0.25">
      <c r="A29" s="82"/>
      <c r="B29" s="81" t="s">
        <v>18</v>
      </c>
      <c r="C29" s="251" t="str">
        <f>E43</f>
        <v xml:space="preserve">*Aquí notas que se vean en el cuadrante... </v>
      </c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  <c r="AA29" s="251"/>
      <c r="AB29" s="251"/>
      <c r="AC29" s="251"/>
      <c r="AD29" s="251"/>
      <c r="AE29" s="251"/>
      <c r="AF29" s="251"/>
      <c r="AG29" s="251"/>
      <c r="AH29" s="251"/>
      <c r="AI29" s="251"/>
      <c r="AJ29" s="251"/>
      <c r="AK29" s="32"/>
      <c r="AL29" s="32"/>
    </row>
    <row r="30" spans="1:87" s="2" customFormat="1" ht="19.5" customHeight="1" x14ac:dyDescent="0.35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32"/>
      <c r="AK30" s="32"/>
      <c r="AL30" s="32"/>
      <c r="AN30" s="5" t="s">
        <v>19</v>
      </c>
      <c r="AO30" s="5"/>
      <c r="AP30" s="5" t="s">
        <v>20</v>
      </c>
      <c r="AQ30" s="5" t="s">
        <v>21</v>
      </c>
      <c r="AR30" s="5"/>
      <c r="AS30" s="5"/>
      <c r="AT30" s="5"/>
      <c r="AU30" s="5"/>
      <c r="AV30" s="5"/>
      <c r="AW30" s="5"/>
      <c r="AX30" s="5" t="s">
        <v>22</v>
      </c>
      <c r="AY30" s="5"/>
      <c r="AZ30" s="5" t="s">
        <v>23</v>
      </c>
      <c r="BA30" s="5"/>
      <c r="BB30" s="5"/>
      <c r="BC30" s="5"/>
      <c r="BD30" s="5" t="s">
        <v>24</v>
      </c>
    </row>
    <row r="31" spans="1:87" s="2" customFormat="1" ht="19.5" customHeight="1" x14ac:dyDescent="0.25">
      <c r="A31" s="252" t="s">
        <v>25</v>
      </c>
      <c r="B31" s="252"/>
      <c r="C31" s="252"/>
      <c r="D31" s="252"/>
      <c r="E31" s="252"/>
      <c r="F31" s="252"/>
      <c r="G31" s="252"/>
      <c r="H31" s="252"/>
      <c r="I31" s="252"/>
      <c r="J31" s="252"/>
      <c r="K31" s="252"/>
      <c r="L31" s="252"/>
      <c r="M31" s="252"/>
      <c r="N31" s="252"/>
      <c r="O31" s="114"/>
      <c r="P31" s="114"/>
      <c r="Q31" s="114"/>
      <c r="R31" s="252" t="s">
        <v>9</v>
      </c>
      <c r="S31" s="252"/>
      <c r="T31" s="252"/>
      <c r="U31" s="252"/>
      <c r="V31" s="252"/>
      <c r="W31" s="252"/>
      <c r="X31" s="115"/>
      <c r="Y31" s="115"/>
      <c r="Z31" s="115"/>
      <c r="AA31" s="115"/>
      <c r="AB31" s="115"/>
      <c r="AC31" s="116"/>
      <c r="AD31" s="253" t="s">
        <v>26</v>
      </c>
      <c r="AE31" s="253"/>
      <c r="AF31" s="253"/>
      <c r="AG31" s="253"/>
      <c r="AH31" s="253"/>
      <c r="AI31" s="253"/>
      <c r="AJ31" s="114"/>
      <c r="AK31" s="212" t="s">
        <v>6</v>
      </c>
      <c r="AL31" s="114"/>
      <c r="AN31" s="97" t="s">
        <v>27</v>
      </c>
      <c r="AO31" s="97" t="s">
        <v>28</v>
      </c>
      <c r="AP31" s="97" t="s">
        <v>29</v>
      </c>
      <c r="AQ31" s="97" t="s">
        <v>30</v>
      </c>
      <c r="AR31" s="261" t="s">
        <v>31</v>
      </c>
      <c r="AS31" s="261"/>
      <c r="AT31" s="261"/>
      <c r="AU31" s="261"/>
      <c r="AV31" s="261"/>
      <c r="AW31" s="261"/>
      <c r="AX31" s="261"/>
      <c r="AY31" s="261"/>
      <c r="AZ31" s="261"/>
      <c r="BA31" s="97" t="s">
        <v>32</v>
      </c>
      <c r="BB31" s="260" t="s">
        <v>33</v>
      </c>
      <c r="BC31" s="260"/>
      <c r="BD31" s="103" t="s">
        <v>34</v>
      </c>
      <c r="BE31" s="56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</row>
    <row r="32" spans="1:87" s="2" customFormat="1" ht="19.5" customHeight="1" x14ac:dyDescent="0.25">
      <c r="A32" s="238" t="s">
        <v>35</v>
      </c>
      <c r="B32" s="238"/>
      <c r="C32" s="242" t="str">
        <f>CONTROL!B34</f>
        <v>EMPRESA</v>
      </c>
      <c r="D32" s="242"/>
      <c r="E32" s="242"/>
      <c r="F32" s="242"/>
      <c r="G32" s="242"/>
      <c r="H32" s="242"/>
      <c r="I32" s="242"/>
      <c r="J32" s="242"/>
      <c r="K32" s="242"/>
      <c r="L32" s="242"/>
      <c r="M32" s="242"/>
      <c r="N32" s="242"/>
      <c r="O32" s="114"/>
      <c r="P32" s="114"/>
      <c r="Q32" s="117"/>
      <c r="R32" s="85" t="s">
        <v>150</v>
      </c>
      <c r="S32" s="240">
        <v>0.25</v>
      </c>
      <c r="T32" s="240"/>
      <c r="U32" s="118" t="s">
        <v>11</v>
      </c>
      <c r="V32" s="241">
        <v>0.75</v>
      </c>
      <c r="W32" s="241"/>
      <c r="X32" s="115"/>
      <c r="Y32" s="115"/>
      <c r="Z32" s="115"/>
      <c r="AA32" s="115"/>
      <c r="AB32" s="115"/>
      <c r="AC32" s="116"/>
      <c r="AD32" s="250" t="s">
        <v>36</v>
      </c>
      <c r="AE32" s="250"/>
      <c r="AF32" s="250"/>
      <c r="AG32" s="250"/>
      <c r="AH32" s="86">
        <v>0.5</v>
      </c>
      <c r="AI32" s="254">
        <f>AH32/24</f>
        <v>2.0833333333333332E-2</v>
      </c>
      <c r="AJ32" s="255"/>
      <c r="AK32" s="217">
        <f>AH49</f>
        <v>0</v>
      </c>
      <c r="AL32" s="214" t="s">
        <v>90</v>
      </c>
      <c r="AM32" s="9"/>
      <c r="AN32" s="34">
        <f t="shared" ref="AN32:AN40" si="7">IF(AS32/24=0,0,AS32/24)</f>
        <v>0</v>
      </c>
      <c r="AO32" s="35">
        <f t="shared" ref="AO32:AO40" si="8">IF(BA32=0,"",BA32)</f>
        <v>0.5</v>
      </c>
      <c r="AP32" s="36">
        <f t="shared" ref="AP32:AP39" si="9">S32*24</f>
        <v>6</v>
      </c>
      <c r="AQ32" s="36">
        <f t="shared" ref="AQ32:AQ40" si="10">V32*24</f>
        <v>18</v>
      </c>
      <c r="AR32" s="36">
        <f t="shared" ref="AR32:AR40" si="11">AS32</f>
        <v>0</v>
      </c>
      <c r="AS32" s="37">
        <f t="shared" ref="AS32:AS40" si="12">IF(AV32&gt;=4,AT32,AT32)</f>
        <v>0</v>
      </c>
      <c r="AT32" s="38">
        <f t="shared" ref="AT32:AT40" si="13">IF(AV32&gt;8,8,AU32)</f>
        <v>0</v>
      </c>
      <c r="AU32" s="39">
        <f t="shared" ref="AU32:AU40" si="14">IF(AV32&lt;0,0,AV32)</f>
        <v>0</v>
      </c>
      <c r="AV32" s="40">
        <f t="shared" ref="AV32:AV40" si="15">IF(AP32=AQ32,0,IF(AP32&gt;AQ32,AW32,IF(AP32&gt;=6,AX32,AQ32-AP32)))</f>
        <v>-12</v>
      </c>
      <c r="AW32" s="36">
        <f t="shared" ref="AW32:AW40" si="16">IF(AP32&lt;6,(AQ32-22+24)+(6-AP32),IF(AP32&gt;=22,AY32,IF(AV2&lt;=6,(AQ32-22)+24,8)))</f>
        <v>20</v>
      </c>
      <c r="AX32" s="41">
        <f t="shared" ref="AX32:AX40" si="17">IF(AQ32&gt;22,AZ32,IF(AP32&lt;AQ32,AP32-AQ32,IF(AP32&gt;6,0,(6-AP32))))</f>
        <v>-12</v>
      </c>
      <c r="AY32" s="36">
        <f t="shared" ref="AY32:AY40" si="18">IF(AQ32&lt;=6,(AQ32-AP32)+24,IF(AQ32&gt;22,8,(6-AP32)+24))</f>
        <v>24</v>
      </c>
      <c r="AZ32" s="42">
        <f t="shared" ref="AZ32:AZ40" si="19">IF(AP32&lt;=6,(6-AP32)+(AQ32-22),IF(AP32&gt;22,(AQ32-AP32),(AQ32-22)))</f>
        <v>-4</v>
      </c>
      <c r="BA32" s="36">
        <f t="shared" ref="BA32:BA40" si="20">IF(V32-S32&gt;=0,V32-S32,V32-S32+24)</f>
        <v>0.5</v>
      </c>
      <c r="BB32" s="36">
        <f t="shared" ref="BB32:BB40" si="21">IF(AO32&lt;1,AO32*24,(AO32-24)*24)</f>
        <v>12</v>
      </c>
      <c r="BC32" s="36">
        <f t="shared" ref="BC32:BC40" si="22">IF(BB32&gt;=0,BB32,BB32+24)</f>
        <v>12</v>
      </c>
      <c r="BD32" s="43">
        <f t="shared" ref="BD32:BD40" si="23">IF(AX32&lt;=0,AN32,IF(AX32&gt;=0.1,AX32/24))</f>
        <v>0</v>
      </c>
      <c r="BE32" s="44" t="str">
        <f t="shared" ref="BE32:BE34" si="24">IF(BD38&gt;=4,IF(BD38="",0,8),IF(BD38&gt;=0.1,IF(BD38="",0,BD38),""))</f>
        <v/>
      </c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</row>
    <row r="33" spans="1:80" s="2" customFormat="1" ht="19.5" customHeight="1" x14ac:dyDescent="0.25">
      <c r="A33" s="238" t="s">
        <v>37</v>
      </c>
      <c r="B33" s="238"/>
      <c r="C33" s="242" t="str">
        <f>CONTROL!B35</f>
        <v>CENTRO</v>
      </c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114"/>
      <c r="P33" s="114"/>
      <c r="Q33" s="117"/>
      <c r="R33" s="85" t="s">
        <v>152</v>
      </c>
      <c r="S33" s="240">
        <v>0.75</v>
      </c>
      <c r="T33" s="240"/>
      <c r="U33" s="118" t="s">
        <v>11</v>
      </c>
      <c r="V33" s="241">
        <v>0.25</v>
      </c>
      <c r="W33" s="241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4"/>
      <c r="AK33" s="217">
        <f>AH60</f>
        <v>0</v>
      </c>
      <c r="AL33" s="214" t="s">
        <v>138</v>
      </c>
      <c r="AM33" s="9"/>
      <c r="AN33" s="35">
        <f t="shared" si="7"/>
        <v>0.33333333333333331</v>
      </c>
      <c r="AO33" s="35">
        <f t="shared" si="8"/>
        <v>23.5</v>
      </c>
      <c r="AP33" s="36">
        <f t="shared" si="9"/>
        <v>18</v>
      </c>
      <c r="AQ33" s="36">
        <f t="shared" si="10"/>
        <v>6</v>
      </c>
      <c r="AR33" s="36">
        <f t="shared" si="11"/>
        <v>8</v>
      </c>
      <c r="AS33" s="37">
        <f t="shared" si="12"/>
        <v>8</v>
      </c>
      <c r="AT33" s="38">
        <f t="shared" si="13"/>
        <v>8</v>
      </c>
      <c r="AU33" s="39">
        <f t="shared" si="14"/>
        <v>8</v>
      </c>
      <c r="AV33" s="36">
        <f t="shared" si="15"/>
        <v>8</v>
      </c>
      <c r="AW33" s="36">
        <f t="shared" si="16"/>
        <v>8</v>
      </c>
      <c r="AX33" s="41">
        <f t="shared" si="17"/>
        <v>0</v>
      </c>
      <c r="AY33" s="36">
        <f t="shared" si="18"/>
        <v>12</v>
      </c>
      <c r="AZ33" s="36">
        <f t="shared" si="19"/>
        <v>-16</v>
      </c>
      <c r="BA33" s="36">
        <f t="shared" si="20"/>
        <v>23.5</v>
      </c>
      <c r="BB33" s="36">
        <f t="shared" si="21"/>
        <v>-12</v>
      </c>
      <c r="BC33" s="36">
        <f t="shared" si="22"/>
        <v>12</v>
      </c>
      <c r="BD33" s="43">
        <f t="shared" si="23"/>
        <v>0.33333333333333331</v>
      </c>
      <c r="BE33" s="44" t="str">
        <f t="shared" si="24"/>
        <v/>
      </c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</row>
    <row r="34" spans="1:80" s="2" customFormat="1" ht="19.5" customHeight="1" x14ac:dyDescent="0.35">
      <c r="A34" s="238" t="s">
        <v>38</v>
      </c>
      <c r="B34" s="238"/>
      <c r="C34" s="242">
        <v>2025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114"/>
      <c r="P34" s="114"/>
      <c r="Q34" s="117"/>
      <c r="R34" s="85" t="s">
        <v>151</v>
      </c>
      <c r="S34" s="240">
        <v>0.29166666666666669</v>
      </c>
      <c r="T34" s="240"/>
      <c r="U34" s="118" t="s">
        <v>11</v>
      </c>
      <c r="V34" s="241">
        <v>0.79166666666666663</v>
      </c>
      <c r="W34" s="241"/>
      <c r="X34" s="115"/>
      <c r="Y34" s="119"/>
      <c r="Z34" s="119"/>
      <c r="AA34" s="119"/>
      <c r="AB34" s="119"/>
      <c r="AC34" s="119"/>
      <c r="AD34" s="119"/>
      <c r="AE34" s="115"/>
      <c r="AF34" s="115"/>
      <c r="AG34" s="115"/>
      <c r="AH34" s="115"/>
      <c r="AI34" s="115"/>
      <c r="AJ34" s="115"/>
      <c r="AK34" s="217">
        <f>AH71</f>
        <v>0</v>
      </c>
      <c r="AL34" s="214" t="s">
        <v>139</v>
      </c>
      <c r="AM34" s="9"/>
      <c r="AN34" s="35">
        <f t="shared" si="7"/>
        <v>0</v>
      </c>
      <c r="AO34" s="35">
        <f t="shared" si="8"/>
        <v>0.49999999999999994</v>
      </c>
      <c r="AP34" s="36">
        <f t="shared" si="9"/>
        <v>7</v>
      </c>
      <c r="AQ34" s="36">
        <f t="shared" si="10"/>
        <v>19</v>
      </c>
      <c r="AR34" s="36">
        <f t="shared" si="11"/>
        <v>0</v>
      </c>
      <c r="AS34" s="37">
        <f t="shared" si="12"/>
        <v>0</v>
      </c>
      <c r="AT34" s="38">
        <f t="shared" si="13"/>
        <v>0</v>
      </c>
      <c r="AU34" s="39">
        <f t="shared" si="14"/>
        <v>0</v>
      </c>
      <c r="AV34" s="36">
        <f t="shared" si="15"/>
        <v>-12</v>
      </c>
      <c r="AW34" s="36">
        <f t="shared" si="16"/>
        <v>21</v>
      </c>
      <c r="AX34" s="41">
        <f t="shared" si="17"/>
        <v>-12</v>
      </c>
      <c r="AY34" s="36">
        <f t="shared" si="18"/>
        <v>23</v>
      </c>
      <c r="AZ34" s="36">
        <f t="shared" si="19"/>
        <v>-3</v>
      </c>
      <c r="BA34" s="36">
        <f t="shared" si="20"/>
        <v>0.49999999999999994</v>
      </c>
      <c r="BB34" s="36">
        <f t="shared" si="21"/>
        <v>11.999999999999998</v>
      </c>
      <c r="BC34" s="36">
        <f t="shared" si="22"/>
        <v>11.999999999999998</v>
      </c>
      <c r="BD34" s="43">
        <f t="shared" si="23"/>
        <v>0</v>
      </c>
      <c r="BE34" s="44" t="str">
        <f t="shared" si="24"/>
        <v/>
      </c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</row>
    <row r="35" spans="1:80" s="2" customFormat="1" ht="19.5" customHeight="1" x14ac:dyDescent="0.25">
      <c r="A35" s="238" t="s">
        <v>39</v>
      </c>
      <c r="B35" s="238"/>
      <c r="C35" s="242">
        <v>10</v>
      </c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114"/>
      <c r="P35" s="114"/>
      <c r="Q35" s="117"/>
      <c r="R35" s="85" t="s">
        <v>153</v>
      </c>
      <c r="S35" s="240">
        <v>0.79166666666666663</v>
      </c>
      <c r="T35" s="240"/>
      <c r="U35" s="118" t="s">
        <v>11</v>
      </c>
      <c r="V35" s="241">
        <v>0.29166666666666669</v>
      </c>
      <c r="W35" s="241"/>
      <c r="X35" s="115"/>
      <c r="Y35" s="120"/>
      <c r="Z35" s="121"/>
      <c r="AA35" s="121"/>
      <c r="AB35" s="120"/>
      <c r="AC35" s="121"/>
      <c r="AD35" s="121"/>
      <c r="AE35" s="115"/>
      <c r="AF35" s="115"/>
      <c r="AG35" s="115"/>
      <c r="AH35" s="115"/>
      <c r="AI35" s="115"/>
      <c r="AJ35" s="115"/>
      <c r="AK35" s="217">
        <f>AH82</f>
        <v>0</v>
      </c>
      <c r="AL35" s="214" t="s">
        <v>140</v>
      </c>
      <c r="AM35" s="9"/>
      <c r="AN35" s="35">
        <f t="shared" si="7"/>
        <v>0.33333333333333331</v>
      </c>
      <c r="AO35" s="35">
        <f t="shared" si="8"/>
        <v>23.5</v>
      </c>
      <c r="AP35" s="36">
        <f t="shared" si="9"/>
        <v>19</v>
      </c>
      <c r="AQ35" s="36">
        <f t="shared" si="10"/>
        <v>7</v>
      </c>
      <c r="AR35" s="36">
        <f t="shared" si="11"/>
        <v>8</v>
      </c>
      <c r="AS35" s="37">
        <f t="shared" si="12"/>
        <v>8</v>
      </c>
      <c r="AT35" s="38">
        <f t="shared" si="13"/>
        <v>8</v>
      </c>
      <c r="AU35" s="39">
        <f t="shared" si="14"/>
        <v>9</v>
      </c>
      <c r="AV35" s="36">
        <f t="shared" si="15"/>
        <v>9</v>
      </c>
      <c r="AW35" s="36">
        <f t="shared" si="16"/>
        <v>9</v>
      </c>
      <c r="AX35" s="41">
        <f t="shared" si="17"/>
        <v>0</v>
      </c>
      <c r="AY35" s="36">
        <f t="shared" si="18"/>
        <v>11</v>
      </c>
      <c r="AZ35" s="36">
        <f t="shared" si="19"/>
        <v>-15</v>
      </c>
      <c r="BA35" s="36">
        <f t="shared" si="20"/>
        <v>23.5</v>
      </c>
      <c r="BB35" s="36">
        <f t="shared" si="21"/>
        <v>-12</v>
      </c>
      <c r="BC35" s="36">
        <f t="shared" si="22"/>
        <v>12</v>
      </c>
      <c r="BD35" s="43">
        <f t="shared" si="23"/>
        <v>0.33333333333333331</v>
      </c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</row>
    <row r="36" spans="1:80" s="2" customFormat="1" ht="19.5" customHeight="1" x14ac:dyDescent="0.25">
      <c r="A36" s="238" t="s">
        <v>40</v>
      </c>
      <c r="B36" s="238"/>
      <c r="C36" s="239">
        <v>5.22</v>
      </c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114"/>
      <c r="P36" s="114"/>
      <c r="Q36" s="117"/>
      <c r="R36" s="85" t="s">
        <v>154</v>
      </c>
      <c r="S36" s="240">
        <v>0.91666666666666663</v>
      </c>
      <c r="T36" s="240"/>
      <c r="U36" s="118" t="s">
        <v>11</v>
      </c>
      <c r="V36" s="241">
        <v>0.25</v>
      </c>
      <c r="W36" s="241"/>
      <c r="X36" s="115"/>
      <c r="Y36" s="120"/>
      <c r="Z36" s="121"/>
      <c r="AA36" s="121"/>
      <c r="AB36" s="120"/>
      <c r="AC36" s="121"/>
      <c r="AD36" s="121"/>
      <c r="AE36" s="115"/>
      <c r="AF36" s="115"/>
      <c r="AG36" s="115"/>
      <c r="AH36" s="115"/>
      <c r="AI36" s="115"/>
      <c r="AJ36" s="115"/>
      <c r="AK36" s="217">
        <f>AH93</f>
        <v>0</v>
      </c>
      <c r="AL36" s="214" t="s">
        <v>141</v>
      </c>
      <c r="AM36" s="9"/>
      <c r="AN36" s="35">
        <f t="shared" si="7"/>
        <v>0.33333333333333331</v>
      </c>
      <c r="AO36" s="35">
        <f t="shared" si="8"/>
        <v>23.333333333333332</v>
      </c>
      <c r="AP36" s="36">
        <f t="shared" si="9"/>
        <v>22</v>
      </c>
      <c r="AQ36" s="36">
        <f t="shared" si="10"/>
        <v>6</v>
      </c>
      <c r="AR36" s="36">
        <f t="shared" si="11"/>
        <v>8</v>
      </c>
      <c r="AS36" s="37">
        <f t="shared" si="12"/>
        <v>8</v>
      </c>
      <c r="AT36" s="38">
        <f t="shared" si="13"/>
        <v>8</v>
      </c>
      <c r="AU36" s="39">
        <f t="shared" si="14"/>
        <v>8</v>
      </c>
      <c r="AV36" s="36">
        <f t="shared" si="15"/>
        <v>8</v>
      </c>
      <c r="AW36" s="36">
        <f t="shared" si="16"/>
        <v>8</v>
      </c>
      <c r="AX36" s="41">
        <f t="shared" si="17"/>
        <v>0</v>
      </c>
      <c r="AY36" s="36">
        <f t="shared" si="18"/>
        <v>8</v>
      </c>
      <c r="AZ36" s="36">
        <f t="shared" si="19"/>
        <v>-16</v>
      </c>
      <c r="BA36" s="36">
        <f t="shared" si="20"/>
        <v>23.333333333333332</v>
      </c>
      <c r="BB36" s="36">
        <f t="shared" si="21"/>
        <v>-16.000000000000028</v>
      </c>
      <c r="BC36" s="36">
        <f t="shared" si="22"/>
        <v>7.9999999999999716</v>
      </c>
      <c r="BD36" s="43">
        <f t="shared" si="23"/>
        <v>0.33333333333333331</v>
      </c>
      <c r="BE36" s="1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</row>
    <row r="37" spans="1:80" s="2" customFormat="1" ht="19.5" customHeight="1" x14ac:dyDescent="0.25">
      <c r="A37" s="238" t="s">
        <v>41</v>
      </c>
      <c r="B37" s="238"/>
      <c r="C37" s="239">
        <v>162</v>
      </c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116"/>
      <c r="P37" s="116"/>
      <c r="Q37" s="117"/>
      <c r="R37" s="85" t="str">
        <f>CONTROL!F40</f>
        <v>F</v>
      </c>
      <c r="S37" s="240">
        <f>CONTROL!G40</f>
        <v>0.20833333333333334</v>
      </c>
      <c r="T37" s="240"/>
      <c r="U37" s="118" t="s">
        <v>11</v>
      </c>
      <c r="V37" s="241">
        <f>CONTROL!H40</f>
        <v>0.25</v>
      </c>
      <c r="W37" s="241"/>
      <c r="X37" s="115"/>
      <c r="Y37" s="120"/>
      <c r="Z37" s="121"/>
      <c r="AA37" s="121"/>
      <c r="AB37" s="120"/>
      <c r="AC37" s="121"/>
      <c r="AD37" s="121"/>
      <c r="AE37" s="115"/>
      <c r="AF37" s="115"/>
      <c r="AG37" s="115"/>
      <c r="AH37" s="115"/>
      <c r="AI37" s="115"/>
      <c r="AJ37" s="116"/>
      <c r="AK37" s="217">
        <f>AH104</f>
        <v>0</v>
      </c>
      <c r="AL37" s="214" t="s">
        <v>142</v>
      </c>
      <c r="AM37" s="9"/>
      <c r="AN37" s="35">
        <f t="shared" si="7"/>
        <v>4.1666666666666664E-2</v>
      </c>
      <c r="AO37" s="35">
        <f t="shared" si="8"/>
        <v>4.1666666666666657E-2</v>
      </c>
      <c r="AP37" s="36">
        <f t="shared" si="9"/>
        <v>5</v>
      </c>
      <c r="AQ37" s="36">
        <f t="shared" si="10"/>
        <v>6</v>
      </c>
      <c r="AR37" s="36">
        <f t="shared" si="11"/>
        <v>1</v>
      </c>
      <c r="AS37" s="37">
        <f t="shared" si="12"/>
        <v>1</v>
      </c>
      <c r="AT37" s="38">
        <f t="shared" si="13"/>
        <v>1</v>
      </c>
      <c r="AU37" s="39">
        <f t="shared" si="14"/>
        <v>1</v>
      </c>
      <c r="AV37" s="36">
        <f t="shared" si="15"/>
        <v>1</v>
      </c>
      <c r="AW37" s="36">
        <f t="shared" si="16"/>
        <v>9</v>
      </c>
      <c r="AX37" s="41">
        <f t="shared" si="17"/>
        <v>-1</v>
      </c>
      <c r="AY37" s="36">
        <f t="shared" si="18"/>
        <v>25</v>
      </c>
      <c r="AZ37" s="36">
        <f t="shared" si="19"/>
        <v>-15</v>
      </c>
      <c r="BA37" s="36">
        <f t="shared" si="20"/>
        <v>4.1666666666666657E-2</v>
      </c>
      <c r="BB37" s="36">
        <f t="shared" si="21"/>
        <v>0.99999999999999978</v>
      </c>
      <c r="BC37" s="36">
        <f t="shared" si="22"/>
        <v>0.99999999999999978</v>
      </c>
      <c r="BD37" s="43">
        <f t="shared" si="23"/>
        <v>4.1666666666666664E-2</v>
      </c>
      <c r="BE37" s="1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</row>
    <row r="38" spans="1:80" s="2" customFormat="1" ht="20.100000000000001" customHeight="1" x14ac:dyDescent="0.25">
      <c r="A38" s="238" t="s">
        <v>42</v>
      </c>
      <c r="B38" s="238"/>
      <c r="C38" s="239">
        <v>0</v>
      </c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122"/>
      <c r="P38" s="122"/>
      <c r="Q38" s="115"/>
      <c r="R38" s="197" t="str">
        <f>CONTROL!F41</f>
        <v>G</v>
      </c>
      <c r="S38" s="222">
        <f>CONTROL!G41</f>
        <v>0.29166666666666669</v>
      </c>
      <c r="T38" s="222"/>
      <c r="U38" s="118" t="s">
        <v>11</v>
      </c>
      <c r="V38" s="223">
        <f>CONTROL!H41</f>
        <v>0.33333333333333331</v>
      </c>
      <c r="W38" s="223"/>
      <c r="X38" s="115"/>
      <c r="Y38" s="120"/>
      <c r="Z38" s="121"/>
      <c r="AA38" s="121"/>
      <c r="AB38" s="120"/>
      <c r="AC38" s="121"/>
      <c r="AD38" s="121"/>
      <c r="AE38" s="116"/>
      <c r="AF38" s="116"/>
      <c r="AG38" s="116"/>
      <c r="AH38" s="116"/>
      <c r="AI38" s="116"/>
      <c r="AJ38" s="114"/>
      <c r="AK38" s="217">
        <f>AH115</f>
        <v>0</v>
      </c>
      <c r="AL38" s="214" t="s">
        <v>143</v>
      </c>
      <c r="AN38" s="35">
        <f t="shared" si="7"/>
        <v>0</v>
      </c>
      <c r="AO38" s="35">
        <f t="shared" si="8"/>
        <v>4.166666666666663E-2</v>
      </c>
      <c r="AP38" s="36">
        <f t="shared" si="9"/>
        <v>7</v>
      </c>
      <c r="AQ38" s="36">
        <f t="shared" si="10"/>
        <v>8</v>
      </c>
      <c r="AR38" s="36">
        <f t="shared" si="11"/>
        <v>0</v>
      </c>
      <c r="AS38" s="37">
        <f t="shared" si="12"/>
        <v>0</v>
      </c>
      <c r="AT38" s="38">
        <f t="shared" si="13"/>
        <v>0</v>
      </c>
      <c r="AU38" s="39">
        <f t="shared" si="14"/>
        <v>0</v>
      </c>
      <c r="AV38" s="36">
        <f t="shared" si="15"/>
        <v>-1</v>
      </c>
      <c r="AW38" s="36">
        <f t="shared" si="16"/>
        <v>10</v>
      </c>
      <c r="AX38" s="41">
        <f t="shared" si="17"/>
        <v>-1</v>
      </c>
      <c r="AY38" s="36">
        <f t="shared" si="18"/>
        <v>23</v>
      </c>
      <c r="AZ38" s="36">
        <f t="shared" si="19"/>
        <v>-14</v>
      </c>
      <c r="BA38" s="36">
        <f t="shared" si="20"/>
        <v>4.166666666666663E-2</v>
      </c>
      <c r="BB38" s="36">
        <f t="shared" si="21"/>
        <v>0.99999999999999911</v>
      </c>
      <c r="BC38" s="36">
        <f t="shared" si="22"/>
        <v>0.99999999999999911</v>
      </c>
      <c r="BD38" s="43">
        <f t="shared" si="23"/>
        <v>0</v>
      </c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</row>
    <row r="39" spans="1:80" s="2" customFormat="1" ht="20.100000000000001" customHeight="1" x14ac:dyDescent="0.25">
      <c r="A39" s="123"/>
      <c r="B39" s="116"/>
      <c r="C39" s="124"/>
      <c r="D39" s="116"/>
      <c r="E39" s="116"/>
      <c r="F39" s="116"/>
      <c r="G39" s="116"/>
      <c r="H39" s="116"/>
      <c r="I39" s="116"/>
      <c r="J39" s="116"/>
      <c r="K39" s="116"/>
      <c r="L39" s="122"/>
      <c r="M39" s="122"/>
      <c r="N39" s="125"/>
      <c r="O39" s="122"/>
      <c r="P39" s="122"/>
      <c r="Q39" s="115"/>
      <c r="R39" s="197" t="str">
        <f>CONTROL!F42</f>
        <v>H</v>
      </c>
      <c r="S39" s="222">
        <f>CONTROL!G42</f>
        <v>0.33333333333333331</v>
      </c>
      <c r="T39" s="222"/>
      <c r="U39" s="118" t="s">
        <v>11</v>
      </c>
      <c r="V39" s="223">
        <f>CONTROL!H42</f>
        <v>0.375</v>
      </c>
      <c r="W39" s="223"/>
      <c r="X39" s="115"/>
      <c r="Y39" s="120"/>
      <c r="Z39" s="121"/>
      <c r="AA39" s="121"/>
      <c r="AB39" s="120"/>
      <c r="AC39" s="121"/>
      <c r="AD39" s="121"/>
      <c r="AE39" s="116"/>
      <c r="AF39" s="116"/>
      <c r="AG39" s="116"/>
      <c r="AH39" s="116"/>
      <c r="AI39" s="116"/>
      <c r="AJ39" s="114"/>
      <c r="AK39" s="217">
        <f>AH126</f>
        <v>0</v>
      </c>
      <c r="AL39" s="214" t="s">
        <v>144</v>
      </c>
      <c r="AN39" s="35">
        <f t="shared" si="7"/>
        <v>0</v>
      </c>
      <c r="AO39" s="35">
        <f t="shared" si="8"/>
        <v>4.1666666666666685E-2</v>
      </c>
      <c r="AP39" s="36">
        <f t="shared" si="9"/>
        <v>8</v>
      </c>
      <c r="AQ39" s="36">
        <f t="shared" si="10"/>
        <v>9</v>
      </c>
      <c r="AR39" s="36">
        <f t="shared" si="11"/>
        <v>0</v>
      </c>
      <c r="AS39" s="37">
        <f t="shared" si="12"/>
        <v>0</v>
      </c>
      <c r="AT39" s="38">
        <f t="shared" si="13"/>
        <v>0</v>
      </c>
      <c r="AU39" s="39">
        <f t="shared" si="14"/>
        <v>0</v>
      </c>
      <c r="AV39" s="36">
        <f t="shared" si="15"/>
        <v>-1</v>
      </c>
      <c r="AW39" s="36">
        <f t="shared" si="16"/>
        <v>11</v>
      </c>
      <c r="AX39" s="41">
        <f t="shared" si="17"/>
        <v>-1</v>
      </c>
      <c r="AY39" s="36">
        <f t="shared" si="18"/>
        <v>22</v>
      </c>
      <c r="AZ39" s="36">
        <f t="shared" si="19"/>
        <v>-13</v>
      </c>
      <c r="BA39" s="36">
        <f t="shared" si="20"/>
        <v>4.1666666666666685E-2</v>
      </c>
      <c r="BB39" s="36">
        <f t="shared" si="21"/>
        <v>1.0000000000000004</v>
      </c>
      <c r="BC39" s="36">
        <f t="shared" si="22"/>
        <v>1.0000000000000004</v>
      </c>
      <c r="BD39" s="43">
        <f t="shared" si="23"/>
        <v>0</v>
      </c>
      <c r="BE39" s="31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</row>
    <row r="40" spans="1:80" s="2" customFormat="1" ht="20.100000000000001" customHeight="1" x14ac:dyDescent="0.25">
      <c r="A40" s="123"/>
      <c r="B40" s="116"/>
      <c r="C40" s="124"/>
      <c r="D40" s="116"/>
      <c r="E40" s="116"/>
      <c r="F40" s="116"/>
      <c r="G40" s="116"/>
      <c r="H40" s="116"/>
      <c r="I40" s="116"/>
      <c r="J40" s="116"/>
      <c r="K40" s="116"/>
      <c r="L40" s="122"/>
      <c r="M40" s="122"/>
      <c r="N40" s="125"/>
      <c r="O40" s="122"/>
      <c r="P40" s="122"/>
      <c r="Q40" s="115"/>
      <c r="R40" s="197" t="str">
        <f>CONTROL!F43</f>
        <v>I</v>
      </c>
      <c r="S40" s="222">
        <f>CONTROL!G43</f>
        <v>0.41666666666666669</v>
      </c>
      <c r="T40" s="222"/>
      <c r="U40" s="118" t="s">
        <v>11</v>
      </c>
      <c r="V40" s="223">
        <f>CONTROL!H43</f>
        <v>0.45833333333333331</v>
      </c>
      <c r="W40" s="223"/>
      <c r="X40" s="115"/>
      <c r="Y40" s="120"/>
      <c r="Z40" s="121"/>
      <c r="AA40" s="121"/>
      <c r="AB40" s="120"/>
      <c r="AC40" s="121"/>
      <c r="AD40" s="121"/>
      <c r="AE40" s="116"/>
      <c r="AF40" s="116"/>
      <c r="AG40" s="116"/>
      <c r="AH40" s="116"/>
      <c r="AI40" s="116"/>
      <c r="AJ40" s="114"/>
      <c r="AK40" s="217">
        <f>AH137</f>
        <v>0</v>
      </c>
      <c r="AL40" s="214" t="s">
        <v>145</v>
      </c>
      <c r="AN40" s="35">
        <f t="shared" si="7"/>
        <v>0</v>
      </c>
      <c r="AO40" s="35">
        <f t="shared" si="8"/>
        <v>4.166666666666663E-2</v>
      </c>
      <c r="AP40" s="36">
        <f>S40*24+24</f>
        <v>34</v>
      </c>
      <c r="AQ40" s="36">
        <f t="shared" si="10"/>
        <v>11</v>
      </c>
      <c r="AR40" s="36">
        <f t="shared" si="11"/>
        <v>0</v>
      </c>
      <c r="AS40" s="37">
        <f t="shared" si="12"/>
        <v>0</v>
      </c>
      <c r="AT40" s="38">
        <f t="shared" si="13"/>
        <v>0</v>
      </c>
      <c r="AU40" s="39">
        <f t="shared" si="14"/>
        <v>0</v>
      </c>
      <c r="AV40" s="36">
        <f t="shared" si="15"/>
        <v>-4</v>
      </c>
      <c r="AW40" s="36">
        <f t="shared" si="16"/>
        <v>-4</v>
      </c>
      <c r="AX40" s="41">
        <f t="shared" si="17"/>
        <v>0</v>
      </c>
      <c r="AY40" s="36">
        <f t="shared" si="18"/>
        <v>-4</v>
      </c>
      <c r="AZ40" s="36">
        <f t="shared" si="19"/>
        <v>-23</v>
      </c>
      <c r="BA40" s="36">
        <f t="shared" si="20"/>
        <v>4.166666666666663E-2</v>
      </c>
      <c r="BB40" s="36">
        <f t="shared" si="21"/>
        <v>0.99999999999999911</v>
      </c>
      <c r="BC40" s="36">
        <f t="shared" si="22"/>
        <v>0.99999999999999911</v>
      </c>
      <c r="BD40" s="43">
        <f t="shared" si="23"/>
        <v>0</v>
      </c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</row>
    <row r="41" spans="1:80" s="2" customFormat="1" ht="20.100000000000001" customHeight="1" x14ac:dyDescent="0.25">
      <c r="A41" s="123"/>
      <c r="B41" s="116"/>
      <c r="C41" s="124"/>
      <c r="D41" s="116"/>
      <c r="E41" s="116"/>
      <c r="F41" s="116"/>
      <c r="G41" s="116"/>
      <c r="H41" s="116"/>
      <c r="I41" s="116"/>
      <c r="J41" s="116"/>
      <c r="K41" s="116"/>
      <c r="L41" s="122"/>
      <c r="M41" s="122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6"/>
      <c r="AB41" s="116"/>
      <c r="AC41" s="116"/>
      <c r="AD41" s="116"/>
      <c r="AE41" s="116"/>
      <c r="AF41" s="116"/>
      <c r="AG41" s="116"/>
      <c r="AH41" s="116"/>
      <c r="AI41" s="116"/>
      <c r="AJ41" s="114"/>
      <c r="AK41" s="217">
        <f>AH148</f>
        <v>0</v>
      </c>
      <c r="AL41" s="214" t="s">
        <v>146</v>
      </c>
      <c r="AN41" s="10"/>
      <c r="AO41" s="10"/>
      <c r="AP41" s="46">
        <f>S41*24</f>
        <v>0</v>
      </c>
      <c r="AQ41" s="10"/>
      <c r="AR41" s="47">
        <v>1</v>
      </c>
      <c r="AS41" s="47">
        <v>2</v>
      </c>
      <c r="AT41" s="47">
        <v>3</v>
      </c>
      <c r="AU41" s="47">
        <v>4</v>
      </c>
      <c r="AV41" s="47">
        <v>5</v>
      </c>
      <c r="AW41" s="47">
        <v>6</v>
      </c>
      <c r="AX41" s="47">
        <v>7</v>
      </c>
      <c r="AY41" s="47">
        <v>8</v>
      </c>
      <c r="AZ41" s="47">
        <v>9</v>
      </c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</row>
    <row r="42" spans="1:80" ht="20.100000000000001" customHeight="1" x14ac:dyDescent="0.25">
      <c r="A42" s="116"/>
      <c r="B42" s="126"/>
      <c r="C42" s="224" t="s">
        <v>43</v>
      </c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5" t="str">
        <f>CONTROL!B38</f>
        <v>OSCAR ORGEIRA © 20.03.00 EXCEL</v>
      </c>
      <c r="X42" s="225"/>
      <c r="Y42" s="225"/>
      <c r="Z42" s="225"/>
      <c r="AA42" s="225"/>
      <c r="AB42" s="225"/>
      <c r="AC42" s="225"/>
      <c r="AD42" s="225"/>
      <c r="AE42" s="225"/>
      <c r="AF42" s="225"/>
      <c r="AG42" s="225"/>
      <c r="AH42" s="225"/>
      <c r="AI42" s="127"/>
      <c r="AJ42" s="116"/>
      <c r="AK42" s="218">
        <f>AH159</f>
        <v>0</v>
      </c>
      <c r="AL42" s="215" t="s">
        <v>147</v>
      </c>
      <c r="BE42" s="10"/>
    </row>
    <row r="43" spans="1:80" ht="20.100000000000001" customHeight="1" x14ac:dyDescent="0.25">
      <c r="A43" s="116"/>
      <c r="B43" s="116"/>
      <c r="C43" s="234" t="s">
        <v>44</v>
      </c>
      <c r="D43" s="234"/>
      <c r="E43" s="235" t="s">
        <v>45</v>
      </c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  <c r="AA43" s="235"/>
      <c r="AB43" s="235"/>
      <c r="AC43" s="235"/>
      <c r="AD43" s="235"/>
      <c r="AE43" s="235"/>
      <c r="AF43" s="235"/>
      <c r="AG43" s="235"/>
      <c r="AH43" s="235"/>
      <c r="AI43" s="235"/>
      <c r="AJ43" s="116"/>
      <c r="AK43" s="218">
        <f>AH170</f>
        <v>0</v>
      </c>
      <c r="AL43" s="215" t="s">
        <v>148</v>
      </c>
      <c r="BE43" s="10"/>
    </row>
    <row r="44" spans="1:80" s="2" customFormat="1" ht="15.95" hidden="1" customHeight="1" x14ac:dyDescent="0.25">
      <c r="A44" s="123"/>
      <c r="B44" s="114"/>
      <c r="C44" s="128"/>
      <c r="D44" s="114"/>
      <c r="E44" s="114"/>
      <c r="F44" s="114"/>
      <c r="G44" s="114"/>
      <c r="H44" s="114"/>
      <c r="I44" s="114"/>
      <c r="J44" s="114"/>
      <c r="K44" s="114"/>
      <c r="L44" s="125"/>
      <c r="M44" s="125"/>
      <c r="N44" s="125"/>
      <c r="O44" s="125"/>
      <c r="P44" s="125"/>
      <c r="Q44" s="125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N44" s="10"/>
      <c r="AO44" s="10"/>
      <c r="AP44" s="10"/>
      <c r="AQ44" s="10"/>
      <c r="AR44" s="47"/>
      <c r="AS44" s="47"/>
      <c r="AT44" s="47"/>
      <c r="AU44" s="47"/>
      <c r="AV44" s="47"/>
      <c r="AW44" s="47"/>
      <c r="AX44" s="47"/>
      <c r="AY44" s="47"/>
      <c r="AZ44" s="47"/>
      <c r="BA44" s="10"/>
      <c r="BB44" s="10"/>
      <c r="BC44" s="10"/>
      <c r="BD44" s="10"/>
      <c r="BE44" s="48" t="str">
        <f>INDEX({"do";"lu";"ma";"mi";"ju";"vi";"sa"},1+MOD($AR$47+4-2,7))</f>
        <v>ju</v>
      </c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</row>
    <row r="45" spans="1:80" ht="15.95" hidden="1" customHeight="1" x14ac:dyDescent="0.25">
      <c r="A45" s="129"/>
      <c r="B45" s="130" t="s">
        <v>46</v>
      </c>
      <c r="C45" s="131" t="str">
        <f t="shared" ref="C45:AH45" si="25">IF(C7="S",IF(C7="",0,1),IF(C7="D",IF(C7="",0,1),""))</f>
        <v/>
      </c>
      <c r="D45" s="131" t="str">
        <f t="shared" si="25"/>
        <v/>
      </c>
      <c r="E45" s="131" t="str">
        <f t="shared" si="25"/>
        <v/>
      </c>
      <c r="F45" s="131">
        <f t="shared" si="25"/>
        <v>1</v>
      </c>
      <c r="G45" s="131">
        <f t="shared" si="25"/>
        <v>1</v>
      </c>
      <c r="H45" s="131" t="str">
        <f t="shared" si="25"/>
        <v/>
      </c>
      <c r="I45" s="131" t="str">
        <f t="shared" si="25"/>
        <v/>
      </c>
      <c r="J45" s="131" t="str">
        <f t="shared" si="25"/>
        <v/>
      </c>
      <c r="K45" s="131" t="str">
        <f t="shared" si="25"/>
        <v/>
      </c>
      <c r="L45" s="131" t="str">
        <f t="shared" si="25"/>
        <v/>
      </c>
      <c r="M45" s="131">
        <f t="shared" si="25"/>
        <v>1</v>
      </c>
      <c r="N45" s="131">
        <f t="shared" si="25"/>
        <v>1</v>
      </c>
      <c r="O45" s="131" t="str">
        <f t="shared" si="25"/>
        <v/>
      </c>
      <c r="P45" s="131" t="str">
        <f t="shared" si="25"/>
        <v/>
      </c>
      <c r="Q45" s="131" t="str">
        <f t="shared" si="25"/>
        <v/>
      </c>
      <c r="R45" s="131" t="str">
        <f t="shared" si="25"/>
        <v/>
      </c>
      <c r="S45" s="131" t="str">
        <f t="shared" si="25"/>
        <v/>
      </c>
      <c r="T45" s="131">
        <f t="shared" si="25"/>
        <v>1</v>
      </c>
      <c r="U45" s="131">
        <f t="shared" si="25"/>
        <v>1</v>
      </c>
      <c r="V45" s="131" t="str">
        <f t="shared" si="25"/>
        <v/>
      </c>
      <c r="W45" s="131" t="str">
        <f t="shared" si="25"/>
        <v/>
      </c>
      <c r="X45" s="131" t="str">
        <f t="shared" si="25"/>
        <v/>
      </c>
      <c r="Y45" s="131" t="str">
        <f t="shared" si="25"/>
        <v/>
      </c>
      <c r="Z45" s="131" t="str">
        <f t="shared" si="25"/>
        <v/>
      </c>
      <c r="AA45" s="131">
        <f t="shared" si="25"/>
        <v>1</v>
      </c>
      <c r="AB45" s="131">
        <f t="shared" si="25"/>
        <v>1</v>
      </c>
      <c r="AC45" s="131" t="str">
        <f t="shared" si="25"/>
        <v/>
      </c>
      <c r="AD45" s="131" t="str">
        <f t="shared" si="25"/>
        <v/>
      </c>
      <c r="AE45" s="131" t="str">
        <f t="shared" si="25"/>
        <v/>
      </c>
      <c r="AF45" s="131" t="str">
        <f t="shared" si="25"/>
        <v/>
      </c>
      <c r="AG45" s="131" t="str">
        <f t="shared" si="25"/>
        <v/>
      </c>
      <c r="AH45" s="132" t="str">
        <f t="shared" si="25"/>
        <v/>
      </c>
      <c r="AI45" s="236" t="s">
        <v>8</v>
      </c>
      <c r="AJ45" s="236"/>
      <c r="AK45" s="133"/>
      <c r="AL45" s="133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49" t="str">
        <f>IF(MONTH($Q$4)&lt;&gt;MONTH($Q$4-(WEEKDAY($Q$4,1)-($AR$47-1))-IF((WEEKDAY($Q$4,1)-($AR$47-1))&lt;=0,7,0)+(ROW(BE45)-ROW($AN$51))*7+(COLUMN(BE45)-COLUMN($AN$51)+1)),"",$Q$4-(WEEKDAY($Q$4,1)-($AR$47-1))-IF((WEEKDAY($Q$4,1)-($AR$47-1))&lt;=0,7,0)+(ROW(BE45)-ROW($AN$51))*7+(COLUMN(BE45)-COLUMN($AN$51)+1))</f>
        <v/>
      </c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</row>
    <row r="46" spans="1:80" s="2" customFormat="1" ht="15.95" hidden="1" customHeight="1" x14ac:dyDescent="0.25">
      <c r="A46" s="134" t="s">
        <v>47</v>
      </c>
      <c r="B46" s="134" t="s">
        <v>48</v>
      </c>
      <c r="C46" s="135" t="str">
        <f t="shared" ref="C46:AG46" si="26">IF(C6="X",IF(C6="",0,1),IF(C45=1,IF(C45="",0,1),""))</f>
        <v/>
      </c>
      <c r="D46" s="135" t="str">
        <f t="shared" si="26"/>
        <v/>
      </c>
      <c r="E46" s="135" t="str">
        <f t="shared" si="26"/>
        <v/>
      </c>
      <c r="F46" s="135">
        <f t="shared" si="26"/>
        <v>1</v>
      </c>
      <c r="G46" s="135">
        <f t="shared" si="26"/>
        <v>1</v>
      </c>
      <c r="H46" s="135" t="str">
        <f t="shared" si="26"/>
        <v/>
      </c>
      <c r="I46" s="135" t="str">
        <f t="shared" si="26"/>
        <v/>
      </c>
      <c r="J46" s="135" t="str">
        <f t="shared" si="26"/>
        <v/>
      </c>
      <c r="K46" s="135" t="str">
        <f t="shared" si="26"/>
        <v/>
      </c>
      <c r="L46" s="135" t="str">
        <f t="shared" si="26"/>
        <v/>
      </c>
      <c r="M46" s="135">
        <f t="shared" si="26"/>
        <v>1</v>
      </c>
      <c r="N46" s="135">
        <f t="shared" si="26"/>
        <v>1</v>
      </c>
      <c r="O46" s="135" t="str">
        <f t="shared" si="26"/>
        <v/>
      </c>
      <c r="P46" s="135" t="str">
        <f t="shared" si="26"/>
        <v/>
      </c>
      <c r="Q46" s="135" t="str">
        <f t="shared" si="26"/>
        <v/>
      </c>
      <c r="R46" s="135" t="str">
        <f t="shared" si="26"/>
        <v/>
      </c>
      <c r="S46" s="135" t="str">
        <f t="shared" si="26"/>
        <v/>
      </c>
      <c r="T46" s="135">
        <f t="shared" si="26"/>
        <v>1</v>
      </c>
      <c r="U46" s="135">
        <f t="shared" si="26"/>
        <v>1</v>
      </c>
      <c r="V46" s="135" t="str">
        <f t="shared" si="26"/>
        <v/>
      </c>
      <c r="W46" s="135" t="str">
        <f t="shared" si="26"/>
        <v/>
      </c>
      <c r="X46" s="135" t="str">
        <f t="shared" si="26"/>
        <v/>
      </c>
      <c r="Y46" s="135" t="str">
        <f t="shared" si="26"/>
        <v/>
      </c>
      <c r="Z46" s="135" t="str">
        <f t="shared" si="26"/>
        <v/>
      </c>
      <c r="AA46" s="135">
        <f t="shared" si="26"/>
        <v>1</v>
      </c>
      <c r="AB46" s="135">
        <f t="shared" si="26"/>
        <v>1</v>
      </c>
      <c r="AC46" s="135" t="str">
        <f t="shared" si="26"/>
        <v/>
      </c>
      <c r="AD46" s="135" t="str">
        <f t="shared" si="26"/>
        <v/>
      </c>
      <c r="AE46" s="132" t="str">
        <f t="shared" si="26"/>
        <v/>
      </c>
      <c r="AF46" s="132" t="str">
        <f t="shared" si="26"/>
        <v/>
      </c>
      <c r="AG46" s="132" t="str">
        <f t="shared" si="26"/>
        <v/>
      </c>
      <c r="AH46" s="136" t="b">
        <f>IF(AH6="X",IF(AH6="",0,1))</f>
        <v>0</v>
      </c>
      <c r="AI46" s="231">
        <f>(AH32-AH33)*AL46</f>
        <v>4</v>
      </c>
      <c r="AJ46" s="231"/>
      <c r="AK46" s="137" t="s">
        <v>49</v>
      </c>
      <c r="AL46" s="138">
        <f>SUM(C46:AG46)</f>
        <v>8</v>
      </c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</row>
    <row r="47" spans="1:80" s="2" customFormat="1" ht="15.95" hidden="1" customHeight="1" x14ac:dyDescent="0.3">
      <c r="A47" s="139" t="s">
        <v>50</v>
      </c>
      <c r="B47" s="140" t="s">
        <v>29</v>
      </c>
      <c r="C47" s="141" t="str">
        <f t="shared" ref="C47:AG47" si="27">IF(C9=$R32,$S32*24,IF(C9=$R33,$S33*24,IF(C9=$R34,$S34*24,IF(C9=$R35,$S35*24,IF(C9=$R36,$S36*24,IF(C9=$R37,$S37*24,IF(C9=$R38,$S38*24,IF(C9=$R39,$S39*24,IF(C9=$R40,$S40*24,"")))))))))</f>
        <v/>
      </c>
      <c r="D47" s="141" t="str">
        <f t="shared" si="27"/>
        <v/>
      </c>
      <c r="E47" s="141" t="str">
        <f t="shared" si="27"/>
        <v/>
      </c>
      <c r="F47" s="141" t="str">
        <f t="shared" si="27"/>
        <v/>
      </c>
      <c r="G47" s="141" t="str">
        <f t="shared" si="27"/>
        <v/>
      </c>
      <c r="H47" s="141" t="str">
        <f t="shared" si="27"/>
        <v/>
      </c>
      <c r="I47" s="141" t="str">
        <f t="shared" si="27"/>
        <v/>
      </c>
      <c r="J47" s="141" t="str">
        <f t="shared" si="27"/>
        <v/>
      </c>
      <c r="K47" s="141" t="str">
        <f t="shared" si="27"/>
        <v/>
      </c>
      <c r="L47" s="141" t="str">
        <f t="shared" si="27"/>
        <v/>
      </c>
      <c r="M47" s="141" t="str">
        <f t="shared" si="27"/>
        <v/>
      </c>
      <c r="N47" s="141" t="str">
        <f t="shared" si="27"/>
        <v/>
      </c>
      <c r="O47" s="141" t="str">
        <f t="shared" si="27"/>
        <v/>
      </c>
      <c r="P47" s="141" t="str">
        <f t="shared" si="27"/>
        <v/>
      </c>
      <c r="Q47" s="141" t="str">
        <f t="shared" si="27"/>
        <v/>
      </c>
      <c r="R47" s="141" t="str">
        <f t="shared" si="27"/>
        <v/>
      </c>
      <c r="S47" s="141" t="str">
        <f t="shared" si="27"/>
        <v/>
      </c>
      <c r="T47" s="141" t="str">
        <f t="shared" si="27"/>
        <v/>
      </c>
      <c r="U47" s="141" t="str">
        <f t="shared" si="27"/>
        <v/>
      </c>
      <c r="V47" s="141" t="str">
        <f t="shared" si="27"/>
        <v/>
      </c>
      <c r="W47" s="141" t="str">
        <f t="shared" si="27"/>
        <v/>
      </c>
      <c r="X47" s="141" t="str">
        <f t="shared" si="27"/>
        <v/>
      </c>
      <c r="Y47" s="141" t="str">
        <f t="shared" si="27"/>
        <v/>
      </c>
      <c r="Z47" s="141" t="str">
        <f t="shared" si="27"/>
        <v/>
      </c>
      <c r="AA47" s="141" t="str">
        <f t="shared" si="27"/>
        <v/>
      </c>
      <c r="AB47" s="141" t="str">
        <f t="shared" si="27"/>
        <v/>
      </c>
      <c r="AC47" s="141" t="str">
        <f t="shared" si="27"/>
        <v/>
      </c>
      <c r="AD47" s="141" t="str">
        <f t="shared" si="27"/>
        <v/>
      </c>
      <c r="AE47" s="141" t="str">
        <f t="shared" si="27"/>
        <v/>
      </c>
      <c r="AF47" s="141" t="str">
        <f t="shared" si="27"/>
        <v/>
      </c>
      <c r="AG47" s="141" t="str">
        <f t="shared" si="27"/>
        <v/>
      </c>
      <c r="AH47" s="142" t="s">
        <v>12</v>
      </c>
      <c r="AI47" s="231">
        <f>(CA59-AH46)*AH33</f>
        <v>0</v>
      </c>
      <c r="AJ47" s="231"/>
      <c r="AK47" s="137" t="s">
        <v>51</v>
      </c>
      <c r="AL47" s="137"/>
      <c r="AN47" s="237" t="s">
        <v>52</v>
      </c>
      <c r="AO47" s="237"/>
      <c r="AP47" s="10"/>
      <c r="AQ47" s="50" t="s">
        <v>53</v>
      </c>
      <c r="AR47" s="46">
        <v>2</v>
      </c>
      <c r="AS47" s="51">
        <v>1</v>
      </c>
      <c r="AT47" s="52" t="str">
        <f>IF(AN53="lu","LUNES",IF(AN53="ma","MARTES",IF(AN53="mi","MIERCOLES",IF(AN53="ju","JUEVES",IF(AN53="vi","VIERNES",IF(AN53="sa","SABADO",IF(AN53="do","DOMINGO",IF(AO53="lu","LUNES",IF(AO53="ma","MARTES",IF(AO53="mi","MIERCOLES",IF(AO53="ju","JUEVES",IF(AO53="vi","VIERNES",IF(AO53="sa","SABADO",IF(AO53="do","DOMINGO",IF(AP53="lu","LUNES",IF(AP53="ma","MARTES",IF(AP53="mi","MIERCOLES",IF(AP53="ju","JUEVES",IF(AP53="vi","VIERNES",IF(AP53="sa","SABADO",IF(AP53="do","DOMINGO",IF(AQ53="lu","LUNES",IF(AQ53="ma","MARTES",IF(AQ53="mi","MIERCOLES",IF(AQ53="ju","JUEVES",IF(AQ53="vi","VIERNES",IF(AQ53="sa","SABADO",IF(AQ53="do","DOMINGO",IF(AR53="lu","LUNES",IF(AR53="ma","MARTES",IF(AR53="mi","MIERCOLES",IF(AR53="ju","JUEVES",IF(AR53="vi","VIERNES",IF(AR53="sa","SABADO",IF(AR53="do","DOMINGO","")))))))))))))))))))))))))))))))))))</f>
        <v>MIERCOLES</v>
      </c>
      <c r="AU47" s="50" t="s">
        <v>54</v>
      </c>
      <c r="AV47" s="53" t="str">
        <f>IF(AT47="LUNES","LUNES",IF(AT47="MARTES","MARTES",IF(AT47="MIERCOLES","MIERCOLES",IF(AT47="JUEVES","JUEVES",IF(AT47="VIERNES","VIERNES",IF(AT47="SABADO","SABADO",IF(AT47="DOMINGO","DOMINGO",IF(AT48="LUNES","LUNES",IF(AT48="MARTES","MARTES",IF(AT48="MIERCOLES","MIERCOLES",IF(AT48="JUEVES","JUEVES",IF(AT48="VIERNES","VIERNES",IF(AT48="SABADO","SABADO",IF(AT48="DOMINGO","DOMINGO",""))))))))))))))</f>
        <v>MIERCOLES</v>
      </c>
      <c r="AW47" s="51">
        <v>28</v>
      </c>
      <c r="AX47" s="46">
        <f>$AR$48+27</f>
        <v>45958</v>
      </c>
      <c r="AY47" s="51">
        <v>30</v>
      </c>
      <c r="AZ47" s="46">
        <f>$AR$48+29</f>
        <v>45960</v>
      </c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</row>
    <row r="48" spans="1:80" s="2" customFormat="1" ht="15.95" hidden="1" customHeight="1" x14ac:dyDescent="0.35">
      <c r="A48" s="143" t="s">
        <v>55</v>
      </c>
      <c r="B48" s="144" t="s">
        <v>30</v>
      </c>
      <c r="C48" s="141" t="str">
        <f t="shared" ref="C48:AG48" si="28">IF(C9=$R32,$V32*24,IF(C9=$R33,$V33*24,IF(C9=$R34,$V34*24,IF(C9=$R35,$V35*24,IF(C9=$R36,$V36*24,IF(C9=$R37,$V37*24,IF(C9=$R38,$V38*24,IF(C9=$R39,$V39*24,IF(C9=$R40,$V40*24,"")))))))))</f>
        <v/>
      </c>
      <c r="D48" s="141" t="str">
        <f t="shared" si="28"/>
        <v/>
      </c>
      <c r="E48" s="141" t="str">
        <f t="shared" si="28"/>
        <v/>
      </c>
      <c r="F48" s="141" t="str">
        <f t="shared" si="28"/>
        <v/>
      </c>
      <c r="G48" s="141" t="str">
        <f t="shared" si="28"/>
        <v/>
      </c>
      <c r="H48" s="141" t="str">
        <f t="shared" si="28"/>
        <v/>
      </c>
      <c r="I48" s="141" t="str">
        <f t="shared" si="28"/>
        <v/>
      </c>
      <c r="J48" s="141" t="str">
        <f t="shared" si="28"/>
        <v/>
      </c>
      <c r="K48" s="141" t="str">
        <f t="shared" si="28"/>
        <v/>
      </c>
      <c r="L48" s="141" t="str">
        <f t="shared" si="28"/>
        <v/>
      </c>
      <c r="M48" s="141" t="str">
        <f t="shared" si="28"/>
        <v/>
      </c>
      <c r="N48" s="141" t="str">
        <f t="shared" si="28"/>
        <v/>
      </c>
      <c r="O48" s="141" t="str">
        <f t="shared" si="28"/>
        <v/>
      </c>
      <c r="P48" s="141" t="str">
        <f t="shared" si="28"/>
        <v/>
      </c>
      <c r="Q48" s="141" t="str">
        <f t="shared" si="28"/>
        <v/>
      </c>
      <c r="R48" s="141" t="str">
        <f t="shared" si="28"/>
        <v/>
      </c>
      <c r="S48" s="141" t="str">
        <f t="shared" si="28"/>
        <v/>
      </c>
      <c r="T48" s="141" t="str">
        <f t="shared" si="28"/>
        <v/>
      </c>
      <c r="U48" s="141" t="str">
        <f t="shared" si="28"/>
        <v/>
      </c>
      <c r="V48" s="141" t="str">
        <f t="shared" si="28"/>
        <v/>
      </c>
      <c r="W48" s="141" t="str">
        <f t="shared" si="28"/>
        <v/>
      </c>
      <c r="X48" s="141" t="str">
        <f t="shared" si="28"/>
        <v/>
      </c>
      <c r="Y48" s="141" t="str">
        <f t="shared" si="28"/>
        <v/>
      </c>
      <c r="Z48" s="141" t="str">
        <f t="shared" si="28"/>
        <v/>
      </c>
      <c r="AA48" s="141" t="str">
        <f t="shared" si="28"/>
        <v/>
      </c>
      <c r="AB48" s="141" t="str">
        <f t="shared" si="28"/>
        <v/>
      </c>
      <c r="AC48" s="141" t="str">
        <f t="shared" si="28"/>
        <v/>
      </c>
      <c r="AD48" s="141" t="str">
        <f t="shared" si="28"/>
        <v/>
      </c>
      <c r="AE48" s="141" t="str">
        <f t="shared" si="28"/>
        <v/>
      </c>
      <c r="AF48" s="141" t="str">
        <f t="shared" si="28"/>
        <v/>
      </c>
      <c r="AG48" s="141" t="str">
        <f t="shared" si="28"/>
        <v/>
      </c>
      <c r="AH48" s="142" t="s">
        <v>12</v>
      </c>
      <c r="AI48" s="230">
        <f>SUM(AI46:AI47)</f>
        <v>4</v>
      </c>
      <c r="AJ48" s="230"/>
      <c r="AK48" s="137" t="s">
        <v>56</v>
      </c>
      <c r="AL48" s="137"/>
      <c r="AN48" s="10"/>
      <c r="AO48" s="10"/>
      <c r="AP48" s="10"/>
      <c r="AQ48" s="50" t="s">
        <v>57</v>
      </c>
      <c r="AR48" s="54">
        <f>DATE($C$34,$C$35,1)</f>
        <v>45931</v>
      </c>
      <c r="AS48" s="51">
        <v>2</v>
      </c>
      <c r="AT48" s="52" t="str">
        <f>IF(AS53="lu","LUNES",IF(AS53="ma","MARTES",IF(AS53="mi","MIERCOLES",IF(AS53="ju","JUEVES",IF(AS53="vi","VIERNES",IF(AS53="sa","SABADO",IF(AS53="do","DOMINGO",IF(AT53="lu","LUNES",IF(AT53="ma","MARTES",IF(AT53="mi","MIERCOLES",IF(AT53="ju","JUEVES",IF(AT53="vi","VIERNES",IF(AT53="sa","SABADO",IF(AT53="do","DOMINGO",""))))))))))))))</f>
        <v/>
      </c>
      <c r="AU48" s="10"/>
      <c r="AV48" s="51"/>
      <c r="AW48" s="51">
        <v>29</v>
      </c>
      <c r="AX48" s="46">
        <f>$AR$48+28</f>
        <v>45959</v>
      </c>
      <c r="AY48" s="51">
        <v>31</v>
      </c>
      <c r="AZ48" s="46">
        <f>$AR$48+30</f>
        <v>45961</v>
      </c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</row>
    <row r="49" spans="1:80" s="2" customFormat="1" ht="15.95" hidden="1" customHeight="1" x14ac:dyDescent="0.25">
      <c r="A49" s="145"/>
      <c r="B49" s="146" t="s">
        <v>34</v>
      </c>
      <c r="C49" s="147" t="str">
        <f t="shared" ref="C49:AD49" si="29">IF(C9=$R32,$BD32*24,IF(C9=$R33,$BD33*24,IF(C9=$R34,$BD34*24,IF(C9=$R35,$BD35*24,IF(C9=$R36,$BD36*24,IF(C9=$R37,$BD37*24,IF(C9=$R38,$BD38*24,IF(C9=$R39,$BD39*24,IF(C9=$R40,$BD40*24,"")))))))))</f>
        <v/>
      </c>
      <c r="D49" s="147" t="str">
        <f t="shared" si="29"/>
        <v/>
      </c>
      <c r="E49" s="147" t="str">
        <f t="shared" si="29"/>
        <v/>
      </c>
      <c r="F49" s="147" t="str">
        <f t="shared" si="29"/>
        <v/>
      </c>
      <c r="G49" s="147" t="str">
        <f t="shared" si="29"/>
        <v/>
      </c>
      <c r="H49" s="147" t="str">
        <f t="shared" si="29"/>
        <v/>
      </c>
      <c r="I49" s="147" t="str">
        <f t="shared" si="29"/>
        <v/>
      </c>
      <c r="J49" s="147" t="str">
        <f t="shared" si="29"/>
        <v/>
      </c>
      <c r="K49" s="147" t="str">
        <f t="shared" si="29"/>
        <v/>
      </c>
      <c r="L49" s="147" t="str">
        <f t="shared" si="29"/>
        <v/>
      </c>
      <c r="M49" s="147" t="str">
        <f t="shared" si="29"/>
        <v/>
      </c>
      <c r="N49" s="147" t="str">
        <f t="shared" si="29"/>
        <v/>
      </c>
      <c r="O49" s="147" t="str">
        <f t="shared" si="29"/>
        <v/>
      </c>
      <c r="P49" s="147" t="str">
        <f t="shared" si="29"/>
        <v/>
      </c>
      <c r="Q49" s="147" t="str">
        <f t="shared" si="29"/>
        <v/>
      </c>
      <c r="R49" s="147" t="str">
        <f t="shared" si="29"/>
        <v/>
      </c>
      <c r="S49" s="147" t="str">
        <f t="shared" si="29"/>
        <v/>
      </c>
      <c r="T49" s="147" t="str">
        <f t="shared" si="29"/>
        <v/>
      </c>
      <c r="U49" s="147" t="str">
        <f t="shared" si="29"/>
        <v/>
      </c>
      <c r="V49" s="147" t="str">
        <f t="shared" si="29"/>
        <v/>
      </c>
      <c r="W49" s="147" t="str">
        <f t="shared" si="29"/>
        <v/>
      </c>
      <c r="X49" s="147" t="str">
        <f t="shared" si="29"/>
        <v/>
      </c>
      <c r="Y49" s="147" t="str">
        <f t="shared" si="29"/>
        <v/>
      </c>
      <c r="Z49" s="147" t="str">
        <f t="shared" si="29"/>
        <v/>
      </c>
      <c r="AA49" s="147" t="str">
        <f t="shared" si="29"/>
        <v/>
      </c>
      <c r="AB49" s="147" t="str">
        <f t="shared" si="29"/>
        <v/>
      </c>
      <c r="AC49" s="147" t="str">
        <f t="shared" si="29"/>
        <v/>
      </c>
      <c r="AD49" s="147" t="str">
        <f t="shared" si="29"/>
        <v/>
      </c>
      <c r="AE49" s="147" t="str">
        <f>IF(AE9=$R32,$BD32*24,IF(AE9=$R33,$BD33*24,IF(AE9=$R34,$BD34*24,IF(AE9=$R35,$BD35*24,IF(AE9=$R36,$BD36*24,IF(AE9=$R37,$BD37*24,IF(AE9=$R38,$BD38*24,IF(AE9=$R39,$BD39*24,IF(AE9=$R40,$BD40*24,"")))))))))</f>
        <v/>
      </c>
      <c r="AF49" s="147" t="str">
        <f>IF(AF9=$R32,$BD32*24,IF(AF9=$R33,$BD33*24,IF(AF9=$R34,$BD34*24,IF(AF9=$R35,$BD35*24,IF(AF9=$R36,$BD36*24,IF(AF9=$R37,$BD37*24,IF(AF9=$R38,$BD38*24,IF(AF9=$R39,$BD39*24,IF(AF9=$R40,$BD40*24,"")))))))))</f>
        <v/>
      </c>
      <c r="AG49" s="147" t="str">
        <f>IF(AG9=$R32,$BD32*24,IF(AG9=$R33,$BD33*24,IF(AG9=$R34,$BD34*24,IF(AG9=$R35,$BD35*24,IF(AG9=$R36,$BD36*24,IF(AG9=$R37,$BD37*24,IF(AG9=$R38,$BD38*24,IF(AG9=$R39,$BD39*24,IF(AG9=$R40,$BD40*24,"")))))))))</f>
        <v/>
      </c>
      <c r="AH49" s="148">
        <f>SUM(C49:AG49)</f>
        <v>0</v>
      </c>
      <c r="AI49" s="231">
        <f>C37*AF36</f>
        <v>0</v>
      </c>
      <c r="AJ49" s="231"/>
      <c r="AK49" s="137" t="s">
        <v>58</v>
      </c>
      <c r="AL49" s="137"/>
      <c r="AN49" s="232">
        <f>Q4</f>
        <v>45931</v>
      </c>
      <c r="AO49" s="232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</row>
    <row r="50" spans="1:80" s="2" customFormat="1" ht="15.95" hidden="1" customHeight="1" x14ac:dyDescent="0.25">
      <c r="A50" s="145"/>
      <c r="B50" s="149" t="s">
        <v>59</v>
      </c>
      <c r="C50" s="141">
        <f t="shared" ref="C50:AG50" si="30">IF(C9="V",$C36,IF(C9="PR",$C38,0))</f>
        <v>0</v>
      </c>
      <c r="D50" s="141">
        <f t="shared" si="30"/>
        <v>0</v>
      </c>
      <c r="E50" s="141">
        <f t="shared" si="30"/>
        <v>0</v>
      </c>
      <c r="F50" s="141">
        <f t="shared" si="30"/>
        <v>0</v>
      </c>
      <c r="G50" s="141">
        <f t="shared" si="30"/>
        <v>0</v>
      </c>
      <c r="H50" s="141">
        <f t="shared" si="30"/>
        <v>0</v>
      </c>
      <c r="I50" s="141">
        <f t="shared" si="30"/>
        <v>0</v>
      </c>
      <c r="J50" s="141">
        <f t="shared" si="30"/>
        <v>0</v>
      </c>
      <c r="K50" s="141">
        <f t="shared" si="30"/>
        <v>0</v>
      </c>
      <c r="L50" s="141">
        <f t="shared" si="30"/>
        <v>0</v>
      </c>
      <c r="M50" s="141">
        <f t="shared" si="30"/>
        <v>0</v>
      </c>
      <c r="N50" s="141">
        <f t="shared" si="30"/>
        <v>0</v>
      </c>
      <c r="O50" s="141">
        <f t="shared" si="30"/>
        <v>0</v>
      </c>
      <c r="P50" s="141">
        <f t="shared" si="30"/>
        <v>0</v>
      </c>
      <c r="Q50" s="141">
        <f t="shared" si="30"/>
        <v>0</v>
      </c>
      <c r="R50" s="141">
        <f t="shared" si="30"/>
        <v>0</v>
      </c>
      <c r="S50" s="141">
        <f t="shared" si="30"/>
        <v>0</v>
      </c>
      <c r="T50" s="141">
        <f t="shared" si="30"/>
        <v>0</v>
      </c>
      <c r="U50" s="141">
        <f t="shared" si="30"/>
        <v>0</v>
      </c>
      <c r="V50" s="141">
        <f t="shared" si="30"/>
        <v>0</v>
      </c>
      <c r="W50" s="141">
        <f t="shared" si="30"/>
        <v>0</v>
      </c>
      <c r="X50" s="141">
        <f t="shared" si="30"/>
        <v>0</v>
      </c>
      <c r="Y50" s="141">
        <f t="shared" si="30"/>
        <v>0</v>
      </c>
      <c r="Z50" s="141">
        <f t="shared" si="30"/>
        <v>0</v>
      </c>
      <c r="AA50" s="141">
        <f t="shared" si="30"/>
        <v>0</v>
      </c>
      <c r="AB50" s="141">
        <f t="shared" si="30"/>
        <v>0</v>
      </c>
      <c r="AC50" s="141">
        <f t="shared" si="30"/>
        <v>0</v>
      </c>
      <c r="AD50" s="141">
        <f t="shared" si="30"/>
        <v>0</v>
      </c>
      <c r="AE50" s="141">
        <f t="shared" si="30"/>
        <v>0</v>
      </c>
      <c r="AF50" s="141">
        <f t="shared" si="30"/>
        <v>0</v>
      </c>
      <c r="AG50" s="141">
        <f t="shared" si="30"/>
        <v>0</v>
      </c>
      <c r="AH50" s="226">
        <f>SUM(C50:AG50)</f>
        <v>0</v>
      </c>
      <c r="AI50" s="226"/>
      <c r="AJ50" s="137" t="s">
        <v>12</v>
      </c>
      <c r="AK50" s="137"/>
      <c r="AL50" s="137"/>
      <c r="AN50" s="48" t="str">
        <f>INDEX({"do";"lu";"ma";"mi";"ju";"vi";"sa"},1+MOD($AR$47+1-2,7))</f>
        <v>lu</v>
      </c>
      <c r="AO50" s="48" t="str">
        <f>INDEX({"do";"lu";"ma";"mi";"ju";"vi";"sa"},1+MOD($AR$47+2-2,7))</f>
        <v>ma</v>
      </c>
      <c r="AP50" s="48" t="str">
        <f>INDEX({"do";"lu";"ma";"mi";"ju";"vi";"sa"},1+MOD($AR$47+3-2,7))</f>
        <v>mi</v>
      </c>
      <c r="AQ50" s="48" t="str">
        <f>INDEX({"do";"lu";"ma";"mi";"ju";"vi";"sa"},1+MOD($AR$47+4-2,7))</f>
        <v>ju</v>
      </c>
      <c r="AR50" s="48" t="str">
        <f>INDEX({"do";"lu";"ma";"mi";"ju";"vi";"sa"},1+MOD($AR$47+5-2,7))</f>
        <v>vi</v>
      </c>
      <c r="AS50" s="48" t="str">
        <f>INDEX({"do";"lu";"ma";"mi";"ju";"vi";"sa"},1+MOD($AR$47+6-2,7))</f>
        <v>sa</v>
      </c>
      <c r="AT50" s="48" t="str">
        <f>INDEX({"do";"lu";"ma";"mi";"ju";"vi";"sa"},1+MOD($AR$47+7-2,7))</f>
        <v>do</v>
      </c>
      <c r="AU50" s="48" t="str">
        <f>INDEX({"do";"lu";"ma";"mi";"ju";"vi";"sa"},1+MOD($AR$47+1-2,7))</f>
        <v>lu</v>
      </c>
      <c r="AV50" s="48" t="str">
        <f>INDEX({"do";"lu";"ma";"mi";"ju";"vi";"sa"},1+MOD($AR$47+2-2,7))</f>
        <v>ma</v>
      </c>
      <c r="AW50" s="48" t="str">
        <f>INDEX({"do";"lu";"ma";"mi";"ju";"vi";"sa"},1+MOD($AR$47+3-2,7))</f>
        <v>mi</v>
      </c>
      <c r="AX50" s="48" t="str">
        <f>INDEX({"do";"lu";"ma";"mi";"ju";"vi";"sa"},1+MOD($AR$47+4-2,7))</f>
        <v>ju</v>
      </c>
      <c r="AY50" s="48" t="str">
        <f>INDEX({"do";"lu";"ma";"mi";"ju";"vi";"sa"},1+MOD($AR$47+5-2,7))</f>
        <v>vi</v>
      </c>
      <c r="AZ50" s="48" t="str">
        <f>INDEX({"do";"lu";"ma";"mi";"ju";"vi";"sa"},1+MOD($AR$47+6-2,7))</f>
        <v>sa</v>
      </c>
      <c r="BA50" s="48" t="str">
        <f>INDEX({"do";"lu";"ma";"mi";"ju";"vi";"sa"},1+MOD($AR$47+7-2,7))</f>
        <v>do</v>
      </c>
      <c r="BB50" s="48" t="str">
        <f>INDEX({"do";"lu";"ma";"mi";"ju";"vi";"sa"},1+MOD($AR$47+1-2,7))</f>
        <v>lu</v>
      </c>
      <c r="BC50" s="48" t="str">
        <f>INDEX({"do";"lu";"ma";"mi";"ju";"vi";"sa"},1+MOD($AR$47+2-2,7))</f>
        <v>ma</v>
      </c>
      <c r="BD50" s="48" t="str">
        <f>INDEX({"do";"lu";"ma";"mi";"ju";"vi";"sa"},1+MOD($AR$47+3-2,7))</f>
        <v>mi</v>
      </c>
      <c r="BE50" s="10"/>
      <c r="BF50" s="48" t="str">
        <f>INDEX({"do";"lu";"ma";"mi";"ju";"vi";"sa"},1+MOD($AR$47+5-2,7))</f>
        <v>vi</v>
      </c>
      <c r="BG50" s="48" t="str">
        <f>INDEX({"do";"lu";"ma";"mi";"ju";"vi";"sa"},1+MOD($AR$47+6-2,7))</f>
        <v>sa</v>
      </c>
      <c r="BH50" s="48" t="str">
        <f>INDEX({"do";"lu";"ma";"mi";"ju";"vi";"sa"},1+MOD($AR$47+7-2,7))</f>
        <v>do</v>
      </c>
      <c r="BI50" s="48" t="str">
        <f>INDEX({"do";"lu";"ma";"mi";"ju";"vi";"sa"},1+MOD($AR$47+1-2,7))</f>
        <v>lu</v>
      </c>
      <c r="BJ50" s="48" t="str">
        <f>INDEX({"do";"lu";"ma";"mi";"ju";"vi";"sa"},1+MOD($AR$47+2-2,7))</f>
        <v>ma</v>
      </c>
      <c r="BK50" s="48" t="str">
        <f>INDEX({"do";"lu";"ma";"mi";"ju";"vi";"sa"},1+MOD($AR$47+3-2,7))</f>
        <v>mi</v>
      </c>
      <c r="BL50" s="48" t="str">
        <f>INDEX({"do";"lu";"ma";"mi";"ju";"vi";"sa"},1+MOD($AR$47+4-2,7))</f>
        <v>ju</v>
      </c>
      <c r="BM50" s="48" t="str">
        <f>INDEX({"do";"lu";"ma";"mi";"ju";"vi";"sa"},1+MOD($AR$47+5-2,7))</f>
        <v>vi</v>
      </c>
      <c r="BN50" s="48" t="str">
        <f>INDEX({"do";"lu";"ma";"mi";"ju";"vi";"sa"},1+MOD($AR$47+6-2,7))</f>
        <v>sa</v>
      </c>
      <c r="BO50" s="48" t="str">
        <f>INDEX({"do";"lu";"ma";"mi";"ju";"vi";"sa"},1+MOD($AR$47+7-2,7))</f>
        <v>do</v>
      </c>
      <c r="BP50" s="48" t="str">
        <f>INDEX({"do";"lu";"ma";"mi";"ju";"vi";"sa"},1+MOD($AR$47+1-2,7))</f>
        <v>lu</v>
      </c>
      <c r="BQ50" s="48" t="str">
        <f>INDEX({"do";"lu";"ma";"mi";"ju";"vi";"sa"},1+MOD($AR$47+2-2,7))</f>
        <v>ma</v>
      </c>
      <c r="BR50" s="48" t="str">
        <f>INDEX({"do";"lu";"ma";"mi";"ju";"vi";"sa"},1+MOD($AR$47+3-2,7))</f>
        <v>mi</v>
      </c>
      <c r="BS50" s="48" t="str">
        <f>INDEX({"do";"lu";"ma";"mi";"ju";"vi";"sa"},1+MOD($AR$47+4-2,7))</f>
        <v>ju</v>
      </c>
      <c r="BT50" s="48" t="str">
        <f>INDEX({"do";"lu";"ma";"mi";"ju";"vi";"sa"},1+MOD($AR$47+5-2,7))</f>
        <v>vi</v>
      </c>
      <c r="BU50" s="48" t="str">
        <f>INDEX({"do";"lu";"ma";"mi";"ju";"vi";"sa"},1+MOD($AR$47+6-2,7))</f>
        <v>sa</v>
      </c>
      <c r="BV50" s="48" t="str">
        <f>INDEX({"do";"lu";"ma";"mi";"ju";"vi";"sa"},1+MOD($AR$47+7-2,7))</f>
        <v>do</v>
      </c>
      <c r="BW50" s="48" t="str">
        <f>INDEX({"do";"lu";"ma";"mi";"ju";"vi";"sa"},1+MOD($AR$47+1-2,7))</f>
        <v>lu</v>
      </c>
      <c r="BX50" s="48" t="str">
        <f>INDEX({"do";"lu";"ma";"mi";"ju";"vi";"sa"},1+MOD($AR$47+2-2,7))</f>
        <v>ma</v>
      </c>
      <c r="BY50" s="10"/>
      <c r="BZ50" s="10"/>
      <c r="CA50" s="10"/>
      <c r="CB50" s="10"/>
    </row>
    <row r="51" spans="1:80" s="2" customFormat="1" ht="15.95" hidden="1" customHeight="1" x14ac:dyDescent="0.25">
      <c r="A51" s="150" t="s">
        <v>60</v>
      </c>
      <c r="B51" s="144" t="s">
        <v>61</v>
      </c>
      <c r="C51" s="151">
        <f t="shared" ref="C51:AD51" si="31">IF(C9=$R32,$BC32,IF(C9=$R33,$BC33,IF(C9=$R34,$BC34,IF(C9=$R35,$BC35,IF(C9=$R36,$BC36,IF(C9=$R37,$BC37,IF(C9=$R38,$BC38,IF(C9=$R39,$BC39,IF(C9=$R40,$BC40,0)))))))))</f>
        <v>0</v>
      </c>
      <c r="D51" s="151">
        <f t="shared" si="31"/>
        <v>0</v>
      </c>
      <c r="E51" s="151">
        <f t="shared" si="31"/>
        <v>0</v>
      </c>
      <c r="F51" s="151">
        <f t="shared" si="31"/>
        <v>0</v>
      </c>
      <c r="G51" s="151">
        <f t="shared" si="31"/>
        <v>0</v>
      </c>
      <c r="H51" s="151">
        <f t="shared" si="31"/>
        <v>0</v>
      </c>
      <c r="I51" s="151">
        <f t="shared" si="31"/>
        <v>0</v>
      </c>
      <c r="J51" s="151">
        <f t="shared" si="31"/>
        <v>0</v>
      </c>
      <c r="K51" s="151">
        <f t="shared" si="31"/>
        <v>0</v>
      </c>
      <c r="L51" s="151">
        <f t="shared" si="31"/>
        <v>0</v>
      </c>
      <c r="M51" s="151">
        <f t="shared" si="31"/>
        <v>0</v>
      </c>
      <c r="N51" s="151">
        <f t="shared" si="31"/>
        <v>0</v>
      </c>
      <c r="O51" s="151">
        <f t="shared" si="31"/>
        <v>0</v>
      </c>
      <c r="P51" s="151">
        <f t="shared" si="31"/>
        <v>0</v>
      </c>
      <c r="Q51" s="151">
        <f t="shared" si="31"/>
        <v>0</v>
      </c>
      <c r="R51" s="151">
        <f t="shared" si="31"/>
        <v>0</v>
      </c>
      <c r="S51" s="151">
        <f t="shared" si="31"/>
        <v>0</v>
      </c>
      <c r="T51" s="151">
        <f t="shared" si="31"/>
        <v>0</v>
      </c>
      <c r="U51" s="151">
        <f t="shared" si="31"/>
        <v>0</v>
      </c>
      <c r="V51" s="151">
        <f t="shared" si="31"/>
        <v>0</v>
      </c>
      <c r="W51" s="151">
        <f t="shared" si="31"/>
        <v>0</v>
      </c>
      <c r="X51" s="151">
        <f t="shared" si="31"/>
        <v>0</v>
      </c>
      <c r="Y51" s="151">
        <f t="shared" si="31"/>
        <v>0</v>
      </c>
      <c r="Z51" s="151">
        <f t="shared" si="31"/>
        <v>0</v>
      </c>
      <c r="AA51" s="151">
        <f t="shared" si="31"/>
        <v>0</v>
      </c>
      <c r="AB51" s="151">
        <f t="shared" si="31"/>
        <v>0</v>
      </c>
      <c r="AC51" s="151">
        <f t="shared" si="31"/>
        <v>0</v>
      </c>
      <c r="AD51" s="151">
        <f t="shared" si="31"/>
        <v>0</v>
      </c>
      <c r="AE51" s="151">
        <f>IF(AE9=$R32,$BC32,IF(AE9=$R33,$BC33,IF(AE9=$R34,$BC34,IF(AE9=$R35,$BC35,IF(AE9=$R36,$BC36,IF(AE9=$R37,$BC37,IF(AE9=$R38,$BC38,IF(AE9=$R39,$BC39,IF(AE9=$R40,$BC40,0)))))))))</f>
        <v>0</v>
      </c>
      <c r="AF51" s="151">
        <f>IF(AF9=$R32,$BC32,IF(AF9=$R33,$BC33,IF(AF9=$R34,$BC34,IF(AF9=$R35,$BC35,IF(AF9=$R36,$BC36,IF(AF9=$R37,$BC37,IF(AF9=$R38,$BC38,IF(AF9=$R39,$BC39,IF(AF9=$R40,$BC40,0)))))))))</f>
        <v>0</v>
      </c>
      <c r="AG51" s="151">
        <f>IF(AG9=$R32,$BC32,IF(AG9=$R33,$BC33,IF(AG9=$R34,$BC34,IF(AG9=$R35,$BC35,IF(AG9=$R36,$BC36,IF(AG9=$R37,$BC37,IF(AG9=$R38,$BC38,IF(AG9=$R39,$BC39,IF(AG9=$R40,$BC40,0)))))))))</f>
        <v>0</v>
      </c>
      <c r="AH51" s="226">
        <f>SUM(C51:AG51)</f>
        <v>0</v>
      </c>
      <c r="AI51" s="226"/>
      <c r="AJ51" s="152" t="s">
        <v>62</v>
      </c>
      <c r="AK51" s="137" t="s">
        <v>12</v>
      </c>
      <c r="AL51" s="137"/>
      <c r="AN51" s="49" t="str">
        <f t="shared" ref="AN51:BD51" si="32">IF(MONTH($Q$4)&lt;&gt;MONTH($Q$4-(WEEKDAY($Q$4,1)-($AR$47-1))-IF((WEEKDAY($Q$4,1)-($AR$47-1))&lt;=0,7,0)+(ROW(AN51)-ROW($AN$51))*7+(COLUMN(AN51)-COLUMN($AN$51)+1)),"",$Q$4-(WEEKDAY($Q$4,1)-($AR$47-1))-IF((WEEKDAY($Q$4,1)-($AR$47-1))&lt;=0,7,0)+(ROW(AN51)-ROW($AN$51))*7+(COLUMN(AN51)-COLUMN($AN$51)+1))</f>
        <v/>
      </c>
      <c r="AO51" s="49" t="str">
        <f t="shared" si="32"/>
        <v/>
      </c>
      <c r="AP51" s="49">
        <f t="shared" si="32"/>
        <v>45931</v>
      </c>
      <c r="AQ51" s="49">
        <f t="shared" si="32"/>
        <v>45932</v>
      </c>
      <c r="AR51" s="49">
        <f t="shared" si="32"/>
        <v>45933</v>
      </c>
      <c r="AS51" s="49">
        <f t="shared" si="32"/>
        <v>45934</v>
      </c>
      <c r="AT51" s="49">
        <f t="shared" si="32"/>
        <v>45935</v>
      </c>
      <c r="AU51" s="49">
        <f t="shared" si="32"/>
        <v>45936</v>
      </c>
      <c r="AV51" s="49">
        <f t="shared" si="32"/>
        <v>45937</v>
      </c>
      <c r="AW51" s="49">
        <f t="shared" si="32"/>
        <v>45938</v>
      </c>
      <c r="AX51" s="49">
        <f t="shared" si="32"/>
        <v>45939</v>
      </c>
      <c r="AY51" s="49">
        <f t="shared" si="32"/>
        <v>45940</v>
      </c>
      <c r="AZ51" s="49">
        <f t="shared" si="32"/>
        <v>45941</v>
      </c>
      <c r="BA51" s="49">
        <f t="shared" si="32"/>
        <v>45942</v>
      </c>
      <c r="BB51" s="49">
        <f t="shared" si="32"/>
        <v>45943</v>
      </c>
      <c r="BC51" s="49">
        <f t="shared" si="32"/>
        <v>45944</v>
      </c>
      <c r="BD51" s="49">
        <f t="shared" si="32"/>
        <v>45945</v>
      </c>
      <c r="BE51" s="31"/>
      <c r="BF51" s="49">
        <f t="shared" ref="BF51:BX51" si="33">IF(MONTH($Q$4)&lt;&gt;MONTH($Q$4-(WEEKDAY($Q$4,1)-($AR$47-1))-IF((WEEKDAY($Q$4,1)-($AR$47-1))&lt;=0,7,0)+(ROW(BF51)-ROW($AN$51))*7+(COLUMN(BF51)-COLUMN($AN$51)+1)),"",$Q$4-(WEEKDAY($Q$4,1)-($AR$47-1))-IF((WEEKDAY($Q$4,1)-($AR$47-1))&lt;=0,7,0)+(ROW(BF51)-ROW($AN$51))*7+(COLUMN(BF51)-COLUMN($AN$51)+1))</f>
        <v>45947</v>
      </c>
      <c r="BG51" s="49">
        <f t="shared" si="33"/>
        <v>45948</v>
      </c>
      <c r="BH51" s="49">
        <f t="shared" si="33"/>
        <v>45949</v>
      </c>
      <c r="BI51" s="49">
        <f t="shared" si="33"/>
        <v>45950</v>
      </c>
      <c r="BJ51" s="49">
        <f t="shared" si="33"/>
        <v>45951</v>
      </c>
      <c r="BK51" s="49">
        <f t="shared" si="33"/>
        <v>45952</v>
      </c>
      <c r="BL51" s="49">
        <f t="shared" si="33"/>
        <v>45953</v>
      </c>
      <c r="BM51" s="49">
        <f t="shared" si="33"/>
        <v>45954</v>
      </c>
      <c r="BN51" s="49">
        <f t="shared" si="33"/>
        <v>45955</v>
      </c>
      <c r="BO51" s="49">
        <f t="shared" si="33"/>
        <v>45956</v>
      </c>
      <c r="BP51" s="49">
        <f t="shared" si="33"/>
        <v>45957</v>
      </c>
      <c r="BQ51" s="49">
        <f t="shared" si="33"/>
        <v>45958</v>
      </c>
      <c r="BR51" s="49">
        <f t="shared" si="33"/>
        <v>45959</v>
      </c>
      <c r="BS51" s="49">
        <f t="shared" si="33"/>
        <v>45960</v>
      </c>
      <c r="BT51" s="49">
        <f t="shared" si="33"/>
        <v>45961</v>
      </c>
      <c r="BU51" s="49" t="str">
        <f t="shared" si="33"/>
        <v/>
      </c>
      <c r="BV51" s="49" t="str">
        <f t="shared" si="33"/>
        <v/>
      </c>
      <c r="BW51" s="49" t="str">
        <f t="shared" si="33"/>
        <v/>
      </c>
      <c r="BX51" s="49" t="str">
        <f t="shared" si="33"/>
        <v/>
      </c>
      <c r="BY51" s="10"/>
      <c r="BZ51" s="10"/>
      <c r="CA51" s="10"/>
      <c r="CB51" s="10"/>
    </row>
    <row r="52" spans="1:80" s="2" customFormat="1" ht="15.95" hidden="1" customHeight="1" x14ac:dyDescent="0.25">
      <c r="A52" s="153" t="s">
        <v>48</v>
      </c>
      <c r="B52" s="149" t="s">
        <v>63</v>
      </c>
      <c r="C52" s="141" t="b">
        <f t="shared" ref="C52:AG52" si="34">IF(C46=1,IF(C47&lt;C48,C51,0))</f>
        <v>0</v>
      </c>
      <c r="D52" s="141" t="b">
        <f t="shared" si="34"/>
        <v>0</v>
      </c>
      <c r="E52" s="141" t="b">
        <f t="shared" si="34"/>
        <v>0</v>
      </c>
      <c r="F52" s="141">
        <f t="shared" si="34"/>
        <v>0</v>
      </c>
      <c r="G52" s="141">
        <f t="shared" si="34"/>
        <v>0</v>
      </c>
      <c r="H52" s="141" t="b">
        <f t="shared" si="34"/>
        <v>0</v>
      </c>
      <c r="I52" s="141" t="b">
        <f t="shared" si="34"/>
        <v>0</v>
      </c>
      <c r="J52" s="141" t="b">
        <f t="shared" si="34"/>
        <v>0</v>
      </c>
      <c r="K52" s="141" t="b">
        <f t="shared" si="34"/>
        <v>0</v>
      </c>
      <c r="L52" s="141" t="b">
        <f t="shared" si="34"/>
        <v>0</v>
      </c>
      <c r="M52" s="141">
        <f t="shared" si="34"/>
        <v>0</v>
      </c>
      <c r="N52" s="141">
        <f t="shared" si="34"/>
        <v>0</v>
      </c>
      <c r="O52" s="141" t="b">
        <f t="shared" si="34"/>
        <v>0</v>
      </c>
      <c r="P52" s="141" t="b">
        <f t="shared" si="34"/>
        <v>0</v>
      </c>
      <c r="Q52" s="141" t="b">
        <f t="shared" si="34"/>
        <v>0</v>
      </c>
      <c r="R52" s="141" t="b">
        <f t="shared" si="34"/>
        <v>0</v>
      </c>
      <c r="S52" s="141" t="b">
        <f t="shared" si="34"/>
        <v>0</v>
      </c>
      <c r="T52" s="141">
        <f t="shared" si="34"/>
        <v>0</v>
      </c>
      <c r="U52" s="141">
        <f t="shared" si="34"/>
        <v>0</v>
      </c>
      <c r="V52" s="141" t="b">
        <f t="shared" si="34"/>
        <v>0</v>
      </c>
      <c r="W52" s="141" t="b">
        <f t="shared" si="34"/>
        <v>0</v>
      </c>
      <c r="X52" s="141" t="b">
        <f t="shared" si="34"/>
        <v>0</v>
      </c>
      <c r="Y52" s="141" t="b">
        <f t="shared" si="34"/>
        <v>0</v>
      </c>
      <c r="Z52" s="141" t="b">
        <f t="shared" si="34"/>
        <v>0</v>
      </c>
      <c r="AA52" s="141">
        <f t="shared" si="34"/>
        <v>0</v>
      </c>
      <c r="AB52" s="141">
        <f t="shared" si="34"/>
        <v>0</v>
      </c>
      <c r="AC52" s="141" t="b">
        <f t="shared" si="34"/>
        <v>0</v>
      </c>
      <c r="AD52" s="141" t="b">
        <f t="shared" si="34"/>
        <v>0</v>
      </c>
      <c r="AE52" s="141" t="b">
        <f t="shared" si="34"/>
        <v>0</v>
      </c>
      <c r="AF52" s="141" t="b">
        <f t="shared" si="34"/>
        <v>0</v>
      </c>
      <c r="AG52" s="141" t="b">
        <f t="shared" si="34"/>
        <v>0</v>
      </c>
      <c r="AH52" s="154" t="s">
        <v>12</v>
      </c>
      <c r="AI52" s="133"/>
      <c r="AJ52" s="155"/>
      <c r="AK52" s="156"/>
      <c r="AL52" s="137"/>
      <c r="AN52" s="55" t="str">
        <f t="shared" ref="AN52:AT52" si="35">IF(AN51=$AR$48,IF(AN51="",0,1),"")</f>
        <v/>
      </c>
      <c r="AO52" s="55" t="str">
        <f t="shared" si="35"/>
        <v/>
      </c>
      <c r="AP52" s="55">
        <f t="shared" si="35"/>
        <v>1</v>
      </c>
      <c r="AQ52" s="55" t="str">
        <f t="shared" si="35"/>
        <v/>
      </c>
      <c r="AR52" s="55" t="str">
        <f t="shared" si="35"/>
        <v/>
      </c>
      <c r="AS52" s="55" t="str">
        <f t="shared" si="35"/>
        <v/>
      </c>
      <c r="AT52" s="55" t="str">
        <f t="shared" si="35"/>
        <v/>
      </c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56"/>
      <c r="BF52" s="10"/>
      <c r="BG52" s="10"/>
      <c r="BH52" s="10"/>
      <c r="BI52" s="10"/>
      <c r="BJ52" s="10"/>
      <c r="BK52" s="10"/>
      <c r="BL52" s="10"/>
      <c r="BM52" s="10"/>
      <c r="BN52" s="10"/>
      <c r="BO52" s="96">
        <f t="shared" ref="BO52:BX52" si="36">BO51</f>
        <v>45956</v>
      </c>
      <c r="BP52" s="96">
        <f t="shared" si="36"/>
        <v>45957</v>
      </c>
      <c r="BQ52" s="96">
        <f t="shared" si="36"/>
        <v>45958</v>
      </c>
      <c r="BR52" s="96">
        <f t="shared" si="36"/>
        <v>45959</v>
      </c>
      <c r="BS52" s="96">
        <f t="shared" si="36"/>
        <v>45960</v>
      </c>
      <c r="BT52" s="96">
        <f t="shared" si="36"/>
        <v>45961</v>
      </c>
      <c r="BU52" s="96" t="str">
        <f t="shared" si="36"/>
        <v/>
      </c>
      <c r="BV52" s="96" t="str">
        <f t="shared" si="36"/>
        <v/>
      </c>
      <c r="BW52" s="96" t="str">
        <f t="shared" si="36"/>
        <v/>
      </c>
      <c r="BX52" s="96" t="str">
        <f t="shared" si="36"/>
        <v/>
      </c>
      <c r="BY52" s="10"/>
      <c r="BZ52" s="10"/>
      <c r="CA52" s="10"/>
      <c r="CB52" s="10"/>
    </row>
    <row r="53" spans="1:80" s="2" customFormat="1" ht="15.95" hidden="1" customHeight="1" x14ac:dyDescent="0.25">
      <c r="A53" s="153"/>
      <c r="B53" s="149" t="s">
        <v>64</v>
      </c>
      <c r="C53" s="141">
        <f t="shared" ref="C53:AG53" si="37">IF(C46=1,IF(C47&gt;C48,24-C47,0),0)</f>
        <v>0</v>
      </c>
      <c r="D53" s="141">
        <f t="shared" si="37"/>
        <v>0</v>
      </c>
      <c r="E53" s="141">
        <f t="shared" si="37"/>
        <v>0</v>
      </c>
      <c r="F53" s="141">
        <f t="shared" si="37"/>
        <v>0</v>
      </c>
      <c r="G53" s="141">
        <f t="shared" si="37"/>
        <v>0</v>
      </c>
      <c r="H53" s="141">
        <f t="shared" si="37"/>
        <v>0</v>
      </c>
      <c r="I53" s="141">
        <f t="shared" si="37"/>
        <v>0</v>
      </c>
      <c r="J53" s="141">
        <f t="shared" si="37"/>
        <v>0</v>
      </c>
      <c r="K53" s="141">
        <f t="shared" si="37"/>
        <v>0</v>
      </c>
      <c r="L53" s="141">
        <f t="shared" si="37"/>
        <v>0</v>
      </c>
      <c r="M53" s="141">
        <f t="shared" si="37"/>
        <v>0</v>
      </c>
      <c r="N53" s="141">
        <f t="shared" si="37"/>
        <v>0</v>
      </c>
      <c r="O53" s="141">
        <f t="shared" si="37"/>
        <v>0</v>
      </c>
      <c r="P53" s="141">
        <f t="shared" si="37"/>
        <v>0</v>
      </c>
      <c r="Q53" s="141">
        <f t="shared" si="37"/>
        <v>0</v>
      </c>
      <c r="R53" s="141">
        <f t="shared" si="37"/>
        <v>0</v>
      </c>
      <c r="S53" s="141">
        <f t="shared" si="37"/>
        <v>0</v>
      </c>
      <c r="T53" s="141">
        <f t="shared" si="37"/>
        <v>0</v>
      </c>
      <c r="U53" s="141">
        <f t="shared" si="37"/>
        <v>0</v>
      </c>
      <c r="V53" s="141">
        <f t="shared" si="37"/>
        <v>0</v>
      </c>
      <c r="W53" s="141">
        <f t="shared" si="37"/>
        <v>0</v>
      </c>
      <c r="X53" s="141">
        <f t="shared" si="37"/>
        <v>0</v>
      </c>
      <c r="Y53" s="141">
        <f t="shared" si="37"/>
        <v>0</v>
      </c>
      <c r="Z53" s="141">
        <f t="shared" si="37"/>
        <v>0</v>
      </c>
      <c r="AA53" s="141">
        <f t="shared" si="37"/>
        <v>0</v>
      </c>
      <c r="AB53" s="141">
        <f t="shared" si="37"/>
        <v>0</v>
      </c>
      <c r="AC53" s="141">
        <f t="shared" si="37"/>
        <v>0</v>
      </c>
      <c r="AD53" s="141">
        <f t="shared" si="37"/>
        <v>0</v>
      </c>
      <c r="AE53" s="141">
        <f t="shared" si="37"/>
        <v>0</v>
      </c>
      <c r="AF53" s="141">
        <f t="shared" si="37"/>
        <v>0</v>
      </c>
      <c r="AG53" s="141">
        <f t="shared" si="37"/>
        <v>0</v>
      </c>
      <c r="AH53" s="154" t="s">
        <v>12</v>
      </c>
      <c r="AI53" s="133"/>
      <c r="AJ53" s="155"/>
      <c r="AK53" s="137"/>
      <c r="AL53" s="137"/>
      <c r="AN53" s="57" t="str">
        <f t="shared" ref="AN53:AT53" si="38">IF(AN52=1,IF(AN52="",0,AN50),"")</f>
        <v/>
      </c>
      <c r="AO53" s="57" t="str">
        <f t="shared" si="38"/>
        <v/>
      </c>
      <c r="AP53" s="57" t="str">
        <f t="shared" si="38"/>
        <v>mi</v>
      </c>
      <c r="AQ53" s="57" t="str">
        <f t="shared" si="38"/>
        <v/>
      </c>
      <c r="AR53" s="57" t="str">
        <f t="shared" si="38"/>
        <v/>
      </c>
      <c r="AS53" s="57" t="str">
        <f t="shared" si="38"/>
        <v/>
      </c>
      <c r="AT53" s="57" t="str">
        <f t="shared" si="38"/>
        <v/>
      </c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56"/>
      <c r="BF53" s="10"/>
      <c r="BG53" s="10"/>
      <c r="BH53" s="10"/>
      <c r="BI53" s="10"/>
      <c r="BJ53" s="10"/>
      <c r="BK53" s="10"/>
      <c r="BL53" s="10"/>
      <c r="BM53" s="10"/>
      <c r="BN53" s="10"/>
      <c r="BO53" s="58" t="str">
        <f t="shared" ref="BO53:BX53" si="39">IF(BO52=$AR$48+30,IF(BO52="",0,1),IF(BO52=$AR$48+29,IF(BO52="",0,1),IF(BO52=$AR$48+28,IF(BO52="",0,1),IF(BO52=$AR$48+27,IF(BO52="",0,1),""))))</f>
        <v/>
      </c>
      <c r="BP53" s="58" t="str">
        <f t="shared" si="39"/>
        <v/>
      </c>
      <c r="BQ53" s="58">
        <f t="shared" si="39"/>
        <v>1</v>
      </c>
      <c r="BR53" s="58">
        <f t="shared" si="39"/>
        <v>1</v>
      </c>
      <c r="BS53" s="58">
        <f t="shared" si="39"/>
        <v>1</v>
      </c>
      <c r="BT53" s="58">
        <f t="shared" si="39"/>
        <v>1</v>
      </c>
      <c r="BU53" s="58" t="str">
        <f t="shared" si="39"/>
        <v/>
      </c>
      <c r="BV53" s="58" t="str">
        <f t="shared" si="39"/>
        <v/>
      </c>
      <c r="BW53" s="58" t="str">
        <f t="shared" si="39"/>
        <v/>
      </c>
      <c r="BX53" s="58" t="str">
        <f t="shared" si="39"/>
        <v/>
      </c>
      <c r="BY53" s="10"/>
      <c r="BZ53" s="10"/>
      <c r="CA53" s="10"/>
      <c r="CB53" s="10"/>
    </row>
    <row r="54" spans="1:80" s="2" customFormat="1" ht="15.95" hidden="1" customHeight="1" x14ac:dyDescent="0.25">
      <c r="A54" s="157"/>
      <c r="B54" s="149" t="s">
        <v>65</v>
      </c>
      <c r="C54" s="141">
        <f t="shared" ref="C54:AG54" si="40">IF(D46=1,IF(C47&gt;C48,C48,0),0)</f>
        <v>0</v>
      </c>
      <c r="D54" s="141">
        <f t="shared" si="40"/>
        <v>0</v>
      </c>
      <c r="E54" s="141">
        <f t="shared" si="40"/>
        <v>0</v>
      </c>
      <c r="F54" s="141">
        <f t="shared" si="40"/>
        <v>0</v>
      </c>
      <c r="G54" s="141">
        <f t="shared" si="40"/>
        <v>0</v>
      </c>
      <c r="H54" s="141">
        <f t="shared" si="40"/>
        <v>0</v>
      </c>
      <c r="I54" s="141">
        <f t="shared" si="40"/>
        <v>0</v>
      </c>
      <c r="J54" s="141">
        <f t="shared" si="40"/>
        <v>0</v>
      </c>
      <c r="K54" s="141">
        <f t="shared" si="40"/>
        <v>0</v>
      </c>
      <c r="L54" s="141">
        <f t="shared" si="40"/>
        <v>0</v>
      </c>
      <c r="M54" s="141">
        <f t="shared" si="40"/>
        <v>0</v>
      </c>
      <c r="N54" s="141">
        <f t="shared" si="40"/>
        <v>0</v>
      </c>
      <c r="O54" s="141">
        <f t="shared" si="40"/>
        <v>0</v>
      </c>
      <c r="P54" s="141">
        <f t="shared" si="40"/>
        <v>0</v>
      </c>
      <c r="Q54" s="141">
        <f t="shared" si="40"/>
        <v>0</v>
      </c>
      <c r="R54" s="141">
        <f t="shared" si="40"/>
        <v>0</v>
      </c>
      <c r="S54" s="141">
        <f t="shared" si="40"/>
        <v>0</v>
      </c>
      <c r="T54" s="141">
        <f t="shared" si="40"/>
        <v>0</v>
      </c>
      <c r="U54" s="141">
        <f t="shared" si="40"/>
        <v>0</v>
      </c>
      <c r="V54" s="141">
        <f t="shared" si="40"/>
        <v>0</v>
      </c>
      <c r="W54" s="141">
        <f t="shared" si="40"/>
        <v>0</v>
      </c>
      <c r="X54" s="141">
        <f>IF(Y46=1,IF(X47&gt;X48,X48,0),0)</f>
        <v>0</v>
      </c>
      <c r="Y54" s="141">
        <f t="shared" si="40"/>
        <v>0</v>
      </c>
      <c r="Z54" s="141">
        <f t="shared" si="40"/>
        <v>0</v>
      </c>
      <c r="AA54" s="141">
        <f t="shared" si="40"/>
        <v>0</v>
      </c>
      <c r="AB54" s="141">
        <f t="shared" si="40"/>
        <v>0</v>
      </c>
      <c r="AC54" s="141">
        <f t="shared" si="40"/>
        <v>0</v>
      </c>
      <c r="AD54" s="141">
        <f t="shared" si="40"/>
        <v>0</v>
      </c>
      <c r="AE54" s="141">
        <f t="shared" si="40"/>
        <v>0</v>
      </c>
      <c r="AF54" s="141">
        <f t="shared" si="40"/>
        <v>0</v>
      </c>
      <c r="AG54" s="141">
        <f t="shared" si="40"/>
        <v>0</v>
      </c>
      <c r="AH54" s="154" t="s">
        <v>12</v>
      </c>
      <c r="AI54" s="133"/>
      <c r="AJ54" s="155"/>
      <c r="AK54" s="137"/>
      <c r="AL54" s="137"/>
      <c r="AN54" s="10"/>
      <c r="AO54" s="10"/>
      <c r="AP54" s="10"/>
      <c r="AQ54" s="10"/>
      <c r="AR54" s="47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56"/>
      <c r="BF54" s="10"/>
      <c r="BG54" s="10"/>
      <c r="BH54" s="10"/>
      <c r="BI54" s="10"/>
      <c r="BJ54" s="10"/>
      <c r="BK54" s="10"/>
      <c r="BL54" s="10"/>
      <c r="BM54" s="10"/>
      <c r="BN54" s="10"/>
      <c r="BO54" s="52" t="str">
        <f t="shared" ref="BO54:BX54" si="41">IF(BO53=1,IF(BO53="",0,BO52),"")</f>
        <v/>
      </c>
      <c r="BP54" s="52" t="str">
        <f t="shared" si="41"/>
        <v/>
      </c>
      <c r="BQ54" s="52">
        <f t="shared" si="41"/>
        <v>45958</v>
      </c>
      <c r="BR54" s="52">
        <f t="shared" si="41"/>
        <v>45959</v>
      </c>
      <c r="BS54" s="52">
        <f t="shared" si="41"/>
        <v>45960</v>
      </c>
      <c r="BT54" s="52">
        <f t="shared" si="41"/>
        <v>45961</v>
      </c>
      <c r="BU54" s="52" t="str">
        <f t="shared" si="41"/>
        <v/>
      </c>
      <c r="BV54" s="52" t="str">
        <f t="shared" si="41"/>
        <v/>
      </c>
      <c r="BW54" s="52" t="str">
        <f t="shared" si="41"/>
        <v/>
      </c>
      <c r="BX54" s="52" t="str">
        <f t="shared" si="41"/>
        <v/>
      </c>
      <c r="BY54" s="56"/>
      <c r="BZ54" s="97" t="s">
        <v>66</v>
      </c>
      <c r="CA54" s="56"/>
      <c r="CB54" s="10"/>
    </row>
    <row r="55" spans="1:80" s="2" customFormat="1" ht="15.95" hidden="1" customHeight="1" x14ac:dyDescent="0.25">
      <c r="A55" s="157"/>
      <c r="B55" s="149" t="s">
        <v>67</v>
      </c>
      <c r="C55" s="158">
        <f t="shared" ref="C55:AG55" si="42">SUM(C52:C54)</f>
        <v>0</v>
      </c>
      <c r="D55" s="158">
        <f t="shared" si="42"/>
        <v>0</v>
      </c>
      <c r="E55" s="158">
        <f t="shared" si="42"/>
        <v>0</v>
      </c>
      <c r="F55" s="158">
        <f t="shared" si="42"/>
        <v>0</v>
      </c>
      <c r="G55" s="158">
        <f t="shared" si="42"/>
        <v>0</v>
      </c>
      <c r="H55" s="158">
        <f t="shared" si="42"/>
        <v>0</v>
      </c>
      <c r="I55" s="158">
        <f t="shared" si="42"/>
        <v>0</v>
      </c>
      <c r="J55" s="158">
        <f t="shared" si="42"/>
        <v>0</v>
      </c>
      <c r="K55" s="158">
        <f t="shared" si="42"/>
        <v>0</v>
      </c>
      <c r="L55" s="158">
        <f t="shared" si="42"/>
        <v>0</v>
      </c>
      <c r="M55" s="158">
        <f t="shared" si="42"/>
        <v>0</v>
      </c>
      <c r="N55" s="158">
        <f t="shared" si="42"/>
        <v>0</v>
      </c>
      <c r="O55" s="158">
        <f t="shared" si="42"/>
        <v>0</v>
      </c>
      <c r="P55" s="158">
        <f t="shared" si="42"/>
        <v>0</v>
      </c>
      <c r="Q55" s="158">
        <f t="shared" si="42"/>
        <v>0</v>
      </c>
      <c r="R55" s="158">
        <f t="shared" si="42"/>
        <v>0</v>
      </c>
      <c r="S55" s="158">
        <f t="shared" si="42"/>
        <v>0</v>
      </c>
      <c r="T55" s="158">
        <f t="shared" si="42"/>
        <v>0</v>
      </c>
      <c r="U55" s="158">
        <f t="shared" si="42"/>
        <v>0</v>
      </c>
      <c r="V55" s="158">
        <f t="shared" si="42"/>
        <v>0</v>
      </c>
      <c r="W55" s="158">
        <f t="shared" si="42"/>
        <v>0</v>
      </c>
      <c r="X55" s="158">
        <f t="shared" si="42"/>
        <v>0</v>
      </c>
      <c r="Y55" s="158">
        <f t="shared" si="42"/>
        <v>0</v>
      </c>
      <c r="Z55" s="158">
        <f t="shared" si="42"/>
        <v>0</v>
      </c>
      <c r="AA55" s="158">
        <f t="shared" si="42"/>
        <v>0</v>
      </c>
      <c r="AB55" s="158">
        <f t="shared" si="42"/>
        <v>0</v>
      </c>
      <c r="AC55" s="158">
        <f t="shared" si="42"/>
        <v>0</v>
      </c>
      <c r="AD55" s="158">
        <f t="shared" si="42"/>
        <v>0</v>
      </c>
      <c r="AE55" s="158">
        <f t="shared" si="42"/>
        <v>0</v>
      </c>
      <c r="AF55" s="158">
        <f t="shared" si="42"/>
        <v>0</v>
      </c>
      <c r="AG55" s="158">
        <f t="shared" si="42"/>
        <v>0</v>
      </c>
      <c r="AH55" s="154" t="s">
        <v>12</v>
      </c>
      <c r="AI55" s="133"/>
      <c r="AJ55" s="155"/>
      <c r="AK55" s="137"/>
      <c r="AL55" s="137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59"/>
      <c r="BF55" s="10"/>
      <c r="BG55" s="10"/>
      <c r="BH55" s="10"/>
      <c r="BI55" s="10"/>
      <c r="BJ55" s="10"/>
      <c r="BK55" s="10"/>
      <c r="BL55" s="10"/>
      <c r="BM55" s="10"/>
      <c r="BN55" s="10"/>
      <c r="BO55" s="52" t="str">
        <f t="shared" ref="BO55:BX55" si="43">IF(BO54=$AZ48,IF(BO54="",0,$AZ48),"")</f>
        <v/>
      </c>
      <c r="BP55" s="52" t="str">
        <f t="shared" si="43"/>
        <v/>
      </c>
      <c r="BQ55" s="52" t="str">
        <f t="shared" si="43"/>
        <v/>
      </c>
      <c r="BR55" s="52" t="str">
        <f t="shared" si="43"/>
        <v/>
      </c>
      <c r="BS55" s="52" t="str">
        <f t="shared" si="43"/>
        <v/>
      </c>
      <c r="BT55" s="52">
        <f t="shared" si="43"/>
        <v>45961</v>
      </c>
      <c r="BU55" s="52" t="str">
        <f t="shared" si="43"/>
        <v/>
      </c>
      <c r="BV55" s="52" t="str">
        <f t="shared" si="43"/>
        <v/>
      </c>
      <c r="BW55" s="52" t="str">
        <f t="shared" si="43"/>
        <v/>
      </c>
      <c r="BX55" s="52" t="str">
        <f t="shared" si="43"/>
        <v/>
      </c>
      <c r="BY55" s="52">
        <f t="shared" ref="BY55:BY58" si="44">SUM(BO55:BX55)</f>
        <v>45961</v>
      </c>
      <c r="BZ55" s="98">
        <f t="shared" ref="BZ55:BZ58" si="45">IF(BY55=$AZ$48,IF(BY55="",0,31),IF(BY55=$AZ$47,IF(BY55="",0,30),IF(BY55=$AX$48,IF(BY55="",0,29),IF(BY55=$AX$47,IF(BY55="",0,28)))))</f>
        <v>31</v>
      </c>
      <c r="CA55" s="99">
        <v>31</v>
      </c>
      <c r="CB55" s="10"/>
    </row>
    <row r="56" spans="1:80" s="2" customFormat="1" ht="15.95" hidden="1" customHeight="1" x14ac:dyDescent="0.25">
      <c r="A56" s="159"/>
      <c r="B56" s="160" t="s">
        <v>68</v>
      </c>
      <c r="C56" s="161">
        <f t="shared" ref="C56:AG56" si="46">IF(C9="V",IF(C9="",0,1),0)</f>
        <v>0</v>
      </c>
      <c r="D56" s="161">
        <f t="shared" si="46"/>
        <v>0</v>
      </c>
      <c r="E56" s="161">
        <f t="shared" si="46"/>
        <v>0</v>
      </c>
      <c r="F56" s="161">
        <f t="shared" si="46"/>
        <v>0</v>
      </c>
      <c r="G56" s="161">
        <f t="shared" si="46"/>
        <v>0</v>
      </c>
      <c r="H56" s="161">
        <f t="shared" si="46"/>
        <v>0</v>
      </c>
      <c r="I56" s="161">
        <f t="shared" si="46"/>
        <v>0</v>
      </c>
      <c r="J56" s="161">
        <f t="shared" si="46"/>
        <v>0</v>
      </c>
      <c r="K56" s="161">
        <f t="shared" si="46"/>
        <v>0</v>
      </c>
      <c r="L56" s="161">
        <f t="shared" si="46"/>
        <v>0</v>
      </c>
      <c r="M56" s="161">
        <f t="shared" si="46"/>
        <v>0</v>
      </c>
      <c r="N56" s="161">
        <f t="shared" si="46"/>
        <v>0</v>
      </c>
      <c r="O56" s="161">
        <f t="shared" si="46"/>
        <v>0</v>
      </c>
      <c r="P56" s="161">
        <f t="shared" si="46"/>
        <v>0</v>
      </c>
      <c r="Q56" s="161">
        <f t="shared" si="46"/>
        <v>0</v>
      </c>
      <c r="R56" s="161">
        <f t="shared" si="46"/>
        <v>0</v>
      </c>
      <c r="S56" s="161">
        <f t="shared" si="46"/>
        <v>0</v>
      </c>
      <c r="T56" s="161">
        <f t="shared" si="46"/>
        <v>0</v>
      </c>
      <c r="U56" s="161">
        <f t="shared" si="46"/>
        <v>0</v>
      </c>
      <c r="V56" s="161">
        <f t="shared" si="46"/>
        <v>0</v>
      </c>
      <c r="W56" s="161">
        <f t="shared" si="46"/>
        <v>0</v>
      </c>
      <c r="X56" s="161">
        <f t="shared" si="46"/>
        <v>0</v>
      </c>
      <c r="Y56" s="161">
        <f t="shared" si="46"/>
        <v>0</v>
      </c>
      <c r="Z56" s="161">
        <f t="shared" si="46"/>
        <v>0</v>
      </c>
      <c r="AA56" s="161">
        <f t="shared" si="46"/>
        <v>0</v>
      </c>
      <c r="AB56" s="161">
        <f t="shared" si="46"/>
        <v>0</v>
      </c>
      <c r="AC56" s="161">
        <f t="shared" si="46"/>
        <v>0</v>
      </c>
      <c r="AD56" s="161">
        <f t="shared" si="46"/>
        <v>0</v>
      </c>
      <c r="AE56" s="161">
        <f t="shared" si="46"/>
        <v>0</v>
      </c>
      <c r="AF56" s="161">
        <f t="shared" si="46"/>
        <v>0</v>
      </c>
      <c r="AG56" s="161">
        <f t="shared" si="46"/>
        <v>0</v>
      </c>
      <c r="AH56" s="154" t="s">
        <v>12</v>
      </c>
      <c r="AI56" s="133"/>
      <c r="AJ56" s="155"/>
      <c r="AK56" s="137"/>
      <c r="AL56" s="137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59"/>
      <c r="BF56" s="10"/>
      <c r="BG56" s="10"/>
      <c r="BH56" s="10"/>
      <c r="BI56" s="10"/>
      <c r="BJ56" s="10"/>
      <c r="BK56" s="10"/>
      <c r="BL56" s="10"/>
      <c r="BM56" s="10"/>
      <c r="BN56" s="10"/>
      <c r="BO56" s="52" t="str">
        <f t="shared" ref="BO56:BX56" si="47">IF(BO54=$AZ47,IF(BO54="",0,$AZ47),"")</f>
        <v/>
      </c>
      <c r="BP56" s="52" t="str">
        <f t="shared" si="47"/>
        <v/>
      </c>
      <c r="BQ56" s="52" t="str">
        <f t="shared" si="47"/>
        <v/>
      </c>
      <c r="BR56" s="52" t="str">
        <f t="shared" si="47"/>
        <v/>
      </c>
      <c r="BS56" s="52">
        <f t="shared" si="47"/>
        <v>45960</v>
      </c>
      <c r="BT56" s="52" t="str">
        <f t="shared" si="47"/>
        <v/>
      </c>
      <c r="BU56" s="52" t="str">
        <f t="shared" si="47"/>
        <v/>
      </c>
      <c r="BV56" s="52" t="str">
        <f t="shared" si="47"/>
        <v/>
      </c>
      <c r="BW56" s="52" t="str">
        <f t="shared" si="47"/>
        <v/>
      </c>
      <c r="BX56" s="52" t="str">
        <f t="shared" si="47"/>
        <v/>
      </c>
      <c r="BY56" s="52">
        <f t="shared" si="44"/>
        <v>45960</v>
      </c>
      <c r="BZ56" s="98">
        <f t="shared" si="45"/>
        <v>30</v>
      </c>
      <c r="CA56" s="99">
        <v>30</v>
      </c>
      <c r="CB56" s="10"/>
    </row>
    <row r="57" spans="1:80" ht="15.95" hidden="1" customHeight="1" x14ac:dyDescent="0.25">
      <c r="A57" s="129"/>
      <c r="B57" s="162" t="s">
        <v>16</v>
      </c>
      <c r="C57" s="163">
        <f t="shared" ref="C57:AG57" si="48">IF(C9="PR",IF(C9="",0,1),0)</f>
        <v>0</v>
      </c>
      <c r="D57" s="163">
        <f t="shared" si="48"/>
        <v>0</v>
      </c>
      <c r="E57" s="163">
        <f t="shared" si="48"/>
        <v>0</v>
      </c>
      <c r="F57" s="163">
        <f t="shared" si="48"/>
        <v>0</v>
      </c>
      <c r="G57" s="163">
        <f t="shared" si="48"/>
        <v>0</v>
      </c>
      <c r="H57" s="163">
        <f t="shared" si="48"/>
        <v>0</v>
      </c>
      <c r="I57" s="163">
        <f t="shared" si="48"/>
        <v>0</v>
      </c>
      <c r="J57" s="163">
        <f t="shared" si="48"/>
        <v>0</v>
      </c>
      <c r="K57" s="163">
        <f t="shared" si="48"/>
        <v>0</v>
      </c>
      <c r="L57" s="163">
        <f t="shared" si="48"/>
        <v>0</v>
      </c>
      <c r="M57" s="163">
        <f t="shared" si="48"/>
        <v>0</v>
      </c>
      <c r="N57" s="163">
        <f t="shared" si="48"/>
        <v>0</v>
      </c>
      <c r="O57" s="163">
        <f t="shared" si="48"/>
        <v>0</v>
      </c>
      <c r="P57" s="163">
        <f t="shared" si="48"/>
        <v>0</v>
      </c>
      <c r="Q57" s="163">
        <f t="shared" si="48"/>
        <v>0</v>
      </c>
      <c r="R57" s="163">
        <f t="shared" si="48"/>
        <v>0</v>
      </c>
      <c r="S57" s="163">
        <f t="shared" si="48"/>
        <v>0</v>
      </c>
      <c r="T57" s="163">
        <f t="shared" si="48"/>
        <v>0</v>
      </c>
      <c r="U57" s="163">
        <f t="shared" si="48"/>
        <v>0</v>
      </c>
      <c r="V57" s="163">
        <f t="shared" si="48"/>
        <v>0</v>
      </c>
      <c r="W57" s="163">
        <f t="shared" si="48"/>
        <v>0</v>
      </c>
      <c r="X57" s="163">
        <f t="shared" si="48"/>
        <v>0</v>
      </c>
      <c r="Y57" s="163">
        <f t="shared" si="48"/>
        <v>0</v>
      </c>
      <c r="Z57" s="163">
        <f t="shared" si="48"/>
        <v>0</v>
      </c>
      <c r="AA57" s="163">
        <f t="shared" si="48"/>
        <v>0</v>
      </c>
      <c r="AB57" s="163">
        <f t="shared" si="48"/>
        <v>0</v>
      </c>
      <c r="AC57" s="163">
        <f t="shared" si="48"/>
        <v>0</v>
      </c>
      <c r="AD57" s="163">
        <f t="shared" si="48"/>
        <v>0</v>
      </c>
      <c r="AE57" s="163">
        <f t="shared" si="48"/>
        <v>0</v>
      </c>
      <c r="AF57" s="163">
        <f t="shared" si="48"/>
        <v>0</v>
      </c>
      <c r="AG57" s="163">
        <f t="shared" si="48"/>
        <v>0</v>
      </c>
      <c r="AH57" s="233">
        <f>SUM(C57:AG57)</f>
        <v>0</v>
      </c>
      <c r="AI57" s="233"/>
      <c r="AJ57" s="137" t="s">
        <v>69</v>
      </c>
      <c r="AK57" s="133"/>
      <c r="AL57" s="133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59"/>
      <c r="BF57" s="31"/>
      <c r="BG57" s="31"/>
      <c r="BH57" s="31"/>
      <c r="BI57" s="31"/>
      <c r="BJ57" s="31"/>
      <c r="BK57" s="31"/>
      <c r="BL57" s="31"/>
      <c r="BM57" s="31"/>
      <c r="BN57" s="31"/>
      <c r="BO57" s="52" t="str">
        <f t="shared" ref="BO57:BX57" si="49">IF(BO54=$AX48,IF(BO54="",0,$AX48),"")</f>
        <v/>
      </c>
      <c r="BP57" s="52" t="str">
        <f t="shared" si="49"/>
        <v/>
      </c>
      <c r="BQ57" s="52" t="str">
        <f t="shared" si="49"/>
        <v/>
      </c>
      <c r="BR57" s="52">
        <f t="shared" si="49"/>
        <v>45959</v>
      </c>
      <c r="BS57" s="52" t="str">
        <f t="shared" si="49"/>
        <v/>
      </c>
      <c r="BT57" s="52" t="str">
        <f t="shared" si="49"/>
        <v/>
      </c>
      <c r="BU57" s="52" t="str">
        <f t="shared" si="49"/>
        <v/>
      </c>
      <c r="BV57" s="52" t="str">
        <f t="shared" si="49"/>
        <v/>
      </c>
      <c r="BW57" s="52" t="str">
        <f t="shared" si="49"/>
        <v/>
      </c>
      <c r="BX57" s="52" t="str">
        <f t="shared" si="49"/>
        <v/>
      </c>
      <c r="BY57" s="52">
        <f t="shared" si="44"/>
        <v>45959</v>
      </c>
      <c r="BZ57" s="98">
        <f t="shared" si="45"/>
        <v>29</v>
      </c>
      <c r="CA57" s="99">
        <v>29</v>
      </c>
      <c r="CB57" s="31"/>
    </row>
    <row r="58" spans="1:80" s="59" customFormat="1" ht="15.95" hidden="1" customHeight="1" x14ac:dyDescent="0.25">
      <c r="A58" s="164" t="s">
        <v>70</v>
      </c>
      <c r="B58" s="165" t="s">
        <v>29</v>
      </c>
      <c r="C58" s="141" t="str">
        <f t="shared" ref="C58:AG58" si="50">IF(C10=$R32,$S32*24,IF(C10=$R33,$S33*24,IF(C10=$R34,$S34*24,IF(C10=$R35,$S35*24,IF(C10=$R36,$S36*24,IF(C10=$R37,$S37*24,IF(C10=$R38,$S38*24,IF(C10=$R39,$S39*24,IF(C10=$R40,$S40*24,"")))))))))</f>
        <v/>
      </c>
      <c r="D58" s="141" t="str">
        <f t="shared" si="50"/>
        <v/>
      </c>
      <c r="E58" s="141" t="str">
        <f t="shared" si="50"/>
        <v/>
      </c>
      <c r="F58" s="141" t="str">
        <f t="shared" si="50"/>
        <v/>
      </c>
      <c r="G58" s="141" t="str">
        <f t="shared" si="50"/>
        <v/>
      </c>
      <c r="H58" s="141" t="str">
        <f t="shared" si="50"/>
        <v/>
      </c>
      <c r="I58" s="141" t="str">
        <f t="shared" si="50"/>
        <v/>
      </c>
      <c r="J58" s="141" t="str">
        <f t="shared" si="50"/>
        <v/>
      </c>
      <c r="K58" s="141" t="str">
        <f t="shared" si="50"/>
        <v/>
      </c>
      <c r="L58" s="141" t="str">
        <f t="shared" si="50"/>
        <v/>
      </c>
      <c r="M58" s="141" t="str">
        <f t="shared" si="50"/>
        <v/>
      </c>
      <c r="N58" s="141" t="str">
        <f t="shared" si="50"/>
        <v/>
      </c>
      <c r="O58" s="141" t="str">
        <f t="shared" si="50"/>
        <v/>
      </c>
      <c r="P58" s="141" t="str">
        <f t="shared" si="50"/>
        <v/>
      </c>
      <c r="Q58" s="141" t="str">
        <f t="shared" si="50"/>
        <v/>
      </c>
      <c r="R58" s="141" t="str">
        <f t="shared" si="50"/>
        <v/>
      </c>
      <c r="S58" s="141" t="str">
        <f t="shared" si="50"/>
        <v/>
      </c>
      <c r="T58" s="141" t="str">
        <f t="shared" si="50"/>
        <v/>
      </c>
      <c r="U58" s="141" t="str">
        <f t="shared" si="50"/>
        <v/>
      </c>
      <c r="V58" s="141" t="str">
        <f t="shared" si="50"/>
        <v/>
      </c>
      <c r="W58" s="141" t="str">
        <f t="shared" si="50"/>
        <v/>
      </c>
      <c r="X58" s="141" t="str">
        <f t="shared" si="50"/>
        <v/>
      </c>
      <c r="Y58" s="141" t="str">
        <f t="shared" si="50"/>
        <v/>
      </c>
      <c r="Z58" s="141" t="str">
        <f t="shared" si="50"/>
        <v/>
      </c>
      <c r="AA58" s="141" t="str">
        <f t="shared" si="50"/>
        <v/>
      </c>
      <c r="AB58" s="141" t="str">
        <f t="shared" si="50"/>
        <v/>
      </c>
      <c r="AC58" s="141" t="str">
        <f t="shared" si="50"/>
        <v/>
      </c>
      <c r="AD58" s="141" t="str">
        <f t="shared" si="50"/>
        <v/>
      </c>
      <c r="AE58" s="141" t="str">
        <f t="shared" si="50"/>
        <v/>
      </c>
      <c r="AF58" s="141" t="str">
        <f t="shared" si="50"/>
        <v/>
      </c>
      <c r="AG58" s="141" t="str">
        <f t="shared" si="50"/>
        <v/>
      </c>
      <c r="AH58" s="154" t="s">
        <v>12</v>
      </c>
      <c r="AI58" s="133"/>
      <c r="AJ58" s="137"/>
      <c r="AK58" s="137"/>
      <c r="AL58" s="137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1"/>
      <c r="BF58" s="56"/>
      <c r="BG58" s="56"/>
      <c r="BH58" s="56"/>
      <c r="BI58" s="56"/>
      <c r="BJ58" s="56"/>
      <c r="BK58" s="56"/>
      <c r="BL58" s="56"/>
      <c r="BM58" s="56"/>
      <c r="BN58" s="56"/>
      <c r="BO58" s="52" t="str">
        <f t="shared" ref="BO58:BX58" si="51">IF(BO54=$AX47,IF(BO54="",0,$AX47),"")</f>
        <v/>
      </c>
      <c r="BP58" s="52" t="str">
        <f t="shared" si="51"/>
        <v/>
      </c>
      <c r="BQ58" s="52">
        <f t="shared" si="51"/>
        <v>45958</v>
      </c>
      <c r="BR58" s="52" t="str">
        <f t="shared" si="51"/>
        <v/>
      </c>
      <c r="BS58" s="52" t="str">
        <f t="shared" si="51"/>
        <v/>
      </c>
      <c r="BT58" s="52" t="str">
        <f t="shared" si="51"/>
        <v/>
      </c>
      <c r="BU58" s="52" t="str">
        <f t="shared" si="51"/>
        <v/>
      </c>
      <c r="BV58" s="52" t="str">
        <f t="shared" si="51"/>
        <v/>
      </c>
      <c r="BW58" s="52" t="str">
        <f t="shared" si="51"/>
        <v/>
      </c>
      <c r="BX58" s="52" t="str">
        <f t="shared" si="51"/>
        <v/>
      </c>
      <c r="BY58" s="52">
        <f t="shared" si="44"/>
        <v>45958</v>
      </c>
      <c r="BZ58" s="52">
        <f t="shared" si="45"/>
        <v>28</v>
      </c>
      <c r="CA58" s="99">
        <v>28</v>
      </c>
      <c r="CB58" s="56"/>
    </row>
    <row r="59" spans="1:80" s="59" customFormat="1" ht="15.95" hidden="1" customHeight="1" x14ac:dyDescent="0.25">
      <c r="A59" s="166" t="s">
        <v>71</v>
      </c>
      <c r="B59" s="167" t="s">
        <v>30</v>
      </c>
      <c r="C59" s="141" t="str">
        <f t="shared" ref="C59:AG59" si="52">IF(C10=$R32,$V32*24,IF(C10=$R33,$V33*24,IF(C10=$R34,$V34*24,IF(C10=$R35,$V35*24,IF(C10=$R36,$V36*24,IF(C10=$R37,$V37*24,IF(C10=$R38,$V38*24,IF(C10=$R39,$V39*24,IF(C10=$R40,$V40*24,"")))))))))</f>
        <v/>
      </c>
      <c r="D59" s="141" t="str">
        <f t="shared" si="52"/>
        <v/>
      </c>
      <c r="E59" s="141" t="str">
        <f t="shared" si="52"/>
        <v/>
      </c>
      <c r="F59" s="141" t="str">
        <f t="shared" si="52"/>
        <v/>
      </c>
      <c r="G59" s="141" t="str">
        <f t="shared" si="52"/>
        <v/>
      </c>
      <c r="H59" s="141" t="str">
        <f t="shared" si="52"/>
        <v/>
      </c>
      <c r="I59" s="141" t="str">
        <f t="shared" si="52"/>
        <v/>
      </c>
      <c r="J59" s="141" t="str">
        <f t="shared" si="52"/>
        <v/>
      </c>
      <c r="K59" s="141" t="str">
        <f t="shared" si="52"/>
        <v/>
      </c>
      <c r="L59" s="141" t="str">
        <f t="shared" si="52"/>
        <v/>
      </c>
      <c r="M59" s="141" t="str">
        <f t="shared" si="52"/>
        <v/>
      </c>
      <c r="N59" s="141" t="str">
        <f t="shared" si="52"/>
        <v/>
      </c>
      <c r="O59" s="141" t="str">
        <f t="shared" si="52"/>
        <v/>
      </c>
      <c r="P59" s="141" t="str">
        <f t="shared" si="52"/>
        <v/>
      </c>
      <c r="Q59" s="141" t="str">
        <f t="shared" si="52"/>
        <v/>
      </c>
      <c r="R59" s="141" t="str">
        <f t="shared" si="52"/>
        <v/>
      </c>
      <c r="S59" s="141" t="str">
        <f t="shared" si="52"/>
        <v/>
      </c>
      <c r="T59" s="141" t="str">
        <f t="shared" si="52"/>
        <v/>
      </c>
      <c r="U59" s="141" t="str">
        <f t="shared" si="52"/>
        <v/>
      </c>
      <c r="V59" s="141" t="str">
        <f t="shared" si="52"/>
        <v/>
      </c>
      <c r="W59" s="141" t="str">
        <f t="shared" si="52"/>
        <v/>
      </c>
      <c r="X59" s="141" t="str">
        <f t="shared" si="52"/>
        <v/>
      </c>
      <c r="Y59" s="141" t="str">
        <f t="shared" si="52"/>
        <v/>
      </c>
      <c r="Z59" s="141" t="str">
        <f t="shared" si="52"/>
        <v/>
      </c>
      <c r="AA59" s="141" t="str">
        <f t="shared" si="52"/>
        <v/>
      </c>
      <c r="AB59" s="141" t="str">
        <f t="shared" si="52"/>
        <v/>
      </c>
      <c r="AC59" s="141" t="str">
        <f t="shared" si="52"/>
        <v/>
      </c>
      <c r="AD59" s="141" t="str">
        <f t="shared" si="52"/>
        <v/>
      </c>
      <c r="AE59" s="141" t="str">
        <f t="shared" si="52"/>
        <v/>
      </c>
      <c r="AF59" s="141" t="str">
        <f t="shared" si="52"/>
        <v/>
      </c>
      <c r="AG59" s="141" t="str">
        <f t="shared" si="52"/>
        <v/>
      </c>
      <c r="AH59" s="154" t="s">
        <v>12</v>
      </c>
      <c r="AI59" s="133"/>
      <c r="AJ59" s="137"/>
      <c r="AK59" s="137"/>
      <c r="AL59" s="137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1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100" t="s">
        <v>56</v>
      </c>
      <c r="BZ59" s="52">
        <f>SUM(BZ55:BZ58)</f>
        <v>118</v>
      </c>
      <c r="CA59" s="53">
        <f>IF(BZ59=118,31,IF(BZ59=90,31,IF(BZ59=61,31,IF(BZ59=31,31,IF(BZ59=87,30,IF(BZ59=59,30,IF(BZ59=30,30,IF(BZ59=57,29,IF(BZ59=29,29,IF(BZ59=28,28,""))))))))))</f>
        <v>31</v>
      </c>
      <c r="CB59" s="10"/>
    </row>
    <row r="60" spans="1:80" s="59" customFormat="1" ht="15.95" hidden="1" customHeight="1" x14ac:dyDescent="0.25">
      <c r="A60" s="153"/>
      <c r="B60" s="168" t="s">
        <v>34</v>
      </c>
      <c r="C60" s="169" t="str">
        <f t="shared" ref="C60:AD60" si="53">IF(C10=$R32,$BD32*24,IF(C10=$R33,$BD33*24,IF(C10=$R34,$BD34*24,IF(C10=$R35,$BD35*24,IF(C10=$R36,$BD36*24,IF(C10=$R37,$BD37*24,IF(C10=$R38,$BD38*24,IF(C10=$R39,$BD39*24,IF(C10=$R40,$BD40*24,"")))))))))</f>
        <v/>
      </c>
      <c r="D60" s="169" t="str">
        <f t="shared" si="53"/>
        <v/>
      </c>
      <c r="E60" s="169" t="str">
        <f t="shared" si="53"/>
        <v/>
      </c>
      <c r="F60" s="169" t="str">
        <f t="shared" si="53"/>
        <v/>
      </c>
      <c r="G60" s="169" t="str">
        <f t="shared" si="53"/>
        <v/>
      </c>
      <c r="H60" s="169" t="str">
        <f t="shared" si="53"/>
        <v/>
      </c>
      <c r="I60" s="169" t="str">
        <f t="shared" si="53"/>
        <v/>
      </c>
      <c r="J60" s="169" t="str">
        <f t="shared" si="53"/>
        <v/>
      </c>
      <c r="K60" s="169" t="str">
        <f t="shared" si="53"/>
        <v/>
      </c>
      <c r="L60" s="169" t="str">
        <f t="shared" si="53"/>
        <v/>
      </c>
      <c r="M60" s="169" t="str">
        <f t="shared" si="53"/>
        <v/>
      </c>
      <c r="N60" s="169" t="str">
        <f t="shared" si="53"/>
        <v/>
      </c>
      <c r="O60" s="169" t="str">
        <f t="shared" si="53"/>
        <v/>
      </c>
      <c r="P60" s="169" t="str">
        <f t="shared" si="53"/>
        <v/>
      </c>
      <c r="Q60" s="169" t="str">
        <f t="shared" si="53"/>
        <v/>
      </c>
      <c r="R60" s="169" t="str">
        <f t="shared" si="53"/>
        <v/>
      </c>
      <c r="S60" s="169" t="str">
        <f t="shared" si="53"/>
        <v/>
      </c>
      <c r="T60" s="169" t="str">
        <f t="shared" si="53"/>
        <v/>
      </c>
      <c r="U60" s="169" t="str">
        <f t="shared" si="53"/>
        <v/>
      </c>
      <c r="V60" s="169" t="str">
        <f t="shared" si="53"/>
        <v/>
      </c>
      <c r="W60" s="169" t="str">
        <f t="shared" si="53"/>
        <v/>
      </c>
      <c r="X60" s="169" t="str">
        <f t="shared" si="53"/>
        <v/>
      </c>
      <c r="Y60" s="169" t="str">
        <f t="shared" si="53"/>
        <v/>
      </c>
      <c r="Z60" s="169" t="str">
        <f t="shared" si="53"/>
        <v/>
      </c>
      <c r="AA60" s="169" t="str">
        <f t="shared" si="53"/>
        <v/>
      </c>
      <c r="AB60" s="169" t="str">
        <f t="shared" si="53"/>
        <v/>
      </c>
      <c r="AC60" s="169" t="str">
        <f t="shared" si="53"/>
        <v/>
      </c>
      <c r="AD60" s="169" t="str">
        <f t="shared" si="53"/>
        <v/>
      </c>
      <c r="AE60" s="169" t="str">
        <f>IF(AE10=$R32,$BD32*24,IF(AE10=$R33,$BD33*24,IF(AE10=$R34,$BD34*24,IF(AE10=$R35,$BD35*24,IF(AE10=$R36,$BD36*24,IF(AE10=$R37,$BD37*24,IF(AE10=$R38,$BD38*24,IF(AE10=$R39,$BD39*24,IF(AE10=$R40,$BD40*24,"")))))))))</f>
        <v/>
      </c>
      <c r="AF60" s="169" t="str">
        <f>IF(AF10=$R32,$BD32*24,IF(AF10=$R33,$BD33*24,IF(AF10=$R34,$BD34*24,IF(AF10=$R35,$BD35*24,IF(AF10=$R36,$BD36*24,IF(AF10=$R37,$BD37*24,IF(AF10=$R38,$BD38*24,IF(AF10=$R39,$BD39*24,IF(AF10=$R40,$BD40*24,"")))))))))</f>
        <v/>
      </c>
      <c r="AG60" s="169" t="str">
        <f>IF(AG10=$R32,$BD32*24,IF(AG10=$R33,$BD33*24,IF(AG10=$R34,$BD34*24,IF(AG10=$R35,$BD35*24,IF(AG10=$R36,$BD36*24,IF(AG10=$R37,$BD37*24,IF(AG10=$R38,$BD38*24,IF(AG10=$R39,$BD39*24,IF(AG10=$R40,$BD40*24,"")))))))))</f>
        <v/>
      </c>
      <c r="AH60" s="148">
        <f>SUM(C60:AG60)</f>
        <v>0</v>
      </c>
      <c r="AI60" s="133"/>
      <c r="AJ60" s="137"/>
      <c r="AK60" s="137"/>
      <c r="AL60" s="137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1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101">
        <f>CA59</f>
        <v>31</v>
      </c>
      <c r="CB60" s="56"/>
    </row>
    <row r="61" spans="1:80" s="59" customFormat="1" ht="15.95" hidden="1" customHeight="1" x14ac:dyDescent="0.25">
      <c r="A61" s="153"/>
      <c r="B61" s="167" t="s">
        <v>59</v>
      </c>
      <c r="C61" s="141">
        <f t="shared" ref="C61:AG61" si="54">IF(C10="V",$C36,IF(C10="PR",$C38,0))</f>
        <v>0</v>
      </c>
      <c r="D61" s="141">
        <f t="shared" si="54"/>
        <v>0</v>
      </c>
      <c r="E61" s="141">
        <f t="shared" si="54"/>
        <v>0</v>
      </c>
      <c r="F61" s="141">
        <f t="shared" si="54"/>
        <v>0</v>
      </c>
      <c r="G61" s="141">
        <f t="shared" si="54"/>
        <v>0</v>
      </c>
      <c r="H61" s="141">
        <f t="shared" si="54"/>
        <v>0</v>
      </c>
      <c r="I61" s="141">
        <f t="shared" si="54"/>
        <v>0</v>
      </c>
      <c r="J61" s="141">
        <f t="shared" si="54"/>
        <v>0</v>
      </c>
      <c r="K61" s="141">
        <f t="shared" si="54"/>
        <v>0</v>
      </c>
      <c r="L61" s="141">
        <f t="shared" si="54"/>
        <v>0</v>
      </c>
      <c r="M61" s="141">
        <f t="shared" si="54"/>
        <v>0</v>
      </c>
      <c r="N61" s="141">
        <f t="shared" si="54"/>
        <v>0</v>
      </c>
      <c r="O61" s="141">
        <f t="shared" si="54"/>
        <v>0</v>
      </c>
      <c r="P61" s="141">
        <f t="shared" si="54"/>
        <v>0</v>
      </c>
      <c r="Q61" s="141">
        <f t="shared" si="54"/>
        <v>0</v>
      </c>
      <c r="R61" s="141">
        <f t="shared" si="54"/>
        <v>0</v>
      </c>
      <c r="S61" s="141">
        <f t="shared" si="54"/>
        <v>0</v>
      </c>
      <c r="T61" s="141">
        <f t="shared" si="54"/>
        <v>0</v>
      </c>
      <c r="U61" s="141">
        <f t="shared" si="54"/>
        <v>0</v>
      </c>
      <c r="V61" s="141">
        <f t="shared" si="54"/>
        <v>0</v>
      </c>
      <c r="W61" s="141">
        <f t="shared" si="54"/>
        <v>0</v>
      </c>
      <c r="X61" s="141">
        <f t="shared" si="54"/>
        <v>0</v>
      </c>
      <c r="Y61" s="141">
        <f t="shared" si="54"/>
        <v>0</v>
      </c>
      <c r="Z61" s="141">
        <f t="shared" si="54"/>
        <v>0</v>
      </c>
      <c r="AA61" s="141">
        <f t="shared" si="54"/>
        <v>0</v>
      </c>
      <c r="AB61" s="141">
        <f t="shared" si="54"/>
        <v>0</v>
      </c>
      <c r="AC61" s="141">
        <f t="shared" si="54"/>
        <v>0</v>
      </c>
      <c r="AD61" s="141">
        <f t="shared" si="54"/>
        <v>0</v>
      </c>
      <c r="AE61" s="141">
        <f t="shared" si="54"/>
        <v>0</v>
      </c>
      <c r="AF61" s="141">
        <f t="shared" si="54"/>
        <v>0</v>
      </c>
      <c r="AG61" s="141">
        <f t="shared" si="54"/>
        <v>0</v>
      </c>
      <c r="AH61" s="226">
        <f>SUM(C61:AG61)</f>
        <v>0</v>
      </c>
      <c r="AI61" s="226"/>
      <c r="AJ61" s="137" t="s">
        <v>12</v>
      </c>
      <c r="AK61" s="137"/>
      <c r="AL61" s="137"/>
      <c r="BE61" s="1"/>
      <c r="BU61" s="60" t="str">
        <f>BS50</f>
        <v>ju</v>
      </c>
      <c r="BV61" s="60" t="str">
        <f>BT50</f>
        <v>vi</v>
      </c>
      <c r="BW61" s="60" t="str">
        <f>BU50</f>
        <v>sa</v>
      </c>
      <c r="BX61" s="60" t="str">
        <f>BV50</f>
        <v>do</v>
      </c>
      <c r="BY61" s="60" t="str">
        <f>BW50</f>
        <v>lu</v>
      </c>
    </row>
    <row r="62" spans="1:80" s="59" customFormat="1" ht="15.95" hidden="1" customHeight="1" x14ac:dyDescent="0.25">
      <c r="A62" s="150" t="s">
        <v>60</v>
      </c>
      <c r="B62" s="167" t="s">
        <v>61</v>
      </c>
      <c r="C62" s="151">
        <f t="shared" ref="C62:AD62" si="55">IF(C10=$R32,$BC32,IF(C10=$R33,$BC33,IF(C10=$R34,$BC34,IF(C10=$R35,$BC35,IF(C10=$R36,$BC36,IF(C10=$R37,$BC37,IF(C10=$R38,$BC38,IF(C10=$R39,$BC39,IF(C10=$R40,$BC40,0)))))))))</f>
        <v>0</v>
      </c>
      <c r="D62" s="151">
        <f t="shared" si="55"/>
        <v>0</v>
      </c>
      <c r="E62" s="151">
        <f t="shared" si="55"/>
        <v>0</v>
      </c>
      <c r="F62" s="151">
        <f t="shared" si="55"/>
        <v>0</v>
      </c>
      <c r="G62" s="151">
        <f t="shared" si="55"/>
        <v>0</v>
      </c>
      <c r="H62" s="151">
        <f t="shared" si="55"/>
        <v>0</v>
      </c>
      <c r="I62" s="151">
        <f t="shared" si="55"/>
        <v>0</v>
      </c>
      <c r="J62" s="151">
        <f t="shared" si="55"/>
        <v>0</v>
      </c>
      <c r="K62" s="151">
        <f t="shared" si="55"/>
        <v>0</v>
      </c>
      <c r="L62" s="151">
        <f t="shared" si="55"/>
        <v>0</v>
      </c>
      <c r="M62" s="151">
        <f t="shared" si="55"/>
        <v>0</v>
      </c>
      <c r="N62" s="151">
        <f t="shared" si="55"/>
        <v>0</v>
      </c>
      <c r="O62" s="151">
        <f t="shared" si="55"/>
        <v>0</v>
      </c>
      <c r="P62" s="151">
        <f t="shared" si="55"/>
        <v>0</v>
      </c>
      <c r="Q62" s="151">
        <f t="shared" si="55"/>
        <v>0</v>
      </c>
      <c r="R62" s="151">
        <f t="shared" si="55"/>
        <v>0</v>
      </c>
      <c r="S62" s="151">
        <f t="shared" si="55"/>
        <v>0</v>
      </c>
      <c r="T62" s="151">
        <f t="shared" si="55"/>
        <v>0</v>
      </c>
      <c r="U62" s="151">
        <f t="shared" si="55"/>
        <v>0</v>
      </c>
      <c r="V62" s="151">
        <f t="shared" si="55"/>
        <v>0</v>
      </c>
      <c r="W62" s="151">
        <f t="shared" si="55"/>
        <v>0</v>
      </c>
      <c r="X62" s="151">
        <f t="shared" si="55"/>
        <v>0</v>
      </c>
      <c r="Y62" s="151">
        <f t="shared" si="55"/>
        <v>0</v>
      </c>
      <c r="Z62" s="151">
        <f t="shared" si="55"/>
        <v>0</v>
      </c>
      <c r="AA62" s="151">
        <f t="shared" si="55"/>
        <v>0</v>
      </c>
      <c r="AB62" s="151">
        <f t="shared" si="55"/>
        <v>0</v>
      </c>
      <c r="AC62" s="151">
        <f t="shared" si="55"/>
        <v>0</v>
      </c>
      <c r="AD62" s="151">
        <f t="shared" si="55"/>
        <v>0</v>
      </c>
      <c r="AE62" s="151">
        <f>IF(AE10=$R32,$BC32,IF(AE10=$R33,$BC33,IF(AE10=$R34,$BC34,IF(AE10=$R35,$BC35,IF(AE10=$R36,$BC36,IF(AE10=$R37,$BC37,IF(AE10=$R38,$BC38,IF(AE10=$R39,$BC39,IF(AE10=$R40,$BC40,0)))))))))</f>
        <v>0</v>
      </c>
      <c r="AF62" s="151">
        <f>IF(AF10=$R32,$BC32,IF(AF10=$R33,$BC33,IF(AF10=$R34,$BC34,IF(AF10=$R35,$BC35,IF(AF10=$R36,$BC36,IF(AF10=$R37,$BC37,IF(AF10=$R38,$BC38,IF(AF10=$R39,$BC39,IF(AF10=$R40,$BC40,0)))))))))</f>
        <v>0</v>
      </c>
      <c r="AG62" s="151">
        <f>IF(AG10=$R32,$BC32,IF(AG10=$R33,$BC33,IF(AG10=$R34,$BC34,IF(AG10=$R35,$BC35,IF(AG10=$R36,$BC36,IF(AG10=$R37,$BC37,IF(AG10=$R38,$BC38,IF(AG10=$R39,$BC39,IF(AG10=$R40,$BC40,0)))))))))</f>
        <v>0</v>
      </c>
      <c r="AH62" s="226">
        <f>SUM(C62:AG62)</f>
        <v>0</v>
      </c>
      <c r="AI62" s="226"/>
      <c r="AJ62" s="137" t="s">
        <v>62</v>
      </c>
      <c r="AK62" s="137" t="s">
        <v>12</v>
      </c>
      <c r="AL62" s="137"/>
      <c r="BE62" s="1"/>
      <c r="BU62" s="61">
        <v>28</v>
      </c>
      <c r="BV62" s="61">
        <v>29</v>
      </c>
      <c r="BW62" s="61">
        <v>30</v>
      </c>
      <c r="BX62" s="61">
        <v>31</v>
      </c>
      <c r="BY62" s="61">
        <v>1</v>
      </c>
    </row>
    <row r="63" spans="1:80" s="59" customFormat="1" ht="15.95" hidden="1" customHeight="1" x14ac:dyDescent="0.25">
      <c r="A63" s="153" t="s">
        <v>48</v>
      </c>
      <c r="B63" s="149" t="s">
        <v>63</v>
      </c>
      <c r="C63" s="141" t="b">
        <f t="shared" ref="C63:AG63" si="56">IF(C46=1,IF(C58&lt;C59,C62,0))</f>
        <v>0</v>
      </c>
      <c r="D63" s="141" t="b">
        <f t="shared" si="56"/>
        <v>0</v>
      </c>
      <c r="E63" s="141" t="b">
        <f t="shared" si="56"/>
        <v>0</v>
      </c>
      <c r="F63" s="141">
        <f t="shared" si="56"/>
        <v>0</v>
      </c>
      <c r="G63" s="141">
        <f t="shared" si="56"/>
        <v>0</v>
      </c>
      <c r="H63" s="141" t="b">
        <f t="shared" si="56"/>
        <v>0</v>
      </c>
      <c r="I63" s="141" t="b">
        <f t="shared" si="56"/>
        <v>0</v>
      </c>
      <c r="J63" s="141" t="b">
        <f t="shared" si="56"/>
        <v>0</v>
      </c>
      <c r="K63" s="141" t="b">
        <f t="shared" si="56"/>
        <v>0</v>
      </c>
      <c r="L63" s="141" t="b">
        <f t="shared" si="56"/>
        <v>0</v>
      </c>
      <c r="M63" s="141">
        <f t="shared" si="56"/>
        <v>0</v>
      </c>
      <c r="N63" s="141">
        <f t="shared" si="56"/>
        <v>0</v>
      </c>
      <c r="O63" s="141" t="b">
        <f t="shared" si="56"/>
        <v>0</v>
      </c>
      <c r="P63" s="141" t="b">
        <f t="shared" si="56"/>
        <v>0</v>
      </c>
      <c r="Q63" s="141" t="b">
        <f t="shared" si="56"/>
        <v>0</v>
      </c>
      <c r="R63" s="141" t="b">
        <f t="shared" si="56"/>
        <v>0</v>
      </c>
      <c r="S63" s="141" t="b">
        <f t="shared" si="56"/>
        <v>0</v>
      </c>
      <c r="T63" s="141">
        <f t="shared" si="56"/>
        <v>0</v>
      </c>
      <c r="U63" s="141">
        <f t="shared" si="56"/>
        <v>0</v>
      </c>
      <c r="V63" s="141" t="b">
        <f t="shared" si="56"/>
        <v>0</v>
      </c>
      <c r="W63" s="141" t="b">
        <f t="shared" si="56"/>
        <v>0</v>
      </c>
      <c r="X63" s="141" t="b">
        <f t="shared" si="56"/>
        <v>0</v>
      </c>
      <c r="Y63" s="141" t="b">
        <f t="shared" si="56"/>
        <v>0</v>
      </c>
      <c r="Z63" s="141" t="b">
        <f t="shared" si="56"/>
        <v>0</v>
      </c>
      <c r="AA63" s="141">
        <f t="shared" si="56"/>
        <v>0</v>
      </c>
      <c r="AB63" s="141">
        <f t="shared" si="56"/>
        <v>0</v>
      </c>
      <c r="AC63" s="141" t="b">
        <f t="shared" si="56"/>
        <v>0</v>
      </c>
      <c r="AD63" s="141" t="b">
        <f t="shared" si="56"/>
        <v>0</v>
      </c>
      <c r="AE63" s="141" t="b">
        <f t="shared" si="56"/>
        <v>0</v>
      </c>
      <c r="AF63" s="141" t="b">
        <f t="shared" si="56"/>
        <v>0</v>
      </c>
      <c r="AG63" s="141" t="b">
        <f t="shared" si="56"/>
        <v>0</v>
      </c>
      <c r="AH63" s="142" t="s">
        <v>12</v>
      </c>
      <c r="AI63" s="133"/>
      <c r="AJ63" s="137"/>
      <c r="AK63" s="137"/>
      <c r="AL63" s="137"/>
      <c r="BE63" s="1"/>
      <c r="BV63" s="102" t="str">
        <f>IF(CA59=28,IF(CA59="",0,1),IF(CA59=1,IF(CA59="",0,1),""))</f>
        <v/>
      </c>
      <c r="BW63" s="102" t="str">
        <f>IF(CA59=29,IF(CA59="",0,1),IF(CA59=1,IF(CA59="",0,1),""))</f>
        <v/>
      </c>
      <c r="BX63" s="102" t="str">
        <f>IF(CA59=30,IF(CA59="",0,1),IF(CA59=1,IF(CA59="",0,1),""))</f>
        <v/>
      </c>
      <c r="BY63" s="102">
        <f>IF(CA59=31,IF(CA59="",0,1),IF(CA59=1,IF(CA59="",0,1),""))</f>
        <v>1</v>
      </c>
    </row>
    <row r="64" spans="1:80" ht="15.95" hidden="1" customHeight="1" x14ac:dyDescent="0.25">
      <c r="A64" s="153"/>
      <c r="B64" s="149" t="s">
        <v>64</v>
      </c>
      <c r="C64" s="141">
        <f t="shared" ref="C64:AG64" si="57">IF(C46=1,IF(C58&gt;C59,24-C58,0),0)</f>
        <v>0</v>
      </c>
      <c r="D64" s="141">
        <f t="shared" si="57"/>
        <v>0</v>
      </c>
      <c r="E64" s="141">
        <f t="shared" si="57"/>
        <v>0</v>
      </c>
      <c r="F64" s="141">
        <f t="shared" si="57"/>
        <v>0</v>
      </c>
      <c r="G64" s="141">
        <f t="shared" si="57"/>
        <v>0</v>
      </c>
      <c r="H64" s="141">
        <f t="shared" si="57"/>
        <v>0</v>
      </c>
      <c r="I64" s="141">
        <f t="shared" si="57"/>
        <v>0</v>
      </c>
      <c r="J64" s="141">
        <f t="shared" si="57"/>
        <v>0</v>
      </c>
      <c r="K64" s="141">
        <f t="shared" si="57"/>
        <v>0</v>
      </c>
      <c r="L64" s="141">
        <f t="shared" si="57"/>
        <v>0</v>
      </c>
      <c r="M64" s="141">
        <f t="shared" si="57"/>
        <v>0</v>
      </c>
      <c r="N64" s="141">
        <f t="shared" si="57"/>
        <v>0</v>
      </c>
      <c r="O64" s="141">
        <f t="shared" si="57"/>
        <v>0</v>
      </c>
      <c r="P64" s="141">
        <f t="shared" si="57"/>
        <v>0</v>
      </c>
      <c r="Q64" s="141">
        <f t="shared" si="57"/>
        <v>0</v>
      </c>
      <c r="R64" s="141">
        <f t="shared" si="57"/>
        <v>0</v>
      </c>
      <c r="S64" s="141">
        <f t="shared" si="57"/>
        <v>0</v>
      </c>
      <c r="T64" s="141">
        <f t="shared" si="57"/>
        <v>0</v>
      </c>
      <c r="U64" s="141">
        <f t="shared" si="57"/>
        <v>0</v>
      </c>
      <c r="V64" s="141">
        <f t="shared" si="57"/>
        <v>0</v>
      </c>
      <c r="W64" s="141">
        <f t="shared" si="57"/>
        <v>0</v>
      </c>
      <c r="X64" s="141">
        <f t="shared" si="57"/>
        <v>0</v>
      </c>
      <c r="Y64" s="141">
        <f t="shared" si="57"/>
        <v>0</v>
      </c>
      <c r="Z64" s="141">
        <f t="shared" si="57"/>
        <v>0</v>
      </c>
      <c r="AA64" s="141">
        <f t="shared" si="57"/>
        <v>0</v>
      </c>
      <c r="AB64" s="141">
        <f t="shared" si="57"/>
        <v>0</v>
      </c>
      <c r="AC64" s="141">
        <f t="shared" si="57"/>
        <v>0</v>
      </c>
      <c r="AD64" s="141">
        <f t="shared" si="57"/>
        <v>0</v>
      </c>
      <c r="AE64" s="141">
        <f t="shared" si="57"/>
        <v>0</v>
      </c>
      <c r="AF64" s="141">
        <f t="shared" si="57"/>
        <v>0</v>
      </c>
      <c r="AG64" s="141">
        <f t="shared" si="57"/>
        <v>0</v>
      </c>
      <c r="AH64" s="142" t="s">
        <v>12</v>
      </c>
      <c r="AI64" s="133"/>
      <c r="AJ64" s="170"/>
      <c r="AK64" s="133"/>
      <c r="AL64" s="133"/>
      <c r="BU64" s="45" t="s">
        <v>72</v>
      </c>
      <c r="BV64" s="102" t="b">
        <f>IF(BV61="sa",IF(BV61="",0,"1"),IF(BV61="do",IF(BV61="",0,"1")))</f>
        <v>0</v>
      </c>
      <c r="BW64" s="102" t="str">
        <f>IF(BW61="sa",IF(BW61="",0,"1"),IF(BW61="do",IF(BW61="",0,"1")))</f>
        <v>1</v>
      </c>
      <c r="BX64" s="102" t="str">
        <f>IF(BX61="sa",IF(BX61="",0,"1"),IF(BX61="do",IF(BX61="",0,"1")))</f>
        <v>1</v>
      </c>
      <c r="BY64" s="102" t="b">
        <f>IF(BY61="sa",IF(BY61="",0,"1"),IF(BY61="do",IF(BY61="",0,"1")))</f>
        <v>0</v>
      </c>
    </row>
    <row r="65" spans="1:77" ht="15.95" hidden="1" customHeight="1" x14ac:dyDescent="0.25">
      <c r="A65" s="153"/>
      <c r="B65" s="149" t="s">
        <v>65</v>
      </c>
      <c r="C65" s="141">
        <f t="shared" ref="C65:AG65" si="58">IF(D46=1,IF(C58&gt;C59,C59,0),0)</f>
        <v>0</v>
      </c>
      <c r="D65" s="141">
        <f t="shared" si="58"/>
        <v>0</v>
      </c>
      <c r="E65" s="141">
        <f t="shared" si="58"/>
        <v>0</v>
      </c>
      <c r="F65" s="141">
        <f t="shared" si="58"/>
        <v>0</v>
      </c>
      <c r="G65" s="141">
        <f t="shared" si="58"/>
        <v>0</v>
      </c>
      <c r="H65" s="141">
        <f t="shared" si="58"/>
        <v>0</v>
      </c>
      <c r="I65" s="141">
        <f t="shared" si="58"/>
        <v>0</v>
      </c>
      <c r="J65" s="141">
        <f t="shared" si="58"/>
        <v>0</v>
      </c>
      <c r="K65" s="141">
        <f t="shared" si="58"/>
        <v>0</v>
      </c>
      <c r="L65" s="141">
        <f t="shared" si="58"/>
        <v>0</v>
      </c>
      <c r="M65" s="141">
        <f t="shared" si="58"/>
        <v>0</v>
      </c>
      <c r="N65" s="141">
        <f t="shared" si="58"/>
        <v>0</v>
      </c>
      <c r="O65" s="141">
        <f t="shared" si="58"/>
        <v>0</v>
      </c>
      <c r="P65" s="141">
        <f t="shared" si="58"/>
        <v>0</v>
      </c>
      <c r="Q65" s="141">
        <f t="shared" si="58"/>
        <v>0</v>
      </c>
      <c r="R65" s="141">
        <f t="shared" si="58"/>
        <v>0</v>
      </c>
      <c r="S65" s="141">
        <f t="shared" si="58"/>
        <v>0</v>
      </c>
      <c r="T65" s="141">
        <f t="shared" si="58"/>
        <v>0</v>
      </c>
      <c r="U65" s="141">
        <f t="shared" si="58"/>
        <v>0</v>
      </c>
      <c r="V65" s="141">
        <f t="shared" si="58"/>
        <v>0</v>
      </c>
      <c r="W65" s="141">
        <f t="shared" si="58"/>
        <v>0</v>
      </c>
      <c r="X65" s="141">
        <f>IF(Y46=1,IF(X58&gt;X59,X59,0),0)</f>
        <v>0</v>
      </c>
      <c r="Y65" s="141">
        <f t="shared" si="58"/>
        <v>0</v>
      </c>
      <c r="Z65" s="141">
        <f t="shared" si="58"/>
        <v>0</v>
      </c>
      <c r="AA65" s="141">
        <f t="shared" si="58"/>
        <v>0</v>
      </c>
      <c r="AB65" s="141">
        <f t="shared" si="58"/>
        <v>0</v>
      </c>
      <c r="AC65" s="141">
        <f t="shared" si="58"/>
        <v>0</v>
      </c>
      <c r="AD65" s="141">
        <f t="shared" si="58"/>
        <v>0</v>
      </c>
      <c r="AE65" s="141">
        <f t="shared" si="58"/>
        <v>0</v>
      </c>
      <c r="AF65" s="141">
        <f t="shared" si="58"/>
        <v>0</v>
      </c>
      <c r="AG65" s="141">
        <f t="shared" si="58"/>
        <v>0</v>
      </c>
      <c r="AH65" s="142" t="s">
        <v>12</v>
      </c>
      <c r="AI65" s="133"/>
      <c r="AJ65" s="170"/>
      <c r="AK65" s="133"/>
      <c r="AL65" s="133"/>
    </row>
    <row r="66" spans="1:77" ht="15.95" hidden="1" customHeight="1" x14ac:dyDescent="0.25">
      <c r="A66" s="153"/>
      <c r="B66" s="149" t="s">
        <v>67</v>
      </c>
      <c r="C66" s="171">
        <f t="shared" ref="C66:AG66" si="59">SUM(C63:C65)</f>
        <v>0</v>
      </c>
      <c r="D66" s="171">
        <f t="shared" si="59"/>
        <v>0</v>
      </c>
      <c r="E66" s="171">
        <f t="shared" si="59"/>
        <v>0</v>
      </c>
      <c r="F66" s="171">
        <f t="shared" si="59"/>
        <v>0</v>
      </c>
      <c r="G66" s="171">
        <f t="shared" si="59"/>
        <v>0</v>
      </c>
      <c r="H66" s="171">
        <f t="shared" si="59"/>
        <v>0</v>
      </c>
      <c r="I66" s="171">
        <f t="shared" si="59"/>
        <v>0</v>
      </c>
      <c r="J66" s="171">
        <f t="shared" si="59"/>
        <v>0</v>
      </c>
      <c r="K66" s="171">
        <f t="shared" si="59"/>
        <v>0</v>
      </c>
      <c r="L66" s="171">
        <f t="shared" si="59"/>
        <v>0</v>
      </c>
      <c r="M66" s="171">
        <f t="shared" si="59"/>
        <v>0</v>
      </c>
      <c r="N66" s="171">
        <f t="shared" si="59"/>
        <v>0</v>
      </c>
      <c r="O66" s="171">
        <f t="shared" si="59"/>
        <v>0</v>
      </c>
      <c r="P66" s="171">
        <f t="shared" si="59"/>
        <v>0</v>
      </c>
      <c r="Q66" s="171">
        <f t="shared" si="59"/>
        <v>0</v>
      </c>
      <c r="R66" s="171">
        <f t="shared" si="59"/>
        <v>0</v>
      </c>
      <c r="S66" s="171">
        <f t="shared" si="59"/>
        <v>0</v>
      </c>
      <c r="T66" s="171">
        <f t="shared" si="59"/>
        <v>0</v>
      </c>
      <c r="U66" s="171">
        <f t="shared" si="59"/>
        <v>0</v>
      </c>
      <c r="V66" s="171">
        <f t="shared" si="59"/>
        <v>0</v>
      </c>
      <c r="W66" s="171">
        <f t="shared" si="59"/>
        <v>0</v>
      </c>
      <c r="X66" s="171">
        <f t="shared" si="59"/>
        <v>0</v>
      </c>
      <c r="Y66" s="171">
        <f t="shared" si="59"/>
        <v>0</v>
      </c>
      <c r="Z66" s="171">
        <f t="shared" si="59"/>
        <v>0</v>
      </c>
      <c r="AA66" s="171">
        <f t="shared" si="59"/>
        <v>0</v>
      </c>
      <c r="AB66" s="171">
        <f t="shared" si="59"/>
        <v>0</v>
      </c>
      <c r="AC66" s="171">
        <f t="shared" si="59"/>
        <v>0</v>
      </c>
      <c r="AD66" s="171">
        <f t="shared" si="59"/>
        <v>0</v>
      </c>
      <c r="AE66" s="171">
        <f t="shared" si="59"/>
        <v>0</v>
      </c>
      <c r="AF66" s="171">
        <f t="shared" si="59"/>
        <v>0</v>
      </c>
      <c r="AG66" s="171">
        <f t="shared" si="59"/>
        <v>0</v>
      </c>
      <c r="AH66" s="142" t="s">
        <v>12</v>
      </c>
      <c r="AI66" s="133"/>
      <c r="AJ66" s="170"/>
      <c r="AK66" s="133"/>
      <c r="AL66" s="133"/>
      <c r="BU66" s="62"/>
      <c r="BV66" s="63" t="str">
        <f t="shared" ref="BV66:BY67" si="60">IF(BV65=2,IF(BV65="",0,"X"),IF(BV65=2,IF(BV65="",0,2),""))</f>
        <v/>
      </c>
      <c r="BW66" s="63" t="str">
        <f t="shared" si="60"/>
        <v/>
      </c>
      <c r="BX66" s="63" t="str">
        <f t="shared" si="60"/>
        <v/>
      </c>
      <c r="BY66" s="63" t="str">
        <f t="shared" si="60"/>
        <v/>
      </c>
    </row>
    <row r="67" spans="1:77" ht="15.95" hidden="1" customHeight="1" x14ac:dyDescent="0.25">
      <c r="A67" s="172"/>
      <c r="B67" s="160" t="s">
        <v>68</v>
      </c>
      <c r="C67" s="161">
        <f t="shared" ref="C67:AG67" si="61">IF(C10="V",IF(C10="",0,1),0)</f>
        <v>0</v>
      </c>
      <c r="D67" s="161">
        <f t="shared" si="61"/>
        <v>0</v>
      </c>
      <c r="E67" s="161">
        <f t="shared" si="61"/>
        <v>0</v>
      </c>
      <c r="F67" s="161">
        <f t="shared" si="61"/>
        <v>0</v>
      </c>
      <c r="G67" s="161">
        <f t="shared" si="61"/>
        <v>0</v>
      </c>
      <c r="H67" s="161">
        <f t="shared" si="61"/>
        <v>0</v>
      </c>
      <c r="I67" s="161">
        <f t="shared" si="61"/>
        <v>0</v>
      </c>
      <c r="J67" s="161">
        <f t="shared" si="61"/>
        <v>0</v>
      </c>
      <c r="K67" s="161">
        <f t="shared" si="61"/>
        <v>0</v>
      </c>
      <c r="L67" s="161">
        <f t="shared" si="61"/>
        <v>0</v>
      </c>
      <c r="M67" s="161">
        <f t="shared" si="61"/>
        <v>0</v>
      </c>
      <c r="N67" s="161">
        <f t="shared" si="61"/>
        <v>0</v>
      </c>
      <c r="O67" s="161">
        <f t="shared" si="61"/>
        <v>0</v>
      </c>
      <c r="P67" s="161">
        <f t="shared" si="61"/>
        <v>0</v>
      </c>
      <c r="Q67" s="161">
        <f t="shared" si="61"/>
        <v>0</v>
      </c>
      <c r="R67" s="161">
        <f t="shared" si="61"/>
        <v>0</v>
      </c>
      <c r="S67" s="161">
        <f t="shared" si="61"/>
        <v>0</v>
      </c>
      <c r="T67" s="161">
        <f t="shared" si="61"/>
        <v>0</v>
      </c>
      <c r="U67" s="161">
        <f t="shared" si="61"/>
        <v>0</v>
      </c>
      <c r="V67" s="161">
        <f t="shared" si="61"/>
        <v>0</v>
      </c>
      <c r="W67" s="161">
        <f t="shared" si="61"/>
        <v>0</v>
      </c>
      <c r="X67" s="161">
        <f t="shared" si="61"/>
        <v>0</v>
      </c>
      <c r="Y67" s="161">
        <f t="shared" si="61"/>
        <v>0</v>
      </c>
      <c r="Z67" s="161">
        <f t="shared" si="61"/>
        <v>0</v>
      </c>
      <c r="AA67" s="161">
        <f t="shared" si="61"/>
        <v>0</v>
      </c>
      <c r="AB67" s="161">
        <f t="shared" si="61"/>
        <v>0</v>
      </c>
      <c r="AC67" s="161">
        <f t="shared" si="61"/>
        <v>0</v>
      </c>
      <c r="AD67" s="161">
        <f t="shared" si="61"/>
        <v>0</v>
      </c>
      <c r="AE67" s="161">
        <f t="shared" si="61"/>
        <v>0</v>
      </c>
      <c r="AF67" s="161">
        <f t="shared" si="61"/>
        <v>0</v>
      </c>
      <c r="AG67" s="161">
        <f t="shared" si="61"/>
        <v>0</v>
      </c>
      <c r="AH67" s="142" t="s">
        <v>12</v>
      </c>
      <c r="AI67" s="133"/>
      <c r="AJ67" s="170"/>
      <c r="AK67" s="133"/>
      <c r="AL67" s="133"/>
      <c r="BU67" s="64"/>
      <c r="BV67" s="63" t="str">
        <f t="shared" si="60"/>
        <v/>
      </c>
      <c r="BW67" s="63" t="str">
        <f t="shared" si="60"/>
        <v/>
      </c>
      <c r="BX67" s="63" t="str">
        <f t="shared" si="60"/>
        <v/>
      </c>
      <c r="BY67" s="63" t="str">
        <f t="shared" si="60"/>
        <v/>
      </c>
    </row>
    <row r="68" spans="1:77" ht="15.95" hidden="1" customHeight="1" x14ac:dyDescent="0.25">
      <c r="A68" s="173"/>
      <c r="B68" s="130" t="s">
        <v>16</v>
      </c>
      <c r="C68" s="163">
        <f t="shared" ref="C68:AG68" si="62">IF(C10="PR",IF(C10="",0,1),0)</f>
        <v>0</v>
      </c>
      <c r="D68" s="163">
        <f t="shared" si="62"/>
        <v>0</v>
      </c>
      <c r="E68" s="163">
        <f t="shared" si="62"/>
        <v>0</v>
      </c>
      <c r="F68" s="163">
        <f t="shared" si="62"/>
        <v>0</v>
      </c>
      <c r="G68" s="163">
        <f t="shared" si="62"/>
        <v>0</v>
      </c>
      <c r="H68" s="163">
        <f t="shared" si="62"/>
        <v>0</v>
      </c>
      <c r="I68" s="163">
        <f t="shared" si="62"/>
        <v>0</v>
      </c>
      <c r="J68" s="163">
        <f t="shared" si="62"/>
        <v>0</v>
      </c>
      <c r="K68" s="163">
        <f t="shared" si="62"/>
        <v>0</v>
      </c>
      <c r="L68" s="163">
        <f t="shared" si="62"/>
        <v>0</v>
      </c>
      <c r="M68" s="163">
        <f t="shared" si="62"/>
        <v>0</v>
      </c>
      <c r="N68" s="163">
        <f t="shared" si="62"/>
        <v>0</v>
      </c>
      <c r="O68" s="163">
        <f t="shared" si="62"/>
        <v>0</v>
      </c>
      <c r="P68" s="163">
        <f t="shared" si="62"/>
        <v>0</v>
      </c>
      <c r="Q68" s="163">
        <f t="shared" si="62"/>
        <v>0</v>
      </c>
      <c r="R68" s="163">
        <f t="shared" si="62"/>
        <v>0</v>
      </c>
      <c r="S68" s="163">
        <f t="shared" si="62"/>
        <v>0</v>
      </c>
      <c r="T68" s="163">
        <f t="shared" si="62"/>
        <v>0</v>
      </c>
      <c r="U68" s="163">
        <f t="shared" si="62"/>
        <v>0</v>
      </c>
      <c r="V68" s="163">
        <f t="shared" si="62"/>
        <v>0</v>
      </c>
      <c r="W68" s="163">
        <f t="shared" si="62"/>
        <v>0</v>
      </c>
      <c r="X68" s="163">
        <f t="shared" si="62"/>
        <v>0</v>
      </c>
      <c r="Y68" s="163">
        <f t="shared" si="62"/>
        <v>0</v>
      </c>
      <c r="Z68" s="163">
        <f t="shared" si="62"/>
        <v>0</v>
      </c>
      <c r="AA68" s="163">
        <f t="shared" si="62"/>
        <v>0</v>
      </c>
      <c r="AB68" s="163">
        <f t="shared" si="62"/>
        <v>0</v>
      </c>
      <c r="AC68" s="163">
        <f t="shared" si="62"/>
        <v>0</v>
      </c>
      <c r="AD68" s="163">
        <f t="shared" si="62"/>
        <v>0</v>
      </c>
      <c r="AE68" s="163">
        <f t="shared" si="62"/>
        <v>0</v>
      </c>
      <c r="AF68" s="163">
        <f t="shared" si="62"/>
        <v>0</v>
      </c>
      <c r="AG68" s="163">
        <f t="shared" si="62"/>
        <v>0</v>
      </c>
      <c r="AH68" s="229">
        <f>SUM(C68:AG68)</f>
        <v>0</v>
      </c>
      <c r="AI68" s="229"/>
      <c r="AJ68" s="174" t="s">
        <v>69</v>
      </c>
      <c r="AK68" s="133"/>
      <c r="AL68" s="133"/>
    </row>
    <row r="69" spans="1:77" ht="15.95" hidden="1" customHeight="1" x14ac:dyDescent="0.25">
      <c r="A69" s="164" t="s">
        <v>73</v>
      </c>
      <c r="B69" s="165" t="s">
        <v>29</v>
      </c>
      <c r="C69" s="141" t="str">
        <f t="shared" ref="C69:AG69" si="63">IF(C11=$R32,$S32*24,IF(C11=$R33,$S33*24,IF(C11=$R34,$S34*24,IF(C11=$R35,$S35*24,IF(C11=$R36,$S36*24,IF(C11=$R37,$S37*24,IF(C11=$R38,$S38*24,IF(C11=$R39,$S39*24,IF(C11=$R40,$S40*24,"")))))))))</f>
        <v/>
      </c>
      <c r="D69" s="141" t="str">
        <f t="shared" si="63"/>
        <v/>
      </c>
      <c r="E69" s="141" t="str">
        <f t="shared" si="63"/>
        <v/>
      </c>
      <c r="F69" s="141" t="str">
        <f t="shared" si="63"/>
        <v/>
      </c>
      <c r="G69" s="141" t="str">
        <f t="shared" si="63"/>
        <v/>
      </c>
      <c r="H69" s="141" t="str">
        <f t="shared" si="63"/>
        <v/>
      </c>
      <c r="I69" s="141" t="str">
        <f t="shared" si="63"/>
        <v/>
      </c>
      <c r="J69" s="141" t="str">
        <f t="shared" si="63"/>
        <v/>
      </c>
      <c r="K69" s="141" t="str">
        <f t="shared" si="63"/>
        <v/>
      </c>
      <c r="L69" s="141" t="str">
        <f t="shared" si="63"/>
        <v/>
      </c>
      <c r="M69" s="141" t="str">
        <f t="shared" si="63"/>
        <v/>
      </c>
      <c r="N69" s="141" t="str">
        <f t="shared" si="63"/>
        <v/>
      </c>
      <c r="O69" s="141" t="str">
        <f t="shared" si="63"/>
        <v/>
      </c>
      <c r="P69" s="141" t="str">
        <f t="shared" si="63"/>
        <v/>
      </c>
      <c r="Q69" s="141" t="str">
        <f t="shared" si="63"/>
        <v/>
      </c>
      <c r="R69" s="141" t="str">
        <f t="shared" si="63"/>
        <v/>
      </c>
      <c r="S69" s="141" t="str">
        <f t="shared" si="63"/>
        <v/>
      </c>
      <c r="T69" s="141" t="str">
        <f t="shared" si="63"/>
        <v/>
      </c>
      <c r="U69" s="141" t="str">
        <f t="shared" si="63"/>
        <v/>
      </c>
      <c r="V69" s="141" t="str">
        <f t="shared" si="63"/>
        <v/>
      </c>
      <c r="W69" s="141" t="str">
        <f t="shared" si="63"/>
        <v/>
      </c>
      <c r="X69" s="141" t="str">
        <f t="shared" si="63"/>
        <v/>
      </c>
      <c r="Y69" s="141" t="str">
        <f t="shared" si="63"/>
        <v/>
      </c>
      <c r="Z69" s="141" t="str">
        <f t="shared" si="63"/>
        <v/>
      </c>
      <c r="AA69" s="141" t="str">
        <f t="shared" si="63"/>
        <v/>
      </c>
      <c r="AB69" s="141" t="str">
        <f t="shared" si="63"/>
        <v/>
      </c>
      <c r="AC69" s="141" t="str">
        <f t="shared" si="63"/>
        <v/>
      </c>
      <c r="AD69" s="141" t="str">
        <f t="shared" si="63"/>
        <v/>
      </c>
      <c r="AE69" s="141" t="str">
        <f t="shared" si="63"/>
        <v/>
      </c>
      <c r="AF69" s="141" t="str">
        <f t="shared" si="63"/>
        <v/>
      </c>
      <c r="AG69" s="141" t="str">
        <f t="shared" si="63"/>
        <v/>
      </c>
      <c r="AH69" s="154" t="s">
        <v>12</v>
      </c>
      <c r="AI69" s="133"/>
      <c r="AJ69" s="170"/>
      <c r="AK69" s="133"/>
      <c r="AL69" s="133"/>
    </row>
    <row r="70" spans="1:77" ht="15.95" hidden="1" customHeight="1" x14ac:dyDescent="0.25">
      <c r="A70" s="166" t="s">
        <v>74</v>
      </c>
      <c r="B70" s="167" t="s">
        <v>30</v>
      </c>
      <c r="C70" s="141" t="str">
        <f t="shared" ref="C70:AG70" si="64">IF(C11=$R32,$V32*24,IF(C11=$R33,$V33*24,IF(C11=$R34,$V34*24,IF(C11=$R35,$V35*24,IF(C11=$R36,$V36*24,IF(C11=$R37,$V37*24,IF(C11=$R38,$V38*24,IF(C11=$R39,$V39*24,IF(C11=$R40,$V40*24,"")))))))))</f>
        <v/>
      </c>
      <c r="D70" s="141" t="str">
        <f t="shared" si="64"/>
        <v/>
      </c>
      <c r="E70" s="141" t="str">
        <f t="shared" si="64"/>
        <v/>
      </c>
      <c r="F70" s="141" t="str">
        <f t="shared" si="64"/>
        <v/>
      </c>
      <c r="G70" s="141" t="str">
        <f t="shared" si="64"/>
        <v/>
      </c>
      <c r="H70" s="141" t="str">
        <f t="shared" si="64"/>
        <v/>
      </c>
      <c r="I70" s="141" t="str">
        <f t="shared" si="64"/>
        <v/>
      </c>
      <c r="J70" s="141" t="str">
        <f t="shared" si="64"/>
        <v/>
      </c>
      <c r="K70" s="141" t="str">
        <f t="shared" si="64"/>
        <v/>
      </c>
      <c r="L70" s="141" t="str">
        <f t="shared" si="64"/>
        <v/>
      </c>
      <c r="M70" s="141" t="str">
        <f t="shared" si="64"/>
        <v/>
      </c>
      <c r="N70" s="141" t="str">
        <f t="shared" si="64"/>
        <v/>
      </c>
      <c r="O70" s="141" t="str">
        <f t="shared" si="64"/>
        <v/>
      </c>
      <c r="P70" s="141" t="str">
        <f t="shared" si="64"/>
        <v/>
      </c>
      <c r="Q70" s="141" t="str">
        <f t="shared" si="64"/>
        <v/>
      </c>
      <c r="R70" s="141" t="str">
        <f t="shared" si="64"/>
        <v/>
      </c>
      <c r="S70" s="141" t="str">
        <f t="shared" si="64"/>
        <v/>
      </c>
      <c r="T70" s="141" t="str">
        <f t="shared" si="64"/>
        <v/>
      </c>
      <c r="U70" s="141" t="str">
        <f t="shared" si="64"/>
        <v/>
      </c>
      <c r="V70" s="141" t="str">
        <f t="shared" si="64"/>
        <v/>
      </c>
      <c r="W70" s="141" t="str">
        <f t="shared" si="64"/>
        <v/>
      </c>
      <c r="X70" s="141" t="str">
        <f t="shared" si="64"/>
        <v/>
      </c>
      <c r="Y70" s="141" t="str">
        <f t="shared" si="64"/>
        <v/>
      </c>
      <c r="Z70" s="141" t="str">
        <f t="shared" si="64"/>
        <v/>
      </c>
      <c r="AA70" s="141" t="str">
        <f t="shared" si="64"/>
        <v/>
      </c>
      <c r="AB70" s="141" t="str">
        <f t="shared" si="64"/>
        <v/>
      </c>
      <c r="AC70" s="141" t="str">
        <f t="shared" si="64"/>
        <v/>
      </c>
      <c r="AD70" s="141" t="str">
        <f t="shared" si="64"/>
        <v/>
      </c>
      <c r="AE70" s="141" t="str">
        <f t="shared" si="64"/>
        <v/>
      </c>
      <c r="AF70" s="141" t="str">
        <f t="shared" si="64"/>
        <v/>
      </c>
      <c r="AG70" s="141" t="str">
        <f t="shared" si="64"/>
        <v/>
      </c>
      <c r="AH70" s="154" t="s">
        <v>12</v>
      </c>
      <c r="AI70" s="133"/>
      <c r="AJ70" s="170"/>
      <c r="AK70" s="133"/>
      <c r="AL70" s="133"/>
    </row>
    <row r="71" spans="1:77" ht="15.95" hidden="1" customHeight="1" x14ac:dyDescent="0.25">
      <c r="A71" s="153"/>
      <c r="B71" s="168" t="s">
        <v>34</v>
      </c>
      <c r="C71" s="169" t="str">
        <f t="shared" ref="C71:AD71" si="65">IF(C11=$R32,$BD32*24,IF(C11=$R33,$BD33*24,IF(C11=$R34,$BD34*24,IF(C11=$R35,$BD35*24,IF(C11=$R36,$BD36*24,IF(C11=$R37,$BD37*24,IF(C11=$R38,$BD38*24,IF(C11=$R39,$BD39*24,IF(C11=$R40,$BD40*24,"")))))))))</f>
        <v/>
      </c>
      <c r="D71" s="169" t="str">
        <f t="shared" si="65"/>
        <v/>
      </c>
      <c r="E71" s="169" t="str">
        <f t="shared" si="65"/>
        <v/>
      </c>
      <c r="F71" s="169" t="str">
        <f t="shared" si="65"/>
        <v/>
      </c>
      <c r="G71" s="169" t="str">
        <f t="shared" si="65"/>
        <v/>
      </c>
      <c r="H71" s="169" t="str">
        <f t="shared" si="65"/>
        <v/>
      </c>
      <c r="I71" s="169" t="str">
        <f t="shared" si="65"/>
        <v/>
      </c>
      <c r="J71" s="169" t="str">
        <f t="shared" si="65"/>
        <v/>
      </c>
      <c r="K71" s="169" t="str">
        <f t="shared" si="65"/>
        <v/>
      </c>
      <c r="L71" s="169" t="str">
        <f t="shared" si="65"/>
        <v/>
      </c>
      <c r="M71" s="169" t="str">
        <f t="shared" si="65"/>
        <v/>
      </c>
      <c r="N71" s="169" t="str">
        <f t="shared" si="65"/>
        <v/>
      </c>
      <c r="O71" s="169" t="str">
        <f t="shared" si="65"/>
        <v/>
      </c>
      <c r="P71" s="169" t="str">
        <f t="shared" si="65"/>
        <v/>
      </c>
      <c r="Q71" s="169" t="str">
        <f t="shared" si="65"/>
        <v/>
      </c>
      <c r="R71" s="169" t="str">
        <f t="shared" si="65"/>
        <v/>
      </c>
      <c r="S71" s="169" t="str">
        <f t="shared" si="65"/>
        <v/>
      </c>
      <c r="T71" s="169" t="str">
        <f t="shared" si="65"/>
        <v/>
      </c>
      <c r="U71" s="169" t="str">
        <f t="shared" si="65"/>
        <v/>
      </c>
      <c r="V71" s="169" t="str">
        <f t="shared" si="65"/>
        <v/>
      </c>
      <c r="W71" s="169" t="str">
        <f t="shared" si="65"/>
        <v/>
      </c>
      <c r="X71" s="169" t="str">
        <f t="shared" si="65"/>
        <v/>
      </c>
      <c r="Y71" s="169" t="str">
        <f t="shared" si="65"/>
        <v/>
      </c>
      <c r="Z71" s="169" t="str">
        <f t="shared" si="65"/>
        <v/>
      </c>
      <c r="AA71" s="169" t="str">
        <f t="shared" si="65"/>
        <v/>
      </c>
      <c r="AB71" s="169" t="str">
        <f t="shared" si="65"/>
        <v/>
      </c>
      <c r="AC71" s="169" t="str">
        <f t="shared" si="65"/>
        <v/>
      </c>
      <c r="AD71" s="169" t="str">
        <f t="shared" si="65"/>
        <v/>
      </c>
      <c r="AE71" s="169" t="str">
        <f>IF(AE11=$R32,$BD32*24,IF(AE11=$R33,$BD33*24,IF(AE11=$R34,$BD34*24,IF(AE11=$R35,$BD35*24,IF(AE11=$R36,$BD36*24,IF(AE11=$R37,$BD37*24,IF(AE11=$R38,$BD38*24,IF(AE11=$R39,$BD39*24,IF(AE11=$R40,$BD40*24,"")))))))))</f>
        <v/>
      </c>
      <c r="AF71" s="169" t="str">
        <f>IF(AF11=$R32,$BD32*24,IF(AF11=$R33,$BD33*24,IF(AF11=$R34,$BD34*24,IF(AF11=$R35,$BD35*24,IF(AF11=$R36,$BD36*24,IF(AF11=$R37,$BD37*24,IF(AF11=$R38,$BD38*24,IF(AF11=$R39,$BD39*24,IF(AF11=$R40,$BD40*24,"")))))))))</f>
        <v/>
      </c>
      <c r="AG71" s="169" t="str">
        <f>IF(AG11=$R32,$BD32*24,IF(AG11=$R33,$BD33*24,IF(AG11=$R34,$BD34*24,IF(AG11=$R35,$BD35*24,IF(AG11=$R36,$BD36*24,IF(AG11=$R37,$BD37*24,IF(AG11=$R38,$BD38*24,IF(AG11=$R39,$BD39*24,IF(AG11=$R40,$BD40*24,"")))))))))</f>
        <v/>
      </c>
      <c r="AH71" s="148">
        <f>SUM(C71:AG71)</f>
        <v>0</v>
      </c>
      <c r="AI71" s="133"/>
      <c r="AJ71" s="170"/>
      <c r="AK71" s="133"/>
      <c r="AL71" s="133"/>
    </row>
    <row r="72" spans="1:77" ht="15.95" hidden="1" customHeight="1" x14ac:dyDescent="0.25">
      <c r="A72" s="153"/>
      <c r="B72" s="167" t="s">
        <v>59</v>
      </c>
      <c r="C72" s="141">
        <f t="shared" ref="C72:AG72" si="66">IF(C11="V",$C36,IF(C11="PR",$C38,0))</f>
        <v>0</v>
      </c>
      <c r="D72" s="141">
        <f t="shared" si="66"/>
        <v>0</v>
      </c>
      <c r="E72" s="141">
        <f t="shared" si="66"/>
        <v>0</v>
      </c>
      <c r="F72" s="141">
        <f t="shared" si="66"/>
        <v>0</v>
      </c>
      <c r="G72" s="141">
        <f t="shared" si="66"/>
        <v>0</v>
      </c>
      <c r="H72" s="141">
        <f t="shared" si="66"/>
        <v>0</v>
      </c>
      <c r="I72" s="141">
        <f t="shared" si="66"/>
        <v>0</v>
      </c>
      <c r="J72" s="141">
        <f t="shared" si="66"/>
        <v>0</v>
      </c>
      <c r="K72" s="141">
        <f t="shared" si="66"/>
        <v>0</v>
      </c>
      <c r="L72" s="141">
        <f t="shared" si="66"/>
        <v>0</v>
      </c>
      <c r="M72" s="141">
        <f t="shared" si="66"/>
        <v>0</v>
      </c>
      <c r="N72" s="141">
        <f t="shared" si="66"/>
        <v>0</v>
      </c>
      <c r="O72" s="141">
        <f t="shared" si="66"/>
        <v>0</v>
      </c>
      <c r="P72" s="141">
        <f t="shared" si="66"/>
        <v>0</v>
      </c>
      <c r="Q72" s="141">
        <f t="shared" si="66"/>
        <v>0</v>
      </c>
      <c r="R72" s="141">
        <f t="shared" si="66"/>
        <v>0</v>
      </c>
      <c r="S72" s="141">
        <f t="shared" si="66"/>
        <v>0</v>
      </c>
      <c r="T72" s="141">
        <f t="shared" si="66"/>
        <v>0</v>
      </c>
      <c r="U72" s="141">
        <f t="shared" si="66"/>
        <v>0</v>
      </c>
      <c r="V72" s="141">
        <f t="shared" si="66"/>
        <v>0</v>
      </c>
      <c r="W72" s="141">
        <f t="shared" si="66"/>
        <v>0</v>
      </c>
      <c r="X72" s="141">
        <f t="shared" si="66"/>
        <v>0</v>
      </c>
      <c r="Y72" s="141">
        <f t="shared" si="66"/>
        <v>0</v>
      </c>
      <c r="Z72" s="141">
        <f t="shared" si="66"/>
        <v>0</v>
      </c>
      <c r="AA72" s="141">
        <f t="shared" si="66"/>
        <v>0</v>
      </c>
      <c r="AB72" s="141">
        <f t="shared" si="66"/>
        <v>0</v>
      </c>
      <c r="AC72" s="141">
        <f t="shared" si="66"/>
        <v>0</v>
      </c>
      <c r="AD72" s="141">
        <f t="shared" si="66"/>
        <v>0</v>
      </c>
      <c r="AE72" s="141">
        <f t="shared" si="66"/>
        <v>0</v>
      </c>
      <c r="AF72" s="141">
        <f t="shared" si="66"/>
        <v>0</v>
      </c>
      <c r="AG72" s="141">
        <f t="shared" si="66"/>
        <v>0</v>
      </c>
      <c r="AH72" s="226">
        <f>SUM(C72:AG72)</f>
        <v>0</v>
      </c>
      <c r="AI72" s="226"/>
      <c r="AJ72" s="170" t="s">
        <v>12</v>
      </c>
      <c r="AK72" s="133"/>
      <c r="AL72" s="133"/>
    </row>
    <row r="73" spans="1:77" ht="15.95" hidden="1" customHeight="1" x14ac:dyDescent="0.25">
      <c r="A73" s="150" t="s">
        <v>60</v>
      </c>
      <c r="B73" s="167" t="s">
        <v>61</v>
      </c>
      <c r="C73" s="151">
        <f t="shared" ref="C73:AD73" si="67">IF(C11=$R32,$BC32,IF(C11=$R33,$BC33,IF(C11=$R34,$BC34,IF(C11=$R35,$BC35,IF(C11=$R36,$BC36,IF(C11=$R37,$BC37,IF(C11=$R38,$BC38,IF(C11=$R39,$BC39,IF(C11=$R40,$BC40,0)))))))))</f>
        <v>0</v>
      </c>
      <c r="D73" s="151">
        <f t="shared" si="67"/>
        <v>0</v>
      </c>
      <c r="E73" s="151">
        <f t="shared" si="67"/>
        <v>0</v>
      </c>
      <c r="F73" s="151">
        <f t="shared" si="67"/>
        <v>0</v>
      </c>
      <c r="G73" s="151">
        <f t="shared" si="67"/>
        <v>0</v>
      </c>
      <c r="H73" s="151">
        <f t="shared" si="67"/>
        <v>0</v>
      </c>
      <c r="I73" s="151">
        <f t="shared" si="67"/>
        <v>0</v>
      </c>
      <c r="J73" s="151">
        <f t="shared" si="67"/>
        <v>0</v>
      </c>
      <c r="K73" s="151">
        <f t="shared" si="67"/>
        <v>0</v>
      </c>
      <c r="L73" s="151">
        <f t="shared" si="67"/>
        <v>0</v>
      </c>
      <c r="M73" s="151">
        <f t="shared" si="67"/>
        <v>0</v>
      </c>
      <c r="N73" s="151">
        <f t="shared" si="67"/>
        <v>0</v>
      </c>
      <c r="O73" s="151">
        <f t="shared" si="67"/>
        <v>0</v>
      </c>
      <c r="P73" s="151">
        <f t="shared" si="67"/>
        <v>0</v>
      </c>
      <c r="Q73" s="151">
        <f t="shared" si="67"/>
        <v>0</v>
      </c>
      <c r="R73" s="151">
        <f t="shared" si="67"/>
        <v>0</v>
      </c>
      <c r="S73" s="151">
        <f t="shared" si="67"/>
        <v>0</v>
      </c>
      <c r="T73" s="151">
        <f t="shared" si="67"/>
        <v>0</v>
      </c>
      <c r="U73" s="151">
        <f t="shared" si="67"/>
        <v>0</v>
      </c>
      <c r="V73" s="151">
        <f t="shared" si="67"/>
        <v>0</v>
      </c>
      <c r="W73" s="151">
        <f t="shared" si="67"/>
        <v>0</v>
      </c>
      <c r="X73" s="151">
        <f t="shared" si="67"/>
        <v>0</v>
      </c>
      <c r="Y73" s="151">
        <f t="shared" si="67"/>
        <v>0</v>
      </c>
      <c r="Z73" s="151">
        <f t="shared" si="67"/>
        <v>0</v>
      </c>
      <c r="AA73" s="151">
        <f t="shared" si="67"/>
        <v>0</v>
      </c>
      <c r="AB73" s="151">
        <f t="shared" si="67"/>
        <v>0</v>
      </c>
      <c r="AC73" s="151">
        <f t="shared" si="67"/>
        <v>0</v>
      </c>
      <c r="AD73" s="151">
        <f t="shared" si="67"/>
        <v>0</v>
      </c>
      <c r="AE73" s="151">
        <f>IF(AE11=$R32,$BC32,IF(AE11=$R33,$BC33,IF(AE11=$R34,$BC34,IF(AE11=$R35,$BC35,IF(AE11=$R36,$BC36,IF(AE11=$R37,$BC37,IF(AE11=$R38,$BC38,IF(AE11=$R39,$BC39,IF(AE11=$R40,$BC40,0)))))))))</f>
        <v>0</v>
      </c>
      <c r="AF73" s="151">
        <f>IF(AF11=$R32,$BC32,IF(AF11=$R33,$BC33,IF(AF11=$R34,$BC34,IF(AF11=$R35,$BC35,IF(AF11=$R36,$BC36,IF(AF11=$R37,$BC37,IF(AF11=$R38,$BC38,IF(AF11=$R39,$BC39,IF(AF11=$R40,$BC40,0)))))))))</f>
        <v>0</v>
      </c>
      <c r="AG73" s="151">
        <f>IF(AG11=$R32,$BC32,IF(AG11=$R33,$BC33,IF(AG11=$R34,$BC34,IF(AG11=$R35,$BC35,IF(AG11=$R36,$BC36,IF(AG11=$R37,$BC37,IF(AG11=$R38,$BC38,IF(AG11=$R39,$BC39,IF(AG11=$R40,$BC40,0)))))))))</f>
        <v>0</v>
      </c>
      <c r="AH73" s="226">
        <f>SUM(C73:AG73)</f>
        <v>0</v>
      </c>
      <c r="AI73" s="226"/>
      <c r="AJ73" s="175" t="s">
        <v>62</v>
      </c>
      <c r="AK73" s="133" t="s">
        <v>12</v>
      </c>
      <c r="AL73" s="133"/>
    </row>
    <row r="74" spans="1:77" ht="15.95" hidden="1" customHeight="1" x14ac:dyDescent="0.25">
      <c r="A74" s="153" t="s">
        <v>48</v>
      </c>
      <c r="B74" s="149" t="s">
        <v>63</v>
      </c>
      <c r="C74" s="141" t="b">
        <f t="shared" ref="C74:AG74" si="68">IF(C46=1,IF(C69&lt;C70,C73,0))</f>
        <v>0</v>
      </c>
      <c r="D74" s="141" t="b">
        <f t="shared" si="68"/>
        <v>0</v>
      </c>
      <c r="E74" s="141" t="b">
        <f t="shared" si="68"/>
        <v>0</v>
      </c>
      <c r="F74" s="141">
        <f t="shared" si="68"/>
        <v>0</v>
      </c>
      <c r="G74" s="141">
        <f t="shared" si="68"/>
        <v>0</v>
      </c>
      <c r="H74" s="141" t="b">
        <f t="shared" si="68"/>
        <v>0</v>
      </c>
      <c r="I74" s="141" t="b">
        <f t="shared" si="68"/>
        <v>0</v>
      </c>
      <c r="J74" s="141" t="b">
        <f t="shared" si="68"/>
        <v>0</v>
      </c>
      <c r="K74" s="141" t="b">
        <f t="shared" si="68"/>
        <v>0</v>
      </c>
      <c r="L74" s="141" t="b">
        <f t="shared" si="68"/>
        <v>0</v>
      </c>
      <c r="M74" s="141">
        <f t="shared" si="68"/>
        <v>0</v>
      </c>
      <c r="N74" s="141">
        <f t="shared" si="68"/>
        <v>0</v>
      </c>
      <c r="O74" s="141" t="b">
        <f t="shared" si="68"/>
        <v>0</v>
      </c>
      <c r="P74" s="141" t="b">
        <f t="shared" si="68"/>
        <v>0</v>
      </c>
      <c r="Q74" s="141" t="b">
        <f t="shared" si="68"/>
        <v>0</v>
      </c>
      <c r="R74" s="141" t="b">
        <f t="shared" si="68"/>
        <v>0</v>
      </c>
      <c r="S74" s="141" t="b">
        <f t="shared" si="68"/>
        <v>0</v>
      </c>
      <c r="T74" s="141">
        <f t="shared" si="68"/>
        <v>0</v>
      </c>
      <c r="U74" s="141">
        <f t="shared" si="68"/>
        <v>0</v>
      </c>
      <c r="V74" s="141" t="b">
        <f t="shared" si="68"/>
        <v>0</v>
      </c>
      <c r="W74" s="141" t="b">
        <f t="shared" si="68"/>
        <v>0</v>
      </c>
      <c r="X74" s="141" t="b">
        <f t="shared" si="68"/>
        <v>0</v>
      </c>
      <c r="Y74" s="141" t="b">
        <f t="shared" si="68"/>
        <v>0</v>
      </c>
      <c r="Z74" s="141" t="b">
        <f t="shared" si="68"/>
        <v>0</v>
      </c>
      <c r="AA74" s="141">
        <f t="shared" si="68"/>
        <v>0</v>
      </c>
      <c r="AB74" s="141">
        <f t="shared" si="68"/>
        <v>0</v>
      </c>
      <c r="AC74" s="141" t="b">
        <f t="shared" si="68"/>
        <v>0</v>
      </c>
      <c r="AD74" s="141" t="b">
        <f t="shared" si="68"/>
        <v>0</v>
      </c>
      <c r="AE74" s="141" t="b">
        <f t="shared" si="68"/>
        <v>0</v>
      </c>
      <c r="AF74" s="141" t="b">
        <f t="shared" si="68"/>
        <v>0</v>
      </c>
      <c r="AG74" s="141" t="b">
        <f t="shared" si="68"/>
        <v>0</v>
      </c>
      <c r="AH74" s="154" t="s">
        <v>12</v>
      </c>
      <c r="AI74" s="133"/>
      <c r="AJ74" s="170"/>
      <c r="AK74" s="133"/>
      <c r="AL74" s="133"/>
    </row>
    <row r="75" spans="1:77" ht="15.95" hidden="1" customHeight="1" x14ac:dyDescent="0.25">
      <c r="A75" s="176"/>
      <c r="B75" s="149" t="s">
        <v>64</v>
      </c>
      <c r="C75" s="141">
        <f t="shared" ref="C75:AG75" si="69">IF(C46=1,IF(C69&gt;C70,24-C69,0),0)</f>
        <v>0</v>
      </c>
      <c r="D75" s="141">
        <f t="shared" si="69"/>
        <v>0</v>
      </c>
      <c r="E75" s="141">
        <f t="shared" si="69"/>
        <v>0</v>
      </c>
      <c r="F75" s="141">
        <f t="shared" si="69"/>
        <v>0</v>
      </c>
      <c r="G75" s="141">
        <f t="shared" si="69"/>
        <v>0</v>
      </c>
      <c r="H75" s="141">
        <f t="shared" si="69"/>
        <v>0</v>
      </c>
      <c r="I75" s="141">
        <f t="shared" si="69"/>
        <v>0</v>
      </c>
      <c r="J75" s="141">
        <f t="shared" si="69"/>
        <v>0</v>
      </c>
      <c r="K75" s="141">
        <f t="shared" si="69"/>
        <v>0</v>
      </c>
      <c r="L75" s="141">
        <f t="shared" si="69"/>
        <v>0</v>
      </c>
      <c r="M75" s="141">
        <f t="shared" si="69"/>
        <v>0</v>
      </c>
      <c r="N75" s="141">
        <f t="shared" si="69"/>
        <v>0</v>
      </c>
      <c r="O75" s="141">
        <f t="shared" si="69"/>
        <v>0</v>
      </c>
      <c r="P75" s="141">
        <f t="shared" si="69"/>
        <v>0</v>
      </c>
      <c r="Q75" s="141">
        <f t="shared" si="69"/>
        <v>0</v>
      </c>
      <c r="R75" s="141">
        <f t="shared" si="69"/>
        <v>0</v>
      </c>
      <c r="S75" s="141">
        <f t="shared" si="69"/>
        <v>0</v>
      </c>
      <c r="T75" s="141">
        <f t="shared" si="69"/>
        <v>0</v>
      </c>
      <c r="U75" s="141">
        <f t="shared" si="69"/>
        <v>0</v>
      </c>
      <c r="V75" s="141">
        <f t="shared" si="69"/>
        <v>0</v>
      </c>
      <c r="W75" s="141">
        <f t="shared" si="69"/>
        <v>0</v>
      </c>
      <c r="X75" s="141">
        <f t="shared" si="69"/>
        <v>0</v>
      </c>
      <c r="Y75" s="141">
        <f t="shared" si="69"/>
        <v>0</v>
      </c>
      <c r="Z75" s="141">
        <f t="shared" si="69"/>
        <v>0</v>
      </c>
      <c r="AA75" s="141">
        <f t="shared" si="69"/>
        <v>0</v>
      </c>
      <c r="AB75" s="141">
        <f t="shared" si="69"/>
        <v>0</v>
      </c>
      <c r="AC75" s="141">
        <f t="shared" si="69"/>
        <v>0</v>
      </c>
      <c r="AD75" s="141">
        <f t="shared" si="69"/>
        <v>0</v>
      </c>
      <c r="AE75" s="141">
        <f t="shared" si="69"/>
        <v>0</v>
      </c>
      <c r="AF75" s="141">
        <f t="shared" si="69"/>
        <v>0</v>
      </c>
      <c r="AG75" s="141">
        <f t="shared" si="69"/>
        <v>0</v>
      </c>
      <c r="AH75" s="154" t="s">
        <v>12</v>
      </c>
      <c r="AI75" s="133"/>
      <c r="AJ75" s="170"/>
      <c r="AK75" s="133"/>
      <c r="AL75" s="133"/>
    </row>
    <row r="76" spans="1:77" ht="15.95" hidden="1" customHeight="1" x14ac:dyDescent="0.25">
      <c r="A76" s="176"/>
      <c r="B76" s="149" t="s">
        <v>65</v>
      </c>
      <c r="C76" s="141">
        <f t="shared" ref="C76:AG76" si="70">IF(D46=1,IF(C69&gt;C70,C70,0),0)</f>
        <v>0</v>
      </c>
      <c r="D76" s="141">
        <f t="shared" si="70"/>
        <v>0</v>
      </c>
      <c r="E76" s="141">
        <f t="shared" si="70"/>
        <v>0</v>
      </c>
      <c r="F76" s="141">
        <f t="shared" si="70"/>
        <v>0</v>
      </c>
      <c r="G76" s="141">
        <f t="shared" si="70"/>
        <v>0</v>
      </c>
      <c r="H76" s="141">
        <f t="shared" si="70"/>
        <v>0</v>
      </c>
      <c r="I76" s="141">
        <f t="shared" si="70"/>
        <v>0</v>
      </c>
      <c r="J76" s="141">
        <f t="shared" si="70"/>
        <v>0</v>
      </c>
      <c r="K76" s="141">
        <f t="shared" si="70"/>
        <v>0</v>
      </c>
      <c r="L76" s="141">
        <f t="shared" si="70"/>
        <v>0</v>
      </c>
      <c r="M76" s="141">
        <f t="shared" si="70"/>
        <v>0</v>
      </c>
      <c r="N76" s="141">
        <f t="shared" si="70"/>
        <v>0</v>
      </c>
      <c r="O76" s="141">
        <f t="shared" si="70"/>
        <v>0</v>
      </c>
      <c r="P76" s="141">
        <f t="shared" si="70"/>
        <v>0</v>
      </c>
      <c r="Q76" s="141">
        <f t="shared" si="70"/>
        <v>0</v>
      </c>
      <c r="R76" s="141">
        <f t="shared" si="70"/>
        <v>0</v>
      </c>
      <c r="S76" s="141">
        <f t="shared" si="70"/>
        <v>0</v>
      </c>
      <c r="T76" s="141">
        <f t="shared" si="70"/>
        <v>0</v>
      </c>
      <c r="U76" s="141">
        <f t="shared" si="70"/>
        <v>0</v>
      </c>
      <c r="V76" s="141">
        <f t="shared" si="70"/>
        <v>0</v>
      </c>
      <c r="W76" s="141">
        <f t="shared" si="70"/>
        <v>0</v>
      </c>
      <c r="X76" s="141">
        <f>IF(Y46=1,IF(X69&gt;X70,X70,0),0)</f>
        <v>0</v>
      </c>
      <c r="Y76" s="141">
        <f t="shared" si="70"/>
        <v>0</v>
      </c>
      <c r="Z76" s="141">
        <f t="shared" si="70"/>
        <v>0</v>
      </c>
      <c r="AA76" s="141">
        <f t="shared" si="70"/>
        <v>0</v>
      </c>
      <c r="AB76" s="141">
        <f t="shared" si="70"/>
        <v>0</v>
      </c>
      <c r="AC76" s="141">
        <f t="shared" si="70"/>
        <v>0</v>
      </c>
      <c r="AD76" s="141">
        <f t="shared" si="70"/>
        <v>0</v>
      </c>
      <c r="AE76" s="141">
        <f t="shared" si="70"/>
        <v>0</v>
      </c>
      <c r="AF76" s="141">
        <f t="shared" si="70"/>
        <v>0</v>
      </c>
      <c r="AG76" s="141">
        <f t="shared" si="70"/>
        <v>0</v>
      </c>
      <c r="AH76" s="154" t="s">
        <v>12</v>
      </c>
      <c r="AI76" s="133"/>
      <c r="AJ76" s="170"/>
      <c r="AK76" s="133"/>
      <c r="AL76" s="133"/>
    </row>
    <row r="77" spans="1:77" ht="15.95" hidden="1" customHeight="1" x14ac:dyDescent="0.25">
      <c r="A77" s="176"/>
      <c r="B77" s="149" t="s">
        <v>67</v>
      </c>
      <c r="C77" s="171">
        <f t="shared" ref="C77:AG77" si="71">SUM(C74:C76)</f>
        <v>0</v>
      </c>
      <c r="D77" s="171">
        <f t="shared" si="71"/>
        <v>0</v>
      </c>
      <c r="E77" s="171">
        <f t="shared" si="71"/>
        <v>0</v>
      </c>
      <c r="F77" s="171">
        <f t="shared" si="71"/>
        <v>0</v>
      </c>
      <c r="G77" s="171">
        <f t="shared" si="71"/>
        <v>0</v>
      </c>
      <c r="H77" s="171">
        <f t="shared" si="71"/>
        <v>0</v>
      </c>
      <c r="I77" s="171">
        <f t="shared" si="71"/>
        <v>0</v>
      </c>
      <c r="J77" s="171">
        <f t="shared" si="71"/>
        <v>0</v>
      </c>
      <c r="K77" s="171">
        <f t="shared" si="71"/>
        <v>0</v>
      </c>
      <c r="L77" s="171">
        <f t="shared" si="71"/>
        <v>0</v>
      </c>
      <c r="M77" s="171">
        <f t="shared" si="71"/>
        <v>0</v>
      </c>
      <c r="N77" s="171">
        <f t="shared" si="71"/>
        <v>0</v>
      </c>
      <c r="O77" s="171">
        <f t="shared" si="71"/>
        <v>0</v>
      </c>
      <c r="P77" s="171">
        <f t="shared" si="71"/>
        <v>0</v>
      </c>
      <c r="Q77" s="171">
        <f t="shared" si="71"/>
        <v>0</v>
      </c>
      <c r="R77" s="171">
        <f t="shared" si="71"/>
        <v>0</v>
      </c>
      <c r="S77" s="171">
        <f t="shared" si="71"/>
        <v>0</v>
      </c>
      <c r="T77" s="171">
        <f t="shared" si="71"/>
        <v>0</v>
      </c>
      <c r="U77" s="171">
        <f t="shared" si="71"/>
        <v>0</v>
      </c>
      <c r="V77" s="171">
        <f t="shared" si="71"/>
        <v>0</v>
      </c>
      <c r="W77" s="171">
        <f t="shared" si="71"/>
        <v>0</v>
      </c>
      <c r="X77" s="171">
        <f t="shared" si="71"/>
        <v>0</v>
      </c>
      <c r="Y77" s="171">
        <f t="shared" si="71"/>
        <v>0</v>
      </c>
      <c r="Z77" s="171">
        <f t="shared" si="71"/>
        <v>0</v>
      </c>
      <c r="AA77" s="171">
        <f t="shared" si="71"/>
        <v>0</v>
      </c>
      <c r="AB77" s="171">
        <f t="shared" si="71"/>
        <v>0</v>
      </c>
      <c r="AC77" s="171">
        <f t="shared" si="71"/>
        <v>0</v>
      </c>
      <c r="AD77" s="171">
        <f t="shared" si="71"/>
        <v>0</v>
      </c>
      <c r="AE77" s="171">
        <f t="shared" si="71"/>
        <v>0</v>
      </c>
      <c r="AF77" s="171">
        <f t="shared" si="71"/>
        <v>0</v>
      </c>
      <c r="AG77" s="171">
        <f t="shared" si="71"/>
        <v>0</v>
      </c>
      <c r="AH77" s="154" t="s">
        <v>12</v>
      </c>
      <c r="AI77" s="133"/>
      <c r="AJ77" s="170"/>
      <c r="AK77" s="133"/>
      <c r="AL77" s="133"/>
    </row>
    <row r="78" spans="1:77" ht="15.95" hidden="1" customHeight="1" x14ac:dyDescent="0.25">
      <c r="A78" s="177"/>
      <c r="B78" s="160" t="s">
        <v>68</v>
      </c>
      <c r="C78" s="161">
        <f t="shared" ref="C78:AG78" si="72">IF(C11="V",IF(C11="",0,1),0)</f>
        <v>0</v>
      </c>
      <c r="D78" s="161">
        <f t="shared" si="72"/>
        <v>0</v>
      </c>
      <c r="E78" s="161">
        <f t="shared" si="72"/>
        <v>0</v>
      </c>
      <c r="F78" s="161">
        <f t="shared" si="72"/>
        <v>0</v>
      </c>
      <c r="G78" s="161">
        <f t="shared" si="72"/>
        <v>0</v>
      </c>
      <c r="H78" s="161">
        <f t="shared" si="72"/>
        <v>0</v>
      </c>
      <c r="I78" s="161">
        <f t="shared" si="72"/>
        <v>0</v>
      </c>
      <c r="J78" s="161">
        <f t="shared" si="72"/>
        <v>0</v>
      </c>
      <c r="K78" s="161">
        <f t="shared" si="72"/>
        <v>0</v>
      </c>
      <c r="L78" s="161">
        <f t="shared" si="72"/>
        <v>0</v>
      </c>
      <c r="M78" s="161">
        <f t="shared" si="72"/>
        <v>0</v>
      </c>
      <c r="N78" s="161">
        <f t="shared" si="72"/>
        <v>0</v>
      </c>
      <c r="O78" s="161">
        <f t="shared" si="72"/>
        <v>0</v>
      </c>
      <c r="P78" s="161">
        <f t="shared" si="72"/>
        <v>0</v>
      </c>
      <c r="Q78" s="161">
        <f t="shared" si="72"/>
        <v>0</v>
      </c>
      <c r="R78" s="161">
        <f t="shared" si="72"/>
        <v>0</v>
      </c>
      <c r="S78" s="161">
        <f t="shared" si="72"/>
        <v>0</v>
      </c>
      <c r="T78" s="161">
        <f t="shared" si="72"/>
        <v>0</v>
      </c>
      <c r="U78" s="161">
        <f t="shared" si="72"/>
        <v>0</v>
      </c>
      <c r="V78" s="161">
        <f t="shared" si="72"/>
        <v>0</v>
      </c>
      <c r="W78" s="161">
        <f t="shared" si="72"/>
        <v>0</v>
      </c>
      <c r="X78" s="161">
        <f t="shared" si="72"/>
        <v>0</v>
      </c>
      <c r="Y78" s="161">
        <f t="shared" si="72"/>
        <v>0</v>
      </c>
      <c r="Z78" s="161">
        <f t="shared" si="72"/>
        <v>0</v>
      </c>
      <c r="AA78" s="161">
        <f t="shared" si="72"/>
        <v>0</v>
      </c>
      <c r="AB78" s="161">
        <f t="shared" si="72"/>
        <v>0</v>
      </c>
      <c r="AC78" s="161">
        <f t="shared" si="72"/>
        <v>0</v>
      </c>
      <c r="AD78" s="161">
        <f t="shared" si="72"/>
        <v>0</v>
      </c>
      <c r="AE78" s="161">
        <f t="shared" si="72"/>
        <v>0</v>
      </c>
      <c r="AF78" s="161">
        <f t="shared" si="72"/>
        <v>0</v>
      </c>
      <c r="AG78" s="161">
        <f t="shared" si="72"/>
        <v>0</v>
      </c>
      <c r="AH78" s="154" t="s">
        <v>12</v>
      </c>
      <c r="AI78" s="133"/>
      <c r="AJ78" s="170"/>
      <c r="AK78" s="133"/>
      <c r="AL78" s="133"/>
    </row>
    <row r="79" spans="1:77" ht="15.95" hidden="1" customHeight="1" x14ac:dyDescent="0.25">
      <c r="A79" s="173"/>
      <c r="B79" s="130" t="s">
        <v>16</v>
      </c>
      <c r="C79" s="163">
        <f t="shared" ref="C79:AG79" si="73">IF(C11="PR",IF(C11="",0,1),0)</f>
        <v>0</v>
      </c>
      <c r="D79" s="163">
        <f t="shared" si="73"/>
        <v>0</v>
      </c>
      <c r="E79" s="163">
        <f t="shared" si="73"/>
        <v>0</v>
      </c>
      <c r="F79" s="163">
        <f t="shared" si="73"/>
        <v>0</v>
      </c>
      <c r="G79" s="163">
        <f t="shared" si="73"/>
        <v>0</v>
      </c>
      <c r="H79" s="163">
        <f t="shared" si="73"/>
        <v>0</v>
      </c>
      <c r="I79" s="163">
        <f t="shared" si="73"/>
        <v>0</v>
      </c>
      <c r="J79" s="163">
        <f t="shared" si="73"/>
        <v>0</v>
      </c>
      <c r="K79" s="163">
        <f t="shared" si="73"/>
        <v>0</v>
      </c>
      <c r="L79" s="163">
        <f t="shared" si="73"/>
        <v>0</v>
      </c>
      <c r="M79" s="163">
        <f t="shared" si="73"/>
        <v>0</v>
      </c>
      <c r="N79" s="163">
        <f t="shared" si="73"/>
        <v>0</v>
      </c>
      <c r="O79" s="163">
        <f t="shared" si="73"/>
        <v>0</v>
      </c>
      <c r="P79" s="163">
        <f t="shared" si="73"/>
        <v>0</v>
      </c>
      <c r="Q79" s="163">
        <f t="shared" si="73"/>
        <v>0</v>
      </c>
      <c r="R79" s="163">
        <f t="shared" si="73"/>
        <v>0</v>
      </c>
      <c r="S79" s="163">
        <f t="shared" si="73"/>
        <v>0</v>
      </c>
      <c r="T79" s="163">
        <f t="shared" si="73"/>
        <v>0</v>
      </c>
      <c r="U79" s="163">
        <f t="shared" si="73"/>
        <v>0</v>
      </c>
      <c r="V79" s="163">
        <f t="shared" si="73"/>
        <v>0</v>
      </c>
      <c r="W79" s="163">
        <f t="shared" si="73"/>
        <v>0</v>
      </c>
      <c r="X79" s="163">
        <f t="shared" si="73"/>
        <v>0</v>
      </c>
      <c r="Y79" s="163">
        <f t="shared" si="73"/>
        <v>0</v>
      </c>
      <c r="Z79" s="163">
        <f t="shared" si="73"/>
        <v>0</v>
      </c>
      <c r="AA79" s="163">
        <f t="shared" si="73"/>
        <v>0</v>
      </c>
      <c r="AB79" s="163">
        <f t="shared" si="73"/>
        <v>0</v>
      </c>
      <c r="AC79" s="163">
        <f t="shared" si="73"/>
        <v>0</v>
      </c>
      <c r="AD79" s="163">
        <f t="shared" si="73"/>
        <v>0</v>
      </c>
      <c r="AE79" s="163">
        <f t="shared" si="73"/>
        <v>0</v>
      </c>
      <c r="AF79" s="163">
        <f t="shared" si="73"/>
        <v>0</v>
      </c>
      <c r="AG79" s="163">
        <f t="shared" si="73"/>
        <v>0</v>
      </c>
      <c r="AH79" s="229">
        <f>SUM(C79:AG79)</f>
        <v>0</v>
      </c>
      <c r="AI79" s="229"/>
      <c r="AJ79" s="174" t="s">
        <v>69</v>
      </c>
      <c r="AK79" s="133"/>
      <c r="AL79" s="133"/>
    </row>
    <row r="80" spans="1:77" ht="15.95" hidden="1" customHeight="1" x14ac:dyDescent="0.25">
      <c r="A80" s="164" t="s">
        <v>75</v>
      </c>
      <c r="B80" s="165" t="s">
        <v>29</v>
      </c>
      <c r="C80" s="141" t="str">
        <f t="shared" ref="C80:AG80" si="74">IF(C12=$R32,$S32*24,IF(C12=$R33,$S33*24,IF(C12=$R34,$S34*24,IF(C12=$R35,$S35*24,IF(C12=$R36,$S36*24,IF(C12=$R37,$S37*24,IF(C12=$R38,$S38*24,IF(C12=$R39,$S39*24,IF(C12=$R40,$S40*24,"")))))))))</f>
        <v/>
      </c>
      <c r="D80" s="141" t="str">
        <f t="shared" si="74"/>
        <v/>
      </c>
      <c r="E80" s="141" t="str">
        <f t="shared" si="74"/>
        <v/>
      </c>
      <c r="F80" s="141" t="str">
        <f t="shared" si="74"/>
        <v/>
      </c>
      <c r="G80" s="141" t="str">
        <f t="shared" si="74"/>
        <v/>
      </c>
      <c r="H80" s="141" t="str">
        <f t="shared" si="74"/>
        <v/>
      </c>
      <c r="I80" s="141" t="str">
        <f t="shared" si="74"/>
        <v/>
      </c>
      <c r="J80" s="141" t="str">
        <f t="shared" si="74"/>
        <v/>
      </c>
      <c r="K80" s="141" t="str">
        <f t="shared" si="74"/>
        <v/>
      </c>
      <c r="L80" s="141" t="str">
        <f t="shared" si="74"/>
        <v/>
      </c>
      <c r="M80" s="141" t="str">
        <f t="shared" si="74"/>
        <v/>
      </c>
      <c r="N80" s="141" t="str">
        <f t="shared" si="74"/>
        <v/>
      </c>
      <c r="O80" s="141" t="str">
        <f t="shared" si="74"/>
        <v/>
      </c>
      <c r="P80" s="141" t="str">
        <f t="shared" si="74"/>
        <v/>
      </c>
      <c r="Q80" s="141" t="str">
        <f t="shared" si="74"/>
        <v/>
      </c>
      <c r="R80" s="141" t="str">
        <f t="shared" si="74"/>
        <v/>
      </c>
      <c r="S80" s="141" t="str">
        <f t="shared" si="74"/>
        <v/>
      </c>
      <c r="T80" s="141" t="str">
        <f t="shared" si="74"/>
        <v/>
      </c>
      <c r="U80" s="141" t="str">
        <f t="shared" si="74"/>
        <v/>
      </c>
      <c r="V80" s="141" t="str">
        <f t="shared" si="74"/>
        <v/>
      </c>
      <c r="W80" s="141" t="str">
        <f t="shared" si="74"/>
        <v/>
      </c>
      <c r="X80" s="141" t="str">
        <f t="shared" si="74"/>
        <v/>
      </c>
      <c r="Y80" s="141" t="str">
        <f t="shared" si="74"/>
        <v/>
      </c>
      <c r="Z80" s="141" t="str">
        <f t="shared" si="74"/>
        <v/>
      </c>
      <c r="AA80" s="141" t="str">
        <f t="shared" si="74"/>
        <v/>
      </c>
      <c r="AB80" s="141" t="str">
        <f t="shared" si="74"/>
        <v/>
      </c>
      <c r="AC80" s="141" t="str">
        <f t="shared" si="74"/>
        <v/>
      </c>
      <c r="AD80" s="141" t="str">
        <f t="shared" si="74"/>
        <v/>
      </c>
      <c r="AE80" s="141" t="str">
        <f t="shared" si="74"/>
        <v/>
      </c>
      <c r="AF80" s="141" t="str">
        <f t="shared" si="74"/>
        <v/>
      </c>
      <c r="AG80" s="141" t="str">
        <f t="shared" si="74"/>
        <v/>
      </c>
      <c r="AH80" s="154" t="s">
        <v>12</v>
      </c>
      <c r="AI80" s="133"/>
      <c r="AJ80" s="170"/>
      <c r="AK80" s="133"/>
      <c r="AL80" s="133"/>
    </row>
    <row r="81" spans="1:38" ht="15.95" hidden="1" customHeight="1" x14ac:dyDescent="0.25">
      <c r="A81" s="166" t="s">
        <v>76</v>
      </c>
      <c r="B81" s="167" t="s">
        <v>30</v>
      </c>
      <c r="C81" s="141" t="str">
        <f t="shared" ref="C81:AG81" si="75">IF(C12=$R32,$V32*24,IF(C12=$R33,$V33*24,IF(C12=$R34,$V34*24,IF(C12=$R35,$V35*24,IF(C12=$R36,$V36*24,IF(C12=$R37,$V37*24,IF(C12=$R38,$V38*24,IF(C12=$R39,$V39*24,IF(C12=$R40,$V40*24,"")))))))))</f>
        <v/>
      </c>
      <c r="D81" s="141" t="str">
        <f t="shared" si="75"/>
        <v/>
      </c>
      <c r="E81" s="141" t="str">
        <f t="shared" si="75"/>
        <v/>
      </c>
      <c r="F81" s="141" t="str">
        <f t="shared" si="75"/>
        <v/>
      </c>
      <c r="G81" s="141" t="str">
        <f t="shared" si="75"/>
        <v/>
      </c>
      <c r="H81" s="141" t="str">
        <f t="shared" si="75"/>
        <v/>
      </c>
      <c r="I81" s="141" t="str">
        <f t="shared" si="75"/>
        <v/>
      </c>
      <c r="J81" s="141" t="str">
        <f t="shared" si="75"/>
        <v/>
      </c>
      <c r="K81" s="141" t="str">
        <f t="shared" si="75"/>
        <v/>
      </c>
      <c r="L81" s="141" t="str">
        <f t="shared" si="75"/>
        <v/>
      </c>
      <c r="M81" s="141" t="str">
        <f t="shared" si="75"/>
        <v/>
      </c>
      <c r="N81" s="141" t="str">
        <f t="shared" si="75"/>
        <v/>
      </c>
      <c r="O81" s="141" t="str">
        <f t="shared" si="75"/>
        <v/>
      </c>
      <c r="P81" s="141" t="str">
        <f t="shared" si="75"/>
        <v/>
      </c>
      <c r="Q81" s="141" t="str">
        <f t="shared" si="75"/>
        <v/>
      </c>
      <c r="R81" s="141" t="str">
        <f t="shared" si="75"/>
        <v/>
      </c>
      <c r="S81" s="141" t="str">
        <f t="shared" si="75"/>
        <v/>
      </c>
      <c r="T81" s="141" t="str">
        <f t="shared" si="75"/>
        <v/>
      </c>
      <c r="U81" s="141" t="str">
        <f t="shared" si="75"/>
        <v/>
      </c>
      <c r="V81" s="141" t="str">
        <f t="shared" si="75"/>
        <v/>
      </c>
      <c r="W81" s="141" t="str">
        <f t="shared" si="75"/>
        <v/>
      </c>
      <c r="X81" s="141" t="str">
        <f t="shared" si="75"/>
        <v/>
      </c>
      <c r="Y81" s="141" t="str">
        <f t="shared" si="75"/>
        <v/>
      </c>
      <c r="Z81" s="141" t="str">
        <f t="shared" si="75"/>
        <v/>
      </c>
      <c r="AA81" s="141" t="str">
        <f t="shared" si="75"/>
        <v/>
      </c>
      <c r="AB81" s="141" t="str">
        <f t="shared" si="75"/>
        <v/>
      </c>
      <c r="AC81" s="141" t="str">
        <f t="shared" si="75"/>
        <v/>
      </c>
      <c r="AD81" s="141" t="str">
        <f t="shared" si="75"/>
        <v/>
      </c>
      <c r="AE81" s="141" t="str">
        <f t="shared" si="75"/>
        <v/>
      </c>
      <c r="AF81" s="141" t="str">
        <f t="shared" si="75"/>
        <v/>
      </c>
      <c r="AG81" s="141" t="str">
        <f t="shared" si="75"/>
        <v/>
      </c>
      <c r="AH81" s="154" t="s">
        <v>12</v>
      </c>
      <c r="AI81" s="133"/>
      <c r="AJ81" s="170"/>
      <c r="AK81" s="133"/>
      <c r="AL81" s="133"/>
    </row>
    <row r="82" spans="1:38" ht="15.95" hidden="1" customHeight="1" x14ac:dyDescent="0.25">
      <c r="A82" s="153"/>
      <c r="B82" s="168" t="s">
        <v>34</v>
      </c>
      <c r="C82" s="169" t="str">
        <f t="shared" ref="C82:AD82" si="76">IF(C12=$R32,$BD32*24,IF(C12=$R33,$BD33*24,IF(C12=$R34,$BD34*24,IF(C12=$R35,$BD35*24,IF(C12=$R36,$BD36*24,IF(C12=$R37,$BD37*24,IF(C12=$R38,$BD38*24,IF(C12=$R39,$BD39*24,IF(C12=$R40,$BD40*24,"")))))))))</f>
        <v/>
      </c>
      <c r="D82" s="169" t="str">
        <f t="shared" si="76"/>
        <v/>
      </c>
      <c r="E82" s="169" t="str">
        <f t="shared" si="76"/>
        <v/>
      </c>
      <c r="F82" s="169" t="str">
        <f t="shared" si="76"/>
        <v/>
      </c>
      <c r="G82" s="169" t="str">
        <f t="shared" si="76"/>
        <v/>
      </c>
      <c r="H82" s="169" t="str">
        <f t="shared" si="76"/>
        <v/>
      </c>
      <c r="I82" s="169" t="str">
        <f t="shared" si="76"/>
        <v/>
      </c>
      <c r="J82" s="169" t="str">
        <f t="shared" si="76"/>
        <v/>
      </c>
      <c r="K82" s="169" t="str">
        <f t="shared" si="76"/>
        <v/>
      </c>
      <c r="L82" s="169" t="str">
        <f t="shared" si="76"/>
        <v/>
      </c>
      <c r="M82" s="169" t="str">
        <f t="shared" si="76"/>
        <v/>
      </c>
      <c r="N82" s="169" t="str">
        <f t="shared" si="76"/>
        <v/>
      </c>
      <c r="O82" s="169" t="str">
        <f t="shared" si="76"/>
        <v/>
      </c>
      <c r="P82" s="169" t="str">
        <f t="shared" si="76"/>
        <v/>
      </c>
      <c r="Q82" s="169" t="str">
        <f t="shared" si="76"/>
        <v/>
      </c>
      <c r="R82" s="169" t="str">
        <f t="shared" si="76"/>
        <v/>
      </c>
      <c r="S82" s="169" t="str">
        <f t="shared" si="76"/>
        <v/>
      </c>
      <c r="T82" s="169" t="str">
        <f t="shared" si="76"/>
        <v/>
      </c>
      <c r="U82" s="169" t="str">
        <f t="shared" si="76"/>
        <v/>
      </c>
      <c r="V82" s="169" t="str">
        <f t="shared" si="76"/>
        <v/>
      </c>
      <c r="W82" s="169" t="str">
        <f t="shared" si="76"/>
        <v/>
      </c>
      <c r="X82" s="169" t="str">
        <f t="shared" si="76"/>
        <v/>
      </c>
      <c r="Y82" s="169" t="str">
        <f t="shared" si="76"/>
        <v/>
      </c>
      <c r="Z82" s="169" t="str">
        <f t="shared" si="76"/>
        <v/>
      </c>
      <c r="AA82" s="169" t="str">
        <f t="shared" si="76"/>
        <v/>
      </c>
      <c r="AB82" s="169" t="str">
        <f t="shared" si="76"/>
        <v/>
      </c>
      <c r="AC82" s="169" t="str">
        <f t="shared" si="76"/>
        <v/>
      </c>
      <c r="AD82" s="169" t="str">
        <f t="shared" si="76"/>
        <v/>
      </c>
      <c r="AE82" s="169" t="str">
        <f>IF(AE12=$R32,$BD32*24,IF(AE12=$R33,$BD33*24,IF(AE12=$R34,$BD34*24,IF(AE12=$R35,$BD35*24,IF(AE12=$R36,$BD36*24,IF(AE12=$R37,$BD37*24,IF(AE12=$R38,$BD38*24,IF(AE12=$R39,$BD39*24,IF(AE12=$R40,$BD40*24,"")))))))))</f>
        <v/>
      </c>
      <c r="AF82" s="169" t="str">
        <f>IF(AF12=$R32,$BD32*24,IF(AF12=$R33,$BD33*24,IF(AF12=$R34,$BD34*24,IF(AF12=$R35,$BD35*24,IF(AF12=$R36,$BD36*24,IF(AF12=$R37,$BD37*24,IF(AF12=$R38,$BD38*24,IF(AF12=$R39,$BD39*24,IF(AF12=$R40,$BD40*24,"")))))))))</f>
        <v/>
      </c>
      <c r="AG82" s="169" t="str">
        <f>IF(AG12=$R32,$BD32*24,IF(AG12=$R33,$BD33*24,IF(AG12=$R34,$BD34*24,IF(AG12=$R35,$BD35*24,IF(AG12=$R36,$BD36*24,IF(AG12=$R37,$BD37*24,IF(AG12=$R38,$BD38*24,IF(AG12=$R39,$BD39*24,IF(AG12=$R40,$BD40*24,"")))))))))</f>
        <v/>
      </c>
      <c r="AH82" s="148">
        <f>SUM(C82:AG82)</f>
        <v>0</v>
      </c>
      <c r="AI82" s="133"/>
      <c r="AJ82" s="170"/>
      <c r="AK82" s="133"/>
      <c r="AL82" s="133"/>
    </row>
    <row r="83" spans="1:38" ht="15.95" hidden="1" customHeight="1" x14ac:dyDescent="0.25">
      <c r="A83" s="153"/>
      <c r="B83" s="167" t="s">
        <v>59</v>
      </c>
      <c r="C83" s="141">
        <f t="shared" ref="C83:AG83" si="77">IF(C12="V",$C36,IF(C12="PR",$C38,0))</f>
        <v>0</v>
      </c>
      <c r="D83" s="141">
        <f t="shared" si="77"/>
        <v>0</v>
      </c>
      <c r="E83" s="141">
        <f t="shared" si="77"/>
        <v>0</v>
      </c>
      <c r="F83" s="141">
        <f t="shared" si="77"/>
        <v>0</v>
      </c>
      <c r="G83" s="141">
        <f t="shared" si="77"/>
        <v>0</v>
      </c>
      <c r="H83" s="141">
        <f t="shared" si="77"/>
        <v>0</v>
      </c>
      <c r="I83" s="141">
        <f t="shared" si="77"/>
        <v>0</v>
      </c>
      <c r="J83" s="141">
        <f t="shared" si="77"/>
        <v>0</v>
      </c>
      <c r="K83" s="141">
        <f t="shared" si="77"/>
        <v>0</v>
      </c>
      <c r="L83" s="141">
        <f t="shared" si="77"/>
        <v>0</v>
      </c>
      <c r="M83" s="141">
        <f t="shared" si="77"/>
        <v>0</v>
      </c>
      <c r="N83" s="141">
        <f t="shared" si="77"/>
        <v>0</v>
      </c>
      <c r="O83" s="141">
        <f t="shared" si="77"/>
        <v>0</v>
      </c>
      <c r="P83" s="141">
        <f t="shared" si="77"/>
        <v>0</v>
      </c>
      <c r="Q83" s="141">
        <f t="shared" si="77"/>
        <v>0</v>
      </c>
      <c r="R83" s="141">
        <f t="shared" si="77"/>
        <v>0</v>
      </c>
      <c r="S83" s="141">
        <f t="shared" si="77"/>
        <v>0</v>
      </c>
      <c r="T83" s="141">
        <f t="shared" si="77"/>
        <v>0</v>
      </c>
      <c r="U83" s="141">
        <f t="shared" si="77"/>
        <v>0</v>
      </c>
      <c r="V83" s="141">
        <f t="shared" si="77"/>
        <v>0</v>
      </c>
      <c r="W83" s="141">
        <f t="shared" si="77"/>
        <v>0</v>
      </c>
      <c r="X83" s="141">
        <f t="shared" si="77"/>
        <v>0</v>
      </c>
      <c r="Y83" s="141">
        <f t="shared" si="77"/>
        <v>0</v>
      </c>
      <c r="Z83" s="141">
        <f t="shared" si="77"/>
        <v>0</v>
      </c>
      <c r="AA83" s="141">
        <f t="shared" si="77"/>
        <v>0</v>
      </c>
      <c r="AB83" s="141">
        <f t="shared" si="77"/>
        <v>0</v>
      </c>
      <c r="AC83" s="141">
        <f t="shared" si="77"/>
        <v>0</v>
      </c>
      <c r="AD83" s="141">
        <f t="shared" si="77"/>
        <v>0</v>
      </c>
      <c r="AE83" s="141">
        <f t="shared" si="77"/>
        <v>0</v>
      </c>
      <c r="AF83" s="141">
        <f t="shared" si="77"/>
        <v>0</v>
      </c>
      <c r="AG83" s="141">
        <f t="shared" si="77"/>
        <v>0</v>
      </c>
      <c r="AH83" s="226">
        <f>SUM(C83:AG83)</f>
        <v>0</v>
      </c>
      <c r="AI83" s="226"/>
      <c r="AJ83" s="170" t="s">
        <v>12</v>
      </c>
      <c r="AK83" s="133"/>
      <c r="AL83" s="133"/>
    </row>
    <row r="84" spans="1:38" ht="15.95" hidden="1" customHeight="1" x14ac:dyDescent="0.25">
      <c r="A84" s="150" t="s">
        <v>60</v>
      </c>
      <c r="B84" s="167" t="s">
        <v>61</v>
      </c>
      <c r="C84" s="151">
        <f t="shared" ref="C84:AD84" si="78">IF(C12=$R32,$BC32,IF(C12=$R33,$BC33,IF(C12=$R34,$BC34,IF(C12=$R35,$BC35,IF(C12=$R36,$BC36,IF(C12=$R37,$BC37,IF(C12=$R38,$BC38,IF(C12=$R39,$BC39,IF(C12=$R40,$BC40,0)))))))))</f>
        <v>0</v>
      </c>
      <c r="D84" s="151">
        <f t="shared" si="78"/>
        <v>0</v>
      </c>
      <c r="E84" s="151">
        <f t="shared" si="78"/>
        <v>0</v>
      </c>
      <c r="F84" s="151">
        <f t="shared" si="78"/>
        <v>0</v>
      </c>
      <c r="G84" s="151">
        <f t="shared" si="78"/>
        <v>0</v>
      </c>
      <c r="H84" s="151">
        <f t="shared" si="78"/>
        <v>0</v>
      </c>
      <c r="I84" s="151">
        <f t="shared" si="78"/>
        <v>0</v>
      </c>
      <c r="J84" s="151">
        <f t="shared" si="78"/>
        <v>0</v>
      </c>
      <c r="K84" s="151">
        <f t="shared" si="78"/>
        <v>0</v>
      </c>
      <c r="L84" s="151">
        <f t="shared" si="78"/>
        <v>0</v>
      </c>
      <c r="M84" s="151">
        <f t="shared" si="78"/>
        <v>0</v>
      </c>
      <c r="N84" s="151">
        <f t="shared" si="78"/>
        <v>0</v>
      </c>
      <c r="O84" s="151">
        <f t="shared" si="78"/>
        <v>0</v>
      </c>
      <c r="P84" s="151">
        <f t="shared" si="78"/>
        <v>0</v>
      </c>
      <c r="Q84" s="151">
        <f t="shared" si="78"/>
        <v>0</v>
      </c>
      <c r="R84" s="151">
        <f t="shared" si="78"/>
        <v>0</v>
      </c>
      <c r="S84" s="151">
        <f t="shared" si="78"/>
        <v>0</v>
      </c>
      <c r="T84" s="151">
        <f t="shared" si="78"/>
        <v>0</v>
      </c>
      <c r="U84" s="151">
        <f t="shared" si="78"/>
        <v>0</v>
      </c>
      <c r="V84" s="151">
        <f t="shared" si="78"/>
        <v>0</v>
      </c>
      <c r="W84" s="151">
        <f t="shared" si="78"/>
        <v>0</v>
      </c>
      <c r="X84" s="151">
        <f t="shared" si="78"/>
        <v>0</v>
      </c>
      <c r="Y84" s="151">
        <f t="shared" si="78"/>
        <v>0</v>
      </c>
      <c r="Z84" s="151">
        <f t="shared" si="78"/>
        <v>0</v>
      </c>
      <c r="AA84" s="151">
        <f t="shared" si="78"/>
        <v>0</v>
      </c>
      <c r="AB84" s="151">
        <f t="shared" si="78"/>
        <v>0</v>
      </c>
      <c r="AC84" s="151">
        <f t="shared" si="78"/>
        <v>0</v>
      </c>
      <c r="AD84" s="151">
        <f t="shared" si="78"/>
        <v>0</v>
      </c>
      <c r="AE84" s="151">
        <f>IF(AE12=$R32,$BC32,IF(AE12=$R33,$BC33,IF(AE12=$R34,$BC34,IF(AE12=$R35,$BC35,IF(AE12=$R36,$BC36,IF(AE12=$R37,$BC37,IF(AE12=$R38,$BC38,IF(AE12=$R39,$BC39,IF(AE12=$R40,$BC40,0)))))))))</f>
        <v>0</v>
      </c>
      <c r="AF84" s="151">
        <f>IF(AF12=$R32,$BC32,IF(AF12=$R33,$BC33,IF(AF12=$R34,$BC34,IF(AF12=$R35,$BC35,IF(AF12=$R36,$BC36,IF(AF12=$R37,$BC37,IF(AF12=$R38,$BC38,IF(AF12=$R39,$BC39,IF(AF12=$R40,$BC40,0)))))))))</f>
        <v>0</v>
      </c>
      <c r="AG84" s="151">
        <f>IF(AG12=$R32,$BC32,IF(AG12=$R33,$BC33,IF(AG12=$R34,$BC34,IF(AG12=$R35,$BC35,IF(AG12=$R36,$BC36,IF(AG12=$R37,$BC37,IF(AG12=$R38,$BC38,IF(AG12=$R39,$BC39,IF(AG12=$R40,$BC40,0)))))))))</f>
        <v>0</v>
      </c>
      <c r="AH84" s="226">
        <f>SUM(C84:AG84)</f>
        <v>0</v>
      </c>
      <c r="AI84" s="226"/>
      <c r="AJ84" s="175" t="s">
        <v>62</v>
      </c>
      <c r="AK84" s="133" t="s">
        <v>12</v>
      </c>
      <c r="AL84" s="133"/>
    </row>
    <row r="85" spans="1:38" ht="15.95" hidden="1" customHeight="1" x14ac:dyDescent="0.25">
      <c r="A85" s="153" t="s">
        <v>48</v>
      </c>
      <c r="B85" s="149" t="s">
        <v>63</v>
      </c>
      <c r="C85" s="141" t="b">
        <f t="shared" ref="C85:AG85" si="79">IF(C46=1,IF(C80&lt;C81,C84,0))</f>
        <v>0</v>
      </c>
      <c r="D85" s="141" t="b">
        <f t="shared" si="79"/>
        <v>0</v>
      </c>
      <c r="E85" s="141" t="b">
        <f t="shared" si="79"/>
        <v>0</v>
      </c>
      <c r="F85" s="141">
        <f t="shared" si="79"/>
        <v>0</v>
      </c>
      <c r="G85" s="141">
        <f t="shared" si="79"/>
        <v>0</v>
      </c>
      <c r="H85" s="141" t="b">
        <f t="shared" si="79"/>
        <v>0</v>
      </c>
      <c r="I85" s="141" t="b">
        <f t="shared" si="79"/>
        <v>0</v>
      </c>
      <c r="J85" s="141" t="b">
        <f t="shared" si="79"/>
        <v>0</v>
      </c>
      <c r="K85" s="141" t="b">
        <f t="shared" si="79"/>
        <v>0</v>
      </c>
      <c r="L85" s="141" t="b">
        <f t="shared" si="79"/>
        <v>0</v>
      </c>
      <c r="M85" s="141">
        <f t="shared" si="79"/>
        <v>0</v>
      </c>
      <c r="N85" s="141">
        <f t="shared" si="79"/>
        <v>0</v>
      </c>
      <c r="O85" s="141" t="b">
        <f t="shared" si="79"/>
        <v>0</v>
      </c>
      <c r="P85" s="141" t="b">
        <f t="shared" si="79"/>
        <v>0</v>
      </c>
      <c r="Q85" s="141" t="b">
        <f t="shared" si="79"/>
        <v>0</v>
      </c>
      <c r="R85" s="141" t="b">
        <f t="shared" si="79"/>
        <v>0</v>
      </c>
      <c r="S85" s="141" t="b">
        <f t="shared" si="79"/>
        <v>0</v>
      </c>
      <c r="T85" s="141">
        <f t="shared" si="79"/>
        <v>0</v>
      </c>
      <c r="U85" s="141">
        <f t="shared" si="79"/>
        <v>0</v>
      </c>
      <c r="V85" s="141" t="b">
        <f t="shared" si="79"/>
        <v>0</v>
      </c>
      <c r="W85" s="141" t="b">
        <f t="shared" si="79"/>
        <v>0</v>
      </c>
      <c r="X85" s="141" t="b">
        <f t="shared" si="79"/>
        <v>0</v>
      </c>
      <c r="Y85" s="141" t="b">
        <f t="shared" si="79"/>
        <v>0</v>
      </c>
      <c r="Z85" s="141" t="b">
        <f t="shared" si="79"/>
        <v>0</v>
      </c>
      <c r="AA85" s="141">
        <f t="shared" si="79"/>
        <v>0</v>
      </c>
      <c r="AB85" s="141">
        <f t="shared" si="79"/>
        <v>0</v>
      </c>
      <c r="AC85" s="141" t="b">
        <f t="shared" si="79"/>
        <v>0</v>
      </c>
      <c r="AD85" s="141" t="b">
        <f t="shared" si="79"/>
        <v>0</v>
      </c>
      <c r="AE85" s="141" t="b">
        <f t="shared" si="79"/>
        <v>0</v>
      </c>
      <c r="AF85" s="141" t="b">
        <f t="shared" si="79"/>
        <v>0</v>
      </c>
      <c r="AG85" s="141" t="b">
        <f t="shared" si="79"/>
        <v>0</v>
      </c>
      <c r="AH85" s="154" t="s">
        <v>12</v>
      </c>
      <c r="AI85" s="133"/>
      <c r="AJ85" s="170"/>
      <c r="AK85" s="133"/>
      <c r="AL85" s="133"/>
    </row>
    <row r="86" spans="1:38" ht="15.95" hidden="1" customHeight="1" x14ac:dyDescent="0.25">
      <c r="A86" s="176"/>
      <c r="B86" s="149" t="s">
        <v>64</v>
      </c>
      <c r="C86" s="141">
        <f t="shared" ref="C86:AG86" si="80">IF(C46=1,IF(C80&gt;C81,24-C80,0),0)</f>
        <v>0</v>
      </c>
      <c r="D86" s="141">
        <f t="shared" si="80"/>
        <v>0</v>
      </c>
      <c r="E86" s="141">
        <f t="shared" si="80"/>
        <v>0</v>
      </c>
      <c r="F86" s="141">
        <f t="shared" si="80"/>
        <v>0</v>
      </c>
      <c r="G86" s="141">
        <f t="shared" si="80"/>
        <v>0</v>
      </c>
      <c r="H86" s="141">
        <f t="shared" si="80"/>
        <v>0</v>
      </c>
      <c r="I86" s="141">
        <f t="shared" si="80"/>
        <v>0</v>
      </c>
      <c r="J86" s="141">
        <f t="shared" si="80"/>
        <v>0</v>
      </c>
      <c r="K86" s="141">
        <f t="shared" si="80"/>
        <v>0</v>
      </c>
      <c r="L86" s="141">
        <f t="shared" si="80"/>
        <v>0</v>
      </c>
      <c r="M86" s="141">
        <f t="shared" si="80"/>
        <v>0</v>
      </c>
      <c r="N86" s="141">
        <f t="shared" si="80"/>
        <v>0</v>
      </c>
      <c r="O86" s="141">
        <f t="shared" si="80"/>
        <v>0</v>
      </c>
      <c r="P86" s="141">
        <f t="shared" si="80"/>
        <v>0</v>
      </c>
      <c r="Q86" s="141">
        <f t="shared" si="80"/>
        <v>0</v>
      </c>
      <c r="R86" s="141">
        <f t="shared" si="80"/>
        <v>0</v>
      </c>
      <c r="S86" s="141">
        <f t="shared" si="80"/>
        <v>0</v>
      </c>
      <c r="T86" s="141">
        <f t="shared" si="80"/>
        <v>0</v>
      </c>
      <c r="U86" s="141">
        <f t="shared" si="80"/>
        <v>0</v>
      </c>
      <c r="V86" s="141">
        <f t="shared" si="80"/>
        <v>0</v>
      </c>
      <c r="W86" s="141">
        <f t="shared" si="80"/>
        <v>0</v>
      </c>
      <c r="X86" s="141">
        <f t="shared" si="80"/>
        <v>0</v>
      </c>
      <c r="Y86" s="141">
        <f t="shared" si="80"/>
        <v>0</v>
      </c>
      <c r="Z86" s="141">
        <f t="shared" si="80"/>
        <v>0</v>
      </c>
      <c r="AA86" s="141">
        <f t="shared" si="80"/>
        <v>0</v>
      </c>
      <c r="AB86" s="141">
        <f t="shared" si="80"/>
        <v>0</v>
      </c>
      <c r="AC86" s="141">
        <f t="shared" si="80"/>
        <v>0</v>
      </c>
      <c r="AD86" s="141">
        <f t="shared" si="80"/>
        <v>0</v>
      </c>
      <c r="AE86" s="141">
        <f t="shared" si="80"/>
        <v>0</v>
      </c>
      <c r="AF86" s="141">
        <f t="shared" si="80"/>
        <v>0</v>
      </c>
      <c r="AG86" s="141">
        <f t="shared" si="80"/>
        <v>0</v>
      </c>
      <c r="AH86" s="154" t="s">
        <v>12</v>
      </c>
      <c r="AI86" s="133"/>
      <c r="AJ86" s="170"/>
      <c r="AK86" s="133"/>
      <c r="AL86" s="133"/>
    </row>
    <row r="87" spans="1:38" ht="15.95" hidden="1" customHeight="1" x14ac:dyDescent="0.25">
      <c r="A87" s="176"/>
      <c r="B87" s="149" t="s">
        <v>65</v>
      </c>
      <c r="C87" s="141">
        <f t="shared" ref="C87:AG87" si="81">IF(D46=1,IF(C80&gt;C81,C81,0),0)</f>
        <v>0</v>
      </c>
      <c r="D87" s="141">
        <f t="shared" si="81"/>
        <v>0</v>
      </c>
      <c r="E87" s="141">
        <f t="shared" si="81"/>
        <v>0</v>
      </c>
      <c r="F87" s="141">
        <f t="shared" si="81"/>
        <v>0</v>
      </c>
      <c r="G87" s="141">
        <f t="shared" si="81"/>
        <v>0</v>
      </c>
      <c r="H87" s="141">
        <f t="shared" si="81"/>
        <v>0</v>
      </c>
      <c r="I87" s="141">
        <f t="shared" si="81"/>
        <v>0</v>
      </c>
      <c r="J87" s="141">
        <f t="shared" si="81"/>
        <v>0</v>
      </c>
      <c r="K87" s="141">
        <f t="shared" si="81"/>
        <v>0</v>
      </c>
      <c r="L87" s="141">
        <f t="shared" si="81"/>
        <v>0</v>
      </c>
      <c r="M87" s="141">
        <f t="shared" si="81"/>
        <v>0</v>
      </c>
      <c r="N87" s="141">
        <f t="shared" si="81"/>
        <v>0</v>
      </c>
      <c r="O87" s="141">
        <f t="shared" si="81"/>
        <v>0</v>
      </c>
      <c r="P87" s="141">
        <f t="shared" si="81"/>
        <v>0</v>
      </c>
      <c r="Q87" s="141">
        <f t="shared" si="81"/>
        <v>0</v>
      </c>
      <c r="R87" s="141">
        <f t="shared" si="81"/>
        <v>0</v>
      </c>
      <c r="S87" s="141">
        <f t="shared" si="81"/>
        <v>0</v>
      </c>
      <c r="T87" s="141">
        <f t="shared" si="81"/>
        <v>0</v>
      </c>
      <c r="U87" s="141">
        <f t="shared" si="81"/>
        <v>0</v>
      </c>
      <c r="V87" s="141">
        <f t="shared" si="81"/>
        <v>0</v>
      </c>
      <c r="W87" s="141">
        <f t="shared" si="81"/>
        <v>0</v>
      </c>
      <c r="X87" s="141">
        <f>IF(Y46=1,IF(X80&gt;X81,X81,0),0)</f>
        <v>0</v>
      </c>
      <c r="Y87" s="141">
        <f t="shared" si="81"/>
        <v>0</v>
      </c>
      <c r="Z87" s="141">
        <f t="shared" si="81"/>
        <v>0</v>
      </c>
      <c r="AA87" s="141">
        <f t="shared" si="81"/>
        <v>0</v>
      </c>
      <c r="AB87" s="141">
        <f t="shared" si="81"/>
        <v>0</v>
      </c>
      <c r="AC87" s="141">
        <f t="shared" si="81"/>
        <v>0</v>
      </c>
      <c r="AD87" s="141">
        <f t="shared" si="81"/>
        <v>0</v>
      </c>
      <c r="AE87" s="141">
        <f t="shared" si="81"/>
        <v>0</v>
      </c>
      <c r="AF87" s="141">
        <f t="shared" si="81"/>
        <v>0</v>
      </c>
      <c r="AG87" s="141">
        <f t="shared" si="81"/>
        <v>0</v>
      </c>
      <c r="AH87" s="154" t="s">
        <v>12</v>
      </c>
      <c r="AI87" s="133"/>
      <c r="AJ87" s="170"/>
      <c r="AK87" s="133"/>
      <c r="AL87" s="133"/>
    </row>
    <row r="88" spans="1:38" ht="15.95" hidden="1" customHeight="1" x14ac:dyDescent="0.25">
      <c r="A88" s="176"/>
      <c r="B88" s="149" t="s">
        <v>67</v>
      </c>
      <c r="C88" s="171">
        <f t="shared" ref="C88:AG88" si="82">SUM(C85:C87)</f>
        <v>0</v>
      </c>
      <c r="D88" s="171">
        <f t="shared" si="82"/>
        <v>0</v>
      </c>
      <c r="E88" s="171">
        <f t="shared" si="82"/>
        <v>0</v>
      </c>
      <c r="F88" s="171">
        <f t="shared" si="82"/>
        <v>0</v>
      </c>
      <c r="G88" s="171">
        <f t="shared" si="82"/>
        <v>0</v>
      </c>
      <c r="H88" s="171">
        <f t="shared" si="82"/>
        <v>0</v>
      </c>
      <c r="I88" s="171">
        <f t="shared" si="82"/>
        <v>0</v>
      </c>
      <c r="J88" s="171">
        <f t="shared" si="82"/>
        <v>0</v>
      </c>
      <c r="K88" s="171">
        <f t="shared" si="82"/>
        <v>0</v>
      </c>
      <c r="L88" s="171">
        <f t="shared" si="82"/>
        <v>0</v>
      </c>
      <c r="M88" s="171">
        <f t="shared" si="82"/>
        <v>0</v>
      </c>
      <c r="N88" s="171">
        <f t="shared" si="82"/>
        <v>0</v>
      </c>
      <c r="O88" s="171">
        <f t="shared" si="82"/>
        <v>0</v>
      </c>
      <c r="P88" s="171">
        <f t="shared" si="82"/>
        <v>0</v>
      </c>
      <c r="Q88" s="171">
        <f t="shared" si="82"/>
        <v>0</v>
      </c>
      <c r="R88" s="171">
        <f t="shared" si="82"/>
        <v>0</v>
      </c>
      <c r="S88" s="171">
        <f t="shared" si="82"/>
        <v>0</v>
      </c>
      <c r="T88" s="171">
        <f t="shared" si="82"/>
        <v>0</v>
      </c>
      <c r="U88" s="171">
        <f t="shared" si="82"/>
        <v>0</v>
      </c>
      <c r="V88" s="171">
        <f t="shared" si="82"/>
        <v>0</v>
      </c>
      <c r="W88" s="171">
        <f t="shared" si="82"/>
        <v>0</v>
      </c>
      <c r="X88" s="171">
        <f t="shared" si="82"/>
        <v>0</v>
      </c>
      <c r="Y88" s="171">
        <f t="shared" si="82"/>
        <v>0</v>
      </c>
      <c r="Z88" s="171">
        <f t="shared" si="82"/>
        <v>0</v>
      </c>
      <c r="AA88" s="171">
        <f t="shared" si="82"/>
        <v>0</v>
      </c>
      <c r="AB88" s="171">
        <f t="shared" si="82"/>
        <v>0</v>
      </c>
      <c r="AC88" s="171">
        <f t="shared" si="82"/>
        <v>0</v>
      </c>
      <c r="AD88" s="171">
        <f t="shared" si="82"/>
        <v>0</v>
      </c>
      <c r="AE88" s="171">
        <f t="shared" si="82"/>
        <v>0</v>
      </c>
      <c r="AF88" s="171">
        <f t="shared" si="82"/>
        <v>0</v>
      </c>
      <c r="AG88" s="171">
        <f t="shared" si="82"/>
        <v>0</v>
      </c>
      <c r="AH88" s="154" t="s">
        <v>12</v>
      </c>
      <c r="AI88" s="133"/>
      <c r="AJ88" s="170"/>
      <c r="AK88" s="133"/>
      <c r="AL88" s="133"/>
    </row>
    <row r="89" spans="1:38" ht="15.95" hidden="1" customHeight="1" x14ac:dyDescent="0.25">
      <c r="A89" s="177"/>
      <c r="B89" s="160" t="s">
        <v>68</v>
      </c>
      <c r="C89" s="161">
        <f t="shared" ref="C89:AG89" si="83">IF(C12="V",IF(C12="",0,1),0)</f>
        <v>0</v>
      </c>
      <c r="D89" s="161">
        <f t="shared" si="83"/>
        <v>0</v>
      </c>
      <c r="E89" s="161">
        <f t="shared" si="83"/>
        <v>0</v>
      </c>
      <c r="F89" s="161">
        <f t="shared" si="83"/>
        <v>0</v>
      </c>
      <c r="G89" s="161">
        <f t="shared" si="83"/>
        <v>0</v>
      </c>
      <c r="H89" s="161">
        <f t="shared" si="83"/>
        <v>0</v>
      </c>
      <c r="I89" s="161">
        <f t="shared" si="83"/>
        <v>0</v>
      </c>
      <c r="J89" s="161">
        <f t="shared" si="83"/>
        <v>0</v>
      </c>
      <c r="K89" s="161">
        <f t="shared" si="83"/>
        <v>0</v>
      </c>
      <c r="L89" s="161">
        <f t="shared" si="83"/>
        <v>0</v>
      </c>
      <c r="M89" s="161">
        <f t="shared" si="83"/>
        <v>0</v>
      </c>
      <c r="N89" s="161">
        <f t="shared" si="83"/>
        <v>0</v>
      </c>
      <c r="O89" s="161">
        <f t="shared" si="83"/>
        <v>0</v>
      </c>
      <c r="P89" s="161">
        <f t="shared" si="83"/>
        <v>0</v>
      </c>
      <c r="Q89" s="161">
        <f t="shared" si="83"/>
        <v>0</v>
      </c>
      <c r="R89" s="161">
        <f t="shared" si="83"/>
        <v>0</v>
      </c>
      <c r="S89" s="161">
        <f t="shared" si="83"/>
        <v>0</v>
      </c>
      <c r="T89" s="161">
        <f t="shared" si="83"/>
        <v>0</v>
      </c>
      <c r="U89" s="161">
        <f t="shared" si="83"/>
        <v>0</v>
      </c>
      <c r="V89" s="161">
        <f t="shared" si="83"/>
        <v>0</v>
      </c>
      <c r="W89" s="161">
        <f t="shared" si="83"/>
        <v>0</v>
      </c>
      <c r="X89" s="161">
        <f t="shared" si="83"/>
        <v>0</v>
      </c>
      <c r="Y89" s="161">
        <f t="shared" si="83"/>
        <v>0</v>
      </c>
      <c r="Z89" s="161">
        <f t="shared" si="83"/>
        <v>0</v>
      </c>
      <c r="AA89" s="161">
        <f t="shared" si="83"/>
        <v>0</v>
      </c>
      <c r="AB89" s="161">
        <f t="shared" si="83"/>
        <v>0</v>
      </c>
      <c r="AC89" s="161">
        <f t="shared" si="83"/>
        <v>0</v>
      </c>
      <c r="AD89" s="161">
        <f t="shared" si="83"/>
        <v>0</v>
      </c>
      <c r="AE89" s="161">
        <f t="shared" si="83"/>
        <v>0</v>
      </c>
      <c r="AF89" s="161">
        <f t="shared" si="83"/>
        <v>0</v>
      </c>
      <c r="AG89" s="161">
        <f t="shared" si="83"/>
        <v>0</v>
      </c>
      <c r="AH89" s="154"/>
      <c r="AI89" s="133"/>
      <c r="AJ89" s="170"/>
      <c r="AK89" s="133"/>
      <c r="AL89" s="133"/>
    </row>
    <row r="90" spans="1:38" ht="15.95" hidden="1" customHeight="1" x14ac:dyDescent="0.25">
      <c r="A90" s="173"/>
      <c r="B90" s="130" t="s">
        <v>16</v>
      </c>
      <c r="C90" s="163">
        <f t="shared" ref="C90:AG90" si="84">IF(C12="PR",IF(C12="",0,1),0)</f>
        <v>0</v>
      </c>
      <c r="D90" s="163">
        <f t="shared" si="84"/>
        <v>0</v>
      </c>
      <c r="E90" s="163">
        <f t="shared" si="84"/>
        <v>0</v>
      </c>
      <c r="F90" s="163">
        <f t="shared" si="84"/>
        <v>0</v>
      </c>
      <c r="G90" s="163">
        <f t="shared" si="84"/>
        <v>0</v>
      </c>
      <c r="H90" s="163">
        <f t="shared" si="84"/>
        <v>0</v>
      </c>
      <c r="I90" s="163">
        <f t="shared" si="84"/>
        <v>0</v>
      </c>
      <c r="J90" s="163">
        <f t="shared" si="84"/>
        <v>0</v>
      </c>
      <c r="K90" s="163">
        <f t="shared" si="84"/>
        <v>0</v>
      </c>
      <c r="L90" s="163">
        <f t="shared" si="84"/>
        <v>0</v>
      </c>
      <c r="M90" s="163">
        <f t="shared" si="84"/>
        <v>0</v>
      </c>
      <c r="N90" s="163">
        <f t="shared" si="84"/>
        <v>0</v>
      </c>
      <c r="O90" s="163">
        <f t="shared" si="84"/>
        <v>0</v>
      </c>
      <c r="P90" s="163">
        <f t="shared" si="84"/>
        <v>0</v>
      </c>
      <c r="Q90" s="163">
        <f t="shared" si="84"/>
        <v>0</v>
      </c>
      <c r="R90" s="163">
        <f t="shared" si="84"/>
        <v>0</v>
      </c>
      <c r="S90" s="163">
        <f t="shared" si="84"/>
        <v>0</v>
      </c>
      <c r="T90" s="163">
        <f t="shared" si="84"/>
        <v>0</v>
      </c>
      <c r="U90" s="163">
        <f t="shared" si="84"/>
        <v>0</v>
      </c>
      <c r="V90" s="163">
        <f t="shared" si="84"/>
        <v>0</v>
      </c>
      <c r="W90" s="163">
        <f t="shared" si="84"/>
        <v>0</v>
      </c>
      <c r="X90" s="163">
        <f t="shared" si="84"/>
        <v>0</v>
      </c>
      <c r="Y90" s="163">
        <f t="shared" si="84"/>
        <v>0</v>
      </c>
      <c r="Z90" s="163">
        <f t="shared" si="84"/>
        <v>0</v>
      </c>
      <c r="AA90" s="163">
        <f t="shared" si="84"/>
        <v>0</v>
      </c>
      <c r="AB90" s="163">
        <f t="shared" si="84"/>
        <v>0</v>
      </c>
      <c r="AC90" s="163">
        <f t="shared" si="84"/>
        <v>0</v>
      </c>
      <c r="AD90" s="163">
        <f t="shared" si="84"/>
        <v>0</v>
      </c>
      <c r="AE90" s="163">
        <f t="shared" si="84"/>
        <v>0</v>
      </c>
      <c r="AF90" s="163">
        <f t="shared" si="84"/>
        <v>0</v>
      </c>
      <c r="AG90" s="163">
        <f t="shared" si="84"/>
        <v>0</v>
      </c>
      <c r="AH90" s="229">
        <f>SUM(C90:AG90)</f>
        <v>0</v>
      </c>
      <c r="AI90" s="229"/>
      <c r="AJ90" s="174" t="s">
        <v>69</v>
      </c>
      <c r="AK90" s="133"/>
      <c r="AL90" s="133"/>
    </row>
    <row r="91" spans="1:38" ht="15.95" hidden="1" customHeight="1" x14ac:dyDescent="0.25">
      <c r="A91" s="164" t="s">
        <v>77</v>
      </c>
      <c r="B91" s="165" t="s">
        <v>29</v>
      </c>
      <c r="C91" s="141" t="str">
        <f t="shared" ref="C91:AG91" si="85">IF(C13=$R32,$S32*24,IF(C13=$R33,$S33*24,IF(C13=$R34,$S34*24,IF(C13=$R35,$S35*24,IF(C13=$R36,$S36*24,IF(C13=$R37,$S37*24,IF(C13=$R38,$S38*24,IF(C13=$R39,$S39*24,IF(C13=$R40,$S40*24,"")))))))))</f>
        <v/>
      </c>
      <c r="D91" s="141" t="str">
        <f t="shared" si="85"/>
        <v/>
      </c>
      <c r="E91" s="141" t="str">
        <f t="shared" si="85"/>
        <v/>
      </c>
      <c r="F91" s="141" t="str">
        <f t="shared" si="85"/>
        <v/>
      </c>
      <c r="G91" s="141" t="str">
        <f t="shared" si="85"/>
        <v/>
      </c>
      <c r="H91" s="141" t="str">
        <f t="shared" si="85"/>
        <v/>
      </c>
      <c r="I91" s="141" t="str">
        <f t="shared" si="85"/>
        <v/>
      </c>
      <c r="J91" s="141" t="str">
        <f t="shared" si="85"/>
        <v/>
      </c>
      <c r="K91" s="141" t="str">
        <f t="shared" si="85"/>
        <v/>
      </c>
      <c r="L91" s="141" t="str">
        <f t="shared" si="85"/>
        <v/>
      </c>
      <c r="M91" s="141" t="str">
        <f t="shared" si="85"/>
        <v/>
      </c>
      <c r="N91" s="141" t="str">
        <f t="shared" si="85"/>
        <v/>
      </c>
      <c r="O91" s="141" t="str">
        <f t="shared" si="85"/>
        <v/>
      </c>
      <c r="P91" s="141" t="str">
        <f t="shared" si="85"/>
        <v/>
      </c>
      <c r="Q91" s="141" t="str">
        <f t="shared" si="85"/>
        <v/>
      </c>
      <c r="R91" s="141" t="str">
        <f t="shared" si="85"/>
        <v/>
      </c>
      <c r="S91" s="141" t="str">
        <f t="shared" si="85"/>
        <v/>
      </c>
      <c r="T91" s="141" t="str">
        <f t="shared" si="85"/>
        <v/>
      </c>
      <c r="U91" s="141" t="str">
        <f t="shared" si="85"/>
        <v/>
      </c>
      <c r="V91" s="141" t="str">
        <f t="shared" si="85"/>
        <v/>
      </c>
      <c r="W91" s="141" t="str">
        <f t="shared" si="85"/>
        <v/>
      </c>
      <c r="X91" s="141" t="str">
        <f t="shared" si="85"/>
        <v/>
      </c>
      <c r="Y91" s="141" t="str">
        <f t="shared" si="85"/>
        <v/>
      </c>
      <c r="Z91" s="141" t="str">
        <f t="shared" si="85"/>
        <v/>
      </c>
      <c r="AA91" s="141" t="str">
        <f t="shared" si="85"/>
        <v/>
      </c>
      <c r="AB91" s="141" t="str">
        <f t="shared" si="85"/>
        <v/>
      </c>
      <c r="AC91" s="141" t="str">
        <f t="shared" si="85"/>
        <v/>
      </c>
      <c r="AD91" s="141" t="str">
        <f t="shared" si="85"/>
        <v/>
      </c>
      <c r="AE91" s="141" t="str">
        <f t="shared" si="85"/>
        <v/>
      </c>
      <c r="AF91" s="141" t="str">
        <f t="shared" si="85"/>
        <v/>
      </c>
      <c r="AG91" s="141" t="str">
        <f t="shared" si="85"/>
        <v/>
      </c>
      <c r="AH91" s="154" t="s">
        <v>12</v>
      </c>
      <c r="AI91" s="133"/>
      <c r="AJ91" s="170"/>
      <c r="AK91" s="133"/>
      <c r="AL91" s="133"/>
    </row>
    <row r="92" spans="1:38" ht="15.95" hidden="1" customHeight="1" x14ac:dyDescent="0.25">
      <c r="A92" s="166" t="s">
        <v>78</v>
      </c>
      <c r="B92" s="167" t="s">
        <v>30</v>
      </c>
      <c r="C92" s="141" t="str">
        <f t="shared" ref="C92:AG92" si="86">IF(C13=$R32,$V32*24,IF(C13=$R33,$V33*24,IF(C13=$R34,$V34*24,IF(C13=$R35,$V35*24,IF(C13=$R36,$V36*24,IF(C13=$R37,$V37*24,IF(C13=$R38,$V38*24,IF(C13=$R39,$V39*24,IF(C13=$R40,$V40*24,"")))))))))</f>
        <v/>
      </c>
      <c r="D92" s="141" t="str">
        <f t="shared" si="86"/>
        <v/>
      </c>
      <c r="E92" s="141" t="str">
        <f t="shared" si="86"/>
        <v/>
      </c>
      <c r="F92" s="141" t="str">
        <f t="shared" si="86"/>
        <v/>
      </c>
      <c r="G92" s="141" t="str">
        <f t="shared" si="86"/>
        <v/>
      </c>
      <c r="H92" s="141" t="str">
        <f t="shared" si="86"/>
        <v/>
      </c>
      <c r="I92" s="141" t="str">
        <f t="shared" si="86"/>
        <v/>
      </c>
      <c r="J92" s="141" t="str">
        <f t="shared" si="86"/>
        <v/>
      </c>
      <c r="K92" s="141" t="str">
        <f t="shared" si="86"/>
        <v/>
      </c>
      <c r="L92" s="141" t="str">
        <f t="shared" si="86"/>
        <v/>
      </c>
      <c r="M92" s="141" t="str">
        <f t="shared" si="86"/>
        <v/>
      </c>
      <c r="N92" s="141" t="str">
        <f t="shared" si="86"/>
        <v/>
      </c>
      <c r="O92" s="141" t="str">
        <f t="shared" si="86"/>
        <v/>
      </c>
      <c r="P92" s="141" t="str">
        <f t="shared" si="86"/>
        <v/>
      </c>
      <c r="Q92" s="141" t="str">
        <f t="shared" si="86"/>
        <v/>
      </c>
      <c r="R92" s="141" t="str">
        <f t="shared" si="86"/>
        <v/>
      </c>
      <c r="S92" s="141" t="str">
        <f t="shared" si="86"/>
        <v/>
      </c>
      <c r="T92" s="141" t="str">
        <f t="shared" si="86"/>
        <v/>
      </c>
      <c r="U92" s="141" t="str">
        <f t="shared" si="86"/>
        <v/>
      </c>
      <c r="V92" s="141" t="str">
        <f t="shared" si="86"/>
        <v/>
      </c>
      <c r="W92" s="141" t="str">
        <f t="shared" si="86"/>
        <v/>
      </c>
      <c r="X92" s="141" t="str">
        <f t="shared" si="86"/>
        <v/>
      </c>
      <c r="Y92" s="141" t="str">
        <f t="shared" si="86"/>
        <v/>
      </c>
      <c r="Z92" s="141" t="str">
        <f t="shared" si="86"/>
        <v/>
      </c>
      <c r="AA92" s="141" t="str">
        <f t="shared" si="86"/>
        <v/>
      </c>
      <c r="AB92" s="141" t="str">
        <f t="shared" si="86"/>
        <v/>
      </c>
      <c r="AC92" s="141" t="str">
        <f t="shared" si="86"/>
        <v/>
      </c>
      <c r="AD92" s="141" t="str">
        <f t="shared" si="86"/>
        <v/>
      </c>
      <c r="AE92" s="141" t="str">
        <f t="shared" si="86"/>
        <v/>
      </c>
      <c r="AF92" s="141" t="str">
        <f t="shared" si="86"/>
        <v/>
      </c>
      <c r="AG92" s="141" t="str">
        <f t="shared" si="86"/>
        <v/>
      </c>
      <c r="AH92" s="154" t="s">
        <v>12</v>
      </c>
      <c r="AI92" s="133"/>
      <c r="AJ92" s="170"/>
      <c r="AK92" s="133"/>
      <c r="AL92" s="133"/>
    </row>
    <row r="93" spans="1:38" ht="15.95" hidden="1" customHeight="1" x14ac:dyDescent="0.25">
      <c r="A93" s="153"/>
      <c r="B93" s="168" t="s">
        <v>34</v>
      </c>
      <c r="C93" s="169" t="str">
        <f t="shared" ref="C93:AD93" si="87">IF(C13=$R32,$BD32*24,IF(C13=$R33,$BD33*24,IF(C13=$R34,$BD34*24,IF(C13=$R35,$BD35*24,IF(C13=$R36,$BD36*24,IF(C13=$R37,$BD37*24,IF(C13=$R38,$BD38*24,IF(C13=$R39,$BD39*24,IF(C13=$R40,$BD40*24,"")))))))))</f>
        <v/>
      </c>
      <c r="D93" s="169" t="str">
        <f t="shared" si="87"/>
        <v/>
      </c>
      <c r="E93" s="169" t="str">
        <f t="shared" si="87"/>
        <v/>
      </c>
      <c r="F93" s="169" t="str">
        <f t="shared" si="87"/>
        <v/>
      </c>
      <c r="G93" s="169" t="str">
        <f t="shared" si="87"/>
        <v/>
      </c>
      <c r="H93" s="169" t="str">
        <f t="shared" si="87"/>
        <v/>
      </c>
      <c r="I93" s="169" t="str">
        <f t="shared" si="87"/>
        <v/>
      </c>
      <c r="J93" s="169" t="str">
        <f t="shared" si="87"/>
        <v/>
      </c>
      <c r="K93" s="169" t="str">
        <f t="shared" si="87"/>
        <v/>
      </c>
      <c r="L93" s="169" t="str">
        <f t="shared" si="87"/>
        <v/>
      </c>
      <c r="M93" s="169" t="str">
        <f t="shared" si="87"/>
        <v/>
      </c>
      <c r="N93" s="169" t="str">
        <f t="shared" si="87"/>
        <v/>
      </c>
      <c r="O93" s="169" t="str">
        <f t="shared" si="87"/>
        <v/>
      </c>
      <c r="P93" s="169" t="str">
        <f t="shared" si="87"/>
        <v/>
      </c>
      <c r="Q93" s="169" t="str">
        <f t="shared" si="87"/>
        <v/>
      </c>
      <c r="R93" s="169" t="str">
        <f t="shared" si="87"/>
        <v/>
      </c>
      <c r="S93" s="169" t="str">
        <f t="shared" si="87"/>
        <v/>
      </c>
      <c r="T93" s="169" t="str">
        <f t="shared" si="87"/>
        <v/>
      </c>
      <c r="U93" s="169" t="str">
        <f t="shared" si="87"/>
        <v/>
      </c>
      <c r="V93" s="169" t="str">
        <f t="shared" si="87"/>
        <v/>
      </c>
      <c r="W93" s="169" t="str">
        <f t="shared" si="87"/>
        <v/>
      </c>
      <c r="X93" s="169" t="str">
        <f t="shared" si="87"/>
        <v/>
      </c>
      <c r="Y93" s="169" t="str">
        <f t="shared" si="87"/>
        <v/>
      </c>
      <c r="Z93" s="169" t="str">
        <f t="shared" si="87"/>
        <v/>
      </c>
      <c r="AA93" s="169" t="str">
        <f t="shared" si="87"/>
        <v/>
      </c>
      <c r="AB93" s="169" t="str">
        <f t="shared" si="87"/>
        <v/>
      </c>
      <c r="AC93" s="169" t="str">
        <f t="shared" si="87"/>
        <v/>
      </c>
      <c r="AD93" s="169" t="str">
        <f t="shared" si="87"/>
        <v/>
      </c>
      <c r="AE93" s="169" t="str">
        <f>IF(AE13=$R32,$BD32*24,IF(AE13=$R33,$BD33*24,IF(AE13=$R34,$BD34*24,IF(AE13=$R35,$BD35*24,IF(AE13=$R36,$BD36*24,IF(AE13=$R37,$BD37*24,IF(AE13=$R38,$BD38*24,IF(AE13=$R39,$BD39*24,IF(AE13=$R40,$BD40*24,"")))))))))</f>
        <v/>
      </c>
      <c r="AF93" s="169" t="str">
        <f>IF(AF13=$R32,$BD32*24,IF(AF13=$R33,$BD33*24,IF(AF13=$R34,$BD34*24,IF(AF13=$R35,$BD35*24,IF(AF13=$R36,$BD36*24,IF(AF13=$R37,$BD37*24,IF(AF13=$R38,$BD38*24,IF(AF13=$R39,$BD39*24,IF(AF13=$R40,$BD40*24,"")))))))))</f>
        <v/>
      </c>
      <c r="AG93" s="169" t="str">
        <f>IF(AG13=$R32,$BD32*24,IF(AG13=$R33,$BD33*24,IF(AG13=$R34,$BD34*24,IF(AG13=$R35,$BD35*24,IF(AG13=$R36,$BD36*24,IF(AG13=$R37,$BD37*24,IF(AG13=$R38,$BD38*24,IF(AG13=$R39,$BD39*24,IF(AG13=$R40,$BD40*24,"")))))))))</f>
        <v/>
      </c>
      <c r="AH93" s="148">
        <f>SUM(C93:AG93)</f>
        <v>0</v>
      </c>
      <c r="AI93" s="133"/>
      <c r="AJ93" s="170"/>
      <c r="AK93" s="133"/>
      <c r="AL93" s="133"/>
    </row>
    <row r="94" spans="1:38" ht="15.95" hidden="1" customHeight="1" x14ac:dyDescent="0.25">
      <c r="A94" s="153"/>
      <c r="B94" s="167" t="s">
        <v>59</v>
      </c>
      <c r="C94" s="141">
        <f t="shared" ref="C94:AG94" si="88">IF(C13="V",$C36,IF(C13="PR",$C38,0))</f>
        <v>0</v>
      </c>
      <c r="D94" s="141">
        <f t="shared" si="88"/>
        <v>0</v>
      </c>
      <c r="E94" s="141">
        <f t="shared" si="88"/>
        <v>0</v>
      </c>
      <c r="F94" s="141">
        <f t="shared" si="88"/>
        <v>0</v>
      </c>
      <c r="G94" s="141">
        <f t="shared" si="88"/>
        <v>0</v>
      </c>
      <c r="H94" s="141">
        <f t="shared" si="88"/>
        <v>0</v>
      </c>
      <c r="I94" s="141">
        <f t="shared" si="88"/>
        <v>0</v>
      </c>
      <c r="J94" s="141">
        <f t="shared" si="88"/>
        <v>0</v>
      </c>
      <c r="K94" s="141">
        <f t="shared" si="88"/>
        <v>0</v>
      </c>
      <c r="L94" s="141">
        <f t="shared" si="88"/>
        <v>0</v>
      </c>
      <c r="M94" s="141">
        <f t="shared" si="88"/>
        <v>0</v>
      </c>
      <c r="N94" s="141">
        <f t="shared" si="88"/>
        <v>0</v>
      </c>
      <c r="O94" s="141">
        <f t="shared" si="88"/>
        <v>0</v>
      </c>
      <c r="P94" s="141">
        <f t="shared" si="88"/>
        <v>0</v>
      </c>
      <c r="Q94" s="141">
        <f t="shared" si="88"/>
        <v>0</v>
      </c>
      <c r="R94" s="141">
        <f t="shared" si="88"/>
        <v>0</v>
      </c>
      <c r="S94" s="141">
        <f t="shared" si="88"/>
        <v>0</v>
      </c>
      <c r="T94" s="141">
        <f t="shared" si="88"/>
        <v>0</v>
      </c>
      <c r="U94" s="141">
        <f t="shared" si="88"/>
        <v>0</v>
      </c>
      <c r="V94" s="141">
        <f t="shared" si="88"/>
        <v>0</v>
      </c>
      <c r="W94" s="141">
        <f t="shared" si="88"/>
        <v>0</v>
      </c>
      <c r="X94" s="141">
        <f t="shared" si="88"/>
        <v>0</v>
      </c>
      <c r="Y94" s="141">
        <f t="shared" si="88"/>
        <v>0</v>
      </c>
      <c r="Z94" s="141">
        <f t="shared" si="88"/>
        <v>0</v>
      </c>
      <c r="AA94" s="141">
        <f t="shared" si="88"/>
        <v>0</v>
      </c>
      <c r="AB94" s="141">
        <f t="shared" si="88"/>
        <v>0</v>
      </c>
      <c r="AC94" s="141">
        <f t="shared" si="88"/>
        <v>0</v>
      </c>
      <c r="AD94" s="141">
        <f t="shared" si="88"/>
        <v>0</v>
      </c>
      <c r="AE94" s="141">
        <f t="shared" si="88"/>
        <v>0</v>
      </c>
      <c r="AF94" s="141">
        <f t="shared" si="88"/>
        <v>0</v>
      </c>
      <c r="AG94" s="141">
        <f t="shared" si="88"/>
        <v>0</v>
      </c>
      <c r="AH94" s="231">
        <f>SUM(C94:AG94)</f>
        <v>0</v>
      </c>
      <c r="AI94" s="231"/>
      <c r="AJ94" s="170" t="s">
        <v>12</v>
      </c>
      <c r="AK94" s="133"/>
      <c r="AL94" s="133"/>
    </row>
    <row r="95" spans="1:38" ht="15.95" hidden="1" customHeight="1" x14ac:dyDescent="0.25">
      <c r="A95" s="150" t="s">
        <v>60</v>
      </c>
      <c r="B95" s="167" t="s">
        <v>61</v>
      </c>
      <c r="C95" s="151">
        <f t="shared" ref="C95:AD95" si="89">IF(C13=$R32,$BC32,IF(C13=$R33,$BC33,IF(C13=$R34,$BC34,IF(C13=$R35,$BC35,IF(C13=$R36,$BC36,IF(C13=$R37,$BC37,IF(C13=$R38,$BC38,IF(C13=$R39,$BC39,IF(C13=$R40,$BC40,0)))))))))</f>
        <v>0</v>
      </c>
      <c r="D95" s="151">
        <f t="shared" si="89"/>
        <v>0</v>
      </c>
      <c r="E95" s="151">
        <f t="shared" si="89"/>
        <v>0</v>
      </c>
      <c r="F95" s="151">
        <f t="shared" si="89"/>
        <v>0</v>
      </c>
      <c r="G95" s="151">
        <f t="shared" si="89"/>
        <v>0</v>
      </c>
      <c r="H95" s="151">
        <f t="shared" si="89"/>
        <v>0</v>
      </c>
      <c r="I95" s="151">
        <f t="shared" si="89"/>
        <v>0</v>
      </c>
      <c r="J95" s="151">
        <f t="shared" si="89"/>
        <v>0</v>
      </c>
      <c r="K95" s="151">
        <f t="shared" si="89"/>
        <v>0</v>
      </c>
      <c r="L95" s="151">
        <f t="shared" si="89"/>
        <v>0</v>
      </c>
      <c r="M95" s="151">
        <f t="shared" si="89"/>
        <v>0</v>
      </c>
      <c r="N95" s="151">
        <f t="shared" si="89"/>
        <v>0</v>
      </c>
      <c r="O95" s="151">
        <f t="shared" si="89"/>
        <v>0</v>
      </c>
      <c r="P95" s="151">
        <f t="shared" si="89"/>
        <v>0</v>
      </c>
      <c r="Q95" s="151">
        <f t="shared" si="89"/>
        <v>0</v>
      </c>
      <c r="R95" s="151">
        <f t="shared" si="89"/>
        <v>0</v>
      </c>
      <c r="S95" s="151">
        <f t="shared" si="89"/>
        <v>0</v>
      </c>
      <c r="T95" s="151">
        <f t="shared" si="89"/>
        <v>0</v>
      </c>
      <c r="U95" s="151">
        <f t="shared" si="89"/>
        <v>0</v>
      </c>
      <c r="V95" s="151">
        <f t="shared" si="89"/>
        <v>0</v>
      </c>
      <c r="W95" s="151">
        <f t="shared" si="89"/>
        <v>0</v>
      </c>
      <c r="X95" s="151">
        <f t="shared" si="89"/>
        <v>0</v>
      </c>
      <c r="Y95" s="151">
        <f t="shared" si="89"/>
        <v>0</v>
      </c>
      <c r="Z95" s="151">
        <f t="shared" si="89"/>
        <v>0</v>
      </c>
      <c r="AA95" s="151">
        <f t="shared" si="89"/>
        <v>0</v>
      </c>
      <c r="AB95" s="151">
        <f t="shared" si="89"/>
        <v>0</v>
      </c>
      <c r="AC95" s="151">
        <f t="shared" si="89"/>
        <v>0</v>
      </c>
      <c r="AD95" s="151">
        <f t="shared" si="89"/>
        <v>0</v>
      </c>
      <c r="AE95" s="151">
        <f>IF(AE13=$R32,$BC32,IF(AE13=$R33,$BC33,IF(AE13=$R34,$BC34,IF(AE13=$R35,$BC35,IF(AE13=$R36,$BC36,IF(AE13=$R37,$BC37,IF(AE13=$R38,$BC38,IF(AE13=$R39,$BC39,IF(AE13=$R40,$BC40,0)))))))))</f>
        <v>0</v>
      </c>
      <c r="AF95" s="151">
        <f>IF(AF13=$R32,$BC32,IF(AF13=$R33,$BC33,IF(AF13=$R34,$BC34,IF(AF13=$R35,$BC35,IF(AF13=$R36,$BC36,IF(AF13=$R37,$BC37,IF(AF13=$R38,$BC38,IF(AF13=$R39,$BC39,IF(AF13=$R40,$BC40,0)))))))))</f>
        <v>0</v>
      </c>
      <c r="AG95" s="151">
        <f>IF(AG13=$R32,$BC32,IF(AG13=$R33,$BC33,IF(AG13=$R34,$BC34,IF(AG13=$R35,$BC35,IF(AG13=$R36,$BC36,IF(AG13=$R37,$BC37,IF(AG13=$R38,$BC38,IF(AG13=$R39,$BC39,IF(AG13=$R40,$BC40,0)))))))))</f>
        <v>0</v>
      </c>
      <c r="AH95" s="226">
        <f>SUM(C95:AG95)</f>
        <v>0</v>
      </c>
      <c r="AI95" s="226"/>
      <c r="AJ95" s="175" t="s">
        <v>62</v>
      </c>
      <c r="AK95" s="133" t="s">
        <v>12</v>
      </c>
      <c r="AL95" s="133"/>
    </row>
    <row r="96" spans="1:38" ht="15.95" hidden="1" customHeight="1" x14ac:dyDescent="0.25">
      <c r="A96" s="153" t="s">
        <v>48</v>
      </c>
      <c r="B96" s="149" t="s">
        <v>63</v>
      </c>
      <c r="C96" s="141" t="b">
        <f t="shared" ref="C96:AG96" si="90">IF(C46=1,IF(C91&lt;C92,C95,0))</f>
        <v>0</v>
      </c>
      <c r="D96" s="141" t="b">
        <f t="shared" si="90"/>
        <v>0</v>
      </c>
      <c r="E96" s="141" t="b">
        <f t="shared" si="90"/>
        <v>0</v>
      </c>
      <c r="F96" s="141">
        <f t="shared" si="90"/>
        <v>0</v>
      </c>
      <c r="G96" s="141">
        <f t="shared" si="90"/>
        <v>0</v>
      </c>
      <c r="H96" s="141" t="b">
        <f t="shared" si="90"/>
        <v>0</v>
      </c>
      <c r="I96" s="141" t="b">
        <f t="shared" si="90"/>
        <v>0</v>
      </c>
      <c r="J96" s="141" t="b">
        <f t="shared" si="90"/>
        <v>0</v>
      </c>
      <c r="K96" s="141" t="b">
        <f t="shared" si="90"/>
        <v>0</v>
      </c>
      <c r="L96" s="141" t="b">
        <f t="shared" si="90"/>
        <v>0</v>
      </c>
      <c r="M96" s="141">
        <f t="shared" si="90"/>
        <v>0</v>
      </c>
      <c r="N96" s="141">
        <f t="shared" si="90"/>
        <v>0</v>
      </c>
      <c r="O96" s="141" t="b">
        <f t="shared" si="90"/>
        <v>0</v>
      </c>
      <c r="P96" s="141" t="b">
        <f t="shared" si="90"/>
        <v>0</v>
      </c>
      <c r="Q96" s="141" t="b">
        <f t="shared" si="90"/>
        <v>0</v>
      </c>
      <c r="R96" s="141" t="b">
        <f t="shared" si="90"/>
        <v>0</v>
      </c>
      <c r="S96" s="141" t="b">
        <f t="shared" si="90"/>
        <v>0</v>
      </c>
      <c r="T96" s="141">
        <f t="shared" si="90"/>
        <v>0</v>
      </c>
      <c r="U96" s="141">
        <f t="shared" si="90"/>
        <v>0</v>
      </c>
      <c r="V96" s="141" t="b">
        <f t="shared" si="90"/>
        <v>0</v>
      </c>
      <c r="W96" s="141" t="b">
        <f t="shared" si="90"/>
        <v>0</v>
      </c>
      <c r="X96" s="141" t="b">
        <f t="shared" si="90"/>
        <v>0</v>
      </c>
      <c r="Y96" s="141" t="b">
        <f t="shared" si="90"/>
        <v>0</v>
      </c>
      <c r="Z96" s="141" t="b">
        <f t="shared" si="90"/>
        <v>0</v>
      </c>
      <c r="AA96" s="141">
        <f t="shared" si="90"/>
        <v>0</v>
      </c>
      <c r="AB96" s="141">
        <f t="shared" si="90"/>
        <v>0</v>
      </c>
      <c r="AC96" s="141" t="b">
        <f t="shared" si="90"/>
        <v>0</v>
      </c>
      <c r="AD96" s="141" t="b">
        <f t="shared" si="90"/>
        <v>0</v>
      </c>
      <c r="AE96" s="141" t="b">
        <f t="shared" si="90"/>
        <v>0</v>
      </c>
      <c r="AF96" s="141" t="b">
        <f t="shared" si="90"/>
        <v>0</v>
      </c>
      <c r="AG96" s="141" t="b">
        <f t="shared" si="90"/>
        <v>0</v>
      </c>
      <c r="AH96" s="154" t="s">
        <v>12</v>
      </c>
      <c r="AI96" s="133"/>
      <c r="AJ96" s="170"/>
      <c r="AK96" s="133"/>
      <c r="AL96" s="133"/>
    </row>
    <row r="97" spans="1:57" ht="15.95" hidden="1" customHeight="1" x14ac:dyDescent="0.25">
      <c r="A97" s="176"/>
      <c r="B97" s="149" t="s">
        <v>64</v>
      </c>
      <c r="C97" s="141">
        <f t="shared" ref="C97:AG97" si="91">IF(C46=1,IF(C91&gt;C92,24-C91,0),0)</f>
        <v>0</v>
      </c>
      <c r="D97" s="141">
        <f t="shared" si="91"/>
        <v>0</v>
      </c>
      <c r="E97" s="141">
        <f t="shared" si="91"/>
        <v>0</v>
      </c>
      <c r="F97" s="141">
        <f t="shared" si="91"/>
        <v>0</v>
      </c>
      <c r="G97" s="141">
        <f t="shared" si="91"/>
        <v>0</v>
      </c>
      <c r="H97" s="141">
        <f t="shared" si="91"/>
        <v>0</v>
      </c>
      <c r="I97" s="141">
        <f t="shared" si="91"/>
        <v>0</v>
      </c>
      <c r="J97" s="141">
        <f t="shared" si="91"/>
        <v>0</v>
      </c>
      <c r="K97" s="141">
        <f t="shared" si="91"/>
        <v>0</v>
      </c>
      <c r="L97" s="141">
        <f t="shared" si="91"/>
        <v>0</v>
      </c>
      <c r="M97" s="141">
        <f t="shared" si="91"/>
        <v>0</v>
      </c>
      <c r="N97" s="141">
        <f t="shared" si="91"/>
        <v>0</v>
      </c>
      <c r="O97" s="141">
        <f t="shared" si="91"/>
        <v>0</v>
      </c>
      <c r="P97" s="141">
        <f t="shared" si="91"/>
        <v>0</v>
      </c>
      <c r="Q97" s="141">
        <f t="shared" si="91"/>
        <v>0</v>
      </c>
      <c r="R97" s="141">
        <f t="shared" si="91"/>
        <v>0</v>
      </c>
      <c r="S97" s="141">
        <f t="shared" si="91"/>
        <v>0</v>
      </c>
      <c r="T97" s="141">
        <f t="shared" si="91"/>
        <v>0</v>
      </c>
      <c r="U97" s="141">
        <f t="shared" si="91"/>
        <v>0</v>
      </c>
      <c r="V97" s="141">
        <f t="shared" si="91"/>
        <v>0</v>
      </c>
      <c r="W97" s="141">
        <f t="shared" si="91"/>
        <v>0</v>
      </c>
      <c r="X97" s="141">
        <f t="shared" si="91"/>
        <v>0</v>
      </c>
      <c r="Y97" s="141">
        <f t="shared" si="91"/>
        <v>0</v>
      </c>
      <c r="Z97" s="141">
        <f t="shared" si="91"/>
        <v>0</v>
      </c>
      <c r="AA97" s="141">
        <f t="shared" si="91"/>
        <v>0</v>
      </c>
      <c r="AB97" s="141">
        <f t="shared" si="91"/>
        <v>0</v>
      </c>
      <c r="AC97" s="141">
        <f t="shared" si="91"/>
        <v>0</v>
      </c>
      <c r="AD97" s="141">
        <f t="shared" si="91"/>
        <v>0</v>
      </c>
      <c r="AE97" s="141">
        <f t="shared" si="91"/>
        <v>0</v>
      </c>
      <c r="AF97" s="141">
        <f t="shared" si="91"/>
        <v>0</v>
      </c>
      <c r="AG97" s="141">
        <f t="shared" si="91"/>
        <v>0</v>
      </c>
      <c r="AH97" s="154" t="s">
        <v>12</v>
      </c>
      <c r="AI97" s="133"/>
      <c r="AJ97" s="170"/>
      <c r="AK97" s="133"/>
      <c r="AL97" s="133"/>
    </row>
    <row r="98" spans="1:57" ht="15.95" hidden="1" customHeight="1" x14ac:dyDescent="0.25">
      <c r="A98" s="176"/>
      <c r="B98" s="149" t="s">
        <v>65</v>
      </c>
      <c r="C98" s="141">
        <f t="shared" ref="C98:AG98" si="92">IF(D46=1,IF(C91&gt;C92,C92,0),0)</f>
        <v>0</v>
      </c>
      <c r="D98" s="141">
        <f t="shared" si="92"/>
        <v>0</v>
      </c>
      <c r="E98" s="141">
        <f t="shared" si="92"/>
        <v>0</v>
      </c>
      <c r="F98" s="141">
        <f t="shared" si="92"/>
        <v>0</v>
      </c>
      <c r="G98" s="141">
        <f t="shared" si="92"/>
        <v>0</v>
      </c>
      <c r="H98" s="141">
        <f t="shared" si="92"/>
        <v>0</v>
      </c>
      <c r="I98" s="141">
        <f t="shared" si="92"/>
        <v>0</v>
      </c>
      <c r="J98" s="141">
        <f t="shared" si="92"/>
        <v>0</v>
      </c>
      <c r="K98" s="141">
        <f t="shared" si="92"/>
        <v>0</v>
      </c>
      <c r="L98" s="141">
        <f t="shared" si="92"/>
        <v>0</v>
      </c>
      <c r="M98" s="141">
        <f t="shared" si="92"/>
        <v>0</v>
      </c>
      <c r="N98" s="141">
        <f t="shared" si="92"/>
        <v>0</v>
      </c>
      <c r="O98" s="141">
        <f t="shared" si="92"/>
        <v>0</v>
      </c>
      <c r="P98" s="141">
        <f t="shared" si="92"/>
        <v>0</v>
      </c>
      <c r="Q98" s="141">
        <f t="shared" si="92"/>
        <v>0</v>
      </c>
      <c r="R98" s="141">
        <f t="shared" si="92"/>
        <v>0</v>
      </c>
      <c r="S98" s="141">
        <f t="shared" si="92"/>
        <v>0</v>
      </c>
      <c r="T98" s="141">
        <f t="shared" si="92"/>
        <v>0</v>
      </c>
      <c r="U98" s="141">
        <f t="shared" si="92"/>
        <v>0</v>
      </c>
      <c r="V98" s="141">
        <f t="shared" si="92"/>
        <v>0</v>
      </c>
      <c r="W98" s="141">
        <f t="shared" si="92"/>
        <v>0</v>
      </c>
      <c r="X98" s="141">
        <f>IF(Y46=1,IF(X91&gt;X92,X92,0),0)</f>
        <v>0</v>
      </c>
      <c r="Y98" s="141">
        <f t="shared" si="92"/>
        <v>0</v>
      </c>
      <c r="Z98" s="141">
        <f t="shared" si="92"/>
        <v>0</v>
      </c>
      <c r="AA98" s="141">
        <f t="shared" si="92"/>
        <v>0</v>
      </c>
      <c r="AB98" s="141">
        <f t="shared" si="92"/>
        <v>0</v>
      </c>
      <c r="AC98" s="141">
        <f t="shared" si="92"/>
        <v>0</v>
      </c>
      <c r="AD98" s="141">
        <f t="shared" si="92"/>
        <v>0</v>
      </c>
      <c r="AE98" s="141">
        <f t="shared" si="92"/>
        <v>0</v>
      </c>
      <c r="AF98" s="141">
        <f t="shared" si="92"/>
        <v>0</v>
      </c>
      <c r="AG98" s="141">
        <f t="shared" si="92"/>
        <v>0</v>
      </c>
      <c r="AH98" s="154" t="s">
        <v>12</v>
      </c>
      <c r="AI98" s="133"/>
      <c r="AJ98" s="170"/>
      <c r="AK98" s="133"/>
      <c r="AL98" s="133"/>
    </row>
    <row r="99" spans="1:57" ht="15.95" hidden="1" customHeight="1" x14ac:dyDescent="0.25">
      <c r="A99" s="176"/>
      <c r="B99" s="149" t="s">
        <v>67</v>
      </c>
      <c r="C99" s="178">
        <f t="shared" ref="C99:AG99" si="93">SUM(C96:C98)</f>
        <v>0</v>
      </c>
      <c r="D99" s="178">
        <f t="shared" si="93"/>
        <v>0</v>
      </c>
      <c r="E99" s="178">
        <f t="shared" si="93"/>
        <v>0</v>
      </c>
      <c r="F99" s="178">
        <f t="shared" si="93"/>
        <v>0</v>
      </c>
      <c r="G99" s="178">
        <f t="shared" si="93"/>
        <v>0</v>
      </c>
      <c r="H99" s="178">
        <f t="shared" si="93"/>
        <v>0</v>
      </c>
      <c r="I99" s="178">
        <f t="shared" si="93"/>
        <v>0</v>
      </c>
      <c r="J99" s="178">
        <f t="shared" si="93"/>
        <v>0</v>
      </c>
      <c r="K99" s="178">
        <f t="shared" si="93"/>
        <v>0</v>
      </c>
      <c r="L99" s="178">
        <f t="shared" si="93"/>
        <v>0</v>
      </c>
      <c r="M99" s="178">
        <f t="shared" si="93"/>
        <v>0</v>
      </c>
      <c r="N99" s="178">
        <f t="shared" si="93"/>
        <v>0</v>
      </c>
      <c r="O99" s="178">
        <f t="shared" si="93"/>
        <v>0</v>
      </c>
      <c r="P99" s="178">
        <f t="shared" si="93"/>
        <v>0</v>
      </c>
      <c r="Q99" s="178">
        <f t="shared" si="93"/>
        <v>0</v>
      </c>
      <c r="R99" s="178">
        <f t="shared" si="93"/>
        <v>0</v>
      </c>
      <c r="S99" s="178">
        <f t="shared" si="93"/>
        <v>0</v>
      </c>
      <c r="T99" s="178">
        <f t="shared" si="93"/>
        <v>0</v>
      </c>
      <c r="U99" s="178">
        <f t="shared" si="93"/>
        <v>0</v>
      </c>
      <c r="V99" s="178">
        <f t="shared" si="93"/>
        <v>0</v>
      </c>
      <c r="W99" s="178">
        <f t="shared" si="93"/>
        <v>0</v>
      </c>
      <c r="X99" s="178">
        <f t="shared" si="93"/>
        <v>0</v>
      </c>
      <c r="Y99" s="178">
        <f t="shared" si="93"/>
        <v>0</v>
      </c>
      <c r="Z99" s="178">
        <f t="shared" si="93"/>
        <v>0</v>
      </c>
      <c r="AA99" s="178">
        <f t="shared" si="93"/>
        <v>0</v>
      </c>
      <c r="AB99" s="178">
        <f t="shared" si="93"/>
        <v>0</v>
      </c>
      <c r="AC99" s="178">
        <f t="shared" si="93"/>
        <v>0</v>
      </c>
      <c r="AD99" s="178">
        <f t="shared" si="93"/>
        <v>0</v>
      </c>
      <c r="AE99" s="178">
        <f t="shared" si="93"/>
        <v>0</v>
      </c>
      <c r="AF99" s="178">
        <f t="shared" si="93"/>
        <v>0</v>
      </c>
      <c r="AG99" s="178">
        <f t="shared" si="93"/>
        <v>0</v>
      </c>
      <c r="AH99" s="154" t="s">
        <v>12</v>
      </c>
      <c r="AI99" s="133"/>
      <c r="AJ99" s="170"/>
      <c r="AK99" s="133"/>
      <c r="AL99" s="133"/>
    </row>
    <row r="100" spans="1:57" ht="15.95" hidden="1" customHeight="1" x14ac:dyDescent="0.25">
      <c r="A100" s="177"/>
      <c r="B100" s="160" t="s">
        <v>68</v>
      </c>
      <c r="C100" s="161">
        <f t="shared" ref="C100:AG100" si="94">IF(C13="V",IF(C13="",0,1),0)</f>
        <v>0</v>
      </c>
      <c r="D100" s="161">
        <f t="shared" si="94"/>
        <v>0</v>
      </c>
      <c r="E100" s="161">
        <f t="shared" si="94"/>
        <v>0</v>
      </c>
      <c r="F100" s="161">
        <f t="shared" si="94"/>
        <v>0</v>
      </c>
      <c r="G100" s="161">
        <f t="shared" si="94"/>
        <v>0</v>
      </c>
      <c r="H100" s="161">
        <f t="shared" si="94"/>
        <v>0</v>
      </c>
      <c r="I100" s="161">
        <f t="shared" si="94"/>
        <v>0</v>
      </c>
      <c r="J100" s="161">
        <f t="shared" si="94"/>
        <v>0</v>
      </c>
      <c r="K100" s="161">
        <f t="shared" si="94"/>
        <v>0</v>
      </c>
      <c r="L100" s="161">
        <f t="shared" si="94"/>
        <v>0</v>
      </c>
      <c r="M100" s="161">
        <f t="shared" si="94"/>
        <v>0</v>
      </c>
      <c r="N100" s="161">
        <f t="shared" si="94"/>
        <v>0</v>
      </c>
      <c r="O100" s="161">
        <f t="shared" si="94"/>
        <v>0</v>
      </c>
      <c r="P100" s="161">
        <f t="shared" si="94"/>
        <v>0</v>
      </c>
      <c r="Q100" s="161">
        <f t="shared" si="94"/>
        <v>0</v>
      </c>
      <c r="R100" s="161">
        <f t="shared" si="94"/>
        <v>0</v>
      </c>
      <c r="S100" s="161">
        <f t="shared" si="94"/>
        <v>0</v>
      </c>
      <c r="T100" s="161">
        <f t="shared" si="94"/>
        <v>0</v>
      </c>
      <c r="U100" s="161">
        <f t="shared" si="94"/>
        <v>0</v>
      </c>
      <c r="V100" s="161">
        <f t="shared" si="94"/>
        <v>0</v>
      </c>
      <c r="W100" s="161">
        <f t="shared" si="94"/>
        <v>0</v>
      </c>
      <c r="X100" s="161">
        <f t="shared" si="94"/>
        <v>0</v>
      </c>
      <c r="Y100" s="161">
        <f t="shared" si="94"/>
        <v>0</v>
      </c>
      <c r="Z100" s="161">
        <f t="shared" si="94"/>
        <v>0</v>
      </c>
      <c r="AA100" s="161">
        <f t="shared" si="94"/>
        <v>0</v>
      </c>
      <c r="AB100" s="161">
        <f t="shared" si="94"/>
        <v>0</v>
      </c>
      <c r="AC100" s="161">
        <f t="shared" si="94"/>
        <v>0</v>
      </c>
      <c r="AD100" s="161">
        <f t="shared" si="94"/>
        <v>0</v>
      </c>
      <c r="AE100" s="161">
        <f t="shared" si="94"/>
        <v>0</v>
      </c>
      <c r="AF100" s="161">
        <f t="shared" si="94"/>
        <v>0</v>
      </c>
      <c r="AG100" s="161">
        <f t="shared" si="94"/>
        <v>0</v>
      </c>
      <c r="AH100" s="154" t="s">
        <v>12</v>
      </c>
      <c r="AI100" s="133"/>
      <c r="AJ100" s="170"/>
      <c r="AK100" s="133"/>
      <c r="AL100" s="133"/>
    </row>
    <row r="101" spans="1:57" ht="15.95" hidden="1" customHeight="1" x14ac:dyDescent="0.25">
      <c r="A101" s="173"/>
      <c r="B101" s="130" t="s">
        <v>16</v>
      </c>
      <c r="C101" s="179">
        <f t="shared" ref="C101:AG101" si="95">IF(C13="PR",IF(C13="",0,1),0)</f>
        <v>0</v>
      </c>
      <c r="D101" s="179">
        <f t="shared" si="95"/>
        <v>0</v>
      </c>
      <c r="E101" s="179">
        <f t="shared" si="95"/>
        <v>0</v>
      </c>
      <c r="F101" s="179">
        <f t="shared" si="95"/>
        <v>0</v>
      </c>
      <c r="G101" s="179">
        <f t="shared" si="95"/>
        <v>0</v>
      </c>
      <c r="H101" s="179">
        <f t="shared" si="95"/>
        <v>0</v>
      </c>
      <c r="I101" s="179">
        <f t="shared" si="95"/>
        <v>0</v>
      </c>
      <c r="J101" s="179">
        <f t="shared" si="95"/>
        <v>0</v>
      </c>
      <c r="K101" s="179">
        <f t="shared" si="95"/>
        <v>0</v>
      </c>
      <c r="L101" s="179">
        <f t="shared" si="95"/>
        <v>0</v>
      </c>
      <c r="M101" s="179">
        <f t="shared" si="95"/>
        <v>0</v>
      </c>
      <c r="N101" s="179">
        <f t="shared" si="95"/>
        <v>0</v>
      </c>
      <c r="O101" s="179">
        <f t="shared" si="95"/>
        <v>0</v>
      </c>
      <c r="P101" s="179">
        <f t="shared" si="95"/>
        <v>0</v>
      </c>
      <c r="Q101" s="179">
        <f t="shared" si="95"/>
        <v>0</v>
      </c>
      <c r="R101" s="179">
        <f t="shared" si="95"/>
        <v>0</v>
      </c>
      <c r="S101" s="179">
        <f t="shared" si="95"/>
        <v>0</v>
      </c>
      <c r="T101" s="179">
        <f t="shared" si="95"/>
        <v>0</v>
      </c>
      <c r="U101" s="179">
        <f t="shared" si="95"/>
        <v>0</v>
      </c>
      <c r="V101" s="179">
        <f t="shared" si="95"/>
        <v>0</v>
      </c>
      <c r="W101" s="179">
        <f t="shared" si="95"/>
        <v>0</v>
      </c>
      <c r="X101" s="179">
        <f t="shared" si="95"/>
        <v>0</v>
      </c>
      <c r="Y101" s="179">
        <f t="shared" si="95"/>
        <v>0</v>
      </c>
      <c r="Z101" s="179">
        <f t="shared" si="95"/>
        <v>0</v>
      </c>
      <c r="AA101" s="179">
        <f t="shared" si="95"/>
        <v>0</v>
      </c>
      <c r="AB101" s="179">
        <f t="shared" si="95"/>
        <v>0</v>
      </c>
      <c r="AC101" s="179">
        <f t="shared" si="95"/>
        <v>0</v>
      </c>
      <c r="AD101" s="179">
        <f t="shared" si="95"/>
        <v>0</v>
      </c>
      <c r="AE101" s="179">
        <f t="shared" si="95"/>
        <v>0</v>
      </c>
      <c r="AF101" s="179">
        <f t="shared" si="95"/>
        <v>0</v>
      </c>
      <c r="AG101" s="179">
        <f t="shared" si="95"/>
        <v>0</v>
      </c>
      <c r="AH101" s="229">
        <f>SUM(C101:AG101)</f>
        <v>0</v>
      </c>
      <c r="AI101" s="229"/>
      <c r="AJ101" s="174" t="s">
        <v>69</v>
      </c>
      <c r="AK101" s="133"/>
      <c r="AL101" s="133"/>
    </row>
    <row r="102" spans="1:57" ht="15.95" hidden="1" customHeight="1" x14ac:dyDescent="0.25">
      <c r="A102" s="164" t="s">
        <v>79</v>
      </c>
      <c r="B102" s="165" t="s">
        <v>29</v>
      </c>
      <c r="C102" s="141" t="str">
        <f t="shared" ref="C102:AG102" si="96">IF(C14=$R32,$S32*24,IF(C14=$R33,$S33*24,IF(C14=$R34,$S34*24,IF(C14=$R35,$S35*24,IF(C14=$R36,$S36*24,IF(C14=$R37,$S37*24,IF(C14=$R38,$S38*24,IF(C14=$R39,$S39*24,IF(C14=$R40,$S40*24,"")))))))))</f>
        <v/>
      </c>
      <c r="D102" s="141" t="str">
        <f t="shared" si="96"/>
        <v/>
      </c>
      <c r="E102" s="141" t="str">
        <f t="shared" si="96"/>
        <v/>
      </c>
      <c r="F102" s="141" t="str">
        <f t="shared" si="96"/>
        <v/>
      </c>
      <c r="G102" s="141" t="str">
        <f t="shared" si="96"/>
        <v/>
      </c>
      <c r="H102" s="141" t="str">
        <f t="shared" si="96"/>
        <v/>
      </c>
      <c r="I102" s="141" t="str">
        <f t="shared" si="96"/>
        <v/>
      </c>
      <c r="J102" s="141" t="str">
        <f t="shared" si="96"/>
        <v/>
      </c>
      <c r="K102" s="141" t="str">
        <f t="shared" si="96"/>
        <v/>
      </c>
      <c r="L102" s="141" t="str">
        <f t="shared" si="96"/>
        <v/>
      </c>
      <c r="M102" s="141" t="str">
        <f t="shared" si="96"/>
        <v/>
      </c>
      <c r="N102" s="141" t="str">
        <f t="shared" si="96"/>
        <v/>
      </c>
      <c r="O102" s="141" t="str">
        <f t="shared" si="96"/>
        <v/>
      </c>
      <c r="P102" s="141" t="str">
        <f t="shared" si="96"/>
        <v/>
      </c>
      <c r="Q102" s="141" t="str">
        <f t="shared" si="96"/>
        <v/>
      </c>
      <c r="R102" s="141" t="str">
        <f t="shared" si="96"/>
        <v/>
      </c>
      <c r="S102" s="141" t="str">
        <f t="shared" si="96"/>
        <v/>
      </c>
      <c r="T102" s="141" t="str">
        <f t="shared" si="96"/>
        <v/>
      </c>
      <c r="U102" s="141" t="str">
        <f t="shared" si="96"/>
        <v/>
      </c>
      <c r="V102" s="141" t="str">
        <f t="shared" si="96"/>
        <v/>
      </c>
      <c r="W102" s="141" t="str">
        <f t="shared" si="96"/>
        <v/>
      </c>
      <c r="X102" s="141" t="str">
        <f t="shared" si="96"/>
        <v/>
      </c>
      <c r="Y102" s="141" t="str">
        <f t="shared" si="96"/>
        <v/>
      </c>
      <c r="Z102" s="141" t="str">
        <f t="shared" si="96"/>
        <v/>
      </c>
      <c r="AA102" s="141" t="str">
        <f t="shared" si="96"/>
        <v/>
      </c>
      <c r="AB102" s="141" t="str">
        <f t="shared" si="96"/>
        <v/>
      </c>
      <c r="AC102" s="141" t="str">
        <f t="shared" si="96"/>
        <v/>
      </c>
      <c r="AD102" s="141" t="str">
        <f t="shared" si="96"/>
        <v/>
      </c>
      <c r="AE102" s="141" t="str">
        <f t="shared" si="96"/>
        <v/>
      </c>
      <c r="AF102" s="141" t="str">
        <f t="shared" si="96"/>
        <v/>
      </c>
      <c r="AG102" s="141" t="str">
        <f t="shared" si="96"/>
        <v/>
      </c>
      <c r="AH102" s="154" t="s">
        <v>12</v>
      </c>
      <c r="AI102" s="133"/>
      <c r="AJ102" s="170"/>
      <c r="AK102" s="133"/>
      <c r="AL102" s="133"/>
    </row>
    <row r="103" spans="1:57" ht="15.95" hidden="1" customHeight="1" x14ac:dyDescent="0.25">
      <c r="A103" s="166" t="s">
        <v>80</v>
      </c>
      <c r="B103" s="167" t="s">
        <v>30</v>
      </c>
      <c r="C103" s="141" t="str">
        <f t="shared" ref="C103:AG103" si="97">IF(C14=$R32,$V32*24,IF(C14=$R33,$V33*24,IF(C14=$R34,$V34*24,IF(C14=$R35,$V35*24,IF(C14=$R36,$V36*24,IF(C14=$R37,$V37*24,IF(C14=$R38,$V38*24,IF(C14=$R39,$V39*24,IF(C14=$R40,$V40*24,"")))))))))</f>
        <v/>
      </c>
      <c r="D103" s="141" t="str">
        <f t="shared" si="97"/>
        <v/>
      </c>
      <c r="E103" s="141" t="str">
        <f t="shared" si="97"/>
        <v/>
      </c>
      <c r="F103" s="141" t="str">
        <f t="shared" si="97"/>
        <v/>
      </c>
      <c r="G103" s="141" t="str">
        <f t="shared" si="97"/>
        <v/>
      </c>
      <c r="H103" s="141" t="str">
        <f t="shared" si="97"/>
        <v/>
      </c>
      <c r="I103" s="141" t="str">
        <f t="shared" si="97"/>
        <v/>
      </c>
      <c r="J103" s="141" t="str">
        <f t="shared" si="97"/>
        <v/>
      </c>
      <c r="K103" s="141" t="str">
        <f t="shared" si="97"/>
        <v/>
      </c>
      <c r="L103" s="141" t="str">
        <f t="shared" si="97"/>
        <v/>
      </c>
      <c r="M103" s="141" t="str">
        <f t="shared" si="97"/>
        <v/>
      </c>
      <c r="N103" s="141" t="str">
        <f t="shared" si="97"/>
        <v/>
      </c>
      <c r="O103" s="141" t="str">
        <f t="shared" si="97"/>
        <v/>
      </c>
      <c r="P103" s="141" t="str">
        <f t="shared" si="97"/>
        <v/>
      </c>
      <c r="Q103" s="141" t="str">
        <f t="shared" si="97"/>
        <v/>
      </c>
      <c r="R103" s="141" t="str">
        <f t="shared" si="97"/>
        <v/>
      </c>
      <c r="S103" s="141" t="str">
        <f t="shared" si="97"/>
        <v/>
      </c>
      <c r="T103" s="141" t="str">
        <f t="shared" si="97"/>
        <v/>
      </c>
      <c r="U103" s="141" t="str">
        <f t="shared" si="97"/>
        <v/>
      </c>
      <c r="V103" s="141" t="str">
        <f t="shared" si="97"/>
        <v/>
      </c>
      <c r="W103" s="141" t="str">
        <f t="shared" si="97"/>
        <v/>
      </c>
      <c r="X103" s="141" t="str">
        <f t="shared" si="97"/>
        <v/>
      </c>
      <c r="Y103" s="141" t="str">
        <f t="shared" si="97"/>
        <v/>
      </c>
      <c r="Z103" s="141" t="str">
        <f t="shared" si="97"/>
        <v/>
      </c>
      <c r="AA103" s="141" t="str">
        <f t="shared" si="97"/>
        <v/>
      </c>
      <c r="AB103" s="141" t="str">
        <f t="shared" si="97"/>
        <v/>
      </c>
      <c r="AC103" s="141" t="str">
        <f t="shared" si="97"/>
        <v/>
      </c>
      <c r="AD103" s="141" t="str">
        <f t="shared" si="97"/>
        <v/>
      </c>
      <c r="AE103" s="141" t="str">
        <f t="shared" si="97"/>
        <v/>
      </c>
      <c r="AF103" s="141" t="str">
        <f t="shared" si="97"/>
        <v/>
      </c>
      <c r="AG103" s="141" t="str">
        <f t="shared" si="97"/>
        <v/>
      </c>
      <c r="AH103" s="154" t="s">
        <v>12</v>
      </c>
      <c r="AI103" s="133"/>
      <c r="AJ103" s="170"/>
      <c r="AK103" s="133"/>
      <c r="AL103" s="133"/>
    </row>
    <row r="104" spans="1:57" ht="15.95" hidden="1" customHeight="1" x14ac:dyDescent="0.25">
      <c r="A104" s="153"/>
      <c r="B104" s="168" t="s">
        <v>34</v>
      </c>
      <c r="C104" s="169" t="str">
        <f t="shared" ref="C104:AD104" si="98">IF(C14=$R32,$BD32*24,IF(C14=$R33,$BD33*24,IF(C14=$R34,$BD34*24,IF(C14=$R35,$BD35*24,IF(C14=$R36,$BD36*24,IF(C14=$R37,$BD37*24,IF(C14=$R38,$BD38*24,IF(C14=$R39,$BD39*24,IF(C14=$R40,$BD40*24,"")))))))))</f>
        <v/>
      </c>
      <c r="D104" s="169" t="str">
        <f t="shared" si="98"/>
        <v/>
      </c>
      <c r="E104" s="169" t="str">
        <f t="shared" si="98"/>
        <v/>
      </c>
      <c r="F104" s="169" t="str">
        <f t="shared" si="98"/>
        <v/>
      </c>
      <c r="G104" s="169" t="str">
        <f t="shared" si="98"/>
        <v/>
      </c>
      <c r="H104" s="169" t="str">
        <f t="shared" si="98"/>
        <v/>
      </c>
      <c r="I104" s="169" t="str">
        <f t="shared" si="98"/>
        <v/>
      </c>
      <c r="J104" s="169" t="str">
        <f t="shared" si="98"/>
        <v/>
      </c>
      <c r="K104" s="169" t="str">
        <f t="shared" si="98"/>
        <v/>
      </c>
      <c r="L104" s="169" t="str">
        <f t="shared" si="98"/>
        <v/>
      </c>
      <c r="M104" s="169" t="str">
        <f t="shared" si="98"/>
        <v/>
      </c>
      <c r="N104" s="169" t="str">
        <f t="shared" si="98"/>
        <v/>
      </c>
      <c r="O104" s="169" t="str">
        <f t="shared" si="98"/>
        <v/>
      </c>
      <c r="P104" s="169" t="str">
        <f t="shared" si="98"/>
        <v/>
      </c>
      <c r="Q104" s="169" t="str">
        <f t="shared" si="98"/>
        <v/>
      </c>
      <c r="R104" s="169" t="str">
        <f t="shared" si="98"/>
        <v/>
      </c>
      <c r="S104" s="169" t="str">
        <f t="shared" si="98"/>
        <v/>
      </c>
      <c r="T104" s="169" t="str">
        <f t="shared" si="98"/>
        <v/>
      </c>
      <c r="U104" s="169" t="str">
        <f t="shared" si="98"/>
        <v/>
      </c>
      <c r="V104" s="169" t="str">
        <f t="shared" si="98"/>
        <v/>
      </c>
      <c r="W104" s="169" t="str">
        <f t="shared" si="98"/>
        <v/>
      </c>
      <c r="X104" s="169" t="str">
        <f t="shared" si="98"/>
        <v/>
      </c>
      <c r="Y104" s="169" t="str">
        <f t="shared" si="98"/>
        <v/>
      </c>
      <c r="Z104" s="169" t="str">
        <f t="shared" si="98"/>
        <v/>
      </c>
      <c r="AA104" s="169" t="str">
        <f t="shared" si="98"/>
        <v/>
      </c>
      <c r="AB104" s="169" t="str">
        <f t="shared" si="98"/>
        <v/>
      </c>
      <c r="AC104" s="169" t="str">
        <f t="shared" si="98"/>
        <v/>
      </c>
      <c r="AD104" s="169" t="str">
        <f t="shared" si="98"/>
        <v/>
      </c>
      <c r="AE104" s="169" t="str">
        <f>IF(AE14=$R32,$BD32*24,IF(AE14=$R33,$BD33*24,IF(AE14=$R34,$BD34*24,IF(AE14=$R35,$BD35*24,IF(AE14=$R36,$BD36*24,IF(AE14=$R37,$BD37*24,IF(AE14=$R38,$BD38*24,IF(AE14=$R39,$BD39*24,IF(AE14=$R40,$BD40*24,"")))))))))</f>
        <v/>
      </c>
      <c r="AF104" s="169" t="str">
        <f>IF(AF14=$R32,$BD32*24,IF(AF14=$R33,$BD33*24,IF(AF14=$R34,$BD34*24,IF(AF14=$R35,$BD35*24,IF(AF14=$R36,$BD36*24,IF(AF14=$R37,$BD37*24,IF(AF14=$R38,$BD38*24,IF(AF14=$R39,$BD39*24,IF(AF14=$R40,$BD40*24,"")))))))))</f>
        <v/>
      </c>
      <c r="AG104" s="169" t="str">
        <f>IF(AG14=$R32,$BD32*24,IF(AG14=$R33,$BD33*24,IF(AG14=$R34,$BD34*24,IF(AG14=$R35,$BD35*24,IF(AG14=$R36,$BD36*24,IF(AG14=$R37,$BD37*24,IF(AG14=$R38,$BD38*24,IF(AG14=$R39,$BD39*24,IF(AG14=$R40,$BD40*24,"")))))))))</f>
        <v/>
      </c>
      <c r="AH104" s="148">
        <f>SUM(C104:AG104)</f>
        <v>0</v>
      </c>
      <c r="AI104" s="133"/>
      <c r="AJ104" s="170"/>
      <c r="AK104" s="133"/>
      <c r="AL104" s="133"/>
    </row>
    <row r="105" spans="1:57" ht="15.95" hidden="1" customHeight="1" x14ac:dyDescent="0.25">
      <c r="A105" s="153"/>
      <c r="B105" s="167" t="s">
        <v>59</v>
      </c>
      <c r="C105" s="141">
        <f t="shared" ref="C105:AG105" si="99">IF(C14="V",$C36,IF(C14="PR",$C38,0))</f>
        <v>0</v>
      </c>
      <c r="D105" s="141">
        <f t="shared" si="99"/>
        <v>0</v>
      </c>
      <c r="E105" s="141">
        <f t="shared" si="99"/>
        <v>0</v>
      </c>
      <c r="F105" s="141">
        <f t="shared" si="99"/>
        <v>0</v>
      </c>
      <c r="G105" s="141">
        <f t="shared" si="99"/>
        <v>0</v>
      </c>
      <c r="H105" s="141">
        <f t="shared" si="99"/>
        <v>0</v>
      </c>
      <c r="I105" s="141">
        <f t="shared" si="99"/>
        <v>0</v>
      </c>
      <c r="J105" s="141">
        <f t="shared" si="99"/>
        <v>0</v>
      </c>
      <c r="K105" s="141">
        <f t="shared" si="99"/>
        <v>0</v>
      </c>
      <c r="L105" s="141">
        <f t="shared" si="99"/>
        <v>0</v>
      </c>
      <c r="M105" s="141">
        <f t="shared" si="99"/>
        <v>0</v>
      </c>
      <c r="N105" s="141">
        <f t="shared" si="99"/>
        <v>0</v>
      </c>
      <c r="O105" s="141">
        <f t="shared" si="99"/>
        <v>0</v>
      </c>
      <c r="P105" s="141">
        <f t="shared" si="99"/>
        <v>0</v>
      </c>
      <c r="Q105" s="141">
        <f t="shared" si="99"/>
        <v>0</v>
      </c>
      <c r="R105" s="141">
        <f t="shared" si="99"/>
        <v>0</v>
      </c>
      <c r="S105" s="141">
        <f t="shared" si="99"/>
        <v>0</v>
      </c>
      <c r="T105" s="141">
        <f t="shared" si="99"/>
        <v>0</v>
      </c>
      <c r="U105" s="141">
        <f t="shared" si="99"/>
        <v>0</v>
      </c>
      <c r="V105" s="141">
        <f t="shared" si="99"/>
        <v>0</v>
      </c>
      <c r="W105" s="141">
        <f t="shared" si="99"/>
        <v>0</v>
      </c>
      <c r="X105" s="141">
        <f t="shared" si="99"/>
        <v>0</v>
      </c>
      <c r="Y105" s="141">
        <f t="shared" si="99"/>
        <v>0</v>
      </c>
      <c r="Z105" s="141">
        <f t="shared" si="99"/>
        <v>0</v>
      </c>
      <c r="AA105" s="141">
        <f t="shared" si="99"/>
        <v>0</v>
      </c>
      <c r="AB105" s="141">
        <f t="shared" si="99"/>
        <v>0</v>
      </c>
      <c r="AC105" s="141">
        <f t="shared" si="99"/>
        <v>0</v>
      </c>
      <c r="AD105" s="141">
        <f t="shared" si="99"/>
        <v>0</v>
      </c>
      <c r="AE105" s="141">
        <f t="shared" si="99"/>
        <v>0</v>
      </c>
      <c r="AF105" s="141">
        <f t="shared" si="99"/>
        <v>0</v>
      </c>
      <c r="AG105" s="141">
        <f t="shared" si="99"/>
        <v>0</v>
      </c>
      <c r="AH105" s="226">
        <f>SUM(C105:AG105)</f>
        <v>0</v>
      </c>
      <c r="AI105" s="226"/>
      <c r="AJ105" s="230">
        <f>SUM(AH50+AH61+AH72+AH83+AH94+AH105)</f>
        <v>0</v>
      </c>
      <c r="AK105" s="230"/>
      <c r="AL105" s="133" t="s">
        <v>56</v>
      </c>
      <c r="AM105" s="1" t="s">
        <v>12</v>
      </c>
    </row>
    <row r="106" spans="1:57" ht="15.95" hidden="1" customHeight="1" x14ac:dyDescent="0.25">
      <c r="A106" s="150" t="s">
        <v>60</v>
      </c>
      <c r="B106" s="167" t="s">
        <v>61</v>
      </c>
      <c r="C106" s="151">
        <f t="shared" ref="C106:AD106" si="100">IF(C14=$R32,$BC32,IF(C14=$R33,$BC33,IF(C14=$R34,$BC34,IF(C14=$R35,$BC35,IF(C14=$R36,$BC36,IF(C14=$R37,$BC37,IF(C14=$R38,$BC38,IF(C14=$R39,$BC39,IF(C14=$R40,$BC40,0)))))))))</f>
        <v>0</v>
      </c>
      <c r="D106" s="151">
        <f t="shared" si="100"/>
        <v>0</v>
      </c>
      <c r="E106" s="151">
        <f t="shared" si="100"/>
        <v>0</v>
      </c>
      <c r="F106" s="151">
        <f t="shared" si="100"/>
        <v>0</v>
      </c>
      <c r="G106" s="151">
        <f t="shared" si="100"/>
        <v>0</v>
      </c>
      <c r="H106" s="151">
        <f t="shared" si="100"/>
        <v>0</v>
      </c>
      <c r="I106" s="151">
        <f t="shared" si="100"/>
        <v>0</v>
      </c>
      <c r="J106" s="151">
        <f t="shared" si="100"/>
        <v>0</v>
      </c>
      <c r="K106" s="151">
        <f t="shared" si="100"/>
        <v>0</v>
      </c>
      <c r="L106" s="151">
        <f t="shared" si="100"/>
        <v>0</v>
      </c>
      <c r="M106" s="151">
        <f t="shared" si="100"/>
        <v>0</v>
      </c>
      <c r="N106" s="151">
        <f t="shared" si="100"/>
        <v>0</v>
      </c>
      <c r="O106" s="151">
        <f t="shared" si="100"/>
        <v>0</v>
      </c>
      <c r="P106" s="151">
        <f t="shared" si="100"/>
        <v>0</v>
      </c>
      <c r="Q106" s="151">
        <f t="shared" si="100"/>
        <v>0</v>
      </c>
      <c r="R106" s="151">
        <f t="shared" si="100"/>
        <v>0</v>
      </c>
      <c r="S106" s="151">
        <f t="shared" si="100"/>
        <v>0</v>
      </c>
      <c r="T106" s="151">
        <f t="shared" si="100"/>
        <v>0</v>
      </c>
      <c r="U106" s="151">
        <f t="shared" si="100"/>
        <v>0</v>
      </c>
      <c r="V106" s="151">
        <f t="shared" si="100"/>
        <v>0</v>
      </c>
      <c r="W106" s="151">
        <f t="shared" si="100"/>
        <v>0</v>
      </c>
      <c r="X106" s="151">
        <f t="shared" si="100"/>
        <v>0</v>
      </c>
      <c r="Y106" s="151">
        <f t="shared" si="100"/>
        <v>0</v>
      </c>
      <c r="Z106" s="151">
        <f t="shared" si="100"/>
        <v>0</v>
      </c>
      <c r="AA106" s="151">
        <f t="shared" si="100"/>
        <v>0</v>
      </c>
      <c r="AB106" s="151">
        <f t="shared" si="100"/>
        <v>0</v>
      </c>
      <c r="AC106" s="151">
        <f t="shared" si="100"/>
        <v>0</v>
      </c>
      <c r="AD106" s="151">
        <f t="shared" si="100"/>
        <v>0</v>
      </c>
      <c r="AE106" s="151">
        <f>IF(AE14=$R32,$BC32,IF(AE14=$R33,$BC33,IF(AE14=$R34,$BC34,IF(AE14=$R35,$BC35,IF(AE14=$R36,$BC36,IF(AE14=$R37,$BC37,IF(AE14=$R38,$BC38,IF(AE14=$R39,$BC39,IF(AE14=$R40,$BC40,0)))))))))</f>
        <v>0</v>
      </c>
      <c r="AF106" s="151">
        <f>IF(AF14=$R32,$BC32,IF(AF14=$R33,$BC33,IF(AF14=$R34,$BC34,IF(AF14=$R35,$BC35,IF(AF14=$R36,$BC36,IF(AF14=$R37,$BC37,IF(AF14=$R38,$BC38,IF(AF14=$R39,$BC39,IF(AF14=$R40,$BC40,0)))))))))</f>
        <v>0</v>
      </c>
      <c r="AG106" s="151">
        <f>IF(AG14=$R32,$BC32,IF(AG14=$R33,$BC33,IF(AG14=$R34,$BC34,IF(AG14=$R35,$BC35,IF(AG14=$R36,$BC36,IF(AG14=$R37,$BC37,IF(AG14=$R38,$BC38,IF(AG14=$R39,$BC39,IF(AG14=$R40,$BC40,0)))))))))</f>
        <v>0</v>
      </c>
      <c r="AH106" s="226">
        <f>SUM(C106:AG106)</f>
        <v>0</v>
      </c>
      <c r="AI106" s="226"/>
      <c r="AJ106" s="174" t="s">
        <v>62</v>
      </c>
      <c r="AK106" s="133" t="s">
        <v>12</v>
      </c>
      <c r="AL106" s="133"/>
    </row>
    <row r="107" spans="1:57" ht="15.95" hidden="1" customHeight="1" x14ac:dyDescent="0.25">
      <c r="A107" s="153" t="s">
        <v>48</v>
      </c>
      <c r="B107" s="149" t="s">
        <v>63</v>
      </c>
      <c r="C107" s="141" t="b">
        <f t="shared" ref="C107:AG107" si="101">IF(C46=1,IF(C102&lt;C103,C106,0))</f>
        <v>0</v>
      </c>
      <c r="D107" s="141" t="b">
        <f t="shared" si="101"/>
        <v>0</v>
      </c>
      <c r="E107" s="141" t="b">
        <f t="shared" si="101"/>
        <v>0</v>
      </c>
      <c r="F107" s="141">
        <f t="shared" si="101"/>
        <v>0</v>
      </c>
      <c r="G107" s="141">
        <f t="shared" si="101"/>
        <v>0</v>
      </c>
      <c r="H107" s="141" t="b">
        <f t="shared" si="101"/>
        <v>0</v>
      </c>
      <c r="I107" s="141" t="b">
        <f t="shared" si="101"/>
        <v>0</v>
      </c>
      <c r="J107" s="141" t="b">
        <f t="shared" si="101"/>
        <v>0</v>
      </c>
      <c r="K107" s="141" t="b">
        <f t="shared" si="101"/>
        <v>0</v>
      </c>
      <c r="L107" s="141" t="b">
        <f t="shared" si="101"/>
        <v>0</v>
      </c>
      <c r="M107" s="141">
        <f t="shared" si="101"/>
        <v>0</v>
      </c>
      <c r="N107" s="141">
        <f t="shared" si="101"/>
        <v>0</v>
      </c>
      <c r="O107" s="141" t="b">
        <f t="shared" si="101"/>
        <v>0</v>
      </c>
      <c r="P107" s="141" t="b">
        <f t="shared" si="101"/>
        <v>0</v>
      </c>
      <c r="Q107" s="141" t="b">
        <f t="shared" si="101"/>
        <v>0</v>
      </c>
      <c r="R107" s="141" t="b">
        <f t="shared" si="101"/>
        <v>0</v>
      </c>
      <c r="S107" s="141" t="b">
        <f t="shared" si="101"/>
        <v>0</v>
      </c>
      <c r="T107" s="141">
        <f t="shared" si="101"/>
        <v>0</v>
      </c>
      <c r="U107" s="141">
        <f t="shared" si="101"/>
        <v>0</v>
      </c>
      <c r="V107" s="141" t="b">
        <f t="shared" si="101"/>
        <v>0</v>
      </c>
      <c r="W107" s="141" t="b">
        <f t="shared" si="101"/>
        <v>0</v>
      </c>
      <c r="X107" s="141" t="b">
        <f t="shared" si="101"/>
        <v>0</v>
      </c>
      <c r="Y107" s="141" t="b">
        <f t="shared" si="101"/>
        <v>0</v>
      </c>
      <c r="Z107" s="141" t="b">
        <f t="shared" si="101"/>
        <v>0</v>
      </c>
      <c r="AA107" s="141">
        <f t="shared" si="101"/>
        <v>0</v>
      </c>
      <c r="AB107" s="141">
        <f t="shared" si="101"/>
        <v>0</v>
      </c>
      <c r="AC107" s="141" t="b">
        <f t="shared" si="101"/>
        <v>0</v>
      </c>
      <c r="AD107" s="141" t="b">
        <f t="shared" si="101"/>
        <v>0</v>
      </c>
      <c r="AE107" s="141" t="b">
        <f t="shared" si="101"/>
        <v>0</v>
      </c>
      <c r="AF107" s="141" t="b">
        <f t="shared" si="101"/>
        <v>0</v>
      </c>
      <c r="AG107" s="141" t="b">
        <f t="shared" si="101"/>
        <v>0</v>
      </c>
      <c r="AH107" s="154" t="s">
        <v>12</v>
      </c>
      <c r="AI107" s="133"/>
      <c r="AJ107" s="170"/>
      <c r="AK107" s="133"/>
      <c r="AL107" s="133"/>
      <c r="BE107" s="31"/>
    </row>
    <row r="108" spans="1:57" ht="15.95" hidden="1" customHeight="1" x14ac:dyDescent="0.25">
      <c r="A108" s="176"/>
      <c r="B108" s="149" t="s">
        <v>64</v>
      </c>
      <c r="C108" s="141">
        <f>IF(C46=1,IF(C113&gt;C114,24-C113,0),0)</f>
        <v>0</v>
      </c>
      <c r="D108" s="141">
        <f t="shared" ref="D108:AG108" si="102">IF(D46=1,IF(D102&gt;D103,24-D102,0),0)</f>
        <v>0</v>
      </c>
      <c r="E108" s="141">
        <f t="shared" si="102"/>
        <v>0</v>
      </c>
      <c r="F108" s="141">
        <f t="shared" si="102"/>
        <v>0</v>
      </c>
      <c r="G108" s="141">
        <f t="shared" si="102"/>
        <v>0</v>
      </c>
      <c r="H108" s="141">
        <f t="shared" si="102"/>
        <v>0</v>
      </c>
      <c r="I108" s="141">
        <f t="shared" si="102"/>
        <v>0</v>
      </c>
      <c r="J108" s="141">
        <f t="shared" si="102"/>
        <v>0</v>
      </c>
      <c r="K108" s="141">
        <f t="shared" si="102"/>
        <v>0</v>
      </c>
      <c r="L108" s="141">
        <f t="shared" si="102"/>
        <v>0</v>
      </c>
      <c r="M108" s="141">
        <f t="shared" si="102"/>
        <v>0</v>
      </c>
      <c r="N108" s="141">
        <f t="shared" si="102"/>
        <v>0</v>
      </c>
      <c r="O108" s="141">
        <f t="shared" si="102"/>
        <v>0</v>
      </c>
      <c r="P108" s="141">
        <f t="shared" si="102"/>
        <v>0</v>
      </c>
      <c r="Q108" s="141">
        <f t="shared" si="102"/>
        <v>0</v>
      </c>
      <c r="R108" s="141">
        <f t="shared" si="102"/>
        <v>0</v>
      </c>
      <c r="S108" s="141">
        <f t="shared" si="102"/>
        <v>0</v>
      </c>
      <c r="T108" s="141">
        <f t="shared" si="102"/>
        <v>0</v>
      </c>
      <c r="U108" s="141">
        <f t="shared" si="102"/>
        <v>0</v>
      </c>
      <c r="V108" s="141">
        <f t="shared" si="102"/>
        <v>0</v>
      </c>
      <c r="W108" s="141">
        <f t="shared" si="102"/>
        <v>0</v>
      </c>
      <c r="X108" s="141">
        <f t="shared" si="102"/>
        <v>0</v>
      </c>
      <c r="Y108" s="141">
        <f t="shared" si="102"/>
        <v>0</v>
      </c>
      <c r="Z108" s="141">
        <f t="shared" si="102"/>
        <v>0</v>
      </c>
      <c r="AA108" s="141">
        <f t="shared" si="102"/>
        <v>0</v>
      </c>
      <c r="AB108" s="141">
        <f t="shared" si="102"/>
        <v>0</v>
      </c>
      <c r="AC108" s="141">
        <f t="shared" si="102"/>
        <v>0</v>
      </c>
      <c r="AD108" s="141">
        <f t="shared" si="102"/>
        <v>0</v>
      </c>
      <c r="AE108" s="141">
        <f t="shared" si="102"/>
        <v>0</v>
      </c>
      <c r="AF108" s="141">
        <f t="shared" si="102"/>
        <v>0</v>
      </c>
      <c r="AG108" s="141">
        <f t="shared" si="102"/>
        <v>0</v>
      </c>
      <c r="AH108" s="154" t="s">
        <v>12</v>
      </c>
      <c r="AI108" s="133"/>
      <c r="AJ108" s="170"/>
      <c r="AK108" s="133"/>
      <c r="AL108" s="133"/>
    </row>
    <row r="109" spans="1:57" ht="15.95" hidden="1" customHeight="1" x14ac:dyDescent="0.25">
      <c r="A109" s="176"/>
      <c r="B109" s="149" t="s">
        <v>65</v>
      </c>
      <c r="C109" s="141">
        <f t="shared" ref="C109:AG109" si="103">IF(D46=1,IF(C102&gt;C103,C103,0),0)</f>
        <v>0</v>
      </c>
      <c r="D109" s="141">
        <f t="shared" si="103"/>
        <v>0</v>
      </c>
      <c r="E109" s="141">
        <f t="shared" si="103"/>
        <v>0</v>
      </c>
      <c r="F109" s="141">
        <f t="shared" si="103"/>
        <v>0</v>
      </c>
      <c r="G109" s="141">
        <f t="shared" si="103"/>
        <v>0</v>
      </c>
      <c r="H109" s="141">
        <f t="shared" si="103"/>
        <v>0</v>
      </c>
      <c r="I109" s="141">
        <f t="shared" si="103"/>
        <v>0</v>
      </c>
      <c r="J109" s="141">
        <f t="shared" si="103"/>
        <v>0</v>
      </c>
      <c r="K109" s="141">
        <f t="shared" si="103"/>
        <v>0</v>
      </c>
      <c r="L109" s="141">
        <f t="shared" si="103"/>
        <v>0</v>
      </c>
      <c r="M109" s="141">
        <f t="shared" si="103"/>
        <v>0</v>
      </c>
      <c r="N109" s="141">
        <f t="shared" si="103"/>
        <v>0</v>
      </c>
      <c r="O109" s="141">
        <f t="shared" si="103"/>
        <v>0</v>
      </c>
      <c r="P109" s="141">
        <f t="shared" si="103"/>
        <v>0</v>
      </c>
      <c r="Q109" s="141">
        <f t="shared" si="103"/>
        <v>0</v>
      </c>
      <c r="R109" s="141">
        <f t="shared" si="103"/>
        <v>0</v>
      </c>
      <c r="S109" s="141">
        <f t="shared" si="103"/>
        <v>0</v>
      </c>
      <c r="T109" s="141">
        <f t="shared" si="103"/>
        <v>0</v>
      </c>
      <c r="U109" s="141">
        <f t="shared" si="103"/>
        <v>0</v>
      </c>
      <c r="V109" s="141">
        <f t="shared" si="103"/>
        <v>0</v>
      </c>
      <c r="W109" s="141">
        <f t="shared" si="103"/>
        <v>0</v>
      </c>
      <c r="X109" s="141">
        <f>IF(Y46=1,IF(X102&gt;X103,X103,0),0)</f>
        <v>0</v>
      </c>
      <c r="Y109" s="141">
        <f t="shared" si="103"/>
        <v>0</v>
      </c>
      <c r="Z109" s="141">
        <f t="shared" si="103"/>
        <v>0</v>
      </c>
      <c r="AA109" s="141">
        <f t="shared" si="103"/>
        <v>0</v>
      </c>
      <c r="AB109" s="141">
        <f t="shared" si="103"/>
        <v>0</v>
      </c>
      <c r="AC109" s="141">
        <f t="shared" si="103"/>
        <v>0</v>
      </c>
      <c r="AD109" s="141">
        <f t="shared" si="103"/>
        <v>0</v>
      </c>
      <c r="AE109" s="141">
        <f t="shared" si="103"/>
        <v>0</v>
      </c>
      <c r="AF109" s="141">
        <f t="shared" si="103"/>
        <v>0</v>
      </c>
      <c r="AG109" s="141">
        <f t="shared" si="103"/>
        <v>0</v>
      </c>
      <c r="AH109" s="154" t="s">
        <v>12</v>
      </c>
      <c r="AI109" s="133"/>
      <c r="AJ109" s="170"/>
      <c r="AK109" s="133"/>
      <c r="AL109" s="133"/>
    </row>
    <row r="110" spans="1:57" ht="15.95" hidden="1" customHeight="1" x14ac:dyDescent="0.25">
      <c r="A110" s="176"/>
      <c r="B110" s="149" t="s">
        <v>67</v>
      </c>
      <c r="C110" s="171">
        <f t="shared" ref="C110:AG110" si="104">SUM(C107:C109)</f>
        <v>0</v>
      </c>
      <c r="D110" s="171">
        <f t="shared" si="104"/>
        <v>0</v>
      </c>
      <c r="E110" s="171">
        <f t="shared" si="104"/>
        <v>0</v>
      </c>
      <c r="F110" s="171">
        <f t="shared" si="104"/>
        <v>0</v>
      </c>
      <c r="G110" s="171">
        <f t="shared" si="104"/>
        <v>0</v>
      </c>
      <c r="H110" s="171">
        <f t="shared" si="104"/>
        <v>0</v>
      </c>
      <c r="I110" s="171">
        <f t="shared" si="104"/>
        <v>0</v>
      </c>
      <c r="J110" s="171">
        <f t="shared" si="104"/>
        <v>0</v>
      </c>
      <c r="K110" s="171">
        <f t="shared" si="104"/>
        <v>0</v>
      </c>
      <c r="L110" s="171">
        <f t="shared" si="104"/>
        <v>0</v>
      </c>
      <c r="M110" s="171">
        <f t="shared" si="104"/>
        <v>0</v>
      </c>
      <c r="N110" s="171">
        <f t="shared" si="104"/>
        <v>0</v>
      </c>
      <c r="O110" s="171">
        <f t="shared" si="104"/>
        <v>0</v>
      </c>
      <c r="P110" s="171">
        <f t="shared" si="104"/>
        <v>0</v>
      </c>
      <c r="Q110" s="171">
        <f t="shared" si="104"/>
        <v>0</v>
      </c>
      <c r="R110" s="171">
        <f t="shared" si="104"/>
        <v>0</v>
      </c>
      <c r="S110" s="171">
        <f t="shared" si="104"/>
        <v>0</v>
      </c>
      <c r="T110" s="171">
        <f t="shared" si="104"/>
        <v>0</v>
      </c>
      <c r="U110" s="171">
        <f t="shared" si="104"/>
        <v>0</v>
      </c>
      <c r="V110" s="171">
        <f t="shared" si="104"/>
        <v>0</v>
      </c>
      <c r="W110" s="171">
        <f t="shared" si="104"/>
        <v>0</v>
      </c>
      <c r="X110" s="171">
        <f t="shared" si="104"/>
        <v>0</v>
      </c>
      <c r="Y110" s="171">
        <f t="shared" si="104"/>
        <v>0</v>
      </c>
      <c r="Z110" s="171">
        <f t="shared" si="104"/>
        <v>0</v>
      </c>
      <c r="AA110" s="171">
        <f t="shared" si="104"/>
        <v>0</v>
      </c>
      <c r="AB110" s="171">
        <f t="shared" si="104"/>
        <v>0</v>
      </c>
      <c r="AC110" s="171">
        <f t="shared" si="104"/>
        <v>0</v>
      </c>
      <c r="AD110" s="171">
        <f t="shared" si="104"/>
        <v>0</v>
      </c>
      <c r="AE110" s="171">
        <f t="shared" si="104"/>
        <v>0</v>
      </c>
      <c r="AF110" s="171">
        <f t="shared" si="104"/>
        <v>0</v>
      </c>
      <c r="AG110" s="171">
        <f t="shared" si="104"/>
        <v>0</v>
      </c>
      <c r="AH110" s="154" t="s">
        <v>12</v>
      </c>
      <c r="AI110" s="133"/>
      <c r="AJ110" s="170"/>
      <c r="AK110" s="133"/>
      <c r="AL110" s="133"/>
    </row>
    <row r="111" spans="1:57" ht="15.95" hidden="1" customHeight="1" x14ac:dyDescent="0.25">
      <c r="A111" s="177"/>
      <c r="B111" s="160" t="s">
        <v>68</v>
      </c>
      <c r="C111" s="161">
        <f t="shared" ref="C111:AG111" si="105">IF(C14="V",IF(C14="",0,1),0)</f>
        <v>0</v>
      </c>
      <c r="D111" s="161">
        <f t="shared" si="105"/>
        <v>0</v>
      </c>
      <c r="E111" s="161">
        <f t="shared" si="105"/>
        <v>0</v>
      </c>
      <c r="F111" s="161">
        <f t="shared" si="105"/>
        <v>0</v>
      </c>
      <c r="G111" s="161">
        <f t="shared" si="105"/>
        <v>0</v>
      </c>
      <c r="H111" s="161">
        <f t="shared" si="105"/>
        <v>0</v>
      </c>
      <c r="I111" s="161">
        <f t="shared" si="105"/>
        <v>0</v>
      </c>
      <c r="J111" s="161">
        <f t="shared" si="105"/>
        <v>0</v>
      </c>
      <c r="K111" s="161">
        <f t="shared" si="105"/>
        <v>0</v>
      </c>
      <c r="L111" s="161">
        <f t="shared" si="105"/>
        <v>0</v>
      </c>
      <c r="M111" s="161">
        <f t="shared" si="105"/>
        <v>0</v>
      </c>
      <c r="N111" s="161">
        <f t="shared" si="105"/>
        <v>0</v>
      </c>
      <c r="O111" s="161">
        <f t="shared" si="105"/>
        <v>0</v>
      </c>
      <c r="P111" s="161">
        <f t="shared" si="105"/>
        <v>0</v>
      </c>
      <c r="Q111" s="161">
        <f t="shared" si="105"/>
        <v>0</v>
      </c>
      <c r="R111" s="161">
        <f t="shared" si="105"/>
        <v>0</v>
      </c>
      <c r="S111" s="161">
        <f t="shared" si="105"/>
        <v>0</v>
      </c>
      <c r="T111" s="161">
        <f t="shared" si="105"/>
        <v>0</v>
      </c>
      <c r="U111" s="161">
        <f t="shared" si="105"/>
        <v>0</v>
      </c>
      <c r="V111" s="161">
        <f t="shared" si="105"/>
        <v>0</v>
      </c>
      <c r="W111" s="161">
        <f t="shared" si="105"/>
        <v>0</v>
      </c>
      <c r="X111" s="161">
        <f t="shared" si="105"/>
        <v>0</v>
      </c>
      <c r="Y111" s="161">
        <f t="shared" si="105"/>
        <v>0</v>
      </c>
      <c r="Z111" s="161">
        <f t="shared" si="105"/>
        <v>0</v>
      </c>
      <c r="AA111" s="161">
        <f t="shared" si="105"/>
        <v>0</v>
      </c>
      <c r="AB111" s="161">
        <f t="shared" si="105"/>
        <v>0</v>
      </c>
      <c r="AC111" s="161">
        <f t="shared" si="105"/>
        <v>0</v>
      </c>
      <c r="AD111" s="161">
        <f t="shared" si="105"/>
        <v>0</v>
      </c>
      <c r="AE111" s="161">
        <f t="shared" si="105"/>
        <v>0</v>
      </c>
      <c r="AF111" s="161">
        <f t="shared" si="105"/>
        <v>0</v>
      </c>
      <c r="AG111" s="161">
        <f t="shared" si="105"/>
        <v>0</v>
      </c>
      <c r="AH111" s="154" t="s">
        <v>12</v>
      </c>
      <c r="AI111" s="133"/>
      <c r="AJ111" s="170"/>
      <c r="AK111" s="133"/>
      <c r="AL111" s="133"/>
    </row>
    <row r="112" spans="1:57" ht="15.95" hidden="1" customHeight="1" x14ac:dyDescent="0.25">
      <c r="A112" s="180"/>
      <c r="B112" s="181" t="s">
        <v>16</v>
      </c>
      <c r="C112" s="182">
        <f t="shared" ref="C112:AG112" si="106">IF(C14="PR",IF(C14="",0,1),0)</f>
        <v>0</v>
      </c>
      <c r="D112" s="182">
        <f t="shared" si="106"/>
        <v>0</v>
      </c>
      <c r="E112" s="182">
        <f t="shared" si="106"/>
        <v>0</v>
      </c>
      <c r="F112" s="182">
        <f t="shared" si="106"/>
        <v>0</v>
      </c>
      <c r="G112" s="182">
        <f t="shared" si="106"/>
        <v>0</v>
      </c>
      <c r="H112" s="182">
        <f t="shared" si="106"/>
        <v>0</v>
      </c>
      <c r="I112" s="182">
        <f t="shared" si="106"/>
        <v>0</v>
      </c>
      <c r="J112" s="182">
        <f t="shared" si="106"/>
        <v>0</v>
      </c>
      <c r="K112" s="182">
        <f t="shared" si="106"/>
        <v>0</v>
      </c>
      <c r="L112" s="182">
        <f t="shared" si="106"/>
        <v>0</v>
      </c>
      <c r="M112" s="182">
        <f t="shared" si="106"/>
        <v>0</v>
      </c>
      <c r="N112" s="182">
        <f t="shared" si="106"/>
        <v>0</v>
      </c>
      <c r="O112" s="182">
        <f t="shared" si="106"/>
        <v>0</v>
      </c>
      <c r="P112" s="182">
        <f t="shared" si="106"/>
        <v>0</v>
      </c>
      <c r="Q112" s="182">
        <f t="shared" si="106"/>
        <v>0</v>
      </c>
      <c r="R112" s="182">
        <f t="shared" si="106"/>
        <v>0</v>
      </c>
      <c r="S112" s="182">
        <f t="shared" si="106"/>
        <v>0</v>
      </c>
      <c r="T112" s="182">
        <f t="shared" si="106"/>
        <v>0</v>
      </c>
      <c r="U112" s="182">
        <f t="shared" si="106"/>
        <v>0</v>
      </c>
      <c r="V112" s="182">
        <f t="shared" si="106"/>
        <v>0</v>
      </c>
      <c r="W112" s="182">
        <f t="shared" si="106"/>
        <v>0</v>
      </c>
      <c r="X112" s="182">
        <f t="shared" si="106"/>
        <v>0</v>
      </c>
      <c r="Y112" s="182">
        <f t="shared" si="106"/>
        <v>0</v>
      </c>
      <c r="Z112" s="182">
        <f t="shared" si="106"/>
        <v>0</v>
      </c>
      <c r="AA112" s="182">
        <f t="shared" si="106"/>
        <v>0</v>
      </c>
      <c r="AB112" s="182">
        <f t="shared" si="106"/>
        <v>0</v>
      </c>
      <c r="AC112" s="182">
        <f t="shared" si="106"/>
        <v>0</v>
      </c>
      <c r="AD112" s="182">
        <f t="shared" si="106"/>
        <v>0</v>
      </c>
      <c r="AE112" s="182">
        <f t="shared" si="106"/>
        <v>0</v>
      </c>
      <c r="AF112" s="182">
        <f t="shared" si="106"/>
        <v>0</v>
      </c>
      <c r="AG112" s="182">
        <f t="shared" si="106"/>
        <v>0</v>
      </c>
      <c r="AH112" s="227">
        <f>SUM(C112:AG112)</f>
        <v>0</v>
      </c>
      <c r="AI112" s="227"/>
      <c r="AJ112" s="174" t="s">
        <v>69</v>
      </c>
      <c r="AK112" s="133"/>
      <c r="AL112" s="133"/>
    </row>
    <row r="113" spans="1:57" s="31" customFormat="1" ht="15.95" hidden="1" customHeight="1" x14ac:dyDescent="0.25">
      <c r="A113" s="164" t="s">
        <v>81</v>
      </c>
      <c r="B113" s="165" t="s">
        <v>29</v>
      </c>
      <c r="C113" s="141" t="str">
        <f t="shared" ref="C113:AG113" si="107">IF(C15=$R32,$S32*24,IF(C15=$R33,$S33*24,IF(C15=$R34,$S34*24,IF(C15=$R35,$S35*24,IF(C15=$R36,$S36*24,IF(C15=$R37,$S37*24,IF(C15=$R38,$S38*24,IF(C15=$R39,$S39*24,IF(C15=$R40,$S40*24,"")))))))))</f>
        <v/>
      </c>
      <c r="D113" s="141" t="str">
        <f t="shared" si="107"/>
        <v/>
      </c>
      <c r="E113" s="141" t="str">
        <f t="shared" si="107"/>
        <v/>
      </c>
      <c r="F113" s="141" t="str">
        <f t="shared" si="107"/>
        <v/>
      </c>
      <c r="G113" s="141" t="str">
        <f t="shared" si="107"/>
        <v/>
      </c>
      <c r="H113" s="141" t="str">
        <f t="shared" si="107"/>
        <v/>
      </c>
      <c r="I113" s="141" t="str">
        <f t="shared" si="107"/>
        <v/>
      </c>
      <c r="J113" s="141" t="str">
        <f t="shared" si="107"/>
        <v/>
      </c>
      <c r="K113" s="141" t="str">
        <f t="shared" si="107"/>
        <v/>
      </c>
      <c r="L113" s="141" t="str">
        <f t="shared" si="107"/>
        <v/>
      </c>
      <c r="M113" s="141" t="str">
        <f t="shared" si="107"/>
        <v/>
      </c>
      <c r="N113" s="141" t="str">
        <f t="shared" si="107"/>
        <v/>
      </c>
      <c r="O113" s="141" t="str">
        <f t="shared" si="107"/>
        <v/>
      </c>
      <c r="P113" s="141" t="str">
        <f t="shared" si="107"/>
        <v/>
      </c>
      <c r="Q113" s="141" t="str">
        <f t="shared" si="107"/>
        <v/>
      </c>
      <c r="R113" s="141" t="str">
        <f t="shared" si="107"/>
        <v/>
      </c>
      <c r="S113" s="141" t="str">
        <f t="shared" si="107"/>
        <v/>
      </c>
      <c r="T113" s="141" t="str">
        <f t="shared" si="107"/>
        <v/>
      </c>
      <c r="U113" s="141" t="str">
        <f t="shared" si="107"/>
        <v/>
      </c>
      <c r="V113" s="141" t="str">
        <f t="shared" si="107"/>
        <v/>
      </c>
      <c r="W113" s="141" t="str">
        <f t="shared" si="107"/>
        <v/>
      </c>
      <c r="X113" s="141" t="str">
        <f t="shared" si="107"/>
        <v/>
      </c>
      <c r="Y113" s="141" t="str">
        <f t="shared" si="107"/>
        <v/>
      </c>
      <c r="Z113" s="141" t="str">
        <f t="shared" si="107"/>
        <v/>
      </c>
      <c r="AA113" s="141" t="str">
        <f t="shared" si="107"/>
        <v/>
      </c>
      <c r="AB113" s="141" t="str">
        <f t="shared" si="107"/>
        <v/>
      </c>
      <c r="AC113" s="141" t="str">
        <f t="shared" si="107"/>
        <v/>
      </c>
      <c r="AD113" s="141" t="str">
        <f t="shared" si="107"/>
        <v/>
      </c>
      <c r="AE113" s="141" t="str">
        <f t="shared" si="107"/>
        <v/>
      </c>
      <c r="AF113" s="141" t="str">
        <f t="shared" si="107"/>
        <v/>
      </c>
      <c r="AG113" s="141" t="str">
        <f t="shared" si="107"/>
        <v/>
      </c>
      <c r="AH113" s="154" t="s">
        <v>12</v>
      </c>
      <c r="AI113" s="133"/>
      <c r="AJ113" s="170"/>
      <c r="AK113" s="133"/>
      <c r="AL113" s="133"/>
      <c r="BE113" s="1"/>
    </row>
    <row r="114" spans="1:57" ht="15.95" hidden="1" customHeight="1" x14ac:dyDescent="0.25">
      <c r="A114" s="166" t="s">
        <v>82</v>
      </c>
      <c r="B114" s="167" t="s">
        <v>30</v>
      </c>
      <c r="C114" s="141" t="str">
        <f t="shared" ref="C114:AG114" si="108">IF(C15=$R32,$V32*24,IF(C15=$R33,$V33*24,IF(C15=$R34,$V34*24,IF(C15=$R35,$V35*24,IF(C15=$R36,$V36*24,IF(C15=$R37,$V37*24,IF(C15=$R38,$V38*24,IF(C15=$R39,$V39*24,IF(C15=$R40,$V40*24,"")))))))))</f>
        <v/>
      </c>
      <c r="D114" s="141" t="str">
        <f t="shared" si="108"/>
        <v/>
      </c>
      <c r="E114" s="141" t="str">
        <f t="shared" si="108"/>
        <v/>
      </c>
      <c r="F114" s="141" t="str">
        <f t="shared" si="108"/>
        <v/>
      </c>
      <c r="G114" s="141" t="str">
        <f t="shared" si="108"/>
        <v/>
      </c>
      <c r="H114" s="141" t="str">
        <f t="shared" si="108"/>
        <v/>
      </c>
      <c r="I114" s="141" t="str">
        <f t="shared" si="108"/>
        <v/>
      </c>
      <c r="J114" s="141" t="str">
        <f t="shared" si="108"/>
        <v/>
      </c>
      <c r="K114" s="141" t="str">
        <f t="shared" si="108"/>
        <v/>
      </c>
      <c r="L114" s="141" t="str">
        <f t="shared" si="108"/>
        <v/>
      </c>
      <c r="M114" s="141" t="str">
        <f t="shared" si="108"/>
        <v/>
      </c>
      <c r="N114" s="141" t="str">
        <f t="shared" si="108"/>
        <v/>
      </c>
      <c r="O114" s="141" t="str">
        <f t="shared" si="108"/>
        <v/>
      </c>
      <c r="P114" s="141" t="str">
        <f t="shared" si="108"/>
        <v/>
      </c>
      <c r="Q114" s="141" t="str">
        <f t="shared" si="108"/>
        <v/>
      </c>
      <c r="R114" s="141" t="str">
        <f t="shared" si="108"/>
        <v/>
      </c>
      <c r="S114" s="141" t="str">
        <f t="shared" si="108"/>
        <v/>
      </c>
      <c r="T114" s="141" t="str">
        <f t="shared" si="108"/>
        <v/>
      </c>
      <c r="U114" s="141" t="str">
        <f t="shared" si="108"/>
        <v/>
      </c>
      <c r="V114" s="141" t="str">
        <f t="shared" si="108"/>
        <v/>
      </c>
      <c r="W114" s="141" t="str">
        <f t="shared" si="108"/>
        <v/>
      </c>
      <c r="X114" s="141" t="str">
        <f t="shared" si="108"/>
        <v/>
      </c>
      <c r="Y114" s="141" t="str">
        <f t="shared" si="108"/>
        <v/>
      </c>
      <c r="Z114" s="141" t="str">
        <f t="shared" si="108"/>
        <v/>
      </c>
      <c r="AA114" s="141" t="str">
        <f t="shared" si="108"/>
        <v/>
      </c>
      <c r="AB114" s="141" t="str">
        <f t="shared" si="108"/>
        <v/>
      </c>
      <c r="AC114" s="141" t="str">
        <f t="shared" si="108"/>
        <v/>
      </c>
      <c r="AD114" s="141" t="str">
        <f t="shared" si="108"/>
        <v/>
      </c>
      <c r="AE114" s="141" t="str">
        <f t="shared" si="108"/>
        <v/>
      </c>
      <c r="AF114" s="141" t="str">
        <f t="shared" si="108"/>
        <v/>
      </c>
      <c r="AG114" s="141" t="str">
        <f t="shared" si="108"/>
        <v/>
      </c>
      <c r="AH114" s="154" t="s">
        <v>12</v>
      </c>
      <c r="AI114" s="133"/>
      <c r="AJ114" s="170"/>
      <c r="AK114" s="133"/>
      <c r="AL114" s="133"/>
    </row>
    <row r="115" spans="1:57" ht="15.95" hidden="1" customHeight="1" x14ac:dyDescent="0.25">
      <c r="A115" s="153"/>
      <c r="B115" s="168" t="s">
        <v>34</v>
      </c>
      <c r="C115" s="169" t="str">
        <f t="shared" ref="C115:AD115" si="109">IF(C15=$R32,$BD32*24,IF(C15=$R33,$BD33*24,IF(C15=$R34,$BD34*24,IF(C15=$R35,$BD35*24,IF(C15=$R36,$BD36*24,IF(C15=$R37,$BD37*24,IF(C15=$R38,$BD38*24,IF(C15=$R39,$BD39*24,IF(C15=$R40,$BD40*24,"")))))))))</f>
        <v/>
      </c>
      <c r="D115" s="169" t="str">
        <f t="shared" si="109"/>
        <v/>
      </c>
      <c r="E115" s="169" t="str">
        <f t="shared" si="109"/>
        <v/>
      </c>
      <c r="F115" s="169" t="str">
        <f t="shared" si="109"/>
        <v/>
      </c>
      <c r="G115" s="169" t="str">
        <f t="shared" si="109"/>
        <v/>
      </c>
      <c r="H115" s="169" t="str">
        <f t="shared" si="109"/>
        <v/>
      </c>
      <c r="I115" s="169" t="str">
        <f t="shared" si="109"/>
        <v/>
      </c>
      <c r="J115" s="169" t="str">
        <f t="shared" si="109"/>
        <v/>
      </c>
      <c r="K115" s="169" t="str">
        <f t="shared" si="109"/>
        <v/>
      </c>
      <c r="L115" s="169" t="str">
        <f t="shared" si="109"/>
        <v/>
      </c>
      <c r="M115" s="169" t="str">
        <f t="shared" si="109"/>
        <v/>
      </c>
      <c r="N115" s="169" t="str">
        <f t="shared" si="109"/>
        <v/>
      </c>
      <c r="O115" s="169" t="str">
        <f t="shared" si="109"/>
        <v/>
      </c>
      <c r="P115" s="169" t="str">
        <f t="shared" si="109"/>
        <v/>
      </c>
      <c r="Q115" s="169" t="str">
        <f t="shared" si="109"/>
        <v/>
      </c>
      <c r="R115" s="169" t="str">
        <f t="shared" si="109"/>
        <v/>
      </c>
      <c r="S115" s="169" t="str">
        <f t="shared" si="109"/>
        <v/>
      </c>
      <c r="T115" s="169" t="str">
        <f t="shared" si="109"/>
        <v/>
      </c>
      <c r="U115" s="169" t="str">
        <f t="shared" si="109"/>
        <v/>
      </c>
      <c r="V115" s="169" t="str">
        <f t="shared" si="109"/>
        <v/>
      </c>
      <c r="W115" s="169" t="str">
        <f t="shared" si="109"/>
        <v/>
      </c>
      <c r="X115" s="169" t="str">
        <f t="shared" si="109"/>
        <v/>
      </c>
      <c r="Y115" s="169" t="str">
        <f t="shared" si="109"/>
        <v/>
      </c>
      <c r="Z115" s="169" t="str">
        <f t="shared" si="109"/>
        <v/>
      </c>
      <c r="AA115" s="169" t="str">
        <f t="shared" si="109"/>
        <v/>
      </c>
      <c r="AB115" s="169" t="str">
        <f t="shared" si="109"/>
        <v/>
      </c>
      <c r="AC115" s="169" t="str">
        <f t="shared" si="109"/>
        <v/>
      </c>
      <c r="AD115" s="169" t="str">
        <f t="shared" si="109"/>
        <v/>
      </c>
      <c r="AE115" s="169" t="str">
        <f>IF(AE15=$R32,$BD32*24,IF(AE15=$R33,$BD33*24,IF(AE15=$R34,$BD34*24,IF(AE15=$R35,$BD35*24,IF(AE15=$R36,$BD36*24,IF(AE15=$R37,$BD37*24,IF(AE15=$R38,$BD38*24,IF(AE15=$R39,$BD39*24,IF(AE15=$R40,$BD40*24,"")))))))))</f>
        <v/>
      </c>
      <c r="AF115" s="169" t="str">
        <f>IF(AF15=$R32,$BD32*24,IF(AF15=$R33,$BD33*24,IF(AF15=$R34,$BD34*24,IF(AF15=$R35,$BD35*24,IF(AF15=$R36,$BD36*24,IF(AF15=$R37,$BD37*24,IF(AF15=$R38,$BD38*24,IF(AF15=$R39,$BD39*24,IF(AF15=$R40,$BD40*24,"")))))))))</f>
        <v/>
      </c>
      <c r="AG115" s="169" t="str">
        <f>IF(AG15=$R32,$BD32*24,IF(AG15=$R33,$BD33*24,IF(AG15=$R34,$BD34*24,IF(AG15=$R35,$BD35*24,IF(AG15=$R36,$BD36*24,IF(AG15=$R37,$BD37*24,IF(AG15=$R38,$BD38*24,IF(AG15=$R39,$BD39*24,IF(AG15=$R40,$BD40*24,"")))))))))</f>
        <v/>
      </c>
      <c r="AH115" s="148">
        <f>SUM(C115:AG115)</f>
        <v>0</v>
      </c>
      <c r="AI115" s="133"/>
      <c r="AJ115" s="170"/>
      <c r="AK115" s="133"/>
      <c r="AL115" s="133"/>
    </row>
    <row r="116" spans="1:57" ht="15.95" hidden="1" customHeight="1" x14ac:dyDescent="0.25">
      <c r="A116" s="153"/>
      <c r="B116" s="167" t="s">
        <v>59</v>
      </c>
      <c r="C116" s="141">
        <f t="shared" ref="C116:AG116" si="110">IF(C15="V",$C36,IF(C15="PR",$C38,0))</f>
        <v>0</v>
      </c>
      <c r="D116" s="141">
        <f t="shared" si="110"/>
        <v>0</v>
      </c>
      <c r="E116" s="141">
        <f t="shared" si="110"/>
        <v>0</v>
      </c>
      <c r="F116" s="141">
        <f t="shared" si="110"/>
        <v>0</v>
      </c>
      <c r="G116" s="141">
        <f t="shared" si="110"/>
        <v>0</v>
      </c>
      <c r="H116" s="141">
        <f t="shared" si="110"/>
        <v>0</v>
      </c>
      <c r="I116" s="141">
        <f t="shared" si="110"/>
        <v>0</v>
      </c>
      <c r="J116" s="141">
        <f t="shared" si="110"/>
        <v>0</v>
      </c>
      <c r="K116" s="141">
        <f t="shared" si="110"/>
        <v>0</v>
      </c>
      <c r="L116" s="141">
        <f t="shared" si="110"/>
        <v>0</v>
      </c>
      <c r="M116" s="141">
        <f t="shared" si="110"/>
        <v>0</v>
      </c>
      <c r="N116" s="141">
        <f t="shared" si="110"/>
        <v>0</v>
      </c>
      <c r="O116" s="141">
        <f t="shared" si="110"/>
        <v>0</v>
      </c>
      <c r="P116" s="141">
        <f t="shared" si="110"/>
        <v>0</v>
      </c>
      <c r="Q116" s="141">
        <f t="shared" si="110"/>
        <v>0</v>
      </c>
      <c r="R116" s="141">
        <f t="shared" si="110"/>
        <v>0</v>
      </c>
      <c r="S116" s="141">
        <f t="shared" si="110"/>
        <v>0</v>
      </c>
      <c r="T116" s="141">
        <f t="shared" si="110"/>
        <v>0</v>
      </c>
      <c r="U116" s="141">
        <f t="shared" si="110"/>
        <v>0</v>
      </c>
      <c r="V116" s="141">
        <f t="shared" si="110"/>
        <v>0</v>
      </c>
      <c r="W116" s="141">
        <f t="shared" si="110"/>
        <v>0</v>
      </c>
      <c r="X116" s="141">
        <f t="shared" si="110"/>
        <v>0</v>
      </c>
      <c r="Y116" s="141">
        <f t="shared" si="110"/>
        <v>0</v>
      </c>
      <c r="Z116" s="141">
        <f t="shared" si="110"/>
        <v>0</v>
      </c>
      <c r="AA116" s="141">
        <f t="shared" si="110"/>
        <v>0</v>
      </c>
      <c r="AB116" s="141">
        <f t="shared" si="110"/>
        <v>0</v>
      </c>
      <c r="AC116" s="141">
        <f t="shared" si="110"/>
        <v>0</v>
      </c>
      <c r="AD116" s="141">
        <f t="shared" si="110"/>
        <v>0</v>
      </c>
      <c r="AE116" s="141">
        <f t="shared" si="110"/>
        <v>0</v>
      </c>
      <c r="AF116" s="141">
        <f t="shared" si="110"/>
        <v>0</v>
      </c>
      <c r="AG116" s="141">
        <f t="shared" si="110"/>
        <v>0</v>
      </c>
      <c r="AH116" s="226">
        <f>SUM(C116:AG116)</f>
        <v>0</v>
      </c>
      <c r="AI116" s="226"/>
      <c r="AJ116" s="230">
        <f>SUM(AH61+AH72+AH83+AH94+AH105+AH116)</f>
        <v>0</v>
      </c>
      <c r="AK116" s="230"/>
      <c r="AL116" s="133" t="s">
        <v>56</v>
      </c>
    </row>
    <row r="117" spans="1:57" ht="15.95" hidden="1" customHeight="1" x14ac:dyDescent="0.25">
      <c r="A117" s="150" t="s">
        <v>60</v>
      </c>
      <c r="B117" s="167" t="s">
        <v>61</v>
      </c>
      <c r="C117" s="151">
        <f t="shared" ref="C117:AD117" si="111">IF(C15=$R32,$BC32,IF(C15=$R33,$BC33,IF(C15=$R34,$BC34,IF(C15=$R35,$BC35,IF(C15=$R36,$BC36,IF(C15=$R37,$BC37,IF(C15=$R38,$BC38,IF(C15=$R39,$BC39,IF(C15=$R40,$BC40,0)))))))))</f>
        <v>0</v>
      </c>
      <c r="D117" s="151">
        <f t="shared" si="111"/>
        <v>0</v>
      </c>
      <c r="E117" s="151">
        <f t="shared" si="111"/>
        <v>0</v>
      </c>
      <c r="F117" s="151">
        <f t="shared" si="111"/>
        <v>0</v>
      </c>
      <c r="G117" s="151">
        <f t="shared" si="111"/>
        <v>0</v>
      </c>
      <c r="H117" s="151">
        <f t="shared" si="111"/>
        <v>0</v>
      </c>
      <c r="I117" s="151">
        <f t="shared" si="111"/>
        <v>0</v>
      </c>
      <c r="J117" s="151">
        <f t="shared" si="111"/>
        <v>0</v>
      </c>
      <c r="K117" s="151">
        <f t="shared" si="111"/>
        <v>0</v>
      </c>
      <c r="L117" s="151">
        <f t="shared" si="111"/>
        <v>0</v>
      </c>
      <c r="M117" s="151">
        <f t="shared" si="111"/>
        <v>0</v>
      </c>
      <c r="N117" s="151">
        <f t="shared" si="111"/>
        <v>0</v>
      </c>
      <c r="O117" s="151">
        <f t="shared" si="111"/>
        <v>0</v>
      </c>
      <c r="P117" s="151">
        <f t="shared" si="111"/>
        <v>0</v>
      </c>
      <c r="Q117" s="151">
        <f t="shared" si="111"/>
        <v>0</v>
      </c>
      <c r="R117" s="151">
        <f t="shared" si="111"/>
        <v>0</v>
      </c>
      <c r="S117" s="151">
        <f t="shared" si="111"/>
        <v>0</v>
      </c>
      <c r="T117" s="151">
        <f t="shared" si="111"/>
        <v>0</v>
      </c>
      <c r="U117" s="151">
        <f t="shared" si="111"/>
        <v>0</v>
      </c>
      <c r="V117" s="151">
        <f t="shared" si="111"/>
        <v>0</v>
      </c>
      <c r="W117" s="151">
        <f t="shared" si="111"/>
        <v>0</v>
      </c>
      <c r="X117" s="151">
        <f t="shared" si="111"/>
        <v>0</v>
      </c>
      <c r="Y117" s="151">
        <f t="shared" si="111"/>
        <v>0</v>
      </c>
      <c r="Z117" s="151">
        <f t="shared" si="111"/>
        <v>0</v>
      </c>
      <c r="AA117" s="151">
        <f t="shared" si="111"/>
        <v>0</v>
      </c>
      <c r="AB117" s="151">
        <f t="shared" si="111"/>
        <v>0</v>
      </c>
      <c r="AC117" s="151">
        <f t="shared" si="111"/>
        <v>0</v>
      </c>
      <c r="AD117" s="151">
        <f t="shared" si="111"/>
        <v>0</v>
      </c>
      <c r="AE117" s="151">
        <f>IF(AE15=$R32,$BC32,IF(AE15=$R33,$BC33,IF(AE15=$R34,$BC34,IF(AE15=$R35,$BC35,IF(AE15=$R36,$BC36,IF(AE15=$R37,$BC37,IF(AE15=$R38,$BC38,IF(AE15=$R39,$BC39,IF(AE15=$R40,$BC40,0)))))))))</f>
        <v>0</v>
      </c>
      <c r="AF117" s="151">
        <f>IF(AF15=$R32,$BC32,IF(AF15=$R33,$BC33,IF(AF15=$R34,$BC34,IF(AF15=$R35,$BC35,IF(AF15=$R36,$BC36,IF(AF15=$R37,$BC37,IF(AF15=$R38,$BC38,IF(AF15=$R39,$BC39,IF(AF15=$R40,$BC40,0)))))))))</f>
        <v>0</v>
      </c>
      <c r="AG117" s="151">
        <f>IF(AG15=$R32,$BC32,IF(AG15=$R33,$BC33,IF(AG15=$R34,$BC34,IF(AG15=$R35,$BC35,IF(AG15=$R36,$BC36,IF(AG15=$R37,$BC37,IF(AG15=$R38,$BC38,IF(AG15=$R39,$BC39,IF(AG15=$R40,$BC40,0)))))))))</f>
        <v>0</v>
      </c>
      <c r="AH117" s="226">
        <f>SUM(C117:AG117)</f>
        <v>0</v>
      </c>
      <c r="AI117" s="226"/>
      <c r="AJ117" s="174" t="s">
        <v>62</v>
      </c>
      <c r="AK117" s="133" t="s">
        <v>12</v>
      </c>
      <c r="AL117" s="133"/>
    </row>
    <row r="118" spans="1:57" ht="15.95" hidden="1" customHeight="1" x14ac:dyDescent="0.25">
      <c r="A118" s="153" t="s">
        <v>48</v>
      </c>
      <c r="B118" s="149" t="s">
        <v>63</v>
      </c>
      <c r="C118" s="141" t="b">
        <f t="shared" ref="C118:AG118" si="112">IF(C46=1,IF(C113&lt;C114,C117,0))</f>
        <v>0</v>
      </c>
      <c r="D118" s="141" t="b">
        <f t="shared" si="112"/>
        <v>0</v>
      </c>
      <c r="E118" s="141" t="b">
        <f t="shared" si="112"/>
        <v>0</v>
      </c>
      <c r="F118" s="141">
        <f t="shared" si="112"/>
        <v>0</v>
      </c>
      <c r="G118" s="141">
        <f t="shared" si="112"/>
        <v>0</v>
      </c>
      <c r="H118" s="141" t="b">
        <f t="shared" si="112"/>
        <v>0</v>
      </c>
      <c r="I118" s="141" t="b">
        <f t="shared" si="112"/>
        <v>0</v>
      </c>
      <c r="J118" s="141" t="b">
        <f t="shared" si="112"/>
        <v>0</v>
      </c>
      <c r="K118" s="141" t="b">
        <f t="shared" si="112"/>
        <v>0</v>
      </c>
      <c r="L118" s="141" t="b">
        <f t="shared" si="112"/>
        <v>0</v>
      </c>
      <c r="M118" s="141">
        <f t="shared" si="112"/>
        <v>0</v>
      </c>
      <c r="N118" s="141">
        <f t="shared" si="112"/>
        <v>0</v>
      </c>
      <c r="O118" s="141" t="b">
        <f t="shared" si="112"/>
        <v>0</v>
      </c>
      <c r="P118" s="141" t="b">
        <f t="shared" si="112"/>
        <v>0</v>
      </c>
      <c r="Q118" s="141" t="b">
        <f t="shared" si="112"/>
        <v>0</v>
      </c>
      <c r="R118" s="141" t="b">
        <f t="shared" si="112"/>
        <v>0</v>
      </c>
      <c r="S118" s="141" t="b">
        <f t="shared" si="112"/>
        <v>0</v>
      </c>
      <c r="T118" s="141">
        <f t="shared" si="112"/>
        <v>0</v>
      </c>
      <c r="U118" s="141">
        <f t="shared" si="112"/>
        <v>0</v>
      </c>
      <c r="V118" s="141" t="b">
        <f t="shared" si="112"/>
        <v>0</v>
      </c>
      <c r="W118" s="141" t="b">
        <f t="shared" si="112"/>
        <v>0</v>
      </c>
      <c r="X118" s="141" t="b">
        <f t="shared" si="112"/>
        <v>0</v>
      </c>
      <c r="Y118" s="141" t="b">
        <f t="shared" si="112"/>
        <v>0</v>
      </c>
      <c r="Z118" s="141" t="b">
        <f t="shared" si="112"/>
        <v>0</v>
      </c>
      <c r="AA118" s="141">
        <f t="shared" si="112"/>
        <v>0</v>
      </c>
      <c r="AB118" s="141">
        <f t="shared" si="112"/>
        <v>0</v>
      </c>
      <c r="AC118" s="141" t="b">
        <f t="shared" si="112"/>
        <v>0</v>
      </c>
      <c r="AD118" s="141" t="b">
        <f t="shared" si="112"/>
        <v>0</v>
      </c>
      <c r="AE118" s="141" t="b">
        <f t="shared" si="112"/>
        <v>0</v>
      </c>
      <c r="AF118" s="141" t="b">
        <f t="shared" si="112"/>
        <v>0</v>
      </c>
      <c r="AG118" s="141" t="b">
        <f t="shared" si="112"/>
        <v>0</v>
      </c>
      <c r="AH118" s="154" t="s">
        <v>12</v>
      </c>
      <c r="AI118" s="133"/>
      <c r="AJ118" s="170"/>
      <c r="AK118" s="133"/>
      <c r="AL118" s="133"/>
    </row>
    <row r="119" spans="1:57" ht="15.95" hidden="1" customHeight="1" x14ac:dyDescent="0.25">
      <c r="A119" s="176"/>
      <c r="B119" s="149" t="s">
        <v>64</v>
      </c>
      <c r="C119" s="141">
        <f t="shared" ref="C119:AG119" si="113">IF(C46=1,IF(C113&gt;C114,24-C113,0),0)</f>
        <v>0</v>
      </c>
      <c r="D119" s="141">
        <f t="shared" si="113"/>
        <v>0</v>
      </c>
      <c r="E119" s="141">
        <f t="shared" si="113"/>
        <v>0</v>
      </c>
      <c r="F119" s="141">
        <f t="shared" si="113"/>
        <v>0</v>
      </c>
      <c r="G119" s="141">
        <f t="shared" si="113"/>
        <v>0</v>
      </c>
      <c r="H119" s="141">
        <f t="shared" si="113"/>
        <v>0</v>
      </c>
      <c r="I119" s="141">
        <f t="shared" si="113"/>
        <v>0</v>
      </c>
      <c r="J119" s="141">
        <f t="shared" si="113"/>
        <v>0</v>
      </c>
      <c r="K119" s="141">
        <f t="shared" si="113"/>
        <v>0</v>
      </c>
      <c r="L119" s="141">
        <f t="shared" si="113"/>
        <v>0</v>
      </c>
      <c r="M119" s="141">
        <f t="shared" si="113"/>
        <v>0</v>
      </c>
      <c r="N119" s="141">
        <f t="shared" si="113"/>
        <v>0</v>
      </c>
      <c r="O119" s="141">
        <f t="shared" si="113"/>
        <v>0</v>
      </c>
      <c r="P119" s="141">
        <f t="shared" si="113"/>
        <v>0</v>
      </c>
      <c r="Q119" s="141">
        <f t="shared" si="113"/>
        <v>0</v>
      </c>
      <c r="R119" s="141">
        <f t="shared" si="113"/>
        <v>0</v>
      </c>
      <c r="S119" s="141">
        <f t="shared" si="113"/>
        <v>0</v>
      </c>
      <c r="T119" s="141">
        <f t="shared" si="113"/>
        <v>0</v>
      </c>
      <c r="U119" s="141">
        <f t="shared" si="113"/>
        <v>0</v>
      </c>
      <c r="V119" s="141">
        <f t="shared" si="113"/>
        <v>0</v>
      </c>
      <c r="W119" s="141">
        <f t="shared" si="113"/>
        <v>0</v>
      </c>
      <c r="X119" s="141">
        <f t="shared" si="113"/>
        <v>0</v>
      </c>
      <c r="Y119" s="141">
        <f t="shared" si="113"/>
        <v>0</v>
      </c>
      <c r="Z119" s="141">
        <f t="shared" si="113"/>
        <v>0</v>
      </c>
      <c r="AA119" s="141">
        <f t="shared" si="113"/>
        <v>0</v>
      </c>
      <c r="AB119" s="141">
        <f t="shared" si="113"/>
        <v>0</v>
      </c>
      <c r="AC119" s="141">
        <f t="shared" si="113"/>
        <v>0</v>
      </c>
      <c r="AD119" s="141">
        <f t="shared" si="113"/>
        <v>0</v>
      </c>
      <c r="AE119" s="141">
        <f t="shared" si="113"/>
        <v>0</v>
      </c>
      <c r="AF119" s="141">
        <f t="shared" si="113"/>
        <v>0</v>
      </c>
      <c r="AG119" s="141">
        <f t="shared" si="113"/>
        <v>0</v>
      </c>
      <c r="AH119" s="154" t="s">
        <v>12</v>
      </c>
      <c r="AI119" s="133"/>
      <c r="AJ119" s="170"/>
      <c r="AK119" s="133"/>
      <c r="AL119" s="133"/>
    </row>
    <row r="120" spans="1:57" ht="15.95" hidden="1" customHeight="1" x14ac:dyDescent="0.25">
      <c r="A120" s="176"/>
      <c r="B120" s="149" t="s">
        <v>65</v>
      </c>
      <c r="C120" s="141">
        <f t="shared" ref="C120:AG120" si="114">IF(D46=1,IF(C113&gt;C114,C114,0),0)</f>
        <v>0</v>
      </c>
      <c r="D120" s="141">
        <f t="shared" si="114"/>
        <v>0</v>
      </c>
      <c r="E120" s="141">
        <f t="shared" si="114"/>
        <v>0</v>
      </c>
      <c r="F120" s="141">
        <f t="shared" si="114"/>
        <v>0</v>
      </c>
      <c r="G120" s="141">
        <f t="shared" si="114"/>
        <v>0</v>
      </c>
      <c r="H120" s="141">
        <f t="shared" si="114"/>
        <v>0</v>
      </c>
      <c r="I120" s="141">
        <f t="shared" si="114"/>
        <v>0</v>
      </c>
      <c r="J120" s="141">
        <f t="shared" si="114"/>
        <v>0</v>
      </c>
      <c r="K120" s="141">
        <f t="shared" si="114"/>
        <v>0</v>
      </c>
      <c r="L120" s="141">
        <f t="shared" si="114"/>
        <v>0</v>
      </c>
      <c r="M120" s="141">
        <f t="shared" si="114"/>
        <v>0</v>
      </c>
      <c r="N120" s="141">
        <f t="shared" si="114"/>
        <v>0</v>
      </c>
      <c r="O120" s="141">
        <f t="shared" si="114"/>
        <v>0</v>
      </c>
      <c r="P120" s="141">
        <f t="shared" si="114"/>
        <v>0</v>
      </c>
      <c r="Q120" s="141">
        <f t="shared" si="114"/>
        <v>0</v>
      </c>
      <c r="R120" s="141">
        <f t="shared" si="114"/>
        <v>0</v>
      </c>
      <c r="S120" s="141">
        <f t="shared" si="114"/>
        <v>0</v>
      </c>
      <c r="T120" s="141">
        <f t="shared" si="114"/>
        <v>0</v>
      </c>
      <c r="U120" s="141">
        <f t="shared" si="114"/>
        <v>0</v>
      </c>
      <c r="V120" s="141">
        <f t="shared" si="114"/>
        <v>0</v>
      </c>
      <c r="W120" s="141">
        <f t="shared" si="114"/>
        <v>0</v>
      </c>
      <c r="X120" s="141">
        <f>IF(Y46=1,IF(X113&gt;X114,X114,0),0)</f>
        <v>0</v>
      </c>
      <c r="Y120" s="141">
        <f t="shared" si="114"/>
        <v>0</v>
      </c>
      <c r="Z120" s="141">
        <f t="shared" si="114"/>
        <v>0</v>
      </c>
      <c r="AA120" s="141">
        <f t="shared" si="114"/>
        <v>0</v>
      </c>
      <c r="AB120" s="141">
        <f t="shared" si="114"/>
        <v>0</v>
      </c>
      <c r="AC120" s="141">
        <f t="shared" si="114"/>
        <v>0</v>
      </c>
      <c r="AD120" s="141">
        <f t="shared" si="114"/>
        <v>0</v>
      </c>
      <c r="AE120" s="141">
        <f t="shared" si="114"/>
        <v>0</v>
      </c>
      <c r="AF120" s="141">
        <f t="shared" si="114"/>
        <v>0</v>
      </c>
      <c r="AG120" s="141">
        <f t="shared" si="114"/>
        <v>0</v>
      </c>
      <c r="AH120" s="154" t="s">
        <v>12</v>
      </c>
      <c r="AI120" s="133"/>
      <c r="AJ120" s="170"/>
      <c r="AK120" s="133"/>
      <c r="AL120" s="133"/>
    </row>
    <row r="121" spans="1:57" ht="15.95" hidden="1" customHeight="1" x14ac:dyDescent="0.25">
      <c r="A121" s="176"/>
      <c r="B121" s="149" t="s">
        <v>67</v>
      </c>
      <c r="C121" s="171">
        <f t="shared" ref="C121:AG121" si="115">SUM(C118:C120)</f>
        <v>0</v>
      </c>
      <c r="D121" s="171">
        <f t="shared" si="115"/>
        <v>0</v>
      </c>
      <c r="E121" s="171">
        <f t="shared" si="115"/>
        <v>0</v>
      </c>
      <c r="F121" s="171">
        <f t="shared" si="115"/>
        <v>0</v>
      </c>
      <c r="G121" s="171">
        <f t="shared" si="115"/>
        <v>0</v>
      </c>
      <c r="H121" s="171">
        <f t="shared" si="115"/>
        <v>0</v>
      </c>
      <c r="I121" s="171">
        <f t="shared" si="115"/>
        <v>0</v>
      </c>
      <c r="J121" s="171">
        <f t="shared" si="115"/>
        <v>0</v>
      </c>
      <c r="K121" s="171">
        <f t="shared" si="115"/>
        <v>0</v>
      </c>
      <c r="L121" s="171">
        <f t="shared" si="115"/>
        <v>0</v>
      </c>
      <c r="M121" s="171">
        <f t="shared" si="115"/>
        <v>0</v>
      </c>
      <c r="N121" s="171">
        <f t="shared" si="115"/>
        <v>0</v>
      </c>
      <c r="O121" s="171">
        <f t="shared" si="115"/>
        <v>0</v>
      </c>
      <c r="P121" s="171">
        <f t="shared" si="115"/>
        <v>0</v>
      </c>
      <c r="Q121" s="171">
        <f t="shared" si="115"/>
        <v>0</v>
      </c>
      <c r="R121" s="171">
        <f t="shared" si="115"/>
        <v>0</v>
      </c>
      <c r="S121" s="171">
        <f t="shared" si="115"/>
        <v>0</v>
      </c>
      <c r="T121" s="171">
        <f t="shared" si="115"/>
        <v>0</v>
      </c>
      <c r="U121" s="171">
        <f t="shared" si="115"/>
        <v>0</v>
      </c>
      <c r="V121" s="171">
        <f t="shared" si="115"/>
        <v>0</v>
      </c>
      <c r="W121" s="171">
        <f t="shared" si="115"/>
        <v>0</v>
      </c>
      <c r="X121" s="171">
        <f t="shared" si="115"/>
        <v>0</v>
      </c>
      <c r="Y121" s="171">
        <f t="shared" si="115"/>
        <v>0</v>
      </c>
      <c r="Z121" s="171">
        <f t="shared" si="115"/>
        <v>0</v>
      </c>
      <c r="AA121" s="171">
        <f t="shared" si="115"/>
        <v>0</v>
      </c>
      <c r="AB121" s="171">
        <f t="shared" si="115"/>
        <v>0</v>
      </c>
      <c r="AC121" s="171">
        <f t="shared" si="115"/>
        <v>0</v>
      </c>
      <c r="AD121" s="171">
        <f t="shared" si="115"/>
        <v>0</v>
      </c>
      <c r="AE121" s="171">
        <f t="shared" si="115"/>
        <v>0</v>
      </c>
      <c r="AF121" s="171">
        <f t="shared" si="115"/>
        <v>0</v>
      </c>
      <c r="AG121" s="171">
        <f t="shared" si="115"/>
        <v>0</v>
      </c>
      <c r="AH121" s="154" t="s">
        <v>12</v>
      </c>
      <c r="AI121" s="133"/>
      <c r="AJ121" s="170"/>
      <c r="AK121" s="133"/>
      <c r="AL121" s="133"/>
    </row>
    <row r="122" spans="1:57" ht="15.95" hidden="1" customHeight="1" x14ac:dyDescent="0.25">
      <c r="A122" s="177"/>
      <c r="B122" s="160" t="s">
        <v>68</v>
      </c>
      <c r="C122" s="182">
        <f t="shared" ref="C122:AG122" si="116">IF(C15="V",IF(C15="",0,1),0)</f>
        <v>0</v>
      </c>
      <c r="D122" s="182">
        <f t="shared" si="116"/>
        <v>0</v>
      </c>
      <c r="E122" s="182">
        <f t="shared" si="116"/>
        <v>0</v>
      </c>
      <c r="F122" s="182">
        <f t="shared" si="116"/>
        <v>0</v>
      </c>
      <c r="G122" s="182">
        <f t="shared" si="116"/>
        <v>0</v>
      </c>
      <c r="H122" s="182">
        <f t="shared" si="116"/>
        <v>0</v>
      </c>
      <c r="I122" s="182">
        <f t="shared" si="116"/>
        <v>0</v>
      </c>
      <c r="J122" s="182">
        <f t="shared" si="116"/>
        <v>0</v>
      </c>
      <c r="K122" s="182">
        <f t="shared" si="116"/>
        <v>0</v>
      </c>
      <c r="L122" s="182">
        <f t="shared" si="116"/>
        <v>0</v>
      </c>
      <c r="M122" s="182">
        <f t="shared" si="116"/>
        <v>0</v>
      </c>
      <c r="N122" s="182">
        <f t="shared" si="116"/>
        <v>0</v>
      </c>
      <c r="O122" s="182">
        <f t="shared" si="116"/>
        <v>0</v>
      </c>
      <c r="P122" s="182">
        <f t="shared" si="116"/>
        <v>0</v>
      </c>
      <c r="Q122" s="182">
        <f t="shared" si="116"/>
        <v>0</v>
      </c>
      <c r="R122" s="182">
        <f t="shared" si="116"/>
        <v>0</v>
      </c>
      <c r="S122" s="182">
        <f t="shared" si="116"/>
        <v>0</v>
      </c>
      <c r="T122" s="182">
        <f t="shared" si="116"/>
        <v>0</v>
      </c>
      <c r="U122" s="182">
        <f t="shared" si="116"/>
        <v>0</v>
      </c>
      <c r="V122" s="182">
        <f t="shared" si="116"/>
        <v>0</v>
      </c>
      <c r="W122" s="182">
        <f t="shared" si="116"/>
        <v>0</v>
      </c>
      <c r="X122" s="182">
        <f t="shared" si="116"/>
        <v>0</v>
      </c>
      <c r="Y122" s="182">
        <f t="shared" si="116"/>
        <v>0</v>
      </c>
      <c r="Z122" s="182">
        <f t="shared" si="116"/>
        <v>0</v>
      </c>
      <c r="AA122" s="182">
        <f t="shared" si="116"/>
        <v>0</v>
      </c>
      <c r="AB122" s="182">
        <f t="shared" si="116"/>
        <v>0</v>
      </c>
      <c r="AC122" s="182">
        <f t="shared" si="116"/>
        <v>0</v>
      </c>
      <c r="AD122" s="182">
        <f t="shared" si="116"/>
        <v>0</v>
      </c>
      <c r="AE122" s="182">
        <f t="shared" si="116"/>
        <v>0</v>
      </c>
      <c r="AF122" s="182">
        <f t="shared" si="116"/>
        <v>0</v>
      </c>
      <c r="AG122" s="182">
        <f t="shared" si="116"/>
        <v>0</v>
      </c>
      <c r="AH122" s="154" t="s">
        <v>12</v>
      </c>
      <c r="AI122" s="133"/>
      <c r="AJ122" s="170"/>
      <c r="AK122" s="133"/>
      <c r="AL122" s="133"/>
    </row>
    <row r="123" spans="1:57" ht="15.95" hidden="1" customHeight="1" x14ac:dyDescent="0.25">
      <c r="A123" s="180"/>
      <c r="B123" s="181" t="s">
        <v>16</v>
      </c>
      <c r="C123" s="182">
        <f t="shared" ref="C123:AG123" si="117">IF(C15="PR",IF(C15="",0,1),0)</f>
        <v>0</v>
      </c>
      <c r="D123" s="182">
        <f t="shared" si="117"/>
        <v>0</v>
      </c>
      <c r="E123" s="182">
        <f t="shared" si="117"/>
        <v>0</v>
      </c>
      <c r="F123" s="182">
        <f t="shared" si="117"/>
        <v>0</v>
      </c>
      <c r="G123" s="182">
        <f t="shared" si="117"/>
        <v>0</v>
      </c>
      <c r="H123" s="182">
        <f t="shared" si="117"/>
        <v>0</v>
      </c>
      <c r="I123" s="182">
        <f t="shared" si="117"/>
        <v>0</v>
      </c>
      <c r="J123" s="182">
        <f t="shared" si="117"/>
        <v>0</v>
      </c>
      <c r="K123" s="182">
        <f t="shared" si="117"/>
        <v>0</v>
      </c>
      <c r="L123" s="182">
        <f t="shared" si="117"/>
        <v>0</v>
      </c>
      <c r="M123" s="182">
        <f t="shared" si="117"/>
        <v>0</v>
      </c>
      <c r="N123" s="182">
        <f t="shared" si="117"/>
        <v>0</v>
      </c>
      <c r="O123" s="182">
        <f t="shared" si="117"/>
        <v>0</v>
      </c>
      <c r="P123" s="182">
        <f t="shared" si="117"/>
        <v>0</v>
      </c>
      <c r="Q123" s="182">
        <f t="shared" si="117"/>
        <v>0</v>
      </c>
      <c r="R123" s="182">
        <f t="shared" si="117"/>
        <v>0</v>
      </c>
      <c r="S123" s="182">
        <f t="shared" si="117"/>
        <v>0</v>
      </c>
      <c r="T123" s="182">
        <f t="shared" si="117"/>
        <v>0</v>
      </c>
      <c r="U123" s="182">
        <f t="shared" si="117"/>
        <v>0</v>
      </c>
      <c r="V123" s="182">
        <f t="shared" si="117"/>
        <v>0</v>
      </c>
      <c r="W123" s="182">
        <f t="shared" si="117"/>
        <v>0</v>
      </c>
      <c r="X123" s="182">
        <f t="shared" si="117"/>
        <v>0</v>
      </c>
      <c r="Y123" s="182">
        <f t="shared" si="117"/>
        <v>0</v>
      </c>
      <c r="Z123" s="182">
        <f t="shared" si="117"/>
        <v>0</v>
      </c>
      <c r="AA123" s="182">
        <f t="shared" si="117"/>
        <v>0</v>
      </c>
      <c r="AB123" s="182">
        <f t="shared" si="117"/>
        <v>0</v>
      </c>
      <c r="AC123" s="182">
        <f t="shared" si="117"/>
        <v>0</v>
      </c>
      <c r="AD123" s="182">
        <f t="shared" si="117"/>
        <v>0</v>
      </c>
      <c r="AE123" s="182">
        <f t="shared" si="117"/>
        <v>0</v>
      </c>
      <c r="AF123" s="182">
        <f t="shared" si="117"/>
        <v>0</v>
      </c>
      <c r="AG123" s="182">
        <f t="shared" si="117"/>
        <v>0</v>
      </c>
      <c r="AH123" s="227">
        <f>SUM(C123:AG123)</f>
        <v>0</v>
      </c>
      <c r="AI123" s="227"/>
      <c r="AJ123" s="174" t="s">
        <v>69</v>
      </c>
      <c r="AK123" s="133"/>
      <c r="AL123" s="133"/>
    </row>
    <row r="124" spans="1:57" ht="15.95" hidden="1" customHeight="1" x14ac:dyDescent="0.25">
      <c r="A124" s="164" t="s">
        <v>83</v>
      </c>
      <c r="B124" s="165" t="s">
        <v>29</v>
      </c>
      <c r="C124" s="141" t="str">
        <f t="shared" ref="C124:AG124" si="118">IF(C16=$R32,$S32*24,IF(C16=$R33,$S33*24,IF(C16=$R34,$S34*24,IF(C16=$R35,$S35*24,IF(C16=$R36,$S36*24,IF(C16=$R37,$S37*24,IF(C16=$R38,$S38*24,IF(C16=$R39,$S39*24,IF(C16=$R40,$S40*24,"")))))))))</f>
        <v/>
      </c>
      <c r="D124" s="141" t="str">
        <f t="shared" si="118"/>
        <v/>
      </c>
      <c r="E124" s="141" t="str">
        <f t="shared" si="118"/>
        <v/>
      </c>
      <c r="F124" s="141" t="str">
        <f t="shared" si="118"/>
        <v/>
      </c>
      <c r="G124" s="141" t="str">
        <f t="shared" si="118"/>
        <v/>
      </c>
      <c r="H124" s="141" t="str">
        <f t="shared" si="118"/>
        <v/>
      </c>
      <c r="I124" s="141" t="str">
        <f t="shared" si="118"/>
        <v/>
      </c>
      <c r="J124" s="141" t="str">
        <f t="shared" si="118"/>
        <v/>
      </c>
      <c r="K124" s="141" t="str">
        <f t="shared" si="118"/>
        <v/>
      </c>
      <c r="L124" s="141" t="str">
        <f t="shared" si="118"/>
        <v/>
      </c>
      <c r="M124" s="141" t="str">
        <f t="shared" si="118"/>
        <v/>
      </c>
      <c r="N124" s="141" t="str">
        <f t="shared" si="118"/>
        <v/>
      </c>
      <c r="O124" s="141" t="str">
        <f t="shared" si="118"/>
        <v/>
      </c>
      <c r="P124" s="141" t="str">
        <f t="shared" si="118"/>
        <v/>
      </c>
      <c r="Q124" s="141" t="str">
        <f t="shared" si="118"/>
        <v/>
      </c>
      <c r="R124" s="141" t="str">
        <f t="shared" si="118"/>
        <v/>
      </c>
      <c r="S124" s="141" t="str">
        <f t="shared" si="118"/>
        <v/>
      </c>
      <c r="T124" s="141" t="str">
        <f t="shared" si="118"/>
        <v/>
      </c>
      <c r="U124" s="141" t="str">
        <f t="shared" si="118"/>
        <v/>
      </c>
      <c r="V124" s="141" t="str">
        <f t="shared" si="118"/>
        <v/>
      </c>
      <c r="W124" s="141" t="str">
        <f t="shared" si="118"/>
        <v/>
      </c>
      <c r="X124" s="141" t="str">
        <f t="shared" si="118"/>
        <v/>
      </c>
      <c r="Y124" s="141" t="str">
        <f t="shared" si="118"/>
        <v/>
      </c>
      <c r="Z124" s="141" t="str">
        <f t="shared" si="118"/>
        <v/>
      </c>
      <c r="AA124" s="141" t="str">
        <f t="shared" si="118"/>
        <v/>
      </c>
      <c r="AB124" s="141" t="str">
        <f t="shared" si="118"/>
        <v/>
      </c>
      <c r="AC124" s="141" t="str">
        <f t="shared" si="118"/>
        <v/>
      </c>
      <c r="AD124" s="141" t="str">
        <f t="shared" si="118"/>
        <v/>
      </c>
      <c r="AE124" s="141" t="str">
        <f t="shared" si="118"/>
        <v/>
      </c>
      <c r="AF124" s="141" t="str">
        <f t="shared" si="118"/>
        <v/>
      </c>
      <c r="AG124" s="141" t="str">
        <f t="shared" si="118"/>
        <v/>
      </c>
      <c r="AH124" s="154" t="s">
        <v>12</v>
      </c>
      <c r="AI124" s="133"/>
      <c r="AJ124" s="170"/>
      <c r="AK124" s="133"/>
      <c r="AL124" s="133"/>
    </row>
    <row r="125" spans="1:57" ht="15.95" hidden="1" customHeight="1" x14ac:dyDescent="0.25">
      <c r="A125" s="166" t="s">
        <v>84</v>
      </c>
      <c r="B125" s="167" t="s">
        <v>30</v>
      </c>
      <c r="C125" s="141" t="str">
        <f t="shared" ref="C125:AG125" si="119">IF(C16=$R32,$V32*24,IF(C16=$R33,$V33*24,IF(C16=$R34,$V34*24,IF(C16=$R35,$V35*24,IF(C16=$R36,$V36*24,IF(C16=$R37,$V37*24,IF(C16=$R38,$V38*24,IF(C16=$R39,$V39*24,IF(C16=$R40,$V40*24,"")))))))))</f>
        <v/>
      </c>
      <c r="D125" s="141" t="str">
        <f t="shared" si="119"/>
        <v/>
      </c>
      <c r="E125" s="141" t="str">
        <f t="shared" si="119"/>
        <v/>
      </c>
      <c r="F125" s="141" t="str">
        <f t="shared" si="119"/>
        <v/>
      </c>
      <c r="G125" s="141" t="str">
        <f t="shared" si="119"/>
        <v/>
      </c>
      <c r="H125" s="141" t="str">
        <f t="shared" si="119"/>
        <v/>
      </c>
      <c r="I125" s="141" t="str">
        <f t="shared" si="119"/>
        <v/>
      </c>
      <c r="J125" s="141" t="str">
        <f t="shared" si="119"/>
        <v/>
      </c>
      <c r="K125" s="141" t="str">
        <f t="shared" si="119"/>
        <v/>
      </c>
      <c r="L125" s="141" t="str">
        <f t="shared" si="119"/>
        <v/>
      </c>
      <c r="M125" s="141" t="str">
        <f t="shared" si="119"/>
        <v/>
      </c>
      <c r="N125" s="141" t="str">
        <f t="shared" si="119"/>
        <v/>
      </c>
      <c r="O125" s="141" t="str">
        <f t="shared" si="119"/>
        <v/>
      </c>
      <c r="P125" s="141" t="str">
        <f t="shared" si="119"/>
        <v/>
      </c>
      <c r="Q125" s="141" t="str">
        <f t="shared" si="119"/>
        <v/>
      </c>
      <c r="R125" s="141" t="str">
        <f t="shared" si="119"/>
        <v/>
      </c>
      <c r="S125" s="141" t="str">
        <f t="shared" si="119"/>
        <v/>
      </c>
      <c r="T125" s="141" t="str">
        <f t="shared" si="119"/>
        <v/>
      </c>
      <c r="U125" s="141" t="str">
        <f t="shared" si="119"/>
        <v/>
      </c>
      <c r="V125" s="141" t="str">
        <f t="shared" si="119"/>
        <v/>
      </c>
      <c r="W125" s="141" t="str">
        <f t="shared" si="119"/>
        <v/>
      </c>
      <c r="X125" s="141" t="str">
        <f t="shared" si="119"/>
        <v/>
      </c>
      <c r="Y125" s="141" t="str">
        <f t="shared" si="119"/>
        <v/>
      </c>
      <c r="Z125" s="141" t="str">
        <f t="shared" si="119"/>
        <v/>
      </c>
      <c r="AA125" s="141" t="str">
        <f t="shared" si="119"/>
        <v/>
      </c>
      <c r="AB125" s="141" t="str">
        <f t="shared" si="119"/>
        <v/>
      </c>
      <c r="AC125" s="141" t="str">
        <f t="shared" si="119"/>
        <v/>
      </c>
      <c r="AD125" s="141" t="str">
        <f t="shared" si="119"/>
        <v/>
      </c>
      <c r="AE125" s="141" t="str">
        <f t="shared" si="119"/>
        <v/>
      </c>
      <c r="AF125" s="141" t="str">
        <f t="shared" si="119"/>
        <v/>
      </c>
      <c r="AG125" s="141" t="str">
        <f t="shared" si="119"/>
        <v/>
      </c>
      <c r="AH125" s="154" t="s">
        <v>12</v>
      </c>
      <c r="AI125" s="133"/>
      <c r="AJ125" s="170"/>
      <c r="AK125" s="133"/>
      <c r="AL125" s="133"/>
    </row>
    <row r="126" spans="1:57" ht="15.95" hidden="1" customHeight="1" x14ac:dyDescent="0.25">
      <c r="A126" s="153"/>
      <c r="B126" s="168" t="s">
        <v>34</v>
      </c>
      <c r="C126" s="169" t="str">
        <f t="shared" ref="C126:AD126" si="120">IF(C16=$R32,$BD32*24,IF(C16=$R33,$BD33*24,IF(C16=$R34,$BD34*24,IF(C16=$R35,$BD35*24,IF(C16=$R36,$BD36*24,IF(C16=$R37,$BD37*24,IF(C16=$R38,$BD38*24,IF(C16=$R39,$BD39*24,IF(C16=$R40,$BD40*24,"")))))))))</f>
        <v/>
      </c>
      <c r="D126" s="169" t="str">
        <f t="shared" si="120"/>
        <v/>
      </c>
      <c r="E126" s="169" t="str">
        <f t="shared" si="120"/>
        <v/>
      </c>
      <c r="F126" s="169" t="str">
        <f t="shared" si="120"/>
        <v/>
      </c>
      <c r="G126" s="169" t="str">
        <f t="shared" si="120"/>
        <v/>
      </c>
      <c r="H126" s="169" t="str">
        <f t="shared" si="120"/>
        <v/>
      </c>
      <c r="I126" s="169" t="str">
        <f t="shared" si="120"/>
        <v/>
      </c>
      <c r="J126" s="169" t="str">
        <f t="shared" si="120"/>
        <v/>
      </c>
      <c r="K126" s="169" t="str">
        <f t="shared" si="120"/>
        <v/>
      </c>
      <c r="L126" s="169" t="str">
        <f t="shared" si="120"/>
        <v/>
      </c>
      <c r="M126" s="169" t="str">
        <f t="shared" si="120"/>
        <v/>
      </c>
      <c r="N126" s="169" t="str">
        <f t="shared" si="120"/>
        <v/>
      </c>
      <c r="O126" s="169" t="str">
        <f t="shared" si="120"/>
        <v/>
      </c>
      <c r="P126" s="169" t="str">
        <f t="shared" si="120"/>
        <v/>
      </c>
      <c r="Q126" s="169" t="str">
        <f t="shared" si="120"/>
        <v/>
      </c>
      <c r="R126" s="169" t="str">
        <f t="shared" si="120"/>
        <v/>
      </c>
      <c r="S126" s="169" t="str">
        <f t="shared" si="120"/>
        <v/>
      </c>
      <c r="T126" s="169" t="str">
        <f t="shared" si="120"/>
        <v/>
      </c>
      <c r="U126" s="169" t="str">
        <f t="shared" si="120"/>
        <v/>
      </c>
      <c r="V126" s="169" t="str">
        <f t="shared" si="120"/>
        <v/>
      </c>
      <c r="W126" s="169" t="str">
        <f t="shared" si="120"/>
        <v/>
      </c>
      <c r="X126" s="169" t="str">
        <f t="shared" si="120"/>
        <v/>
      </c>
      <c r="Y126" s="169" t="str">
        <f t="shared" si="120"/>
        <v/>
      </c>
      <c r="Z126" s="169" t="str">
        <f t="shared" si="120"/>
        <v/>
      </c>
      <c r="AA126" s="169" t="str">
        <f t="shared" si="120"/>
        <v/>
      </c>
      <c r="AB126" s="169" t="str">
        <f t="shared" si="120"/>
        <v/>
      </c>
      <c r="AC126" s="169" t="str">
        <f t="shared" si="120"/>
        <v/>
      </c>
      <c r="AD126" s="169" t="str">
        <f t="shared" si="120"/>
        <v/>
      </c>
      <c r="AE126" s="169" t="str">
        <f>IF(AE16=$R32,$BD32*24,IF(AE16=$R33,$BD33*24,IF(AE16=$R34,$BD34*24,IF(AE16=$R35,$BD35*24,IF(AE16=$R36,$BD36*24,IF(AE16=$R37,$BD37*24,IF(AE16=$R38,$BD38*24,IF(AE16=$R39,$BD39*24,IF(AE16=$R40,$BD40*24,"")))))))))</f>
        <v/>
      </c>
      <c r="AF126" s="169" t="str">
        <f>IF(AF16=$R32,$BD32*24,IF(AF16=$R33,$BD33*24,IF(AF16=$R34,$BD34*24,IF(AF16=$R35,$BD35*24,IF(AF16=$R36,$BD36*24,IF(AF16=$R37,$BD37*24,IF(AF16=$R38,$BD38*24,IF(AF16=$R39,$BD39*24,IF(AF16=$R40,$BD40*24,"")))))))))</f>
        <v/>
      </c>
      <c r="AG126" s="169" t="str">
        <f>IF(AG16=$R32,$BD32*24,IF(AG16=$R33,$BD33*24,IF(AG16=$R34,$BD34*24,IF(AG16=$R35,$BD35*24,IF(AG16=$R36,$BD36*24,IF(AG16=$R37,$BD37*24,IF(AG16=$R38,$BD38*24,IF(AG16=$R39,$BD39*24,IF(AG16=$R40,$BD40*24,"")))))))))</f>
        <v/>
      </c>
      <c r="AH126" s="148">
        <f>SUM(C126:AG126)</f>
        <v>0</v>
      </c>
      <c r="AI126" s="133"/>
      <c r="AJ126" s="170"/>
      <c r="AK126" s="133"/>
      <c r="AL126" s="133"/>
    </row>
    <row r="127" spans="1:57" ht="15.95" hidden="1" customHeight="1" x14ac:dyDescent="0.25">
      <c r="A127" s="153"/>
      <c r="B127" s="167" t="s">
        <v>59</v>
      </c>
      <c r="C127" s="141">
        <f t="shared" ref="C127:AG127" si="121">IF(C16="V",$C36,IF(C16="PR",$C38,0))</f>
        <v>0</v>
      </c>
      <c r="D127" s="141">
        <f t="shared" si="121"/>
        <v>0</v>
      </c>
      <c r="E127" s="141">
        <f t="shared" si="121"/>
        <v>0</v>
      </c>
      <c r="F127" s="141">
        <f t="shared" si="121"/>
        <v>0</v>
      </c>
      <c r="G127" s="141">
        <f t="shared" si="121"/>
        <v>0</v>
      </c>
      <c r="H127" s="141">
        <f t="shared" si="121"/>
        <v>0</v>
      </c>
      <c r="I127" s="141">
        <f t="shared" si="121"/>
        <v>0</v>
      </c>
      <c r="J127" s="141">
        <f t="shared" si="121"/>
        <v>0</v>
      </c>
      <c r="K127" s="141">
        <f t="shared" si="121"/>
        <v>0</v>
      </c>
      <c r="L127" s="141">
        <f t="shared" si="121"/>
        <v>0</v>
      </c>
      <c r="M127" s="141">
        <f t="shared" si="121"/>
        <v>0</v>
      </c>
      <c r="N127" s="141">
        <f t="shared" si="121"/>
        <v>0</v>
      </c>
      <c r="O127" s="141">
        <f t="shared" si="121"/>
        <v>0</v>
      </c>
      <c r="P127" s="141">
        <f t="shared" si="121"/>
        <v>0</v>
      </c>
      <c r="Q127" s="141">
        <f t="shared" si="121"/>
        <v>0</v>
      </c>
      <c r="R127" s="141">
        <f t="shared" si="121"/>
        <v>0</v>
      </c>
      <c r="S127" s="141">
        <f t="shared" si="121"/>
        <v>0</v>
      </c>
      <c r="T127" s="141">
        <f t="shared" si="121"/>
        <v>0</v>
      </c>
      <c r="U127" s="141">
        <f t="shared" si="121"/>
        <v>0</v>
      </c>
      <c r="V127" s="141">
        <f t="shared" si="121"/>
        <v>0</v>
      </c>
      <c r="W127" s="141">
        <f t="shared" si="121"/>
        <v>0</v>
      </c>
      <c r="X127" s="141">
        <f t="shared" si="121"/>
        <v>0</v>
      </c>
      <c r="Y127" s="141">
        <f t="shared" si="121"/>
        <v>0</v>
      </c>
      <c r="Z127" s="141">
        <f t="shared" si="121"/>
        <v>0</v>
      </c>
      <c r="AA127" s="141">
        <f t="shared" si="121"/>
        <v>0</v>
      </c>
      <c r="AB127" s="141">
        <f t="shared" si="121"/>
        <v>0</v>
      </c>
      <c r="AC127" s="141">
        <f t="shared" si="121"/>
        <v>0</v>
      </c>
      <c r="AD127" s="141">
        <f t="shared" si="121"/>
        <v>0</v>
      </c>
      <c r="AE127" s="141">
        <f t="shared" si="121"/>
        <v>0</v>
      </c>
      <c r="AF127" s="141">
        <f t="shared" si="121"/>
        <v>0</v>
      </c>
      <c r="AG127" s="141">
        <f t="shared" si="121"/>
        <v>0</v>
      </c>
      <c r="AH127" s="226">
        <f>SUM(C127:AG127)</f>
        <v>0</v>
      </c>
      <c r="AI127" s="226"/>
      <c r="AJ127" s="230">
        <f>SUM(AH72+AH83+AH94+AH105+AH116+AH127)</f>
        <v>0</v>
      </c>
      <c r="AK127" s="230"/>
      <c r="AL127" s="133" t="s">
        <v>56</v>
      </c>
    </row>
    <row r="128" spans="1:57" ht="15.95" hidden="1" customHeight="1" x14ac:dyDescent="0.25">
      <c r="A128" s="150" t="s">
        <v>60</v>
      </c>
      <c r="B128" s="167" t="s">
        <v>61</v>
      </c>
      <c r="C128" s="151">
        <f t="shared" ref="C128:AD128" si="122">IF(C16=$R32,$BC32,IF(C16=$R33,$BC33,IF(C16=$R34,$BC34,IF(C16=$R35,$BC35,IF(C16=$R36,$BC36,IF(C16=$R37,$BC37,IF(C16=$R38,$BC38,IF(C16=$R39,$BC39,IF(C16=$R40,$BC40,0)))))))))</f>
        <v>0</v>
      </c>
      <c r="D128" s="151">
        <f t="shared" si="122"/>
        <v>0</v>
      </c>
      <c r="E128" s="151">
        <f t="shared" si="122"/>
        <v>0</v>
      </c>
      <c r="F128" s="151">
        <f t="shared" si="122"/>
        <v>0</v>
      </c>
      <c r="G128" s="151">
        <f t="shared" si="122"/>
        <v>0</v>
      </c>
      <c r="H128" s="151">
        <f t="shared" si="122"/>
        <v>0</v>
      </c>
      <c r="I128" s="151">
        <f t="shared" si="122"/>
        <v>0</v>
      </c>
      <c r="J128" s="151">
        <f t="shared" si="122"/>
        <v>0</v>
      </c>
      <c r="K128" s="151">
        <f t="shared" si="122"/>
        <v>0</v>
      </c>
      <c r="L128" s="151">
        <f t="shared" si="122"/>
        <v>0</v>
      </c>
      <c r="M128" s="151">
        <f t="shared" si="122"/>
        <v>0</v>
      </c>
      <c r="N128" s="151">
        <f t="shared" si="122"/>
        <v>0</v>
      </c>
      <c r="O128" s="151">
        <f t="shared" si="122"/>
        <v>0</v>
      </c>
      <c r="P128" s="151">
        <f t="shared" si="122"/>
        <v>0</v>
      </c>
      <c r="Q128" s="151">
        <f t="shared" si="122"/>
        <v>0</v>
      </c>
      <c r="R128" s="151">
        <f t="shared" si="122"/>
        <v>0</v>
      </c>
      <c r="S128" s="151">
        <f t="shared" si="122"/>
        <v>0</v>
      </c>
      <c r="T128" s="151">
        <f t="shared" si="122"/>
        <v>0</v>
      </c>
      <c r="U128" s="151">
        <f t="shared" si="122"/>
        <v>0</v>
      </c>
      <c r="V128" s="151">
        <f t="shared" si="122"/>
        <v>0</v>
      </c>
      <c r="W128" s="151">
        <f t="shared" si="122"/>
        <v>0</v>
      </c>
      <c r="X128" s="151">
        <f t="shared" si="122"/>
        <v>0</v>
      </c>
      <c r="Y128" s="151">
        <f t="shared" si="122"/>
        <v>0</v>
      </c>
      <c r="Z128" s="151">
        <f t="shared" si="122"/>
        <v>0</v>
      </c>
      <c r="AA128" s="151">
        <f t="shared" si="122"/>
        <v>0</v>
      </c>
      <c r="AB128" s="151">
        <f t="shared" si="122"/>
        <v>0</v>
      </c>
      <c r="AC128" s="151">
        <f t="shared" si="122"/>
        <v>0</v>
      </c>
      <c r="AD128" s="151">
        <f t="shared" si="122"/>
        <v>0</v>
      </c>
      <c r="AE128" s="151">
        <f>IF(AE16=$R32,$BC32,IF(AE16=$R33,$BC33,IF(AE16=$R34,$BC34,IF(AE16=$R35,$BC35,IF(AE16=$R36,$BC36,IF(AE16=$R37,$BC37,IF(AE16=$R38,$BC38,IF(AE16=$R39,$BC39,IF(AE16=$R40,$BC40,0)))))))))</f>
        <v>0</v>
      </c>
      <c r="AF128" s="151">
        <f>IF(AF16=$R32,$BC32,IF(AF16=$R33,$BC33,IF(AF16=$R34,$BC34,IF(AF16=$R35,$BC35,IF(AF16=$R36,$BC36,IF(AF16=$R37,$BC37,IF(AF16=$R38,$BC38,IF(AF16=$R39,$BC39,IF(AF16=$R40,$BC40,0)))))))))</f>
        <v>0</v>
      </c>
      <c r="AG128" s="151">
        <f>IF(AG16=$R32,$BC32,IF(AG16=$R33,$BC33,IF(AG16=$R34,$BC34,IF(AG16=$R35,$BC35,IF(AG16=$R36,$BC36,IF(AG16=$R37,$BC37,IF(AG16=$R38,$BC38,IF(AG16=$R39,$BC39,IF(AG16=$R40,$BC40,0)))))))))</f>
        <v>0</v>
      </c>
      <c r="AH128" s="226">
        <f>SUM(C128:AG128)</f>
        <v>0</v>
      </c>
      <c r="AI128" s="226"/>
      <c r="AJ128" s="174" t="s">
        <v>62</v>
      </c>
      <c r="AK128" s="133" t="s">
        <v>12</v>
      </c>
      <c r="AL128" s="133"/>
    </row>
    <row r="129" spans="1:38" ht="15.95" hidden="1" customHeight="1" x14ac:dyDescent="0.25">
      <c r="A129" s="153" t="s">
        <v>48</v>
      </c>
      <c r="B129" s="149" t="s">
        <v>63</v>
      </c>
      <c r="C129" s="141" t="b">
        <f t="shared" ref="C129:AG129" si="123">IF(C46=1,IF(C124&lt;C125,C128,0))</f>
        <v>0</v>
      </c>
      <c r="D129" s="141" t="b">
        <f t="shared" si="123"/>
        <v>0</v>
      </c>
      <c r="E129" s="141" t="b">
        <f t="shared" si="123"/>
        <v>0</v>
      </c>
      <c r="F129" s="141">
        <f t="shared" si="123"/>
        <v>0</v>
      </c>
      <c r="G129" s="141">
        <f t="shared" si="123"/>
        <v>0</v>
      </c>
      <c r="H129" s="141" t="b">
        <f t="shared" si="123"/>
        <v>0</v>
      </c>
      <c r="I129" s="141" t="b">
        <f t="shared" si="123"/>
        <v>0</v>
      </c>
      <c r="J129" s="141" t="b">
        <f t="shared" si="123"/>
        <v>0</v>
      </c>
      <c r="K129" s="141" t="b">
        <f t="shared" si="123"/>
        <v>0</v>
      </c>
      <c r="L129" s="141" t="b">
        <f t="shared" si="123"/>
        <v>0</v>
      </c>
      <c r="M129" s="141">
        <f t="shared" si="123"/>
        <v>0</v>
      </c>
      <c r="N129" s="141">
        <f t="shared" si="123"/>
        <v>0</v>
      </c>
      <c r="O129" s="141" t="b">
        <f t="shared" si="123"/>
        <v>0</v>
      </c>
      <c r="P129" s="141" t="b">
        <f t="shared" si="123"/>
        <v>0</v>
      </c>
      <c r="Q129" s="141" t="b">
        <f t="shared" si="123"/>
        <v>0</v>
      </c>
      <c r="R129" s="141" t="b">
        <f t="shared" si="123"/>
        <v>0</v>
      </c>
      <c r="S129" s="141" t="b">
        <f t="shared" si="123"/>
        <v>0</v>
      </c>
      <c r="T129" s="141">
        <f t="shared" si="123"/>
        <v>0</v>
      </c>
      <c r="U129" s="141">
        <f t="shared" si="123"/>
        <v>0</v>
      </c>
      <c r="V129" s="141" t="b">
        <f t="shared" si="123"/>
        <v>0</v>
      </c>
      <c r="W129" s="141" t="b">
        <f t="shared" si="123"/>
        <v>0</v>
      </c>
      <c r="X129" s="141" t="b">
        <f t="shared" si="123"/>
        <v>0</v>
      </c>
      <c r="Y129" s="141" t="b">
        <f t="shared" si="123"/>
        <v>0</v>
      </c>
      <c r="Z129" s="141" t="b">
        <f t="shared" si="123"/>
        <v>0</v>
      </c>
      <c r="AA129" s="141">
        <f t="shared" si="123"/>
        <v>0</v>
      </c>
      <c r="AB129" s="141">
        <f t="shared" si="123"/>
        <v>0</v>
      </c>
      <c r="AC129" s="141" t="b">
        <f t="shared" si="123"/>
        <v>0</v>
      </c>
      <c r="AD129" s="141" t="b">
        <f t="shared" si="123"/>
        <v>0</v>
      </c>
      <c r="AE129" s="141" t="b">
        <f t="shared" si="123"/>
        <v>0</v>
      </c>
      <c r="AF129" s="141" t="b">
        <f t="shared" si="123"/>
        <v>0</v>
      </c>
      <c r="AG129" s="141" t="b">
        <f t="shared" si="123"/>
        <v>0</v>
      </c>
      <c r="AH129" s="154" t="s">
        <v>12</v>
      </c>
      <c r="AI129" s="133"/>
      <c r="AJ129" s="170"/>
      <c r="AK129" s="133"/>
      <c r="AL129" s="133"/>
    </row>
    <row r="130" spans="1:38" ht="15.95" hidden="1" customHeight="1" x14ac:dyDescent="0.25">
      <c r="A130" s="176"/>
      <c r="B130" s="149" t="s">
        <v>64</v>
      </c>
      <c r="C130" s="141">
        <f t="shared" ref="C130:AG130" si="124">IF(C46=1,IF(C124&gt;C125,24-C124,0),0)</f>
        <v>0</v>
      </c>
      <c r="D130" s="141">
        <f t="shared" si="124"/>
        <v>0</v>
      </c>
      <c r="E130" s="141">
        <f t="shared" si="124"/>
        <v>0</v>
      </c>
      <c r="F130" s="141">
        <f t="shared" si="124"/>
        <v>0</v>
      </c>
      <c r="G130" s="141">
        <f t="shared" si="124"/>
        <v>0</v>
      </c>
      <c r="H130" s="141">
        <f t="shared" si="124"/>
        <v>0</v>
      </c>
      <c r="I130" s="141">
        <f t="shared" si="124"/>
        <v>0</v>
      </c>
      <c r="J130" s="141">
        <f t="shared" si="124"/>
        <v>0</v>
      </c>
      <c r="K130" s="141">
        <f t="shared" si="124"/>
        <v>0</v>
      </c>
      <c r="L130" s="141">
        <f t="shared" si="124"/>
        <v>0</v>
      </c>
      <c r="M130" s="141">
        <f t="shared" si="124"/>
        <v>0</v>
      </c>
      <c r="N130" s="141">
        <f t="shared" si="124"/>
        <v>0</v>
      </c>
      <c r="O130" s="141">
        <f t="shared" si="124"/>
        <v>0</v>
      </c>
      <c r="P130" s="141">
        <f t="shared" si="124"/>
        <v>0</v>
      </c>
      <c r="Q130" s="141">
        <f t="shared" si="124"/>
        <v>0</v>
      </c>
      <c r="R130" s="141">
        <f t="shared" si="124"/>
        <v>0</v>
      </c>
      <c r="S130" s="141">
        <f t="shared" si="124"/>
        <v>0</v>
      </c>
      <c r="T130" s="141">
        <f t="shared" si="124"/>
        <v>0</v>
      </c>
      <c r="U130" s="141">
        <f t="shared" si="124"/>
        <v>0</v>
      </c>
      <c r="V130" s="141">
        <f t="shared" si="124"/>
        <v>0</v>
      </c>
      <c r="W130" s="141">
        <f t="shared" si="124"/>
        <v>0</v>
      </c>
      <c r="X130" s="141">
        <f t="shared" si="124"/>
        <v>0</v>
      </c>
      <c r="Y130" s="141">
        <f t="shared" si="124"/>
        <v>0</v>
      </c>
      <c r="Z130" s="141">
        <f t="shared" si="124"/>
        <v>0</v>
      </c>
      <c r="AA130" s="141">
        <f t="shared" si="124"/>
        <v>0</v>
      </c>
      <c r="AB130" s="141">
        <f t="shared" si="124"/>
        <v>0</v>
      </c>
      <c r="AC130" s="141">
        <f t="shared" si="124"/>
        <v>0</v>
      </c>
      <c r="AD130" s="141">
        <f t="shared" si="124"/>
        <v>0</v>
      </c>
      <c r="AE130" s="141">
        <f t="shared" si="124"/>
        <v>0</v>
      </c>
      <c r="AF130" s="141">
        <f t="shared" si="124"/>
        <v>0</v>
      </c>
      <c r="AG130" s="141">
        <f t="shared" si="124"/>
        <v>0</v>
      </c>
      <c r="AH130" s="154" t="s">
        <v>12</v>
      </c>
      <c r="AI130" s="133"/>
      <c r="AJ130" s="170"/>
      <c r="AK130" s="133"/>
      <c r="AL130" s="133"/>
    </row>
    <row r="131" spans="1:38" ht="15.95" hidden="1" customHeight="1" x14ac:dyDescent="0.25">
      <c r="A131" s="176"/>
      <c r="B131" s="149" t="s">
        <v>65</v>
      </c>
      <c r="C131" s="141">
        <f t="shared" ref="C131:AG131" si="125">IF(D46=1,IF(C124&gt;C125,C125,0),0)</f>
        <v>0</v>
      </c>
      <c r="D131" s="141">
        <f t="shared" si="125"/>
        <v>0</v>
      </c>
      <c r="E131" s="141">
        <f t="shared" si="125"/>
        <v>0</v>
      </c>
      <c r="F131" s="141">
        <f t="shared" si="125"/>
        <v>0</v>
      </c>
      <c r="G131" s="141">
        <f t="shared" si="125"/>
        <v>0</v>
      </c>
      <c r="H131" s="141">
        <f t="shared" si="125"/>
        <v>0</v>
      </c>
      <c r="I131" s="141">
        <f t="shared" si="125"/>
        <v>0</v>
      </c>
      <c r="J131" s="141">
        <f t="shared" si="125"/>
        <v>0</v>
      </c>
      <c r="K131" s="141">
        <f t="shared" si="125"/>
        <v>0</v>
      </c>
      <c r="L131" s="141">
        <f t="shared" si="125"/>
        <v>0</v>
      </c>
      <c r="M131" s="141">
        <f t="shared" si="125"/>
        <v>0</v>
      </c>
      <c r="N131" s="141">
        <f t="shared" si="125"/>
        <v>0</v>
      </c>
      <c r="O131" s="141">
        <f t="shared" si="125"/>
        <v>0</v>
      </c>
      <c r="P131" s="141">
        <f t="shared" si="125"/>
        <v>0</v>
      </c>
      <c r="Q131" s="141">
        <f t="shared" si="125"/>
        <v>0</v>
      </c>
      <c r="R131" s="141">
        <f t="shared" si="125"/>
        <v>0</v>
      </c>
      <c r="S131" s="141">
        <f t="shared" si="125"/>
        <v>0</v>
      </c>
      <c r="T131" s="141">
        <f t="shared" si="125"/>
        <v>0</v>
      </c>
      <c r="U131" s="141">
        <f t="shared" si="125"/>
        <v>0</v>
      </c>
      <c r="V131" s="141">
        <f t="shared" si="125"/>
        <v>0</v>
      </c>
      <c r="W131" s="141">
        <f t="shared" si="125"/>
        <v>0</v>
      </c>
      <c r="X131" s="141">
        <f>IF(Y46=1,IF(X124&gt;X125,X125,0),0)</f>
        <v>0</v>
      </c>
      <c r="Y131" s="141">
        <f t="shared" si="125"/>
        <v>0</v>
      </c>
      <c r="Z131" s="141">
        <f t="shared" si="125"/>
        <v>0</v>
      </c>
      <c r="AA131" s="141">
        <f t="shared" si="125"/>
        <v>0</v>
      </c>
      <c r="AB131" s="141">
        <f t="shared" si="125"/>
        <v>0</v>
      </c>
      <c r="AC131" s="141">
        <f t="shared" si="125"/>
        <v>0</v>
      </c>
      <c r="AD131" s="141">
        <f t="shared" si="125"/>
        <v>0</v>
      </c>
      <c r="AE131" s="141">
        <f t="shared" si="125"/>
        <v>0</v>
      </c>
      <c r="AF131" s="141">
        <f t="shared" si="125"/>
        <v>0</v>
      </c>
      <c r="AG131" s="141">
        <f t="shared" si="125"/>
        <v>0</v>
      </c>
      <c r="AH131" s="154" t="s">
        <v>12</v>
      </c>
      <c r="AI131" s="133"/>
      <c r="AJ131" s="170"/>
      <c r="AK131" s="133"/>
      <c r="AL131" s="133"/>
    </row>
    <row r="132" spans="1:38" ht="15.95" hidden="1" customHeight="1" x14ac:dyDescent="0.25">
      <c r="A132" s="176"/>
      <c r="B132" s="149" t="s">
        <v>67</v>
      </c>
      <c r="C132" s="171">
        <f t="shared" ref="C132:AG132" si="126">SUM(C129:C131)</f>
        <v>0</v>
      </c>
      <c r="D132" s="171">
        <f t="shared" si="126"/>
        <v>0</v>
      </c>
      <c r="E132" s="171">
        <f t="shared" si="126"/>
        <v>0</v>
      </c>
      <c r="F132" s="171">
        <f t="shared" si="126"/>
        <v>0</v>
      </c>
      <c r="G132" s="171">
        <f t="shared" si="126"/>
        <v>0</v>
      </c>
      <c r="H132" s="171">
        <f t="shared" si="126"/>
        <v>0</v>
      </c>
      <c r="I132" s="171">
        <f t="shared" si="126"/>
        <v>0</v>
      </c>
      <c r="J132" s="171">
        <f t="shared" si="126"/>
        <v>0</v>
      </c>
      <c r="K132" s="171">
        <f t="shared" si="126"/>
        <v>0</v>
      </c>
      <c r="L132" s="171">
        <f t="shared" si="126"/>
        <v>0</v>
      </c>
      <c r="M132" s="171">
        <f t="shared" si="126"/>
        <v>0</v>
      </c>
      <c r="N132" s="171">
        <f t="shared" si="126"/>
        <v>0</v>
      </c>
      <c r="O132" s="171">
        <f t="shared" si="126"/>
        <v>0</v>
      </c>
      <c r="P132" s="171">
        <f t="shared" si="126"/>
        <v>0</v>
      </c>
      <c r="Q132" s="171">
        <f t="shared" si="126"/>
        <v>0</v>
      </c>
      <c r="R132" s="171">
        <f t="shared" si="126"/>
        <v>0</v>
      </c>
      <c r="S132" s="171">
        <f t="shared" si="126"/>
        <v>0</v>
      </c>
      <c r="T132" s="171">
        <f t="shared" si="126"/>
        <v>0</v>
      </c>
      <c r="U132" s="171">
        <f t="shared" si="126"/>
        <v>0</v>
      </c>
      <c r="V132" s="171">
        <f t="shared" si="126"/>
        <v>0</v>
      </c>
      <c r="W132" s="171">
        <f t="shared" si="126"/>
        <v>0</v>
      </c>
      <c r="X132" s="171">
        <f t="shared" si="126"/>
        <v>0</v>
      </c>
      <c r="Y132" s="171">
        <f t="shared" si="126"/>
        <v>0</v>
      </c>
      <c r="Z132" s="171">
        <f t="shared" si="126"/>
        <v>0</v>
      </c>
      <c r="AA132" s="171">
        <f t="shared" si="126"/>
        <v>0</v>
      </c>
      <c r="AB132" s="171">
        <f t="shared" si="126"/>
        <v>0</v>
      </c>
      <c r="AC132" s="171">
        <f t="shared" si="126"/>
        <v>0</v>
      </c>
      <c r="AD132" s="171">
        <f t="shared" si="126"/>
        <v>0</v>
      </c>
      <c r="AE132" s="171">
        <f t="shared" si="126"/>
        <v>0</v>
      </c>
      <c r="AF132" s="171">
        <f t="shared" si="126"/>
        <v>0</v>
      </c>
      <c r="AG132" s="171">
        <f t="shared" si="126"/>
        <v>0</v>
      </c>
      <c r="AH132" s="154" t="s">
        <v>12</v>
      </c>
      <c r="AI132" s="133"/>
      <c r="AJ132" s="170"/>
      <c r="AK132" s="133"/>
      <c r="AL132" s="133"/>
    </row>
    <row r="133" spans="1:38" ht="15.95" hidden="1" customHeight="1" x14ac:dyDescent="0.25">
      <c r="A133" s="177"/>
      <c r="B133" s="160" t="s">
        <v>68</v>
      </c>
      <c r="C133" s="161">
        <f t="shared" ref="C133:AG133" si="127">IF(C16="V",IF(C16="",0,1),0)</f>
        <v>0</v>
      </c>
      <c r="D133" s="161">
        <f t="shared" si="127"/>
        <v>0</v>
      </c>
      <c r="E133" s="161">
        <f t="shared" si="127"/>
        <v>0</v>
      </c>
      <c r="F133" s="161">
        <f t="shared" si="127"/>
        <v>0</v>
      </c>
      <c r="G133" s="161">
        <f t="shared" si="127"/>
        <v>0</v>
      </c>
      <c r="H133" s="161">
        <f t="shared" si="127"/>
        <v>0</v>
      </c>
      <c r="I133" s="161">
        <f t="shared" si="127"/>
        <v>0</v>
      </c>
      <c r="J133" s="161">
        <f t="shared" si="127"/>
        <v>0</v>
      </c>
      <c r="K133" s="161">
        <f t="shared" si="127"/>
        <v>0</v>
      </c>
      <c r="L133" s="161">
        <f t="shared" si="127"/>
        <v>0</v>
      </c>
      <c r="M133" s="161">
        <f t="shared" si="127"/>
        <v>0</v>
      </c>
      <c r="N133" s="161">
        <f t="shared" si="127"/>
        <v>0</v>
      </c>
      <c r="O133" s="161">
        <f t="shared" si="127"/>
        <v>0</v>
      </c>
      <c r="P133" s="161">
        <f t="shared" si="127"/>
        <v>0</v>
      </c>
      <c r="Q133" s="161">
        <f t="shared" si="127"/>
        <v>0</v>
      </c>
      <c r="R133" s="161">
        <f t="shared" si="127"/>
        <v>0</v>
      </c>
      <c r="S133" s="161">
        <f t="shared" si="127"/>
        <v>0</v>
      </c>
      <c r="T133" s="161">
        <f t="shared" si="127"/>
        <v>0</v>
      </c>
      <c r="U133" s="161">
        <f t="shared" si="127"/>
        <v>0</v>
      </c>
      <c r="V133" s="161">
        <f t="shared" si="127"/>
        <v>0</v>
      </c>
      <c r="W133" s="161">
        <f t="shared" si="127"/>
        <v>0</v>
      </c>
      <c r="X133" s="161">
        <f t="shared" si="127"/>
        <v>0</v>
      </c>
      <c r="Y133" s="161">
        <f t="shared" si="127"/>
        <v>0</v>
      </c>
      <c r="Z133" s="161">
        <f t="shared" si="127"/>
        <v>0</v>
      </c>
      <c r="AA133" s="161">
        <f t="shared" si="127"/>
        <v>0</v>
      </c>
      <c r="AB133" s="161">
        <f t="shared" si="127"/>
        <v>0</v>
      </c>
      <c r="AC133" s="161">
        <f t="shared" si="127"/>
        <v>0</v>
      </c>
      <c r="AD133" s="161">
        <f t="shared" si="127"/>
        <v>0</v>
      </c>
      <c r="AE133" s="161">
        <f t="shared" si="127"/>
        <v>0</v>
      </c>
      <c r="AF133" s="161">
        <f t="shared" si="127"/>
        <v>0</v>
      </c>
      <c r="AG133" s="161">
        <f t="shared" si="127"/>
        <v>0</v>
      </c>
      <c r="AH133" s="154" t="s">
        <v>12</v>
      </c>
      <c r="AI133" s="133"/>
      <c r="AJ133" s="170"/>
      <c r="AK133" s="133"/>
      <c r="AL133" s="133"/>
    </row>
    <row r="134" spans="1:38" ht="15.95" hidden="1" customHeight="1" x14ac:dyDescent="0.25">
      <c r="A134" s="180"/>
      <c r="B134" s="181" t="s">
        <v>16</v>
      </c>
      <c r="C134" s="182">
        <f t="shared" ref="C134:AG134" si="128">IF(C16="PR",IF(C16="",0,1),0)</f>
        <v>0</v>
      </c>
      <c r="D134" s="182">
        <f t="shared" si="128"/>
        <v>0</v>
      </c>
      <c r="E134" s="182">
        <f t="shared" si="128"/>
        <v>0</v>
      </c>
      <c r="F134" s="182">
        <f t="shared" si="128"/>
        <v>0</v>
      </c>
      <c r="G134" s="182">
        <f t="shared" si="128"/>
        <v>0</v>
      </c>
      <c r="H134" s="182">
        <f t="shared" si="128"/>
        <v>0</v>
      </c>
      <c r="I134" s="182">
        <f t="shared" si="128"/>
        <v>0</v>
      </c>
      <c r="J134" s="182">
        <f t="shared" si="128"/>
        <v>0</v>
      </c>
      <c r="K134" s="182">
        <f t="shared" si="128"/>
        <v>0</v>
      </c>
      <c r="L134" s="182">
        <f t="shared" si="128"/>
        <v>0</v>
      </c>
      <c r="M134" s="182">
        <f t="shared" si="128"/>
        <v>0</v>
      </c>
      <c r="N134" s="182">
        <f t="shared" si="128"/>
        <v>0</v>
      </c>
      <c r="O134" s="182">
        <f t="shared" si="128"/>
        <v>0</v>
      </c>
      <c r="P134" s="182">
        <f t="shared" si="128"/>
        <v>0</v>
      </c>
      <c r="Q134" s="182">
        <f t="shared" si="128"/>
        <v>0</v>
      </c>
      <c r="R134" s="182">
        <f t="shared" si="128"/>
        <v>0</v>
      </c>
      <c r="S134" s="182">
        <f t="shared" si="128"/>
        <v>0</v>
      </c>
      <c r="T134" s="182">
        <f t="shared" si="128"/>
        <v>0</v>
      </c>
      <c r="U134" s="182">
        <f t="shared" si="128"/>
        <v>0</v>
      </c>
      <c r="V134" s="182">
        <f t="shared" si="128"/>
        <v>0</v>
      </c>
      <c r="W134" s="182">
        <f t="shared" si="128"/>
        <v>0</v>
      </c>
      <c r="X134" s="182">
        <f t="shared" si="128"/>
        <v>0</v>
      </c>
      <c r="Y134" s="182">
        <f t="shared" si="128"/>
        <v>0</v>
      </c>
      <c r="Z134" s="182">
        <f t="shared" si="128"/>
        <v>0</v>
      </c>
      <c r="AA134" s="182">
        <f t="shared" si="128"/>
        <v>0</v>
      </c>
      <c r="AB134" s="182">
        <f t="shared" si="128"/>
        <v>0</v>
      </c>
      <c r="AC134" s="182">
        <f t="shared" si="128"/>
        <v>0</v>
      </c>
      <c r="AD134" s="182">
        <f t="shared" si="128"/>
        <v>0</v>
      </c>
      <c r="AE134" s="182">
        <f t="shared" si="128"/>
        <v>0</v>
      </c>
      <c r="AF134" s="182">
        <f t="shared" si="128"/>
        <v>0</v>
      </c>
      <c r="AG134" s="182">
        <f t="shared" si="128"/>
        <v>0</v>
      </c>
      <c r="AH134" s="227">
        <f>SUM(C134:AG134)</f>
        <v>0</v>
      </c>
      <c r="AI134" s="227"/>
      <c r="AJ134" s="174" t="s">
        <v>69</v>
      </c>
      <c r="AK134" s="133"/>
      <c r="AL134" s="133"/>
    </row>
    <row r="135" spans="1:38" ht="15.95" hidden="1" customHeight="1" x14ac:dyDescent="0.25">
      <c r="A135" s="164" t="s">
        <v>85</v>
      </c>
      <c r="B135" s="165" t="s">
        <v>29</v>
      </c>
      <c r="C135" s="141" t="str">
        <f t="shared" ref="C135:AG135" si="129">IF(C17=$R32,$S32*24,IF(C17=$R33,$S33*24,IF(C17=$R34,$S34*24,IF(C17=$R35,$S35*24,IF(C17=$R36,$S36*24,IF(C17=$R37,$S37*24,IF(C17=$R38,$S38*24,IF(C17=$R39,$S39*24,IF(C17=$R40,$S40*24,"")))))))))</f>
        <v/>
      </c>
      <c r="D135" s="141" t="str">
        <f t="shared" si="129"/>
        <v/>
      </c>
      <c r="E135" s="141" t="str">
        <f t="shared" si="129"/>
        <v/>
      </c>
      <c r="F135" s="141" t="str">
        <f t="shared" si="129"/>
        <v/>
      </c>
      <c r="G135" s="141" t="str">
        <f t="shared" si="129"/>
        <v/>
      </c>
      <c r="H135" s="141" t="str">
        <f t="shared" si="129"/>
        <v/>
      </c>
      <c r="I135" s="141" t="str">
        <f t="shared" si="129"/>
        <v/>
      </c>
      <c r="J135" s="141" t="str">
        <f t="shared" si="129"/>
        <v/>
      </c>
      <c r="K135" s="141" t="str">
        <f t="shared" si="129"/>
        <v/>
      </c>
      <c r="L135" s="141" t="str">
        <f t="shared" si="129"/>
        <v/>
      </c>
      <c r="M135" s="141" t="str">
        <f t="shared" si="129"/>
        <v/>
      </c>
      <c r="N135" s="141" t="str">
        <f t="shared" si="129"/>
        <v/>
      </c>
      <c r="O135" s="141" t="str">
        <f t="shared" si="129"/>
        <v/>
      </c>
      <c r="P135" s="141" t="str">
        <f t="shared" si="129"/>
        <v/>
      </c>
      <c r="Q135" s="141" t="str">
        <f t="shared" si="129"/>
        <v/>
      </c>
      <c r="R135" s="141" t="str">
        <f t="shared" si="129"/>
        <v/>
      </c>
      <c r="S135" s="141" t="str">
        <f t="shared" si="129"/>
        <v/>
      </c>
      <c r="T135" s="141" t="str">
        <f t="shared" si="129"/>
        <v/>
      </c>
      <c r="U135" s="141" t="str">
        <f t="shared" si="129"/>
        <v/>
      </c>
      <c r="V135" s="141" t="str">
        <f t="shared" si="129"/>
        <v/>
      </c>
      <c r="W135" s="141" t="str">
        <f t="shared" si="129"/>
        <v/>
      </c>
      <c r="X135" s="141" t="str">
        <f t="shared" si="129"/>
        <v/>
      </c>
      <c r="Y135" s="141" t="str">
        <f t="shared" si="129"/>
        <v/>
      </c>
      <c r="Z135" s="141" t="str">
        <f t="shared" si="129"/>
        <v/>
      </c>
      <c r="AA135" s="141" t="str">
        <f t="shared" si="129"/>
        <v/>
      </c>
      <c r="AB135" s="141" t="str">
        <f t="shared" si="129"/>
        <v/>
      </c>
      <c r="AC135" s="141" t="str">
        <f t="shared" si="129"/>
        <v/>
      </c>
      <c r="AD135" s="141" t="str">
        <f t="shared" si="129"/>
        <v/>
      </c>
      <c r="AE135" s="141" t="str">
        <f t="shared" si="129"/>
        <v/>
      </c>
      <c r="AF135" s="141" t="str">
        <f t="shared" si="129"/>
        <v/>
      </c>
      <c r="AG135" s="141" t="str">
        <f t="shared" si="129"/>
        <v/>
      </c>
      <c r="AH135" s="154" t="s">
        <v>12</v>
      </c>
      <c r="AI135" s="133"/>
      <c r="AJ135" s="170"/>
      <c r="AK135" s="133"/>
      <c r="AL135" s="133"/>
    </row>
    <row r="136" spans="1:38" ht="15.95" hidden="1" customHeight="1" x14ac:dyDescent="0.25">
      <c r="A136" s="166" t="s">
        <v>86</v>
      </c>
      <c r="B136" s="167" t="s">
        <v>30</v>
      </c>
      <c r="C136" s="141" t="str">
        <f t="shared" ref="C136:AG136" si="130">IF(C17=$R32,$V32*24,IF(C17=$R33,$V33*24,IF(C17=$R34,$V34*24,IF(C17=$R35,$V35*24,IF(C17=$R36,$V36*24,IF(C17=$R37,$V37*24,IF(C17=$R38,$V38*24,IF(C17=$R39,$V39*24,IF(C17=$R40,$V40*24,"")))))))))</f>
        <v/>
      </c>
      <c r="D136" s="141" t="str">
        <f t="shared" si="130"/>
        <v/>
      </c>
      <c r="E136" s="141" t="str">
        <f t="shared" si="130"/>
        <v/>
      </c>
      <c r="F136" s="141" t="str">
        <f t="shared" si="130"/>
        <v/>
      </c>
      <c r="G136" s="141" t="str">
        <f t="shared" si="130"/>
        <v/>
      </c>
      <c r="H136" s="141" t="str">
        <f t="shared" si="130"/>
        <v/>
      </c>
      <c r="I136" s="141" t="str">
        <f t="shared" si="130"/>
        <v/>
      </c>
      <c r="J136" s="141" t="str">
        <f t="shared" si="130"/>
        <v/>
      </c>
      <c r="K136" s="141" t="str">
        <f t="shared" si="130"/>
        <v/>
      </c>
      <c r="L136" s="141" t="str">
        <f t="shared" si="130"/>
        <v/>
      </c>
      <c r="M136" s="141" t="str">
        <f t="shared" si="130"/>
        <v/>
      </c>
      <c r="N136" s="141" t="str">
        <f t="shared" si="130"/>
        <v/>
      </c>
      <c r="O136" s="141" t="str">
        <f t="shared" si="130"/>
        <v/>
      </c>
      <c r="P136" s="141" t="str">
        <f t="shared" si="130"/>
        <v/>
      </c>
      <c r="Q136" s="141" t="str">
        <f t="shared" si="130"/>
        <v/>
      </c>
      <c r="R136" s="141" t="str">
        <f t="shared" si="130"/>
        <v/>
      </c>
      <c r="S136" s="141" t="str">
        <f t="shared" si="130"/>
        <v/>
      </c>
      <c r="T136" s="141" t="str">
        <f t="shared" si="130"/>
        <v/>
      </c>
      <c r="U136" s="141" t="str">
        <f t="shared" si="130"/>
        <v/>
      </c>
      <c r="V136" s="141" t="str">
        <f t="shared" si="130"/>
        <v/>
      </c>
      <c r="W136" s="141" t="str">
        <f t="shared" si="130"/>
        <v/>
      </c>
      <c r="X136" s="141" t="str">
        <f t="shared" si="130"/>
        <v/>
      </c>
      <c r="Y136" s="141" t="str">
        <f t="shared" si="130"/>
        <v/>
      </c>
      <c r="Z136" s="141" t="str">
        <f t="shared" si="130"/>
        <v/>
      </c>
      <c r="AA136" s="141" t="str">
        <f t="shared" si="130"/>
        <v/>
      </c>
      <c r="AB136" s="141" t="str">
        <f t="shared" si="130"/>
        <v/>
      </c>
      <c r="AC136" s="141" t="str">
        <f t="shared" si="130"/>
        <v/>
      </c>
      <c r="AD136" s="141" t="str">
        <f t="shared" si="130"/>
        <v/>
      </c>
      <c r="AE136" s="141" t="str">
        <f t="shared" si="130"/>
        <v/>
      </c>
      <c r="AF136" s="141" t="str">
        <f t="shared" si="130"/>
        <v/>
      </c>
      <c r="AG136" s="141" t="str">
        <f t="shared" si="130"/>
        <v/>
      </c>
      <c r="AH136" s="154" t="s">
        <v>12</v>
      </c>
      <c r="AI136" s="133"/>
      <c r="AJ136" s="170"/>
      <c r="AK136" s="133"/>
      <c r="AL136" s="133"/>
    </row>
    <row r="137" spans="1:38" ht="15.95" hidden="1" customHeight="1" x14ac:dyDescent="0.25">
      <c r="A137" s="153"/>
      <c r="B137" s="168" t="s">
        <v>34</v>
      </c>
      <c r="C137" s="169" t="str">
        <f t="shared" ref="C137:AD137" si="131">IF(C17=$R32,$BD32*24,IF(C17=$R33,$BD33*24,IF(C17=$R34,$BD34*24,IF(C17=$R35,$BD35*24,IF(C17=$R36,$BD36*24,IF(C17=$R37,$BD37*24,IF(C17=$R38,$BD38*24,IF(C17=$R39,$BD39*24,IF(C17=$R40,$BD40*24,"")))))))))</f>
        <v/>
      </c>
      <c r="D137" s="169" t="str">
        <f t="shared" si="131"/>
        <v/>
      </c>
      <c r="E137" s="169" t="str">
        <f t="shared" si="131"/>
        <v/>
      </c>
      <c r="F137" s="169" t="str">
        <f t="shared" si="131"/>
        <v/>
      </c>
      <c r="G137" s="169" t="str">
        <f t="shared" si="131"/>
        <v/>
      </c>
      <c r="H137" s="169" t="str">
        <f t="shared" si="131"/>
        <v/>
      </c>
      <c r="I137" s="169" t="str">
        <f t="shared" si="131"/>
        <v/>
      </c>
      <c r="J137" s="169" t="str">
        <f t="shared" si="131"/>
        <v/>
      </c>
      <c r="K137" s="169" t="str">
        <f t="shared" si="131"/>
        <v/>
      </c>
      <c r="L137" s="169" t="str">
        <f t="shared" si="131"/>
        <v/>
      </c>
      <c r="M137" s="169" t="str">
        <f t="shared" si="131"/>
        <v/>
      </c>
      <c r="N137" s="169" t="str">
        <f t="shared" si="131"/>
        <v/>
      </c>
      <c r="O137" s="169" t="str">
        <f t="shared" si="131"/>
        <v/>
      </c>
      <c r="P137" s="169" t="str">
        <f t="shared" si="131"/>
        <v/>
      </c>
      <c r="Q137" s="169" t="str">
        <f t="shared" si="131"/>
        <v/>
      </c>
      <c r="R137" s="169" t="str">
        <f t="shared" si="131"/>
        <v/>
      </c>
      <c r="S137" s="169" t="str">
        <f t="shared" si="131"/>
        <v/>
      </c>
      <c r="T137" s="169" t="str">
        <f t="shared" si="131"/>
        <v/>
      </c>
      <c r="U137" s="169" t="str">
        <f t="shared" si="131"/>
        <v/>
      </c>
      <c r="V137" s="169" t="str">
        <f t="shared" si="131"/>
        <v/>
      </c>
      <c r="W137" s="169" t="str">
        <f t="shared" si="131"/>
        <v/>
      </c>
      <c r="X137" s="169" t="str">
        <f t="shared" si="131"/>
        <v/>
      </c>
      <c r="Y137" s="169" t="str">
        <f t="shared" si="131"/>
        <v/>
      </c>
      <c r="Z137" s="169" t="str">
        <f t="shared" si="131"/>
        <v/>
      </c>
      <c r="AA137" s="169" t="str">
        <f t="shared" si="131"/>
        <v/>
      </c>
      <c r="AB137" s="169" t="str">
        <f t="shared" si="131"/>
        <v/>
      </c>
      <c r="AC137" s="169" t="str">
        <f t="shared" si="131"/>
        <v/>
      </c>
      <c r="AD137" s="169" t="str">
        <f t="shared" si="131"/>
        <v/>
      </c>
      <c r="AE137" s="169" t="str">
        <f>IF(AE17=$R32,$BD32*24,IF(AE17=$R33,$BD33*24,IF(AE17=$R34,$BD34*24,IF(AE17=$R35,$BD35*24,IF(AE17=$R36,$BD36*24,IF(AE17=$R37,$BD37*24,IF(AE17=$R38,$BD38*24,IF(AE17=$R39,$BD39*24,IF(AE17=$R40,$BD40*24,"")))))))))</f>
        <v/>
      </c>
      <c r="AF137" s="169" t="str">
        <f>IF(AF17=$R32,$BD32*24,IF(AF17=$R33,$BD33*24,IF(AF17=$R34,$BD34*24,IF(AF17=$R35,$BD35*24,IF(AF17=$R36,$BD36*24,IF(AF17=$R37,$BD37*24,IF(AF17=$R38,$BD38*24,IF(AF17=$R39,$BD39*24,IF(AF17=$R40,$BD40*24,"")))))))))</f>
        <v/>
      </c>
      <c r="AG137" s="169" t="str">
        <f>IF(AG17=$R32,$BD32*24,IF(AG17=$R33,$BD33*24,IF(AG17=$R34,$BD34*24,IF(AG17=$R35,$BD35*24,IF(AG17=$R36,$BD36*24,IF(AG17=$R37,$BD37*24,IF(AG17=$R38,$BD38*24,IF(AG17=$R39,$BD39*24,IF(AG17=$R40,$BD40*24,"")))))))))</f>
        <v/>
      </c>
      <c r="AH137" s="148">
        <f>SUM(C137:AG137)</f>
        <v>0</v>
      </c>
      <c r="AI137" s="133"/>
      <c r="AJ137" s="170"/>
      <c r="AK137" s="133"/>
      <c r="AL137" s="133"/>
    </row>
    <row r="138" spans="1:38" ht="15.95" hidden="1" customHeight="1" x14ac:dyDescent="0.25">
      <c r="A138" s="153"/>
      <c r="B138" s="167" t="s">
        <v>59</v>
      </c>
      <c r="C138" s="141">
        <f t="shared" ref="C138:AG138" si="132">IF(C17="V",$C36,IF(C17="PR",$C38,0))</f>
        <v>0</v>
      </c>
      <c r="D138" s="141">
        <f t="shared" si="132"/>
        <v>0</v>
      </c>
      <c r="E138" s="141">
        <f t="shared" si="132"/>
        <v>0</v>
      </c>
      <c r="F138" s="141">
        <f t="shared" si="132"/>
        <v>0</v>
      </c>
      <c r="G138" s="141">
        <f t="shared" si="132"/>
        <v>0</v>
      </c>
      <c r="H138" s="141">
        <f t="shared" si="132"/>
        <v>0</v>
      </c>
      <c r="I138" s="141">
        <f t="shared" si="132"/>
        <v>0</v>
      </c>
      <c r="J138" s="141">
        <f t="shared" si="132"/>
        <v>0</v>
      </c>
      <c r="K138" s="141">
        <f t="shared" si="132"/>
        <v>0</v>
      </c>
      <c r="L138" s="141">
        <f t="shared" si="132"/>
        <v>0</v>
      </c>
      <c r="M138" s="141">
        <f t="shared" si="132"/>
        <v>0</v>
      </c>
      <c r="N138" s="141">
        <f t="shared" si="132"/>
        <v>0</v>
      </c>
      <c r="O138" s="141">
        <f t="shared" si="132"/>
        <v>0</v>
      </c>
      <c r="P138" s="141">
        <f t="shared" si="132"/>
        <v>0</v>
      </c>
      <c r="Q138" s="141">
        <f t="shared" si="132"/>
        <v>0</v>
      </c>
      <c r="R138" s="141">
        <f t="shared" si="132"/>
        <v>0</v>
      </c>
      <c r="S138" s="141">
        <f t="shared" si="132"/>
        <v>0</v>
      </c>
      <c r="T138" s="141">
        <f t="shared" si="132"/>
        <v>0</v>
      </c>
      <c r="U138" s="141">
        <f t="shared" si="132"/>
        <v>0</v>
      </c>
      <c r="V138" s="141">
        <f t="shared" si="132"/>
        <v>0</v>
      </c>
      <c r="W138" s="141">
        <f t="shared" si="132"/>
        <v>0</v>
      </c>
      <c r="X138" s="141">
        <f t="shared" si="132"/>
        <v>0</v>
      </c>
      <c r="Y138" s="141">
        <f t="shared" si="132"/>
        <v>0</v>
      </c>
      <c r="Z138" s="141">
        <f t="shared" si="132"/>
        <v>0</v>
      </c>
      <c r="AA138" s="141">
        <f t="shared" si="132"/>
        <v>0</v>
      </c>
      <c r="AB138" s="141">
        <f t="shared" si="132"/>
        <v>0</v>
      </c>
      <c r="AC138" s="141">
        <f t="shared" si="132"/>
        <v>0</v>
      </c>
      <c r="AD138" s="141">
        <f t="shared" si="132"/>
        <v>0</v>
      </c>
      <c r="AE138" s="141">
        <f t="shared" si="132"/>
        <v>0</v>
      </c>
      <c r="AF138" s="141">
        <f t="shared" si="132"/>
        <v>0</v>
      </c>
      <c r="AG138" s="141">
        <f t="shared" si="132"/>
        <v>0</v>
      </c>
      <c r="AH138" s="226">
        <f>SUM(C138:AG138)</f>
        <v>0</v>
      </c>
      <c r="AI138" s="226"/>
      <c r="AJ138" s="230">
        <f>SUM(AH83+AH94+AH105+AH116+AH127+AH138)</f>
        <v>0</v>
      </c>
      <c r="AK138" s="230"/>
      <c r="AL138" s="133" t="s">
        <v>56</v>
      </c>
    </row>
    <row r="139" spans="1:38" ht="15.95" hidden="1" customHeight="1" x14ac:dyDescent="0.25">
      <c r="A139" s="150" t="s">
        <v>60</v>
      </c>
      <c r="B139" s="167" t="s">
        <v>61</v>
      </c>
      <c r="C139" s="151">
        <f t="shared" ref="C139:AD139" si="133">IF(C17=$R32,$BC32,IF(C17=$R33,$BC33,IF(C17=$R34,$BC34,IF(C17=$R35,$BC35,IF(C17=$R36,$BC36,IF(C17=$R37,$BC37,IF(C17=$R38,$BC38,IF(C17=$R39,$BC39,IF(C17=$R40,$BC40,0)))))))))</f>
        <v>0</v>
      </c>
      <c r="D139" s="151">
        <f t="shared" si="133"/>
        <v>0</v>
      </c>
      <c r="E139" s="151">
        <f t="shared" si="133"/>
        <v>0</v>
      </c>
      <c r="F139" s="151">
        <f t="shared" si="133"/>
        <v>0</v>
      </c>
      <c r="G139" s="151">
        <f t="shared" si="133"/>
        <v>0</v>
      </c>
      <c r="H139" s="151">
        <f t="shared" si="133"/>
        <v>0</v>
      </c>
      <c r="I139" s="151">
        <f t="shared" si="133"/>
        <v>0</v>
      </c>
      <c r="J139" s="151">
        <f t="shared" si="133"/>
        <v>0</v>
      </c>
      <c r="K139" s="151">
        <f t="shared" si="133"/>
        <v>0</v>
      </c>
      <c r="L139" s="151">
        <f t="shared" si="133"/>
        <v>0</v>
      </c>
      <c r="M139" s="151">
        <f t="shared" si="133"/>
        <v>0</v>
      </c>
      <c r="N139" s="151">
        <f t="shared" si="133"/>
        <v>0</v>
      </c>
      <c r="O139" s="151">
        <f t="shared" si="133"/>
        <v>0</v>
      </c>
      <c r="P139" s="151">
        <f t="shared" si="133"/>
        <v>0</v>
      </c>
      <c r="Q139" s="151">
        <f t="shared" si="133"/>
        <v>0</v>
      </c>
      <c r="R139" s="151">
        <f t="shared" si="133"/>
        <v>0</v>
      </c>
      <c r="S139" s="151">
        <f t="shared" si="133"/>
        <v>0</v>
      </c>
      <c r="T139" s="151">
        <f t="shared" si="133"/>
        <v>0</v>
      </c>
      <c r="U139" s="151">
        <f t="shared" si="133"/>
        <v>0</v>
      </c>
      <c r="V139" s="151">
        <f t="shared" si="133"/>
        <v>0</v>
      </c>
      <c r="W139" s="151">
        <f t="shared" si="133"/>
        <v>0</v>
      </c>
      <c r="X139" s="151">
        <f t="shared" si="133"/>
        <v>0</v>
      </c>
      <c r="Y139" s="151">
        <f t="shared" si="133"/>
        <v>0</v>
      </c>
      <c r="Z139" s="151">
        <f t="shared" si="133"/>
        <v>0</v>
      </c>
      <c r="AA139" s="151">
        <f t="shared" si="133"/>
        <v>0</v>
      </c>
      <c r="AB139" s="151">
        <f t="shared" si="133"/>
        <v>0</v>
      </c>
      <c r="AC139" s="151">
        <f t="shared" si="133"/>
        <v>0</v>
      </c>
      <c r="AD139" s="151">
        <f t="shared" si="133"/>
        <v>0</v>
      </c>
      <c r="AE139" s="151">
        <f>IF(AE17=$R32,$BC32,IF(AE17=$R33,$BC33,IF(AE17=$R34,$BC34,IF(AE17=$R35,$BC35,IF(AE17=$R36,$BC36,IF(AE17=$R37,$BC37,IF(AE17=$R38,$BC38,IF(AE17=$R39,$BC39,IF(AE17=$R40,$BC40,0)))))))))</f>
        <v>0</v>
      </c>
      <c r="AF139" s="151">
        <f>IF(AF17=$R32,$BC32,IF(AF17=$R33,$BC33,IF(AF17=$R34,$BC34,IF(AF17=$R35,$BC35,IF(AF17=$R36,$BC36,IF(AF17=$R37,$BC37,IF(AF17=$R38,$BC38,IF(AF17=$R39,$BC39,IF(AF17=$R40,$BC40,0)))))))))</f>
        <v>0</v>
      </c>
      <c r="AG139" s="151">
        <f>IF(AG17=$R32,$BC32,IF(AG17=$R33,$BC33,IF(AG17=$R34,$BC34,IF(AG17=$R35,$BC35,IF(AG17=$R36,$BC36,IF(AG17=$R37,$BC37,IF(AG17=$R38,$BC38,IF(AG17=$R39,$BC39,IF(AG17=$R40,$BC40,0)))))))))</f>
        <v>0</v>
      </c>
      <c r="AH139" s="226">
        <f>SUM(C139:AG139)</f>
        <v>0</v>
      </c>
      <c r="AI139" s="226"/>
      <c r="AJ139" s="174" t="s">
        <v>62</v>
      </c>
      <c r="AK139" s="133" t="s">
        <v>12</v>
      </c>
      <c r="AL139" s="133"/>
    </row>
    <row r="140" spans="1:38" ht="15.95" hidden="1" customHeight="1" x14ac:dyDescent="0.25">
      <c r="A140" s="153" t="s">
        <v>48</v>
      </c>
      <c r="B140" s="149" t="s">
        <v>63</v>
      </c>
      <c r="C140" s="141" t="b">
        <f t="shared" ref="C140:AG140" si="134">IF(C46=1,IF(C135&lt;C136,C139,0))</f>
        <v>0</v>
      </c>
      <c r="D140" s="141" t="b">
        <f t="shared" si="134"/>
        <v>0</v>
      </c>
      <c r="E140" s="141" t="b">
        <f t="shared" si="134"/>
        <v>0</v>
      </c>
      <c r="F140" s="141">
        <f t="shared" si="134"/>
        <v>0</v>
      </c>
      <c r="G140" s="141">
        <f t="shared" si="134"/>
        <v>0</v>
      </c>
      <c r="H140" s="141" t="b">
        <f t="shared" si="134"/>
        <v>0</v>
      </c>
      <c r="I140" s="141" t="b">
        <f t="shared" si="134"/>
        <v>0</v>
      </c>
      <c r="J140" s="141" t="b">
        <f t="shared" si="134"/>
        <v>0</v>
      </c>
      <c r="K140" s="141" t="b">
        <f t="shared" si="134"/>
        <v>0</v>
      </c>
      <c r="L140" s="141" t="b">
        <f t="shared" si="134"/>
        <v>0</v>
      </c>
      <c r="M140" s="141">
        <f t="shared" si="134"/>
        <v>0</v>
      </c>
      <c r="N140" s="141">
        <f t="shared" si="134"/>
        <v>0</v>
      </c>
      <c r="O140" s="141" t="b">
        <f t="shared" si="134"/>
        <v>0</v>
      </c>
      <c r="P140" s="141" t="b">
        <f t="shared" si="134"/>
        <v>0</v>
      </c>
      <c r="Q140" s="141" t="b">
        <f t="shared" si="134"/>
        <v>0</v>
      </c>
      <c r="R140" s="141" t="b">
        <f t="shared" si="134"/>
        <v>0</v>
      </c>
      <c r="S140" s="141" t="b">
        <f t="shared" si="134"/>
        <v>0</v>
      </c>
      <c r="T140" s="141">
        <f t="shared" si="134"/>
        <v>0</v>
      </c>
      <c r="U140" s="141">
        <f t="shared" si="134"/>
        <v>0</v>
      </c>
      <c r="V140" s="141" t="b">
        <f t="shared" si="134"/>
        <v>0</v>
      </c>
      <c r="W140" s="141" t="b">
        <f t="shared" si="134"/>
        <v>0</v>
      </c>
      <c r="X140" s="141" t="b">
        <f t="shared" si="134"/>
        <v>0</v>
      </c>
      <c r="Y140" s="141" t="b">
        <f t="shared" si="134"/>
        <v>0</v>
      </c>
      <c r="Z140" s="141" t="b">
        <f t="shared" si="134"/>
        <v>0</v>
      </c>
      <c r="AA140" s="141">
        <f t="shared" si="134"/>
        <v>0</v>
      </c>
      <c r="AB140" s="141">
        <f t="shared" si="134"/>
        <v>0</v>
      </c>
      <c r="AC140" s="141" t="b">
        <f t="shared" si="134"/>
        <v>0</v>
      </c>
      <c r="AD140" s="141" t="b">
        <f t="shared" si="134"/>
        <v>0</v>
      </c>
      <c r="AE140" s="141" t="b">
        <f t="shared" si="134"/>
        <v>0</v>
      </c>
      <c r="AF140" s="141" t="b">
        <f t="shared" si="134"/>
        <v>0</v>
      </c>
      <c r="AG140" s="141" t="b">
        <f t="shared" si="134"/>
        <v>0</v>
      </c>
      <c r="AH140" s="154" t="s">
        <v>12</v>
      </c>
      <c r="AI140" s="133"/>
      <c r="AJ140" s="170"/>
      <c r="AK140" s="133"/>
      <c r="AL140" s="133"/>
    </row>
    <row r="141" spans="1:38" ht="15.95" hidden="1" customHeight="1" x14ac:dyDescent="0.25">
      <c r="A141" s="176"/>
      <c r="B141" s="149" t="s">
        <v>64</v>
      </c>
      <c r="C141" s="141">
        <f t="shared" ref="C141:AG141" si="135">IF(C46=1,IF(C135&gt;C136,24-C135,0),0)</f>
        <v>0</v>
      </c>
      <c r="D141" s="141">
        <f t="shared" si="135"/>
        <v>0</v>
      </c>
      <c r="E141" s="141">
        <f t="shared" si="135"/>
        <v>0</v>
      </c>
      <c r="F141" s="141">
        <f t="shared" si="135"/>
        <v>0</v>
      </c>
      <c r="G141" s="141">
        <f t="shared" si="135"/>
        <v>0</v>
      </c>
      <c r="H141" s="141">
        <f t="shared" si="135"/>
        <v>0</v>
      </c>
      <c r="I141" s="141">
        <f t="shared" si="135"/>
        <v>0</v>
      </c>
      <c r="J141" s="141">
        <f t="shared" si="135"/>
        <v>0</v>
      </c>
      <c r="K141" s="141">
        <f t="shared" si="135"/>
        <v>0</v>
      </c>
      <c r="L141" s="141">
        <f t="shared" si="135"/>
        <v>0</v>
      </c>
      <c r="M141" s="141">
        <f t="shared" si="135"/>
        <v>0</v>
      </c>
      <c r="N141" s="141">
        <f t="shared" si="135"/>
        <v>0</v>
      </c>
      <c r="O141" s="141">
        <f t="shared" si="135"/>
        <v>0</v>
      </c>
      <c r="P141" s="141">
        <f t="shared" si="135"/>
        <v>0</v>
      </c>
      <c r="Q141" s="141">
        <f t="shared" si="135"/>
        <v>0</v>
      </c>
      <c r="R141" s="141">
        <f t="shared" si="135"/>
        <v>0</v>
      </c>
      <c r="S141" s="141">
        <f t="shared" si="135"/>
        <v>0</v>
      </c>
      <c r="T141" s="141">
        <f t="shared" si="135"/>
        <v>0</v>
      </c>
      <c r="U141" s="141">
        <f t="shared" si="135"/>
        <v>0</v>
      </c>
      <c r="V141" s="141">
        <f t="shared" si="135"/>
        <v>0</v>
      </c>
      <c r="W141" s="141">
        <f t="shared" si="135"/>
        <v>0</v>
      </c>
      <c r="X141" s="141">
        <f t="shared" si="135"/>
        <v>0</v>
      </c>
      <c r="Y141" s="141">
        <f t="shared" si="135"/>
        <v>0</v>
      </c>
      <c r="Z141" s="141">
        <f t="shared" si="135"/>
        <v>0</v>
      </c>
      <c r="AA141" s="141">
        <f t="shared" si="135"/>
        <v>0</v>
      </c>
      <c r="AB141" s="141">
        <f t="shared" si="135"/>
        <v>0</v>
      </c>
      <c r="AC141" s="141">
        <f t="shared" si="135"/>
        <v>0</v>
      </c>
      <c r="AD141" s="141">
        <f t="shared" si="135"/>
        <v>0</v>
      </c>
      <c r="AE141" s="141">
        <f t="shared" si="135"/>
        <v>0</v>
      </c>
      <c r="AF141" s="141">
        <f t="shared" si="135"/>
        <v>0</v>
      </c>
      <c r="AG141" s="141">
        <f t="shared" si="135"/>
        <v>0</v>
      </c>
      <c r="AH141" s="154" t="s">
        <v>12</v>
      </c>
      <c r="AI141" s="133"/>
      <c r="AJ141" s="170"/>
      <c r="AK141" s="133"/>
      <c r="AL141" s="133"/>
    </row>
    <row r="142" spans="1:38" ht="15.95" hidden="1" customHeight="1" x14ac:dyDescent="0.25">
      <c r="A142" s="176"/>
      <c r="B142" s="149" t="s">
        <v>65</v>
      </c>
      <c r="C142" s="141">
        <f t="shared" ref="C142:AG142" si="136">IF(D46=1,IF(C135&gt;C136,C136,0),0)</f>
        <v>0</v>
      </c>
      <c r="D142" s="141">
        <f t="shared" si="136"/>
        <v>0</v>
      </c>
      <c r="E142" s="141">
        <f t="shared" si="136"/>
        <v>0</v>
      </c>
      <c r="F142" s="141">
        <f t="shared" si="136"/>
        <v>0</v>
      </c>
      <c r="G142" s="141">
        <f t="shared" si="136"/>
        <v>0</v>
      </c>
      <c r="H142" s="141">
        <f t="shared" si="136"/>
        <v>0</v>
      </c>
      <c r="I142" s="141">
        <f t="shared" si="136"/>
        <v>0</v>
      </c>
      <c r="J142" s="141">
        <f t="shared" si="136"/>
        <v>0</v>
      </c>
      <c r="K142" s="141">
        <f t="shared" si="136"/>
        <v>0</v>
      </c>
      <c r="L142" s="141">
        <f t="shared" si="136"/>
        <v>0</v>
      </c>
      <c r="M142" s="141">
        <f t="shared" si="136"/>
        <v>0</v>
      </c>
      <c r="N142" s="141">
        <f t="shared" si="136"/>
        <v>0</v>
      </c>
      <c r="O142" s="141">
        <f t="shared" si="136"/>
        <v>0</v>
      </c>
      <c r="P142" s="141">
        <f t="shared" si="136"/>
        <v>0</v>
      </c>
      <c r="Q142" s="141">
        <f t="shared" si="136"/>
        <v>0</v>
      </c>
      <c r="R142" s="141">
        <f t="shared" si="136"/>
        <v>0</v>
      </c>
      <c r="S142" s="141">
        <f t="shared" si="136"/>
        <v>0</v>
      </c>
      <c r="T142" s="141">
        <f t="shared" si="136"/>
        <v>0</v>
      </c>
      <c r="U142" s="141">
        <f t="shared" si="136"/>
        <v>0</v>
      </c>
      <c r="V142" s="141">
        <f t="shared" si="136"/>
        <v>0</v>
      </c>
      <c r="W142" s="141">
        <f t="shared" si="136"/>
        <v>0</v>
      </c>
      <c r="X142" s="141">
        <f>IF(Y46=1,IF(X135&gt;X136,X136,0),0)</f>
        <v>0</v>
      </c>
      <c r="Y142" s="141">
        <f t="shared" si="136"/>
        <v>0</v>
      </c>
      <c r="Z142" s="141">
        <f t="shared" si="136"/>
        <v>0</v>
      </c>
      <c r="AA142" s="141">
        <f t="shared" si="136"/>
        <v>0</v>
      </c>
      <c r="AB142" s="141">
        <f t="shared" si="136"/>
        <v>0</v>
      </c>
      <c r="AC142" s="141">
        <f t="shared" si="136"/>
        <v>0</v>
      </c>
      <c r="AD142" s="141">
        <f t="shared" si="136"/>
        <v>0</v>
      </c>
      <c r="AE142" s="141">
        <f t="shared" si="136"/>
        <v>0</v>
      </c>
      <c r="AF142" s="141">
        <f t="shared" si="136"/>
        <v>0</v>
      </c>
      <c r="AG142" s="141">
        <f t="shared" si="136"/>
        <v>0</v>
      </c>
      <c r="AH142" s="154" t="s">
        <v>12</v>
      </c>
      <c r="AI142" s="133"/>
      <c r="AJ142" s="170"/>
      <c r="AK142" s="133"/>
      <c r="AL142" s="133"/>
    </row>
    <row r="143" spans="1:38" ht="15.95" hidden="1" customHeight="1" x14ac:dyDescent="0.25">
      <c r="A143" s="176"/>
      <c r="B143" s="149" t="s">
        <v>67</v>
      </c>
      <c r="C143" s="171">
        <f>SUM(C140:C142)</f>
        <v>0</v>
      </c>
      <c r="D143" s="171">
        <f t="shared" ref="D143:AG143" si="137">SUM(D140:D142)</f>
        <v>0</v>
      </c>
      <c r="E143" s="171">
        <f t="shared" si="137"/>
        <v>0</v>
      </c>
      <c r="F143" s="171">
        <f t="shared" si="137"/>
        <v>0</v>
      </c>
      <c r="G143" s="171">
        <f t="shared" si="137"/>
        <v>0</v>
      </c>
      <c r="H143" s="171">
        <f t="shared" si="137"/>
        <v>0</v>
      </c>
      <c r="I143" s="171">
        <f t="shared" si="137"/>
        <v>0</v>
      </c>
      <c r="J143" s="171">
        <f t="shared" si="137"/>
        <v>0</v>
      </c>
      <c r="K143" s="171">
        <f t="shared" si="137"/>
        <v>0</v>
      </c>
      <c r="L143" s="171">
        <f t="shared" si="137"/>
        <v>0</v>
      </c>
      <c r="M143" s="171">
        <f t="shared" si="137"/>
        <v>0</v>
      </c>
      <c r="N143" s="171">
        <f t="shared" si="137"/>
        <v>0</v>
      </c>
      <c r="O143" s="171">
        <f t="shared" si="137"/>
        <v>0</v>
      </c>
      <c r="P143" s="171">
        <f t="shared" si="137"/>
        <v>0</v>
      </c>
      <c r="Q143" s="171">
        <f t="shared" si="137"/>
        <v>0</v>
      </c>
      <c r="R143" s="171">
        <f t="shared" si="137"/>
        <v>0</v>
      </c>
      <c r="S143" s="171">
        <f t="shared" si="137"/>
        <v>0</v>
      </c>
      <c r="T143" s="171">
        <f t="shared" si="137"/>
        <v>0</v>
      </c>
      <c r="U143" s="171">
        <f t="shared" si="137"/>
        <v>0</v>
      </c>
      <c r="V143" s="171">
        <f t="shared" si="137"/>
        <v>0</v>
      </c>
      <c r="W143" s="171">
        <f t="shared" si="137"/>
        <v>0</v>
      </c>
      <c r="X143" s="171">
        <f t="shared" si="137"/>
        <v>0</v>
      </c>
      <c r="Y143" s="171">
        <f t="shared" si="137"/>
        <v>0</v>
      </c>
      <c r="Z143" s="171">
        <f t="shared" si="137"/>
        <v>0</v>
      </c>
      <c r="AA143" s="171">
        <f t="shared" si="137"/>
        <v>0</v>
      </c>
      <c r="AB143" s="171">
        <f t="shared" si="137"/>
        <v>0</v>
      </c>
      <c r="AC143" s="171">
        <f t="shared" si="137"/>
        <v>0</v>
      </c>
      <c r="AD143" s="171">
        <f t="shared" si="137"/>
        <v>0</v>
      </c>
      <c r="AE143" s="171">
        <f t="shared" si="137"/>
        <v>0</v>
      </c>
      <c r="AF143" s="171">
        <f t="shared" si="137"/>
        <v>0</v>
      </c>
      <c r="AG143" s="171">
        <f t="shared" si="137"/>
        <v>0</v>
      </c>
      <c r="AH143" s="154" t="s">
        <v>12</v>
      </c>
      <c r="AI143" s="133"/>
      <c r="AJ143" s="170"/>
      <c r="AK143" s="133"/>
      <c r="AL143" s="133"/>
    </row>
    <row r="144" spans="1:38" ht="15.95" hidden="1" customHeight="1" x14ac:dyDescent="0.25">
      <c r="A144" s="177"/>
      <c r="B144" s="160" t="s">
        <v>68</v>
      </c>
      <c r="C144" s="161">
        <f t="shared" ref="C144:AG144" si="138">IF(C17="V",IF(C17="",0,1),0)</f>
        <v>0</v>
      </c>
      <c r="D144" s="161">
        <f t="shared" si="138"/>
        <v>0</v>
      </c>
      <c r="E144" s="161">
        <f t="shared" si="138"/>
        <v>0</v>
      </c>
      <c r="F144" s="161">
        <f t="shared" si="138"/>
        <v>0</v>
      </c>
      <c r="G144" s="161">
        <f t="shared" si="138"/>
        <v>0</v>
      </c>
      <c r="H144" s="161">
        <f t="shared" si="138"/>
        <v>0</v>
      </c>
      <c r="I144" s="161">
        <f t="shared" si="138"/>
        <v>0</v>
      </c>
      <c r="J144" s="161">
        <f t="shared" si="138"/>
        <v>0</v>
      </c>
      <c r="K144" s="161">
        <f t="shared" si="138"/>
        <v>0</v>
      </c>
      <c r="L144" s="161">
        <f t="shared" si="138"/>
        <v>0</v>
      </c>
      <c r="M144" s="161">
        <f t="shared" si="138"/>
        <v>0</v>
      </c>
      <c r="N144" s="161">
        <f t="shared" si="138"/>
        <v>0</v>
      </c>
      <c r="O144" s="161">
        <f t="shared" si="138"/>
        <v>0</v>
      </c>
      <c r="P144" s="161">
        <f t="shared" si="138"/>
        <v>0</v>
      </c>
      <c r="Q144" s="161">
        <f t="shared" si="138"/>
        <v>0</v>
      </c>
      <c r="R144" s="161">
        <f t="shared" si="138"/>
        <v>0</v>
      </c>
      <c r="S144" s="161">
        <f t="shared" si="138"/>
        <v>0</v>
      </c>
      <c r="T144" s="161">
        <f t="shared" si="138"/>
        <v>0</v>
      </c>
      <c r="U144" s="161">
        <f t="shared" si="138"/>
        <v>0</v>
      </c>
      <c r="V144" s="161">
        <f t="shared" si="138"/>
        <v>0</v>
      </c>
      <c r="W144" s="161">
        <f t="shared" si="138"/>
        <v>0</v>
      </c>
      <c r="X144" s="161">
        <f t="shared" si="138"/>
        <v>0</v>
      </c>
      <c r="Y144" s="161">
        <f t="shared" si="138"/>
        <v>0</v>
      </c>
      <c r="Z144" s="161">
        <f t="shared" si="138"/>
        <v>0</v>
      </c>
      <c r="AA144" s="161">
        <f t="shared" si="138"/>
        <v>0</v>
      </c>
      <c r="AB144" s="161">
        <f t="shared" si="138"/>
        <v>0</v>
      </c>
      <c r="AC144" s="161">
        <f t="shared" si="138"/>
        <v>0</v>
      </c>
      <c r="AD144" s="161">
        <f t="shared" si="138"/>
        <v>0</v>
      </c>
      <c r="AE144" s="161">
        <f t="shared" si="138"/>
        <v>0</v>
      </c>
      <c r="AF144" s="161">
        <f t="shared" si="138"/>
        <v>0</v>
      </c>
      <c r="AG144" s="161">
        <f t="shared" si="138"/>
        <v>0</v>
      </c>
      <c r="AH144" s="154" t="s">
        <v>12</v>
      </c>
      <c r="AI144" s="133"/>
      <c r="AJ144" s="170"/>
      <c r="AK144" s="133"/>
      <c r="AL144" s="133"/>
    </row>
    <row r="145" spans="1:38" ht="15.95" hidden="1" customHeight="1" x14ac:dyDescent="0.25">
      <c r="A145" s="180"/>
      <c r="B145" s="181" t="s">
        <v>16</v>
      </c>
      <c r="C145" s="182">
        <f t="shared" ref="C145:AG145" si="139">IF(C17="PR",IF(C17="",0,1),0)</f>
        <v>0</v>
      </c>
      <c r="D145" s="182">
        <f t="shared" si="139"/>
        <v>0</v>
      </c>
      <c r="E145" s="182">
        <f t="shared" si="139"/>
        <v>0</v>
      </c>
      <c r="F145" s="182">
        <f t="shared" si="139"/>
        <v>0</v>
      </c>
      <c r="G145" s="182">
        <f t="shared" si="139"/>
        <v>0</v>
      </c>
      <c r="H145" s="182">
        <f t="shared" si="139"/>
        <v>0</v>
      </c>
      <c r="I145" s="182">
        <f t="shared" si="139"/>
        <v>0</v>
      </c>
      <c r="J145" s="182">
        <f t="shared" si="139"/>
        <v>0</v>
      </c>
      <c r="K145" s="182">
        <f t="shared" si="139"/>
        <v>0</v>
      </c>
      <c r="L145" s="182">
        <f t="shared" si="139"/>
        <v>0</v>
      </c>
      <c r="M145" s="182">
        <f t="shared" si="139"/>
        <v>0</v>
      </c>
      <c r="N145" s="182">
        <f t="shared" si="139"/>
        <v>0</v>
      </c>
      <c r="O145" s="182">
        <f t="shared" si="139"/>
        <v>0</v>
      </c>
      <c r="P145" s="182">
        <f t="shared" si="139"/>
        <v>0</v>
      </c>
      <c r="Q145" s="182">
        <f t="shared" si="139"/>
        <v>0</v>
      </c>
      <c r="R145" s="182">
        <f t="shared" si="139"/>
        <v>0</v>
      </c>
      <c r="S145" s="182">
        <f t="shared" si="139"/>
        <v>0</v>
      </c>
      <c r="T145" s="182">
        <f t="shared" si="139"/>
        <v>0</v>
      </c>
      <c r="U145" s="182">
        <f t="shared" si="139"/>
        <v>0</v>
      </c>
      <c r="V145" s="182">
        <f t="shared" si="139"/>
        <v>0</v>
      </c>
      <c r="W145" s="182">
        <f t="shared" si="139"/>
        <v>0</v>
      </c>
      <c r="X145" s="182">
        <f t="shared" si="139"/>
        <v>0</v>
      </c>
      <c r="Y145" s="182">
        <f t="shared" si="139"/>
        <v>0</v>
      </c>
      <c r="Z145" s="182">
        <f t="shared" si="139"/>
        <v>0</v>
      </c>
      <c r="AA145" s="182">
        <f t="shared" si="139"/>
        <v>0</v>
      </c>
      <c r="AB145" s="182">
        <f t="shared" si="139"/>
        <v>0</v>
      </c>
      <c r="AC145" s="182">
        <f t="shared" si="139"/>
        <v>0</v>
      </c>
      <c r="AD145" s="182">
        <f t="shared" si="139"/>
        <v>0</v>
      </c>
      <c r="AE145" s="182">
        <f t="shared" si="139"/>
        <v>0</v>
      </c>
      <c r="AF145" s="182">
        <f t="shared" si="139"/>
        <v>0</v>
      </c>
      <c r="AG145" s="182">
        <f t="shared" si="139"/>
        <v>0</v>
      </c>
      <c r="AH145" s="227">
        <f>SUM(C145:AG145)</f>
        <v>0</v>
      </c>
      <c r="AI145" s="227"/>
      <c r="AJ145" s="174" t="s">
        <v>69</v>
      </c>
      <c r="AK145" s="133"/>
      <c r="AL145" s="133"/>
    </row>
    <row r="146" spans="1:38" ht="15.95" hidden="1" customHeight="1" x14ac:dyDescent="0.25">
      <c r="A146" s="164" t="s">
        <v>87</v>
      </c>
      <c r="B146" s="165" t="s">
        <v>29</v>
      </c>
      <c r="C146" s="141" t="str">
        <f t="shared" ref="C146:AG146" si="140">IF(C18=$R32,$S32*24,IF(C18=$R33,$S33*24,IF(C18=$R34,$S34*24,IF(C18=$R35,$S35*24,IF(C18=$R36,$S36*24,IF(C18=$R37,$S37*24,IF(C18=$R38,$S38*24,IF(C18=$R39,$S39*24,IF(C18=$R40,$S40*24,"")))))))))</f>
        <v/>
      </c>
      <c r="D146" s="141" t="str">
        <f t="shared" si="140"/>
        <v/>
      </c>
      <c r="E146" s="141" t="str">
        <f t="shared" si="140"/>
        <v/>
      </c>
      <c r="F146" s="141" t="str">
        <f t="shared" si="140"/>
        <v/>
      </c>
      <c r="G146" s="141" t="str">
        <f t="shared" si="140"/>
        <v/>
      </c>
      <c r="H146" s="141" t="str">
        <f t="shared" si="140"/>
        <v/>
      </c>
      <c r="I146" s="141" t="str">
        <f t="shared" si="140"/>
        <v/>
      </c>
      <c r="J146" s="141" t="str">
        <f t="shared" si="140"/>
        <v/>
      </c>
      <c r="K146" s="141" t="str">
        <f t="shared" si="140"/>
        <v/>
      </c>
      <c r="L146" s="141" t="str">
        <f t="shared" si="140"/>
        <v/>
      </c>
      <c r="M146" s="141" t="str">
        <f t="shared" si="140"/>
        <v/>
      </c>
      <c r="N146" s="141" t="str">
        <f t="shared" si="140"/>
        <v/>
      </c>
      <c r="O146" s="141" t="str">
        <f t="shared" si="140"/>
        <v/>
      </c>
      <c r="P146" s="141" t="str">
        <f t="shared" si="140"/>
        <v/>
      </c>
      <c r="Q146" s="141" t="str">
        <f t="shared" si="140"/>
        <v/>
      </c>
      <c r="R146" s="141" t="str">
        <f t="shared" si="140"/>
        <v/>
      </c>
      <c r="S146" s="141" t="str">
        <f t="shared" si="140"/>
        <v/>
      </c>
      <c r="T146" s="141" t="str">
        <f t="shared" si="140"/>
        <v/>
      </c>
      <c r="U146" s="141" t="str">
        <f t="shared" si="140"/>
        <v/>
      </c>
      <c r="V146" s="141" t="str">
        <f t="shared" si="140"/>
        <v/>
      </c>
      <c r="W146" s="141" t="str">
        <f t="shared" si="140"/>
        <v/>
      </c>
      <c r="X146" s="141" t="str">
        <f t="shared" si="140"/>
        <v/>
      </c>
      <c r="Y146" s="141" t="str">
        <f t="shared" si="140"/>
        <v/>
      </c>
      <c r="Z146" s="141" t="str">
        <f t="shared" si="140"/>
        <v/>
      </c>
      <c r="AA146" s="141" t="str">
        <f t="shared" si="140"/>
        <v/>
      </c>
      <c r="AB146" s="141" t="str">
        <f t="shared" si="140"/>
        <v/>
      </c>
      <c r="AC146" s="141" t="str">
        <f t="shared" si="140"/>
        <v/>
      </c>
      <c r="AD146" s="141" t="str">
        <f t="shared" si="140"/>
        <v/>
      </c>
      <c r="AE146" s="141" t="str">
        <f t="shared" si="140"/>
        <v/>
      </c>
      <c r="AF146" s="141" t="str">
        <f t="shared" si="140"/>
        <v/>
      </c>
      <c r="AG146" s="141" t="str">
        <f t="shared" si="140"/>
        <v/>
      </c>
      <c r="AH146" s="154" t="s">
        <v>12</v>
      </c>
      <c r="AI146" s="133"/>
      <c r="AJ146" s="170"/>
      <c r="AK146" s="133"/>
      <c r="AL146" s="133"/>
    </row>
    <row r="147" spans="1:38" ht="15.95" hidden="1" customHeight="1" x14ac:dyDescent="0.25">
      <c r="A147" s="166" t="s">
        <v>88</v>
      </c>
      <c r="B147" s="167" t="s">
        <v>30</v>
      </c>
      <c r="C147" s="141" t="str">
        <f t="shared" ref="C147:AG147" si="141">IF(C18=$R32,$V32*24,IF(C18=$R33,$V33*24,IF(C18=$R34,$V34*24,IF(C18=$R35,$V35*24,IF(C18=$R36,$V36*24,IF(C18=$R37,$V37*24,IF(C18=$R38,$V38*24,IF(C18=$R39,$V39*24,IF(C18=$R40,$V40*24,"")))))))))</f>
        <v/>
      </c>
      <c r="D147" s="141" t="str">
        <f t="shared" si="141"/>
        <v/>
      </c>
      <c r="E147" s="141" t="str">
        <f t="shared" si="141"/>
        <v/>
      </c>
      <c r="F147" s="141" t="str">
        <f t="shared" si="141"/>
        <v/>
      </c>
      <c r="G147" s="141" t="str">
        <f t="shared" si="141"/>
        <v/>
      </c>
      <c r="H147" s="141" t="str">
        <f t="shared" si="141"/>
        <v/>
      </c>
      <c r="I147" s="141" t="str">
        <f t="shared" si="141"/>
        <v/>
      </c>
      <c r="J147" s="141" t="str">
        <f t="shared" si="141"/>
        <v/>
      </c>
      <c r="K147" s="141" t="str">
        <f t="shared" si="141"/>
        <v/>
      </c>
      <c r="L147" s="141" t="str">
        <f t="shared" si="141"/>
        <v/>
      </c>
      <c r="M147" s="141" t="str">
        <f t="shared" si="141"/>
        <v/>
      </c>
      <c r="N147" s="141" t="str">
        <f t="shared" si="141"/>
        <v/>
      </c>
      <c r="O147" s="141" t="str">
        <f t="shared" si="141"/>
        <v/>
      </c>
      <c r="P147" s="141" t="str">
        <f t="shared" si="141"/>
        <v/>
      </c>
      <c r="Q147" s="141" t="str">
        <f t="shared" si="141"/>
        <v/>
      </c>
      <c r="R147" s="141" t="str">
        <f t="shared" si="141"/>
        <v/>
      </c>
      <c r="S147" s="141" t="str">
        <f t="shared" si="141"/>
        <v/>
      </c>
      <c r="T147" s="141" t="str">
        <f t="shared" si="141"/>
        <v/>
      </c>
      <c r="U147" s="141" t="str">
        <f t="shared" si="141"/>
        <v/>
      </c>
      <c r="V147" s="141" t="str">
        <f t="shared" si="141"/>
        <v/>
      </c>
      <c r="W147" s="141" t="str">
        <f t="shared" si="141"/>
        <v/>
      </c>
      <c r="X147" s="141" t="str">
        <f t="shared" si="141"/>
        <v/>
      </c>
      <c r="Y147" s="141" t="str">
        <f t="shared" si="141"/>
        <v/>
      </c>
      <c r="Z147" s="141" t="str">
        <f t="shared" si="141"/>
        <v/>
      </c>
      <c r="AA147" s="141" t="str">
        <f t="shared" si="141"/>
        <v/>
      </c>
      <c r="AB147" s="141" t="str">
        <f t="shared" si="141"/>
        <v/>
      </c>
      <c r="AC147" s="141" t="str">
        <f t="shared" si="141"/>
        <v/>
      </c>
      <c r="AD147" s="141" t="str">
        <f t="shared" si="141"/>
        <v/>
      </c>
      <c r="AE147" s="141" t="str">
        <f t="shared" si="141"/>
        <v/>
      </c>
      <c r="AF147" s="141" t="str">
        <f t="shared" si="141"/>
        <v/>
      </c>
      <c r="AG147" s="141" t="str">
        <f t="shared" si="141"/>
        <v/>
      </c>
      <c r="AH147" s="154" t="s">
        <v>12</v>
      </c>
      <c r="AI147" s="133"/>
      <c r="AJ147" s="170"/>
      <c r="AK147" s="133"/>
      <c r="AL147" s="133"/>
    </row>
    <row r="148" spans="1:38" ht="15.95" hidden="1" customHeight="1" x14ac:dyDescent="0.25">
      <c r="A148" s="153"/>
      <c r="B148" s="168" t="s">
        <v>34</v>
      </c>
      <c r="C148" s="169" t="str">
        <f t="shared" ref="C148:AD148" si="142">IF(C18=$R32,$BD32*24,IF(C18=$R33,$BD33*24,IF(C18=$R34,$BD34*24,IF(C18=$R35,$BD35*24,IF(C18=$R36,$BD36*24,IF(C18=$R37,$BD37*24,IF(C18=$R38,$BD38*24,IF(C18=$R39,$BD39*24,IF(C18=$R40,$BD40*24,"")))))))))</f>
        <v/>
      </c>
      <c r="D148" s="169" t="str">
        <f t="shared" si="142"/>
        <v/>
      </c>
      <c r="E148" s="169" t="str">
        <f t="shared" si="142"/>
        <v/>
      </c>
      <c r="F148" s="169" t="str">
        <f t="shared" si="142"/>
        <v/>
      </c>
      <c r="G148" s="169" t="str">
        <f t="shared" si="142"/>
        <v/>
      </c>
      <c r="H148" s="169" t="str">
        <f t="shared" si="142"/>
        <v/>
      </c>
      <c r="I148" s="169" t="str">
        <f t="shared" si="142"/>
        <v/>
      </c>
      <c r="J148" s="169" t="str">
        <f t="shared" si="142"/>
        <v/>
      </c>
      <c r="K148" s="169" t="str">
        <f t="shared" si="142"/>
        <v/>
      </c>
      <c r="L148" s="169" t="str">
        <f t="shared" si="142"/>
        <v/>
      </c>
      <c r="M148" s="169" t="str">
        <f t="shared" si="142"/>
        <v/>
      </c>
      <c r="N148" s="169" t="str">
        <f t="shared" si="142"/>
        <v/>
      </c>
      <c r="O148" s="169" t="str">
        <f t="shared" si="142"/>
        <v/>
      </c>
      <c r="P148" s="169" t="str">
        <f t="shared" si="142"/>
        <v/>
      </c>
      <c r="Q148" s="169" t="str">
        <f t="shared" si="142"/>
        <v/>
      </c>
      <c r="R148" s="169" t="str">
        <f t="shared" si="142"/>
        <v/>
      </c>
      <c r="S148" s="169" t="str">
        <f t="shared" si="142"/>
        <v/>
      </c>
      <c r="T148" s="169" t="str">
        <f t="shared" si="142"/>
        <v/>
      </c>
      <c r="U148" s="169" t="str">
        <f t="shared" si="142"/>
        <v/>
      </c>
      <c r="V148" s="169" t="str">
        <f t="shared" si="142"/>
        <v/>
      </c>
      <c r="W148" s="169" t="str">
        <f t="shared" si="142"/>
        <v/>
      </c>
      <c r="X148" s="169" t="str">
        <f t="shared" si="142"/>
        <v/>
      </c>
      <c r="Y148" s="169" t="str">
        <f t="shared" si="142"/>
        <v/>
      </c>
      <c r="Z148" s="169" t="str">
        <f t="shared" si="142"/>
        <v/>
      </c>
      <c r="AA148" s="169" t="str">
        <f t="shared" si="142"/>
        <v/>
      </c>
      <c r="AB148" s="169" t="str">
        <f t="shared" si="142"/>
        <v/>
      </c>
      <c r="AC148" s="169" t="str">
        <f t="shared" si="142"/>
        <v/>
      </c>
      <c r="AD148" s="169" t="str">
        <f t="shared" si="142"/>
        <v/>
      </c>
      <c r="AE148" s="169" t="str">
        <f>IF(AE18=$R32,$BD32*24,IF(AE18=$R33,$BD33*24,IF(AE18=$R34,$BD34*24,IF(AE18=$R35,$BD35*24,IF(AE18=$R36,$BD36*24,IF(AE18=$R37,$BD37*24,IF(AE18=$R38,$BD38*24,IF(AE18=$R39,$BD39*24,IF(AE18=$R40,$BD40*24,"")))))))))</f>
        <v/>
      </c>
      <c r="AF148" s="169" t="str">
        <f>IF(AF18=$R32,$BD32*24,IF(AF18=$R33,$BD33*24,IF(AF18=$R34,$BD34*24,IF(AF18=$R35,$BD35*24,IF(AF18=$R36,$BD36*24,IF(AF18=$R37,$BD37*24,IF(AF18=$R38,$BD38*24,IF(AF18=$R39,$BD39*24,IF(AF18=$R40,$BD40*24,"")))))))))</f>
        <v/>
      </c>
      <c r="AG148" s="169" t="str">
        <f>IF(AG18=$R32,$BD32*24,IF(AG18=$R33,$BD33*24,IF(AG18=$R34,$BD34*24,IF(AG18=$R35,$BD35*24,IF(AG18=$R36,$BD36*24,IF(AG18=$R37,$BD37*24,IF(AG18=$R38,$BD38*24,IF(AG18=$R39,$BD39*24,IF(AG18=$R40,$BD40*24,"")))))))))</f>
        <v/>
      </c>
      <c r="AH148" s="148">
        <f>SUM(C148:AG148)</f>
        <v>0</v>
      </c>
      <c r="AI148" s="133"/>
      <c r="AJ148" s="170"/>
      <c r="AK148" s="133"/>
      <c r="AL148" s="133"/>
    </row>
    <row r="149" spans="1:38" ht="15.95" hidden="1" customHeight="1" x14ac:dyDescent="0.25">
      <c r="A149" s="153"/>
      <c r="B149" s="167" t="s">
        <v>59</v>
      </c>
      <c r="C149" s="141">
        <f t="shared" ref="C149:AG149" si="143">IF(C18="V",$C36,IF(C18="PR",$C38,0))</f>
        <v>0</v>
      </c>
      <c r="D149" s="141">
        <f t="shared" si="143"/>
        <v>0</v>
      </c>
      <c r="E149" s="141">
        <f t="shared" si="143"/>
        <v>0</v>
      </c>
      <c r="F149" s="141">
        <f t="shared" si="143"/>
        <v>0</v>
      </c>
      <c r="G149" s="141">
        <f t="shared" si="143"/>
        <v>0</v>
      </c>
      <c r="H149" s="141">
        <f t="shared" si="143"/>
        <v>0</v>
      </c>
      <c r="I149" s="141">
        <f t="shared" si="143"/>
        <v>0</v>
      </c>
      <c r="J149" s="141">
        <f t="shared" si="143"/>
        <v>0</v>
      </c>
      <c r="K149" s="141">
        <f t="shared" si="143"/>
        <v>0</v>
      </c>
      <c r="L149" s="141">
        <f t="shared" si="143"/>
        <v>0</v>
      </c>
      <c r="M149" s="141">
        <f t="shared" si="143"/>
        <v>0</v>
      </c>
      <c r="N149" s="141">
        <f t="shared" si="143"/>
        <v>0</v>
      </c>
      <c r="O149" s="141">
        <f t="shared" si="143"/>
        <v>0</v>
      </c>
      <c r="P149" s="141">
        <f t="shared" si="143"/>
        <v>0</v>
      </c>
      <c r="Q149" s="141">
        <f t="shared" si="143"/>
        <v>0</v>
      </c>
      <c r="R149" s="141">
        <f t="shared" si="143"/>
        <v>0</v>
      </c>
      <c r="S149" s="141">
        <f t="shared" si="143"/>
        <v>0</v>
      </c>
      <c r="T149" s="141">
        <f t="shared" si="143"/>
        <v>0</v>
      </c>
      <c r="U149" s="141">
        <f t="shared" si="143"/>
        <v>0</v>
      </c>
      <c r="V149" s="141">
        <f t="shared" si="143"/>
        <v>0</v>
      </c>
      <c r="W149" s="141">
        <f t="shared" si="143"/>
        <v>0</v>
      </c>
      <c r="X149" s="141">
        <f t="shared" si="143"/>
        <v>0</v>
      </c>
      <c r="Y149" s="141">
        <f t="shared" si="143"/>
        <v>0</v>
      </c>
      <c r="Z149" s="141">
        <f t="shared" si="143"/>
        <v>0</v>
      </c>
      <c r="AA149" s="141">
        <f t="shared" si="143"/>
        <v>0</v>
      </c>
      <c r="AB149" s="141">
        <f t="shared" si="143"/>
        <v>0</v>
      </c>
      <c r="AC149" s="141">
        <f t="shared" si="143"/>
        <v>0</v>
      </c>
      <c r="AD149" s="141">
        <f t="shared" si="143"/>
        <v>0</v>
      </c>
      <c r="AE149" s="141">
        <f t="shared" si="143"/>
        <v>0</v>
      </c>
      <c r="AF149" s="141">
        <f t="shared" si="143"/>
        <v>0</v>
      </c>
      <c r="AG149" s="141">
        <f t="shared" si="143"/>
        <v>0</v>
      </c>
      <c r="AH149" s="226">
        <f>SUM(C149:AG149)</f>
        <v>0</v>
      </c>
      <c r="AI149" s="226"/>
      <c r="AJ149" s="230">
        <f>SUM(AH94+AH105+AH116+AH127+AH138+AH149)</f>
        <v>0</v>
      </c>
      <c r="AK149" s="230"/>
      <c r="AL149" s="133" t="s">
        <v>56</v>
      </c>
    </row>
    <row r="150" spans="1:38" ht="15.95" hidden="1" customHeight="1" x14ac:dyDescent="0.25">
      <c r="A150" s="150" t="s">
        <v>60</v>
      </c>
      <c r="B150" s="167" t="s">
        <v>61</v>
      </c>
      <c r="C150" s="151">
        <f t="shared" ref="C150:AD150" si="144">IF(C18=$R32,$BC32,IF(C18=$R33,$BC33,IF(C18=$R34,$BC34,IF(C18=$R35,$BC35,IF(C18=$R36,$BC36,IF(C18=$R37,$BC37,IF(C18=$R38,$BC38,IF(C18=$R39,$BC39,IF(C18=$R40,$BC40,0)))))))))</f>
        <v>0</v>
      </c>
      <c r="D150" s="151">
        <f t="shared" si="144"/>
        <v>0</v>
      </c>
      <c r="E150" s="151">
        <f t="shared" si="144"/>
        <v>0</v>
      </c>
      <c r="F150" s="151">
        <f t="shared" si="144"/>
        <v>0</v>
      </c>
      <c r="G150" s="151">
        <f t="shared" si="144"/>
        <v>0</v>
      </c>
      <c r="H150" s="151">
        <f t="shared" si="144"/>
        <v>0</v>
      </c>
      <c r="I150" s="151">
        <f t="shared" si="144"/>
        <v>0</v>
      </c>
      <c r="J150" s="151">
        <f t="shared" si="144"/>
        <v>0</v>
      </c>
      <c r="K150" s="151">
        <f t="shared" si="144"/>
        <v>0</v>
      </c>
      <c r="L150" s="151">
        <f t="shared" si="144"/>
        <v>0</v>
      </c>
      <c r="M150" s="151">
        <f t="shared" si="144"/>
        <v>0</v>
      </c>
      <c r="N150" s="151">
        <f t="shared" si="144"/>
        <v>0</v>
      </c>
      <c r="O150" s="151">
        <f t="shared" si="144"/>
        <v>0</v>
      </c>
      <c r="P150" s="151">
        <f t="shared" si="144"/>
        <v>0</v>
      </c>
      <c r="Q150" s="151">
        <f t="shared" si="144"/>
        <v>0</v>
      </c>
      <c r="R150" s="151">
        <f t="shared" si="144"/>
        <v>0</v>
      </c>
      <c r="S150" s="151">
        <f t="shared" si="144"/>
        <v>0</v>
      </c>
      <c r="T150" s="151">
        <f t="shared" si="144"/>
        <v>0</v>
      </c>
      <c r="U150" s="151">
        <f t="shared" si="144"/>
        <v>0</v>
      </c>
      <c r="V150" s="151">
        <f t="shared" si="144"/>
        <v>0</v>
      </c>
      <c r="W150" s="151">
        <f t="shared" si="144"/>
        <v>0</v>
      </c>
      <c r="X150" s="151">
        <f t="shared" si="144"/>
        <v>0</v>
      </c>
      <c r="Y150" s="151">
        <f t="shared" si="144"/>
        <v>0</v>
      </c>
      <c r="Z150" s="151">
        <f t="shared" si="144"/>
        <v>0</v>
      </c>
      <c r="AA150" s="151">
        <f t="shared" si="144"/>
        <v>0</v>
      </c>
      <c r="AB150" s="151">
        <f t="shared" si="144"/>
        <v>0</v>
      </c>
      <c r="AC150" s="151">
        <f t="shared" si="144"/>
        <v>0</v>
      </c>
      <c r="AD150" s="151">
        <f t="shared" si="144"/>
        <v>0</v>
      </c>
      <c r="AE150" s="151">
        <f>IF(AE18=$R32,$BC32,IF(AE18=$R33,$BC33,IF(AE18=$R34,$BC34,IF(AE18=$R35,$BC35,IF(AE18=$R36,$BC36,IF(AE18=$R37,$BC37,IF(AE18=$R38,$BC38,IF(AE18=$R39,$BC39,IF(AE18=$R40,$BC40,0)))))))))</f>
        <v>0</v>
      </c>
      <c r="AF150" s="151">
        <f>IF(AF18=$R32,$BC32,IF(AF18=$R33,$BC33,IF(AF18=$R34,$BC34,IF(AF18=$R35,$BC35,IF(AF18=$R36,$BC36,IF(AF18=$R37,$BC37,IF(AF18=$R38,$BC38,IF(AF18=$R39,$BC39,IF(AF18=$R40,$BC40,0)))))))))</f>
        <v>0</v>
      </c>
      <c r="AG150" s="151">
        <f>IF(AG18=$R32,$BC32,IF(AG18=$R33,$BC33,IF(AG18=$R34,$BC34,IF(AG18=$R35,$BC35,IF(AG18=$R36,$BC36,IF(AG18=$R37,$BC37,IF(AG18=$R38,$BC38,IF(AG18=$R39,$BC39,IF(AG18=$R40,$BC40,0)))))))))</f>
        <v>0</v>
      </c>
      <c r="AH150" s="226">
        <f>SUM(C150:AG150)</f>
        <v>0</v>
      </c>
      <c r="AI150" s="226"/>
      <c r="AJ150" s="174" t="s">
        <v>62</v>
      </c>
      <c r="AK150" s="133" t="s">
        <v>12</v>
      </c>
      <c r="AL150" s="133"/>
    </row>
    <row r="151" spans="1:38" ht="15.95" hidden="1" customHeight="1" x14ac:dyDescent="0.25">
      <c r="A151" s="153" t="s">
        <v>48</v>
      </c>
      <c r="B151" s="149" t="s">
        <v>63</v>
      </c>
      <c r="C151" s="141" t="b">
        <f>IF(C46=1,IF(C146&lt;C147,C150,0))</f>
        <v>0</v>
      </c>
      <c r="D151" s="141" t="b">
        <f t="shared" ref="D151:AG151" si="145">IF(D46=1,IF(D146&lt;D147,D150,0))</f>
        <v>0</v>
      </c>
      <c r="E151" s="141" t="b">
        <f t="shared" si="145"/>
        <v>0</v>
      </c>
      <c r="F151" s="141">
        <f t="shared" si="145"/>
        <v>0</v>
      </c>
      <c r="G151" s="141">
        <f t="shared" si="145"/>
        <v>0</v>
      </c>
      <c r="H151" s="141" t="b">
        <f t="shared" si="145"/>
        <v>0</v>
      </c>
      <c r="I151" s="141" t="b">
        <f t="shared" si="145"/>
        <v>0</v>
      </c>
      <c r="J151" s="141" t="b">
        <f t="shared" si="145"/>
        <v>0</v>
      </c>
      <c r="K151" s="141" t="b">
        <f t="shared" si="145"/>
        <v>0</v>
      </c>
      <c r="L151" s="141" t="b">
        <f t="shared" si="145"/>
        <v>0</v>
      </c>
      <c r="M151" s="141">
        <f t="shared" si="145"/>
        <v>0</v>
      </c>
      <c r="N151" s="141">
        <f t="shared" si="145"/>
        <v>0</v>
      </c>
      <c r="O151" s="141" t="b">
        <f t="shared" si="145"/>
        <v>0</v>
      </c>
      <c r="P151" s="141" t="b">
        <f t="shared" si="145"/>
        <v>0</v>
      </c>
      <c r="Q151" s="141" t="b">
        <f t="shared" si="145"/>
        <v>0</v>
      </c>
      <c r="R151" s="141" t="b">
        <f t="shared" si="145"/>
        <v>0</v>
      </c>
      <c r="S151" s="141" t="b">
        <f t="shared" si="145"/>
        <v>0</v>
      </c>
      <c r="T151" s="141">
        <f t="shared" si="145"/>
        <v>0</v>
      </c>
      <c r="U151" s="141">
        <f t="shared" si="145"/>
        <v>0</v>
      </c>
      <c r="V151" s="141" t="b">
        <f t="shared" si="145"/>
        <v>0</v>
      </c>
      <c r="W151" s="141" t="b">
        <f t="shared" si="145"/>
        <v>0</v>
      </c>
      <c r="X151" s="141" t="b">
        <f t="shared" si="145"/>
        <v>0</v>
      </c>
      <c r="Y151" s="141" t="b">
        <f t="shared" si="145"/>
        <v>0</v>
      </c>
      <c r="Z151" s="141" t="b">
        <f t="shared" si="145"/>
        <v>0</v>
      </c>
      <c r="AA151" s="141">
        <f t="shared" si="145"/>
        <v>0</v>
      </c>
      <c r="AB151" s="141">
        <f t="shared" si="145"/>
        <v>0</v>
      </c>
      <c r="AC151" s="141" t="b">
        <f t="shared" si="145"/>
        <v>0</v>
      </c>
      <c r="AD151" s="141" t="b">
        <f t="shared" si="145"/>
        <v>0</v>
      </c>
      <c r="AE151" s="141" t="b">
        <f t="shared" si="145"/>
        <v>0</v>
      </c>
      <c r="AF151" s="141" t="b">
        <f t="shared" si="145"/>
        <v>0</v>
      </c>
      <c r="AG151" s="141" t="b">
        <f t="shared" si="145"/>
        <v>0</v>
      </c>
      <c r="AH151" s="154" t="s">
        <v>12</v>
      </c>
      <c r="AI151" s="133"/>
      <c r="AJ151" s="170"/>
      <c r="AK151" s="133"/>
      <c r="AL151" s="133"/>
    </row>
    <row r="152" spans="1:38" ht="15.95" hidden="1" customHeight="1" x14ac:dyDescent="0.25">
      <c r="A152" s="176"/>
      <c r="B152" s="149" t="s">
        <v>64</v>
      </c>
      <c r="C152" s="141">
        <f t="shared" ref="C152:AG152" si="146">IF(C46=1,IF(C146&gt;C147,24-C146,0),0)</f>
        <v>0</v>
      </c>
      <c r="D152" s="141">
        <f t="shared" si="146"/>
        <v>0</v>
      </c>
      <c r="E152" s="141">
        <f t="shared" si="146"/>
        <v>0</v>
      </c>
      <c r="F152" s="141">
        <f t="shared" si="146"/>
        <v>0</v>
      </c>
      <c r="G152" s="141">
        <f t="shared" si="146"/>
        <v>0</v>
      </c>
      <c r="H152" s="141">
        <f t="shared" si="146"/>
        <v>0</v>
      </c>
      <c r="I152" s="141">
        <f t="shared" si="146"/>
        <v>0</v>
      </c>
      <c r="J152" s="141">
        <f t="shared" si="146"/>
        <v>0</v>
      </c>
      <c r="K152" s="141">
        <f t="shared" si="146"/>
        <v>0</v>
      </c>
      <c r="L152" s="141">
        <f t="shared" si="146"/>
        <v>0</v>
      </c>
      <c r="M152" s="141">
        <f t="shared" si="146"/>
        <v>0</v>
      </c>
      <c r="N152" s="141">
        <f t="shared" si="146"/>
        <v>0</v>
      </c>
      <c r="O152" s="141">
        <f t="shared" si="146"/>
        <v>0</v>
      </c>
      <c r="P152" s="141">
        <f t="shared" si="146"/>
        <v>0</v>
      </c>
      <c r="Q152" s="141">
        <f t="shared" si="146"/>
        <v>0</v>
      </c>
      <c r="R152" s="141">
        <f t="shared" si="146"/>
        <v>0</v>
      </c>
      <c r="S152" s="141">
        <f t="shared" si="146"/>
        <v>0</v>
      </c>
      <c r="T152" s="141">
        <f t="shared" si="146"/>
        <v>0</v>
      </c>
      <c r="U152" s="141">
        <f t="shared" si="146"/>
        <v>0</v>
      </c>
      <c r="V152" s="141">
        <f t="shared" si="146"/>
        <v>0</v>
      </c>
      <c r="W152" s="141">
        <f t="shared" si="146"/>
        <v>0</v>
      </c>
      <c r="X152" s="141">
        <f t="shared" si="146"/>
        <v>0</v>
      </c>
      <c r="Y152" s="141">
        <f t="shared" si="146"/>
        <v>0</v>
      </c>
      <c r="Z152" s="141">
        <f t="shared" si="146"/>
        <v>0</v>
      </c>
      <c r="AA152" s="141">
        <f t="shared" si="146"/>
        <v>0</v>
      </c>
      <c r="AB152" s="141">
        <f t="shared" si="146"/>
        <v>0</v>
      </c>
      <c r="AC152" s="141">
        <f t="shared" si="146"/>
        <v>0</v>
      </c>
      <c r="AD152" s="141">
        <f t="shared" si="146"/>
        <v>0</v>
      </c>
      <c r="AE152" s="141">
        <f t="shared" si="146"/>
        <v>0</v>
      </c>
      <c r="AF152" s="141">
        <f t="shared" si="146"/>
        <v>0</v>
      </c>
      <c r="AG152" s="141">
        <f t="shared" si="146"/>
        <v>0</v>
      </c>
      <c r="AH152" s="154" t="s">
        <v>12</v>
      </c>
      <c r="AI152" s="133"/>
      <c r="AJ152" s="170"/>
      <c r="AK152" s="133"/>
      <c r="AL152" s="133"/>
    </row>
    <row r="153" spans="1:38" ht="15.95" hidden="1" customHeight="1" x14ac:dyDescent="0.25">
      <c r="A153" s="176"/>
      <c r="B153" s="149" t="s">
        <v>65</v>
      </c>
      <c r="C153" s="141">
        <f t="shared" ref="C153:AG153" si="147">IF(D46=1,IF(C146&gt;C147,C147,0),0)</f>
        <v>0</v>
      </c>
      <c r="D153" s="141">
        <f t="shared" si="147"/>
        <v>0</v>
      </c>
      <c r="E153" s="141">
        <f t="shared" si="147"/>
        <v>0</v>
      </c>
      <c r="F153" s="141">
        <f t="shared" si="147"/>
        <v>0</v>
      </c>
      <c r="G153" s="141">
        <f t="shared" si="147"/>
        <v>0</v>
      </c>
      <c r="H153" s="141">
        <f t="shared" si="147"/>
        <v>0</v>
      </c>
      <c r="I153" s="141">
        <f t="shared" si="147"/>
        <v>0</v>
      </c>
      <c r="J153" s="141">
        <f t="shared" si="147"/>
        <v>0</v>
      </c>
      <c r="K153" s="141">
        <f t="shared" si="147"/>
        <v>0</v>
      </c>
      <c r="L153" s="141">
        <f t="shared" si="147"/>
        <v>0</v>
      </c>
      <c r="M153" s="141">
        <f t="shared" si="147"/>
        <v>0</v>
      </c>
      <c r="N153" s="141">
        <f t="shared" si="147"/>
        <v>0</v>
      </c>
      <c r="O153" s="141">
        <f t="shared" si="147"/>
        <v>0</v>
      </c>
      <c r="P153" s="141">
        <f t="shared" si="147"/>
        <v>0</v>
      </c>
      <c r="Q153" s="141">
        <f t="shared" si="147"/>
        <v>0</v>
      </c>
      <c r="R153" s="141">
        <f t="shared" si="147"/>
        <v>0</v>
      </c>
      <c r="S153" s="141">
        <f t="shared" si="147"/>
        <v>0</v>
      </c>
      <c r="T153" s="141">
        <f t="shared" si="147"/>
        <v>0</v>
      </c>
      <c r="U153" s="141">
        <f t="shared" si="147"/>
        <v>0</v>
      </c>
      <c r="V153" s="141">
        <f t="shared" si="147"/>
        <v>0</v>
      </c>
      <c r="W153" s="141">
        <f t="shared" si="147"/>
        <v>0</v>
      </c>
      <c r="X153" s="141">
        <f>IF(Y46=1,IF(X146&gt;X147,X147,0),0)</f>
        <v>0</v>
      </c>
      <c r="Y153" s="141">
        <f t="shared" si="147"/>
        <v>0</v>
      </c>
      <c r="Z153" s="141">
        <f t="shared" si="147"/>
        <v>0</v>
      </c>
      <c r="AA153" s="141">
        <f t="shared" si="147"/>
        <v>0</v>
      </c>
      <c r="AB153" s="141">
        <f t="shared" si="147"/>
        <v>0</v>
      </c>
      <c r="AC153" s="141">
        <f t="shared" si="147"/>
        <v>0</v>
      </c>
      <c r="AD153" s="141">
        <f t="shared" si="147"/>
        <v>0</v>
      </c>
      <c r="AE153" s="141">
        <f t="shared" si="147"/>
        <v>0</v>
      </c>
      <c r="AF153" s="141">
        <f t="shared" si="147"/>
        <v>0</v>
      </c>
      <c r="AG153" s="141">
        <f t="shared" si="147"/>
        <v>0</v>
      </c>
      <c r="AH153" s="154" t="s">
        <v>12</v>
      </c>
      <c r="AI153" s="133"/>
      <c r="AJ153" s="170"/>
      <c r="AK153" s="133"/>
      <c r="AL153" s="133"/>
    </row>
    <row r="154" spans="1:38" ht="15.95" hidden="1" customHeight="1" x14ac:dyDescent="0.25">
      <c r="A154" s="176"/>
      <c r="B154" s="149" t="s">
        <v>67</v>
      </c>
      <c r="C154" s="171">
        <f>SUM(C151:C153)</f>
        <v>0</v>
      </c>
      <c r="D154" s="171">
        <f t="shared" ref="D154:AG154" si="148">SUM(D151:D153)</f>
        <v>0</v>
      </c>
      <c r="E154" s="171">
        <f t="shared" si="148"/>
        <v>0</v>
      </c>
      <c r="F154" s="171">
        <f t="shared" si="148"/>
        <v>0</v>
      </c>
      <c r="G154" s="171">
        <f t="shared" si="148"/>
        <v>0</v>
      </c>
      <c r="H154" s="171">
        <f t="shared" si="148"/>
        <v>0</v>
      </c>
      <c r="I154" s="171">
        <f t="shared" si="148"/>
        <v>0</v>
      </c>
      <c r="J154" s="171">
        <f t="shared" si="148"/>
        <v>0</v>
      </c>
      <c r="K154" s="171">
        <f t="shared" si="148"/>
        <v>0</v>
      </c>
      <c r="L154" s="171">
        <f t="shared" si="148"/>
        <v>0</v>
      </c>
      <c r="M154" s="171">
        <f t="shared" si="148"/>
        <v>0</v>
      </c>
      <c r="N154" s="171">
        <f t="shared" si="148"/>
        <v>0</v>
      </c>
      <c r="O154" s="171">
        <f t="shared" si="148"/>
        <v>0</v>
      </c>
      <c r="P154" s="171">
        <f t="shared" si="148"/>
        <v>0</v>
      </c>
      <c r="Q154" s="171">
        <f t="shared" si="148"/>
        <v>0</v>
      </c>
      <c r="R154" s="171">
        <f t="shared" si="148"/>
        <v>0</v>
      </c>
      <c r="S154" s="171">
        <f t="shared" si="148"/>
        <v>0</v>
      </c>
      <c r="T154" s="171">
        <f t="shared" si="148"/>
        <v>0</v>
      </c>
      <c r="U154" s="171">
        <f t="shared" si="148"/>
        <v>0</v>
      </c>
      <c r="V154" s="171">
        <f t="shared" si="148"/>
        <v>0</v>
      </c>
      <c r="W154" s="171">
        <f t="shared" si="148"/>
        <v>0</v>
      </c>
      <c r="X154" s="171">
        <f t="shared" si="148"/>
        <v>0</v>
      </c>
      <c r="Y154" s="171">
        <f t="shared" si="148"/>
        <v>0</v>
      </c>
      <c r="Z154" s="171">
        <f t="shared" si="148"/>
        <v>0</v>
      </c>
      <c r="AA154" s="171">
        <f t="shared" si="148"/>
        <v>0</v>
      </c>
      <c r="AB154" s="171">
        <f t="shared" si="148"/>
        <v>0</v>
      </c>
      <c r="AC154" s="171">
        <f t="shared" si="148"/>
        <v>0</v>
      </c>
      <c r="AD154" s="171">
        <f t="shared" si="148"/>
        <v>0</v>
      </c>
      <c r="AE154" s="171">
        <f t="shared" si="148"/>
        <v>0</v>
      </c>
      <c r="AF154" s="171">
        <f t="shared" si="148"/>
        <v>0</v>
      </c>
      <c r="AG154" s="171">
        <f t="shared" si="148"/>
        <v>0</v>
      </c>
      <c r="AH154" s="154" t="s">
        <v>12</v>
      </c>
      <c r="AI154" s="133"/>
      <c r="AJ154" s="170"/>
      <c r="AK154" s="133"/>
      <c r="AL154" s="133"/>
    </row>
    <row r="155" spans="1:38" ht="15.95" hidden="1" customHeight="1" x14ac:dyDescent="0.25">
      <c r="A155" s="177"/>
      <c r="B155" s="160" t="s">
        <v>68</v>
      </c>
      <c r="C155" s="161">
        <f t="shared" ref="C155:AG155" si="149">IF(C18="V",IF(C18="",0,1),0)</f>
        <v>0</v>
      </c>
      <c r="D155" s="161">
        <f t="shared" si="149"/>
        <v>0</v>
      </c>
      <c r="E155" s="161">
        <f t="shared" si="149"/>
        <v>0</v>
      </c>
      <c r="F155" s="161">
        <f t="shared" si="149"/>
        <v>0</v>
      </c>
      <c r="G155" s="161">
        <f t="shared" si="149"/>
        <v>0</v>
      </c>
      <c r="H155" s="161">
        <f t="shared" si="149"/>
        <v>0</v>
      </c>
      <c r="I155" s="161">
        <f t="shared" si="149"/>
        <v>0</v>
      </c>
      <c r="J155" s="161">
        <f t="shared" si="149"/>
        <v>0</v>
      </c>
      <c r="K155" s="161">
        <f t="shared" si="149"/>
        <v>0</v>
      </c>
      <c r="L155" s="161">
        <f t="shared" si="149"/>
        <v>0</v>
      </c>
      <c r="M155" s="161">
        <f t="shared" si="149"/>
        <v>0</v>
      </c>
      <c r="N155" s="161">
        <f t="shared" si="149"/>
        <v>0</v>
      </c>
      <c r="O155" s="161">
        <f t="shared" si="149"/>
        <v>0</v>
      </c>
      <c r="P155" s="161">
        <f t="shared" si="149"/>
        <v>0</v>
      </c>
      <c r="Q155" s="161">
        <f t="shared" si="149"/>
        <v>0</v>
      </c>
      <c r="R155" s="161">
        <f t="shared" si="149"/>
        <v>0</v>
      </c>
      <c r="S155" s="161">
        <f t="shared" si="149"/>
        <v>0</v>
      </c>
      <c r="T155" s="161">
        <f t="shared" si="149"/>
        <v>0</v>
      </c>
      <c r="U155" s="161">
        <f t="shared" si="149"/>
        <v>0</v>
      </c>
      <c r="V155" s="161">
        <f t="shared" si="149"/>
        <v>0</v>
      </c>
      <c r="W155" s="161">
        <f t="shared" si="149"/>
        <v>0</v>
      </c>
      <c r="X155" s="161">
        <f t="shared" si="149"/>
        <v>0</v>
      </c>
      <c r="Y155" s="161">
        <f t="shared" si="149"/>
        <v>0</v>
      </c>
      <c r="Z155" s="161">
        <f t="shared" si="149"/>
        <v>0</v>
      </c>
      <c r="AA155" s="161">
        <f t="shared" si="149"/>
        <v>0</v>
      </c>
      <c r="AB155" s="161">
        <f t="shared" si="149"/>
        <v>0</v>
      </c>
      <c r="AC155" s="161">
        <f t="shared" si="149"/>
        <v>0</v>
      </c>
      <c r="AD155" s="161">
        <f t="shared" si="149"/>
        <v>0</v>
      </c>
      <c r="AE155" s="161">
        <f t="shared" si="149"/>
        <v>0</v>
      </c>
      <c r="AF155" s="161">
        <f t="shared" si="149"/>
        <v>0</v>
      </c>
      <c r="AG155" s="161">
        <f t="shared" si="149"/>
        <v>0</v>
      </c>
      <c r="AH155" s="154" t="s">
        <v>12</v>
      </c>
      <c r="AI155" s="133"/>
      <c r="AJ155" s="170"/>
      <c r="AK155" s="133"/>
      <c r="AL155" s="133"/>
    </row>
    <row r="156" spans="1:38" ht="15.95" hidden="1" customHeight="1" x14ac:dyDescent="0.25">
      <c r="A156" s="180"/>
      <c r="B156" s="181" t="s">
        <v>16</v>
      </c>
      <c r="C156" s="182">
        <f t="shared" ref="C156:AG156" si="150">IF(C18="PR",IF(C18="",0,1),0)</f>
        <v>0</v>
      </c>
      <c r="D156" s="182">
        <f t="shared" si="150"/>
        <v>0</v>
      </c>
      <c r="E156" s="182">
        <f t="shared" si="150"/>
        <v>0</v>
      </c>
      <c r="F156" s="182">
        <f t="shared" si="150"/>
        <v>0</v>
      </c>
      <c r="G156" s="182">
        <f t="shared" si="150"/>
        <v>0</v>
      </c>
      <c r="H156" s="182">
        <f t="shared" si="150"/>
        <v>0</v>
      </c>
      <c r="I156" s="182">
        <f t="shared" si="150"/>
        <v>0</v>
      </c>
      <c r="J156" s="182">
        <f t="shared" si="150"/>
        <v>0</v>
      </c>
      <c r="K156" s="182">
        <f t="shared" si="150"/>
        <v>0</v>
      </c>
      <c r="L156" s="182">
        <f t="shared" si="150"/>
        <v>0</v>
      </c>
      <c r="M156" s="182">
        <f t="shared" si="150"/>
        <v>0</v>
      </c>
      <c r="N156" s="182">
        <f t="shared" si="150"/>
        <v>0</v>
      </c>
      <c r="O156" s="182">
        <f t="shared" si="150"/>
        <v>0</v>
      </c>
      <c r="P156" s="182">
        <f t="shared" si="150"/>
        <v>0</v>
      </c>
      <c r="Q156" s="182">
        <f t="shared" si="150"/>
        <v>0</v>
      </c>
      <c r="R156" s="182">
        <f t="shared" si="150"/>
        <v>0</v>
      </c>
      <c r="S156" s="182">
        <f t="shared" si="150"/>
        <v>0</v>
      </c>
      <c r="T156" s="182">
        <f t="shared" si="150"/>
        <v>0</v>
      </c>
      <c r="U156" s="182">
        <f t="shared" si="150"/>
        <v>0</v>
      </c>
      <c r="V156" s="182">
        <f t="shared" si="150"/>
        <v>0</v>
      </c>
      <c r="W156" s="182">
        <f t="shared" si="150"/>
        <v>0</v>
      </c>
      <c r="X156" s="182">
        <f t="shared" si="150"/>
        <v>0</v>
      </c>
      <c r="Y156" s="182">
        <f t="shared" si="150"/>
        <v>0</v>
      </c>
      <c r="Z156" s="182">
        <f t="shared" si="150"/>
        <v>0</v>
      </c>
      <c r="AA156" s="182">
        <f t="shared" si="150"/>
        <v>0</v>
      </c>
      <c r="AB156" s="182">
        <f t="shared" si="150"/>
        <v>0</v>
      </c>
      <c r="AC156" s="182">
        <f t="shared" si="150"/>
        <v>0</v>
      </c>
      <c r="AD156" s="182">
        <f t="shared" si="150"/>
        <v>0</v>
      </c>
      <c r="AE156" s="182">
        <f t="shared" si="150"/>
        <v>0</v>
      </c>
      <c r="AF156" s="182">
        <f t="shared" si="150"/>
        <v>0</v>
      </c>
      <c r="AG156" s="182">
        <f t="shared" si="150"/>
        <v>0</v>
      </c>
      <c r="AH156" s="227">
        <f>SUM(C156:AG156)</f>
        <v>0</v>
      </c>
      <c r="AI156" s="227"/>
      <c r="AJ156" s="174" t="s">
        <v>69</v>
      </c>
      <c r="AK156" s="133"/>
      <c r="AL156" s="133"/>
    </row>
    <row r="157" spans="1:38" ht="15.95" hidden="1" customHeight="1" x14ac:dyDescent="0.25">
      <c r="A157" s="164" t="s">
        <v>126</v>
      </c>
      <c r="B157" s="165" t="s">
        <v>29</v>
      </c>
      <c r="C157" s="141" t="str">
        <f>IF(C19=$R32,$S32*24,IF(C19=$R33,$S33*24,IF(C19=$R34,$S34*24,IF(C19=$R35,$S35*24,IF(C19=$R36,$S36*24,IF(C19=$R37,$S37*24,IF(C19=$R38,$S38*24,IF(C19=$R39,$S39*24,IF(C19=$R40,$S40*24,"")))))))))</f>
        <v/>
      </c>
      <c r="D157" s="141" t="str">
        <f t="shared" ref="D157:AG157" si="151">IF(D19=$R32,$S32*24,IF(D19=$R33,$S33*24,IF(D19=$R34,$S34*24,IF(D19=$R35,$S35*24,IF(D19=$R36,$S36*24,IF(D19=$R37,$S37*24,IF(D19=$R38,$S38*24,IF(D19=$R39,$S39*24,IF(D19=$R40,$S40*24,"")))))))))</f>
        <v/>
      </c>
      <c r="E157" s="141" t="str">
        <f t="shared" si="151"/>
        <v/>
      </c>
      <c r="F157" s="141" t="str">
        <f t="shared" si="151"/>
        <v/>
      </c>
      <c r="G157" s="141" t="str">
        <f t="shared" si="151"/>
        <v/>
      </c>
      <c r="H157" s="141" t="str">
        <f t="shared" si="151"/>
        <v/>
      </c>
      <c r="I157" s="141" t="str">
        <f t="shared" si="151"/>
        <v/>
      </c>
      <c r="J157" s="141" t="str">
        <f t="shared" si="151"/>
        <v/>
      </c>
      <c r="K157" s="141" t="str">
        <f t="shared" si="151"/>
        <v/>
      </c>
      <c r="L157" s="141" t="str">
        <f t="shared" si="151"/>
        <v/>
      </c>
      <c r="M157" s="141" t="str">
        <f t="shared" si="151"/>
        <v/>
      </c>
      <c r="N157" s="141" t="str">
        <f t="shared" si="151"/>
        <v/>
      </c>
      <c r="O157" s="141" t="str">
        <f t="shared" si="151"/>
        <v/>
      </c>
      <c r="P157" s="141" t="str">
        <f t="shared" si="151"/>
        <v/>
      </c>
      <c r="Q157" s="141" t="str">
        <f t="shared" si="151"/>
        <v/>
      </c>
      <c r="R157" s="141" t="str">
        <f t="shared" si="151"/>
        <v/>
      </c>
      <c r="S157" s="141" t="str">
        <f t="shared" si="151"/>
        <v/>
      </c>
      <c r="T157" s="141" t="str">
        <f t="shared" si="151"/>
        <v/>
      </c>
      <c r="U157" s="141" t="str">
        <f t="shared" si="151"/>
        <v/>
      </c>
      <c r="V157" s="141" t="str">
        <f t="shared" si="151"/>
        <v/>
      </c>
      <c r="W157" s="141" t="str">
        <f t="shared" si="151"/>
        <v/>
      </c>
      <c r="X157" s="141" t="str">
        <f t="shared" si="151"/>
        <v/>
      </c>
      <c r="Y157" s="141" t="str">
        <f t="shared" si="151"/>
        <v/>
      </c>
      <c r="Z157" s="141" t="str">
        <f t="shared" si="151"/>
        <v/>
      </c>
      <c r="AA157" s="141" t="str">
        <f t="shared" si="151"/>
        <v/>
      </c>
      <c r="AB157" s="141" t="str">
        <f t="shared" si="151"/>
        <v/>
      </c>
      <c r="AC157" s="141" t="str">
        <f t="shared" si="151"/>
        <v/>
      </c>
      <c r="AD157" s="141" t="str">
        <f t="shared" si="151"/>
        <v/>
      </c>
      <c r="AE157" s="141" t="str">
        <f t="shared" si="151"/>
        <v/>
      </c>
      <c r="AF157" s="141" t="str">
        <f t="shared" si="151"/>
        <v/>
      </c>
      <c r="AG157" s="141" t="str">
        <f t="shared" si="151"/>
        <v/>
      </c>
      <c r="AH157" s="154" t="s">
        <v>12</v>
      </c>
      <c r="AI157" s="133"/>
      <c r="AJ157" s="170"/>
      <c r="AK157" s="133"/>
      <c r="AL157" s="133"/>
    </row>
    <row r="158" spans="1:38" ht="15.95" hidden="1" customHeight="1" x14ac:dyDescent="0.25">
      <c r="A158" s="166" t="s">
        <v>128</v>
      </c>
      <c r="B158" s="167" t="s">
        <v>30</v>
      </c>
      <c r="C158" s="141" t="str">
        <f>IF(C19=$R32,$V32*24,IF(C19=$R33,$V33*24,IF(C19=$R34,$V34*24,IF(C19=$R35,$V35*24,IF(C19=$R36,$V36*24,IF(C19=$R37,$V37*24,IF(C19=$R38,$V38*24,IF(C19=$R39,$V39*24,IF(C19=$R40,$V40*24,"")))))))))</f>
        <v/>
      </c>
      <c r="D158" s="141" t="str">
        <f t="shared" ref="D158:AG158" si="152">IF(D19=$R32,$V32*24,IF(D19=$R33,$V33*24,IF(D19=$R34,$V34*24,IF(D19=$R35,$V35*24,IF(D19=$R36,$V36*24,IF(D19=$R37,$V37*24,IF(D19=$R38,$V38*24,IF(D19=$R39,$V39*24,IF(D19=$R40,$V40*24,"")))))))))</f>
        <v/>
      </c>
      <c r="E158" s="141" t="str">
        <f t="shared" si="152"/>
        <v/>
      </c>
      <c r="F158" s="141" t="str">
        <f t="shared" si="152"/>
        <v/>
      </c>
      <c r="G158" s="141" t="str">
        <f t="shared" si="152"/>
        <v/>
      </c>
      <c r="H158" s="141" t="str">
        <f t="shared" si="152"/>
        <v/>
      </c>
      <c r="I158" s="141" t="str">
        <f t="shared" si="152"/>
        <v/>
      </c>
      <c r="J158" s="141" t="str">
        <f t="shared" si="152"/>
        <v/>
      </c>
      <c r="K158" s="141" t="str">
        <f t="shared" si="152"/>
        <v/>
      </c>
      <c r="L158" s="141" t="str">
        <f t="shared" si="152"/>
        <v/>
      </c>
      <c r="M158" s="141" t="str">
        <f t="shared" si="152"/>
        <v/>
      </c>
      <c r="N158" s="141" t="str">
        <f t="shared" si="152"/>
        <v/>
      </c>
      <c r="O158" s="141" t="str">
        <f t="shared" si="152"/>
        <v/>
      </c>
      <c r="P158" s="141" t="str">
        <f t="shared" si="152"/>
        <v/>
      </c>
      <c r="Q158" s="141" t="str">
        <f t="shared" si="152"/>
        <v/>
      </c>
      <c r="R158" s="141" t="str">
        <f t="shared" si="152"/>
        <v/>
      </c>
      <c r="S158" s="141" t="str">
        <f t="shared" si="152"/>
        <v/>
      </c>
      <c r="T158" s="141" t="str">
        <f t="shared" si="152"/>
        <v/>
      </c>
      <c r="U158" s="141" t="str">
        <f t="shared" si="152"/>
        <v/>
      </c>
      <c r="V158" s="141" t="str">
        <f t="shared" si="152"/>
        <v/>
      </c>
      <c r="W158" s="141" t="str">
        <f t="shared" si="152"/>
        <v/>
      </c>
      <c r="X158" s="141" t="str">
        <f t="shared" si="152"/>
        <v/>
      </c>
      <c r="Y158" s="141" t="str">
        <f t="shared" si="152"/>
        <v/>
      </c>
      <c r="Z158" s="141" t="str">
        <f t="shared" si="152"/>
        <v/>
      </c>
      <c r="AA158" s="141" t="str">
        <f t="shared" si="152"/>
        <v/>
      </c>
      <c r="AB158" s="141" t="str">
        <f t="shared" si="152"/>
        <v/>
      </c>
      <c r="AC158" s="141" t="str">
        <f t="shared" si="152"/>
        <v/>
      </c>
      <c r="AD158" s="141" t="str">
        <f t="shared" si="152"/>
        <v/>
      </c>
      <c r="AE158" s="141" t="str">
        <f t="shared" si="152"/>
        <v/>
      </c>
      <c r="AF158" s="141" t="str">
        <f t="shared" si="152"/>
        <v/>
      </c>
      <c r="AG158" s="141" t="str">
        <f t="shared" si="152"/>
        <v/>
      </c>
      <c r="AH158" s="154" t="s">
        <v>12</v>
      </c>
      <c r="AI158" s="133"/>
      <c r="AJ158" s="170"/>
      <c r="AK158" s="133"/>
      <c r="AL158" s="133"/>
    </row>
    <row r="159" spans="1:38" ht="15.95" hidden="1" customHeight="1" x14ac:dyDescent="0.25">
      <c r="A159" s="153"/>
      <c r="B159" s="183" t="s">
        <v>34</v>
      </c>
      <c r="C159" s="169" t="str">
        <f t="shared" ref="C159:AD159" si="153">IF(C19=$R32,$BD32*24,IF(C19=$R33,$BD33*24,IF(C19=$R34,$BD34*24,IF(C19=$R35,$BD35*24,IF(C19=$R36,$BD36*24,IF(C19=$R37,$BD37*24,IF(C19=$R38,$BD38*24,IF(C19=$R39,$BD39*24,IF(C19=$R40,$BD40*24,"")))))))))</f>
        <v/>
      </c>
      <c r="D159" s="169" t="str">
        <f t="shared" si="153"/>
        <v/>
      </c>
      <c r="E159" s="169" t="str">
        <f t="shared" si="153"/>
        <v/>
      </c>
      <c r="F159" s="169" t="str">
        <f t="shared" si="153"/>
        <v/>
      </c>
      <c r="G159" s="169" t="str">
        <f t="shared" si="153"/>
        <v/>
      </c>
      <c r="H159" s="169" t="str">
        <f t="shared" si="153"/>
        <v/>
      </c>
      <c r="I159" s="169" t="str">
        <f t="shared" si="153"/>
        <v/>
      </c>
      <c r="J159" s="169" t="str">
        <f t="shared" si="153"/>
        <v/>
      </c>
      <c r="K159" s="169" t="str">
        <f t="shared" si="153"/>
        <v/>
      </c>
      <c r="L159" s="169" t="str">
        <f t="shared" si="153"/>
        <v/>
      </c>
      <c r="M159" s="169" t="str">
        <f t="shared" si="153"/>
        <v/>
      </c>
      <c r="N159" s="169" t="str">
        <f t="shared" si="153"/>
        <v/>
      </c>
      <c r="O159" s="169" t="str">
        <f t="shared" si="153"/>
        <v/>
      </c>
      <c r="P159" s="169" t="str">
        <f t="shared" si="153"/>
        <v/>
      </c>
      <c r="Q159" s="169" t="str">
        <f t="shared" si="153"/>
        <v/>
      </c>
      <c r="R159" s="169" t="str">
        <f t="shared" si="153"/>
        <v/>
      </c>
      <c r="S159" s="169" t="str">
        <f t="shared" si="153"/>
        <v/>
      </c>
      <c r="T159" s="169" t="str">
        <f t="shared" si="153"/>
        <v/>
      </c>
      <c r="U159" s="169" t="str">
        <f t="shared" si="153"/>
        <v/>
      </c>
      <c r="V159" s="169" t="str">
        <f t="shared" si="153"/>
        <v/>
      </c>
      <c r="W159" s="169" t="str">
        <f t="shared" si="153"/>
        <v/>
      </c>
      <c r="X159" s="169" t="str">
        <f t="shared" si="153"/>
        <v/>
      </c>
      <c r="Y159" s="169" t="str">
        <f t="shared" si="153"/>
        <v/>
      </c>
      <c r="Z159" s="169" t="str">
        <f t="shared" si="153"/>
        <v/>
      </c>
      <c r="AA159" s="169" t="str">
        <f t="shared" si="153"/>
        <v/>
      </c>
      <c r="AB159" s="169" t="str">
        <f t="shared" si="153"/>
        <v/>
      </c>
      <c r="AC159" s="169" t="str">
        <f t="shared" si="153"/>
        <v/>
      </c>
      <c r="AD159" s="169" t="str">
        <f t="shared" si="153"/>
        <v/>
      </c>
      <c r="AE159" s="169" t="str">
        <f>IF(AE19=$R32,$BD32*24,IF(AE19=$R33,$BD33*24,IF(AE19=$R34,$BD34*24,IF(AE19=$R35,$BD35*24,IF(AE19=$R36,$BD36*24,IF(AE19=$R37,$BD37*24,IF(AE19=$R38,$BD38*24,IF(AE19=$R39,$BD39*24,IF(AE19=$R40,$BD40*24,"")))))))))</f>
        <v/>
      </c>
      <c r="AF159" s="169" t="str">
        <f>IF(AF19=$R32,$BD32*24,IF(AF19=$R33,$BD33*24,IF(AF19=$R34,$BD34*24,IF(AF19=$R35,$BD35*24,IF(AF19=$R36,$BD36*24,IF(AF19=$R37,$BD37*24,IF(AF19=$R38,$BD38*24,IF(AF19=$R39,$BD39*24,IF(AF19=$R40,$BD40*24,"")))))))))</f>
        <v/>
      </c>
      <c r="AG159" s="169" t="str">
        <f>IF(AG19=$R32,$BD32*24,IF(AG19=$R33,$BD33*24,IF(AG19=$R34,$BD34*24,IF(AG19=$R35,$BD35*24,IF(AG19=$R36,$BD36*24,IF(AG19=$R37,$BD37*24,IF(AG19=$R38,$BD38*24,IF(AG19=$R39,$BD39*24,IF(AG19=$R40,$BD40*24,"")))))))))</f>
        <v/>
      </c>
      <c r="AH159" s="148">
        <f>SUM(C159:AG159)</f>
        <v>0</v>
      </c>
      <c r="AI159" s="133"/>
      <c r="AJ159" s="170"/>
      <c r="AK159" s="133"/>
      <c r="AL159" s="133"/>
    </row>
    <row r="160" spans="1:38" ht="15.95" hidden="1" customHeight="1" x14ac:dyDescent="0.25">
      <c r="A160" s="153"/>
      <c r="B160" s="167" t="s">
        <v>59</v>
      </c>
      <c r="C160" s="141">
        <f>IF(C19="V",$C36,IF(C19="PR",$C38,0))</f>
        <v>0</v>
      </c>
      <c r="D160" s="141">
        <f t="shared" ref="D160:AG160" si="154">IF(D19="V",$C36,IF(D19="PR",$C38,0))</f>
        <v>0</v>
      </c>
      <c r="E160" s="141">
        <f t="shared" si="154"/>
        <v>0</v>
      </c>
      <c r="F160" s="141">
        <f t="shared" si="154"/>
        <v>0</v>
      </c>
      <c r="G160" s="141">
        <f t="shared" si="154"/>
        <v>0</v>
      </c>
      <c r="H160" s="141">
        <f t="shared" si="154"/>
        <v>0</v>
      </c>
      <c r="I160" s="141">
        <f t="shared" si="154"/>
        <v>0</v>
      </c>
      <c r="J160" s="141">
        <f t="shared" si="154"/>
        <v>0</v>
      </c>
      <c r="K160" s="141">
        <f t="shared" si="154"/>
        <v>0</v>
      </c>
      <c r="L160" s="141">
        <f t="shared" si="154"/>
        <v>0</v>
      </c>
      <c r="M160" s="141">
        <f t="shared" si="154"/>
        <v>0</v>
      </c>
      <c r="N160" s="141">
        <f t="shared" si="154"/>
        <v>0</v>
      </c>
      <c r="O160" s="141">
        <f t="shared" si="154"/>
        <v>0</v>
      </c>
      <c r="P160" s="141">
        <f t="shared" si="154"/>
        <v>0</v>
      </c>
      <c r="Q160" s="141">
        <f t="shared" si="154"/>
        <v>0</v>
      </c>
      <c r="R160" s="141">
        <f t="shared" si="154"/>
        <v>0</v>
      </c>
      <c r="S160" s="141">
        <f t="shared" si="154"/>
        <v>0</v>
      </c>
      <c r="T160" s="141">
        <f t="shared" si="154"/>
        <v>0</v>
      </c>
      <c r="U160" s="141">
        <f t="shared" si="154"/>
        <v>0</v>
      </c>
      <c r="V160" s="141">
        <f t="shared" si="154"/>
        <v>0</v>
      </c>
      <c r="W160" s="141">
        <f t="shared" si="154"/>
        <v>0</v>
      </c>
      <c r="X160" s="141">
        <f t="shared" si="154"/>
        <v>0</v>
      </c>
      <c r="Y160" s="141">
        <f t="shared" si="154"/>
        <v>0</v>
      </c>
      <c r="Z160" s="141">
        <f t="shared" si="154"/>
        <v>0</v>
      </c>
      <c r="AA160" s="141">
        <f t="shared" si="154"/>
        <v>0</v>
      </c>
      <c r="AB160" s="141">
        <f t="shared" si="154"/>
        <v>0</v>
      </c>
      <c r="AC160" s="141">
        <f t="shared" si="154"/>
        <v>0</v>
      </c>
      <c r="AD160" s="141">
        <f t="shared" si="154"/>
        <v>0</v>
      </c>
      <c r="AE160" s="141">
        <f t="shared" si="154"/>
        <v>0</v>
      </c>
      <c r="AF160" s="141">
        <f t="shared" si="154"/>
        <v>0</v>
      </c>
      <c r="AG160" s="141">
        <f t="shared" si="154"/>
        <v>0</v>
      </c>
      <c r="AH160" s="226">
        <f>SUM(C160:AG160)</f>
        <v>0</v>
      </c>
      <c r="AI160" s="226"/>
      <c r="AJ160" s="230">
        <f>SUM(AH105+AH116+AH127+AH138+AH149+AH160)</f>
        <v>0</v>
      </c>
      <c r="AK160" s="230"/>
      <c r="AL160" s="133" t="s">
        <v>56</v>
      </c>
    </row>
    <row r="161" spans="1:38" ht="15.95" hidden="1" customHeight="1" x14ac:dyDescent="0.25">
      <c r="A161" s="150" t="s">
        <v>60</v>
      </c>
      <c r="B161" s="167" t="s">
        <v>61</v>
      </c>
      <c r="C161" s="151">
        <f t="shared" ref="C161:AD161" si="155">IF(C19=$R32,$BC32,IF(C19=$R33,$BC33,IF(C19=$R34,$BC34,IF(C19=$R35,$BC35,IF(C19=$R36,$BC36,IF(C19=$R37,$BC37,IF(C19=$R38,$BC38,IF(C19=$R39,$BC39,IF(C19=$R40,$BC40,0)))))))))</f>
        <v>0</v>
      </c>
      <c r="D161" s="151">
        <f t="shared" si="155"/>
        <v>0</v>
      </c>
      <c r="E161" s="151">
        <f t="shared" si="155"/>
        <v>0</v>
      </c>
      <c r="F161" s="151">
        <f t="shared" si="155"/>
        <v>0</v>
      </c>
      <c r="G161" s="151">
        <f t="shared" si="155"/>
        <v>0</v>
      </c>
      <c r="H161" s="151">
        <f t="shared" si="155"/>
        <v>0</v>
      </c>
      <c r="I161" s="151">
        <f t="shared" si="155"/>
        <v>0</v>
      </c>
      <c r="J161" s="151">
        <f t="shared" si="155"/>
        <v>0</v>
      </c>
      <c r="K161" s="151">
        <f t="shared" si="155"/>
        <v>0</v>
      </c>
      <c r="L161" s="151">
        <f t="shared" si="155"/>
        <v>0</v>
      </c>
      <c r="M161" s="151">
        <f t="shared" si="155"/>
        <v>0</v>
      </c>
      <c r="N161" s="151">
        <f t="shared" si="155"/>
        <v>0</v>
      </c>
      <c r="O161" s="151">
        <f t="shared" si="155"/>
        <v>0</v>
      </c>
      <c r="P161" s="151">
        <f t="shared" si="155"/>
        <v>0</v>
      </c>
      <c r="Q161" s="151">
        <f t="shared" si="155"/>
        <v>0</v>
      </c>
      <c r="R161" s="151">
        <f t="shared" si="155"/>
        <v>0</v>
      </c>
      <c r="S161" s="151">
        <f t="shared" si="155"/>
        <v>0</v>
      </c>
      <c r="T161" s="151">
        <f t="shared" si="155"/>
        <v>0</v>
      </c>
      <c r="U161" s="151">
        <f t="shared" si="155"/>
        <v>0</v>
      </c>
      <c r="V161" s="151">
        <f t="shared" si="155"/>
        <v>0</v>
      </c>
      <c r="W161" s="151">
        <f t="shared" si="155"/>
        <v>0</v>
      </c>
      <c r="X161" s="151">
        <f t="shared" si="155"/>
        <v>0</v>
      </c>
      <c r="Y161" s="151">
        <f t="shared" si="155"/>
        <v>0</v>
      </c>
      <c r="Z161" s="151">
        <f t="shared" si="155"/>
        <v>0</v>
      </c>
      <c r="AA161" s="151">
        <f t="shared" si="155"/>
        <v>0</v>
      </c>
      <c r="AB161" s="151">
        <f t="shared" si="155"/>
        <v>0</v>
      </c>
      <c r="AC161" s="151">
        <f t="shared" si="155"/>
        <v>0</v>
      </c>
      <c r="AD161" s="151">
        <f t="shared" si="155"/>
        <v>0</v>
      </c>
      <c r="AE161" s="151">
        <f>IF(AE19=$R32,$BC32,IF(AE19=$R33,$BC33,IF(AE19=$R34,$BC34,IF(AE19=$R35,$BC35,IF(AE19=$R36,$BC36,IF(AE19=$R37,$BC37,IF(AE19=$R38,$BC38,IF(AE19=$R39,$BC39,IF(AE19=$R40,$BC40,0)))))))))</f>
        <v>0</v>
      </c>
      <c r="AF161" s="151">
        <f>IF(AF19=$R32,$BC32,IF(AF19=$R33,$BC33,IF(AF19=$R34,$BC34,IF(AF19=$R35,$BC35,IF(AF19=$R36,$BC36,IF(AF19=$R37,$BC37,IF(AF19=$R38,$BC38,IF(AF19=$R39,$BC39,IF(AF19=$R40,$BC40,0)))))))))</f>
        <v>0</v>
      </c>
      <c r="AG161" s="151">
        <f>IF(AG19=$R32,$BC32,IF(AG19=$R33,$BC33,IF(AG19=$R34,$BC34,IF(AG19=$R35,$BC35,IF(AG19=$R36,$BC36,IF(AG19=$R37,$BC37,IF(AG19=$R38,$BC38,IF(AG19=$R39,$BC39,IF(AG19=$R40,$BC40,0)))))))))</f>
        <v>0</v>
      </c>
      <c r="AH161" s="226">
        <f>SUM(C161:AG161)</f>
        <v>0</v>
      </c>
      <c r="AI161" s="226"/>
      <c r="AJ161" s="174" t="s">
        <v>62</v>
      </c>
      <c r="AK161" s="133" t="s">
        <v>12</v>
      </c>
      <c r="AL161" s="133"/>
    </row>
    <row r="162" spans="1:38" ht="15.95" hidden="1" customHeight="1" x14ac:dyDescent="0.25">
      <c r="A162" s="153" t="s">
        <v>48</v>
      </c>
      <c r="B162" s="149" t="s">
        <v>63</v>
      </c>
      <c r="C162" s="141" t="b">
        <f>IF(C46=1,IF(C157&lt;C158,C161,0))</f>
        <v>0</v>
      </c>
      <c r="D162" s="141" t="b">
        <f t="shared" ref="D162:AG162" si="156">IF(D46=1,IF(D157&lt;D158,D161,0))</f>
        <v>0</v>
      </c>
      <c r="E162" s="141" t="b">
        <f t="shared" si="156"/>
        <v>0</v>
      </c>
      <c r="F162" s="141">
        <f t="shared" si="156"/>
        <v>0</v>
      </c>
      <c r="G162" s="141">
        <f t="shared" si="156"/>
        <v>0</v>
      </c>
      <c r="H162" s="141" t="b">
        <f t="shared" si="156"/>
        <v>0</v>
      </c>
      <c r="I162" s="141" t="b">
        <f t="shared" si="156"/>
        <v>0</v>
      </c>
      <c r="J162" s="141" t="b">
        <f t="shared" si="156"/>
        <v>0</v>
      </c>
      <c r="K162" s="141" t="b">
        <f t="shared" si="156"/>
        <v>0</v>
      </c>
      <c r="L162" s="141" t="b">
        <f t="shared" si="156"/>
        <v>0</v>
      </c>
      <c r="M162" s="141">
        <f t="shared" si="156"/>
        <v>0</v>
      </c>
      <c r="N162" s="141">
        <f t="shared" si="156"/>
        <v>0</v>
      </c>
      <c r="O162" s="141" t="b">
        <f t="shared" si="156"/>
        <v>0</v>
      </c>
      <c r="P162" s="141" t="b">
        <f t="shared" si="156"/>
        <v>0</v>
      </c>
      <c r="Q162" s="141" t="b">
        <f t="shared" si="156"/>
        <v>0</v>
      </c>
      <c r="R162" s="141" t="b">
        <f t="shared" si="156"/>
        <v>0</v>
      </c>
      <c r="S162" s="141" t="b">
        <f t="shared" si="156"/>
        <v>0</v>
      </c>
      <c r="T162" s="141">
        <f t="shared" si="156"/>
        <v>0</v>
      </c>
      <c r="U162" s="141">
        <f t="shared" si="156"/>
        <v>0</v>
      </c>
      <c r="V162" s="141" t="b">
        <f t="shared" si="156"/>
        <v>0</v>
      </c>
      <c r="W162" s="141" t="b">
        <f t="shared" si="156"/>
        <v>0</v>
      </c>
      <c r="X162" s="141" t="b">
        <f t="shared" si="156"/>
        <v>0</v>
      </c>
      <c r="Y162" s="141" t="b">
        <f t="shared" si="156"/>
        <v>0</v>
      </c>
      <c r="Z162" s="141" t="b">
        <f t="shared" si="156"/>
        <v>0</v>
      </c>
      <c r="AA162" s="141">
        <f t="shared" si="156"/>
        <v>0</v>
      </c>
      <c r="AB162" s="141">
        <f t="shared" si="156"/>
        <v>0</v>
      </c>
      <c r="AC162" s="141" t="b">
        <f t="shared" si="156"/>
        <v>0</v>
      </c>
      <c r="AD162" s="141" t="b">
        <f t="shared" si="156"/>
        <v>0</v>
      </c>
      <c r="AE162" s="141" t="b">
        <f t="shared" si="156"/>
        <v>0</v>
      </c>
      <c r="AF162" s="141" t="b">
        <f t="shared" si="156"/>
        <v>0</v>
      </c>
      <c r="AG162" s="141" t="b">
        <f t="shared" si="156"/>
        <v>0</v>
      </c>
      <c r="AH162" s="154" t="s">
        <v>12</v>
      </c>
      <c r="AI162" s="133"/>
      <c r="AJ162" s="170"/>
      <c r="AK162" s="133"/>
      <c r="AL162" s="133"/>
    </row>
    <row r="163" spans="1:38" ht="15.95" hidden="1" customHeight="1" x14ac:dyDescent="0.25">
      <c r="A163" s="176"/>
      <c r="B163" s="149" t="s">
        <v>64</v>
      </c>
      <c r="C163" s="141">
        <f>IF(C46=1,IF(C157&gt;C158,24-C157,0),0)</f>
        <v>0</v>
      </c>
      <c r="D163" s="141">
        <f t="shared" ref="D163:AG163" si="157">IF(D46=1,IF(D157&gt;D158,24-D157,0),0)</f>
        <v>0</v>
      </c>
      <c r="E163" s="141">
        <f t="shared" si="157"/>
        <v>0</v>
      </c>
      <c r="F163" s="141">
        <f t="shared" si="157"/>
        <v>0</v>
      </c>
      <c r="G163" s="141">
        <f t="shared" si="157"/>
        <v>0</v>
      </c>
      <c r="H163" s="141">
        <f t="shared" si="157"/>
        <v>0</v>
      </c>
      <c r="I163" s="141">
        <f t="shared" si="157"/>
        <v>0</v>
      </c>
      <c r="J163" s="141">
        <f t="shared" si="157"/>
        <v>0</v>
      </c>
      <c r="K163" s="141">
        <f t="shared" si="157"/>
        <v>0</v>
      </c>
      <c r="L163" s="141">
        <f t="shared" si="157"/>
        <v>0</v>
      </c>
      <c r="M163" s="141">
        <f t="shared" si="157"/>
        <v>0</v>
      </c>
      <c r="N163" s="141">
        <f t="shared" si="157"/>
        <v>0</v>
      </c>
      <c r="O163" s="141">
        <f t="shared" si="157"/>
        <v>0</v>
      </c>
      <c r="P163" s="141">
        <f t="shared" si="157"/>
        <v>0</v>
      </c>
      <c r="Q163" s="141">
        <f t="shared" si="157"/>
        <v>0</v>
      </c>
      <c r="R163" s="141">
        <f t="shared" si="157"/>
        <v>0</v>
      </c>
      <c r="S163" s="141">
        <f t="shared" si="157"/>
        <v>0</v>
      </c>
      <c r="T163" s="141">
        <f t="shared" si="157"/>
        <v>0</v>
      </c>
      <c r="U163" s="141">
        <f t="shared" si="157"/>
        <v>0</v>
      </c>
      <c r="V163" s="141">
        <f t="shared" si="157"/>
        <v>0</v>
      </c>
      <c r="W163" s="141">
        <f t="shared" si="157"/>
        <v>0</v>
      </c>
      <c r="X163" s="141">
        <f t="shared" si="157"/>
        <v>0</v>
      </c>
      <c r="Y163" s="141">
        <f t="shared" si="157"/>
        <v>0</v>
      </c>
      <c r="Z163" s="141">
        <f t="shared" si="157"/>
        <v>0</v>
      </c>
      <c r="AA163" s="141">
        <f t="shared" si="157"/>
        <v>0</v>
      </c>
      <c r="AB163" s="141">
        <f t="shared" si="157"/>
        <v>0</v>
      </c>
      <c r="AC163" s="141">
        <f t="shared" si="157"/>
        <v>0</v>
      </c>
      <c r="AD163" s="141">
        <f t="shared" si="157"/>
        <v>0</v>
      </c>
      <c r="AE163" s="141">
        <f t="shared" si="157"/>
        <v>0</v>
      </c>
      <c r="AF163" s="141">
        <f t="shared" si="157"/>
        <v>0</v>
      </c>
      <c r="AG163" s="141">
        <f t="shared" si="157"/>
        <v>0</v>
      </c>
      <c r="AH163" s="154" t="s">
        <v>12</v>
      </c>
      <c r="AI163" s="133"/>
      <c r="AJ163" s="170"/>
      <c r="AK163" s="133"/>
      <c r="AL163" s="133"/>
    </row>
    <row r="164" spans="1:38" ht="15.95" hidden="1" customHeight="1" x14ac:dyDescent="0.25">
      <c r="A164" s="176"/>
      <c r="B164" s="149" t="s">
        <v>65</v>
      </c>
      <c r="C164" s="141">
        <f>IF(C46=1,IF(C157&gt;C158,C158,0),0)</f>
        <v>0</v>
      </c>
      <c r="D164" s="141">
        <f t="shared" ref="D164:AG164" si="158">IF(D46=1,IF(D157&gt;D158,D158,0),0)</f>
        <v>0</v>
      </c>
      <c r="E164" s="141">
        <f t="shared" si="158"/>
        <v>0</v>
      </c>
      <c r="F164" s="141">
        <f t="shared" si="158"/>
        <v>0</v>
      </c>
      <c r="G164" s="141">
        <f t="shared" si="158"/>
        <v>0</v>
      </c>
      <c r="H164" s="141">
        <f t="shared" si="158"/>
        <v>0</v>
      </c>
      <c r="I164" s="141">
        <f t="shared" si="158"/>
        <v>0</v>
      </c>
      <c r="J164" s="141">
        <f t="shared" si="158"/>
        <v>0</v>
      </c>
      <c r="K164" s="141">
        <f t="shared" si="158"/>
        <v>0</v>
      </c>
      <c r="L164" s="141">
        <f t="shared" si="158"/>
        <v>0</v>
      </c>
      <c r="M164" s="141">
        <f t="shared" si="158"/>
        <v>0</v>
      </c>
      <c r="N164" s="141">
        <f t="shared" si="158"/>
        <v>0</v>
      </c>
      <c r="O164" s="141">
        <f t="shared" si="158"/>
        <v>0</v>
      </c>
      <c r="P164" s="141">
        <f t="shared" si="158"/>
        <v>0</v>
      </c>
      <c r="Q164" s="141">
        <f t="shared" si="158"/>
        <v>0</v>
      </c>
      <c r="R164" s="141">
        <f t="shared" si="158"/>
        <v>0</v>
      </c>
      <c r="S164" s="141">
        <f t="shared" si="158"/>
        <v>0</v>
      </c>
      <c r="T164" s="141">
        <f t="shared" si="158"/>
        <v>0</v>
      </c>
      <c r="U164" s="141">
        <f t="shared" si="158"/>
        <v>0</v>
      </c>
      <c r="V164" s="141">
        <f t="shared" si="158"/>
        <v>0</v>
      </c>
      <c r="W164" s="141">
        <f t="shared" si="158"/>
        <v>0</v>
      </c>
      <c r="X164" s="141">
        <f t="shared" si="158"/>
        <v>0</v>
      </c>
      <c r="Y164" s="141">
        <f t="shared" si="158"/>
        <v>0</v>
      </c>
      <c r="Z164" s="141">
        <f t="shared" si="158"/>
        <v>0</v>
      </c>
      <c r="AA164" s="141">
        <f t="shared" si="158"/>
        <v>0</v>
      </c>
      <c r="AB164" s="141">
        <f t="shared" si="158"/>
        <v>0</v>
      </c>
      <c r="AC164" s="141">
        <f t="shared" si="158"/>
        <v>0</v>
      </c>
      <c r="AD164" s="141">
        <f t="shared" si="158"/>
        <v>0</v>
      </c>
      <c r="AE164" s="141">
        <f t="shared" si="158"/>
        <v>0</v>
      </c>
      <c r="AF164" s="141">
        <f t="shared" si="158"/>
        <v>0</v>
      </c>
      <c r="AG164" s="141">
        <f t="shared" si="158"/>
        <v>0</v>
      </c>
      <c r="AH164" s="154" t="s">
        <v>12</v>
      </c>
      <c r="AI164" s="133"/>
      <c r="AJ164" s="170"/>
      <c r="AK164" s="133"/>
      <c r="AL164" s="133"/>
    </row>
    <row r="165" spans="1:38" ht="15.95" hidden="1" customHeight="1" x14ac:dyDescent="0.25">
      <c r="A165" s="176"/>
      <c r="B165" s="149" t="s">
        <v>67</v>
      </c>
      <c r="C165" s="171">
        <f t="shared" ref="C165:AG165" si="159">SUM(C162:C164)</f>
        <v>0</v>
      </c>
      <c r="D165" s="171">
        <f t="shared" si="159"/>
        <v>0</v>
      </c>
      <c r="E165" s="171">
        <f t="shared" si="159"/>
        <v>0</v>
      </c>
      <c r="F165" s="171">
        <f t="shared" si="159"/>
        <v>0</v>
      </c>
      <c r="G165" s="171">
        <f t="shared" si="159"/>
        <v>0</v>
      </c>
      <c r="H165" s="171">
        <f t="shared" si="159"/>
        <v>0</v>
      </c>
      <c r="I165" s="171">
        <f t="shared" si="159"/>
        <v>0</v>
      </c>
      <c r="J165" s="171">
        <f t="shared" si="159"/>
        <v>0</v>
      </c>
      <c r="K165" s="171">
        <f t="shared" si="159"/>
        <v>0</v>
      </c>
      <c r="L165" s="171">
        <f t="shared" si="159"/>
        <v>0</v>
      </c>
      <c r="M165" s="171">
        <f t="shared" si="159"/>
        <v>0</v>
      </c>
      <c r="N165" s="171">
        <f t="shared" si="159"/>
        <v>0</v>
      </c>
      <c r="O165" s="171">
        <f t="shared" si="159"/>
        <v>0</v>
      </c>
      <c r="P165" s="171">
        <f t="shared" si="159"/>
        <v>0</v>
      </c>
      <c r="Q165" s="171">
        <f t="shared" si="159"/>
        <v>0</v>
      </c>
      <c r="R165" s="171">
        <f t="shared" si="159"/>
        <v>0</v>
      </c>
      <c r="S165" s="171">
        <f t="shared" si="159"/>
        <v>0</v>
      </c>
      <c r="T165" s="171">
        <f t="shared" si="159"/>
        <v>0</v>
      </c>
      <c r="U165" s="171">
        <f t="shared" si="159"/>
        <v>0</v>
      </c>
      <c r="V165" s="171">
        <f t="shared" si="159"/>
        <v>0</v>
      </c>
      <c r="W165" s="171">
        <f t="shared" si="159"/>
        <v>0</v>
      </c>
      <c r="X165" s="171">
        <f t="shared" si="159"/>
        <v>0</v>
      </c>
      <c r="Y165" s="171">
        <f t="shared" si="159"/>
        <v>0</v>
      </c>
      <c r="Z165" s="171">
        <f t="shared" si="159"/>
        <v>0</v>
      </c>
      <c r="AA165" s="171">
        <f t="shared" si="159"/>
        <v>0</v>
      </c>
      <c r="AB165" s="171">
        <f t="shared" si="159"/>
        <v>0</v>
      </c>
      <c r="AC165" s="171">
        <f t="shared" si="159"/>
        <v>0</v>
      </c>
      <c r="AD165" s="171">
        <f t="shared" si="159"/>
        <v>0</v>
      </c>
      <c r="AE165" s="171">
        <f t="shared" si="159"/>
        <v>0</v>
      </c>
      <c r="AF165" s="171">
        <f t="shared" si="159"/>
        <v>0</v>
      </c>
      <c r="AG165" s="171">
        <f t="shared" si="159"/>
        <v>0</v>
      </c>
      <c r="AH165" s="154" t="s">
        <v>12</v>
      </c>
      <c r="AI165" s="133"/>
      <c r="AJ165" s="170"/>
      <c r="AK165" s="133"/>
      <c r="AL165" s="133"/>
    </row>
    <row r="166" spans="1:38" ht="15.95" hidden="1" customHeight="1" x14ac:dyDescent="0.25">
      <c r="A166" s="177"/>
      <c r="B166" s="160" t="s">
        <v>68</v>
      </c>
      <c r="C166" s="161">
        <f>IF(C19="V",IF(C19="",0,1),0)</f>
        <v>0</v>
      </c>
      <c r="D166" s="161">
        <f t="shared" ref="D166:AG166" si="160">IF(D19="V",IF(D19="",0,1),0)</f>
        <v>0</v>
      </c>
      <c r="E166" s="161">
        <f t="shared" si="160"/>
        <v>0</v>
      </c>
      <c r="F166" s="161">
        <f t="shared" si="160"/>
        <v>0</v>
      </c>
      <c r="G166" s="161">
        <f t="shared" si="160"/>
        <v>0</v>
      </c>
      <c r="H166" s="161">
        <f t="shared" si="160"/>
        <v>0</v>
      </c>
      <c r="I166" s="161">
        <f t="shared" si="160"/>
        <v>0</v>
      </c>
      <c r="J166" s="161">
        <f t="shared" si="160"/>
        <v>0</v>
      </c>
      <c r="K166" s="161">
        <f t="shared" si="160"/>
        <v>0</v>
      </c>
      <c r="L166" s="161">
        <f t="shared" si="160"/>
        <v>0</v>
      </c>
      <c r="M166" s="161">
        <f t="shared" si="160"/>
        <v>0</v>
      </c>
      <c r="N166" s="161">
        <f t="shared" si="160"/>
        <v>0</v>
      </c>
      <c r="O166" s="161">
        <f t="shared" si="160"/>
        <v>0</v>
      </c>
      <c r="P166" s="161">
        <f t="shared" si="160"/>
        <v>0</v>
      </c>
      <c r="Q166" s="161">
        <f t="shared" si="160"/>
        <v>0</v>
      </c>
      <c r="R166" s="161">
        <f t="shared" si="160"/>
        <v>0</v>
      </c>
      <c r="S166" s="161">
        <f t="shared" si="160"/>
        <v>0</v>
      </c>
      <c r="T166" s="161">
        <f t="shared" si="160"/>
        <v>0</v>
      </c>
      <c r="U166" s="161">
        <f t="shared" si="160"/>
        <v>0</v>
      </c>
      <c r="V166" s="161">
        <f t="shared" si="160"/>
        <v>0</v>
      </c>
      <c r="W166" s="161">
        <f t="shared" si="160"/>
        <v>0</v>
      </c>
      <c r="X166" s="161">
        <f t="shared" si="160"/>
        <v>0</v>
      </c>
      <c r="Y166" s="161">
        <f t="shared" si="160"/>
        <v>0</v>
      </c>
      <c r="Z166" s="161">
        <f t="shared" si="160"/>
        <v>0</v>
      </c>
      <c r="AA166" s="161">
        <f t="shared" si="160"/>
        <v>0</v>
      </c>
      <c r="AB166" s="161">
        <f t="shared" si="160"/>
        <v>0</v>
      </c>
      <c r="AC166" s="161">
        <f t="shared" si="160"/>
        <v>0</v>
      </c>
      <c r="AD166" s="161">
        <f t="shared" si="160"/>
        <v>0</v>
      </c>
      <c r="AE166" s="161">
        <f t="shared" si="160"/>
        <v>0</v>
      </c>
      <c r="AF166" s="161">
        <f t="shared" si="160"/>
        <v>0</v>
      </c>
      <c r="AG166" s="161">
        <f t="shared" si="160"/>
        <v>0</v>
      </c>
      <c r="AH166" s="154" t="s">
        <v>12</v>
      </c>
      <c r="AI166" s="133"/>
      <c r="AJ166" s="170"/>
      <c r="AK166" s="133"/>
      <c r="AL166" s="133"/>
    </row>
    <row r="167" spans="1:38" ht="15.95" hidden="1" customHeight="1" x14ac:dyDescent="0.25">
      <c r="A167" s="180"/>
      <c r="B167" s="181" t="s">
        <v>16</v>
      </c>
      <c r="C167" s="182">
        <f>IF(C19="PR",IF(C19="",0,1),0)</f>
        <v>0</v>
      </c>
      <c r="D167" s="182">
        <f t="shared" ref="D167:AG167" si="161">IF(D19="PR",IF(D19="",0,1),0)</f>
        <v>0</v>
      </c>
      <c r="E167" s="182">
        <f t="shared" si="161"/>
        <v>0</v>
      </c>
      <c r="F167" s="182">
        <f t="shared" si="161"/>
        <v>0</v>
      </c>
      <c r="G167" s="182">
        <f t="shared" si="161"/>
        <v>0</v>
      </c>
      <c r="H167" s="182">
        <f t="shared" si="161"/>
        <v>0</v>
      </c>
      <c r="I167" s="182">
        <f t="shared" si="161"/>
        <v>0</v>
      </c>
      <c r="J167" s="182">
        <f t="shared" si="161"/>
        <v>0</v>
      </c>
      <c r="K167" s="182">
        <f t="shared" si="161"/>
        <v>0</v>
      </c>
      <c r="L167" s="182">
        <f t="shared" si="161"/>
        <v>0</v>
      </c>
      <c r="M167" s="182">
        <f t="shared" si="161"/>
        <v>0</v>
      </c>
      <c r="N167" s="182">
        <f t="shared" si="161"/>
        <v>0</v>
      </c>
      <c r="O167" s="182">
        <f t="shared" si="161"/>
        <v>0</v>
      </c>
      <c r="P167" s="182">
        <f t="shared" si="161"/>
        <v>0</v>
      </c>
      <c r="Q167" s="182">
        <f t="shared" si="161"/>
        <v>0</v>
      </c>
      <c r="R167" s="182">
        <f t="shared" si="161"/>
        <v>0</v>
      </c>
      <c r="S167" s="182">
        <f t="shared" si="161"/>
        <v>0</v>
      </c>
      <c r="T167" s="182">
        <f t="shared" si="161"/>
        <v>0</v>
      </c>
      <c r="U167" s="182">
        <f t="shared" si="161"/>
        <v>0</v>
      </c>
      <c r="V167" s="182">
        <f t="shared" si="161"/>
        <v>0</v>
      </c>
      <c r="W167" s="182">
        <f t="shared" si="161"/>
        <v>0</v>
      </c>
      <c r="X167" s="182">
        <f t="shared" si="161"/>
        <v>0</v>
      </c>
      <c r="Y167" s="182">
        <f t="shared" si="161"/>
        <v>0</v>
      </c>
      <c r="Z167" s="182">
        <f t="shared" si="161"/>
        <v>0</v>
      </c>
      <c r="AA167" s="182">
        <f t="shared" si="161"/>
        <v>0</v>
      </c>
      <c r="AB167" s="182">
        <f t="shared" si="161"/>
        <v>0</v>
      </c>
      <c r="AC167" s="182">
        <f t="shared" si="161"/>
        <v>0</v>
      </c>
      <c r="AD167" s="182">
        <f t="shared" si="161"/>
        <v>0</v>
      </c>
      <c r="AE167" s="182">
        <f t="shared" si="161"/>
        <v>0</v>
      </c>
      <c r="AF167" s="182">
        <f t="shared" si="161"/>
        <v>0</v>
      </c>
      <c r="AG167" s="182">
        <f t="shared" si="161"/>
        <v>0</v>
      </c>
      <c r="AH167" s="227">
        <f>SUM(C167:AG167)</f>
        <v>0</v>
      </c>
      <c r="AI167" s="227"/>
      <c r="AJ167" s="174" t="s">
        <v>69</v>
      </c>
      <c r="AK167" s="133"/>
      <c r="AL167" s="133"/>
    </row>
    <row r="168" spans="1:38" ht="15.95" hidden="1" customHeight="1" x14ac:dyDescent="0.25">
      <c r="A168" s="164" t="s">
        <v>127</v>
      </c>
      <c r="B168" s="165" t="s">
        <v>29</v>
      </c>
      <c r="C168" s="141" t="str">
        <f>IF(C20=$R32,$S32*24,IF(C20=$R33,$S33*24,IF(C20=$R34,$S34*24,IF(C20=$R35,$S35*24,IF(C20=$R36,$S36*24,IF(C20=$R37,$S37*24,IF(C20=$R38,$S38*24,IF(C20=$R39,$S39*24,IF(C20=$R40,$S40*24,"")))))))))</f>
        <v/>
      </c>
      <c r="D168" s="141" t="str">
        <f t="shared" ref="D168:AG168" si="162">IF(D20=$R32,$S32*24,IF(D20=$R33,$S33*24,IF(D20=$R34,$S34*24,IF(D20=$R35,$S35*24,IF(D20=$R36,$S36*24,IF(D20=$R37,$S37*24,IF(D20=$R38,$S38*24,IF(D20=$R39,$S39*24,IF(D20=$R40,$S40*24,"")))))))))</f>
        <v/>
      </c>
      <c r="E168" s="141" t="str">
        <f t="shared" si="162"/>
        <v/>
      </c>
      <c r="F168" s="141" t="str">
        <f t="shared" si="162"/>
        <v/>
      </c>
      <c r="G168" s="141" t="str">
        <f t="shared" si="162"/>
        <v/>
      </c>
      <c r="H168" s="141" t="str">
        <f t="shared" si="162"/>
        <v/>
      </c>
      <c r="I168" s="141" t="str">
        <f t="shared" si="162"/>
        <v/>
      </c>
      <c r="J168" s="141" t="str">
        <f t="shared" si="162"/>
        <v/>
      </c>
      <c r="K168" s="141" t="str">
        <f t="shared" si="162"/>
        <v/>
      </c>
      <c r="L168" s="141" t="str">
        <f t="shared" si="162"/>
        <v/>
      </c>
      <c r="M168" s="141" t="str">
        <f t="shared" si="162"/>
        <v/>
      </c>
      <c r="N168" s="141" t="str">
        <f t="shared" si="162"/>
        <v/>
      </c>
      <c r="O168" s="141" t="str">
        <f t="shared" si="162"/>
        <v/>
      </c>
      <c r="P168" s="141" t="str">
        <f t="shared" si="162"/>
        <v/>
      </c>
      <c r="Q168" s="141" t="str">
        <f t="shared" si="162"/>
        <v/>
      </c>
      <c r="R168" s="141" t="str">
        <f t="shared" si="162"/>
        <v/>
      </c>
      <c r="S168" s="141" t="str">
        <f t="shared" si="162"/>
        <v/>
      </c>
      <c r="T168" s="141" t="str">
        <f t="shared" si="162"/>
        <v/>
      </c>
      <c r="U168" s="141" t="str">
        <f t="shared" si="162"/>
        <v/>
      </c>
      <c r="V168" s="141" t="str">
        <f t="shared" si="162"/>
        <v/>
      </c>
      <c r="W168" s="141" t="str">
        <f t="shared" si="162"/>
        <v/>
      </c>
      <c r="X168" s="141" t="str">
        <f t="shared" si="162"/>
        <v/>
      </c>
      <c r="Y168" s="141" t="str">
        <f t="shared" si="162"/>
        <v/>
      </c>
      <c r="Z168" s="141" t="str">
        <f t="shared" si="162"/>
        <v/>
      </c>
      <c r="AA168" s="141" t="str">
        <f t="shared" si="162"/>
        <v/>
      </c>
      <c r="AB168" s="141" t="str">
        <f t="shared" si="162"/>
        <v/>
      </c>
      <c r="AC168" s="141" t="str">
        <f t="shared" si="162"/>
        <v/>
      </c>
      <c r="AD168" s="141" t="str">
        <f t="shared" si="162"/>
        <v/>
      </c>
      <c r="AE168" s="141" t="str">
        <f t="shared" si="162"/>
        <v/>
      </c>
      <c r="AF168" s="141" t="str">
        <f t="shared" si="162"/>
        <v/>
      </c>
      <c r="AG168" s="141" t="str">
        <f t="shared" si="162"/>
        <v/>
      </c>
      <c r="AH168" s="154" t="s">
        <v>12</v>
      </c>
      <c r="AI168" s="133"/>
      <c r="AJ168" s="170"/>
      <c r="AK168" s="133"/>
      <c r="AL168" s="133"/>
    </row>
    <row r="169" spans="1:38" ht="15.95" hidden="1" customHeight="1" x14ac:dyDescent="0.25">
      <c r="A169" s="166" t="s">
        <v>129</v>
      </c>
      <c r="B169" s="167" t="s">
        <v>30</v>
      </c>
      <c r="C169" s="141" t="str">
        <f>IF(C20=$R32,$V32*24,IF(C20=$R33,$V33*24,IF(C20=$R34,$V34*24,IF(C20=$R35,$V35*24,IF(C20=$R36,$V36*24,IF(C20=$R37,$V37*24,IF(C20=$R38,$V38*24,IF(C20=$R39,$V39*24,IF(C20=$R40,$V40*24,"")))))))))</f>
        <v/>
      </c>
      <c r="D169" s="141" t="str">
        <f t="shared" ref="D169:AG169" si="163">IF(D20=$R32,$V32*24,IF(D20=$R33,$V33*24,IF(D20=$R34,$V34*24,IF(D20=$R35,$V35*24,IF(D20=$R36,$V36*24,IF(D20=$R37,$V37*24,IF(D20=$R38,$V38*24,IF(D20=$R39,$V39*24,IF(D20=$R40,$V40*24,"")))))))))</f>
        <v/>
      </c>
      <c r="E169" s="141" t="str">
        <f t="shared" si="163"/>
        <v/>
      </c>
      <c r="F169" s="141" t="str">
        <f t="shared" si="163"/>
        <v/>
      </c>
      <c r="G169" s="141" t="str">
        <f t="shared" si="163"/>
        <v/>
      </c>
      <c r="H169" s="141" t="str">
        <f t="shared" si="163"/>
        <v/>
      </c>
      <c r="I169" s="141" t="str">
        <f t="shared" si="163"/>
        <v/>
      </c>
      <c r="J169" s="141" t="str">
        <f t="shared" si="163"/>
        <v/>
      </c>
      <c r="K169" s="141" t="str">
        <f t="shared" si="163"/>
        <v/>
      </c>
      <c r="L169" s="141" t="str">
        <f t="shared" si="163"/>
        <v/>
      </c>
      <c r="M169" s="141" t="str">
        <f t="shared" si="163"/>
        <v/>
      </c>
      <c r="N169" s="141" t="str">
        <f t="shared" si="163"/>
        <v/>
      </c>
      <c r="O169" s="141" t="str">
        <f t="shared" si="163"/>
        <v/>
      </c>
      <c r="P169" s="141" t="str">
        <f t="shared" si="163"/>
        <v/>
      </c>
      <c r="Q169" s="141" t="str">
        <f t="shared" si="163"/>
        <v/>
      </c>
      <c r="R169" s="141" t="str">
        <f t="shared" si="163"/>
        <v/>
      </c>
      <c r="S169" s="141" t="str">
        <f t="shared" si="163"/>
        <v/>
      </c>
      <c r="T169" s="141" t="str">
        <f t="shared" si="163"/>
        <v/>
      </c>
      <c r="U169" s="141" t="str">
        <f t="shared" si="163"/>
        <v/>
      </c>
      <c r="V169" s="141" t="str">
        <f t="shared" si="163"/>
        <v/>
      </c>
      <c r="W169" s="141" t="str">
        <f t="shared" si="163"/>
        <v/>
      </c>
      <c r="X169" s="141" t="str">
        <f t="shared" si="163"/>
        <v/>
      </c>
      <c r="Y169" s="141" t="str">
        <f t="shared" si="163"/>
        <v/>
      </c>
      <c r="Z169" s="141" t="str">
        <f t="shared" si="163"/>
        <v/>
      </c>
      <c r="AA169" s="141" t="str">
        <f t="shared" si="163"/>
        <v/>
      </c>
      <c r="AB169" s="141" t="str">
        <f t="shared" si="163"/>
        <v/>
      </c>
      <c r="AC169" s="141" t="str">
        <f t="shared" si="163"/>
        <v/>
      </c>
      <c r="AD169" s="141" t="str">
        <f t="shared" si="163"/>
        <v/>
      </c>
      <c r="AE169" s="141" t="str">
        <f t="shared" si="163"/>
        <v/>
      </c>
      <c r="AF169" s="141" t="str">
        <f t="shared" si="163"/>
        <v/>
      </c>
      <c r="AG169" s="141" t="str">
        <f t="shared" si="163"/>
        <v/>
      </c>
      <c r="AH169" s="154" t="s">
        <v>12</v>
      </c>
      <c r="AI169" s="133"/>
      <c r="AJ169" s="170"/>
      <c r="AK169" s="133"/>
      <c r="AL169" s="133"/>
    </row>
    <row r="170" spans="1:38" ht="15.95" hidden="1" customHeight="1" x14ac:dyDescent="0.25">
      <c r="A170" s="153"/>
      <c r="B170" s="183" t="s">
        <v>34</v>
      </c>
      <c r="C170" s="169" t="str">
        <f t="shared" ref="C170:AD170" si="164">IF(C20=$R32,$BD32*24,IF(C20=$R33,$BD33*24,IF(C20=$R34,$BD34*24,IF(C20=$R35,$BD35*24,IF(C20=$R36,$BD36*24,IF(C20=$R37,$BD37*24,IF(C20=$R38,$BD38*24,IF(C20=$R39,$BD39*24,IF(C20=$R40,$BD40*24,"")))))))))</f>
        <v/>
      </c>
      <c r="D170" s="169" t="str">
        <f t="shared" si="164"/>
        <v/>
      </c>
      <c r="E170" s="169" t="str">
        <f t="shared" si="164"/>
        <v/>
      </c>
      <c r="F170" s="169" t="str">
        <f t="shared" si="164"/>
        <v/>
      </c>
      <c r="G170" s="169" t="str">
        <f t="shared" si="164"/>
        <v/>
      </c>
      <c r="H170" s="169" t="str">
        <f t="shared" si="164"/>
        <v/>
      </c>
      <c r="I170" s="169" t="str">
        <f t="shared" si="164"/>
        <v/>
      </c>
      <c r="J170" s="169" t="str">
        <f t="shared" si="164"/>
        <v/>
      </c>
      <c r="K170" s="169" t="str">
        <f t="shared" si="164"/>
        <v/>
      </c>
      <c r="L170" s="169" t="str">
        <f t="shared" si="164"/>
        <v/>
      </c>
      <c r="M170" s="169" t="str">
        <f t="shared" si="164"/>
        <v/>
      </c>
      <c r="N170" s="169" t="str">
        <f t="shared" si="164"/>
        <v/>
      </c>
      <c r="O170" s="169" t="str">
        <f t="shared" si="164"/>
        <v/>
      </c>
      <c r="P170" s="169" t="str">
        <f t="shared" si="164"/>
        <v/>
      </c>
      <c r="Q170" s="169" t="str">
        <f t="shared" si="164"/>
        <v/>
      </c>
      <c r="R170" s="169" t="str">
        <f t="shared" si="164"/>
        <v/>
      </c>
      <c r="S170" s="169" t="str">
        <f t="shared" si="164"/>
        <v/>
      </c>
      <c r="T170" s="169" t="str">
        <f t="shared" si="164"/>
        <v/>
      </c>
      <c r="U170" s="169" t="str">
        <f t="shared" si="164"/>
        <v/>
      </c>
      <c r="V170" s="169" t="str">
        <f t="shared" si="164"/>
        <v/>
      </c>
      <c r="W170" s="169" t="str">
        <f t="shared" si="164"/>
        <v/>
      </c>
      <c r="X170" s="169" t="str">
        <f t="shared" si="164"/>
        <v/>
      </c>
      <c r="Y170" s="169" t="str">
        <f t="shared" si="164"/>
        <v/>
      </c>
      <c r="Z170" s="169" t="str">
        <f t="shared" si="164"/>
        <v/>
      </c>
      <c r="AA170" s="169" t="str">
        <f t="shared" si="164"/>
        <v/>
      </c>
      <c r="AB170" s="169" t="str">
        <f t="shared" si="164"/>
        <v/>
      </c>
      <c r="AC170" s="169" t="str">
        <f t="shared" si="164"/>
        <v/>
      </c>
      <c r="AD170" s="169" t="str">
        <f t="shared" si="164"/>
        <v/>
      </c>
      <c r="AE170" s="169" t="str">
        <f>IF(AE20=$R32,$BD32*24,IF(AE20=$R33,$BD33*24,IF(AE20=$R34,$BD34*24,IF(AE20=$R35,$BD35*24,IF(AE20=$R36,$BD36*24,IF(AE20=$R37,$BD37*24,IF(AE20=$R38,$BD38*24,IF(AE20=$R39,$BD39*24,IF(AE20=$R40,$BD40*24,"")))))))))</f>
        <v/>
      </c>
      <c r="AF170" s="169" t="str">
        <f>IF(AF20=$R32,$BD32*24,IF(AF20=$R33,$BD33*24,IF(AF20=$R34,$BD34*24,IF(AF20=$R35,$BD35*24,IF(AF20=$R36,$BD36*24,IF(AF20=$R37,$BD37*24,IF(AF20=$R38,$BD38*24,IF(AF20=$R39,$BD39*24,IF(AF20=$R40,$BD40*24,"")))))))))</f>
        <v/>
      </c>
      <c r="AG170" s="169" t="str">
        <f>IF(AG20=$R32,$BD32*24,IF(AG20=$R33,$BD33*24,IF(AG20=$R34,$BD34*24,IF(AG20=$R35,$BD35*24,IF(AG20=$R36,$BD36*24,IF(AG20=$R37,$BD37*24,IF(AG20=$R38,$BD38*24,IF(AG20=$R39,$BD39*24,IF(AG20=$R40,$BD40*24,"")))))))))</f>
        <v/>
      </c>
      <c r="AH170" s="148">
        <f>SUM(C170:AG170)</f>
        <v>0</v>
      </c>
      <c r="AI170" s="133"/>
      <c r="AJ170" s="170"/>
      <c r="AK170" s="133"/>
      <c r="AL170" s="133"/>
    </row>
    <row r="171" spans="1:38" ht="15.95" hidden="1" customHeight="1" x14ac:dyDescent="0.25">
      <c r="A171" s="153"/>
      <c r="B171" s="167" t="s">
        <v>59</v>
      </c>
      <c r="C171" s="141">
        <f>IF(C20="V",$C36,IF(C20="PR",$C38,0))</f>
        <v>0</v>
      </c>
      <c r="D171" s="141">
        <f t="shared" ref="D171:AG171" si="165">IF(D20="V",$C36,IF(D20="PR",$C38,0))</f>
        <v>0</v>
      </c>
      <c r="E171" s="141">
        <f t="shared" si="165"/>
        <v>0</v>
      </c>
      <c r="F171" s="141">
        <f t="shared" si="165"/>
        <v>0</v>
      </c>
      <c r="G171" s="141">
        <f t="shared" si="165"/>
        <v>0</v>
      </c>
      <c r="H171" s="141">
        <f t="shared" si="165"/>
        <v>0</v>
      </c>
      <c r="I171" s="141">
        <f t="shared" si="165"/>
        <v>0</v>
      </c>
      <c r="J171" s="141">
        <f t="shared" si="165"/>
        <v>0</v>
      </c>
      <c r="K171" s="141">
        <f t="shared" si="165"/>
        <v>0</v>
      </c>
      <c r="L171" s="141">
        <f t="shared" si="165"/>
        <v>0</v>
      </c>
      <c r="M171" s="141">
        <f t="shared" si="165"/>
        <v>0</v>
      </c>
      <c r="N171" s="141">
        <f t="shared" si="165"/>
        <v>0</v>
      </c>
      <c r="O171" s="141">
        <f t="shared" si="165"/>
        <v>0</v>
      </c>
      <c r="P171" s="141">
        <f t="shared" si="165"/>
        <v>0</v>
      </c>
      <c r="Q171" s="141">
        <f t="shared" si="165"/>
        <v>0</v>
      </c>
      <c r="R171" s="141">
        <f t="shared" si="165"/>
        <v>0</v>
      </c>
      <c r="S171" s="141">
        <f t="shared" si="165"/>
        <v>0</v>
      </c>
      <c r="T171" s="141">
        <f t="shared" si="165"/>
        <v>0</v>
      </c>
      <c r="U171" s="141">
        <f t="shared" si="165"/>
        <v>0</v>
      </c>
      <c r="V171" s="141">
        <f t="shared" si="165"/>
        <v>0</v>
      </c>
      <c r="W171" s="141">
        <f t="shared" si="165"/>
        <v>0</v>
      </c>
      <c r="X171" s="141">
        <f t="shared" si="165"/>
        <v>0</v>
      </c>
      <c r="Y171" s="141">
        <f t="shared" si="165"/>
        <v>0</v>
      </c>
      <c r="Z171" s="141">
        <f t="shared" si="165"/>
        <v>0</v>
      </c>
      <c r="AA171" s="141">
        <f t="shared" si="165"/>
        <v>0</v>
      </c>
      <c r="AB171" s="141">
        <f t="shared" si="165"/>
        <v>0</v>
      </c>
      <c r="AC171" s="141">
        <f t="shared" si="165"/>
        <v>0</v>
      </c>
      <c r="AD171" s="141">
        <f t="shared" si="165"/>
        <v>0</v>
      </c>
      <c r="AE171" s="141">
        <f t="shared" si="165"/>
        <v>0</v>
      </c>
      <c r="AF171" s="141">
        <f t="shared" si="165"/>
        <v>0</v>
      </c>
      <c r="AG171" s="141">
        <f t="shared" si="165"/>
        <v>0</v>
      </c>
      <c r="AH171" s="226">
        <f>SUM(C171:AG171)</f>
        <v>0</v>
      </c>
      <c r="AI171" s="226"/>
      <c r="AJ171" s="230">
        <f>SUM(AH116+AH127+AH138+AH149+AH160+AH171)</f>
        <v>0</v>
      </c>
      <c r="AK171" s="230"/>
      <c r="AL171" s="133" t="s">
        <v>56</v>
      </c>
    </row>
    <row r="172" spans="1:38" ht="15.95" hidden="1" customHeight="1" x14ac:dyDescent="0.25">
      <c r="A172" s="150" t="s">
        <v>60</v>
      </c>
      <c r="B172" s="167" t="s">
        <v>61</v>
      </c>
      <c r="C172" s="151">
        <f t="shared" ref="C172:AD172" si="166">IF(C20=$R32,$BC32,IF(C20=$R33,$BC33,IF(C20=$R34,$BC34,IF(C20=$R35,$BC35,IF(C20=$R36,$BC36,IF(C20=$R37,$BC37,IF(C20=$R38,$BC38,IF(C20=$R39,$BC39,IF(C20=$R40,$BC40,0)))))))))</f>
        <v>0</v>
      </c>
      <c r="D172" s="151">
        <f t="shared" si="166"/>
        <v>0</v>
      </c>
      <c r="E172" s="151">
        <f t="shared" si="166"/>
        <v>0</v>
      </c>
      <c r="F172" s="151">
        <f t="shared" si="166"/>
        <v>0</v>
      </c>
      <c r="G172" s="151">
        <f t="shared" si="166"/>
        <v>0</v>
      </c>
      <c r="H172" s="151">
        <f t="shared" si="166"/>
        <v>0</v>
      </c>
      <c r="I172" s="151">
        <f t="shared" si="166"/>
        <v>0</v>
      </c>
      <c r="J172" s="151">
        <f t="shared" si="166"/>
        <v>0</v>
      </c>
      <c r="K172" s="151">
        <f t="shared" si="166"/>
        <v>0</v>
      </c>
      <c r="L172" s="151">
        <f t="shared" si="166"/>
        <v>0</v>
      </c>
      <c r="M172" s="151">
        <f t="shared" si="166"/>
        <v>0</v>
      </c>
      <c r="N172" s="151">
        <f t="shared" si="166"/>
        <v>0</v>
      </c>
      <c r="O172" s="151">
        <f t="shared" si="166"/>
        <v>0</v>
      </c>
      <c r="P172" s="151">
        <f t="shared" si="166"/>
        <v>0</v>
      </c>
      <c r="Q172" s="151">
        <f t="shared" si="166"/>
        <v>0</v>
      </c>
      <c r="R172" s="151">
        <f t="shared" si="166"/>
        <v>0</v>
      </c>
      <c r="S172" s="151">
        <f t="shared" si="166"/>
        <v>0</v>
      </c>
      <c r="T172" s="151">
        <f t="shared" si="166"/>
        <v>0</v>
      </c>
      <c r="U172" s="151">
        <f t="shared" si="166"/>
        <v>0</v>
      </c>
      <c r="V172" s="151">
        <f t="shared" si="166"/>
        <v>0</v>
      </c>
      <c r="W172" s="151">
        <f t="shared" si="166"/>
        <v>0</v>
      </c>
      <c r="X172" s="151">
        <f t="shared" si="166"/>
        <v>0</v>
      </c>
      <c r="Y172" s="151">
        <f t="shared" si="166"/>
        <v>0</v>
      </c>
      <c r="Z172" s="151">
        <f t="shared" si="166"/>
        <v>0</v>
      </c>
      <c r="AA172" s="151">
        <f t="shared" si="166"/>
        <v>0</v>
      </c>
      <c r="AB172" s="151">
        <f t="shared" si="166"/>
        <v>0</v>
      </c>
      <c r="AC172" s="151">
        <f t="shared" si="166"/>
        <v>0</v>
      </c>
      <c r="AD172" s="151">
        <f t="shared" si="166"/>
        <v>0</v>
      </c>
      <c r="AE172" s="151">
        <f>IF(AE20=$R32,$BC32,IF(AE20=$R33,$BC33,IF(AE20=$R34,$BC34,IF(AE20=$R35,$BC35,IF(AE20=$R36,$BC36,IF(AE20=$R37,$BC37,IF(AE20=$R38,$BC38,IF(AE20=$R39,$BC39,IF(AE20=$R40,$BC40,0)))))))))</f>
        <v>0</v>
      </c>
      <c r="AF172" s="151">
        <f>IF(AF20=$R32,$BC32,IF(AF20=$R33,$BC33,IF(AF20=$R34,$BC34,IF(AF20=$R35,$BC35,IF(AF20=$R36,$BC36,IF(AF20=$R37,$BC37,IF(AF20=$R38,$BC38,IF(AF20=$R39,$BC39,IF(AF20=$R40,$BC40,0)))))))))</f>
        <v>0</v>
      </c>
      <c r="AG172" s="151">
        <f>IF(AG20=$R32,$BC32,IF(AG20=$R33,$BC33,IF(AG20=$R34,$BC34,IF(AG20=$R35,$BC35,IF(AG20=$R36,$BC36,IF(AG20=$R37,$BC37,IF(AG20=$R38,$BC38,IF(AG20=$R39,$BC39,IF(AG20=$R40,$BC40,0)))))))))</f>
        <v>0</v>
      </c>
      <c r="AH172" s="226">
        <f>SUM(C172:AG172)</f>
        <v>0</v>
      </c>
      <c r="AI172" s="226"/>
      <c r="AJ172" s="174" t="s">
        <v>62</v>
      </c>
      <c r="AK172" s="133" t="s">
        <v>12</v>
      </c>
      <c r="AL172" s="133"/>
    </row>
    <row r="173" spans="1:38" ht="15.95" hidden="1" customHeight="1" x14ac:dyDescent="0.25">
      <c r="A173" s="153" t="s">
        <v>48</v>
      </c>
      <c r="B173" s="149" t="s">
        <v>63</v>
      </c>
      <c r="C173" s="141" t="b">
        <f>IF(C46=1,IF(C168&lt;C169,C172,0))</f>
        <v>0</v>
      </c>
      <c r="D173" s="141" t="b">
        <f t="shared" ref="D173:AG173" si="167">IF(D46=1,IF(D168&lt;D169,D172,0))</f>
        <v>0</v>
      </c>
      <c r="E173" s="141" t="b">
        <f t="shared" si="167"/>
        <v>0</v>
      </c>
      <c r="F173" s="141">
        <f t="shared" si="167"/>
        <v>0</v>
      </c>
      <c r="G173" s="141">
        <f t="shared" si="167"/>
        <v>0</v>
      </c>
      <c r="H173" s="141" t="b">
        <f t="shared" si="167"/>
        <v>0</v>
      </c>
      <c r="I173" s="141" t="b">
        <f t="shared" si="167"/>
        <v>0</v>
      </c>
      <c r="J173" s="141" t="b">
        <f t="shared" si="167"/>
        <v>0</v>
      </c>
      <c r="K173" s="141" t="b">
        <f t="shared" si="167"/>
        <v>0</v>
      </c>
      <c r="L173" s="141" t="b">
        <f t="shared" si="167"/>
        <v>0</v>
      </c>
      <c r="M173" s="141">
        <f t="shared" si="167"/>
        <v>0</v>
      </c>
      <c r="N173" s="141">
        <f t="shared" si="167"/>
        <v>0</v>
      </c>
      <c r="O173" s="141" t="b">
        <f t="shared" si="167"/>
        <v>0</v>
      </c>
      <c r="P173" s="141" t="b">
        <f t="shared" si="167"/>
        <v>0</v>
      </c>
      <c r="Q173" s="141" t="b">
        <f t="shared" si="167"/>
        <v>0</v>
      </c>
      <c r="R173" s="141" t="b">
        <f t="shared" si="167"/>
        <v>0</v>
      </c>
      <c r="S173" s="141" t="b">
        <f t="shared" si="167"/>
        <v>0</v>
      </c>
      <c r="T173" s="141">
        <f t="shared" si="167"/>
        <v>0</v>
      </c>
      <c r="U173" s="141">
        <f t="shared" si="167"/>
        <v>0</v>
      </c>
      <c r="V173" s="141" t="b">
        <f t="shared" si="167"/>
        <v>0</v>
      </c>
      <c r="W173" s="141" t="b">
        <f t="shared" si="167"/>
        <v>0</v>
      </c>
      <c r="X173" s="141" t="b">
        <f t="shared" si="167"/>
        <v>0</v>
      </c>
      <c r="Y173" s="141" t="b">
        <f t="shared" si="167"/>
        <v>0</v>
      </c>
      <c r="Z173" s="141" t="b">
        <f t="shared" si="167"/>
        <v>0</v>
      </c>
      <c r="AA173" s="141">
        <f t="shared" si="167"/>
        <v>0</v>
      </c>
      <c r="AB173" s="141">
        <f t="shared" si="167"/>
        <v>0</v>
      </c>
      <c r="AC173" s="141" t="b">
        <f t="shared" si="167"/>
        <v>0</v>
      </c>
      <c r="AD173" s="141" t="b">
        <f t="shared" si="167"/>
        <v>0</v>
      </c>
      <c r="AE173" s="141" t="b">
        <f t="shared" si="167"/>
        <v>0</v>
      </c>
      <c r="AF173" s="141" t="b">
        <f t="shared" si="167"/>
        <v>0</v>
      </c>
      <c r="AG173" s="141" t="b">
        <f t="shared" si="167"/>
        <v>0</v>
      </c>
      <c r="AH173" s="154" t="s">
        <v>12</v>
      </c>
      <c r="AI173" s="133"/>
      <c r="AJ173" s="170"/>
      <c r="AK173" s="133"/>
      <c r="AL173" s="133"/>
    </row>
    <row r="174" spans="1:38" ht="15.95" hidden="1" customHeight="1" x14ac:dyDescent="0.25">
      <c r="A174" s="176"/>
      <c r="B174" s="149" t="s">
        <v>64</v>
      </c>
      <c r="C174" s="141">
        <f>IF(C46=1,IF(C168&gt;C169,24-C168,0),0)</f>
        <v>0</v>
      </c>
      <c r="D174" s="141">
        <f t="shared" ref="D174:AG174" si="168">IF(D46=1,IF(D168&gt;D169,24-D168,0),0)</f>
        <v>0</v>
      </c>
      <c r="E174" s="141">
        <f t="shared" si="168"/>
        <v>0</v>
      </c>
      <c r="F174" s="141">
        <f t="shared" si="168"/>
        <v>0</v>
      </c>
      <c r="G174" s="141">
        <f t="shared" si="168"/>
        <v>0</v>
      </c>
      <c r="H174" s="141">
        <f t="shared" si="168"/>
        <v>0</v>
      </c>
      <c r="I174" s="141">
        <f t="shared" si="168"/>
        <v>0</v>
      </c>
      <c r="J174" s="141">
        <f t="shared" si="168"/>
        <v>0</v>
      </c>
      <c r="K174" s="141">
        <f t="shared" si="168"/>
        <v>0</v>
      </c>
      <c r="L174" s="141">
        <f t="shared" si="168"/>
        <v>0</v>
      </c>
      <c r="M174" s="141">
        <f t="shared" si="168"/>
        <v>0</v>
      </c>
      <c r="N174" s="141">
        <f t="shared" si="168"/>
        <v>0</v>
      </c>
      <c r="O174" s="141">
        <f t="shared" si="168"/>
        <v>0</v>
      </c>
      <c r="P174" s="141">
        <f t="shared" si="168"/>
        <v>0</v>
      </c>
      <c r="Q174" s="141">
        <f t="shared" si="168"/>
        <v>0</v>
      </c>
      <c r="R174" s="141">
        <f t="shared" si="168"/>
        <v>0</v>
      </c>
      <c r="S174" s="141">
        <f t="shared" si="168"/>
        <v>0</v>
      </c>
      <c r="T174" s="141">
        <f t="shared" si="168"/>
        <v>0</v>
      </c>
      <c r="U174" s="141">
        <f t="shared" si="168"/>
        <v>0</v>
      </c>
      <c r="V174" s="141">
        <f t="shared" si="168"/>
        <v>0</v>
      </c>
      <c r="W174" s="141">
        <f t="shared" si="168"/>
        <v>0</v>
      </c>
      <c r="X174" s="141">
        <f t="shared" si="168"/>
        <v>0</v>
      </c>
      <c r="Y174" s="141">
        <f t="shared" si="168"/>
        <v>0</v>
      </c>
      <c r="Z174" s="141">
        <f t="shared" si="168"/>
        <v>0</v>
      </c>
      <c r="AA174" s="141">
        <f t="shared" si="168"/>
        <v>0</v>
      </c>
      <c r="AB174" s="141">
        <f t="shared" si="168"/>
        <v>0</v>
      </c>
      <c r="AC174" s="141">
        <f t="shared" si="168"/>
        <v>0</v>
      </c>
      <c r="AD174" s="141">
        <f t="shared" si="168"/>
        <v>0</v>
      </c>
      <c r="AE174" s="141">
        <f t="shared" si="168"/>
        <v>0</v>
      </c>
      <c r="AF174" s="141">
        <f t="shared" si="168"/>
        <v>0</v>
      </c>
      <c r="AG174" s="141">
        <f t="shared" si="168"/>
        <v>0</v>
      </c>
      <c r="AH174" s="154" t="s">
        <v>12</v>
      </c>
      <c r="AI174" s="133"/>
      <c r="AJ174" s="170"/>
      <c r="AK174" s="133"/>
      <c r="AL174" s="133"/>
    </row>
    <row r="175" spans="1:38" ht="15.95" hidden="1" customHeight="1" x14ac:dyDescent="0.25">
      <c r="A175" s="176"/>
      <c r="B175" s="149" t="s">
        <v>65</v>
      </c>
      <c r="C175" s="141">
        <f>IF(C46=1,IF(C168&gt;C169,C169,0),0)</f>
        <v>0</v>
      </c>
      <c r="D175" s="141">
        <f t="shared" ref="D175:AG175" si="169">IF(D46=1,IF(D168&gt;D169,D169,0),0)</f>
        <v>0</v>
      </c>
      <c r="E175" s="141">
        <f t="shared" si="169"/>
        <v>0</v>
      </c>
      <c r="F175" s="141">
        <f t="shared" si="169"/>
        <v>0</v>
      </c>
      <c r="G175" s="141">
        <f t="shared" si="169"/>
        <v>0</v>
      </c>
      <c r="H175" s="141">
        <f t="shared" si="169"/>
        <v>0</v>
      </c>
      <c r="I175" s="141">
        <f t="shared" si="169"/>
        <v>0</v>
      </c>
      <c r="J175" s="141">
        <f t="shared" si="169"/>
        <v>0</v>
      </c>
      <c r="K175" s="141">
        <f t="shared" si="169"/>
        <v>0</v>
      </c>
      <c r="L175" s="141">
        <f t="shared" si="169"/>
        <v>0</v>
      </c>
      <c r="M175" s="141">
        <f t="shared" si="169"/>
        <v>0</v>
      </c>
      <c r="N175" s="141">
        <f t="shared" si="169"/>
        <v>0</v>
      </c>
      <c r="O175" s="141">
        <f t="shared" si="169"/>
        <v>0</v>
      </c>
      <c r="P175" s="141">
        <f t="shared" si="169"/>
        <v>0</v>
      </c>
      <c r="Q175" s="141">
        <f t="shared" si="169"/>
        <v>0</v>
      </c>
      <c r="R175" s="141">
        <f t="shared" si="169"/>
        <v>0</v>
      </c>
      <c r="S175" s="141">
        <f t="shared" si="169"/>
        <v>0</v>
      </c>
      <c r="T175" s="141">
        <f t="shared" si="169"/>
        <v>0</v>
      </c>
      <c r="U175" s="141">
        <f t="shared" si="169"/>
        <v>0</v>
      </c>
      <c r="V175" s="141">
        <f t="shared" si="169"/>
        <v>0</v>
      </c>
      <c r="W175" s="141">
        <f t="shared" si="169"/>
        <v>0</v>
      </c>
      <c r="X175" s="141">
        <f t="shared" si="169"/>
        <v>0</v>
      </c>
      <c r="Y175" s="141">
        <f t="shared" si="169"/>
        <v>0</v>
      </c>
      <c r="Z175" s="141">
        <f t="shared" si="169"/>
        <v>0</v>
      </c>
      <c r="AA175" s="141">
        <f t="shared" si="169"/>
        <v>0</v>
      </c>
      <c r="AB175" s="141">
        <f t="shared" si="169"/>
        <v>0</v>
      </c>
      <c r="AC175" s="141">
        <f t="shared" si="169"/>
        <v>0</v>
      </c>
      <c r="AD175" s="141">
        <f t="shared" si="169"/>
        <v>0</v>
      </c>
      <c r="AE175" s="141">
        <f t="shared" si="169"/>
        <v>0</v>
      </c>
      <c r="AF175" s="141">
        <f t="shared" si="169"/>
        <v>0</v>
      </c>
      <c r="AG175" s="141">
        <f t="shared" si="169"/>
        <v>0</v>
      </c>
      <c r="AH175" s="154" t="s">
        <v>12</v>
      </c>
      <c r="AI175" s="133"/>
      <c r="AJ175" s="170"/>
      <c r="AK175" s="133"/>
      <c r="AL175" s="133"/>
    </row>
    <row r="176" spans="1:38" ht="15.95" hidden="1" customHeight="1" x14ac:dyDescent="0.25">
      <c r="A176" s="176"/>
      <c r="B176" s="149" t="s">
        <v>67</v>
      </c>
      <c r="C176" s="171">
        <f>SUM(C173:C175)</f>
        <v>0</v>
      </c>
      <c r="D176" s="171">
        <f t="shared" ref="D176:AG176" si="170">SUM(D173:D175)</f>
        <v>0</v>
      </c>
      <c r="E176" s="171">
        <f t="shared" si="170"/>
        <v>0</v>
      </c>
      <c r="F176" s="171">
        <f t="shared" si="170"/>
        <v>0</v>
      </c>
      <c r="G176" s="171">
        <f t="shared" si="170"/>
        <v>0</v>
      </c>
      <c r="H176" s="171">
        <f t="shared" si="170"/>
        <v>0</v>
      </c>
      <c r="I176" s="171">
        <f t="shared" si="170"/>
        <v>0</v>
      </c>
      <c r="J176" s="171">
        <f t="shared" si="170"/>
        <v>0</v>
      </c>
      <c r="K176" s="171">
        <f t="shared" si="170"/>
        <v>0</v>
      </c>
      <c r="L176" s="171">
        <f t="shared" si="170"/>
        <v>0</v>
      </c>
      <c r="M176" s="171">
        <f t="shared" si="170"/>
        <v>0</v>
      </c>
      <c r="N176" s="171">
        <f t="shared" si="170"/>
        <v>0</v>
      </c>
      <c r="O176" s="171">
        <f t="shared" si="170"/>
        <v>0</v>
      </c>
      <c r="P176" s="171">
        <f t="shared" si="170"/>
        <v>0</v>
      </c>
      <c r="Q176" s="171">
        <f t="shared" si="170"/>
        <v>0</v>
      </c>
      <c r="R176" s="171">
        <f t="shared" si="170"/>
        <v>0</v>
      </c>
      <c r="S176" s="171">
        <f t="shared" si="170"/>
        <v>0</v>
      </c>
      <c r="T176" s="171">
        <f t="shared" si="170"/>
        <v>0</v>
      </c>
      <c r="U176" s="171">
        <f t="shared" si="170"/>
        <v>0</v>
      </c>
      <c r="V176" s="171">
        <f t="shared" si="170"/>
        <v>0</v>
      </c>
      <c r="W176" s="171">
        <f t="shared" si="170"/>
        <v>0</v>
      </c>
      <c r="X176" s="171">
        <f t="shared" si="170"/>
        <v>0</v>
      </c>
      <c r="Y176" s="171">
        <f t="shared" si="170"/>
        <v>0</v>
      </c>
      <c r="Z176" s="171">
        <f t="shared" si="170"/>
        <v>0</v>
      </c>
      <c r="AA176" s="171">
        <f t="shared" si="170"/>
        <v>0</v>
      </c>
      <c r="AB176" s="171">
        <f t="shared" si="170"/>
        <v>0</v>
      </c>
      <c r="AC176" s="171">
        <f t="shared" si="170"/>
        <v>0</v>
      </c>
      <c r="AD176" s="171">
        <f t="shared" si="170"/>
        <v>0</v>
      </c>
      <c r="AE176" s="171">
        <f t="shared" si="170"/>
        <v>0</v>
      </c>
      <c r="AF176" s="171">
        <f t="shared" si="170"/>
        <v>0</v>
      </c>
      <c r="AG176" s="171">
        <f t="shared" si="170"/>
        <v>0</v>
      </c>
      <c r="AH176" s="154" t="s">
        <v>12</v>
      </c>
      <c r="AI176" s="133"/>
      <c r="AJ176" s="170"/>
      <c r="AK176" s="133"/>
      <c r="AL176" s="133"/>
    </row>
    <row r="177" spans="1:38" ht="15.95" hidden="1" customHeight="1" x14ac:dyDescent="0.25">
      <c r="A177" s="177"/>
      <c r="B177" s="160" t="s">
        <v>68</v>
      </c>
      <c r="C177" s="161">
        <f>IF(C20="V",IF(C20="",0,1),0)</f>
        <v>0</v>
      </c>
      <c r="D177" s="161">
        <f t="shared" ref="D177:AG177" si="171">IF(D20="V",IF(D20="",0,1),0)</f>
        <v>0</v>
      </c>
      <c r="E177" s="161">
        <f t="shared" si="171"/>
        <v>0</v>
      </c>
      <c r="F177" s="161">
        <f t="shared" si="171"/>
        <v>0</v>
      </c>
      <c r="G177" s="161">
        <f t="shared" si="171"/>
        <v>0</v>
      </c>
      <c r="H177" s="161">
        <f t="shared" si="171"/>
        <v>0</v>
      </c>
      <c r="I177" s="161">
        <f t="shared" si="171"/>
        <v>0</v>
      </c>
      <c r="J177" s="161">
        <f t="shared" si="171"/>
        <v>0</v>
      </c>
      <c r="K177" s="161">
        <f t="shared" si="171"/>
        <v>0</v>
      </c>
      <c r="L177" s="161">
        <f t="shared" si="171"/>
        <v>0</v>
      </c>
      <c r="M177" s="161">
        <f t="shared" si="171"/>
        <v>0</v>
      </c>
      <c r="N177" s="161">
        <f t="shared" si="171"/>
        <v>0</v>
      </c>
      <c r="O177" s="161">
        <f t="shared" si="171"/>
        <v>0</v>
      </c>
      <c r="P177" s="161">
        <f t="shared" si="171"/>
        <v>0</v>
      </c>
      <c r="Q177" s="161">
        <f t="shared" si="171"/>
        <v>0</v>
      </c>
      <c r="R177" s="161">
        <f t="shared" si="171"/>
        <v>0</v>
      </c>
      <c r="S177" s="161">
        <f t="shared" si="171"/>
        <v>0</v>
      </c>
      <c r="T177" s="161">
        <f t="shared" si="171"/>
        <v>0</v>
      </c>
      <c r="U177" s="161">
        <f t="shared" si="171"/>
        <v>0</v>
      </c>
      <c r="V177" s="161">
        <f t="shared" si="171"/>
        <v>0</v>
      </c>
      <c r="W177" s="161">
        <f t="shared" si="171"/>
        <v>0</v>
      </c>
      <c r="X177" s="161">
        <f t="shared" si="171"/>
        <v>0</v>
      </c>
      <c r="Y177" s="161">
        <f t="shared" si="171"/>
        <v>0</v>
      </c>
      <c r="Z177" s="161">
        <f t="shared" si="171"/>
        <v>0</v>
      </c>
      <c r="AA177" s="161">
        <f t="shared" si="171"/>
        <v>0</v>
      </c>
      <c r="AB177" s="161">
        <f t="shared" si="171"/>
        <v>0</v>
      </c>
      <c r="AC177" s="161">
        <f t="shared" si="171"/>
        <v>0</v>
      </c>
      <c r="AD177" s="161">
        <f t="shared" si="171"/>
        <v>0</v>
      </c>
      <c r="AE177" s="161">
        <f t="shared" si="171"/>
        <v>0</v>
      </c>
      <c r="AF177" s="161">
        <f t="shared" si="171"/>
        <v>0</v>
      </c>
      <c r="AG177" s="161">
        <f t="shared" si="171"/>
        <v>0</v>
      </c>
      <c r="AH177" s="154" t="s">
        <v>12</v>
      </c>
      <c r="AI177" s="133"/>
      <c r="AJ177" s="170"/>
      <c r="AK177" s="133"/>
      <c r="AL177" s="133"/>
    </row>
    <row r="178" spans="1:38" ht="15.95" hidden="1" customHeight="1" x14ac:dyDescent="0.25">
      <c r="A178" s="180"/>
      <c r="B178" s="181" t="s">
        <v>16</v>
      </c>
      <c r="C178" s="182">
        <f>IF(C20="PR",IF(C20="",0,1),0)</f>
        <v>0</v>
      </c>
      <c r="D178" s="182">
        <f t="shared" ref="D178:AG178" si="172">IF(D20="PR",IF(D20="",0,1),0)</f>
        <v>0</v>
      </c>
      <c r="E178" s="182">
        <f t="shared" si="172"/>
        <v>0</v>
      </c>
      <c r="F178" s="182">
        <f t="shared" si="172"/>
        <v>0</v>
      </c>
      <c r="G178" s="182">
        <f t="shared" si="172"/>
        <v>0</v>
      </c>
      <c r="H178" s="182">
        <f t="shared" si="172"/>
        <v>0</v>
      </c>
      <c r="I178" s="182">
        <f t="shared" si="172"/>
        <v>0</v>
      </c>
      <c r="J178" s="182">
        <f t="shared" si="172"/>
        <v>0</v>
      </c>
      <c r="K178" s="182">
        <f t="shared" si="172"/>
        <v>0</v>
      </c>
      <c r="L178" s="182">
        <f t="shared" si="172"/>
        <v>0</v>
      </c>
      <c r="M178" s="182">
        <f t="shared" si="172"/>
        <v>0</v>
      </c>
      <c r="N178" s="182">
        <f t="shared" si="172"/>
        <v>0</v>
      </c>
      <c r="O178" s="182">
        <f t="shared" si="172"/>
        <v>0</v>
      </c>
      <c r="P178" s="182">
        <f t="shared" si="172"/>
        <v>0</v>
      </c>
      <c r="Q178" s="182">
        <f t="shared" si="172"/>
        <v>0</v>
      </c>
      <c r="R178" s="182">
        <f t="shared" si="172"/>
        <v>0</v>
      </c>
      <c r="S178" s="182">
        <f t="shared" si="172"/>
        <v>0</v>
      </c>
      <c r="T178" s="182">
        <f t="shared" si="172"/>
        <v>0</v>
      </c>
      <c r="U178" s="182">
        <f t="shared" si="172"/>
        <v>0</v>
      </c>
      <c r="V178" s="182">
        <f t="shared" si="172"/>
        <v>0</v>
      </c>
      <c r="W178" s="182">
        <f t="shared" si="172"/>
        <v>0</v>
      </c>
      <c r="X178" s="182">
        <f t="shared" si="172"/>
        <v>0</v>
      </c>
      <c r="Y178" s="182">
        <f t="shared" si="172"/>
        <v>0</v>
      </c>
      <c r="Z178" s="182">
        <f t="shared" si="172"/>
        <v>0</v>
      </c>
      <c r="AA178" s="182">
        <f t="shared" si="172"/>
        <v>0</v>
      </c>
      <c r="AB178" s="182">
        <f t="shared" si="172"/>
        <v>0</v>
      </c>
      <c r="AC178" s="182">
        <f t="shared" si="172"/>
        <v>0</v>
      </c>
      <c r="AD178" s="182">
        <f t="shared" si="172"/>
        <v>0</v>
      </c>
      <c r="AE178" s="182">
        <f t="shared" si="172"/>
        <v>0</v>
      </c>
      <c r="AF178" s="182">
        <f t="shared" si="172"/>
        <v>0</v>
      </c>
      <c r="AG178" s="182">
        <f t="shared" si="172"/>
        <v>0</v>
      </c>
      <c r="AH178" s="227">
        <f>SUM(C178:AG178)</f>
        <v>0</v>
      </c>
      <c r="AI178" s="227"/>
      <c r="AJ178" s="174" t="s">
        <v>69</v>
      </c>
      <c r="AK178" s="133"/>
      <c r="AL178" s="133"/>
    </row>
    <row r="179" spans="1:38" ht="15.95" hidden="1" customHeight="1" x14ac:dyDescent="0.25">
      <c r="A179" s="116"/>
      <c r="B179" s="184"/>
      <c r="C179" s="185"/>
      <c r="D179" s="185"/>
      <c r="E179" s="185"/>
      <c r="F179" s="185"/>
      <c r="G179" s="186"/>
      <c r="H179" s="185"/>
      <c r="I179" s="185"/>
      <c r="J179" s="185"/>
      <c r="K179" s="185"/>
      <c r="L179" s="185"/>
      <c r="M179" s="185"/>
      <c r="N179" s="186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185"/>
      <c r="AF179" s="185"/>
      <c r="AG179" s="185"/>
      <c r="AH179" s="133"/>
      <c r="AI179" s="133"/>
      <c r="AJ179" s="133"/>
      <c r="AK179" s="133"/>
      <c r="AL179" s="133"/>
    </row>
    <row r="180" spans="1:38" ht="15.95" hidden="1" customHeight="1" x14ac:dyDescent="0.25">
      <c r="A180" s="116"/>
      <c r="B180" s="184"/>
      <c r="C180" s="185"/>
      <c r="D180" s="185"/>
      <c r="E180" s="185"/>
      <c r="F180" s="185"/>
      <c r="G180" s="186"/>
      <c r="H180" s="185"/>
      <c r="I180" s="185"/>
      <c r="J180" s="185"/>
      <c r="K180" s="185"/>
      <c r="L180" s="185"/>
      <c r="M180" s="185"/>
      <c r="N180" s="186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185"/>
      <c r="AF180" s="185"/>
      <c r="AG180" s="185"/>
      <c r="AH180" s="116"/>
      <c r="AI180" s="116"/>
      <c r="AJ180" s="116"/>
      <c r="AK180" s="116"/>
      <c r="AL180" s="116"/>
    </row>
    <row r="181" spans="1:38" ht="15.95" hidden="1" customHeight="1" x14ac:dyDescent="0.25">
      <c r="A181" s="116"/>
      <c r="B181" s="184"/>
      <c r="C181" s="185"/>
      <c r="D181" s="185"/>
      <c r="E181" s="185"/>
      <c r="F181" s="185"/>
      <c r="G181" s="186"/>
      <c r="H181" s="185"/>
      <c r="I181" s="185"/>
      <c r="J181" s="185"/>
      <c r="K181" s="185"/>
      <c r="L181" s="185"/>
      <c r="M181" s="185"/>
      <c r="N181" s="186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/>
      <c r="AH181" s="116"/>
      <c r="AI181" s="116"/>
      <c r="AJ181" s="116"/>
      <c r="AK181" s="116"/>
      <c r="AL181" s="116"/>
    </row>
    <row r="182" spans="1:38" ht="15.95" hidden="1" customHeight="1" x14ac:dyDescent="0.25">
      <c r="A182" s="116"/>
      <c r="B182" s="126"/>
      <c r="C182" s="116"/>
      <c r="D182" s="116"/>
      <c r="E182" s="116"/>
      <c r="F182" s="116"/>
      <c r="G182" s="114"/>
      <c r="H182" s="116"/>
      <c r="I182" s="116"/>
      <c r="J182" s="116"/>
      <c r="K182" s="116"/>
      <c r="L182" s="116"/>
      <c r="M182" s="116"/>
      <c r="N182" s="114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  <c r="AH182" s="116"/>
      <c r="AI182" s="116"/>
      <c r="AJ182" s="116"/>
      <c r="AK182" s="116"/>
      <c r="AL182" s="116"/>
    </row>
    <row r="183" spans="1:38" ht="15.95" hidden="1" customHeight="1" x14ac:dyDescent="0.25">
      <c r="A183" s="116"/>
      <c r="B183" s="126"/>
      <c r="C183" s="116"/>
      <c r="D183" s="116"/>
      <c r="E183" s="116"/>
      <c r="F183" s="116"/>
      <c r="G183" s="114"/>
      <c r="H183" s="116"/>
      <c r="I183" s="116"/>
      <c r="J183" s="116"/>
      <c r="K183" s="116"/>
      <c r="L183" s="116"/>
      <c r="M183" s="116"/>
      <c r="N183" s="114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  <c r="AI183" s="116"/>
      <c r="AJ183" s="116"/>
      <c r="AK183" s="116"/>
      <c r="AL183" s="116"/>
    </row>
    <row r="184" spans="1:38" ht="15.95" hidden="1" customHeight="1" x14ac:dyDescent="0.25">
      <c r="A184" s="116"/>
      <c r="B184" s="126"/>
      <c r="C184" s="116"/>
      <c r="D184" s="116"/>
      <c r="E184" s="116"/>
      <c r="F184" s="116"/>
      <c r="G184" s="114"/>
      <c r="H184" s="116"/>
      <c r="I184" s="116"/>
      <c r="J184" s="116"/>
      <c r="K184" s="116"/>
      <c r="L184" s="116"/>
      <c r="M184" s="116"/>
      <c r="N184" s="114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  <c r="AI184" s="116"/>
      <c r="AJ184" s="116"/>
      <c r="AK184" s="116"/>
      <c r="AL184" s="116"/>
    </row>
    <row r="185" spans="1:38" ht="15.95" hidden="1" customHeight="1" x14ac:dyDescent="0.25">
      <c r="A185" s="116"/>
      <c r="B185" s="116"/>
      <c r="C185" s="116"/>
      <c r="D185" s="116"/>
      <c r="E185" s="116"/>
      <c r="F185" s="116"/>
      <c r="G185" s="114"/>
      <c r="H185" s="116"/>
      <c r="I185" s="116"/>
      <c r="J185" s="116"/>
      <c r="K185" s="116"/>
      <c r="L185" s="116"/>
      <c r="M185" s="116"/>
      <c r="N185" s="114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  <c r="AI185" s="116"/>
      <c r="AJ185" s="116"/>
      <c r="AK185" s="116"/>
      <c r="AL185" s="116"/>
    </row>
    <row r="186" spans="1:38" ht="15.95" hidden="1" customHeight="1" x14ac:dyDescent="0.25">
      <c r="A186" s="116"/>
      <c r="B186" s="116"/>
      <c r="C186" s="228" t="s">
        <v>89</v>
      </c>
      <c r="D186" s="228"/>
      <c r="E186" s="228"/>
      <c r="F186" s="228"/>
      <c r="G186" s="228"/>
      <c r="H186" s="228"/>
      <c r="I186" s="228"/>
      <c r="J186" s="228"/>
      <c r="K186" s="228"/>
      <c r="L186" s="228"/>
      <c r="M186" s="116"/>
      <c r="N186" s="114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  <c r="AH186" s="116"/>
      <c r="AI186" s="116"/>
      <c r="AJ186" s="116"/>
      <c r="AK186" s="116"/>
      <c r="AL186" s="116"/>
    </row>
    <row r="187" spans="1:38" ht="15.95" hidden="1" customHeight="1" x14ac:dyDescent="0.25">
      <c r="A187" s="180"/>
      <c r="B187" s="181" t="s">
        <v>90</v>
      </c>
      <c r="C187" s="187">
        <f t="shared" ref="C187:AG187" si="173">IF(C49&gt;=4,IF(C49="",0,8),IF(C49&gt;=0.1,IF(C49="",0,C49),""))</f>
        <v>0</v>
      </c>
      <c r="D187" s="187">
        <f t="shared" si="173"/>
        <v>0</v>
      </c>
      <c r="E187" s="187">
        <f t="shared" si="173"/>
        <v>0</v>
      </c>
      <c r="F187" s="187">
        <f t="shared" si="173"/>
        <v>0</v>
      </c>
      <c r="G187" s="187">
        <f t="shared" si="173"/>
        <v>0</v>
      </c>
      <c r="H187" s="187">
        <f t="shared" si="173"/>
        <v>0</v>
      </c>
      <c r="I187" s="187">
        <f t="shared" si="173"/>
        <v>0</v>
      </c>
      <c r="J187" s="187">
        <f t="shared" si="173"/>
        <v>0</v>
      </c>
      <c r="K187" s="187">
        <f t="shared" si="173"/>
        <v>0</v>
      </c>
      <c r="L187" s="187">
        <f t="shared" si="173"/>
        <v>0</v>
      </c>
      <c r="M187" s="187">
        <f t="shared" si="173"/>
        <v>0</v>
      </c>
      <c r="N187" s="187">
        <f t="shared" si="173"/>
        <v>0</v>
      </c>
      <c r="O187" s="187">
        <f t="shared" si="173"/>
        <v>0</v>
      </c>
      <c r="P187" s="187">
        <f t="shared" si="173"/>
        <v>0</v>
      </c>
      <c r="Q187" s="187">
        <f t="shared" si="173"/>
        <v>0</v>
      </c>
      <c r="R187" s="187">
        <f t="shared" si="173"/>
        <v>0</v>
      </c>
      <c r="S187" s="187">
        <f t="shared" si="173"/>
        <v>0</v>
      </c>
      <c r="T187" s="187">
        <f t="shared" si="173"/>
        <v>0</v>
      </c>
      <c r="U187" s="187">
        <f t="shared" si="173"/>
        <v>0</v>
      </c>
      <c r="V187" s="187">
        <f t="shared" si="173"/>
        <v>0</v>
      </c>
      <c r="W187" s="187">
        <f t="shared" si="173"/>
        <v>0</v>
      </c>
      <c r="X187" s="187">
        <f t="shared" si="173"/>
        <v>0</v>
      </c>
      <c r="Y187" s="187">
        <f t="shared" si="173"/>
        <v>0</v>
      </c>
      <c r="Z187" s="187">
        <f t="shared" si="173"/>
        <v>0</v>
      </c>
      <c r="AA187" s="187">
        <f t="shared" si="173"/>
        <v>0</v>
      </c>
      <c r="AB187" s="187">
        <f t="shared" si="173"/>
        <v>0</v>
      </c>
      <c r="AC187" s="187">
        <f t="shared" si="173"/>
        <v>0</v>
      </c>
      <c r="AD187" s="187">
        <f t="shared" si="173"/>
        <v>0</v>
      </c>
      <c r="AE187" s="187">
        <f t="shared" si="173"/>
        <v>0</v>
      </c>
      <c r="AF187" s="187">
        <f t="shared" si="173"/>
        <v>0</v>
      </c>
      <c r="AG187" s="187">
        <f t="shared" si="173"/>
        <v>0</v>
      </c>
      <c r="AH187" s="188">
        <f t="shared" ref="AH187" si="174">SUM(C187:AG187)</f>
        <v>0</v>
      </c>
      <c r="AI187" s="116" t="s">
        <v>91</v>
      </c>
      <c r="AJ187" s="116"/>
      <c r="AK187" s="116"/>
      <c r="AL187" s="116"/>
    </row>
    <row r="188" spans="1:38" ht="15.95" hidden="1" customHeight="1" x14ac:dyDescent="0.25">
      <c r="A188" s="116"/>
      <c r="B188" s="181" t="s">
        <v>92</v>
      </c>
      <c r="C188" s="189">
        <v>1</v>
      </c>
      <c r="D188" s="189">
        <v>2</v>
      </c>
      <c r="E188" s="189">
        <v>3</v>
      </c>
      <c r="F188" s="189">
        <v>4</v>
      </c>
      <c r="G188" s="189">
        <v>5</v>
      </c>
      <c r="H188" s="189">
        <v>6</v>
      </c>
      <c r="I188" s="189">
        <v>7</v>
      </c>
      <c r="J188" s="189">
        <v>8</v>
      </c>
      <c r="K188" s="189">
        <v>9</v>
      </c>
      <c r="L188" s="189">
        <v>10</v>
      </c>
      <c r="M188" s="189">
        <v>11</v>
      </c>
      <c r="N188" s="189">
        <v>12</v>
      </c>
      <c r="O188" s="189">
        <v>13</v>
      </c>
      <c r="P188" s="189">
        <v>14</v>
      </c>
      <c r="Q188" s="189">
        <v>15</v>
      </c>
      <c r="R188" s="189">
        <v>16</v>
      </c>
      <c r="S188" s="189">
        <v>17</v>
      </c>
      <c r="T188" s="189">
        <v>18</v>
      </c>
      <c r="U188" s="189">
        <v>19</v>
      </c>
      <c r="V188" s="189">
        <v>20</v>
      </c>
      <c r="W188" s="189">
        <v>21</v>
      </c>
      <c r="X188" s="189">
        <v>22</v>
      </c>
      <c r="Y188" s="189">
        <v>23</v>
      </c>
      <c r="Z188" s="189">
        <v>24</v>
      </c>
      <c r="AA188" s="189">
        <v>25</v>
      </c>
      <c r="AB188" s="189">
        <v>26</v>
      </c>
      <c r="AC188" s="189">
        <v>27</v>
      </c>
      <c r="AD188" s="189">
        <v>28</v>
      </c>
      <c r="AE188" s="189">
        <v>29</v>
      </c>
      <c r="AF188" s="189">
        <v>30</v>
      </c>
      <c r="AG188" s="189">
        <v>31</v>
      </c>
      <c r="AH188" s="116"/>
      <c r="AI188" s="116"/>
      <c r="AJ188" s="116"/>
      <c r="AK188" s="116"/>
      <c r="AL188" s="116"/>
    </row>
    <row r="189" spans="1:38" ht="15.95" hidden="1" customHeight="1" x14ac:dyDescent="0.25">
      <c r="A189" s="116"/>
      <c r="B189" s="116"/>
      <c r="C189" s="116"/>
      <c r="D189" s="116"/>
      <c r="E189" s="116"/>
      <c r="F189" s="116"/>
      <c r="G189" s="114"/>
      <c r="H189" s="116"/>
      <c r="I189" s="116"/>
      <c r="J189" s="116"/>
      <c r="K189" s="116"/>
      <c r="L189" s="116"/>
      <c r="M189" s="116"/>
      <c r="N189" s="114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  <c r="AH189" s="116"/>
      <c r="AI189" s="116"/>
      <c r="AJ189" s="116"/>
      <c r="AK189" s="116"/>
      <c r="AL189" s="116"/>
    </row>
    <row r="190" spans="1:38" ht="15.95" hidden="1" customHeight="1" x14ac:dyDescent="0.25">
      <c r="A190" s="116"/>
      <c r="B190" s="116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  <c r="AB190" s="221"/>
      <c r="AC190" s="221"/>
      <c r="AD190" s="221"/>
      <c r="AE190" s="221"/>
      <c r="AF190" s="221"/>
      <c r="AG190" s="221"/>
      <c r="AH190" s="116"/>
      <c r="AI190" s="116"/>
      <c r="AJ190" s="116"/>
      <c r="AK190" s="116"/>
      <c r="AL190" s="116"/>
    </row>
    <row r="191" spans="1:38" ht="15.95" hidden="1" customHeight="1" x14ac:dyDescent="0.25">
      <c r="A191" s="116"/>
      <c r="B191" s="181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  <c r="AA191" s="190"/>
      <c r="AB191" s="190"/>
      <c r="AC191" s="190"/>
      <c r="AD191" s="190"/>
      <c r="AE191" s="190"/>
      <c r="AF191" s="190"/>
      <c r="AG191" s="190"/>
      <c r="AH191" s="116"/>
      <c r="AI191" s="116"/>
      <c r="AJ191" s="116"/>
      <c r="AK191" s="116"/>
      <c r="AL191" s="116"/>
    </row>
    <row r="192" spans="1:38" ht="15.95" hidden="1" customHeight="1" x14ac:dyDescent="0.25">
      <c r="A192" s="116"/>
      <c r="B192" s="191"/>
      <c r="C192" s="192"/>
      <c r="D192" s="192"/>
      <c r="E192" s="192"/>
      <c r="F192" s="192"/>
      <c r="G192" s="193"/>
      <c r="H192" s="192"/>
      <c r="I192" s="192"/>
      <c r="J192" s="192"/>
      <c r="K192" s="192"/>
      <c r="L192" s="192"/>
      <c r="M192" s="192"/>
      <c r="N192" s="193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  <c r="AA192" s="192"/>
      <c r="AB192" s="192"/>
      <c r="AC192" s="192"/>
      <c r="AD192" s="192"/>
      <c r="AE192" s="192"/>
      <c r="AF192" s="192"/>
      <c r="AG192" s="192"/>
      <c r="AH192" s="116"/>
      <c r="AI192" s="116"/>
      <c r="AJ192" s="116"/>
      <c r="AK192" s="116"/>
      <c r="AL192" s="116"/>
    </row>
    <row r="193" spans="1:38" ht="15.95" hidden="1" customHeight="1" x14ac:dyDescent="0.25">
      <c r="A193" s="116"/>
      <c r="B193" s="116"/>
      <c r="C193" s="116"/>
      <c r="D193" s="116"/>
      <c r="E193" s="116"/>
      <c r="F193" s="116"/>
      <c r="G193" s="114"/>
      <c r="H193" s="116"/>
      <c r="I193" s="116"/>
      <c r="J193" s="116"/>
      <c r="K193" s="116"/>
      <c r="L193" s="116"/>
      <c r="M193" s="116"/>
      <c r="N193" s="114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  <c r="AH193" s="116"/>
      <c r="AI193" s="116"/>
      <c r="AJ193" s="116"/>
      <c r="AK193" s="116"/>
      <c r="AL193" s="116"/>
    </row>
    <row r="194" spans="1:38" ht="15.95" hidden="1" customHeight="1" x14ac:dyDescent="0.25">
      <c r="A194" s="116"/>
      <c r="B194" s="116"/>
      <c r="C194" s="116"/>
      <c r="D194" s="116"/>
      <c r="E194" s="116"/>
      <c r="F194" s="116"/>
      <c r="G194" s="114"/>
      <c r="H194" s="116"/>
      <c r="I194" s="116"/>
      <c r="J194" s="116"/>
      <c r="K194" s="116"/>
      <c r="L194" s="116"/>
      <c r="M194" s="116"/>
      <c r="N194" s="114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  <c r="AK194" s="116"/>
      <c r="AL194" s="116"/>
    </row>
    <row r="195" spans="1:38" ht="15.95" hidden="1" customHeight="1" x14ac:dyDescent="0.25">
      <c r="A195" s="116"/>
      <c r="B195" s="116"/>
      <c r="C195" s="116"/>
      <c r="D195" s="116"/>
      <c r="E195" s="116"/>
      <c r="F195" s="116"/>
      <c r="G195" s="114"/>
      <c r="H195" s="116"/>
      <c r="I195" s="116"/>
      <c r="J195" s="116"/>
      <c r="K195" s="116"/>
      <c r="L195" s="116"/>
      <c r="M195" s="116"/>
      <c r="N195" s="114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  <c r="AJ195" s="116"/>
      <c r="AK195" s="116"/>
      <c r="AL195" s="116"/>
    </row>
    <row r="196" spans="1:38" ht="15.95" hidden="1" customHeight="1" x14ac:dyDescent="0.25">
      <c r="A196" s="116"/>
      <c r="B196" s="116"/>
      <c r="C196" s="116"/>
      <c r="D196" s="116"/>
      <c r="E196" s="116"/>
      <c r="F196" s="116"/>
      <c r="G196" s="114"/>
      <c r="H196" s="116"/>
      <c r="I196" s="116"/>
      <c r="J196" s="116"/>
      <c r="K196" s="116"/>
      <c r="L196" s="116"/>
      <c r="M196" s="116"/>
      <c r="N196" s="114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  <c r="AJ196" s="116"/>
      <c r="AK196" s="116"/>
      <c r="AL196" s="116"/>
    </row>
    <row r="197" spans="1:38" ht="15.95" hidden="1" customHeight="1" x14ac:dyDescent="0.25">
      <c r="A197" s="116"/>
      <c r="B197" s="116"/>
      <c r="C197" s="116"/>
      <c r="D197" s="116"/>
      <c r="E197" s="116"/>
      <c r="F197" s="116"/>
      <c r="G197" s="114"/>
      <c r="H197" s="116"/>
      <c r="I197" s="116"/>
      <c r="J197" s="116"/>
      <c r="K197" s="116"/>
      <c r="L197" s="116"/>
      <c r="M197" s="116"/>
      <c r="N197" s="114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  <c r="AI197" s="116"/>
      <c r="AJ197" s="116"/>
      <c r="AK197" s="116"/>
      <c r="AL197" s="116"/>
    </row>
    <row r="198" spans="1:38" ht="15.95" hidden="1" customHeight="1" x14ac:dyDescent="0.25">
      <c r="A198" s="116"/>
      <c r="B198" s="116"/>
      <c r="C198" s="116"/>
      <c r="D198" s="116"/>
      <c r="E198" s="116"/>
      <c r="F198" s="116"/>
      <c r="G198" s="114"/>
      <c r="H198" s="116"/>
      <c r="I198" s="116"/>
      <c r="J198" s="116"/>
      <c r="K198" s="116"/>
      <c r="L198" s="116"/>
      <c r="M198" s="116"/>
      <c r="N198" s="114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  <c r="AL198" s="116"/>
    </row>
    <row r="199" spans="1:38" ht="15.95" hidden="1" customHeight="1" x14ac:dyDescent="0.25">
      <c r="A199" s="116"/>
      <c r="B199" s="116"/>
      <c r="C199" s="116"/>
      <c r="D199" s="116"/>
      <c r="E199" s="116"/>
      <c r="F199" s="116"/>
      <c r="G199" s="114"/>
      <c r="H199" s="116"/>
      <c r="I199" s="116"/>
      <c r="J199" s="116"/>
      <c r="K199" s="116"/>
      <c r="L199" s="116"/>
      <c r="M199" s="116"/>
      <c r="N199" s="114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  <c r="AJ199" s="116"/>
      <c r="AK199" s="116"/>
      <c r="AL199" s="116"/>
    </row>
    <row r="200" spans="1:38" ht="15.95" hidden="1" customHeight="1" x14ac:dyDescent="0.25">
      <c r="A200" s="116"/>
      <c r="B200" s="116"/>
      <c r="C200" s="116"/>
      <c r="D200" s="116"/>
      <c r="E200" s="116"/>
      <c r="F200" s="116"/>
      <c r="G200" s="114"/>
      <c r="H200" s="116"/>
      <c r="I200" s="116"/>
      <c r="J200" s="116"/>
      <c r="K200" s="116"/>
      <c r="L200" s="116"/>
      <c r="M200" s="116"/>
      <c r="N200" s="114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  <c r="AI200" s="116"/>
      <c r="AJ200" s="116"/>
      <c r="AK200" s="116"/>
      <c r="AL200" s="116"/>
    </row>
    <row r="201" spans="1:38" ht="20.25" customHeight="1" x14ac:dyDescent="0.25">
      <c r="A201" s="116"/>
      <c r="B201" s="116"/>
      <c r="C201" s="116"/>
      <c r="D201" s="116"/>
      <c r="E201" s="116"/>
      <c r="F201" s="116"/>
      <c r="G201" s="114"/>
      <c r="H201" s="116"/>
      <c r="I201" s="116"/>
      <c r="J201" s="116"/>
      <c r="K201" s="116"/>
      <c r="L201" s="116"/>
      <c r="M201" s="116"/>
      <c r="N201" s="114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  <c r="AK201" s="116"/>
      <c r="AL201" s="116"/>
    </row>
  </sheetData>
  <sheetProtection algorithmName="SHA-512" hashValue="utl1m57nFyozhpKpXA9M6eQY17/4WYtPQZc+zB2Vu6ciPP/HXygkzgYE/kTrHLJCaaj7MUNVjhANbRwWT2qMKg==" saltValue="fauScvCHRQfG0xl82aMKnA==" spinCount="100000" sheet="1" objects="1" scenarios="1" formatCells="0"/>
  <mergeCells count="148">
    <mergeCell ref="AH171:AI171"/>
    <mergeCell ref="AJ171:AK171"/>
    <mergeCell ref="AH172:AI172"/>
    <mergeCell ref="AH178:AI178"/>
    <mergeCell ref="C186:L186"/>
    <mergeCell ref="C190:AG190"/>
    <mergeCell ref="AH150:AI150"/>
    <mergeCell ref="AH156:AI156"/>
    <mergeCell ref="AH160:AI160"/>
    <mergeCell ref="AJ160:AK160"/>
    <mergeCell ref="AH161:AI161"/>
    <mergeCell ref="AH167:AI167"/>
    <mergeCell ref="AH138:AI138"/>
    <mergeCell ref="AJ138:AK138"/>
    <mergeCell ref="AH139:AI139"/>
    <mergeCell ref="AH145:AI145"/>
    <mergeCell ref="AH149:AI149"/>
    <mergeCell ref="AJ149:AK149"/>
    <mergeCell ref="AH117:AI117"/>
    <mergeCell ref="AH123:AI123"/>
    <mergeCell ref="AH127:AI127"/>
    <mergeCell ref="AJ127:AK127"/>
    <mergeCell ref="AH128:AI128"/>
    <mergeCell ref="AH134:AI134"/>
    <mergeCell ref="AH105:AI105"/>
    <mergeCell ref="AJ105:AK105"/>
    <mergeCell ref="AH106:AI106"/>
    <mergeCell ref="AH112:AI112"/>
    <mergeCell ref="AH116:AI116"/>
    <mergeCell ref="AJ116:AK116"/>
    <mergeCell ref="AH83:AI83"/>
    <mergeCell ref="AH84:AI84"/>
    <mergeCell ref="AH90:AI90"/>
    <mergeCell ref="AH94:AI94"/>
    <mergeCell ref="AH95:AI95"/>
    <mergeCell ref="AH101:AI101"/>
    <mergeCell ref="AH61:AI61"/>
    <mergeCell ref="AH62:AI62"/>
    <mergeCell ref="AH68:AI68"/>
    <mergeCell ref="AH72:AI72"/>
    <mergeCell ref="AH73:AI73"/>
    <mergeCell ref="AH79:AI79"/>
    <mergeCell ref="AI48:AJ48"/>
    <mergeCell ref="AI49:AJ49"/>
    <mergeCell ref="AN49:AO49"/>
    <mergeCell ref="AH50:AI50"/>
    <mergeCell ref="AH51:AI51"/>
    <mergeCell ref="AH57:AI57"/>
    <mergeCell ref="C43:D43"/>
    <mergeCell ref="E43:AI43"/>
    <mergeCell ref="AI45:AJ45"/>
    <mergeCell ref="AI46:AJ46"/>
    <mergeCell ref="AI47:AJ47"/>
    <mergeCell ref="AN47:AO47"/>
    <mergeCell ref="S39:T39"/>
    <mergeCell ref="V39:W39"/>
    <mergeCell ref="S40:T40"/>
    <mergeCell ref="V40:W40"/>
    <mergeCell ref="C42:V42"/>
    <mergeCell ref="W42:AH42"/>
    <mergeCell ref="A37:B37"/>
    <mergeCell ref="C37:N37"/>
    <mergeCell ref="S37:T37"/>
    <mergeCell ref="V37:W37"/>
    <mergeCell ref="A38:B38"/>
    <mergeCell ref="C38:N38"/>
    <mergeCell ref="S38:T38"/>
    <mergeCell ref="V38:W38"/>
    <mergeCell ref="A35:B35"/>
    <mergeCell ref="C35:N35"/>
    <mergeCell ref="S35:T35"/>
    <mergeCell ref="V35:W35"/>
    <mergeCell ref="A36:B36"/>
    <mergeCell ref="C36:N36"/>
    <mergeCell ref="S36:T36"/>
    <mergeCell ref="V36:W36"/>
    <mergeCell ref="A33:B33"/>
    <mergeCell ref="C33:N33"/>
    <mergeCell ref="S33:T33"/>
    <mergeCell ref="V33:W33"/>
    <mergeCell ref="A34:B34"/>
    <mergeCell ref="C34:N34"/>
    <mergeCell ref="S34:T34"/>
    <mergeCell ref="V34:W34"/>
    <mergeCell ref="AR31:AZ31"/>
    <mergeCell ref="D26:E26"/>
    <mergeCell ref="G26:H26"/>
    <mergeCell ref="K26:L26"/>
    <mergeCell ref="N26:O26"/>
    <mergeCell ref="R26:S26"/>
    <mergeCell ref="U26:V26"/>
    <mergeCell ref="W26:X26"/>
    <mergeCell ref="BB31:BC31"/>
    <mergeCell ref="A32:B32"/>
    <mergeCell ref="C32:N32"/>
    <mergeCell ref="S32:T32"/>
    <mergeCell ref="V32:W32"/>
    <mergeCell ref="AD32:AG32"/>
    <mergeCell ref="AI32:AJ32"/>
    <mergeCell ref="Z26:AA26"/>
    <mergeCell ref="AH26:AI26"/>
    <mergeCell ref="AJ26:AL26"/>
    <mergeCell ref="AE27:AF27"/>
    <mergeCell ref="C29:AJ29"/>
    <mergeCell ref="A31:N31"/>
    <mergeCell ref="R31:W31"/>
    <mergeCell ref="AD31:AI31"/>
    <mergeCell ref="AH24:AI24"/>
    <mergeCell ref="AJ24:AL24"/>
    <mergeCell ref="D25:E25"/>
    <mergeCell ref="G25:H25"/>
    <mergeCell ref="K25:L25"/>
    <mergeCell ref="N25:O25"/>
    <mergeCell ref="R25:S25"/>
    <mergeCell ref="U25:V25"/>
    <mergeCell ref="W25:X25"/>
    <mergeCell ref="Z25:AA25"/>
    <mergeCell ref="AH25:AI25"/>
    <mergeCell ref="AJ25:AL25"/>
    <mergeCell ref="C23:H23"/>
    <mergeCell ref="J23:O23"/>
    <mergeCell ref="Q23:AA23"/>
    <mergeCell ref="D24:E24"/>
    <mergeCell ref="G24:H24"/>
    <mergeCell ref="K24:L24"/>
    <mergeCell ref="N24:O24"/>
    <mergeCell ref="R24:S24"/>
    <mergeCell ref="U24:V24"/>
    <mergeCell ref="W24:X24"/>
    <mergeCell ref="Z24:AA24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B3:J3"/>
    <mergeCell ref="B4:O4"/>
    <mergeCell ref="Q4:X4"/>
    <mergeCell ref="Z4:AB4"/>
    <mergeCell ref="AC4:AH4"/>
    <mergeCell ref="A8:B8"/>
    <mergeCell ref="A15:B15"/>
    <mergeCell ref="A16:B16"/>
    <mergeCell ref="A17:B17"/>
  </mergeCells>
  <conditionalFormatting sqref="C7:AG20">
    <cfRule type="expression" dxfId="2" priority="1" stopIfTrue="1">
      <formula>C$46=1</formula>
    </cfRule>
  </conditionalFormatting>
  <hyperlinks>
    <hyperlink ref="C42" r:id="rId1" xr:uid="{00000000-0004-0000-0900-000000000000}"/>
  </hyperlinks>
  <printOptions horizontalCentered="1"/>
  <pageMargins left="7.874015748031496E-2" right="7.874015748031496E-2" top="0.31496062992125984" bottom="0" header="0.51181102362204722" footer="0.51181102362204722"/>
  <pageSetup paperSize="9" scale="97" orientation="landscape" useFirstPageNumber="1" r:id="rId2"/>
  <headerFooter alignWithMargins="0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CI201"/>
  <sheetViews>
    <sheetView showGridLines="0" showRowColHeaders="0" topLeftCell="A2" zoomScale="120" zoomScaleNormal="120" zoomScaleSheetLayoutView="75" workbookViewId="0">
      <selection activeCell="C35" sqref="C35:N35"/>
    </sheetView>
  </sheetViews>
  <sheetFormatPr baseColWidth="10" defaultColWidth="11.140625" defaultRowHeight="20.25" customHeight="1" x14ac:dyDescent="0.25"/>
  <cols>
    <col min="1" max="2" width="9.7109375" style="1" customWidth="1"/>
    <col min="3" max="6" width="3.28515625" style="1" customWidth="1"/>
    <col min="7" max="7" width="3.28515625" style="2" customWidth="1"/>
    <col min="8" max="13" width="3.28515625" style="1" customWidth="1"/>
    <col min="14" max="14" width="3.28515625" style="2" customWidth="1"/>
    <col min="15" max="33" width="3.28515625" style="1" customWidth="1"/>
    <col min="34" max="34" width="7.7109375" style="1" customWidth="1"/>
    <col min="35" max="38" width="4.7109375" style="1" customWidth="1"/>
    <col min="39" max="59" width="6.7109375" style="1" hidden="1" customWidth="1"/>
    <col min="60" max="83" width="4.7109375" style="1" hidden="1" customWidth="1"/>
    <col min="84" max="95" width="0" style="1" hidden="1" customWidth="1"/>
    <col min="96" max="16384" width="11.140625" style="1"/>
  </cols>
  <sheetData>
    <row r="1" spans="1:84" s="2" customFormat="1" ht="19.5" customHeight="1" x14ac:dyDescent="0.35">
      <c r="B1" s="3"/>
      <c r="M1" s="4"/>
      <c r="U1" s="5"/>
      <c r="V1" s="6"/>
      <c r="Z1" s="7"/>
      <c r="AA1" s="7"/>
      <c r="AB1" s="7"/>
      <c r="AC1" s="7"/>
      <c r="AD1" s="7"/>
      <c r="AE1" s="7"/>
      <c r="AF1" s="7"/>
      <c r="AG1" s="1"/>
      <c r="AH1" s="1"/>
      <c r="AI1" s="1"/>
      <c r="AJ1" s="1"/>
    </row>
    <row r="2" spans="1:84" s="2" customFormat="1" ht="19.5" customHeight="1" x14ac:dyDescent="0.35">
      <c r="B2" s="3"/>
      <c r="M2" s="4"/>
      <c r="U2" s="5"/>
      <c r="V2" s="6"/>
      <c r="Z2" s="7"/>
      <c r="AA2" s="7"/>
      <c r="AB2" s="7"/>
      <c r="AC2" s="7"/>
      <c r="AD2" s="7"/>
      <c r="AE2" s="7"/>
      <c r="AF2" s="7"/>
      <c r="AG2" s="1"/>
      <c r="AH2" s="1"/>
      <c r="AI2" s="1"/>
      <c r="AJ2" s="1"/>
    </row>
    <row r="3" spans="1:84" s="2" customFormat="1" ht="19.5" customHeight="1" x14ac:dyDescent="0.35">
      <c r="B3" s="271" t="str">
        <f t="shared" ref="B3:B4" si="0">C32</f>
        <v>EMPRESA</v>
      </c>
      <c r="C3" s="271"/>
      <c r="D3" s="271"/>
      <c r="E3" s="271"/>
      <c r="F3" s="271"/>
      <c r="G3" s="271"/>
      <c r="H3" s="271"/>
      <c r="I3" s="271"/>
      <c r="J3" s="271"/>
      <c r="M3" s="4"/>
      <c r="U3" s="5"/>
      <c r="V3" s="6"/>
      <c r="Z3" s="7"/>
      <c r="AA3" s="7"/>
      <c r="AB3" s="7"/>
      <c r="AC3" s="7"/>
      <c r="AD3" s="7"/>
      <c r="AE3" s="7"/>
      <c r="AF3" s="7"/>
      <c r="AG3" s="1"/>
      <c r="AH3" s="1"/>
      <c r="AI3" s="1"/>
      <c r="AJ3" s="1"/>
    </row>
    <row r="4" spans="1:84" s="9" customFormat="1" ht="17.25" customHeight="1" x14ac:dyDescent="0.25">
      <c r="A4" s="8"/>
      <c r="B4" s="272" t="str">
        <f t="shared" si="0"/>
        <v>CENTRO</v>
      </c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1"/>
      <c r="Q4" s="232">
        <f>DATE($C$34,$C$35,1)</f>
        <v>45962</v>
      </c>
      <c r="R4" s="232"/>
      <c r="S4" s="232"/>
      <c r="T4" s="232"/>
      <c r="U4" s="232"/>
      <c r="V4" s="232"/>
      <c r="W4" s="232"/>
      <c r="X4" s="232"/>
      <c r="Y4" s="1"/>
      <c r="Z4" s="259">
        <f>SUM(AH51+AH62+AH73+AH84+AH95+AH106+AH117+AH128+AH139+AH150+AH161+AH172)</f>
        <v>0</v>
      </c>
      <c r="AA4" s="259"/>
      <c r="AB4" s="259"/>
      <c r="AC4" s="267" t="s">
        <v>0</v>
      </c>
      <c r="AD4" s="267"/>
      <c r="AE4" s="267"/>
      <c r="AF4" s="267"/>
      <c r="AG4" s="267"/>
      <c r="AH4" s="267"/>
      <c r="AI4" s="1"/>
      <c r="AJ4" s="1"/>
    </row>
    <row r="5" spans="1:84" s="2" customFormat="1" ht="17.25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/>
      <c r="AD5" s="12"/>
      <c r="AE5" s="12" t="str">
        <f>IF(CA59=28,IF(CA59="",0,1),IF(CA59=1,IF(CA59="",0,1),""))</f>
        <v/>
      </c>
      <c r="AF5" s="12" t="str">
        <f>IF(CA59=29,IF(CA59="",0,1),IF(CA59=1,IF(CA59="",0,1),""))</f>
        <v/>
      </c>
      <c r="AG5" s="12">
        <f>IF(CA59=30,IF(CA59="",0,1),IF(CA59=1,IF(CA59="",0,1),""))</f>
        <v>1</v>
      </c>
      <c r="AH5" s="12" t="str">
        <f>IF(CA59=31,IF(CA59="",0,1),IF(CA59=1,IF(CA59="",0,1),""))</f>
        <v/>
      </c>
      <c r="AI5" s="1"/>
      <c r="AJ5" s="1"/>
    </row>
    <row r="6" spans="1:84" s="13" customFormat="1" ht="17.25" customHeight="1" x14ac:dyDescent="0.25">
      <c r="B6" s="14" t="s">
        <v>1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"/>
      <c r="AJ6" s="1"/>
    </row>
    <row r="7" spans="1:84" s="11" customFormat="1" ht="19.5" customHeight="1" x14ac:dyDescent="0.25">
      <c r="A7" s="16"/>
      <c r="B7" s="17" t="s">
        <v>2</v>
      </c>
      <c r="C7" s="18" t="str">
        <f>IF(AV47="LUNES","lu",IF(AV47="MARTES","ma",IF(AV47="MIERCOLES","mi",IF(AV47="JUEVES","ju",IF(AV47="VIERNES","vi",IF(AV47="SABADO","S",IF(AV47="DOMINGO","D","")))))))</f>
        <v>S</v>
      </c>
      <c r="D7" s="18" t="str">
        <f t="shared" ref="D7:AD7" si="1">IF(C7="lu","ma",IF(C7="ma","mi",IF(C7="mi","ju",IF(C7="ju","vi",IF(C7="vi","S",IF(C7="S","D",IF(C7="D","lu","")))))))</f>
        <v>D</v>
      </c>
      <c r="E7" s="18" t="str">
        <f t="shared" si="1"/>
        <v>lu</v>
      </c>
      <c r="F7" s="18" t="str">
        <f t="shared" si="1"/>
        <v>ma</v>
      </c>
      <c r="G7" s="18" t="str">
        <f t="shared" si="1"/>
        <v>mi</v>
      </c>
      <c r="H7" s="18" t="str">
        <f t="shared" si="1"/>
        <v>ju</v>
      </c>
      <c r="I7" s="18" t="str">
        <f t="shared" si="1"/>
        <v>vi</v>
      </c>
      <c r="J7" s="18" t="str">
        <f t="shared" si="1"/>
        <v>S</v>
      </c>
      <c r="K7" s="18" t="str">
        <f t="shared" si="1"/>
        <v>D</v>
      </c>
      <c r="L7" s="18" t="str">
        <f t="shared" si="1"/>
        <v>lu</v>
      </c>
      <c r="M7" s="18" t="str">
        <f t="shared" si="1"/>
        <v>ma</v>
      </c>
      <c r="N7" s="18" t="str">
        <f t="shared" si="1"/>
        <v>mi</v>
      </c>
      <c r="O7" s="18" t="str">
        <f t="shared" si="1"/>
        <v>ju</v>
      </c>
      <c r="P7" s="18" t="str">
        <f t="shared" si="1"/>
        <v>vi</v>
      </c>
      <c r="Q7" s="18" t="str">
        <f t="shared" si="1"/>
        <v>S</v>
      </c>
      <c r="R7" s="18" t="str">
        <f t="shared" si="1"/>
        <v>D</v>
      </c>
      <c r="S7" s="18" t="str">
        <f t="shared" si="1"/>
        <v>lu</v>
      </c>
      <c r="T7" s="18" t="str">
        <f t="shared" si="1"/>
        <v>ma</v>
      </c>
      <c r="U7" s="18" t="str">
        <f t="shared" si="1"/>
        <v>mi</v>
      </c>
      <c r="V7" s="18" t="str">
        <f t="shared" si="1"/>
        <v>ju</v>
      </c>
      <c r="W7" s="18" t="str">
        <f t="shared" si="1"/>
        <v>vi</v>
      </c>
      <c r="X7" s="18" t="str">
        <f t="shared" si="1"/>
        <v>S</v>
      </c>
      <c r="Y7" s="18" t="str">
        <f t="shared" si="1"/>
        <v>D</v>
      </c>
      <c r="Z7" s="18" t="str">
        <f t="shared" si="1"/>
        <v>lu</v>
      </c>
      <c r="AA7" s="18" t="str">
        <f t="shared" si="1"/>
        <v>ma</v>
      </c>
      <c r="AB7" s="18" t="str">
        <f t="shared" si="1"/>
        <v>mi</v>
      </c>
      <c r="AC7" s="18" t="str">
        <f t="shared" si="1"/>
        <v>ju</v>
      </c>
      <c r="AD7" s="18" t="str">
        <f t="shared" si="1"/>
        <v>vi</v>
      </c>
      <c r="AE7" s="18" t="str">
        <f>IF(AE8="","",IF(AD7="lu","ma",IF(AD7="ma","mi",IF(AD7="mi","ju",IF(AD7="ju","vi",IF(AD7="vi","S",IF(AD7="S","D",IF(AD7="D","lu",""))))))))</f>
        <v>S</v>
      </c>
      <c r="AF7" s="18" t="str">
        <f>IF(AF8="","",IF(AE7="lu","ma",IF(AE7="ma","mi",IF(AE7="mi","ju",IF(AE7="ju","vi",IF(AE7="vi","S",IF(AE7="S","D",IF(AE7="D","lu",""))))))))</f>
        <v>D</v>
      </c>
      <c r="AG7" s="18" t="str">
        <f>IF(AG8="","",IF(AF7="lu","ma",IF(AF7="ma","mi",IF(AF7="mi","ju",IF(AF7="ju","vi",IF(AF7="vi","S",IF(AF7="S","D",IF(AF7="D","lu",""))))))))</f>
        <v/>
      </c>
      <c r="AH7" s="16"/>
    </row>
    <row r="8" spans="1:84" s="22" customFormat="1" ht="19.5" customHeight="1" x14ac:dyDescent="0.2">
      <c r="A8" s="270" t="s">
        <v>3</v>
      </c>
      <c r="B8" s="270"/>
      <c r="C8" s="18">
        <v>1</v>
      </c>
      <c r="D8" s="18">
        <v>2</v>
      </c>
      <c r="E8" s="18">
        <v>3</v>
      </c>
      <c r="F8" s="18">
        <v>4</v>
      </c>
      <c r="G8" s="18">
        <v>5</v>
      </c>
      <c r="H8" s="18">
        <v>6</v>
      </c>
      <c r="I8" s="18">
        <v>7</v>
      </c>
      <c r="J8" s="18">
        <v>8</v>
      </c>
      <c r="K8" s="18">
        <v>9</v>
      </c>
      <c r="L8" s="18">
        <v>10</v>
      </c>
      <c r="M8" s="18">
        <v>11</v>
      </c>
      <c r="N8" s="18">
        <v>12</v>
      </c>
      <c r="O8" s="18">
        <v>13</v>
      </c>
      <c r="P8" s="18">
        <v>14</v>
      </c>
      <c r="Q8" s="18">
        <v>15</v>
      </c>
      <c r="R8" s="18">
        <v>16</v>
      </c>
      <c r="S8" s="18">
        <v>17</v>
      </c>
      <c r="T8" s="18">
        <v>18</v>
      </c>
      <c r="U8" s="18">
        <v>19</v>
      </c>
      <c r="V8" s="18">
        <v>20</v>
      </c>
      <c r="W8" s="18">
        <v>21</v>
      </c>
      <c r="X8" s="18">
        <v>22</v>
      </c>
      <c r="Y8" s="18">
        <v>23</v>
      </c>
      <c r="Z8" s="18">
        <v>24</v>
      </c>
      <c r="AA8" s="18">
        <v>25</v>
      </c>
      <c r="AB8" s="18">
        <v>26</v>
      </c>
      <c r="AC8" s="18">
        <v>27</v>
      </c>
      <c r="AD8" s="18">
        <v>28</v>
      </c>
      <c r="AE8" s="18">
        <f>IF(CA59=28,"",IF(CA59=29,29,IF(CA59=30,29,IF(CA59=31,29,""))))</f>
        <v>29</v>
      </c>
      <c r="AF8" s="18">
        <f>IF(CA59=28,"",IF(CA59=29,"",IF(CA59=30,30,IF(CA59=31,30,""))))</f>
        <v>30</v>
      </c>
      <c r="AG8" s="18" t="str">
        <f>IF(CA59=28,"",IF(CA59=29,"",IF(CA59=30,"",IF(CA59=31,31,""))))</f>
        <v/>
      </c>
      <c r="AH8" s="19" t="s">
        <v>60</v>
      </c>
      <c r="AI8" s="20" t="s">
        <v>4</v>
      </c>
      <c r="AJ8" s="20" t="s">
        <v>5</v>
      </c>
      <c r="AK8" s="21" t="s">
        <v>6</v>
      </c>
      <c r="AL8" s="21" t="s">
        <v>7</v>
      </c>
    </row>
    <row r="9" spans="1:84" s="2" customFormat="1" ht="20.100000000000001" customHeight="1" x14ac:dyDescent="0.25">
      <c r="A9" s="268" t="s">
        <v>155</v>
      </c>
      <c r="B9" s="268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4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83">
        <f>SUM(AH50:AH51)</f>
        <v>0</v>
      </c>
      <c r="AI9" s="84">
        <f>AH9-C37</f>
        <v>-162</v>
      </c>
      <c r="AJ9" s="84">
        <f>SUM(C55:AG55)</f>
        <v>0</v>
      </c>
      <c r="AK9" s="84">
        <f>AK32</f>
        <v>0</v>
      </c>
      <c r="AL9" s="18">
        <f>SUM(C56:AG56)</f>
        <v>0</v>
      </c>
      <c r="CB9" s="25">
        <f>ROUNDDOWN(AH9,0)</f>
        <v>0</v>
      </c>
      <c r="CC9" s="26">
        <f>AH9-INT(AH9)</f>
        <v>0</v>
      </c>
      <c r="CD9" s="27">
        <f>CC9/24</f>
        <v>0</v>
      </c>
      <c r="CE9"/>
      <c r="CF9"/>
    </row>
    <row r="10" spans="1:84" s="2" customFormat="1" ht="20.100000000000001" customHeight="1" x14ac:dyDescent="0.25">
      <c r="A10" s="268" t="s">
        <v>157</v>
      </c>
      <c r="B10" s="268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83">
        <f>SUM(AH61:AH62)</f>
        <v>0</v>
      </c>
      <c r="AI10" s="84">
        <f>AH10-C37</f>
        <v>-162</v>
      </c>
      <c r="AJ10" s="84">
        <f>SUM(C66:AG66)</f>
        <v>0</v>
      </c>
      <c r="AK10" s="84">
        <f t="shared" ref="AK10:AK20" si="2">AK33</f>
        <v>0</v>
      </c>
      <c r="AL10" s="18">
        <f>SUM(C67:AG67)</f>
        <v>0</v>
      </c>
      <c r="CF10"/>
    </row>
    <row r="11" spans="1:84" s="2" customFormat="1" ht="20.100000000000001" customHeight="1" x14ac:dyDescent="0.25">
      <c r="A11" s="268" t="s">
        <v>156</v>
      </c>
      <c r="B11" s="268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83">
        <f>SUM(AH72:AH73)</f>
        <v>0</v>
      </c>
      <c r="AI11" s="84">
        <f>AH11-C37</f>
        <v>-162</v>
      </c>
      <c r="AJ11" s="84">
        <f>SUM(C77:AG77)</f>
        <v>0</v>
      </c>
      <c r="AK11" s="84">
        <f t="shared" si="2"/>
        <v>0</v>
      </c>
      <c r="AL11" s="18">
        <f>SUM(C78:AG78)</f>
        <v>0</v>
      </c>
      <c r="CF11"/>
    </row>
    <row r="12" spans="1:84" s="2" customFormat="1" ht="20.100000000000001" customHeight="1" x14ac:dyDescent="0.25">
      <c r="A12" s="268" t="s">
        <v>174</v>
      </c>
      <c r="B12" s="268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83">
        <f>SUM(AH83:AH84)</f>
        <v>0</v>
      </c>
      <c r="AI12" s="84">
        <f>AH12-C37</f>
        <v>-162</v>
      </c>
      <c r="AJ12" s="84">
        <f>SUM(C88:AG88)</f>
        <v>0</v>
      </c>
      <c r="AK12" s="84">
        <f t="shared" si="2"/>
        <v>0</v>
      </c>
      <c r="AL12" s="18">
        <f>SUM(C89:AG89)</f>
        <v>0</v>
      </c>
      <c r="CF12"/>
    </row>
    <row r="13" spans="1:84" s="2" customFormat="1" ht="20.100000000000001" customHeight="1" x14ac:dyDescent="0.25">
      <c r="A13" s="268" t="s">
        <v>166</v>
      </c>
      <c r="B13" s="268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83">
        <f>SUM(AH94:AH95)</f>
        <v>0</v>
      </c>
      <c r="AI13" s="84">
        <f>AH13-C37</f>
        <v>-162</v>
      </c>
      <c r="AJ13" s="84">
        <f>SUM(C99:AG99)</f>
        <v>0</v>
      </c>
      <c r="AK13" s="84">
        <f t="shared" si="2"/>
        <v>0</v>
      </c>
      <c r="AL13" s="18">
        <f>SUM(C100:AG100)</f>
        <v>0</v>
      </c>
      <c r="CB13" s="28"/>
      <c r="CF13"/>
    </row>
    <row r="14" spans="1:84" s="2" customFormat="1" ht="19.5" customHeight="1" x14ac:dyDescent="0.25">
      <c r="A14" s="268" t="s">
        <v>161</v>
      </c>
      <c r="B14" s="268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83">
        <f>SUM(AH105:AH106)</f>
        <v>0</v>
      </c>
      <c r="AI14" s="84">
        <f>AH14-C37</f>
        <v>-162</v>
      </c>
      <c r="AJ14" s="84">
        <f>SUM(C110:AG110)</f>
        <v>0</v>
      </c>
      <c r="AK14" s="84">
        <f t="shared" si="2"/>
        <v>0</v>
      </c>
      <c r="AL14" s="18">
        <f>SUM(C111:AG111)</f>
        <v>0</v>
      </c>
      <c r="CF14"/>
    </row>
    <row r="15" spans="1:84" s="2" customFormat="1" ht="19.5" customHeight="1" x14ac:dyDescent="0.25">
      <c r="A15" s="268" t="s">
        <v>158</v>
      </c>
      <c r="B15" s="268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83">
        <f>SUM(AH116:AH117)</f>
        <v>0</v>
      </c>
      <c r="AI15" s="84">
        <f>AH15-C37</f>
        <v>-162</v>
      </c>
      <c r="AJ15" s="84">
        <f>SUM(C121:AG121)</f>
        <v>0</v>
      </c>
      <c r="AK15" s="84">
        <f t="shared" si="2"/>
        <v>0</v>
      </c>
      <c r="AL15" s="18">
        <f>SUM(C122:AG122)</f>
        <v>0</v>
      </c>
      <c r="CF15"/>
    </row>
    <row r="16" spans="1:84" s="2" customFormat="1" ht="19.5" customHeight="1" x14ac:dyDescent="0.25">
      <c r="A16" s="268" t="s">
        <v>162</v>
      </c>
      <c r="B16" s="268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83">
        <f>SUM(AH127:AH128)</f>
        <v>0</v>
      </c>
      <c r="AI16" s="84">
        <f>AH16-C37</f>
        <v>-162</v>
      </c>
      <c r="AJ16" s="84">
        <f>SUM(C132:AG132)</f>
        <v>0</v>
      </c>
      <c r="AK16" s="84">
        <f t="shared" si="2"/>
        <v>0</v>
      </c>
      <c r="AL16" s="18">
        <f>SUM(C133:AG133)</f>
        <v>0</v>
      </c>
      <c r="CF16"/>
    </row>
    <row r="17" spans="1:87" s="2" customFormat="1" ht="19.5" customHeight="1" x14ac:dyDescent="0.25">
      <c r="A17" s="268" t="s">
        <v>163</v>
      </c>
      <c r="B17" s="268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83">
        <f>SUM(AH138:AH139)</f>
        <v>0</v>
      </c>
      <c r="AI17" s="84">
        <f>AH17-C37</f>
        <v>-162</v>
      </c>
      <c r="AJ17" s="84">
        <f>SUM(C143:AG143)</f>
        <v>0</v>
      </c>
      <c r="AK17" s="84">
        <f t="shared" si="2"/>
        <v>0</v>
      </c>
      <c r="AL17" s="18">
        <f>SUM(C144:AG144)</f>
        <v>0</v>
      </c>
      <c r="CF17"/>
    </row>
    <row r="18" spans="1:87" s="2" customFormat="1" ht="19.5" customHeight="1" x14ac:dyDescent="0.25">
      <c r="A18" s="268" t="s">
        <v>169</v>
      </c>
      <c r="B18" s="268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83">
        <f>SUM(AH149:AH150)</f>
        <v>0</v>
      </c>
      <c r="AI18" s="84">
        <f>AH18-C37</f>
        <v>-162</v>
      </c>
      <c r="AJ18" s="84">
        <f>SUM(C154:AG154)</f>
        <v>0</v>
      </c>
      <c r="AK18" s="84">
        <f t="shared" si="2"/>
        <v>0</v>
      </c>
      <c r="AL18" s="18">
        <f>SUM(C155:AG155)</f>
        <v>0</v>
      </c>
      <c r="CF18"/>
    </row>
    <row r="19" spans="1:87" s="2" customFormat="1" ht="19.5" customHeight="1" x14ac:dyDescent="0.25">
      <c r="A19" s="268"/>
      <c r="B19" s="268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83">
        <f>SUM(AH160:AH161)</f>
        <v>0</v>
      </c>
      <c r="AI19" s="84">
        <f>AH19-C37</f>
        <v>-162</v>
      </c>
      <c r="AJ19" s="84">
        <f>SUM(C165:AG165)</f>
        <v>0</v>
      </c>
      <c r="AK19" s="84">
        <f t="shared" si="2"/>
        <v>0</v>
      </c>
      <c r="AL19" s="18">
        <f>SUM(C166:AG166)</f>
        <v>0</v>
      </c>
      <c r="CF19"/>
    </row>
    <row r="20" spans="1:87" s="2" customFormat="1" ht="19.5" customHeight="1" x14ac:dyDescent="0.25">
      <c r="A20" s="268"/>
      <c r="B20" s="268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83">
        <f>SUM(AH171:AH172)</f>
        <v>0</v>
      </c>
      <c r="AI20" s="84">
        <f>AH20-C37</f>
        <v>-162</v>
      </c>
      <c r="AJ20" s="84">
        <f>SUM(C176:AG176)</f>
        <v>0</v>
      </c>
      <c r="AK20" s="84">
        <f t="shared" si="2"/>
        <v>0</v>
      </c>
      <c r="AL20" s="18">
        <f>SUM(C177:AG177)</f>
        <v>0</v>
      </c>
      <c r="CF20"/>
    </row>
    <row r="21" spans="1:87" s="2" customFormat="1" ht="19.5" customHeight="1" x14ac:dyDescent="0.25">
      <c r="A21" s="10"/>
      <c r="B21" s="29" t="s">
        <v>8</v>
      </c>
      <c r="C21" s="113">
        <f>SUM(C51+C62+C73+C84+C95+C106+C117+C128+C139+C150+C161+C172)</f>
        <v>0</v>
      </c>
      <c r="D21" s="113">
        <f t="shared" ref="D21:AG21" si="3">SUM(D51+D62+D73+D84+D95+D106+D117+D128+D139+D150+D161+D172)</f>
        <v>0</v>
      </c>
      <c r="E21" s="113">
        <f t="shared" si="3"/>
        <v>0</v>
      </c>
      <c r="F21" s="113">
        <f t="shared" si="3"/>
        <v>0</v>
      </c>
      <c r="G21" s="113">
        <f t="shared" si="3"/>
        <v>0</v>
      </c>
      <c r="H21" s="113">
        <f t="shared" si="3"/>
        <v>0</v>
      </c>
      <c r="I21" s="113">
        <f t="shared" si="3"/>
        <v>0</v>
      </c>
      <c r="J21" s="113">
        <f t="shared" si="3"/>
        <v>0</v>
      </c>
      <c r="K21" s="113">
        <f t="shared" si="3"/>
        <v>0</v>
      </c>
      <c r="L21" s="113">
        <f t="shared" si="3"/>
        <v>0</v>
      </c>
      <c r="M21" s="113">
        <f t="shared" si="3"/>
        <v>0</v>
      </c>
      <c r="N21" s="113">
        <f t="shared" si="3"/>
        <v>0</v>
      </c>
      <c r="O21" s="113">
        <f t="shared" si="3"/>
        <v>0</v>
      </c>
      <c r="P21" s="113">
        <f t="shared" si="3"/>
        <v>0</v>
      </c>
      <c r="Q21" s="113">
        <f t="shared" si="3"/>
        <v>0</v>
      </c>
      <c r="R21" s="113">
        <f t="shared" si="3"/>
        <v>0</v>
      </c>
      <c r="S21" s="113">
        <f t="shared" si="3"/>
        <v>0</v>
      </c>
      <c r="T21" s="113">
        <f t="shared" si="3"/>
        <v>0</v>
      </c>
      <c r="U21" s="113">
        <f t="shared" si="3"/>
        <v>0</v>
      </c>
      <c r="V21" s="113">
        <f t="shared" si="3"/>
        <v>0</v>
      </c>
      <c r="W21" s="113">
        <f t="shared" si="3"/>
        <v>0</v>
      </c>
      <c r="X21" s="113">
        <f t="shared" si="3"/>
        <v>0</v>
      </c>
      <c r="Y21" s="113">
        <f t="shared" si="3"/>
        <v>0</v>
      </c>
      <c r="Z21" s="113">
        <f t="shared" si="3"/>
        <v>0</v>
      </c>
      <c r="AA21" s="113">
        <f t="shared" si="3"/>
        <v>0</v>
      </c>
      <c r="AB21" s="113">
        <f t="shared" si="3"/>
        <v>0</v>
      </c>
      <c r="AC21" s="113">
        <f t="shared" si="3"/>
        <v>0</v>
      </c>
      <c r="AD21" s="113">
        <f t="shared" si="3"/>
        <v>0</v>
      </c>
      <c r="AE21" s="113">
        <f t="shared" si="3"/>
        <v>0</v>
      </c>
      <c r="AF21" s="113">
        <f t="shared" si="3"/>
        <v>0</v>
      </c>
      <c r="AG21" s="113">
        <f t="shared" si="3"/>
        <v>0</v>
      </c>
      <c r="AH21" s="30"/>
      <c r="AI21" s="30"/>
      <c r="AJ21" s="30"/>
      <c r="AK21" s="30"/>
      <c r="AL21" s="30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</row>
    <row r="22" spans="1:87" s="2" customFormat="1" ht="19.5" customHeight="1" x14ac:dyDescent="0.25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</row>
    <row r="23" spans="1:87" s="2" customFormat="1" ht="19.5" customHeight="1" x14ac:dyDescent="0.25">
      <c r="A23" s="80"/>
      <c r="B23" s="80"/>
      <c r="C23" s="273" t="s">
        <v>9</v>
      </c>
      <c r="D23" s="273"/>
      <c r="E23" s="273"/>
      <c r="F23" s="273"/>
      <c r="G23" s="273"/>
      <c r="H23" s="273"/>
      <c r="I23" s="82"/>
      <c r="J23" s="274" t="s">
        <v>9</v>
      </c>
      <c r="K23" s="274"/>
      <c r="L23" s="274"/>
      <c r="M23" s="274"/>
      <c r="N23" s="274"/>
      <c r="O23" s="274"/>
      <c r="P23" s="32"/>
      <c r="Q23" s="274" t="s">
        <v>136</v>
      </c>
      <c r="R23" s="274"/>
      <c r="S23" s="274"/>
      <c r="T23" s="274"/>
      <c r="U23" s="274"/>
      <c r="V23" s="274"/>
      <c r="W23" s="274"/>
      <c r="X23" s="274"/>
      <c r="Y23" s="274"/>
      <c r="Z23" s="274"/>
      <c r="AA23" s="274"/>
      <c r="AB23" s="82"/>
      <c r="AC23" s="82"/>
      <c r="AD23" s="82"/>
      <c r="AE23" s="82"/>
      <c r="AF23" s="80"/>
      <c r="AG23" s="80"/>
      <c r="AH23" s="80"/>
      <c r="AI23" s="80"/>
      <c r="AJ23" s="80"/>
      <c r="AK23" s="80"/>
      <c r="AL23" s="80"/>
      <c r="AM23"/>
      <c r="AN23"/>
      <c r="AO23"/>
      <c r="AP23"/>
      <c r="AQ23" s="1" t="s">
        <v>10</v>
      </c>
      <c r="AR23" s="1"/>
      <c r="AS23" s="1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</row>
    <row r="24" spans="1:87" ht="14.45" customHeight="1" x14ac:dyDescent="0.25">
      <c r="A24" s="82"/>
      <c r="B24" s="82"/>
      <c r="C24" s="108" t="str">
        <f t="shared" ref="C24:D26" si="4">R32</f>
        <v>D1</v>
      </c>
      <c r="D24" s="275">
        <f t="shared" si="4"/>
        <v>0.25</v>
      </c>
      <c r="E24" s="275"/>
      <c r="F24" s="33" t="s">
        <v>11</v>
      </c>
      <c r="G24" s="276">
        <f t="shared" ref="G24:G26" si="5">V32</f>
        <v>0.75</v>
      </c>
      <c r="H24" s="276"/>
      <c r="I24" s="105"/>
      <c r="J24" s="107" t="str">
        <f t="shared" ref="J24:K26" si="6">R35</f>
        <v>N2</v>
      </c>
      <c r="K24" s="277">
        <f t="shared" si="6"/>
        <v>0.79166666666666663</v>
      </c>
      <c r="L24" s="278"/>
      <c r="M24" s="110" t="s">
        <v>11</v>
      </c>
      <c r="N24" s="277">
        <f>V35</f>
        <v>0.29166666666666669</v>
      </c>
      <c r="O24" s="279"/>
      <c r="P24" s="32"/>
      <c r="Q24" s="107" t="str">
        <f>R38</f>
        <v>G</v>
      </c>
      <c r="R24" s="280"/>
      <c r="S24" s="280"/>
      <c r="T24" s="109" t="s">
        <v>11</v>
      </c>
      <c r="U24" s="280"/>
      <c r="V24" s="280"/>
      <c r="W24" s="281"/>
      <c r="X24" s="280"/>
      <c r="Y24" s="109" t="s">
        <v>11</v>
      </c>
      <c r="Z24" s="282"/>
      <c r="AA24" s="283"/>
      <c r="AB24" s="106"/>
      <c r="AC24" s="80"/>
      <c r="AD24" s="104"/>
      <c r="AE24" s="104"/>
      <c r="AF24" s="104"/>
      <c r="AG24" s="107" t="s">
        <v>12</v>
      </c>
      <c r="AH24" s="256" t="s">
        <v>1</v>
      </c>
      <c r="AI24" s="257"/>
      <c r="AJ24" s="245"/>
      <c r="AK24" s="245"/>
      <c r="AL24" s="245"/>
      <c r="AM24"/>
      <c r="AN24"/>
      <c r="AO24"/>
      <c r="AP24"/>
      <c r="AQ24" s="1" t="s">
        <v>13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</row>
    <row r="25" spans="1:87" s="2" customFormat="1" ht="14.45" customHeight="1" x14ac:dyDescent="0.25">
      <c r="A25" s="82"/>
      <c r="B25" s="82"/>
      <c r="C25" s="108" t="str">
        <f t="shared" si="4"/>
        <v>N1</v>
      </c>
      <c r="D25" s="275">
        <f t="shared" si="4"/>
        <v>0.75</v>
      </c>
      <c r="E25" s="275"/>
      <c r="F25" s="33" t="s">
        <v>11</v>
      </c>
      <c r="G25" s="276">
        <f t="shared" si="5"/>
        <v>0.25</v>
      </c>
      <c r="H25" s="276"/>
      <c r="I25" s="105"/>
      <c r="J25" s="107" t="str">
        <f t="shared" si="6"/>
        <v>N3</v>
      </c>
      <c r="K25" s="280">
        <f t="shared" si="6"/>
        <v>0.91666666666666663</v>
      </c>
      <c r="L25" s="278"/>
      <c r="M25" s="110" t="s">
        <v>11</v>
      </c>
      <c r="N25" s="280">
        <f>V36</f>
        <v>0.25</v>
      </c>
      <c r="O25" s="279"/>
      <c r="P25" s="32"/>
      <c r="Q25" s="107" t="str">
        <f>R39</f>
        <v>H</v>
      </c>
      <c r="R25" s="280"/>
      <c r="S25" s="280"/>
      <c r="T25" s="109" t="s">
        <v>11</v>
      </c>
      <c r="U25" s="280"/>
      <c r="V25" s="280"/>
      <c r="W25" s="281"/>
      <c r="X25" s="280"/>
      <c r="Y25" s="109" t="s">
        <v>11</v>
      </c>
      <c r="Z25" s="284"/>
      <c r="AA25" s="283"/>
      <c r="AB25" s="106"/>
      <c r="AC25" s="80"/>
      <c r="AD25" s="104"/>
      <c r="AE25" s="104"/>
      <c r="AF25" s="104"/>
      <c r="AG25" s="107" t="s">
        <v>14</v>
      </c>
      <c r="AH25" s="256" t="s">
        <v>59</v>
      </c>
      <c r="AI25" s="257"/>
      <c r="AJ25" s="245"/>
      <c r="AK25" s="245"/>
      <c r="AL25" s="245"/>
      <c r="AM25"/>
      <c r="AN25"/>
      <c r="AO25"/>
      <c r="AP25"/>
      <c r="AQ25" s="1" t="s">
        <v>15</v>
      </c>
      <c r="AR25" s="1"/>
      <c r="AS25" s="1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</row>
    <row r="26" spans="1:87" s="2" customFormat="1" ht="14.45" customHeight="1" x14ac:dyDescent="0.25">
      <c r="A26" s="82"/>
      <c r="B26" s="82"/>
      <c r="C26" s="108" t="str">
        <f t="shared" si="4"/>
        <v>D2</v>
      </c>
      <c r="D26" s="275">
        <f t="shared" si="4"/>
        <v>0.29166666666666669</v>
      </c>
      <c r="E26" s="275"/>
      <c r="F26" s="33" t="s">
        <v>11</v>
      </c>
      <c r="G26" s="276">
        <f t="shared" si="5"/>
        <v>0.79166666666666663</v>
      </c>
      <c r="H26" s="276"/>
      <c r="I26" s="105"/>
      <c r="J26" s="107" t="str">
        <f t="shared" si="6"/>
        <v>F</v>
      </c>
      <c r="K26" s="280">
        <f t="shared" si="6"/>
        <v>0.20833333333333334</v>
      </c>
      <c r="L26" s="278"/>
      <c r="M26" s="110" t="s">
        <v>11</v>
      </c>
      <c r="N26" s="280">
        <f>V37</f>
        <v>0.25</v>
      </c>
      <c r="O26" s="279"/>
      <c r="P26" s="32"/>
      <c r="Q26" s="107" t="str">
        <f>R40</f>
        <v>I</v>
      </c>
      <c r="R26" s="280"/>
      <c r="S26" s="280"/>
      <c r="T26" s="109" t="s">
        <v>11</v>
      </c>
      <c r="U26" s="280"/>
      <c r="V26" s="280"/>
      <c r="W26" s="281"/>
      <c r="X26" s="280"/>
      <c r="Y26" s="109" t="s">
        <v>11</v>
      </c>
      <c r="Z26" s="284"/>
      <c r="AA26" s="283"/>
      <c r="AB26" s="106"/>
      <c r="AC26" s="80"/>
      <c r="AD26" s="104"/>
      <c r="AE26" s="104"/>
      <c r="AF26" s="104"/>
      <c r="AG26" s="107" t="s">
        <v>16</v>
      </c>
      <c r="AH26" s="256" t="s">
        <v>42</v>
      </c>
      <c r="AI26" s="257"/>
      <c r="AJ26" s="245"/>
      <c r="AK26" s="245"/>
      <c r="AL26" s="245"/>
      <c r="AM26"/>
      <c r="AN26"/>
      <c r="AO26"/>
      <c r="AP26"/>
      <c r="AQ26" s="1" t="s">
        <v>17</v>
      </c>
      <c r="AR26" s="1"/>
      <c r="AS26" s="1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</row>
    <row r="27" spans="1:87" s="2" customFormat="1" ht="14.45" customHeight="1" x14ac:dyDescent="0.25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82"/>
      <c r="Z27" s="82"/>
      <c r="AA27" s="82"/>
      <c r="AB27" s="82"/>
      <c r="AC27" s="82"/>
      <c r="AD27" s="82"/>
      <c r="AE27" s="262"/>
      <c r="AF27" s="262"/>
      <c r="AG27" s="82"/>
      <c r="AH27" s="82"/>
      <c r="AI27" s="82"/>
      <c r="AJ27" s="32"/>
      <c r="AK27" s="32"/>
      <c r="AL27" s="32"/>
    </row>
    <row r="28" spans="1:87" s="2" customFormat="1" ht="14.45" customHeight="1" x14ac:dyDescent="0.25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32"/>
      <c r="AK28" s="32"/>
      <c r="AL28" s="32"/>
    </row>
    <row r="29" spans="1:87" s="2" customFormat="1" ht="14.45" customHeight="1" x14ac:dyDescent="0.25">
      <c r="A29" s="82"/>
      <c r="B29" s="81" t="s">
        <v>18</v>
      </c>
      <c r="C29" s="251" t="str">
        <f>E43</f>
        <v xml:space="preserve">*Aquí notas que se vean en el cuadrante... </v>
      </c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  <c r="AA29" s="251"/>
      <c r="AB29" s="251"/>
      <c r="AC29" s="251"/>
      <c r="AD29" s="251"/>
      <c r="AE29" s="251"/>
      <c r="AF29" s="251"/>
      <c r="AG29" s="251"/>
      <c r="AH29" s="251"/>
      <c r="AI29" s="251"/>
      <c r="AJ29" s="251"/>
      <c r="AK29" s="32"/>
      <c r="AL29" s="32"/>
    </row>
    <row r="30" spans="1:87" s="2" customFormat="1" ht="19.5" customHeight="1" x14ac:dyDescent="0.35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32"/>
      <c r="AK30" s="32"/>
      <c r="AL30" s="32"/>
      <c r="AN30" s="5" t="s">
        <v>19</v>
      </c>
      <c r="AO30" s="5"/>
      <c r="AP30" s="5" t="s">
        <v>20</v>
      </c>
      <c r="AQ30" s="5" t="s">
        <v>21</v>
      </c>
      <c r="AR30" s="5"/>
      <c r="AS30" s="5"/>
      <c r="AT30" s="5"/>
      <c r="AU30" s="5"/>
      <c r="AV30" s="5"/>
      <c r="AW30" s="5"/>
      <c r="AX30" s="5" t="s">
        <v>22</v>
      </c>
      <c r="AY30" s="5"/>
      <c r="AZ30" s="5" t="s">
        <v>23</v>
      </c>
      <c r="BA30" s="5"/>
      <c r="BB30" s="5"/>
      <c r="BC30" s="5"/>
      <c r="BD30" s="5" t="s">
        <v>24</v>
      </c>
    </row>
    <row r="31" spans="1:87" s="2" customFormat="1" ht="19.5" customHeight="1" x14ac:dyDescent="0.25">
      <c r="A31" s="252" t="s">
        <v>25</v>
      </c>
      <c r="B31" s="252"/>
      <c r="C31" s="252"/>
      <c r="D31" s="252"/>
      <c r="E31" s="252"/>
      <c r="F31" s="252"/>
      <c r="G31" s="252"/>
      <c r="H31" s="252"/>
      <c r="I31" s="252"/>
      <c r="J31" s="252"/>
      <c r="K31" s="252"/>
      <c r="L31" s="252"/>
      <c r="M31" s="252"/>
      <c r="N31" s="252"/>
      <c r="O31" s="114"/>
      <c r="P31" s="114"/>
      <c r="Q31" s="114"/>
      <c r="R31" s="252" t="s">
        <v>9</v>
      </c>
      <c r="S31" s="252"/>
      <c r="T31" s="252"/>
      <c r="U31" s="252"/>
      <c r="V31" s="252"/>
      <c r="W31" s="252"/>
      <c r="X31" s="115"/>
      <c r="Y31" s="115"/>
      <c r="Z31" s="115"/>
      <c r="AA31" s="115"/>
      <c r="AB31" s="115"/>
      <c r="AC31" s="116"/>
      <c r="AD31" s="253" t="s">
        <v>26</v>
      </c>
      <c r="AE31" s="253"/>
      <c r="AF31" s="253"/>
      <c r="AG31" s="253"/>
      <c r="AH31" s="253"/>
      <c r="AI31" s="253"/>
      <c r="AJ31" s="114"/>
      <c r="AK31" s="212" t="s">
        <v>6</v>
      </c>
      <c r="AL31" s="114"/>
      <c r="AN31" s="97" t="s">
        <v>27</v>
      </c>
      <c r="AO31" s="97" t="s">
        <v>28</v>
      </c>
      <c r="AP31" s="97" t="s">
        <v>29</v>
      </c>
      <c r="AQ31" s="97" t="s">
        <v>30</v>
      </c>
      <c r="AR31" s="261" t="s">
        <v>31</v>
      </c>
      <c r="AS31" s="261"/>
      <c r="AT31" s="261"/>
      <c r="AU31" s="261"/>
      <c r="AV31" s="261"/>
      <c r="AW31" s="261"/>
      <c r="AX31" s="261"/>
      <c r="AY31" s="261"/>
      <c r="AZ31" s="261"/>
      <c r="BA31" s="97" t="s">
        <v>32</v>
      </c>
      <c r="BB31" s="260" t="s">
        <v>33</v>
      </c>
      <c r="BC31" s="260"/>
      <c r="BD31" s="103" t="s">
        <v>34</v>
      </c>
      <c r="BE31" s="56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</row>
    <row r="32" spans="1:87" s="2" customFormat="1" ht="19.5" customHeight="1" x14ac:dyDescent="0.25">
      <c r="A32" s="238" t="s">
        <v>35</v>
      </c>
      <c r="B32" s="238"/>
      <c r="C32" s="242" t="str">
        <f>CONTROL!B34</f>
        <v>EMPRESA</v>
      </c>
      <c r="D32" s="242"/>
      <c r="E32" s="242"/>
      <c r="F32" s="242"/>
      <c r="G32" s="242"/>
      <c r="H32" s="242"/>
      <c r="I32" s="242"/>
      <c r="J32" s="242"/>
      <c r="K32" s="242"/>
      <c r="L32" s="242"/>
      <c r="M32" s="242"/>
      <c r="N32" s="242"/>
      <c r="O32" s="114"/>
      <c r="P32" s="114"/>
      <c r="Q32" s="117"/>
      <c r="R32" s="85" t="s">
        <v>150</v>
      </c>
      <c r="S32" s="240">
        <v>0.25</v>
      </c>
      <c r="T32" s="240"/>
      <c r="U32" s="118" t="s">
        <v>11</v>
      </c>
      <c r="V32" s="241">
        <v>0.75</v>
      </c>
      <c r="W32" s="241"/>
      <c r="X32" s="115"/>
      <c r="Y32" s="115"/>
      <c r="Z32" s="115"/>
      <c r="AA32" s="115"/>
      <c r="AB32" s="115"/>
      <c r="AC32" s="116"/>
      <c r="AD32" s="250" t="s">
        <v>36</v>
      </c>
      <c r="AE32" s="250"/>
      <c r="AF32" s="250"/>
      <c r="AG32" s="250"/>
      <c r="AH32" s="86">
        <v>0.5</v>
      </c>
      <c r="AI32" s="254">
        <f>AH32/24</f>
        <v>2.0833333333333332E-2</v>
      </c>
      <c r="AJ32" s="255"/>
      <c r="AK32" s="217">
        <f>AH49</f>
        <v>0</v>
      </c>
      <c r="AL32" s="214" t="s">
        <v>90</v>
      </c>
      <c r="AM32" s="9"/>
      <c r="AN32" s="34">
        <f t="shared" ref="AN32:AN40" si="7">IF(AS32/24=0,0,AS32/24)</f>
        <v>0</v>
      </c>
      <c r="AO32" s="35">
        <f t="shared" ref="AO32:AO40" si="8">IF(BA32=0,"",BA32)</f>
        <v>0.5</v>
      </c>
      <c r="AP32" s="36">
        <f t="shared" ref="AP32:AP39" si="9">S32*24</f>
        <v>6</v>
      </c>
      <c r="AQ32" s="36">
        <f t="shared" ref="AQ32:AQ40" si="10">V32*24</f>
        <v>18</v>
      </c>
      <c r="AR32" s="36">
        <f t="shared" ref="AR32:AR40" si="11">AS32</f>
        <v>0</v>
      </c>
      <c r="AS32" s="37">
        <f t="shared" ref="AS32:AS40" si="12">IF(AV32&gt;=4,AT32,AT32)</f>
        <v>0</v>
      </c>
      <c r="AT32" s="38">
        <f t="shared" ref="AT32:AT40" si="13">IF(AV32&gt;8,8,AU32)</f>
        <v>0</v>
      </c>
      <c r="AU32" s="39">
        <f t="shared" ref="AU32:AU40" si="14">IF(AV32&lt;0,0,AV32)</f>
        <v>0</v>
      </c>
      <c r="AV32" s="40">
        <f t="shared" ref="AV32:AV40" si="15">IF(AP32=AQ32,0,IF(AP32&gt;AQ32,AW32,IF(AP32&gt;=6,AX32,AQ32-AP32)))</f>
        <v>-12</v>
      </c>
      <c r="AW32" s="36">
        <f t="shared" ref="AW32:AW40" si="16">IF(AP32&lt;6,(AQ32-22+24)+(6-AP32),IF(AP32&gt;=22,AY32,IF(AV2&lt;=6,(AQ32-22)+24,8)))</f>
        <v>20</v>
      </c>
      <c r="AX32" s="41">
        <f t="shared" ref="AX32:AX40" si="17">IF(AQ32&gt;22,AZ32,IF(AP32&lt;AQ32,AP32-AQ32,IF(AP32&gt;6,0,(6-AP32))))</f>
        <v>-12</v>
      </c>
      <c r="AY32" s="36">
        <f t="shared" ref="AY32:AY40" si="18">IF(AQ32&lt;=6,(AQ32-AP32)+24,IF(AQ32&gt;22,8,(6-AP32)+24))</f>
        <v>24</v>
      </c>
      <c r="AZ32" s="42">
        <f t="shared" ref="AZ32:AZ40" si="19">IF(AP32&lt;=6,(6-AP32)+(AQ32-22),IF(AP32&gt;22,(AQ32-AP32),(AQ32-22)))</f>
        <v>-4</v>
      </c>
      <c r="BA32" s="36">
        <f t="shared" ref="BA32:BA40" si="20">IF(V32-S32&gt;=0,V32-S32,V32-S32+24)</f>
        <v>0.5</v>
      </c>
      <c r="BB32" s="36">
        <f t="shared" ref="BB32:BB40" si="21">IF(AO32&lt;1,AO32*24,(AO32-24)*24)</f>
        <v>12</v>
      </c>
      <c r="BC32" s="36">
        <f t="shared" ref="BC32:BC40" si="22">IF(BB32&gt;=0,BB32,BB32+24)</f>
        <v>12</v>
      </c>
      <c r="BD32" s="43">
        <f t="shared" ref="BD32:BD40" si="23">IF(AX32&lt;=0,AN32,IF(AX32&gt;=0.1,AX32/24))</f>
        <v>0</v>
      </c>
      <c r="BE32" s="44" t="str">
        <f t="shared" ref="BE32:BE34" si="24">IF(BD38&gt;=4,IF(BD38="",0,8),IF(BD38&gt;=0.1,IF(BD38="",0,BD38),""))</f>
        <v/>
      </c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</row>
    <row r="33" spans="1:80" s="2" customFormat="1" ht="19.5" customHeight="1" x14ac:dyDescent="0.25">
      <c r="A33" s="238" t="s">
        <v>37</v>
      </c>
      <c r="B33" s="238"/>
      <c r="C33" s="242" t="str">
        <f>CONTROL!B35</f>
        <v>CENTRO</v>
      </c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114"/>
      <c r="P33" s="114"/>
      <c r="Q33" s="117"/>
      <c r="R33" s="85" t="s">
        <v>152</v>
      </c>
      <c r="S33" s="240">
        <v>0.75</v>
      </c>
      <c r="T33" s="240"/>
      <c r="U33" s="118" t="s">
        <v>11</v>
      </c>
      <c r="V33" s="241">
        <v>0.25</v>
      </c>
      <c r="W33" s="241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4"/>
      <c r="AK33" s="217">
        <f>AH60</f>
        <v>0</v>
      </c>
      <c r="AL33" s="214" t="s">
        <v>138</v>
      </c>
      <c r="AM33" s="9"/>
      <c r="AN33" s="35">
        <f t="shared" si="7"/>
        <v>0.33333333333333331</v>
      </c>
      <c r="AO33" s="35">
        <f t="shared" si="8"/>
        <v>23.5</v>
      </c>
      <c r="AP33" s="36">
        <f t="shared" si="9"/>
        <v>18</v>
      </c>
      <c r="AQ33" s="36">
        <f t="shared" si="10"/>
        <v>6</v>
      </c>
      <c r="AR33" s="36">
        <f t="shared" si="11"/>
        <v>8</v>
      </c>
      <c r="AS33" s="37">
        <f t="shared" si="12"/>
        <v>8</v>
      </c>
      <c r="AT33" s="38">
        <f t="shared" si="13"/>
        <v>8</v>
      </c>
      <c r="AU33" s="39">
        <f t="shared" si="14"/>
        <v>8</v>
      </c>
      <c r="AV33" s="36">
        <f t="shared" si="15"/>
        <v>8</v>
      </c>
      <c r="AW33" s="36">
        <f t="shared" si="16"/>
        <v>8</v>
      </c>
      <c r="AX33" s="41">
        <f t="shared" si="17"/>
        <v>0</v>
      </c>
      <c r="AY33" s="36">
        <f t="shared" si="18"/>
        <v>12</v>
      </c>
      <c r="AZ33" s="36">
        <f t="shared" si="19"/>
        <v>-16</v>
      </c>
      <c r="BA33" s="36">
        <f t="shared" si="20"/>
        <v>23.5</v>
      </c>
      <c r="BB33" s="36">
        <f t="shared" si="21"/>
        <v>-12</v>
      </c>
      <c r="BC33" s="36">
        <f t="shared" si="22"/>
        <v>12</v>
      </c>
      <c r="BD33" s="43">
        <f t="shared" si="23"/>
        <v>0.33333333333333331</v>
      </c>
      <c r="BE33" s="44" t="str">
        <f t="shared" si="24"/>
        <v/>
      </c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</row>
    <row r="34" spans="1:80" s="2" customFormat="1" ht="19.5" customHeight="1" x14ac:dyDescent="0.35">
      <c r="A34" s="238" t="s">
        <v>38</v>
      </c>
      <c r="B34" s="238"/>
      <c r="C34" s="242">
        <v>2025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114"/>
      <c r="P34" s="114"/>
      <c r="Q34" s="117"/>
      <c r="R34" s="85" t="s">
        <v>151</v>
      </c>
      <c r="S34" s="240">
        <v>0.29166666666666669</v>
      </c>
      <c r="T34" s="240"/>
      <c r="U34" s="118" t="s">
        <v>11</v>
      </c>
      <c r="V34" s="241">
        <v>0.79166666666666663</v>
      </c>
      <c r="W34" s="241"/>
      <c r="X34" s="115"/>
      <c r="Y34" s="119"/>
      <c r="Z34" s="119"/>
      <c r="AA34" s="119"/>
      <c r="AB34" s="119"/>
      <c r="AC34" s="119"/>
      <c r="AD34" s="119"/>
      <c r="AE34" s="115"/>
      <c r="AF34" s="115"/>
      <c r="AG34" s="115"/>
      <c r="AH34" s="115"/>
      <c r="AI34" s="115"/>
      <c r="AJ34" s="115"/>
      <c r="AK34" s="217">
        <f>AH71</f>
        <v>0</v>
      </c>
      <c r="AL34" s="214" t="s">
        <v>139</v>
      </c>
      <c r="AM34" s="9"/>
      <c r="AN34" s="35">
        <f t="shared" si="7"/>
        <v>0</v>
      </c>
      <c r="AO34" s="35">
        <f t="shared" si="8"/>
        <v>0.49999999999999994</v>
      </c>
      <c r="AP34" s="36">
        <f t="shared" si="9"/>
        <v>7</v>
      </c>
      <c r="AQ34" s="36">
        <f t="shared" si="10"/>
        <v>19</v>
      </c>
      <c r="AR34" s="36">
        <f t="shared" si="11"/>
        <v>0</v>
      </c>
      <c r="AS34" s="37">
        <f t="shared" si="12"/>
        <v>0</v>
      </c>
      <c r="AT34" s="38">
        <f t="shared" si="13"/>
        <v>0</v>
      </c>
      <c r="AU34" s="39">
        <f t="shared" si="14"/>
        <v>0</v>
      </c>
      <c r="AV34" s="36">
        <f t="shared" si="15"/>
        <v>-12</v>
      </c>
      <c r="AW34" s="36">
        <f t="shared" si="16"/>
        <v>21</v>
      </c>
      <c r="AX34" s="41">
        <f t="shared" si="17"/>
        <v>-12</v>
      </c>
      <c r="AY34" s="36">
        <f t="shared" si="18"/>
        <v>23</v>
      </c>
      <c r="AZ34" s="36">
        <f t="shared" si="19"/>
        <v>-3</v>
      </c>
      <c r="BA34" s="36">
        <f t="shared" si="20"/>
        <v>0.49999999999999994</v>
      </c>
      <c r="BB34" s="36">
        <f t="shared" si="21"/>
        <v>11.999999999999998</v>
      </c>
      <c r="BC34" s="36">
        <f t="shared" si="22"/>
        <v>11.999999999999998</v>
      </c>
      <c r="BD34" s="43">
        <f t="shared" si="23"/>
        <v>0</v>
      </c>
      <c r="BE34" s="44" t="str">
        <f t="shared" si="24"/>
        <v/>
      </c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</row>
    <row r="35" spans="1:80" s="2" customFormat="1" ht="19.5" customHeight="1" x14ac:dyDescent="0.25">
      <c r="A35" s="238" t="s">
        <v>39</v>
      </c>
      <c r="B35" s="238"/>
      <c r="C35" s="242">
        <v>11</v>
      </c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114"/>
      <c r="P35" s="114"/>
      <c r="Q35" s="117"/>
      <c r="R35" s="85" t="s">
        <v>153</v>
      </c>
      <c r="S35" s="240">
        <v>0.79166666666666663</v>
      </c>
      <c r="T35" s="240"/>
      <c r="U35" s="118" t="s">
        <v>11</v>
      </c>
      <c r="V35" s="241">
        <v>0.29166666666666669</v>
      </c>
      <c r="W35" s="241"/>
      <c r="X35" s="115"/>
      <c r="Y35" s="120"/>
      <c r="Z35" s="121"/>
      <c r="AA35" s="121"/>
      <c r="AB35" s="120"/>
      <c r="AC35" s="121"/>
      <c r="AD35" s="121"/>
      <c r="AE35" s="115"/>
      <c r="AF35" s="115"/>
      <c r="AG35" s="115"/>
      <c r="AH35" s="115"/>
      <c r="AI35" s="115"/>
      <c r="AJ35" s="115"/>
      <c r="AK35" s="217">
        <f>AH82</f>
        <v>0</v>
      </c>
      <c r="AL35" s="214" t="s">
        <v>140</v>
      </c>
      <c r="AM35" s="9"/>
      <c r="AN35" s="35">
        <f t="shared" si="7"/>
        <v>0.33333333333333331</v>
      </c>
      <c r="AO35" s="35">
        <f t="shared" si="8"/>
        <v>23.5</v>
      </c>
      <c r="AP35" s="36">
        <f t="shared" si="9"/>
        <v>19</v>
      </c>
      <c r="AQ35" s="36">
        <f t="shared" si="10"/>
        <v>7</v>
      </c>
      <c r="AR35" s="36">
        <f t="shared" si="11"/>
        <v>8</v>
      </c>
      <c r="AS35" s="37">
        <f t="shared" si="12"/>
        <v>8</v>
      </c>
      <c r="AT35" s="38">
        <f t="shared" si="13"/>
        <v>8</v>
      </c>
      <c r="AU35" s="39">
        <f t="shared" si="14"/>
        <v>9</v>
      </c>
      <c r="AV35" s="36">
        <f t="shared" si="15"/>
        <v>9</v>
      </c>
      <c r="AW35" s="36">
        <f t="shared" si="16"/>
        <v>9</v>
      </c>
      <c r="AX35" s="41">
        <f t="shared" si="17"/>
        <v>0</v>
      </c>
      <c r="AY35" s="36">
        <f t="shared" si="18"/>
        <v>11</v>
      </c>
      <c r="AZ35" s="36">
        <f t="shared" si="19"/>
        <v>-15</v>
      </c>
      <c r="BA35" s="36">
        <f t="shared" si="20"/>
        <v>23.5</v>
      </c>
      <c r="BB35" s="36">
        <f t="shared" si="21"/>
        <v>-12</v>
      </c>
      <c r="BC35" s="36">
        <f t="shared" si="22"/>
        <v>12</v>
      </c>
      <c r="BD35" s="43">
        <f t="shared" si="23"/>
        <v>0.33333333333333331</v>
      </c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</row>
    <row r="36" spans="1:80" s="2" customFormat="1" ht="19.5" customHeight="1" x14ac:dyDescent="0.25">
      <c r="A36" s="238" t="s">
        <v>40</v>
      </c>
      <c r="B36" s="238"/>
      <c r="C36" s="239">
        <v>5.22</v>
      </c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114"/>
      <c r="P36" s="114"/>
      <c r="Q36" s="117"/>
      <c r="R36" s="85" t="s">
        <v>154</v>
      </c>
      <c r="S36" s="240">
        <v>0.91666666666666663</v>
      </c>
      <c r="T36" s="240"/>
      <c r="U36" s="118" t="s">
        <v>11</v>
      </c>
      <c r="V36" s="241">
        <v>0.25</v>
      </c>
      <c r="W36" s="241"/>
      <c r="X36" s="115"/>
      <c r="Y36" s="120"/>
      <c r="Z36" s="121"/>
      <c r="AA36" s="121"/>
      <c r="AB36" s="120"/>
      <c r="AC36" s="121"/>
      <c r="AD36" s="121"/>
      <c r="AE36" s="115"/>
      <c r="AF36" s="115"/>
      <c r="AG36" s="115"/>
      <c r="AH36" s="115"/>
      <c r="AI36" s="115"/>
      <c r="AJ36" s="115"/>
      <c r="AK36" s="217">
        <f>AH93</f>
        <v>0</v>
      </c>
      <c r="AL36" s="214" t="s">
        <v>141</v>
      </c>
      <c r="AM36" s="9"/>
      <c r="AN36" s="35">
        <f t="shared" si="7"/>
        <v>0.33333333333333331</v>
      </c>
      <c r="AO36" s="35">
        <f t="shared" si="8"/>
        <v>23.333333333333332</v>
      </c>
      <c r="AP36" s="36">
        <f t="shared" si="9"/>
        <v>22</v>
      </c>
      <c r="AQ36" s="36">
        <f t="shared" si="10"/>
        <v>6</v>
      </c>
      <c r="AR36" s="36">
        <f t="shared" si="11"/>
        <v>8</v>
      </c>
      <c r="AS36" s="37">
        <f t="shared" si="12"/>
        <v>8</v>
      </c>
      <c r="AT36" s="38">
        <f t="shared" si="13"/>
        <v>8</v>
      </c>
      <c r="AU36" s="39">
        <f t="shared" si="14"/>
        <v>8</v>
      </c>
      <c r="AV36" s="36">
        <f t="shared" si="15"/>
        <v>8</v>
      </c>
      <c r="AW36" s="36">
        <f t="shared" si="16"/>
        <v>8</v>
      </c>
      <c r="AX36" s="41">
        <f t="shared" si="17"/>
        <v>0</v>
      </c>
      <c r="AY36" s="36">
        <f t="shared" si="18"/>
        <v>8</v>
      </c>
      <c r="AZ36" s="36">
        <f t="shared" si="19"/>
        <v>-16</v>
      </c>
      <c r="BA36" s="36">
        <f t="shared" si="20"/>
        <v>23.333333333333332</v>
      </c>
      <c r="BB36" s="36">
        <f t="shared" si="21"/>
        <v>-16.000000000000028</v>
      </c>
      <c r="BC36" s="36">
        <f t="shared" si="22"/>
        <v>7.9999999999999716</v>
      </c>
      <c r="BD36" s="43">
        <f t="shared" si="23"/>
        <v>0.33333333333333331</v>
      </c>
      <c r="BE36" s="1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</row>
    <row r="37" spans="1:80" s="2" customFormat="1" ht="19.5" customHeight="1" x14ac:dyDescent="0.25">
      <c r="A37" s="238" t="s">
        <v>41</v>
      </c>
      <c r="B37" s="238"/>
      <c r="C37" s="239">
        <v>162</v>
      </c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116"/>
      <c r="P37" s="116"/>
      <c r="Q37" s="117"/>
      <c r="R37" s="85" t="str">
        <f>CONTROL!F40</f>
        <v>F</v>
      </c>
      <c r="S37" s="240">
        <f>CONTROL!G40</f>
        <v>0.20833333333333334</v>
      </c>
      <c r="T37" s="240"/>
      <c r="U37" s="118" t="s">
        <v>11</v>
      </c>
      <c r="V37" s="241">
        <f>CONTROL!H40</f>
        <v>0.25</v>
      </c>
      <c r="W37" s="241"/>
      <c r="X37" s="115"/>
      <c r="Y37" s="120"/>
      <c r="Z37" s="121"/>
      <c r="AA37" s="121"/>
      <c r="AB37" s="120"/>
      <c r="AC37" s="121"/>
      <c r="AD37" s="121"/>
      <c r="AE37" s="115"/>
      <c r="AF37" s="115"/>
      <c r="AG37" s="115"/>
      <c r="AH37" s="115"/>
      <c r="AI37" s="115"/>
      <c r="AJ37" s="116"/>
      <c r="AK37" s="217">
        <f>AH104</f>
        <v>0</v>
      </c>
      <c r="AL37" s="214" t="s">
        <v>142</v>
      </c>
      <c r="AM37" s="9"/>
      <c r="AN37" s="35">
        <f t="shared" si="7"/>
        <v>4.1666666666666664E-2</v>
      </c>
      <c r="AO37" s="35">
        <f t="shared" si="8"/>
        <v>4.1666666666666657E-2</v>
      </c>
      <c r="AP37" s="36">
        <f t="shared" si="9"/>
        <v>5</v>
      </c>
      <c r="AQ37" s="36">
        <f t="shared" si="10"/>
        <v>6</v>
      </c>
      <c r="AR37" s="36">
        <f t="shared" si="11"/>
        <v>1</v>
      </c>
      <c r="AS37" s="37">
        <f t="shared" si="12"/>
        <v>1</v>
      </c>
      <c r="AT37" s="38">
        <f t="shared" si="13"/>
        <v>1</v>
      </c>
      <c r="AU37" s="39">
        <f t="shared" si="14"/>
        <v>1</v>
      </c>
      <c r="AV37" s="36">
        <f t="shared" si="15"/>
        <v>1</v>
      </c>
      <c r="AW37" s="36">
        <f t="shared" si="16"/>
        <v>9</v>
      </c>
      <c r="AX37" s="41">
        <f t="shared" si="17"/>
        <v>-1</v>
      </c>
      <c r="AY37" s="36">
        <f t="shared" si="18"/>
        <v>25</v>
      </c>
      <c r="AZ37" s="36">
        <f t="shared" si="19"/>
        <v>-15</v>
      </c>
      <c r="BA37" s="36">
        <f t="shared" si="20"/>
        <v>4.1666666666666657E-2</v>
      </c>
      <c r="BB37" s="36">
        <f t="shared" si="21"/>
        <v>0.99999999999999978</v>
      </c>
      <c r="BC37" s="36">
        <f t="shared" si="22"/>
        <v>0.99999999999999978</v>
      </c>
      <c r="BD37" s="43">
        <f t="shared" si="23"/>
        <v>4.1666666666666664E-2</v>
      </c>
      <c r="BE37" s="1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</row>
    <row r="38" spans="1:80" s="2" customFormat="1" ht="20.100000000000001" customHeight="1" x14ac:dyDescent="0.25">
      <c r="A38" s="238" t="s">
        <v>42</v>
      </c>
      <c r="B38" s="238"/>
      <c r="C38" s="239">
        <v>0</v>
      </c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122"/>
      <c r="P38" s="122"/>
      <c r="Q38" s="115"/>
      <c r="R38" s="197" t="str">
        <f>CONTROL!F41</f>
        <v>G</v>
      </c>
      <c r="S38" s="222">
        <f>CONTROL!G41</f>
        <v>0.29166666666666669</v>
      </c>
      <c r="T38" s="222"/>
      <c r="U38" s="118" t="s">
        <v>11</v>
      </c>
      <c r="V38" s="223">
        <f>CONTROL!H41</f>
        <v>0.33333333333333331</v>
      </c>
      <c r="W38" s="223"/>
      <c r="X38" s="115"/>
      <c r="Y38" s="120"/>
      <c r="Z38" s="121"/>
      <c r="AA38" s="121"/>
      <c r="AB38" s="120"/>
      <c r="AC38" s="121"/>
      <c r="AD38" s="121"/>
      <c r="AE38" s="116"/>
      <c r="AF38" s="116"/>
      <c r="AG38" s="116"/>
      <c r="AH38" s="116"/>
      <c r="AI38" s="116"/>
      <c r="AJ38" s="114"/>
      <c r="AK38" s="217">
        <f>AH115</f>
        <v>0</v>
      </c>
      <c r="AL38" s="214" t="s">
        <v>143</v>
      </c>
      <c r="AN38" s="35">
        <f t="shared" si="7"/>
        <v>0</v>
      </c>
      <c r="AO38" s="35">
        <f t="shared" si="8"/>
        <v>4.166666666666663E-2</v>
      </c>
      <c r="AP38" s="36">
        <f t="shared" si="9"/>
        <v>7</v>
      </c>
      <c r="AQ38" s="36">
        <f t="shared" si="10"/>
        <v>8</v>
      </c>
      <c r="AR38" s="36">
        <f t="shared" si="11"/>
        <v>0</v>
      </c>
      <c r="AS38" s="37">
        <f t="shared" si="12"/>
        <v>0</v>
      </c>
      <c r="AT38" s="38">
        <f t="shared" si="13"/>
        <v>0</v>
      </c>
      <c r="AU38" s="39">
        <f t="shared" si="14"/>
        <v>0</v>
      </c>
      <c r="AV38" s="36">
        <f t="shared" si="15"/>
        <v>-1</v>
      </c>
      <c r="AW38" s="36">
        <f t="shared" si="16"/>
        <v>10</v>
      </c>
      <c r="AX38" s="41">
        <f t="shared" si="17"/>
        <v>-1</v>
      </c>
      <c r="AY38" s="36">
        <f t="shared" si="18"/>
        <v>23</v>
      </c>
      <c r="AZ38" s="36">
        <f t="shared" si="19"/>
        <v>-14</v>
      </c>
      <c r="BA38" s="36">
        <f t="shared" si="20"/>
        <v>4.166666666666663E-2</v>
      </c>
      <c r="BB38" s="36">
        <f t="shared" si="21"/>
        <v>0.99999999999999911</v>
      </c>
      <c r="BC38" s="36">
        <f t="shared" si="22"/>
        <v>0.99999999999999911</v>
      </c>
      <c r="BD38" s="43">
        <f t="shared" si="23"/>
        <v>0</v>
      </c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</row>
    <row r="39" spans="1:80" s="2" customFormat="1" ht="20.100000000000001" customHeight="1" x14ac:dyDescent="0.25">
      <c r="A39" s="123"/>
      <c r="B39" s="116"/>
      <c r="C39" s="124"/>
      <c r="D39" s="116"/>
      <c r="E39" s="116"/>
      <c r="F39" s="116"/>
      <c r="G39" s="116"/>
      <c r="H39" s="116"/>
      <c r="I39" s="116"/>
      <c r="J39" s="116"/>
      <c r="K39" s="116"/>
      <c r="L39" s="122"/>
      <c r="M39" s="122"/>
      <c r="N39" s="125"/>
      <c r="O39" s="122"/>
      <c r="P39" s="122"/>
      <c r="Q39" s="115"/>
      <c r="R39" s="197" t="str">
        <f>CONTROL!F42</f>
        <v>H</v>
      </c>
      <c r="S39" s="222">
        <f>CONTROL!G42</f>
        <v>0.33333333333333331</v>
      </c>
      <c r="T39" s="222"/>
      <c r="U39" s="118" t="s">
        <v>11</v>
      </c>
      <c r="V39" s="223">
        <f>CONTROL!H42</f>
        <v>0.375</v>
      </c>
      <c r="W39" s="223"/>
      <c r="X39" s="115"/>
      <c r="Y39" s="120"/>
      <c r="Z39" s="121"/>
      <c r="AA39" s="121"/>
      <c r="AB39" s="120"/>
      <c r="AC39" s="121"/>
      <c r="AD39" s="121"/>
      <c r="AE39" s="116"/>
      <c r="AF39" s="116"/>
      <c r="AG39" s="116"/>
      <c r="AH39" s="116"/>
      <c r="AI39" s="116"/>
      <c r="AJ39" s="114"/>
      <c r="AK39" s="217">
        <f>AH126</f>
        <v>0</v>
      </c>
      <c r="AL39" s="214" t="s">
        <v>144</v>
      </c>
      <c r="AN39" s="35">
        <f t="shared" si="7"/>
        <v>0</v>
      </c>
      <c r="AO39" s="35">
        <f t="shared" si="8"/>
        <v>4.1666666666666685E-2</v>
      </c>
      <c r="AP39" s="36">
        <f t="shared" si="9"/>
        <v>8</v>
      </c>
      <c r="AQ39" s="36">
        <f t="shared" si="10"/>
        <v>9</v>
      </c>
      <c r="AR39" s="36">
        <f t="shared" si="11"/>
        <v>0</v>
      </c>
      <c r="AS39" s="37">
        <f t="shared" si="12"/>
        <v>0</v>
      </c>
      <c r="AT39" s="38">
        <f t="shared" si="13"/>
        <v>0</v>
      </c>
      <c r="AU39" s="39">
        <f t="shared" si="14"/>
        <v>0</v>
      </c>
      <c r="AV39" s="36">
        <f t="shared" si="15"/>
        <v>-1</v>
      </c>
      <c r="AW39" s="36">
        <f t="shared" si="16"/>
        <v>11</v>
      </c>
      <c r="AX39" s="41">
        <f t="shared" si="17"/>
        <v>-1</v>
      </c>
      <c r="AY39" s="36">
        <f t="shared" si="18"/>
        <v>22</v>
      </c>
      <c r="AZ39" s="36">
        <f t="shared" si="19"/>
        <v>-13</v>
      </c>
      <c r="BA39" s="36">
        <f t="shared" si="20"/>
        <v>4.1666666666666685E-2</v>
      </c>
      <c r="BB39" s="36">
        <f t="shared" si="21"/>
        <v>1.0000000000000004</v>
      </c>
      <c r="BC39" s="36">
        <f t="shared" si="22"/>
        <v>1.0000000000000004</v>
      </c>
      <c r="BD39" s="43">
        <f t="shared" si="23"/>
        <v>0</v>
      </c>
      <c r="BE39" s="31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</row>
    <row r="40" spans="1:80" s="2" customFormat="1" ht="20.100000000000001" customHeight="1" x14ac:dyDescent="0.25">
      <c r="A40" s="123"/>
      <c r="B40" s="116"/>
      <c r="C40" s="124"/>
      <c r="D40" s="116"/>
      <c r="E40" s="116"/>
      <c r="F40" s="116"/>
      <c r="G40" s="116"/>
      <c r="H40" s="116"/>
      <c r="I40" s="116"/>
      <c r="J40" s="116"/>
      <c r="K40" s="116"/>
      <c r="L40" s="122"/>
      <c r="M40" s="122"/>
      <c r="N40" s="125"/>
      <c r="O40" s="122"/>
      <c r="P40" s="122"/>
      <c r="Q40" s="115"/>
      <c r="R40" s="197" t="str">
        <f>CONTROL!F43</f>
        <v>I</v>
      </c>
      <c r="S40" s="222">
        <f>CONTROL!G43</f>
        <v>0.41666666666666669</v>
      </c>
      <c r="T40" s="222"/>
      <c r="U40" s="118" t="s">
        <v>11</v>
      </c>
      <c r="V40" s="223">
        <f>CONTROL!H43</f>
        <v>0.45833333333333331</v>
      </c>
      <c r="W40" s="223"/>
      <c r="X40" s="115"/>
      <c r="Y40" s="120"/>
      <c r="Z40" s="121"/>
      <c r="AA40" s="121"/>
      <c r="AB40" s="120"/>
      <c r="AC40" s="121"/>
      <c r="AD40" s="121"/>
      <c r="AE40" s="116"/>
      <c r="AF40" s="116"/>
      <c r="AG40" s="116"/>
      <c r="AH40" s="116"/>
      <c r="AI40" s="116"/>
      <c r="AJ40" s="114"/>
      <c r="AK40" s="217">
        <f>AH137</f>
        <v>0</v>
      </c>
      <c r="AL40" s="214" t="s">
        <v>145</v>
      </c>
      <c r="AN40" s="35">
        <f t="shared" si="7"/>
        <v>0</v>
      </c>
      <c r="AO40" s="35">
        <f t="shared" si="8"/>
        <v>4.166666666666663E-2</v>
      </c>
      <c r="AP40" s="36">
        <f>S40*24+24</f>
        <v>34</v>
      </c>
      <c r="AQ40" s="36">
        <f t="shared" si="10"/>
        <v>11</v>
      </c>
      <c r="AR40" s="36">
        <f t="shared" si="11"/>
        <v>0</v>
      </c>
      <c r="AS40" s="37">
        <f t="shared" si="12"/>
        <v>0</v>
      </c>
      <c r="AT40" s="38">
        <f t="shared" si="13"/>
        <v>0</v>
      </c>
      <c r="AU40" s="39">
        <f t="shared" si="14"/>
        <v>0</v>
      </c>
      <c r="AV40" s="36">
        <f t="shared" si="15"/>
        <v>-4</v>
      </c>
      <c r="AW40" s="36">
        <f t="shared" si="16"/>
        <v>-4</v>
      </c>
      <c r="AX40" s="41">
        <f t="shared" si="17"/>
        <v>0</v>
      </c>
      <c r="AY40" s="36">
        <f t="shared" si="18"/>
        <v>-4</v>
      </c>
      <c r="AZ40" s="36">
        <f t="shared" si="19"/>
        <v>-23</v>
      </c>
      <c r="BA40" s="36">
        <f t="shared" si="20"/>
        <v>4.166666666666663E-2</v>
      </c>
      <c r="BB40" s="36">
        <f t="shared" si="21"/>
        <v>0.99999999999999911</v>
      </c>
      <c r="BC40" s="36">
        <f t="shared" si="22"/>
        <v>0.99999999999999911</v>
      </c>
      <c r="BD40" s="43">
        <f t="shared" si="23"/>
        <v>0</v>
      </c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</row>
    <row r="41" spans="1:80" s="2" customFormat="1" ht="20.100000000000001" customHeight="1" x14ac:dyDescent="0.25">
      <c r="A41" s="123"/>
      <c r="B41" s="116"/>
      <c r="C41" s="124"/>
      <c r="D41" s="116"/>
      <c r="E41" s="116"/>
      <c r="F41" s="116"/>
      <c r="G41" s="116"/>
      <c r="H41" s="116"/>
      <c r="I41" s="116"/>
      <c r="J41" s="116"/>
      <c r="K41" s="116"/>
      <c r="L41" s="122"/>
      <c r="M41" s="122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6"/>
      <c r="AB41" s="116"/>
      <c r="AC41" s="116"/>
      <c r="AD41" s="116"/>
      <c r="AE41" s="116"/>
      <c r="AF41" s="116"/>
      <c r="AG41" s="116"/>
      <c r="AH41" s="116"/>
      <c r="AI41" s="116"/>
      <c r="AJ41" s="114"/>
      <c r="AK41" s="217">
        <f>AH148</f>
        <v>0</v>
      </c>
      <c r="AL41" s="214" t="s">
        <v>146</v>
      </c>
      <c r="AN41" s="10"/>
      <c r="AO41" s="10"/>
      <c r="AP41" s="46">
        <f>S41*24</f>
        <v>0</v>
      </c>
      <c r="AQ41" s="10"/>
      <c r="AR41" s="47">
        <v>1</v>
      </c>
      <c r="AS41" s="47">
        <v>2</v>
      </c>
      <c r="AT41" s="47">
        <v>3</v>
      </c>
      <c r="AU41" s="47">
        <v>4</v>
      </c>
      <c r="AV41" s="47">
        <v>5</v>
      </c>
      <c r="AW41" s="47">
        <v>6</v>
      </c>
      <c r="AX41" s="47">
        <v>7</v>
      </c>
      <c r="AY41" s="47">
        <v>8</v>
      </c>
      <c r="AZ41" s="47">
        <v>9</v>
      </c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</row>
    <row r="42" spans="1:80" ht="20.100000000000001" customHeight="1" x14ac:dyDescent="0.25">
      <c r="A42" s="116"/>
      <c r="B42" s="126"/>
      <c r="C42" s="224" t="s">
        <v>43</v>
      </c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5" t="str">
        <f>CONTROL!B38</f>
        <v>OSCAR ORGEIRA © 20.03.00 EXCEL</v>
      </c>
      <c r="X42" s="225"/>
      <c r="Y42" s="225"/>
      <c r="Z42" s="225"/>
      <c r="AA42" s="225"/>
      <c r="AB42" s="225"/>
      <c r="AC42" s="225"/>
      <c r="AD42" s="225"/>
      <c r="AE42" s="225"/>
      <c r="AF42" s="225"/>
      <c r="AG42" s="225"/>
      <c r="AH42" s="225"/>
      <c r="AI42" s="127"/>
      <c r="AJ42" s="116"/>
      <c r="AK42" s="218">
        <f>AH159</f>
        <v>0</v>
      </c>
      <c r="AL42" s="215" t="s">
        <v>147</v>
      </c>
      <c r="BE42" s="10"/>
    </row>
    <row r="43" spans="1:80" ht="20.100000000000001" customHeight="1" x14ac:dyDescent="0.25">
      <c r="A43" s="116"/>
      <c r="B43" s="116"/>
      <c r="C43" s="234" t="s">
        <v>44</v>
      </c>
      <c r="D43" s="234"/>
      <c r="E43" s="235" t="s">
        <v>45</v>
      </c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  <c r="AA43" s="235"/>
      <c r="AB43" s="235"/>
      <c r="AC43" s="235"/>
      <c r="AD43" s="235"/>
      <c r="AE43" s="235"/>
      <c r="AF43" s="235"/>
      <c r="AG43" s="235"/>
      <c r="AH43" s="235"/>
      <c r="AI43" s="235"/>
      <c r="AJ43" s="116"/>
      <c r="AK43" s="218">
        <f>AH170</f>
        <v>0</v>
      </c>
      <c r="AL43" s="215" t="s">
        <v>148</v>
      </c>
      <c r="BE43" s="10"/>
    </row>
    <row r="44" spans="1:80" s="2" customFormat="1" ht="15.95" hidden="1" customHeight="1" x14ac:dyDescent="0.25">
      <c r="A44" s="123"/>
      <c r="B44" s="114"/>
      <c r="C44" s="128"/>
      <c r="D44" s="114"/>
      <c r="E44" s="114"/>
      <c r="F44" s="114"/>
      <c r="G44" s="114"/>
      <c r="H44" s="114"/>
      <c r="I44" s="114"/>
      <c r="J44" s="114"/>
      <c r="K44" s="114"/>
      <c r="L44" s="125"/>
      <c r="M44" s="125"/>
      <c r="N44" s="125"/>
      <c r="O44" s="125"/>
      <c r="P44" s="125"/>
      <c r="Q44" s="125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N44" s="10"/>
      <c r="AO44" s="10"/>
      <c r="AP44" s="10"/>
      <c r="AQ44" s="10"/>
      <c r="AR44" s="47"/>
      <c r="AS44" s="47"/>
      <c r="AT44" s="47"/>
      <c r="AU44" s="47"/>
      <c r="AV44" s="47"/>
      <c r="AW44" s="47"/>
      <c r="AX44" s="47"/>
      <c r="AY44" s="47"/>
      <c r="AZ44" s="47"/>
      <c r="BA44" s="10"/>
      <c r="BB44" s="10"/>
      <c r="BC44" s="10"/>
      <c r="BD44" s="10"/>
      <c r="BE44" s="48" t="str">
        <f>INDEX({"do";"lu";"ma";"mi";"ju";"vi";"sa"},1+MOD($AR$47+4-2,7))</f>
        <v>ju</v>
      </c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</row>
    <row r="45" spans="1:80" ht="15.95" hidden="1" customHeight="1" x14ac:dyDescent="0.25">
      <c r="A45" s="129"/>
      <c r="B45" s="130" t="s">
        <v>46</v>
      </c>
      <c r="C45" s="131">
        <f t="shared" ref="C45:AH45" si="25">IF(C7="S",IF(C7="",0,1),IF(C7="D",IF(C7="",0,1),""))</f>
        <v>1</v>
      </c>
      <c r="D45" s="131">
        <f t="shared" si="25"/>
        <v>1</v>
      </c>
      <c r="E45" s="131" t="str">
        <f t="shared" si="25"/>
        <v/>
      </c>
      <c r="F45" s="131" t="str">
        <f t="shared" si="25"/>
        <v/>
      </c>
      <c r="G45" s="131" t="str">
        <f t="shared" si="25"/>
        <v/>
      </c>
      <c r="H45" s="131" t="str">
        <f t="shared" si="25"/>
        <v/>
      </c>
      <c r="I45" s="131" t="str">
        <f t="shared" si="25"/>
        <v/>
      </c>
      <c r="J45" s="131">
        <f t="shared" si="25"/>
        <v>1</v>
      </c>
      <c r="K45" s="131">
        <f t="shared" si="25"/>
        <v>1</v>
      </c>
      <c r="L45" s="131" t="str">
        <f t="shared" si="25"/>
        <v/>
      </c>
      <c r="M45" s="131" t="str">
        <f t="shared" si="25"/>
        <v/>
      </c>
      <c r="N45" s="131" t="str">
        <f t="shared" si="25"/>
        <v/>
      </c>
      <c r="O45" s="131" t="str">
        <f t="shared" si="25"/>
        <v/>
      </c>
      <c r="P45" s="131" t="str">
        <f t="shared" si="25"/>
        <v/>
      </c>
      <c r="Q45" s="131">
        <f t="shared" si="25"/>
        <v>1</v>
      </c>
      <c r="R45" s="131">
        <f t="shared" si="25"/>
        <v>1</v>
      </c>
      <c r="S45" s="131" t="str">
        <f t="shared" si="25"/>
        <v/>
      </c>
      <c r="T45" s="131" t="str">
        <f t="shared" si="25"/>
        <v/>
      </c>
      <c r="U45" s="131" t="str">
        <f t="shared" si="25"/>
        <v/>
      </c>
      <c r="V45" s="131" t="str">
        <f t="shared" si="25"/>
        <v/>
      </c>
      <c r="W45" s="131" t="str">
        <f t="shared" si="25"/>
        <v/>
      </c>
      <c r="X45" s="131">
        <f t="shared" si="25"/>
        <v>1</v>
      </c>
      <c r="Y45" s="131">
        <f t="shared" si="25"/>
        <v>1</v>
      </c>
      <c r="Z45" s="131" t="str">
        <f t="shared" si="25"/>
        <v/>
      </c>
      <c r="AA45" s="131" t="str">
        <f t="shared" si="25"/>
        <v/>
      </c>
      <c r="AB45" s="131" t="str">
        <f t="shared" si="25"/>
        <v/>
      </c>
      <c r="AC45" s="131" t="str">
        <f t="shared" si="25"/>
        <v/>
      </c>
      <c r="AD45" s="131" t="str">
        <f t="shared" si="25"/>
        <v/>
      </c>
      <c r="AE45" s="131">
        <f t="shared" si="25"/>
        <v>1</v>
      </c>
      <c r="AF45" s="131">
        <f t="shared" si="25"/>
        <v>1</v>
      </c>
      <c r="AG45" s="131" t="str">
        <f t="shared" si="25"/>
        <v/>
      </c>
      <c r="AH45" s="132" t="str">
        <f t="shared" si="25"/>
        <v/>
      </c>
      <c r="AI45" s="236" t="s">
        <v>8</v>
      </c>
      <c r="AJ45" s="236"/>
      <c r="AK45" s="133"/>
      <c r="AL45" s="133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49" t="str">
        <f>IF(MONTH($Q$4)&lt;&gt;MONTH($Q$4-(WEEKDAY($Q$4,1)-($AR$47-1))-IF((WEEKDAY($Q$4,1)-($AR$47-1))&lt;=0,7,0)+(ROW(BE45)-ROW($AN$51))*7+(COLUMN(BE45)-COLUMN($AN$51)+1)),"",$Q$4-(WEEKDAY($Q$4,1)-($AR$47-1))-IF((WEEKDAY($Q$4,1)-($AR$47-1))&lt;=0,7,0)+(ROW(BE45)-ROW($AN$51))*7+(COLUMN(BE45)-COLUMN($AN$51)+1))</f>
        <v/>
      </c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</row>
    <row r="46" spans="1:80" s="2" customFormat="1" ht="15.95" hidden="1" customHeight="1" x14ac:dyDescent="0.25">
      <c r="A46" s="134" t="s">
        <v>47</v>
      </c>
      <c r="B46" s="134" t="s">
        <v>48</v>
      </c>
      <c r="C46" s="135">
        <f t="shared" ref="C46:AG46" si="26">IF(C6="X",IF(C6="",0,1),IF(C45=1,IF(C45="",0,1),""))</f>
        <v>1</v>
      </c>
      <c r="D46" s="135">
        <f t="shared" si="26"/>
        <v>1</v>
      </c>
      <c r="E46" s="135" t="str">
        <f t="shared" si="26"/>
        <v/>
      </c>
      <c r="F46" s="135" t="str">
        <f t="shared" si="26"/>
        <v/>
      </c>
      <c r="G46" s="135" t="str">
        <f t="shared" si="26"/>
        <v/>
      </c>
      <c r="H46" s="135" t="str">
        <f t="shared" si="26"/>
        <v/>
      </c>
      <c r="I46" s="135" t="str">
        <f t="shared" si="26"/>
        <v/>
      </c>
      <c r="J46" s="135">
        <f t="shared" si="26"/>
        <v>1</v>
      </c>
      <c r="K46" s="135">
        <f t="shared" si="26"/>
        <v>1</v>
      </c>
      <c r="L46" s="135" t="str">
        <f t="shared" si="26"/>
        <v/>
      </c>
      <c r="M46" s="135" t="str">
        <f t="shared" si="26"/>
        <v/>
      </c>
      <c r="N46" s="135" t="str">
        <f t="shared" si="26"/>
        <v/>
      </c>
      <c r="O46" s="135" t="str">
        <f t="shared" si="26"/>
        <v/>
      </c>
      <c r="P46" s="135" t="str">
        <f t="shared" si="26"/>
        <v/>
      </c>
      <c r="Q46" s="135">
        <f t="shared" si="26"/>
        <v>1</v>
      </c>
      <c r="R46" s="135">
        <f t="shared" si="26"/>
        <v>1</v>
      </c>
      <c r="S46" s="135" t="str">
        <f t="shared" si="26"/>
        <v/>
      </c>
      <c r="T46" s="135" t="str">
        <f t="shared" si="26"/>
        <v/>
      </c>
      <c r="U46" s="135" t="str">
        <f t="shared" si="26"/>
        <v/>
      </c>
      <c r="V46" s="135" t="str">
        <f t="shared" si="26"/>
        <v/>
      </c>
      <c r="W46" s="135" t="str">
        <f t="shared" si="26"/>
        <v/>
      </c>
      <c r="X46" s="135">
        <f t="shared" si="26"/>
        <v>1</v>
      </c>
      <c r="Y46" s="135">
        <f t="shared" si="26"/>
        <v>1</v>
      </c>
      <c r="Z46" s="135" t="str">
        <f t="shared" si="26"/>
        <v/>
      </c>
      <c r="AA46" s="135" t="str">
        <f t="shared" si="26"/>
        <v/>
      </c>
      <c r="AB46" s="135" t="str">
        <f t="shared" si="26"/>
        <v/>
      </c>
      <c r="AC46" s="135" t="str">
        <f t="shared" si="26"/>
        <v/>
      </c>
      <c r="AD46" s="135" t="str">
        <f t="shared" si="26"/>
        <v/>
      </c>
      <c r="AE46" s="132">
        <f t="shared" si="26"/>
        <v>1</v>
      </c>
      <c r="AF46" s="132">
        <f t="shared" si="26"/>
        <v>1</v>
      </c>
      <c r="AG46" s="132" t="str">
        <f t="shared" si="26"/>
        <v/>
      </c>
      <c r="AH46" s="136" t="b">
        <f>IF(AH6="X",IF(AH6="",0,1))</f>
        <v>0</v>
      </c>
      <c r="AI46" s="231">
        <f>(AH32-AH33)*AL46</f>
        <v>5</v>
      </c>
      <c r="AJ46" s="231"/>
      <c r="AK46" s="137" t="s">
        <v>49</v>
      </c>
      <c r="AL46" s="138">
        <f>SUM(C46:AG46)</f>
        <v>10</v>
      </c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</row>
    <row r="47" spans="1:80" s="2" customFormat="1" ht="15.95" hidden="1" customHeight="1" x14ac:dyDescent="0.3">
      <c r="A47" s="139" t="s">
        <v>50</v>
      </c>
      <c r="B47" s="140" t="s">
        <v>29</v>
      </c>
      <c r="C47" s="141" t="str">
        <f t="shared" ref="C47:AG47" si="27">IF(C9=$R32,$S32*24,IF(C9=$R33,$S33*24,IF(C9=$R34,$S34*24,IF(C9=$R35,$S35*24,IF(C9=$R36,$S36*24,IF(C9=$R37,$S37*24,IF(C9=$R38,$S38*24,IF(C9=$R39,$S39*24,IF(C9=$R40,$S40*24,"")))))))))</f>
        <v/>
      </c>
      <c r="D47" s="141" t="str">
        <f t="shared" si="27"/>
        <v/>
      </c>
      <c r="E47" s="141" t="str">
        <f t="shared" si="27"/>
        <v/>
      </c>
      <c r="F47" s="141" t="str">
        <f t="shared" si="27"/>
        <v/>
      </c>
      <c r="G47" s="141" t="str">
        <f t="shared" si="27"/>
        <v/>
      </c>
      <c r="H47" s="141" t="str">
        <f t="shared" si="27"/>
        <v/>
      </c>
      <c r="I47" s="141" t="str">
        <f t="shared" si="27"/>
        <v/>
      </c>
      <c r="J47" s="141" t="str">
        <f t="shared" si="27"/>
        <v/>
      </c>
      <c r="K47" s="141" t="str">
        <f t="shared" si="27"/>
        <v/>
      </c>
      <c r="L47" s="141" t="str">
        <f t="shared" si="27"/>
        <v/>
      </c>
      <c r="M47" s="141" t="str">
        <f t="shared" si="27"/>
        <v/>
      </c>
      <c r="N47" s="141" t="str">
        <f t="shared" si="27"/>
        <v/>
      </c>
      <c r="O47" s="141" t="str">
        <f t="shared" si="27"/>
        <v/>
      </c>
      <c r="P47" s="141" t="str">
        <f t="shared" si="27"/>
        <v/>
      </c>
      <c r="Q47" s="141" t="str">
        <f t="shared" si="27"/>
        <v/>
      </c>
      <c r="R47" s="141" t="str">
        <f t="shared" si="27"/>
        <v/>
      </c>
      <c r="S47" s="141" t="str">
        <f t="shared" si="27"/>
        <v/>
      </c>
      <c r="T47" s="141" t="str">
        <f t="shared" si="27"/>
        <v/>
      </c>
      <c r="U47" s="141" t="str">
        <f t="shared" si="27"/>
        <v/>
      </c>
      <c r="V47" s="141" t="str">
        <f t="shared" si="27"/>
        <v/>
      </c>
      <c r="W47" s="141" t="str">
        <f t="shared" si="27"/>
        <v/>
      </c>
      <c r="X47" s="141" t="str">
        <f t="shared" si="27"/>
        <v/>
      </c>
      <c r="Y47" s="141" t="str">
        <f t="shared" si="27"/>
        <v/>
      </c>
      <c r="Z47" s="141" t="str">
        <f t="shared" si="27"/>
        <v/>
      </c>
      <c r="AA47" s="141" t="str">
        <f t="shared" si="27"/>
        <v/>
      </c>
      <c r="AB47" s="141" t="str">
        <f t="shared" si="27"/>
        <v/>
      </c>
      <c r="AC47" s="141" t="str">
        <f t="shared" si="27"/>
        <v/>
      </c>
      <c r="AD47" s="141" t="str">
        <f t="shared" si="27"/>
        <v/>
      </c>
      <c r="AE47" s="141" t="str">
        <f t="shared" si="27"/>
        <v/>
      </c>
      <c r="AF47" s="141" t="str">
        <f t="shared" si="27"/>
        <v/>
      </c>
      <c r="AG47" s="141" t="str">
        <f t="shared" si="27"/>
        <v/>
      </c>
      <c r="AH47" s="142" t="s">
        <v>12</v>
      </c>
      <c r="AI47" s="231">
        <f>(CA59-AH46)*AH33</f>
        <v>0</v>
      </c>
      <c r="AJ47" s="231"/>
      <c r="AK47" s="137" t="s">
        <v>51</v>
      </c>
      <c r="AL47" s="137"/>
      <c r="AN47" s="237" t="s">
        <v>52</v>
      </c>
      <c r="AO47" s="237"/>
      <c r="AP47" s="10"/>
      <c r="AQ47" s="50" t="s">
        <v>53</v>
      </c>
      <c r="AR47" s="46">
        <v>2</v>
      </c>
      <c r="AS47" s="51">
        <v>1</v>
      </c>
      <c r="AT47" s="52" t="str">
        <f>IF(AN53="lu","LUNES",IF(AN53="ma","MARTES",IF(AN53="mi","MIERCOLES",IF(AN53="ju","JUEVES",IF(AN53="vi","VIERNES",IF(AN53="sa","SABADO",IF(AN53="do","DOMINGO",IF(AO53="lu","LUNES",IF(AO53="ma","MARTES",IF(AO53="mi","MIERCOLES",IF(AO53="ju","JUEVES",IF(AO53="vi","VIERNES",IF(AO53="sa","SABADO",IF(AO53="do","DOMINGO",IF(AP53="lu","LUNES",IF(AP53="ma","MARTES",IF(AP53="mi","MIERCOLES",IF(AP53="ju","JUEVES",IF(AP53="vi","VIERNES",IF(AP53="sa","SABADO",IF(AP53="do","DOMINGO",IF(AQ53="lu","LUNES",IF(AQ53="ma","MARTES",IF(AQ53="mi","MIERCOLES",IF(AQ53="ju","JUEVES",IF(AQ53="vi","VIERNES",IF(AQ53="sa","SABADO",IF(AQ53="do","DOMINGO",IF(AR53="lu","LUNES",IF(AR53="ma","MARTES",IF(AR53="mi","MIERCOLES",IF(AR53="ju","JUEVES",IF(AR53="vi","VIERNES",IF(AR53="sa","SABADO",IF(AR53="do","DOMINGO","")))))))))))))))))))))))))))))))))))</f>
        <v/>
      </c>
      <c r="AU47" s="50" t="s">
        <v>54</v>
      </c>
      <c r="AV47" s="53" t="str">
        <f>IF(AT47="LUNES","LUNES",IF(AT47="MARTES","MARTES",IF(AT47="MIERCOLES","MIERCOLES",IF(AT47="JUEVES","JUEVES",IF(AT47="VIERNES","VIERNES",IF(AT47="SABADO","SABADO",IF(AT47="DOMINGO","DOMINGO",IF(AT48="LUNES","LUNES",IF(AT48="MARTES","MARTES",IF(AT48="MIERCOLES","MIERCOLES",IF(AT48="JUEVES","JUEVES",IF(AT48="VIERNES","VIERNES",IF(AT48="SABADO","SABADO",IF(AT48="DOMINGO","DOMINGO",""))))))))))))))</f>
        <v>SABADO</v>
      </c>
      <c r="AW47" s="51">
        <v>28</v>
      </c>
      <c r="AX47" s="46">
        <f>$AR$48+27</f>
        <v>45989</v>
      </c>
      <c r="AY47" s="51">
        <v>30</v>
      </c>
      <c r="AZ47" s="46">
        <f>$AR$48+29</f>
        <v>45991</v>
      </c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</row>
    <row r="48" spans="1:80" s="2" customFormat="1" ht="15.95" hidden="1" customHeight="1" x14ac:dyDescent="0.35">
      <c r="A48" s="143" t="s">
        <v>55</v>
      </c>
      <c r="B48" s="144" t="s">
        <v>30</v>
      </c>
      <c r="C48" s="141" t="str">
        <f t="shared" ref="C48:AG48" si="28">IF(C9=$R32,$V32*24,IF(C9=$R33,$V33*24,IF(C9=$R34,$V34*24,IF(C9=$R35,$V35*24,IF(C9=$R36,$V36*24,IF(C9=$R37,$V37*24,IF(C9=$R38,$V38*24,IF(C9=$R39,$V39*24,IF(C9=$R40,$V40*24,"")))))))))</f>
        <v/>
      </c>
      <c r="D48" s="141" t="str">
        <f t="shared" si="28"/>
        <v/>
      </c>
      <c r="E48" s="141" t="str">
        <f t="shared" si="28"/>
        <v/>
      </c>
      <c r="F48" s="141" t="str">
        <f t="shared" si="28"/>
        <v/>
      </c>
      <c r="G48" s="141" t="str">
        <f t="shared" si="28"/>
        <v/>
      </c>
      <c r="H48" s="141" t="str">
        <f t="shared" si="28"/>
        <v/>
      </c>
      <c r="I48" s="141" t="str">
        <f t="shared" si="28"/>
        <v/>
      </c>
      <c r="J48" s="141" t="str">
        <f t="shared" si="28"/>
        <v/>
      </c>
      <c r="K48" s="141" t="str">
        <f t="shared" si="28"/>
        <v/>
      </c>
      <c r="L48" s="141" t="str">
        <f t="shared" si="28"/>
        <v/>
      </c>
      <c r="M48" s="141" t="str">
        <f t="shared" si="28"/>
        <v/>
      </c>
      <c r="N48" s="141" t="str">
        <f t="shared" si="28"/>
        <v/>
      </c>
      <c r="O48" s="141" t="str">
        <f t="shared" si="28"/>
        <v/>
      </c>
      <c r="P48" s="141" t="str">
        <f t="shared" si="28"/>
        <v/>
      </c>
      <c r="Q48" s="141" t="str">
        <f t="shared" si="28"/>
        <v/>
      </c>
      <c r="R48" s="141" t="str">
        <f t="shared" si="28"/>
        <v/>
      </c>
      <c r="S48" s="141" t="str">
        <f t="shared" si="28"/>
        <v/>
      </c>
      <c r="T48" s="141" t="str">
        <f t="shared" si="28"/>
        <v/>
      </c>
      <c r="U48" s="141" t="str">
        <f t="shared" si="28"/>
        <v/>
      </c>
      <c r="V48" s="141" t="str">
        <f t="shared" si="28"/>
        <v/>
      </c>
      <c r="W48" s="141" t="str">
        <f t="shared" si="28"/>
        <v/>
      </c>
      <c r="X48" s="141" t="str">
        <f t="shared" si="28"/>
        <v/>
      </c>
      <c r="Y48" s="141" t="str">
        <f t="shared" si="28"/>
        <v/>
      </c>
      <c r="Z48" s="141" t="str">
        <f t="shared" si="28"/>
        <v/>
      </c>
      <c r="AA48" s="141" t="str">
        <f t="shared" si="28"/>
        <v/>
      </c>
      <c r="AB48" s="141" t="str">
        <f t="shared" si="28"/>
        <v/>
      </c>
      <c r="AC48" s="141" t="str">
        <f t="shared" si="28"/>
        <v/>
      </c>
      <c r="AD48" s="141" t="str">
        <f t="shared" si="28"/>
        <v/>
      </c>
      <c r="AE48" s="141" t="str">
        <f t="shared" si="28"/>
        <v/>
      </c>
      <c r="AF48" s="141" t="str">
        <f t="shared" si="28"/>
        <v/>
      </c>
      <c r="AG48" s="141" t="str">
        <f t="shared" si="28"/>
        <v/>
      </c>
      <c r="AH48" s="142" t="s">
        <v>12</v>
      </c>
      <c r="AI48" s="230">
        <f>SUM(AI46:AI47)</f>
        <v>5</v>
      </c>
      <c r="AJ48" s="230"/>
      <c r="AK48" s="137" t="s">
        <v>56</v>
      </c>
      <c r="AL48" s="137"/>
      <c r="AN48" s="10"/>
      <c r="AO48" s="10"/>
      <c r="AP48" s="10"/>
      <c r="AQ48" s="50" t="s">
        <v>57</v>
      </c>
      <c r="AR48" s="54">
        <f>DATE($C$34,$C$35,1)</f>
        <v>45962</v>
      </c>
      <c r="AS48" s="51">
        <v>2</v>
      </c>
      <c r="AT48" s="52" t="str">
        <f>IF(AS53="lu","LUNES",IF(AS53="ma","MARTES",IF(AS53="mi","MIERCOLES",IF(AS53="ju","JUEVES",IF(AS53="vi","VIERNES",IF(AS53="sa","SABADO",IF(AS53="do","DOMINGO",IF(AT53="lu","LUNES",IF(AT53="ma","MARTES",IF(AT53="mi","MIERCOLES",IF(AT53="ju","JUEVES",IF(AT53="vi","VIERNES",IF(AT53="sa","SABADO",IF(AT53="do","DOMINGO",""))))))))))))))</f>
        <v>SABADO</v>
      </c>
      <c r="AU48" s="10"/>
      <c r="AV48" s="51"/>
      <c r="AW48" s="51">
        <v>29</v>
      </c>
      <c r="AX48" s="46">
        <f>$AR$48+28</f>
        <v>45990</v>
      </c>
      <c r="AY48" s="51">
        <v>31</v>
      </c>
      <c r="AZ48" s="46">
        <f>$AR$48+30</f>
        <v>45992</v>
      </c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</row>
    <row r="49" spans="1:80" s="2" customFormat="1" ht="15.95" hidden="1" customHeight="1" x14ac:dyDescent="0.25">
      <c r="A49" s="145"/>
      <c r="B49" s="146" t="s">
        <v>34</v>
      </c>
      <c r="C49" s="147" t="str">
        <f t="shared" ref="C49:AD49" si="29">IF(C9=$R32,$BD32*24,IF(C9=$R33,$BD33*24,IF(C9=$R34,$BD34*24,IF(C9=$R35,$BD35*24,IF(C9=$R36,$BD36*24,IF(C9=$R37,$BD37*24,IF(C9=$R38,$BD38*24,IF(C9=$R39,$BD39*24,IF(C9=$R40,$BD40*24,"")))))))))</f>
        <v/>
      </c>
      <c r="D49" s="147" t="str">
        <f t="shared" si="29"/>
        <v/>
      </c>
      <c r="E49" s="147" t="str">
        <f t="shared" si="29"/>
        <v/>
      </c>
      <c r="F49" s="147" t="str">
        <f t="shared" si="29"/>
        <v/>
      </c>
      <c r="G49" s="147" t="str">
        <f t="shared" si="29"/>
        <v/>
      </c>
      <c r="H49" s="147" t="str">
        <f t="shared" si="29"/>
        <v/>
      </c>
      <c r="I49" s="147" t="str">
        <f t="shared" si="29"/>
        <v/>
      </c>
      <c r="J49" s="147" t="str">
        <f t="shared" si="29"/>
        <v/>
      </c>
      <c r="K49" s="147" t="str">
        <f t="shared" si="29"/>
        <v/>
      </c>
      <c r="L49" s="147" t="str">
        <f t="shared" si="29"/>
        <v/>
      </c>
      <c r="M49" s="147" t="str">
        <f t="shared" si="29"/>
        <v/>
      </c>
      <c r="N49" s="147" t="str">
        <f t="shared" si="29"/>
        <v/>
      </c>
      <c r="O49" s="147" t="str">
        <f t="shared" si="29"/>
        <v/>
      </c>
      <c r="P49" s="147" t="str">
        <f t="shared" si="29"/>
        <v/>
      </c>
      <c r="Q49" s="147" t="str">
        <f t="shared" si="29"/>
        <v/>
      </c>
      <c r="R49" s="147" t="str">
        <f t="shared" si="29"/>
        <v/>
      </c>
      <c r="S49" s="147" t="str">
        <f t="shared" si="29"/>
        <v/>
      </c>
      <c r="T49" s="147" t="str">
        <f t="shared" si="29"/>
        <v/>
      </c>
      <c r="U49" s="147" t="str">
        <f t="shared" si="29"/>
        <v/>
      </c>
      <c r="V49" s="147" t="str">
        <f t="shared" si="29"/>
        <v/>
      </c>
      <c r="W49" s="147" t="str">
        <f t="shared" si="29"/>
        <v/>
      </c>
      <c r="X49" s="147" t="str">
        <f t="shared" si="29"/>
        <v/>
      </c>
      <c r="Y49" s="147" t="str">
        <f t="shared" si="29"/>
        <v/>
      </c>
      <c r="Z49" s="147" t="str">
        <f t="shared" si="29"/>
        <v/>
      </c>
      <c r="AA49" s="147" t="str">
        <f t="shared" si="29"/>
        <v/>
      </c>
      <c r="AB49" s="147" t="str">
        <f t="shared" si="29"/>
        <v/>
      </c>
      <c r="AC49" s="147" t="str">
        <f t="shared" si="29"/>
        <v/>
      </c>
      <c r="AD49" s="147" t="str">
        <f t="shared" si="29"/>
        <v/>
      </c>
      <c r="AE49" s="147" t="str">
        <f>IF(AE9=$R32,$BD32*24,IF(AE9=$R33,$BD33*24,IF(AE9=$R34,$BD34*24,IF(AE9=$R35,$BD35*24,IF(AE9=$R36,$BD36*24,IF(AE9=$R37,$BD37*24,IF(AE9=$R38,$BD38*24,IF(AE9=$R39,$BD39*24,IF(AE9=$R40,$BD40*24,"")))))))))</f>
        <v/>
      </c>
      <c r="AF49" s="147" t="str">
        <f>IF(AF9=$R32,$BD32*24,IF(AF9=$R33,$BD33*24,IF(AF9=$R34,$BD34*24,IF(AF9=$R35,$BD35*24,IF(AF9=$R36,$BD36*24,IF(AF9=$R37,$BD37*24,IF(AF9=$R38,$BD38*24,IF(AF9=$R39,$BD39*24,IF(AF9=$R40,$BD40*24,"")))))))))</f>
        <v/>
      </c>
      <c r="AG49" s="147" t="str">
        <f>IF(AG9=$R32,$BD32*24,IF(AG9=$R33,$BD33*24,IF(AG9=$R34,$BD34*24,IF(AG9=$R35,$BD35*24,IF(AG9=$R36,$BD36*24,IF(AG9=$R37,$BD37*24,IF(AG9=$R38,$BD38*24,IF(AG9=$R39,$BD39*24,IF(AG9=$R40,$BD40*24,"")))))))))</f>
        <v/>
      </c>
      <c r="AH49" s="148">
        <f>SUM(C49:AG49)</f>
        <v>0</v>
      </c>
      <c r="AI49" s="231">
        <f>C37*AF36</f>
        <v>0</v>
      </c>
      <c r="AJ49" s="231"/>
      <c r="AK49" s="137" t="s">
        <v>58</v>
      </c>
      <c r="AL49" s="137"/>
      <c r="AN49" s="232">
        <f>Q4</f>
        <v>45962</v>
      </c>
      <c r="AO49" s="232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</row>
    <row r="50" spans="1:80" s="2" customFormat="1" ht="15.95" hidden="1" customHeight="1" x14ac:dyDescent="0.25">
      <c r="A50" s="145"/>
      <c r="B50" s="149" t="s">
        <v>59</v>
      </c>
      <c r="C50" s="141">
        <f t="shared" ref="C50:AG50" si="30">IF(C9="V",$C36,IF(C9="PR",$C38,0))</f>
        <v>0</v>
      </c>
      <c r="D50" s="141">
        <f t="shared" si="30"/>
        <v>0</v>
      </c>
      <c r="E50" s="141">
        <f t="shared" si="30"/>
        <v>0</v>
      </c>
      <c r="F50" s="141">
        <f t="shared" si="30"/>
        <v>0</v>
      </c>
      <c r="G50" s="141">
        <f t="shared" si="30"/>
        <v>0</v>
      </c>
      <c r="H50" s="141">
        <f t="shared" si="30"/>
        <v>0</v>
      </c>
      <c r="I50" s="141">
        <f t="shared" si="30"/>
        <v>0</v>
      </c>
      <c r="J50" s="141">
        <f t="shared" si="30"/>
        <v>0</v>
      </c>
      <c r="K50" s="141">
        <f t="shared" si="30"/>
        <v>0</v>
      </c>
      <c r="L50" s="141">
        <f t="shared" si="30"/>
        <v>0</v>
      </c>
      <c r="M50" s="141">
        <f t="shared" si="30"/>
        <v>0</v>
      </c>
      <c r="N50" s="141">
        <f t="shared" si="30"/>
        <v>0</v>
      </c>
      <c r="O50" s="141">
        <f t="shared" si="30"/>
        <v>0</v>
      </c>
      <c r="P50" s="141">
        <f t="shared" si="30"/>
        <v>0</v>
      </c>
      <c r="Q50" s="141">
        <f t="shared" si="30"/>
        <v>0</v>
      </c>
      <c r="R50" s="141">
        <f t="shared" si="30"/>
        <v>0</v>
      </c>
      <c r="S50" s="141">
        <f t="shared" si="30"/>
        <v>0</v>
      </c>
      <c r="T50" s="141">
        <f t="shared" si="30"/>
        <v>0</v>
      </c>
      <c r="U50" s="141">
        <f t="shared" si="30"/>
        <v>0</v>
      </c>
      <c r="V50" s="141">
        <f t="shared" si="30"/>
        <v>0</v>
      </c>
      <c r="W50" s="141">
        <f t="shared" si="30"/>
        <v>0</v>
      </c>
      <c r="X50" s="141">
        <f t="shared" si="30"/>
        <v>0</v>
      </c>
      <c r="Y50" s="141">
        <f t="shared" si="30"/>
        <v>0</v>
      </c>
      <c r="Z50" s="141">
        <f t="shared" si="30"/>
        <v>0</v>
      </c>
      <c r="AA50" s="141">
        <f t="shared" si="30"/>
        <v>0</v>
      </c>
      <c r="AB50" s="141">
        <f t="shared" si="30"/>
        <v>0</v>
      </c>
      <c r="AC50" s="141">
        <f t="shared" si="30"/>
        <v>0</v>
      </c>
      <c r="AD50" s="141">
        <f t="shared" si="30"/>
        <v>0</v>
      </c>
      <c r="AE50" s="141">
        <f t="shared" si="30"/>
        <v>0</v>
      </c>
      <c r="AF50" s="141">
        <f t="shared" si="30"/>
        <v>0</v>
      </c>
      <c r="AG50" s="141">
        <f t="shared" si="30"/>
        <v>0</v>
      </c>
      <c r="AH50" s="226">
        <f>SUM(C50:AG50)</f>
        <v>0</v>
      </c>
      <c r="AI50" s="226"/>
      <c r="AJ50" s="137" t="s">
        <v>12</v>
      </c>
      <c r="AK50" s="137"/>
      <c r="AL50" s="137"/>
      <c r="AN50" s="48" t="str">
        <f>INDEX({"do";"lu";"ma";"mi";"ju";"vi";"sa"},1+MOD($AR$47+1-2,7))</f>
        <v>lu</v>
      </c>
      <c r="AO50" s="48" t="str">
        <f>INDEX({"do";"lu";"ma";"mi";"ju";"vi";"sa"},1+MOD($AR$47+2-2,7))</f>
        <v>ma</v>
      </c>
      <c r="AP50" s="48" t="str">
        <f>INDEX({"do";"lu";"ma";"mi";"ju";"vi";"sa"},1+MOD($AR$47+3-2,7))</f>
        <v>mi</v>
      </c>
      <c r="AQ50" s="48" t="str">
        <f>INDEX({"do";"lu";"ma";"mi";"ju";"vi";"sa"},1+MOD($AR$47+4-2,7))</f>
        <v>ju</v>
      </c>
      <c r="AR50" s="48" t="str">
        <f>INDEX({"do";"lu";"ma";"mi";"ju";"vi";"sa"},1+MOD($AR$47+5-2,7))</f>
        <v>vi</v>
      </c>
      <c r="AS50" s="48" t="str">
        <f>INDEX({"do";"lu";"ma";"mi";"ju";"vi";"sa"},1+MOD($AR$47+6-2,7))</f>
        <v>sa</v>
      </c>
      <c r="AT50" s="48" t="str">
        <f>INDEX({"do";"lu";"ma";"mi";"ju";"vi";"sa"},1+MOD($AR$47+7-2,7))</f>
        <v>do</v>
      </c>
      <c r="AU50" s="48" t="str">
        <f>INDEX({"do";"lu";"ma";"mi";"ju";"vi";"sa"},1+MOD($AR$47+1-2,7))</f>
        <v>lu</v>
      </c>
      <c r="AV50" s="48" t="str">
        <f>INDEX({"do";"lu";"ma";"mi";"ju";"vi";"sa"},1+MOD($AR$47+2-2,7))</f>
        <v>ma</v>
      </c>
      <c r="AW50" s="48" t="str">
        <f>INDEX({"do";"lu";"ma";"mi";"ju";"vi";"sa"},1+MOD($AR$47+3-2,7))</f>
        <v>mi</v>
      </c>
      <c r="AX50" s="48" t="str">
        <f>INDEX({"do";"lu";"ma";"mi";"ju";"vi";"sa"},1+MOD($AR$47+4-2,7))</f>
        <v>ju</v>
      </c>
      <c r="AY50" s="48" t="str">
        <f>INDEX({"do";"lu";"ma";"mi";"ju";"vi";"sa"},1+MOD($AR$47+5-2,7))</f>
        <v>vi</v>
      </c>
      <c r="AZ50" s="48" t="str">
        <f>INDEX({"do";"lu";"ma";"mi";"ju";"vi";"sa"},1+MOD($AR$47+6-2,7))</f>
        <v>sa</v>
      </c>
      <c r="BA50" s="48" t="str">
        <f>INDEX({"do";"lu";"ma";"mi";"ju";"vi";"sa"},1+MOD($AR$47+7-2,7))</f>
        <v>do</v>
      </c>
      <c r="BB50" s="48" t="str">
        <f>INDEX({"do";"lu";"ma";"mi";"ju";"vi";"sa"},1+MOD($AR$47+1-2,7))</f>
        <v>lu</v>
      </c>
      <c r="BC50" s="48" t="str">
        <f>INDEX({"do";"lu";"ma";"mi";"ju";"vi";"sa"},1+MOD($AR$47+2-2,7))</f>
        <v>ma</v>
      </c>
      <c r="BD50" s="48" t="str">
        <f>INDEX({"do";"lu";"ma";"mi";"ju";"vi";"sa"},1+MOD($AR$47+3-2,7))</f>
        <v>mi</v>
      </c>
      <c r="BE50" s="10"/>
      <c r="BF50" s="48" t="str">
        <f>INDEX({"do";"lu";"ma";"mi";"ju";"vi";"sa"},1+MOD($AR$47+5-2,7))</f>
        <v>vi</v>
      </c>
      <c r="BG50" s="48" t="str">
        <f>INDEX({"do";"lu";"ma";"mi";"ju";"vi";"sa"},1+MOD($AR$47+6-2,7))</f>
        <v>sa</v>
      </c>
      <c r="BH50" s="48" t="str">
        <f>INDEX({"do";"lu";"ma";"mi";"ju";"vi";"sa"},1+MOD($AR$47+7-2,7))</f>
        <v>do</v>
      </c>
      <c r="BI50" s="48" t="str">
        <f>INDEX({"do";"lu";"ma";"mi";"ju";"vi";"sa"},1+MOD($AR$47+1-2,7))</f>
        <v>lu</v>
      </c>
      <c r="BJ50" s="48" t="str">
        <f>INDEX({"do";"lu";"ma";"mi";"ju";"vi";"sa"},1+MOD($AR$47+2-2,7))</f>
        <v>ma</v>
      </c>
      <c r="BK50" s="48" t="str">
        <f>INDEX({"do";"lu";"ma";"mi";"ju";"vi";"sa"},1+MOD($AR$47+3-2,7))</f>
        <v>mi</v>
      </c>
      <c r="BL50" s="48" t="str">
        <f>INDEX({"do";"lu";"ma";"mi";"ju";"vi";"sa"},1+MOD($AR$47+4-2,7))</f>
        <v>ju</v>
      </c>
      <c r="BM50" s="48" t="str">
        <f>INDEX({"do";"lu";"ma";"mi";"ju";"vi";"sa"},1+MOD($AR$47+5-2,7))</f>
        <v>vi</v>
      </c>
      <c r="BN50" s="48" t="str">
        <f>INDEX({"do";"lu";"ma";"mi";"ju";"vi";"sa"},1+MOD($AR$47+6-2,7))</f>
        <v>sa</v>
      </c>
      <c r="BO50" s="48" t="str">
        <f>INDEX({"do";"lu";"ma";"mi";"ju";"vi";"sa"},1+MOD($AR$47+7-2,7))</f>
        <v>do</v>
      </c>
      <c r="BP50" s="48" t="str">
        <f>INDEX({"do";"lu";"ma";"mi";"ju";"vi";"sa"},1+MOD($AR$47+1-2,7))</f>
        <v>lu</v>
      </c>
      <c r="BQ50" s="48" t="str">
        <f>INDEX({"do";"lu";"ma";"mi";"ju";"vi";"sa"},1+MOD($AR$47+2-2,7))</f>
        <v>ma</v>
      </c>
      <c r="BR50" s="48" t="str">
        <f>INDEX({"do";"lu";"ma";"mi";"ju";"vi";"sa"},1+MOD($AR$47+3-2,7))</f>
        <v>mi</v>
      </c>
      <c r="BS50" s="48" t="str">
        <f>INDEX({"do";"lu";"ma";"mi";"ju";"vi";"sa"},1+MOD($AR$47+4-2,7))</f>
        <v>ju</v>
      </c>
      <c r="BT50" s="48" t="str">
        <f>INDEX({"do";"lu";"ma";"mi";"ju";"vi";"sa"},1+MOD($AR$47+5-2,7))</f>
        <v>vi</v>
      </c>
      <c r="BU50" s="48" t="str">
        <f>INDEX({"do";"lu";"ma";"mi";"ju";"vi";"sa"},1+MOD($AR$47+6-2,7))</f>
        <v>sa</v>
      </c>
      <c r="BV50" s="48" t="str">
        <f>INDEX({"do";"lu";"ma";"mi";"ju";"vi";"sa"},1+MOD($AR$47+7-2,7))</f>
        <v>do</v>
      </c>
      <c r="BW50" s="48" t="str">
        <f>INDEX({"do";"lu";"ma";"mi";"ju";"vi";"sa"},1+MOD($AR$47+1-2,7))</f>
        <v>lu</v>
      </c>
      <c r="BX50" s="48" t="str">
        <f>INDEX({"do";"lu";"ma";"mi";"ju";"vi";"sa"},1+MOD($AR$47+2-2,7))</f>
        <v>ma</v>
      </c>
      <c r="BY50" s="10"/>
      <c r="BZ50" s="10"/>
      <c r="CA50" s="10"/>
      <c r="CB50" s="10"/>
    </row>
    <row r="51" spans="1:80" s="2" customFormat="1" ht="15.95" hidden="1" customHeight="1" x14ac:dyDescent="0.25">
      <c r="A51" s="150" t="s">
        <v>60</v>
      </c>
      <c r="B51" s="144" t="s">
        <v>61</v>
      </c>
      <c r="C51" s="151">
        <f t="shared" ref="C51:AD51" si="31">IF(C9=$R32,$BC32,IF(C9=$R33,$BC33,IF(C9=$R34,$BC34,IF(C9=$R35,$BC35,IF(C9=$R36,$BC36,IF(C9=$R37,$BC37,IF(C9=$R38,$BC38,IF(C9=$R39,$BC39,IF(C9=$R40,$BC40,0)))))))))</f>
        <v>0</v>
      </c>
      <c r="D51" s="151">
        <f t="shared" si="31"/>
        <v>0</v>
      </c>
      <c r="E51" s="151">
        <f t="shared" si="31"/>
        <v>0</v>
      </c>
      <c r="F51" s="151">
        <f t="shared" si="31"/>
        <v>0</v>
      </c>
      <c r="G51" s="151">
        <f t="shared" si="31"/>
        <v>0</v>
      </c>
      <c r="H51" s="151">
        <f t="shared" si="31"/>
        <v>0</v>
      </c>
      <c r="I51" s="151">
        <f t="shared" si="31"/>
        <v>0</v>
      </c>
      <c r="J51" s="151">
        <f t="shared" si="31"/>
        <v>0</v>
      </c>
      <c r="K51" s="151">
        <f t="shared" si="31"/>
        <v>0</v>
      </c>
      <c r="L51" s="151">
        <f t="shared" si="31"/>
        <v>0</v>
      </c>
      <c r="M51" s="151">
        <f t="shared" si="31"/>
        <v>0</v>
      </c>
      <c r="N51" s="151">
        <f t="shared" si="31"/>
        <v>0</v>
      </c>
      <c r="O51" s="151">
        <f t="shared" si="31"/>
        <v>0</v>
      </c>
      <c r="P51" s="151">
        <f t="shared" si="31"/>
        <v>0</v>
      </c>
      <c r="Q51" s="151">
        <f t="shared" si="31"/>
        <v>0</v>
      </c>
      <c r="R51" s="151">
        <f t="shared" si="31"/>
        <v>0</v>
      </c>
      <c r="S51" s="151">
        <f t="shared" si="31"/>
        <v>0</v>
      </c>
      <c r="T51" s="151">
        <f t="shared" si="31"/>
        <v>0</v>
      </c>
      <c r="U51" s="151">
        <f t="shared" si="31"/>
        <v>0</v>
      </c>
      <c r="V51" s="151">
        <f t="shared" si="31"/>
        <v>0</v>
      </c>
      <c r="W51" s="151">
        <f t="shared" si="31"/>
        <v>0</v>
      </c>
      <c r="X51" s="151">
        <f t="shared" si="31"/>
        <v>0</v>
      </c>
      <c r="Y51" s="151">
        <f t="shared" si="31"/>
        <v>0</v>
      </c>
      <c r="Z51" s="151">
        <f t="shared" si="31"/>
        <v>0</v>
      </c>
      <c r="AA51" s="151">
        <f t="shared" si="31"/>
        <v>0</v>
      </c>
      <c r="AB51" s="151">
        <f t="shared" si="31"/>
        <v>0</v>
      </c>
      <c r="AC51" s="151">
        <f t="shared" si="31"/>
        <v>0</v>
      </c>
      <c r="AD51" s="151">
        <f t="shared" si="31"/>
        <v>0</v>
      </c>
      <c r="AE51" s="151">
        <f>IF(AE9=$R32,$BC32,IF(AE9=$R33,$BC33,IF(AE9=$R34,$BC34,IF(AE9=$R35,$BC35,IF(AE9=$R36,$BC36,IF(AE9=$R37,$BC37,IF(AE9=$R38,$BC38,IF(AE9=$R39,$BC39,IF(AE9=$R40,$BC40,0)))))))))</f>
        <v>0</v>
      </c>
      <c r="AF51" s="151">
        <f>IF(AF9=$R32,$BC32,IF(AF9=$R33,$BC33,IF(AF9=$R34,$BC34,IF(AF9=$R35,$BC35,IF(AF9=$R36,$BC36,IF(AF9=$R37,$BC37,IF(AF9=$R38,$BC38,IF(AF9=$R39,$BC39,IF(AF9=$R40,$BC40,0)))))))))</f>
        <v>0</v>
      </c>
      <c r="AG51" s="151">
        <f>IF(AG9=$R32,$BC32,IF(AG9=$R33,$BC33,IF(AG9=$R34,$BC34,IF(AG9=$R35,$BC35,IF(AG9=$R36,$BC36,IF(AG9=$R37,$BC37,IF(AG9=$R38,$BC38,IF(AG9=$R39,$BC39,IF(AG9=$R40,$BC40,0)))))))))</f>
        <v>0</v>
      </c>
      <c r="AH51" s="226">
        <f>SUM(C51:AG51)</f>
        <v>0</v>
      </c>
      <c r="AI51" s="226"/>
      <c r="AJ51" s="152" t="s">
        <v>62</v>
      </c>
      <c r="AK51" s="137" t="s">
        <v>12</v>
      </c>
      <c r="AL51" s="137"/>
      <c r="AN51" s="49" t="str">
        <f t="shared" ref="AN51:BD51" si="32">IF(MONTH($Q$4)&lt;&gt;MONTH($Q$4-(WEEKDAY($Q$4,1)-($AR$47-1))-IF((WEEKDAY($Q$4,1)-($AR$47-1))&lt;=0,7,0)+(ROW(AN51)-ROW($AN$51))*7+(COLUMN(AN51)-COLUMN($AN$51)+1)),"",$Q$4-(WEEKDAY($Q$4,1)-($AR$47-1))-IF((WEEKDAY($Q$4,1)-($AR$47-1))&lt;=0,7,0)+(ROW(AN51)-ROW($AN$51))*7+(COLUMN(AN51)-COLUMN($AN$51)+1))</f>
        <v/>
      </c>
      <c r="AO51" s="49" t="str">
        <f t="shared" si="32"/>
        <v/>
      </c>
      <c r="AP51" s="49" t="str">
        <f t="shared" si="32"/>
        <v/>
      </c>
      <c r="AQ51" s="49" t="str">
        <f t="shared" si="32"/>
        <v/>
      </c>
      <c r="AR51" s="49" t="str">
        <f t="shared" si="32"/>
        <v/>
      </c>
      <c r="AS51" s="49">
        <f t="shared" si="32"/>
        <v>45962</v>
      </c>
      <c r="AT51" s="49">
        <f t="shared" si="32"/>
        <v>45963</v>
      </c>
      <c r="AU51" s="49">
        <f t="shared" si="32"/>
        <v>45964</v>
      </c>
      <c r="AV51" s="49">
        <f t="shared" si="32"/>
        <v>45965</v>
      </c>
      <c r="AW51" s="49">
        <f t="shared" si="32"/>
        <v>45966</v>
      </c>
      <c r="AX51" s="49">
        <f t="shared" si="32"/>
        <v>45967</v>
      </c>
      <c r="AY51" s="49">
        <f t="shared" si="32"/>
        <v>45968</v>
      </c>
      <c r="AZ51" s="49">
        <f t="shared" si="32"/>
        <v>45969</v>
      </c>
      <c r="BA51" s="49">
        <f t="shared" si="32"/>
        <v>45970</v>
      </c>
      <c r="BB51" s="49">
        <f t="shared" si="32"/>
        <v>45971</v>
      </c>
      <c r="BC51" s="49">
        <f t="shared" si="32"/>
        <v>45972</v>
      </c>
      <c r="BD51" s="49">
        <f t="shared" si="32"/>
        <v>45973</v>
      </c>
      <c r="BE51" s="31"/>
      <c r="BF51" s="49">
        <f t="shared" ref="BF51:BX51" si="33">IF(MONTH($Q$4)&lt;&gt;MONTH($Q$4-(WEEKDAY($Q$4,1)-($AR$47-1))-IF((WEEKDAY($Q$4,1)-($AR$47-1))&lt;=0,7,0)+(ROW(BF51)-ROW($AN$51))*7+(COLUMN(BF51)-COLUMN($AN$51)+1)),"",$Q$4-(WEEKDAY($Q$4,1)-($AR$47-1))-IF((WEEKDAY($Q$4,1)-($AR$47-1))&lt;=0,7,0)+(ROW(BF51)-ROW($AN$51))*7+(COLUMN(BF51)-COLUMN($AN$51)+1))</f>
        <v>45975</v>
      </c>
      <c r="BG51" s="49">
        <f t="shared" si="33"/>
        <v>45976</v>
      </c>
      <c r="BH51" s="49">
        <f t="shared" si="33"/>
        <v>45977</v>
      </c>
      <c r="BI51" s="49">
        <f t="shared" si="33"/>
        <v>45978</v>
      </c>
      <c r="BJ51" s="49">
        <f t="shared" si="33"/>
        <v>45979</v>
      </c>
      <c r="BK51" s="49">
        <f t="shared" si="33"/>
        <v>45980</v>
      </c>
      <c r="BL51" s="49">
        <f t="shared" si="33"/>
        <v>45981</v>
      </c>
      <c r="BM51" s="49">
        <f t="shared" si="33"/>
        <v>45982</v>
      </c>
      <c r="BN51" s="49">
        <f t="shared" si="33"/>
        <v>45983</v>
      </c>
      <c r="BO51" s="49">
        <f t="shared" si="33"/>
        <v>45984</v>
      </c>
      <c r="BP51" s="49">
        <f t="shared" si="33"/>
        <v>45985</v>
      </c>
      <c r="BQ51" s="49">
        <f t="shared" si="33"/>
        <v>45986</v>
      </c>
      <c r="BR51" s="49">
        <f t="shared" si="33"/>
        <v>45987</v>
      </c>
      <c r="BS51" s="49">
        <f t="shared" si="33"/>
        <v>45988</v>
      </c>
      <c r="BT51" s="49">
        <f t="shared" si="33"/>
        <v>45989</v>
      </c>
      <c r="BU51" s="49">
        <f t="shared" si="33"/>
        <v>45990</v>
      </c>
      <c r="BV51" s="49">
        <f t="shared" si="33"/>
        <v>45991</v>
      </c>
      <c r="BW51" s="49" t="str">
        <f t="shared" si="33"/>
        <v/>
      </c>
      <c r="BX51" s="49" t="str">
        <f t="shared" si="33"/>
        <v/>
      </c>
      <c r="BY51" s="10"/>
      <c r="BZ51" s="10"/>
      <c r="CA51" s="10"/>
      <c r="CB51" s="10"/>
    </row>
    <row r="52" spans="1:80" s="2" customFormat="1" ht="15.95" hidden="1" customHeight="1" x14ac:dyDescent="0.25">
      <c r="A52" s="153" t="s">
        <v>48</v>
      </c>
      <c r="B52" s="149" t="s">
        <v>63</v>
      </c>
      <c r="C52" s="141">
        <f t="shared" ref="C52:AG52" si="34">IF(C46=1,IF(C47&lt;C48,C51,0))</f>
        <v>0</v>
      </c>
      <c r="D52" s="141">
        <f t="shared" si="34"/>
        <v>0</v>
      </c>
      <c r="E52" s="141" t="b">
        <f t="shared" si="34"/>
        <v>0</v>
      </c>
      <c r="F52" s="141" t="b">
        <f t="shared" si="34"/>
        <v>0</v>
      </c>
      <c r="G52" s="141" t="b">
        <f t="shared" si="34"/>
        <v>0</v>
      </c>
      <c r="H52" s="141" t="b">
        <f t="shared" si="34"/>
        <v>0</v>
      </c>
      <c r="I52" s="141" t="b">
        <f t="shared" si="34"/>
        <v>0</v>
      </c>
      <c r="J52" s="141">
        <f t="shared" si="34"/>
        <v>0</v>
      </c>
      <c r="K52" s="141">
        <f t="shared" si="34"/>
        <v>0</v>
      </c>
      <c r="L52" s="141" t="b">
        <f t="shared" si="34"/>
        <v>0</v>
      </c>
      <c r="M52" s="141" t="b">
        <f t="shared" si="34"/>
        <v>0</v>
      </c>
      <c r="N52" s="141" t="b">
        <f t="shared" si="34"/>
        <v>0</v>
      </c>
      <c r="O52" s="141" t="b">
        <f t="shared" si="34"/>
        <v>0</v>
      </c>
      <c r="P52" s="141" t="b">
        <f t="shared" si="34"/>
        <v>0</v>
      </c>
      <c r="Q52" s="141">
        <f t="shared" si="34"/>
        <v>0</v>
      </c>
      <c r="R52" s="141">
        <f t="shared" si="34"/>
        <v>0</v>
      </c>
      <c r="S52" s="141" t="b">
        <f t="shared" si="34"/>
        <v>0</v>
      </c>
      <c r="T52" s="141" t="b">
        <f t="shared" si="34"/>
        <v>0</v>
      </c>
      <c r="U52" s="141" t="b">
        <f t="shared" si="34"/>
        <v>0</v>
      </c>
      <c r="V52" s="141" t="b">
        <f t="shared" si="34"/>
        <v>0</v>
      </c>
      <c r="W52" s="141" t="b">
        <f t="shared" si="34"/>
        <v>0</v>
      </c>
      <c r="X52" s="141">
        <f t="shared" si="34"/>
        <v>0</v>
      </c>
      <c r="Y52" s="141">
        <f t="shared" si="34"/>
        <v>0</v>
      </c>
      <c r="Z52" s="141" t="b">
        <f t="shared" si="34"/>
        <v>0</v>
      </c>
      <c r="AA52" s="141" t="b">
        <f t="shared" si="34"/>
        <v>0</v>
      </c>
      <c r="AB52" s="141" t="b">
        <f t="shared" si="34"/>
        <v>0</v>
      </c>
      <c r="AC52" s="141" t="b">
        <f t="shared" si="34"/>
        <v>0</v>
      </c>
      <c r="AD52" s="141" t="b">
        <f t="shared" si="34"/>
        <v>0</v>
      </c>
      <c r="AE52" s="141">
        <f t="shared" si="34"/>
        <v>0</v>
      </c>
      <c r="AF52" s="141">
        <f t="shared" si="34"/>
        <v>0</v>
      </c>
      <c r="AG52" s="141" t="b">
        <f t="shared" si="34"/>
        <v>0</v>
      </c>
      <c r="AH52" s="154" t="s">
        <v>12</v>
      </c>
      <c r="AI52" s="133"/>
      <c r="AJ52" s="155"/>
      <c r="AK52" s="156"/>
      <c r="AL52" s="137"/>
      <c r="AN52" s="55" t="str">
        <f t="shared" ref="AN52:AT52" si="35">IF(AN51=$AR$48,IF(AN51="",0,1),"")</f>
        <v/>
      </c>
      <c r="AO52" s="55" t="str">
        <f t="shared" si="35"/>
        <v/>
      </c>
      <c r="AP52" s="55" t="str">
        <f t="shared" si="35"/>
        <v/>
      </c>
      <c r="AQ52" s="55" t="str">
        <f t="shared" si="35"/>
        <v/>
      </c>
      <c r="AR52" s="55" t="str">
        <f t="shared" si="35"/>
        <v/>
      </c>
      <c r="AS52" s="55">
        <f t="shared" si="35"/>
        <v>1</v>
      </c>
      <c r="AT52" s="55" t="str">
        <f t="shared" si="35"/>
        <v/>
      </c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56"/>
      <c r="BF52" s="10"/>
      <c r="BG52" s="10"/>
      <c r="BH52" s="10"/>
      <c r="BI52" s="10"/>
      <c r="BJ52" s="10"/>
      <c r="BK52" s="10"/>
      <c r="BL52" s="10"/>
      <c r="BM52" s="10"/>
      <c r="BN52" s="10"/>
      <c r="BO52" s="96">
        <f t="shared" ref="BO52:BX52" si="36">BO51</f>
        <v>45984</v>
      </c>
      <c r="BP52" s="96">
        <f t="shared" si="36"/>
        <v>45985</v>
      </c>
      <c r="BQ52" s="96">
        <f t="shared" si="36"/>
        <v>45986</v>
      </c>
      <c r="BR52" s="96">
        <f t="shared" si="36"/>
        <v>45987</v>
      </c>
      <c r="BS52" s="96">
        <f t="shared" si="36"/>
        <v>45988</v>
      </c>
      <c r="BT52" s="96">
        <f t="shared" si="36"/>
        <v>45989</v>
      </c>
      <c r="BU52" s="96">
        <f t="shared" si="36"/>
        <v>45990</v>
      </c>
      <c r="BV52" s="96">
        <f t="shared" si="36"/>
        <v>45991</v>
      </c>
      <c r="BW52" s="96" t="str">
        <f t="shared" si="36"/>
        <v/>
      </c>
      <c r="BX52" s="96" t="str">
        <f t="shared" si="36"/>
        <v/>
      </c>
      <c r="BY52" s="10"/>
      <c r="BZ52" s="10"/>
      <c r="CA52" s="10"/>
      <c r="CB52" s="10"/>
    </row>
    <row r="53" spans="1:80" s="2" customFormat="1" ht="15.95" hidden="1" customHeight="1" x14ac:dyDescent="0.25">
      <c r="A53" s="153"/>
      <c r="B53" s="149" t="s">
        <v>64</v>
      </c>
      <c r="C53" s="141">
        <f t="shared" ref="C53:AG53" si="37">IF(C46=1,IF(C47&gt;C48,24-C47,0),0)</f>
        <v>0</v>
      </c>
      <c r="D53" s="141">
        <f t="shared" si="37"/>
        <v>0</v>
      </c>
      <c r="E53" s="141">
        <f t="shared" si="37"/>
        <v>0</v>
      </c>
      <c r="F53" s="141">
        <f t="shared" si="37"/>
        <v>0</v>
      </c>
      <c r="G53" s="141">
        <f t="shared" si="37"/>
        <v>0</v>
      </c>
      <c r="H53" s="141">
        <f t="shared" si="37"/>
        <v>0</v>
      </c>
      <c r="I53" s="141">
        <f t="shared" si="37"/>
        <v>0</v>
      </c>
      <c r="J53" s="141">
        <f t="shared" si="37"/>
        <v>0</v>
      </c>
      <c r="K53" s="141">
        <f t="shared" si="37"/>
        <v>0</v>
      </c>
      <c r="L53" s="141">
        <f t="shared" si="37"/>
        <v>0</v>
      </c>
      <c r="M53" s="141">
        <f t="shared" si="37"/>
        <v>0</v>
      </c>
      <c r="N53" s="141">
        <f t="shared" si="37"/>
        <v>0</v>
      </c>
      <c r="O53" s="141">
        <f t="shared" si="37"/>
        <v>0</v>
      </c>
      <c r="P53" s="141">
        <f t="shared" si="37"/>
        <v>0</v>
      </c>
      <c r="Q53" s="141">
        <f t="shared" si="37"/>
        <v>0</v>
      </c>
      <c r="R53" s="141">
        <f t="shared" si="37"/>
        <v>0</v>
      </c>
      <c r="S53" s="141">
        <f t="shared" si="37"/>
        <v>0</v>
      </c>
      <c r="T53" s="141">
        <f t="shared" si="37"/>
        <v>0</v>
      </c>
      <c r="U53" s="141">
        <f t="shared" si="37"/>
        <v>0</v>
      </c>
      <c r="V53" s="141">
        <f t="shared" si="37"/>
        <v>0</v>
      </c>
      <c r="W53" s="141">
        <f t="shared" si="37"/>
        <v>0</v>
      </c>
      <c r="X53" s="141">
        <f t="shared" si="37"/>
        <v>0</v>
      </c>
      <c r="Y53" s="141">
        <f t="shared" si="37"/>
        <v>0</v>
      </c>
      <c r="Z53" s="141">
        <f t="shared" si="37"/>
        <v>0</v>
      </c>
      <c r="AA53" s="141">
        <f t="shared" si="37"/>
        <v>0</v>
      </c>
      <c r="AB53" s="141">
        <f t="shared" si="37"/>
        <v>0</v>
      </c>
      <c r="AC53" s="141">
        <f t="shared" si="37"/>
        <v>0</v>
      </c>
      <c r="AD53" s="141">
        <f t="shared" si="37"/>
        <v>0</v>
      </c>
      <c r="AE53" s="141">
        <f t="shared" si="37"/>
        <v>0</v>
      </c>
      <c r="AF53" s="141">
        <f t="shared" si="37"/>
        <v>0</v>
      </c>
      <c r="AG53" s="141">
        <f t="shared" si="37"/>
        <v>0</v>
      </c>
      <c r="AH53" s="154" t="s">
        <v>12</v>
      </c>
      <c r="AI53" s="133"/>
      <c r="AJ53" s="155"/>
      <c r="AK53" s="137"/>
      <c r="AL53" s="137"/>
      <c r="AN53" s="57" t="str">
        <f t="shared" ref="AN53:AT53" si="38">IF(AN52=1,IF(AN52="",0,AN50),"")</f>
        <v/>
      </c>
      <c r="AO53" s="57" t="str">
        <f t="shared" si="38"/>
        <v/>
      </c>
      <c r="AP53" s="57" t="str">
        <f t="shared" si="38"/>
        <v/>
      </c>
      <c r="AQ53" s="57" t="str">
        <f t="shared" si="38"/>
        <v/>
      </c>
      <c r="AR53" s="57" t="str">
        <f t="shared" si="38"/>
        <v/>
      </c>
      <c r="AS53" s="57" t="str">
        <f t="shared" si="38"/>
        <v>sa</v>
      </c>
      <c r="AT53" s="57" t="str">
        <f t="shared" si="38"/>
        <v/>
      </c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56"/>
      <c r="BF53" s="10"/>
      <c r="BG53" s="10"/>
      <c r="BH53" s="10"/>
      <c r="BI53" s="10"/>
      <c r="BJ53" s="10"/>
      <c r="BK53" s="10"/>
      <c r="BL53" s="10"/>
      <c r="BM53" s="10"/>
      <c r="BN53" s="10"/>
      <c r="BO53" s="58" t="str">
        <f t="shared" ref="BO53:BX53" si="39">IF(BO52=$AR$48+30,IF(BO52="",0,1),IF(BO52=$AR$48+29,IF(BO52="",0,1),IF(BO52=$AR$48+28,IF(BO52="",0,1),IF(BO52=$AR$48+27,IF(BO52="",0,1),""))))</f>
        <v/>
      </c>
      <c r="BP53" s="58" t="str">
        <f t="shared" si="39"/>
        <v/>
      </c>
      <c r="BQ53" s="58" t="str">
        <f t="shared" si="39"/>
        <v/>
      </c>
      <c r="BR53" s="58" t="str">
        <f t="shared" si="39"/>
        <v/>
      </c>
      <c r="BS53" s="58" t="str">
        <f t="shared" si="39"/>
        <v/>
      </c>
      <c r="BT53" s="58">
        <f t="shared" si="39"/>
        <v>1</v>
      </c>
      <c r="BU53" s="58">
        <f t="shared" si="39"/>
        <v>1</v>
      </c>
      <c r="BV53" s="58">
        <f t="shared" si="39"/>
        <v>1</v>
      </c>
      <c r="BW53" s="58" t="str">
        <f t="shared" si="39"/>
        <v/>
      </c>
      <c r="BX53" s="58" t="str">
        <f t="shared" si="39"/>
        <v/>
      </c>
      <c r="BY53" s="10"/>
      <c r="BZ53" s="10"/>
      <c r="CA53" s="10"/>
      <c r="CB53" s="10"/>
    </row>
    <row r="54" spans="1:80" s="2" customFormat="1" ht="15.95" hidden="1" customHeight="1" x14ac:dyDescent="0.25">
      <c r="A54" s="157"/>
      <c r="B54" s="149" t="s">
        <v>65</v>
      </c>
      <c r="C54" s="141">
        <f t="shared" ref="C54:AG54" si="40">IF(D46=1,IF(C47&gt;C48,C48,0),0)</f>
        <v>0</v>
      </c>
      <c r="D54" s="141">
        <f t="shared" si="40"/>
        <v>0</v>
      </c>
      <c r="E54" s="141">
        <f t="shared" si="40"/>
        <v>0</v>
      </c>
      <c r="F54" s="141">
        <f t="shared" si="40"/>
        <v>0</v>
      </c>
      <c r="G54" s="141">
        <f t="shared" si="40"/>
        <v>0</v>
      </c>
      <c r="H54" s="141">
        <f t="shared" si="40"/>
        <v>0</v>
      </c>
      <c r="I54" s="141">
        <f t="shared" si="40"/>
        <v>0</v>
      </c>
      <c r="J54" s="141">
        <f t="shared" si="40"/>
        <v>0</v>
      </c>
      <c r="K54" s="141">
        <f t="shared" si="40"/>
        <v>0</v>
      </c>
      <c r="L54" s="141">
        <f t="shared" si="40"/>
        <v>0</v>
      </c>
      <c r="M54" s="141">
        <f t="shared" si="40"/>
        <v>0</v>
      </c>
      <c r="N54" s="141">
        <f t="shared" si="40"/>
        <v>0</v>
      </c>
      <c r="O54" s="141">
        <f t="shared" si="40"/>
        <v>0</v>
      </c>
      <c r="P54" s="141">
        <f t="shared" si="40"/>
        <v>0</v>
      </c>
      <c r="Q54" s="141">
        <f t="shared" si="40"/>
        <v>0</v>
      </c>
      <c r="R54" s="141">
        <f t="shared" si="40"/>
        <v>0</v>
      </c>
      <c r="S54" s="141">
        <f t="shared" si="40"/>
        <v>0</v>
      </c>
      <c r="T54" s="141">
        <f t="shared" si="40"/>
        <v>0</v>
      </c>
      <c r="U54" s="141">
        <f t="shared" si="40"/>
        <v>0</v>
      </c>
      <c r="V54" s="141">
        <f t="shared" si="40"/>
        <v>0</v>
      </c>
      <c r="W54" s="141">
        <f t="shared" si="40"/>
        <v>0</v>
      </c>
      <c r="X54" s="141">
        <f>IF(Y46=1,IF(X47&gt;X48,X48,0),0)</f>
        <v>0</v>
      </c>
      <c r="Y54" s="141">
        <f t="shared" si="40"/>
        <v>0</v>
      </c>
      <c r="Z54" s="141">
        <f t="shared" si="40"/>
        <v>0</v>
      </c>
      <c r="AA54" s="141">
        <f t="shared" si="40"/>
        <v>0</v>
      </c>
      <c r="AB54" s="141">
        <f t="shared" si="40"/>
        <v>0</v>
      </c>
      <c r="AC54" s="141">
        <f t="shared" si="40"/>
        <v>0</v>
      </c>
      <c r="AD54" s="141">
        <f t="shared" si="40"/>
        <v>0</v>
      </c>
      <c r="AE54" s="141">
        <f t="shared" si="40"/>
        <v>0</v>
      </c>
      <c r="AF54" s="141">
        <f t="shared" si="40"/>
        <v>0</v>
      </c>
      <c r="AG54" s="141">
        <f t="shared" si="40"/>
        <v>0</v>
      </c>
      <c r="AH54" s="154" t="s">
        <v>12</v>
      </c>
      <c r="AI54" s="133"/>
      <c r="AJ54" s="155"/>
      <c r="AK54" s="137"/>
      <c r="AL54" s="137"/>
      <c r="AN54" s="10"/>
      <c r="AO54" s="10"/>
      <c r="AP54" s="10"/>
      <c r="AQ54" s="10"/>
      <c r="AR54" s="47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56"/>
      <c r="BF54" s="10"/>
      <c r="BG54" s="10"/>
      <c r="BH54" s="10"/>
      <c r="BI54" s="10"/>
      <c r="BJ54" s="10"/>
      <c r="BK54" s="10"/>
      <c r="BL54" s="10"/>
      <c r="BM54" s="10"/>
      <c r="BN54" s="10"/>
      <c r="BO54" s="52" t="str">
        <f t="shared" ref="BO54:BX54" si="41">IF(BO53=1,IF(BO53="",0,BO52),"")</f>
        <v/>
      </c>
      <c r="BP54" s="52" t="str">
        <f t="shared" si="41"/>
        <v/>
      </c>
      <c r="BQ54" s="52" t="str">
        <f t="shared" si="41"/>
        <v/>
      </c>
      <c r="BR54" s="52" t="str">
        <f t="shared" si="41"/>
        <v/>
      </c>
      <c r="BS54" s="52" t="str">
        <f t="shared" si="41"/>
        <v/>
      </c>
      <c r="BT54" s="52">
        <f t="shared" si="41"/>
        <v>45989</v>
      </c>
      <c r="BU54" s="52">
        <f t="shared" si="41"/>
        <v>45990</v>
      </c>
      <c r="BV54" s="52">
        <f t="shared" si="41"/>
        <v>45991</v>
      </c>
      <c r="BW54" s="52" t="str">
        <f t="shared" si="41"/>
        <v/>
      </c>
      <c r="BX54" s="52" t="str">
        <f t="shared" si="41"/>
        <v/>
      </c>
      <c r="BY54" s="56"/>
      <c r="BZ54" s="97" t="s">
        <v>66</v>
      </c>
      <c r="CA54" s="56"/>
      <c r="CB54" s="10"/>
    </row>
    <row r="55" spans="1:80" s="2" customFormat="1" ht="15.95" hidden="1" customHeight="1" x14ac:dyDescent="0.25">
      <c r="A55" s="157"/>
      <c r="B55" s="149" t="s">
        <v>67</v>
      </c>
      <c r="C55" s="158">
        <f t="shared" ref="C55:AG55" si="42">SUM(C52:C54)</f>
        <v>0</v>
      </c>
      <c r="D55" s="158">
        <f t="shared" si="42"/>
        <v>0</v>
      </c>
      <c r="E55" s="158">
        <f t="shared" si="42"/>
        <v>0</v>
      </c>
      <c r="F55" s="158">
        <f t="shared" si="42"/>
        <v>0</v>
      </c>
      <c r="G55" s="158">
        <f t="shared" si="42"/>
        <v>0</v>
      </c>
      <c r="H55" s="158">
        <f t="shared" si="42"/>
        <v>0</v>
      </c>
      <c r="I55" s="158">
        <f t="shared" si="42"/>
        <v>0</v>
      </c>
      <c r="J55" s="158">
        <f t="shared" si="42"/>
        <v>0</v>
      </c>
      <c r="K55" s="158">
        <f t="shared" si="42"/>
        <v>0</v>
      </c>
      <c r="L55" s="158">
        <f t="shared" si="42"/>
        <v>0</v>
      </c>
      <c r="M55" s="158">
        <f t="shared" si="42"/>
        <v>0</v>
      </c>
      <c r="N55" s="158">
        <f t="shared" si="42"/>
        <v>0</v>
      </c>
      <c r="O55" s="158">
        <f t="shared" si="42"/>
        <v>0</v>
      </c>
      <c r="P55" s="158">
        <f t="shared" si="42"/>
        <v>0</v>
      </c>
      <c r="Q55" s="158">
        <f t="shared" si="42"/>
        <v>0</v>
      </c>
      <c r="R55" s="158">
        <f t="shared" si="42"/>
        <v>0</v>
      </c>
      <c r="S55" s="158">
        <f t="shared" si="42"/>
        <v>0</v>
      </c>
      <c r="T55" s="158">
        <f t="shared" si="42"/>
        <v>0</v>
      </c>
      <c r="U55" s="158">
        <f t="shared" si="42"/>
        <v>0</v>
      </c>
      <c r="V55" s="158">
        <f t="shared" si="42"/>
        <v>0</v>
      </c>
      <c r="W55" s="158">
        <f t="shared" si="42"/>
        <v>0</v>
      </c>
      <c r="X55" s="158">
        <f t="shared" si="42"/>
        <v>0</v>
      </c>
      <c r="Y55" s="158">
        <f t="shared" si="42"/>
        <v>0</v>
      </c>
      <c r="Z55" s="158">
        <f t="shared" si="42"/>
        <v>0</v>
      </c>
      <c r="AA55" s="158">
        <f t="shared" si="42"/>
        <v>0</v>
      </c>
      <c r="AB55" s="158">
        <f t="shared" si="42"/>
        <v>0</v>
      </c>
      <c r="AC55" s="158">
        <f t="shared" si="42"/>
        <v>0</v>
      </c>
      <c r="AD55" s="158">
        <f t="shared" si="42"/>
        <v>0</v>
      </c>
      <c r="AE55" s="158">
        <f t="shared" si="42"/>
        <v>0</v>
      </c>
      <c r="AF55" s="158">
        <f t="shared" si="42"/>
        <v>0</v>
      </c>
      <c r="AG55" s="158">
        <f t="shared" si="42"/>
        <v>0</v>
      </c>
      <c r="AH55" s="154" t="s">
        <v>12</v>
      </c>
      <c r="AI55" s="133"/>
      <c r="AJ55" s="155"/>
      <c r="AK55" s="137"/>
      <c r="AL55" s="137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59"/>
      <c r="BF55" s="10"/>
      <c r="BG55" s="10"/>
      <c r="BH55" s="10"/>
      <c r="BI55" s="10"/>
      <c r="BJ55" s="10"/>
      <c r="BK55" s="10"/>
      <c r="BL55" s="10"/>
      <c r="BM55" s="10"/>
      <c r="BN55" s="10"/>
      <c r="BO55" s="52" t="str">
        <f t="shared" ref="BO55:BX55" si="43">IF(BO54=$AZ48,IF(BO54="",0,$AZ48),"")</f>
        <v/>
      </c>
      <c r="BP55" s="52" t="str">
        <f t="shared" si="43"/>
        <v/>
      </c>
      <c r="BQ55" s="52" t="str">
        <f t="shared" si="43"/>
        <v/>
      </c>
      <c r="BR55" s="52" t="str">
        <f t="shared" si="43"/>
        <v/>
      </c>
      <c r="BS55" s="52" t="str">
        <f t="shared" si="43"/>
        <v/>
      </c>
      <c r="BT55" s="52" t="str">
        <f t="shared" si="43"/>
        <v/>
      </c>
      <c r="BU55" s="52" t="str">
        <f t="shared" si="43"/>
        <v/>
      </c>
      <c r="BV55" s="52" t="str">
        <f t="shared" si="43"/>
        <v/>
      </c>
      <c r="BW55" s="52" t="str">
        <f t="shared" si="43"/>
        <v/>
      </c>
      <c r="BX55" s="52" t="str">
        <f t="shared" si="43"/>
        <v/>
      </c>
      <c r="BY55" s="52">
        <f t="shared" ref="BY55:BY58" si="44">SUM(BO55:BX55)</f>
        <v>0</v>
      </c>
      <c r="BZ55" s="98" t="b">
        <f t="shared" ref="BZ55:BZ58" si="45">IF(BY55=$AZ$48,IF(BY55="",0,31),IF(BY55=$AZ$47,IF(BY55="",0,30),IF(BY55=$AX$48,IF(BY55="",0,29),IF(BY55=$AX$47,IF(BY55="",0,28)))))</f>
        <v>0</v>
      </c>
      <c r="CA55" s="99">
        <v>31</v>
      </c>
      <c r="CB55" s="10"/>
    </row>
    <row r="56" spans="1:80" s="2" customFormat="1" ht="15.95" hidden="1" customHeight="1" x14ac:dyDescent="0.25">
      <c r="A56" s="159"/>
      <c r="B56" s="160" t="s">
        <v>68</v>
      </c>
      <c r="C56" s="161">
        <f t="shared" ref="C56:AG56" si="46">IF(C9="V",IF(C9="",0,1),0)</f>
        <v>0</v>
      </c>
      <c r="D56" s="161">
        <f t="shared" si="46"/>
        <v>0</v>
      </c>
      <c r="E56" s="161">
        <f t="shared" si="46"/>
        <v>0</v>
      </c>
      <c r="F56" s="161">
        <f t="shared" si="46"/>
        <v>0</v>
      </c>
      <c r="G56" s="161">
        <f t="shared" si="46"/>
        <v>0</v>
      </c>
      <c r="H56" s="161">
        <f t="shared" si="46"/>
        <v>0</v>
      </c>
      <c r="I56" s="161">
        <f t="shared" si="46"/>
        <v>0</v>
      </c>
      <c r="J56" s="161">
        <f t="shared" si="46"/>
        <v>0</v>
      </c>
      <c r="K56" s="161">
        <f t="shared" si="46"/>
        <v>0</v>
      </c>
      <c r="L56" s="161">
        <f t="shared" si="46"/>
        <v>0</v>
      </c>
      <c r="M56" s="161">
        <f t="shared" si="46"/>
        <v>0</v>
      </c>
      <c r="N56" s="161">
        <f t="shared" si="46"/>
        <v>0</v>
      </c>
      <c r="O56" s="161">
        <f t="shared" si="46"/>
        <v>0</v>
      </c>
      <c r="P56" s="161">
        <f t="shared" si="46"/>
        <v>0</v>
      </c>
      <c r="Q56" s="161">
        <f t="shared" si="46"/>
        <v>0</v>
      </c>
      <c r="R56" s="161">
        <f t="shared" si="46"/>
        <v>0</v>
      </c>
      <c r="S56" s="161">
        <f t="shared" si="46"/>
        <v>0</v>
      </c>
      <c r="T56" s="161">
        <f t="shared" si="46"/>
        <v>0</v>
      </c>
      <c r="U56" s="161">
        <f t="shared" si="46"/>
        <v>0</v>
      </c>
      <c r="V56" s="161">
        <f t="shared" si="46"/>
        <v>0</v>
      </c>
      <c r="W56" s="161">
        <f t="shared" si="46"/>
        <v>0</v>
      </c>
      <c r="X56" s="161">
        <f t="shared" si="46"/>
        <v>0</v>
      </c>
      <c r="Y56" s="161">
        <f t="shared" si="46"/>
        <v>0</v>
      </c>
      <c r="Z56" s="161">
        <f t="shared" si="46"/>
        <v>0</v>
      </c>
      <c r="AA56" s="161">
        <f t="shared" si="46"/>
        <v>0</v>
      </c>
      <c r="AB56" s="161">
        <f t="shared" si="46"/>
        <v>0</v>
      </c>
      <c r="AC56" s="161">
        <f t="shared" si="46"/>
        <v>0</v>
      </c>
      <c r="AD56" s="161">
        <f t="shared" si="46"/>
        <v>0</v>
      </c>
      <c r="AE56" s="161">
        <f t="shared" si="46"/>
        <v>0</v>
      </c>
      <c r="AF56" s="161">
        <f t="shared" si="46"/>
        <v>0</v>
      </c>
      <c r="AG56" s="161">
        <f t="shared" si="46"/>
        <v>0</v>
      </c>
      <c r="AH56" s="154" t="s">
        <v>12</v>
      </c>
      <c r="AI56" s="133"/>
      <c r="AJ56" s="155"/>
      <c r="AK56" s="137"/>
      <c r="AL56" s="137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59"/>
      <c r="BF56" s="10"/>
      <c r="BG56" s="10"/>
      <c r="BH56" s="10"/>
      <c r="BI56" s="10"/>
      <c r="BJ56" s="10"/>
      <c r="BK56" s="10"/>
      <c r="BL56" s="10"/>
      <c r="BM56" s="10"/>
      <c r="BN56" s="10"/>
      <c r="BO56" s="52" t="str">
        <f t="shared" ref="BO56:BX56" si="47">IF(BO54=$AZ47,IF(BO54="",0,$AZ47),"")</f>
        <v/>
      </c>
      <c r="BP56" s="52" t="str">
        <f t="shared" si="47"/>
        <v/>
      </c>
      <c r="BQ56" s="52" t="str">
        <f t="shared" si="47"/>
        <v/>
      </c>
      <c r="BR56" s="52" t="str">
        <f t="shared" si="47"/>
        <v/>
      </c>
      <c r="BS56" s="52" t="str">
        <f t="shared" si="47"/>
        <v/>
      </c>
      <c r="BT56" s="52" t="str">
        <f t="shared" si="47"/>
        <v/>
      </c>
      <c r="BU56" s="52" t="str">
        <f t="shared" si="47"/>
        <v/>
      </c>
      <c r="BV56" s="52">
        <f t="shared" si="47"/>
        <v>45991</v>
      </c>
      <c r="BW56" s="52" t="str">
        <f t="shared" si="47"/>
        <v/>
      </c>
      <c r="BX56" s="52" t="str">
        <f t="shared" si="47"/>
        <v/>
      </c>
      <c r="BY56" s="52">
        <f t="shared" si="44"/>
        <v>45991</v>
      </c>
      <c r="BZ56" s="98">
        <f t="shared" si="45"/>
        <v>30</v>
      </c>
      <c r="CA56" s="99">
        <v>30</v>
      </c>
      <c r="CB56" s="10"/>
    </row>
    <row r="57" spans="1:80" ht="15.95" hidden="1" customHeight="1" x14ac:dyDescent="0.25">
      <c r="A57" s="129"/>
      <c r="B57" s="162" t="s">
        <v>16</v>
      </c>
      <c r="C57" s="163">
        <f t="shared" ref="C57:AG57" si="48">IF(C9="PR",IF(C9="",0,1),0)</f>
        <v>0</v>
      </c>
      <c r="D57" s="163">
        <f t="shared" si="48"/>
        <v>0</v>
      </c>
      <c r="E57" s="163">
        <f t="shared" si="48"/>
        <v>0</v>
      </c>
      <c r="F57" s="163">
        <f t="shared" si="48"/>
        <v>0</v>
      </c>
      <c r="G57" s="163">
        <f t="shared" si="48"/>
        <v>0</v>
      </c>
      <c r="H57" s="163">
        <f t="shared" si="48"/>
        <v>0</v>
      </c>
      <c r="I57" s="163">
        <f t="shared" si="48"/>
        <v>0</v>
      </c>
      <c r="J57" s="163">
        <f t="shared" si="48"/>
        <v>0</v>
      </c>
      <c r="K57" s="163">
        <f t="shared" si="48"/>
        <v>0</v>
      </c>
      <c r="L57" s="163">
        <f t="shared" si="48"/>
        <v>0</v>
      </c>
      <c r="M57" s="163">
        <f t="shared" si="48"/>
        <v>0</v>
      </c>
      <c r="N57" s="163">
        <f t="shared" si="48"/>
        <v>0</v>
      </c>
      <c r="O57" s="163">
        <f t="shared" si="48"/>
        <v>0</v>
      </c>
      <c r="P57" s="163">
        <f t="shared" si="48"/>
        <v>0</v>
      </c>
      <c r="Q57" s="163">
        <f t="shared" si="48"/>
        <v>0</v>
      </c>
      <c r="R57" s="163">
        <f t="shared" si="48"/>
        <v>0</v>
      </c>
      <c r="S57" s="163">
        <f t="shared" si="48"/>
        <v>0</v>
      </c>
      <c r="T57" s="163">
        <f t="shared" si="48"/>
        <v>0</v>
      </c>
      <c r="U57" s="163">
        <f t="shared" si="48"/>
        <v>0</v>
      </c>
      <c r="V57" s="163">
        <f t="shared" si="48"/>
        <v>0</v>
      </c>
      <c r="W57" s="163">
        <f t="shared" si="48"/>
        <v>0</v>
      </c>
      <c r="X57" s="163">
        <f t="shared" si="48"/>
        <v>0</v>
      </c>
      <c r="Y57" s="163">
        <f t="shared" si="48"/>
        <v>0</v>
      </c>
      <c r="Z57" s="163">
        <f t="shared" si="48"/>
        <v>0</v>
      </c>
      <c r="AA57" s="163">
        <f t="shared" si="48"/>
        <v>0</v>
      </c>
      <c r="AB57" s="163">
        <f t="shared" si="48"/>
        <v>0</v>
      </c>
      <c r="AC57" s="163">
        <f t="shared" si="48"/>
        <v>0</v>
      </c>
      <c r="AD57" s="163">
        <f t="shared" si="48"/>
        <v>0</v>
      </c>
      <c r="AE57" s="163">
        <f t="shared" si="48"/>
        <v>0</v>
      </c>
      <c r="AF57" s="163">
        <f t="shared" si="48"/>
        <v>0</v>
      </c>
      <c r="AG57" s="163">
        <f t="shared" si="48"/>
        <v>0</v>
      </c>
      <c r="AH57" s="233">
        <f>SUM(C57:AG57)</f>
        <v>0</v>
      </c>
      <c r="AI57" s="233"/>
      <c r="AJ57" s="137" t="s">
        <v>69</v>
      </c>
      <c r="AK57" s="133"/>
      <c r="AL57" s="133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59"/>
      <c r="BF57" s="31"/>
      <c r="BG57" s="31"/>
      <c r="BH57" s="31"/>
      <c r="BI57" s="31"/>
      <c r="BJ57" s="31"/>
      <c r="BK57" s="31"/>
      <c r="BL57" s="31"/>
      <c r="BM57" s="31"/>
      <c r="BN57" s="31"/>
      <c r="BO57" s="52" t="str">
        <f t="shared" ref="BO57:BX57" si="49">IF(BO54=$AX48,IF(BO54="",0,$AX48),"")</f>
        <v/>
      </c>
      <c r="BP57" s="52" t="str">
        <f t="shared" si="49"/>
        <v/>
      </c>
      <c r="BQ57" s="52" t="str">
        <f t="shared" si="49"/>
        <v/>
      </c>
      <c r="BR57" s="52" t="str">
        <f t="shared" si="49"/>
        <v/>
      </c>
      <c r="BS57" s="52" t="str">
        <f t="shared" si="49"/>
        <v/>
      </c>
      <c r="BT57" s="52" t="str">
        <f t="shared" si="49"/>
        <v/>
      </c>
      <c r="BU57" s="52">
        <f t="shared" si="49"/>
        <v>45990</v>
      </c>
      <c r="BV57" s="52" t="str">
        <f t="shared" si="49"/>
        <v/>
      </c>
      <c r="BW57" s="52" t="str">
        <f t="shared" si="49"/>
        <v/>
      </c>
      <c r="BX57" s="52" t="str">
        <f t="shared" si="49"/>
        <v/>
      </c>
      <c r="BY57" s="52">
        <f t="shared" si="44"/>
        <v>45990</v>
      </c>
      <c r="BZ57" s="98">
        <f t="shared" si="45"/>
        <v>29</v>
      </c>
      <c r="CA57" s="99">
        <v>29</v>
      </c>
      <c r="CB57" s="31"/>
    </row>
    <row r="58" spans="1:80" s="59" customFormat="1" ht="15.95" hidden="1" customHeight="1" x14ac:dyDescent="0.25">
      <c r="A58" s="164" t="s">
        <v>70</v>
      </c>
      <c r="B58" s="165" t="s">
        <v>29</v>
      </c>
      <c r="C58" s="141" t="str">
        <f t="shared" ref="C58:AF58" si="50">IF(C10=$R32,$S32*24,IF(C10=$R33,$S33*24,IF(C10=$R34,$S34*24,IF(C10=$R35,$S35*24,IF(C10=$R36,$S36*24,IF(C10=$R37,$S37*24,IF(C10=$R38,$S38*24,IF(C10=$R39,$S39*24,IF(C10=$R40,$S40*24,"")))))))))</f>
        <v/>
      </c>
      <c r="D58" s="141" t="str">
        <f t="shared" si="50"/>
        <v/>
      </c>
      <c r="E58" s="141" t="str">
        <f t="shared" si="50"/>
        <v/>
      </c>
      <c r="F58" s="141" t="str">
        <f t="shared" si="50"/>
        <v/>
      </c>
      <c r="G58" s="141" t="str">
        <f t="shared" si="50"/>
        <v/>
      </c>
      <c r="H58" s="141" t="str">
        <f t="shared" si="50"/>
        <v/>
      </c>
      <c r="I58" s="141" t="str">
        <f t="shared" si="50"/>
        <v/>
      </c>
      <c r="J58" s="141" t="str">
        <f t="shared" si="50"/>
        <v/>
      </c>
      <c r="K58" s="141" t="str">
        <f t="shared" si="50"/>
        <v/>
      </c>
      <c r="L58" s="141" t="str">
        <f t="shared" si="50"/>
        <v/>
      </c>
      <c r="M58" s="141" t="str">
        <f t="shared" si="50"/>
        <v/>
      </c>
      <c r="N58" s="141" t="str">
        <f t="shared" si="50"/>
        <v/>
      </c>
      <c r="O58" s="141" t="str">
        <f t="shared" si="50"/>
        <v/>
      </c>
      <c r="P58" s="141" t="str">
        <f t="shared" si="50"/>
        <v/>
      </c>
      <c r="Q58" s="141" t="str">
        <f t="shared" si="50"/>
        <v/>
      </c>
      <c r="R58" s="141" t="str">
        <f t="shared" si="50"/>
        <v/>
      </c>
      <c r="S58" s="141" t="str">
        <f t="shared" si="50"/>
        <v/>
      </c>
      <c r="T58" s="141" t="str">
        <f t="shared" si="50"/>
        <v/>
      </c>
      <c r="U58" s="141" t="str">
        <f t="shared" si="50"/>
        <v/>
      </c>
      <c r="V58" s="141" t="str">
        <f t="shared" si="50"/>
        <v/>
      </c>
      <c r="W58" s="141" t="str">
        <f t="shared" si="50"/>
        <v/>
      </c>
      <c r="X58" s="141" t="str">
        <f t="shared" si="50"/>
        <v/>
      </c>
      <c r="Y58" s="141" t="str">
        <f t="shared" si="50"/>
        <v/>
      </c>
      <c r="Z58" s="141" t="str">
        <f t="shared" si="50"/>
        <v/>
      </c>
      <c r="AA58" s="141" t="str">
        <f t="shared" si="50"/>
        <v/>
      </c>
      <c r="AB58" s="141" t="str">
        <f t="shared" si="50"/>
        <v/>
      </c>
      <c r="AC58" s="141" t="str">
        <f t="shared" si="50"/>
        <v/>
      </c>
      <c r="AD58" s="141" t="str">
        <f t="shared" si="50"/>
        <v/>
      </c>
      <c r="AE58" s="141" t="str">
        <f t="shared" si="50"/>
        <v/>
      </c>
      <c r="AF58" s="141" t="str">
        <f t="shared" si="50"/>
        <v/>
      </c>
      <c r="AG58" s="141" t="str">
        <f t="shared" ref="AG58" si="51">IF(AG10=$R32,$S32*24,IF(AG10=$R33,$S33*24,IF(AG10=$R34,$S34*24,IF(AG10=$R35,$S35*24,IF(AG10=$R36,$S36*24,IF(AG10=$R37,$S37*24,IF(AG10=$R38,$S38*24,IF(AG10=$R39,$S39*24,IF(AG10=$R40,$S40*24,"")))))))))</f>
        <v/>
      </c>
      <c r="AH58" s="154" t="s">
        <v>12</v>
      </c>
      <c r="AI58" s="133"/>
      <c r="AJ58" s="137"/>
      <c r="AK58" s="137"/>
      <c r="AL58" s="137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1"/>
      <c r="BF58" s="56"/>
      <c r="BG58" s="56"/>
      <c r="BH58" s="56"/>
      <c r="BI58" s="56"/>
      <c r="BJ58" s="56"/>
      <c r="BK58" s="56"/>
      <c r="BL58" s="56"/>
      <c r="BM58" s="56"/>
      <c r="BN58" s="56"/>
      <c r="BO58" s="52" t="str">
        <f t="shared" ref="BO58:BX58" si="52">IF(BO54=$AX47,IF(BO54="",0,$AX47),"")</f>
        <v/>
      </c>
      <c r="BP58" s="52" t="str">
        <f t="shared" si="52"/>
        <v/>
      </c>
      <c r="BQ58" s="52" t="str">
        <f t="shared" si="52"/>
        <v/>
      </c>
      <c r="BR58" s="52" t="str">
        <f t="shared" si="52"/>
        <v/>
      </c>
      <c r="BS58" s="52" t="str">
        <f t="shared" si="52"/>
        <v/>
      </c>
      <c r="BT58" s="52">
        <f t="shared" si="52"/>
        <v>45989</v>
      </c>
      <c r="BU58" s="52" t="str">
        <f t="shared" si="52"/>
        <v/>
      </c>
      <c r="BV58" s="52" t="str">
        <f t="shared" si="52"/>
        <v/>
      </c>
      <c r="BW58" s="52" t="str">
        <f t="shared" si="52"/>
        <v/>
      </c>
      <c r="BX58" s="52" t="str">
        <f t="shared" si="52"/>
        <v/>
      </c>
      <c r="BY58" s="52">
        <f t="shared" si="44"/>
        <v>45989</v>
      </c>
      <c r="BZ58" s="52">
        <f t="shared" si="45"/>
        <v>28</v>
      </c>
      <c r="CA58" s="99">
        <v>28</v>
      </c>
      <c r="CB58" s="56"/>
    </row>
    <row r="59" spans="1:80" s="59" customFormat="1" ht="15.95" hidden="1" customHeight="1" x14ac:dyDescent="0.25">
      <c r="A59" s="166" t="s">
        <v>71</v>
      </c>
      <c r="B59" s="167" t="s">
        <v>30</v>
      </c>
      <c r="C59" s="141" t="str">
        <f t="shared" ref="C59:AF59" si="53">IF(C10=$R32,$V32*24,IF(C10=$R33,$V33*24,IF(C10=$R34,$V34*24,IF(C10=$R35,$V35*24,IF(C10=$R36,$V36*24,IF(C10=$R37,$V37*24,IF(C10=$R38,$V38*24,IF(C10=$R39,$V39*24,IF(C10=$R40,$V40*24,"")))))))))</f>
        <v/>
      </c>
      <c r="D59" s="141" t="str">
        <f t="shared" si="53"/>
        <v/>
      </c>
      <c r="E59" s="141" t="str">
        <f t="shared" si="53"/>
        <v/>
      </c>
      <c r="F59" s="141" t="str">
        <f t="shared" si="53"/>
        <v/>
      </c>
      <c r="G59" s="141" t="str">
        <f t="shared" si="53"/>
        <v/>
      </c>
      <c r="H59" s="141" t="str">
        <f t="shared" si="53"/>
        <v/>
      </c>
      <c r="I59" s="141" t="str">
        <f t="shared" si="53"/>
        <v/>
      </c>
      <c r="J59" s="141" t="str">
        <f t="shared" si="53"/>
        <v/>
      </c>
      <c r="K59" s="141" t="str">
        <f t="shared" si="53"/>
        <v/>
      </c>
      <c r="L59" s="141" t="str">
        <f t="shared" si="53"/>
        <v/>
      </c>
      <c r="M59" s="141" t="str">
        <f t="shared" si="53"/>
        <v/>
      </c>
      <c r="N59" s="141" t="str">
        <f t="shared" si="53"/>
        <v/>
      </c>
      <c r="O59" s="141" t="str">
        <f t="shared" si="53"/>
        <v/>
      </c>
      <c r="P59" s="141" t="str">
        <f t="shared" si="53"/>
        <v/>
      </c>
      <c r="Q59" s="141" t="str">
        <f t="shared" si="53"/>
        <v/>
      </c>
      <c r="R59" s="141" t="str">
        <f t="shared" si="53"/>
        <v/>
      </c>
      <c r="S59" s="141" t="str">
        <f t="shared" si="53"/>
        <v/>
      </c>
      <c r="T59" s="141" t="str">
        <f t="shared" si="53"/>
        <v/>
      </c>
      <c r="U59" s="141" t="str">
        <f t="shared" si="53"/>
        <v/>
      </c>
      <c r="V59" s="141" t="str">
        <f t="shared" si="53"/>
        <v/>
      </c>
      <c r="W59" s="141" t="str">
        <f t="shared" si="53"/>
        <v/>
      </c>
      <c r="X59" s="141" t="str">
        <f t="shared" si="53"/>
        <v/>
      </c>
      <c r="Y59" s="141" t="str">
        <f t="shared" si="53"/>
        <v/>
      </c>
      <c r="Z59" s="141" t="str">
        <f t="shared" si="53"/>
        <v/>
      </c>
      <c r="AA59" s="141" t="str">
        <f t="shared" si="53"/>
        <v/>
      </c>
      <c r="AB59" s="141" t="str">
        <f t="shared" si="53"/>
        <v/>
      </c>
      <c r="AC59" s="141" t="str">
        <f t="shared" si="53"/>
        <v/>
      </c>
      <c r="AD59" s="141" t="str">
        <f t="shared" si="53"/>
        <v/>
      </c>
      <c r="AE59" s="141" t="str">
        <f t="shared" si="53"/>
        <v/>
      </c>
      <c r="AF59" s="141" t="str">
        <f t="shared" si="53"/>
        <v/>
      </c>
      <c r="AG59" s="141" t="str">
        <f t="shared" ref="AG59" si="54">IF(AG10=$R32,$V32*24,IF(AG10=$R33,$V33*24,IF(AG10=$R34,$V34*24,IF(AG10=$R35,$V35*24,IF(AG10=$R36,$V36*24,IF(AG10=$R37,$V37*24,IF(AG10=$R38,$V38*24,IF(AG10=$R39,$V39*24,IF(AG10=$R40,$V40*24,"")))))))))</f>
        <v/>
      </c>
      <c r="AH59" s="154" t="s">
        <v>12</v>
      </c>
      <c r="AI59" s="133"/>
      <c r="AJ59" s="137"/>
      <c r="AK59" s="137"/>
      <c r="AL59" s="137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1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100" t="s">
        <v>56</v>
      </c>
      <c r="BZ59" s="52">
        <f>SUM(BZ55:BZ58)</f>
        <v>87</v>
      </c>
      <c r="CA59" s="53">
        <f>IF(BZ59=118,31,IF(BZ59=90,31,IF(BZ59=61,31,IF(BZ59=31,31,IF(BZ59=87,30,IF(BZ59=59,30,IF(BZ59=30,30,IF(BZ59=57,29,IF(BZ59=29,29,IF(BZ59=28,28,""))))))))))</f>
        <v>30</v>
      </c>
      <c r="CB59" s="10"/>
    </row>
    <row r="60" spans="1:80" s="59" customFormat="1" ht="15.95" hidden="1" customHeight="1" x14ac:dyDescent="0.25">
      <c r="A60" s="153"/>
      <c r="B60" s="168" t="s">
        <v>34</v>
      </c>
      <c r="C60" s="169" t="str">
        <f t="shared" ref="C60:AG60" si="55">IF(C10=$R32,$BD32*24,IF(C10=$R33,$BD33*24,IF(C10=$R34,$BD34*24,IF(C10=$R35,$BD35*24,IF(C10=$R36,$BD36*24,IF(C10=$R37,$BD37*24,IF(C10=$R38,$BD38*24,IF(C10=$R39,$BD39*24,IF(C10=$R40,$BD40*24,"")))))))))</f>
        <v/>
      </c>
      <c r="D60" s="169" t="str">
        <f t="shared" si="55"/>
        <v/>
      </c>
      <c r="E60" s="169" t="str">
        <f t="shared" si="55"/>
        <v/>
      </c>
      <c r="F60" s="169" t="str">
        <f t="shared" si="55"/>
        <v/>
      </c>
      <c r="G60" s="169" t="str">
        <f t="shared" si="55"/>
        <v/>
      </c>
      <c r="H60" s="169" t="str">
        <f t="shared" si="55"/>
        <v/>
      </c>
      <c r="I60" s="169" t="str">
        <f t="shared" si="55"/>
        <v/>
      </c>
      <c r="J60" s="169" t="str">
        <f t="shared" si="55"/>
        <v/>
      </c>
      <c r="K60" s="169" t="str">
        <f t="shared" si="55"/>
        <v/>
      </c>
      <c r="L60" s="169" t="str">
        <f t="shared" si="55"/>
        <v/>
      </c>
      <c r="M60" s="169" t="str">
        <f t="shared" si="55"/>
        <v/>
      </c>
      <c r="N60" s="169" t="str">
        <f t="shared" si="55"/>
        <v/>
      </c>
      <c r="O60" s="169" t="str">
        <f t="shared" si="55"/>
        <v/>
      </c>
      <c r="P60" s="169" t="str">
        <f t="shared" si="55"/>
        <v/>
      </c>
      <c r="Q60" s="169" t="str">
        <f t="shared" si="55"/>
        <v/>
      </c>
      <c r="R60" s="169" t="str">
        <f t="shared" si="55"/>
        <v/>
      </c>
      <c r="S60" s="169" t="str">
        <f t="shared" si="55"/>
        <v/>
      </c>
      <c r="T60" s="169" t="str">
        <f t="shared" si="55"/>
        <v/>
      </c>
      <c r="U60" s="169" t="str">
        <f t="shared" si="55"/>
        <v/>
      </c>
      <c r="V60" s="169" t="str">
        <f t="shared" si="55"/>
        <v/>
      </c>
      <c r="W60" s="169" t="str">
        <f t="shared" si="55"/>
        <v/>
      </c>
      <c r="X60" s="169" t="str">
        <f t="shared" si="55"/>
        <v/>
      </c>
      <c r="Y60" s="169" t="str">
        <f t="shared" si="55"/>
        <v/>
      </c>
      <c r="Z60" s="169" t="str">
        <f t="shared" si="55"/>
        <v/>
      </c>
      <c r="AA60" s="169" t="str">
        <f t="shared" si="55"/>
        <v/>
      </c>
      <c r="AB60" s="169" t="str">
        <f t="shared" si="55"/>
        <v/>
      </c>
      <c r="AC60" s="169" t="str">
        <f t="shared" si="55"/>
        <v/>
      </c>
      <c r="AD60" s="169" t="str">
        <f t="shared" si="55"/>
        <v/>
      </c>
      <c r="AE60" s="169" t="str">
        <f t="shared" si="55"/>
        <v/>
      </c>
      <c r="AF60" s="169" t="str">
        <f t="shared" si="55"/>
        <v/>
      </c>
      <c r="AG60" s="169" t="str">
        <f t="shared" si="55"/>
        <v/>
      </c>
      <c r="AH60" s="148">
        <f>SUM(C60:AG60)</f>
        <v>0</v>
      </c>
      <c r="AI60" s="133"/>
      <c r="AJ60" s="137"/>
      <c r="AK60" s="137"/>
      <c r="AL60" s="137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1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101">
        <f>CA59</f>
        <v>30</v>
      </c>
      <c r="CB60" s="56"/>
    </row>
    <row r="61" spans="1:80" s="59" customFormat="1" ht="15.95" hidden="1" customHeight="1" x14ac:dyDescent="0.25">
      <c r="A61" s="153"/>
      <c r="B61" s="167" t="s">
        <v>59</v>
      </c>
      <c r="C61" s="141">
        <f t="shared" ref="C61:AF61" si="56">IF(C10="V",$C36,IF(C10="PR",$C38,0))</f>
        <v>0</v>
      </c>
      <c r="D61" s="141">
        <f t="shared" si="56"/>
        <v>0</v>
      </c>
      <c r="E61" s="141">
        <f t="shared" si="56"/>
        <v>0</v>
      </c>
      <c r="F61" s="141">
        <f t="shared" si="56"/>
        <v>0</v>
      </c>
      <c r="G61" s="141">
        <f t="shared" si="56"/>
        <v>0</v>
      </c>
      <c r="H61" s="141">
        <f t="shared" si="56"/>
        <v>0</v>
      </c>
      <c r="I61" s="141">
        <f t="shared" si="56"/>
        <v>0</v>
      </c>
      <c r="J61" s="141">
        <f t="shared" si="56"/>
        <v>0</v>
      </c>
      <c r="K61" s="141">
        <f t="shared" si="56"/>
        <v>0</v>
      </c>
      <c r="L61" s="141">
        <f t="shared" si="56"/>
        <v>0</v>
      </c>
      <c r="M61" s="141">
        <f t="shared" si="56"/>
        <v>0</v>
      </c>
      <c r="N61" s="141">
        <f t="shared" si="56"/>
        <v>0</v>
      </c>
      <c r="O61" s="141">
        <f t="shared" si="56"/>
        <v>0</v>
      </c>
      <c r="P61" s="141">
        <f t="shared" si="56"/>
        <v>0</v>
      </c>
      <c r="Q61" s="141">
        <f t="shared" si="56"/>
        <v>0</v>
      </c>
      <c r="R61" s="141">
        <f t="shared" si="56"/>
        <v>0</v>
      </c>
      <c r="S61" s="141">
        <f t="shared" si="56"/>
        <v>0</v>
      </c>
      <c r="T61" s="141">
        <f t="shared" si="56"/>
        <v>0</v>
      </c>
      <c r="U61" s="141">
        <f t="shared" si="56"/>
        <v>0</v>
      </c>
      <c r="V61" s="141">
        <f t="shared" si="56"/>
        <v>0</v>
      </c>
      <c r="W61" s="141">
        <f t="shared" si="56"/>
        <v>0</v>
      </c>
      <c r="X61" s="141">
        <f t="shared" si="56"/>
        <v>0</v>
      </c>
      <c r="Y61" s="141">
        <f t="shared" si="56"/>
        <v>0</v>
      </c>
      <c r="Z61" s="141">
        <f t="shared" si="56"/>
        <v>0</v>
      </c>
      <c r="AA61" s="141">
        <f t="shared" si="56"/>
        <v>0</v>
      </c>
      <c r="AB61" s="141">
        <f t="shared" si="56"/>
        <v>0</v>
      </c>
      <c r="AC61" s="141">
        <f t="shared" si="56"/>
        <v>0</v>
      </c>
      <c r="AD61" s="141">
        <f t="shared" si="56"/>
        <v>0</v>
      </c>
      <c r="AE61" s="141">
        <f t="shared" si="56"/>
        <v>0</v>
      </c>
      <c r="AF61" s="141">
        <f t="shared" si="56"/>
        <v>0</v>
      </c>
      <c r="AG61" s="141">
        <f t="shared" ref="AG61" si="57">IF(AG10="V",$C36,IF(AG10="PR",$C38,0))</f>
        <v>0</v>
      </c>
      <c r="AH61" s="226">
        <f>SUM(C61:AG61)</f>
        <v>0</v>
      </c>
      <c r="AI61" s="226"/>
      <c r="AJ61" s="137" t="s">
        <v>12</v>
      </c>
      <c r="AK61" s="137"/>
      <c r="AL61" s="137"/>
      <c r="BE61" s="1"/>
      <c r="BU61" s="60" t="str">
        <f>BS50</f>
        <v>ju</v>
      </c>
      <c r="BV61" s="60" t="str">
        <f>BT50</f>
        <v>vi</v>
      </c>
      <c r="BW61" s="60" t="str">
        <f>BU50</f>
        <v>sa</v>
      </c>
      <c r="BX61" s="60" t="str">
        <f>BV50</f>
        <v>do</v>
      </c>
      <c r="BY61" s="60" t="str">
        <f>BW50</f>
        <v>lu</v>
      </c>
    </row>
    <row r="62" spans="1:80" s="59" customFormat="1" ht="15.95" hidden="1" customHeight="1" x14ac:dyDescent="0.25">
      <c r="A62" s="150" t="s">
        <v>60</v>
      </c>
      <c r="B62" s="167" t="s">
        <v>61</v>
      </c>
      <c r="C62" s="151">
        <f t="shared" ref="C62:AG62" si="58">IF(C10=$R32,$BC32,IF(C10=$R33,$BC33,IF(C10=$R34,$BC34,IF(C10=$R35,$BC35,IF(C10=$R36,$BC36,IF(C10=$R37,$BC37,IF(C10=$R38,$BC38,IF(C10=$R39,$BC39,IF(C10=$R40,$BC40,0)))))))))</f>
        <v>0</v>
      </c>
      <c r="D62" s="151">
        <f t="shared" si="58"/>
        <v>0</v>
      </c>
      <c r="E62" s="151">
        <f t="shared" si="58"/>
        <v>0</v>
      </c>
      <c r="F62" s="151">
        <f t="shared" si="58"/>
        <v>0</v>
      </c>
      <c r="G62" s="151">
        <f t="shared" si="58"/>
        <v>0</v>
      </c>
      <c r="H62" s="151">
        <f t="shared" si="58"/>
        <v>0</v>
      </c>
      <c r="I62" s="151">
        <f t="shared" si="58"/>
        <v>0</v>
      </c>
      <c r="J62" s="151">
        <f t="shared" si="58"/>
        <v>0</v>
      </c>
      <c r="K62" s="151">
        <f t="shared" si="58"/>
        <v>0</v>
      </c>
      <c r="L62" s="151">
        <f t="shared" si="58"/>
        <v>0</v>
      </c>
      <c r="M62" s="151">
        <f t="shared" si="58"/>
        <v>0</v>
      </c>
      <c r="N62" s="151">
        <f t="shared" si="58"/>
        <v>0</v>
      </c>
      <c r="O62" s="151">
        <f t="shared" si="58"/>
        <v>0</v>
      </c>
      <c r="P62" s="151">
        <f t="shared" si="58"/>
        <v>0</v>
      </c>
      <c r="Q62" s="151">
        <f t="shared" si="58"/>
        <v>0</v>
      </c>
      <c r="R62" s="151">
        <f t="shared" si="58"/>
        <v>0</v>
      </c>
      <c r="S62" s="151">
        <f t="shared" si="58"/>
        <v>0</v>
      </c>
      <c r="T62" s="151">
        <f t="shared" si="58"/>
        <v>0</v>
      </c>
      <c r="U62" s="151">
        <f t="shared" si="58"/>
        <v>0</v>
      </c>
      <c r="V62" s="151">
        <f t="shared" si="58"/>
        <v>0</v>
      </c>
      <c r="W62" s="151">
        <f t="shared" si="58"/>
        <v>0</v>
      </c>
      <c r="X62" s="151">
        <f t="shared" si="58"/>
        <v>0</v>
      </c>
      <c r="Y62" s="151">
        <f t="shared" si="58"/>
        <v>0</v>
      </c>
      <c r="Z62" s="151">
        <f t="shared" si="58"/>
        <v>0</v>
      </c>
      <c r="AA62" s="151">
        <f t="shared" si="58"/>
        <v>0</v>
      </c>
      <c r="AB62" s="151">
        <f t="shared" si="58"/>
        <v>0</v>
      </c>
      <c r="AC62" s="151">
        <f t="shared" si="58"/>
        <v>0</v>
      </c>
      <c r="AD62" s="151">
        <f t="shared" si="58"/>
        <v>0</v>
      </c>
      <c r="AE62" s="151">
        <f t="shared" si="58"/>
        <v>0</v>
      </c>
      <c r="AF62" s="151">
        <f t="shared" si="58"/>
        <v>0</v>
      </c>
      <c r="AG62" s="151">
        <f t="shared" si="58"/>
        <v>0</v>
      </c>
      <c r="AH62" s="226">
        <f>SUM(C62:AG62)</f>
        <v>0</v>
      </c>
      <c r="AI62" s="226"/>
      <c r="AJ62" s="137" t="s">
        <v>62</v>
      </c>
      <c r="AK62" s="137" t="s">
        <v>12</v>
      </c>
      <c r="AL62" s="137"/>
      <c r="BE62" s="1"/>
      <c r="BU62" s="61">
        <v>28</v>
      </c>
      <c r="BV62" s="61">
        <v>29</v>
      </c>
      <c r="BW62" s="61">
        <v>30</v>
      </c>
      <c r="BX62" s="61">
        <v>31</v>
      </c>
      <c r="BY62" s="61">
        <v>1</v>
      </c>
    </row>
    <row r="63" spans="1:80" s="59" customFormat="1" ht="15.95" hidden="1" customHeight="1" x14ac:dyDescent="0.25">
      <c r="A63" s="153" t="s">
        <v>48</v>
      </c>
      <c r="B63" s="149" t="s">
        <v>63</v>
      </c>
      <c r="C63" s="141">
        <f t="shared" ref="C63:AG63" si="59">IF(C46=1,IF(C58&lt;C59,C62,0))</f>
        <v>0</v>
      </c>
      <c r="D63" s="141">
        <f t="shared" si="59"/>
        <v>0</v>
      </c>
      <c r="E63" s="141" t="b">
        <f t="shared" si="59"/>
        <v>0</v>
      </c>
      <c r="F63" s="141" t="b">
        <f t="shared" si="59"/>
        <v>0</v>
      </c>
      <c r="G63" s="141" t="b">
        <f t="shared" si="59"/>
        <v>0</v>
      </c>
      <c r="H63" s="141" t="b">
        <f t="shared" si="59"/>
        <v>0</v>
      </c>
      <c r="I63" s="141" t="b">
        <f t="shared" si="59"/>
        <v>0</v>
      </c>
      <c r="J63" s="141">
        <f t="shared" si="59"/>
        <v>0</v>
      </c>
      <c r="K63" s="141">
        <f t="shared" si="59"/>
        <v>0</v>
      </c>
      <c r="L63" s="141" t="b">
        <f t="shared" si="59"/>
        <v>0</v>
      </c>
      <c r="M63" s="141" t="b">
        <f t="shared" si="59"/>
        <v>0</v>
      </c>
      <c r="N63" s="141" t="b">
        <f t="shared" si="59"/>
        <v>0</v>
      </c>
      <c r="O63" s="141" t="b">
        <f t="shared" si="59"/>
        <v>0</v>
      </c>
      <c r="P63" s="141" t="b">
        <f t="shared" si="59"/>
        <v>0</v>
      </c>
      <c r="Q63" s="141">
        <f t="shared" si="59"/>
        <v>0</v>
      </c>
      <c r="R63" s="141">
        <f t="shared" si="59"/>
        <v>0</v>
      </c>
      <c r="S63" s="141" t="b">
        <f t="shared" si="59"/>
        <v>0</v>
      </c>
      <c r="T63" s="141" t="b">
        <f t="shared" si="59"/>
        <v>0</v>
      </c>
      <c r="U63" s="141" t="b">
        <f t="shared" si="59"/>
        <v>0</v>
      </c>
      <c r="V63" s="141" t="b">
        <f t="shared" si="59"/>
        <v>0</v>
      </c>
      <c r="W63" s="141" t="b">
        <f t="shared" si="59"/>
        <v>0</v>
      </c>
      <c r="X63" s="141">
        <f t="shared" si="59"/>
        <v>0</v>
      </c>
      <c r="Y63" s="141">
        <f t="shared" si="59"/>
        <v>0</v>
      </c>
      <c r="Z63" s="141" t="b">
        <f t="shared" si="59"/>
        <v>0</v>
      </c>
      <c r="AA63" s="141" t="b">
        <f t="shared" si="59"/>
        <v>0</v>
      </c>
      <c r="AB63" s="141" t="b">
        <f t="shared" si="59"/>
        <v>0</v>
      </c>
      <c r="AC63" s="141" t="b">
        <f t="shared" si="59"/>
        <v>0</v>
      </c>
      <c r="AD63" s="141" t="b">
        <f t="shared" si="59"/>
        <v>0</v>
      </c>
      <c r="AE63" s="141">
        <f t="shared" si="59"/>
        <v>0</v>
      </c>
      <c r="AF63" s="141">
        <f t="shared" si="59"/>
        <v>0</v>
      </c>
      <c r="AG63" s="141" t="b">
        <f t="shared" si="59"/>
        <v>0</v>
      </c>
      <c r="AH63" s="142" t="s">
        <v>12</v>
      </c>
      <c r="AI63" s="133"/>
      <c r="AJ63" s="137"/>
      <c r="AK63" s="137"/>
      <c r="AL63" s="137"/>
      <c r="BE63" s="1"/>
      <c r="BV63" s="102" t="str">
        <f>IF(CA59=28,IF(CA59="",0,1),IF(CA59=1,IF(CA59="",0,1),""))</f>
        <v/>
      </c>
      <c r="BW63" s="102" t="str">
        <f>IF(CA59=29,IF(CA59="",0,1),IF(CA59=1,IF(CA59="",0,1),""))</f>
        <v/>
      </c>
      <c r="BX63" s="102">
        <f>IF(CA59=30,IF(CA59="",0,1),IF(CA59=1,IF(CA59="",0,1),""))</f>
        <v>1</v>
      </c>
      <c r="BY63" s="102" t="str">
        <f>IF(CA59=31,IF(CA59="",0,1),IF(CA59=1,IF(CA59="",0,1),""))</f>
        <v/>
      </c>
    </row>
    <row r="64" spans="1:80" ht="15.95" hidden="1" customHeight="1" x14ac:dyDescent="0.25">
      <c r="A64" s="153"/>
      <c r="B64" s="149" t="s">
        <v>64</v>
      </c>
      <c r="C64" s="141">
        <f t="shared" ref="C64:AG64" si="60">IF(C46=1,IF(C58&gt;C59,24-C58,0),0)</f>
        <v>0</v>
      </c>
      <c r="D64" s="141">
        <f t="shared" si="60"/>
        <v>0</v>
      </c>
      <c r="E64" s="141">
        <f t="shared" si="60"/>
        <v>0</v>
      </c>
      <c r="F64" s="141">
        <f t="shared" si="60"/>
        <v>0</v>
      </c>
      <c r="G64" s="141">
        <f t="shared" si="60"/>
        <v>0</v>
      </c>
      <c r="H64" s="141">
        <f t="shared" si="60"/>
        <v>0</v>
      </c>
      <c r="I64" s="141">
        <f t="shared" si="60"/>
        <v>0</v>
      </c>
      <c r="J64" s="141">
        <f t="shared" si="60"/>
        <v>0</v>
      </c>
      <c r="K64" s="141">
        <f t="shared" si="60"/>
        <v>0</v>
      </c>
      <c r="L64" s="141">
        <f t="shared" si="60"/>
        <v>0</v>
      </c>
      <c r="M64" s="141">
        <f t="shared" si="60"/>
        <v>0</v>
      </c>
      <c r="N64" s="141">
        <f t="shared" si="60"/>
        <v>0</v>
      </c>
      <c r="O64" s="141">
        <f t="shared" si="60"/>
        <v>0</v>
      </c>
      <c r="P64" s="141">
        <f t="shared" si="60"/>
        <v>0</v>
      </c>
      <c r="Q64" s="141">
        <f t="shared" si="60"/>
        <v>0</v>
      </c>
      <c r="R64" s="141">
        <f t="shared" si="60"/>
        <v>0</v>
      </c>
      <c r="S64" s="141">
        <f t="shared" si="60"/>
        <v>0</v>
      </c>
      <c r="T64" s="141">
        <f t="shared" si="60"/>
        <v>0</v>
      </c>
      <c r="U64" s="141">
        <f t="shared" si="60"/>
        <v>0</v>
      </c>
      <c r="V64" s="141">
        <f t="shared" si="60"/>
        <v>0</v>
      </c>
      <c r="W64" s="141">
        <f t="shared" si="60"/>
        <v>0</v>
      </c>
      <c r="X64" s="141">
        <f t="shared" si="60"/>
        <v>0</v>
      </c>
      <c r="Y64" s="141">
        <f t="shared" si="60"/>
        <v>0</v>
      </c>
      <c r="Z64" s="141">
        <f t="shared" si="60"/>
        <v>0</v>
      </c>
      <c r="AA64" s="141">
        <f t="shared" si="60"/>
        <v>0</v>
      </c>
      <c r="AB64" s="141">
        <f t="shared" si="60"/>
        <v>0</v>
      </c>
      <c r="AC64" s="141">
        <f t="shared" si="60"/>
        <v>0</v>
      </c>
      <c r="AD64" s="141">
        <f t="shared" si="60"/>
        <v>0</v>
      </c>
      <c r="AE64" s="141">
        <f t="shared" si="60"/>
        <v>0</v>
      </c>
      <c r="AF64" s="141">
        <f t="shared" si="60"/>
        <v>0</v>
      </c>
      <c r="AG64" s="141">
        <f t="shared" si="60"/>
        <v>0</v>
      </c>
      <c r="AH64" s="142" t="s">
        <v>12</v>
      </c>
      <c r="AI64" s="133"/>
      <c r="AJ64" s="170"/>
      <c r="AK64" s="133"/>
      <c r="AL64" s="133"/>
      <c r="BU64" s="45" t="s">
        <v>72</v>
      </c>
      <c r="BV64" s="102" t="b">
        <f>IF(BV61="sa",IF(BV61="",0,"1"),IF(BV61="do",IF(BV61="",0,"1")))</f>
        <v>0</v>
      </c>
      <c r="BW64" s="102" t="str">
        <f>IF(BW61="sa",IF(BW61="",0,"1"),IF(BW61="do",IF(BW61="",0,"1")))</f>
        <v>1</v>
      </c>
      <c r="BX64" s="102" t="str">
        <f>IF(BX61="sa",IF(BX61="",0,"1"),IF(BX61="do",IF(BX61="",0,"1")))</f>
        <v>1</v>
      </c>
      <c r="BY64" s="102" t="b">
        <f>IF(BY61="sa",IF(BY61="",0,"1"),IF(BY61="do",IF(BY61="",0,"1")))</f>
        <v>0</v>
      </c>
    </row>
    <row r="65" spans="1:77" ht="15.95" hidden="1" customHeight="1" x14ac:dyDescent="0.25">
      <c r="A65" s="153"/>
      <c r="B65" s="149" t="s">
        <v>65</v>
      </c>
      <c r="C65" s="141">
        <f t="shared" ref="C65:AG65" si="61">IF(D46=1,IF(C58&gt;C59,C59,0),0)</f>
        <v>0</v>
      </c>
      <c r="D65" s="141">
        <f t="shared" si="61"/>
        <v>0</v>
      </c>
      <c r="E65" s="141">
        <f t="shared" si="61"/>
        <v>0</v>
      </c>
      <c r="F65" s="141">
        <f t="shared" si="61"/>
        <v>0</v>
      </c>
      <c r="G65" s="141">
        <f t="shared" si="61"/>
        <v>0</v>
      </c>
      <c r="H65" s="141">
        <f t="shared" si="61"/>
        <v>0</v>
      </c>
      <c r="I65" s="141">
        <f t="shared" si="61"/>
        <v>0</v>
      </c>
      <c r="J65" s="141">
        <f t="shared" si="61"/>
        <v>0</v>
      </c>
      <c r="K65" s="141">
        <f t="shared" si="61"/>
        <v>0</v>
      </c>
      <c r="L65" s="141">
        <f t="shared" si="61"/>
        <v>0</v>
      </c>
      <c r="M65" s="141">
        <f t="shared" si="61"/>
        <v>0</v>
      </c>
      <c r="N65" s="141">
        <f t="shared" si="61"/>
        <v>0</v>
      </c>
      <c r="O65" s="141">
        <f t="shared" si="61"/>
        <v>0</v>
      </c>
      <c r="P65" s="141">
        <f t="shared" si="61"/>
        <v>0</v>
      </c>
      <c r="Q65" s="141">
        <f t="shared" si="61"/>
        <v>0</v>
      </c>
      <c r="R65" s="141">
        <f t="shared" si="61"/>
        <v>0</v>
      </c>
      <c r="S65" s="141">
        <f t="shared" si="61"/>
        <v>0</v>
      </c>
      <c r="T65" s="141">
        <f t="shared" si="61"/>
        <v>0</v>
      </c>
      <c r="U65" s="141">
        <f t="shared" si="61"/>
        <v>0</v>
      </c>
      <c r="V65" s="141">
        <f t="shared" si="61"/>
        <v>0</v>
      </c>
      <c r="W65" s="141">
        <f t="shared" si="61"/>
        <v>0</v>
      </c>
      <c r="X65" s="141">
        <f>IF(Y46=1,IF(X58&gt;X59,X59,0),0)</f>
        <v>0</v>
      </c>
      <c r="Y65" s="141">
        <f t="shared" si="61"/>
        <v>0</v>
      </c>
      <c r="Z65" s="141">
        <f t="shared" si="61"/>
        <v>0</v>
      </c>
      <c r="AA65" s="141">
        <f t="shared" si="61"/>
        <v>0</v>
      </c>
      <c r="AB65" s="141">
        <f t="shared" si="61"/>
        <v>0</v>
      </c>
      <c r="AC65" s="141">
        <f t="shared" si="61"/>
        <v>0</v>
      </c>
      <c r="AD65" s="141">
        <f t="shared" si="61"/>
        <v>0</v>
      </c>
      <c r="AE65" s="141">
        <f t="shared" si="61"/>
        <v>0</v>
      </c>
      <c r="AF65" s="141">
        <f t="shared" si="61"/>
        <v>0</v>
      </c>
      <c r="AG65" s="141">
        <f t="shared" si="61"/>
        <v>0</v>
      </c>
      <c r="AH65" s="142" t="s">
        <v>12</v>
      </c>
      <c r="AI65" s="133"/>
      <c r="AJ65" s="170"/>
      <c r="AK65" s="133"/>
      <c r="AL65" s="133"/>
    </row>
    <row r="66" spans="1:77" ht="15.95" hidden="1" customHeight="1" x14ac:dyDescent="0.25">
      <c r="A66" s="153"/>
      <c r="B66" s="149" t="s">
        <v>67</v>
      </c>
      <c r="C66" s="171">
        <f t="shared" ref="C66:AG66" si="62">SUM(C63:C65)</f>
        <v>0</v>
      </c>
      <c r="D66" s="171">
        <f t="shared" si="62"/>
        <v>0</v>
      </c>
      <c r="E66" s="171">
        <f t="shared" si="62"/>
        <v>0</v>
      </c>
      <c r="F66" s="171">
        <f t="shared" si="62"/>
        <v>0</v>
      </c>
      <c r="G66" s="171">
        <f t="shared" si="62"/>
        <v>0</v>
      </c>
      <c r="H66" s="171">
        <f t="shared" si="62"/>
        <v>0</v>
      </c>
      <c r="I66" s="171">
        <f t="shared" si="62"/>
        <v>0</v>
      </c>
      <c r="J66" s="171">
        <f t="shared" si="62"/>
        <v>0</v>
      </c>
      <c r="K66" s="171">
        <f t="shared" si="62"/>
        <v>0</v>
      </c>
      <c r="L66" s="171">
        <f t="shared" si="62"/>
        <v>0</v>
      </c>
      <c r="M66" s="171">
        <f t="shared" si="62"/>
        <v>0</v>
      </c>
      <c r="N66" s="171">
        <f t="shared" si="62"/>
        <v>0</v>
      </c>
      <c r="O66" s="171">
        <f t="shared" si="62"/>
        <v>0</v>
      </c>
      <c r="P66" s="171">
        <f t="shared" si="62"/>
        <v>0</v>
      </c>
      <c r="Q66" s="171">
        <f t="shared" si="62"/>
        <v>0</v>
      </c>
      <c r="R66" s="171">
        <f t="shared" si="62"/>
        <v>0</v>
      </c>
      <c r="S66" s="171">
        <f t="shared" si="62"/>
        <v>0</v>
      </c>
      <c r="T66" s="171">
        <f t="shared" si="62"/>
        <v>0</v>
      </c>
      <c r="U66" s="171">
        <f t="shared" si="62"/>
        <v>0</v>
      </c>
      <c r="V66" s="171">
        <f t="shared" si="62"/>
        <v>0</v>
      </c>
      <c r="W66" s="171">
        <f t="shared" si="62"/>
        <v>0</v>
      </c>
      <c r="X66" s="171">
        <f t="shared" si="62"/>
        <v>0</v>
      </c>
      <c r="Y66" s="171">
        <f t="shared" si="62"/>
        <v>0</v>
      </c>
      <c r="Z66" s="171">
        <f t="shared" si="62"/>
        <v>0</v>
      </c>
      <c r="AA66" s="171">
        <f t="shared" si="62"/>
        <v>0</v>
      </c>
      <c r="AB66" s="171">
        <f t="shared" si="62"/>
        <v>0</v>
      </c>
      <c r="AC66" s="171">
        <f t="shared" si="62"/>
        <v>0</v>
      </c>
      <c r="AD66" s="171">
        <f t="shared" si="62"/>
        <v>0</v>
      </c>
      <c r="AE66" s="171">
        <f t="shared" si="62"/>
        <v>0</v>
      </c>
      <c r="AF66" s="171">
        <f t="shared" si="62"/>
        <v>0</v>
      </c>
      <c r="AG66" s="171">
        <f t="shared" si="62"/>
        <v>0</v>
      </c>
      <c r="AH66" s="142" t="s">
        <v>12</v>
      </c>
      <c r="AI66" s="133"/>
      <c r="AJ66" s="170"/>
      <c r="AK66" s="133"/>
      <c r="AL66" s="133"/>
      <c r="BU66" s="62"/>
      <c r="BV66" s="63" t="str">
        <f t="shared" ref="BV66:BY67" si="63">IF(BV65=2,IF(BV65="",0,"X"),IF(BV65=2,IF(BV65="",0,2),""))</f>
        <v/>
      </c>
      <c r="BW66" s="63" t="str">
        <f t="shared" si="63"/>
        <v/>
      </c>
      <c r="BX66" s="63" t="str">
        <f t="shared" si="63"/>
        <v/>
      </c>
      <c r="BY66" s="63" t="str">
        <f t="shared" si="63"/>
        <v/>
      </c>
    </row>
    <row r="67" spans="1:77" ht="15.95" hidden="1" customHeight="1" x14ac:dyDescent="0.25">
      <c r="A67" s="172"/>
      <c r="B67" s="160" t="s">
        <v>68</v>
      </c>
      <c r="C67" s="161">
        <f t="shared" ref="C67:AF67" si="64">IF(C10="V",IF(C10="",0,1),0)</f>
        <v>0</v>
      </c>
      <c r="D67" s="161">
        <f t="shared" si="64"/>
        <v>0</v>
      </c>
      <c r="E67" s="161">
        <f t="shared" si="64"/>
        <v>0</v>
      </c>
      <c r="F67" s="161">
        <f t="shared" si="64"/>
        <v>0</v>
      </c>
      <c r="G67" s="161">
        <f t="shared" si="64"/>
        <v>0</v>
      </c>
      <c r="H67" s="161">
        <f t="shared" si="64"/>
        <v>0</v>
      </c>
      <c r="I67" s="161">
        <f t="shared" si="64"/>
        <v>0</v>
      </c>
      <c r="J67" s="161">
        <f t="shared" si="64"/>
        <v>0</v>
      </c>
      <c r="K67" s="161">
        <f t="shared" si="64"/>
        <v>0</v>
      </c>
      <c r="L67" s="161">
        <f t="shared" si="64"/>
        <v>0</v>
      </c>
      <c r="M67" s="161">
        <f t="shared" si="64"/>
        <v>0</v>
      </c>
      <c r="N67" s="161">
        <f t="shared" si="64"/>
        <v>0</v>
      </c>
      <c r="O67" s="161">
        <f t="shared" si="64"/>
        <v>0</v>
      </c>
      <c r="P67" s="161">
        <f t="shared" si="64"/>
        <v>0</v>
      </c>
      <c r="Q67" s="161">
        <f t="shared" si="64"/>
        <v>0</v>
      </c>
      <c r="R67" s="161">
        <f t="shared" si="64"/>
        <v>0</v>
      </c>
      <c r="S67" s="161">
        <f t="shared" si="64"/>
        <v>0</v>
      </c>
      <c r="T67" s="161">
        <f t="shared" si="64"/>
        <v>0</v>
      </c>
      <c r="U67" s="161">
        <f t="shared" si="64"/>
        <v>0</v>
      </c>
      <c r="V67" s="161">
        <f t="shared" si="64"/>
        <v>0</v>
      </c>
      <c r="W67" s="161">
        <f t="shared" si="64"/>
        <v>0</v>
      </c>
      <c r="X67" s="161">
        <f t="shared" si="64"/>
        <v>0</v>
      </c>
      <c r="Y67" s="161">
        <f t="shared" si="64"/>
        <v>0</v>
      </c>
      <c r="Z67" s="161">
        <f t="shared" si="64"/>
        <v>0</v>
      </c>
      <c r="AA67" s="161">
        <f t="shared" si="64"/>
        <v>0</v>
      </c>
      <c r="AB67" s="161">
        <f t="shared" si="64"/>
        <v>0</v>
      </c>
      <c r="AC67" s="161">
        <f t="shared" si="64"/>
        <v>0</v>
      </c>
      <c r="AD67" s="161">
        <f t="shared" si="64"/>
        <v>0</v>
      </c>
      <c r="AE67" s="161">
        <f t="shared" si="64"/>
        <v>0</v>
      </c>
      <c r="AF67" s="161">
        <f t="shared" si="64"/>
        <v>0</v>
      </c>
      <c r="AG67" s="161">
        <f t="shared" ref="AG67" si="65">IF(AG10="V",IF(AG10="",0,1),0)</f>
        <v>0</v>
      </c>
      <c r="AH67" s="142" t="s">
        <v>12</v>
      </c>
      <c r="AI67" s="133"/>
      <c r="AJ67" s="170"/>
      <c r="AK67" s="133"/>
      <c r="AL67" s="133"/>
      <c r="BU67" s="64"/>
      <c r="BV67" s="63" t="str">
        <f t="shared" si="63"/>
        <v/>
      </c>
      <c r="BW67" s="63" t="str">
        <f t="shared" si="63"/>
        <v/>
      </c>
      <c r="BX67" s="63" t="str">
        <f t="shared" si="63"/>
        <v/>
      </c>
      <c r="BY67" s="63" t="str">
        <f t="shared" si="63"/>
        <v/>
      </c>
    </row>
    <row r="68" spans="1:77" ht="15.95" hidden="1" customHeight="1" x14ac:dyDescent="0.25">
      <c r="A68" s="173"/>
      <c r="B68" s="130" t="s">
        <v>16</v>
      </c>
      <c r="C68" s="163">
        <f t="shared" ref="C68:AF68" si="66">IF(C10="PR",IF(C10="",0,1),0)</f>
        <v>0</v>
      </c>
      <c r="D68" s="163">
        <f t="shared" si="66"/>
        <v>0</v>
      </c>
      <c r="E68" s="163">
        <f t="shared" si="66"/>
        <v>0</v>
      </c>
      <c r="F68" s="163">
        <f t="shared" si="66"/>
        <v>0</v>
      </c>
      <c r="G68" s="163">
        <f t="shared" si="66"/>
        <v>0</v>
      </c>
      <c r="H68" s="163">
        <f t="shared" si="66"/>
        <v>0</v>
      </c>
      <c r="I68" s="163">
        <f t="shared" si="66"/>
        <v>0</v>
      </c>
      <c r="J68" s="163">
        <f t="shared" si="66"/>
        <v>0</v>
      </c>
      <c r="K68" s="163">
        <f t="shared" si="66"/>
        <v>0</v>
      </c>
      <c r="L68" s="163">
        <f t="shared" si="66"/>
        <v>0</v>
      </c>
      <c r="M68" s="163">
        <f t="shared" si="66"/>
        <v>0</v>
      </c>
      <c r="N68" s="163">
        <f t="shared" si="66"/>
        <v>0</v>
      </c>
      <c r="O68" s="163">
        <f t="shared" si="66"/>
        <v>0</v>
      </c>
      <c r="P68" s="163">
        <f t="shared" si="66"/>
        <v>0</v>
      </c>
      <c r="Q68" s="163">
        <f t="shared" si="66"/>
        <v>0</v>
      </c>
      <c r="R68" s="163">
        <f t="shared" si="66"/>
        <v>0</v>
      </c>
      <c r="S68" s="163">
        <f t="shared" si="66"/>
        <v>0</v>
      </c>
      <c r="T68" s="163">
        <f t="shared" si="66"/>
        <v>0</v>
      </c>
      <c r="U68" s="163">
        <f t="shared" si="66"/>
        <v>0</v>
      </c>
      <c r="V68" s="163">
        <f t="shared" si="66"/>
        <v>0</v>
      </c>
      <c r="W68" s="163">
        <f t="shared" si="66"/>
        <v>0</v>
      </c>
      <c r="X68" s="163">
        <f t="shared" si="66"/>
        <v>0</v>
      </c>
      <c r="Y68" s="163">
        <f t="shared" si="66"/>
        <v>0</v>
      </c>
      <c r="Z68" s="163">
        <f t="shared" si="66"/>
        <v>0</v>
      </c>
      <c r="AA68" s="163">
        <f t="shared" si="66"/>
        <v>0</v>
      </c>
      <c r="AB68" s="163">
        <f t="shared" si="66"/>
        <v>0</v>
      </c>
      <c r="AC68" s="163">
        <f t="shared" si="66"/>
        <v>0</v>
      </c>
      <c r="AD68" s="163">
        <f t="shared" si="66"/>
        <v>0</v>
      </c>
      <c r="AE68" s="163">
        <f t="shared" si="66"/>
        <v>0</v>
      </c>
      <c r="AF68" s="163">
        <f t="shared" si="66"/>
        <v>0</v>
      </c>
      <c r="AG68" s="163">
        <f t="shared" ref="AG68" si="67">IF(AG10="PR",IF(AG10="",0,1),0)</f>
        <v>0</v>
      </c>
      <c r="AH68" s="229">
        <f>SUM(C68:AG68)</f>
        <v>0</v>
      </c>
      <c r="AI68" s="229"/>
      <c r="AJ68" s="174" t="s">
        <v>69</v>
      </c>
      <c r="AK68" s="133"/>
      <c r="AL68" s="133"/>
    </row>
    <row r="69" spans="1:77" ht="15.95" hidden="1" customHeight="1" x14ac:dyDescent="0.25">
      <c r="A69" s="164" t="s">
        <v>73</v>
      </c>
      <c r="B69" s="165" t="s">
        <v>29</v>
      </c>
      <c r="C69" s="141" t="str">
        <f t="shared" ref="C69:AF69" si="68">IF(C11=$R32,$S32*24,IF(C11=$R33,$S33*24,IF(C11=$R34,$S34*24,IF(C11=$R35,$S35*24,IF(C11=$R36,$S36*24,IF(C11=$R37,$S37*24,IF(C11=$R38,$S38*24,IF(C11=$R39,$S39*24,IF(C11=$R40,$S40*24,"")))))))))</f>
        <v/>
      </c>
      <c r="D69" s="141" t="str">
        <f t="shared" si="68"/>
        <v/>
      </c>
      <c r="E69" s="141" t="str">
        <f t="shared" si="68"/>
        <v/>
      </c>
      <c r="F69" s="141" t="str">
        <f t="shared" si="68"/>
        <v/>
      </c>
      <c r="G69" s="141" t="str">
        <f t="shared" si="68"/>
        <v/>
      </c>
      <c r="H69" s="141" t="str">
        <f t="shared" si="68"/>
        <v/>
      </c>
      <c r="I69" s="141" t="str">
        <f t="shared" si="68"/>
        <v/>
      </c>
      <c r="J69" s="141" t="str">
        <f t="shared" si="68"/>
        <v/>
      </c>
      <c r="K69" s="141" t="str">
        <f t="shared" si="68"/>
        <v/>
      </c>
      <c r="L69" s="141" t="str">
        <f t="shared" si="68"/>
        <v/>
      </c>
      <c r="M69" s="141" t="str">
        <f t="shared" si="68"/>
        <v/>
      </c>
      <c r="N69" s="141" t="str">
        <f t="shared" si="68"/>
        <v/>
      </c>
      <c r="O69" s="141" t="str">
        <f t="shared" si="68"/>
        <v/>
      </c>
      <c r="P69" s="141" t="str">
        <f t="shared" si="68"/>
        <v/>
      </c>
      <c r="Q69" s="141" t="str">
        <f t="shared" si="68"/>
        <v/>
      </c>
      <c r="R69" s="141" t="str">
        <f t="shared" si="68"/>
        <v/>
      </c>
      <c r="S69" s="141" t="str">
        <f t="shared" si="68"/>
        <v/>
      </c>
      <c r="T69" s="141" t="str">
        <f t="shared" si="68"/>
        <v/>
      </c>
      <c r="U69" s="141" t="str">
        <f t="shared" si="68"/>
        <v/>
      </c>
      <c r="V69" s="141" t="str">
        <f t="shared" si="68"/>
        <v/>
      </c>
      <c r="W69" s="141" t="str">
        <f t="shared" si="68"/>
        <v/>
      </c>
      <c r="X69" s="141" t="str">
        <f t="shared" si="68"/>
        <v/>
      </c>
      <c r="Y69" s="141" t="str">
        <f t="shared" si="68"/>
        <v/>
      </c>
      <c r="Z69" s="141" t="str">
        <f t="shared" si="68"/>
        <v/>
      </c>
      <c r="AA69" s="141" t="str">
        <f t="shared" si="68"/>
        <v/>
      </c>
      <c r="AB69" s="141" t="str">
        <f t="shared" si="68"/>
        <v/>
      </c>
      <c r="AC69" s="141" t="str">
        <f t="shared" si="68"/>
        <v/>
      </c>
      <c r="AD69" s="141" t="str">
        <f t="shared" si="68"/>
        <v/>
      </c>
      <c r="AE69" s="141" t="str">
        <f t="shared" si="68"/>
        <v/>
      </c>
      <c r="AF69" s="141" t="str">
        <f t="shared" si="68"/>
        <v/>
      </c>
      <c r="AG69" s="141" t="str">
        <f t="shared" ref="AG69" si="69">IF(AG11=$R32,$S32*24,IF(AG11=$R33,$S33*24,IF(AG11=$R34,$S34*24,IF(AG11=$R35,$S35*24,IF(AG11=$R36,$S36*24,IF(AG11=$R37,$S37*24,IF(AG11=$R38,$S38*24,IF(AG11=$R39,$S39*24,IF(AG11=$R40,$S40*24,"")))))))))</f>
        <v/>
      </c>
      <c r="AH69" s="154" t="s">
        <v>12</v>
      </c>
      <c r="AI69" s="133"/>
      <c r="AJ69" s="170"/>
      <c r="AK69" s="133"/>
      <c r="AL69" s="133"/>
    </row>
    <row r="70" spans="1:77" ht="15.95" hidden="1" customHeight="1" x14ac:dyDescent="0.25">
      <c r="A70" s="166" t="s">
        <v>74</v>
      </c>
      <c r="B70" s="167" t="s">
        <v>30</v>
      </c>
      <c r="C70" s="141" t="str">
        <f t="shared" ref="C70:AF70" si="70">IF(C11=$R32,$V32*24,IF(C11=$R33,$V33*24,IF(C11=$R34,$V34*24,IF(C11=$R35,$V35*24,IF(C11=$R36,$V36*24,IF(C11=$R37,$V37*24,IF(C11=$R38,$V38*24,IF(C11=$R39,$V39*24,IF(C11=$R40,$V40*24,"")))))))))</f>
        <v/>
      </c>
      <c r="D70" s="141" t="str">
        <f t="shared" si="70"/>
        <v/>
      </c>
      <c r="E70" s="141" t="str">
        <f t="shared" si="70"/>
        <v/>
      </c>
      <c r="F70" s="141" t="str">
        <f t="shared" si="70"/>
        <v/>
      </c>
      <c r="G70" s="141" t="str">
        <f t="shared" si="70"/>
        <v/>
      </c>
      <c r="H70" s="141" t="str">
        <f t="shared" si="70"/>
        <v/>
      </c>
      <c r="I70" s="141" t="str">
        <f t="shared" si="70"/>
        <v/>
      </c>
      <c r="J70" s="141" t="str">
        <f t="shared" si="70"/>
        <v/>
      </c>
      <c r="K70" s="141" t="str">
        <f t="shared" si="70"/>
        <v/>
      </c>
      <c r="L70" s="141" t="str">
        <f t="shared" si="70"/>
        <v/>
      </c>
      <c r="M70" s="141" t="str">
        <f t="shared" si="70"/>
        <v/>
      </c>
      <c r="N70" s="141" t="str">
        <f t="shared" si="70"/>
        <v/>
      </c>
      <c r="O70" s="141" t="str">
        <f t="shared" si="70"/>
        <v/>
      </c>
      <c r="P70" s="141" t="str">
        <f t="shared" si="70"/>
        <v/>
      </c>
      <c r="Q70" s="141" t="str">
        <f t="shared" si="70"/>
        <v/>
      </c>
      <c r="R70" s="141" t="str">
        <f t="shared" si="70"/>
        <v/>
      </c>
      <c r="S70" s="141" t="str">
        <f t="shared" si="70"/>
        <v/>
      </c>
      <c r="T70" s="141" t="str">
        <f t="shared" si="70"/>
        <v/>
      </c>
      <c r="U70" s="141" t="str">
        <f t="shared" si="70"/>
        <v/>
      </c>
      <c r="V70" s="141" t="str">
        <f t="shared" si="70"/>
        <v/>
      </c>
      <c r="W70" s="141" t="str">
        <f t="shared" si="70"/>
        <v/>
      </c>
      <c r="X70" s="141" t="str">
        <f t="shared" si="70"/>
        <v/>
      </c>
      <c r="Y70" s="141" t="str">
        <f t="shared" si="70"/>
        <v/>
      </c>
      <c r="Z70" s="141" t="str">
        <f t="shared" si="70"/>
        <v/>
      </c>
      <c r="AA70" s="141" t="str">
        <f t="shared" si="70"/>
        <v/>
      </c>
      <c r="AB70" s="141" t="str">
        <f t="shared" si="70"/>
        <v/>
      </c>
      <c r="AC70" s="141" t="str">
        <f t="shared" si="70"/>
        <v/>
      </c>
      <c r="AD70" s="141" t="str">
        <f t="shared" si="70"/>
        <v/>
      </c>
      <c r="AE70" s="141" t="str">
        <f t="shared" si="70"/>
        <v/>
      </c>
      <c r="AF70" s="141" t="str">
        <f t="shared" si="70"/>
        <v/>
      </c>
      <c r="AG70" s="141" t="str">
        <f t="shared" ref="AG70" si="71">IF(AG11=$R32,$V32*24,IF(AG11=$R33,$V33*24,IF(AG11=$R34,$V34*24,IF(AG11=$R35,$V35*24,IF(AG11=$R36,$V36*24,IF(AG11=$R37,$V37*24,IF(AG11=$R38,$V38*24,IF(AG11=$R39,$V39*24,IF(AG11=$R40,$V40*24,"")))))))))</f>
        <v/>
      </c>
      <c r="AH70" s="154" t="s">
        <v>12</v>
      </c>
      <c r="AI70" s="133"/>
      <c r="AJ70" s="170"/>
      <c r="AK70" s="133"/>
      <c r="AL70" s="133"/>
    </row>
    <row r="71" spans="1:77" ht="15.95" hidden="1" customHeight="1" x14ac:dyDescent="0.25">
      <c r="A71" s="153"/>
      <c r="B71" s="168" t="s">
        <v>34</v>
      </c>
      <c r="C71" s="169" t="str">
        <f t="shared" ref="C71:AG71" si="72">IF(C11=$R32,$BD32*24,IF(C11=$R33,$BD33*24,IF(C11=$R34,$BD34*24,IF(C11=$R35,$BD35*24,IF(C11=$R36,$BD36*24,IF(C11=$R37,$BD37*24,IF(C11=$R38,$BD38*24,IF(C11=$R39,$BD39*24,IF(C11=$R40,$BD40*24,"")))))))))</f>
        <v/>
      </c>
      <c r="D71" s="169" t="str">
        <f t="shared" si="72"/>
        <v/>
      </c>
      <c r="E71" s="169" t="str">
        <f t="shared" si="72"/>
        <v/>
      </c>
      <c r="F71" s="169" t="str">
        <f t="shared" si="72"/>
        <v/>
      </c>
      <c r="G71" s="169" t="str">
        <f t="shared" si="72"/>
        <v/>
      </c>
      <c r="H71" s="169" t="str">
        <f t="shared" si="72"/>
        <v/>
      </c>
      <c r="I71" s="169" t="str">
        <f t="shared" si="72"/>
        <v/>
      </c>
      <c r="J71" s="169" t="str">
        <f t="shared" si="72"/>
        <v/>
      </c>
      <c r="K71" s="169" t="str">
        <f t="shared" si="72"/>
        <v/>
      </c>
      <c r="L71" s="169" t="str">
        <f t="shared" si="72"/>
        <v/>
      </c>
      <c r="M71" s="169" t="str">
        <f t="shared" si="72"/>
        <v/>
      </c>
      <c r="N71" s="169" t="str">
        <f t="shared" si="72"/>
        <v/>
      </c>
      <c r="O71" s="169" t="str">
        <f t="shared" si="72"/>
        <v/>
      </c>
      <c r="P71" s="169" t="str">
        <f t="shared" si="72"/>
        <v/>
      </c>
      <c r="Q71" s="169" t="str">
        <f t="shared" si="72"/>
        <v/>
      </c>
      <c r="R71" s="169" t="str">
        <f t="shared" si="72"/>
        <v/>
      </c>
      <c r="S71" s="169" t="str">
        <f t="shared" si="72"/>
        <v/>
      </c>
      <c r="T71" s="169" t="str">
        <f t="shared" si="72"/>
        <v/>
      </c>
      <c r="U71" s="169" t="str">
        <f t="shared" si="72"/>
        <v/>
      </c>
      <c r="V71" s="169" t="str">
        <f t="shared" si="72"/>
        <v/>
      </c>
      <c r="W71" s="169" t="str">
        <f t="shared" si="72"/>
        <v/>
      </c>
      <c r="X71" s="169" t="str">
        <f t="shared" si="72"/>
        <v/>
      </c>
      <c r="Y71" s="169" t="str">
        <f t="shared" si="72"/>
        <v/>
      </c>
      <c r="Z71" s="169" t="str">
        <f t="shared" si="72"/>
        <v/>
      </c>
      <c r="AA71" s="169" t="str">
        <f t="shared" si="72"/>
        <v/>
      </c>
      <c r="AB71" s="169" t="str">
        <f t="shared" si="72"/>
        <v/>
      </c>
      <c r="AC71" s="169" t="str">
        <f t="shared" si="72"/>
        <v/>
      </c>
      <c r="AD71" s="169" t="str">
        <f t="shared" si="72"/>
        <v/>
      </c>
      <c r="AE71" s="169" t="str">
        <f t="shared" si="72"/>
        <v/>
      </c>
      <c r="AF71" s="169" t="str">
        <f t="shared" si="72"/>
        <v/>
      </c>
      <c r="AG71" s="169" t="str">
        <f t="shared" si="72"/>
        <v/>
      </c>
      <c r="AH71" s="148">
        <f>SUM(C71:AG71)</f>
        <v>0</v>
      </c>
      <c r="AI71" s="133"/>
      <c r="AJ71" s="170"/>
      <c r="AK71" s="133"/>
      <c r="AL71" s="133"/>
    </row>
    <row r="72" spans="1:77" ht="15.95" hidden="1" customHeight="1" x14ac:dyDescent="0.25">
      <c r="A72" s="153"/>
      <c r="B72" s="167" t="s">
        <v>59</v>
      </c>
      <c r="C72" s="141">
        <f t="shared" ref="C72:AF72" si="73">IF(C11="V",$C36,IF(C11="PR",$C38,0))</f>
        <v>0</v>
      </c>
      <c r="D72" s="141">
        <f t="shared" si="73"/>
        <v>0</v>
      </c>
      <c r="E72" s="141">
        <f t="shared" si="73"/>
        <v>0</v>
      </c>
      <c r="F72" s="141">
        <f t="shared" si="73"/>
        <v>0</v>
      </c>
      <c r="G72" s="141">
        <f t="shared" si="73"/>
        <v>0</v>
      </c>
      <c r="H72" s="141">
        <f t="shared" si="73"/>
        <v>0</v>
      </c>
      <c r="I72" s="141">
        <f t="shared" si="73"/>
        <v>0</v>
      </c>
      <c r="J72" s="141">
        <f t="shared" si="73"/>
        <v>0</v>
      </c>
      <c r="K72" s="141">
        <f t="shared" si="73"/>
        <v>0</v>
      </c>
      <c r="L72" s="141">
        <f t="shared" si="73"/>
        <v>0</v>
      </c>
      <c r="M72" s="141">
        <f t="shared" si="73"/>
        <v>0</v>
      </c>
      <c r="N72" s="141">
        <f t="shared" si="73"/>
        <v>0</v>
      </c>
      <c r="O72" s="141">
        <f t="shared" si="73"/>
        <v>0</v>
      </c>
      <c r="P72" s="141">
        <f t="shared" si="73"/>
        <v>0</v>
      </c>
      <c r="Q72" s="141">
        <f t="shared" si="73"/>
        <v>0</v>
      </c>
      <c r="R72" s="141">
        <f t="shared" si="73"/>
        <v>0</v>
      </c>
      <c r="S72" s="141">
        <f t="shared" si="73"/>
        <v>0</v>
      </c>
      <c r="T72" s="141">
        <f t="shared" si="73"/>
        <v>0</v>
      </c>
      <c r="U72" s="141">
        <f t="shared" si="73"/>
        <v>0</v>
      </c>
      <c r="V72" s="141">
        <f t="shared" si="73"/>
        <v>0</v>
      </c>
      <c r="W72" s="141">
        <f t="shared" si="73"/>
        <v>0</v>
      </c>
      <c r="X72" s="141">
        <f t="shared" si="73"/>
        <v>0</v>
      </c>
      <c r="Y72" s="141">
        <f t="shared" si="73"/>
        <v>0</v>
      </c>
      <c r="Z72" s="141">
        <f t="shared" si="73"/>
        <v>0</v>
      </c>
      <c r="AA72" s="141">
        <f t="shared" si="73"/>
        <v>0</v>
      </c>
      <c r="AB72" s="141">
        <f t="shared" si="73"/>
        <v>0</v>
      </c>
      <c r="AC72" s="141">
        <f t="shared" si="73"/>
        <v>0</v>
      </c>
      <c r="AD72" s="141">
        <f t="shared" si="73"/>
        <v>0</v>
      </c>
      <c r="AE72" s="141">
        <f t="shared" si="73"/>
        <v>0</v>
      </c>
      <c r="AF72" s="141">
        <f t="shared" si="73"/>
        <v>0</v>
      </c>
      <c r="AG72" s="141">
        <f t="shared" ref="AG72" si="74">IF(AG11="V",$C36,IF(AG11="PR",$C38,0))</f>
        <v>0</v>
      </c>
      <c r="AH72" s="226">
        <f>SUM(C72:AG72)</f>
        <v>0</v>
      </c>
      <c r="AI72" s="226"/>
      <c r="AJ72" s="170" t="s">
        <v>12</v>
      </c>
      <c r="AK72" s="133"/>
      <c r="AL72" s="133"/>
    </row>
    <row r="73" spans="1:77" ht="15.95" hidden="1" customHeight="1" x14ac:dyDescent="0.25">
      <c r="A73" s="150" t="s">
        <v>60</v>
      </c>
      <c r="B73" s="167" t="s">
        <v>61</v>
      </c>
      <c r="C73" s="151">
        <f t="shared" ref="C73:AG73" si="75">IF(C11=$R32,$BC32,IF(C11=$R33,$BC33,IF(C11=$R34,$BC34,IF(C11=$R35,$BC35,IF(C11=$R36,$BC36,IF(C11=$R37,$BC37,IF(C11=$R38,$BC38,IF(C11=$R39,$BC39,IF(C11=$R40,$BC40,0)))))))))</f>
        <v>0</v>
      </c>
      <c r="D73" s="151">
        <f t="shared" si="75"/>
        <v>0</v>
      </c>
      <c r="E73" s="151">
        <f t="shared" si="75"/>
        <v>0</v>
      </c>
      <c r="F73" s="151">
        <f t="shared" si="75"/>
        <v>0</v>
      </c>
      <c r="G73" s="151">
        <f t="shared" si="75"/>
        <v>0</v>
      </c>
      <c r="H73" s="151">
        <f t="shared" si="75"/>
        <v>0</v>
      </c>
      <c r="I73" s="151">
        <f t="shared" si="75"/>
        <v>0</v>
      </c>
      <c r="J73" s="151">
        <f t="shared" si="75"/>
        <v>0</v>
      </c>
      <c r="K73" s="151">
        <f t="shared" si="75"/>
        <v>0</v>
      </c>
      <c r="L73" s="151">
        <f t="shared" si="75"/>
        <v>0</v>
      </c>
      <c r="M73" s="151">
        <f t="shared" si="75"/>
        <v>0</v>
      </c>
      <c r="N73" s="151">
        <f t="shared" si="75"/>
        <v>0</v>
      </c>
      <c r="O73" s="151">
        <f t="shared" si="75"/>
        <v>0</v>
      </c>
      <c r="P73" s="151">
        <f t="shared" si="75"/>
        <v>0</v>
      </c>
      <c r="Q73" s="151">
        <f t="shared" si="75"/>
        <v>0</v>
      </c>
      <c r="R73" s="151">
        <f t="shared" si="75"/>
        <v>0</v>
      </c>
      <c r="S73" s="151">
        <f t="shared" si="75"/>
        <v>0</v>
      </c>
      <c r="T73" s="151">
        <f t="shared" si="75"/>
        <v>0</v>
      </c>
      <c r="U73" s="151">
        <f t="shared" si="75"/>
        <v>0</v>
      </c>
      <c r="V73" s="151">
        <f t="shared" si="75"/>
        <v>0</v>
      </c>
      <c r="W73" s="151">
        <f t="shared" si="75"/>
        <v>0</v>
      </c>
      <c r="X73" s="151">
        <f t="shared" si="75"/>
        <v>0</v>
      </c>
      <c r="Y73" s="151">
        <f t="shared" si="75"/>
        <v>0</v>
      </c>
      <c r="Z73" s="151">
        <f t="shared" si="75"/>
        <v>0</v>
      </c>
      <c r="AA73" s="151">
        <f t="shared" si="75"/>
        <v>0</v>
      </c>
      <c r="AB73" s="151">
        <f t="shared" si="75"/>
        <v>0</v>
      </c>
      <c r="AC73" s="151">
        <f t="shared" si="75"/>
        <v>0</v>
      </c>
      <c r="AD73" s="151">
        <f t="shared" si="75"/>
        <v>0</v>
      </c>
      <c r="AE73" s="151">
        <f t="shared" si="75"/>
        <v>0</v>
      </c>
      <c r="AF73" s="151">
        <f t="shared" si="75"/>
        <v>0</v>
      </c>
      <c r="AG73" s="151">
        <f t="shared" si="75"/>
        <v>0</v>
      </c>
      <c r="AH73" s="226">
        <f>SUM(C73:AG73)</f>
        <v>0</v>
      </c>
      <c r="AI73" s="226"/>
      <c r="AJ73" s="175" t="s">
        <v>62</v>
      </c>
      <c r="AK73" s="133" t="s">
        <v>12</v>
      </c>
      <c r="AL73" s="133"/>
    </row>
    <row r="74" spans="1:77" ht="15.95" hidden="1" customHeight="1" x14ac:dyDescent="0.25">
      <c r="A74" s="153" t="s">
        <v>48</v>
      </c>
      <c r="B74" s="149" t="s">
        <v>63</v>
      </c>
      <c r="C74" s="141">
        <f t="shared" ref="C74:AG74" si="76">IF(C46=1,IF(C69&lt;C70,C73,0))</f>
        <v>0</v>
      </c>
      <c r="D74" s="141">
        <f t="shared" si="76"/>
        <v>0</v>
      </c>
      <c r="E74" s="141" t="b">
        <f t="shared" si="76"/>
        <v>0</v>
      </c>
      <c r="F74" s="141" t="b">
        <f t="shared" si="76"/>
        <v>0</v>
      </c>
      <c r="G74" s="141" t="b">
        <f t="shared" si="76"/>
        <v>0</v>
      </c>
      <c r="H74" s="141" t="b">
        <f t="shared" si="76"/>
        <v>0</v>
      </c>
      <c r="I74" s="141" t="b">
        <f t="shared" si="76"/>
        <v>0</v>
      </c>
      <c r="J74" s="141">
        <f t="shared" si="76"/>
        <v>0</v>
      </c>
      <c r="K74" s="141">
        <f t="shared" si="76"/>
        <v>0</v>
      </c>
      <c r="L74" s="141" t="b">
        <f t="shared" si="76"/>
        <v>0</v>
      </c>
      <c r="M74" s="141" t="b">
        <f t="shared" si="76"/>
        <v>0</v>
      </c>
      <c r="N74" s="141" t="b">
        <f t="shared" si="76"/>
        <v>0</v>
      </c>
      <c r="O74" s="141" t="b">
        <f t="shared" si="76"/>
        <v>0</v>
      </c>
      <c r="P74" s="141" t="b">
        <f t="shared" si="76"/>
        <v>0</v>
      </c>
      <c r="Q74" s="141">
        <f t="shared" si="76"/>
        <v>0</v>
      </c>
      <c r="R74" s="141">
        <f t="shared" si="76"/>
        <v>0</v>
      </c>
      <c r="S74" s="141" t="b">
        <f t="shared" si="76"/>
        <v>0</v>
      </c>
      <c r="T74" s="141" t="b">
        <f t="shared" si="76"/>
        <v>0</v>
      </c>
      <c r="U74" s="141" t="b">
        <f t="shared" si="76"/>
        <v>0</v>
      </c>
      <c r="V74" s="141" t="b">
        <f t="shared" si="76"/>
        <v>0</v>
      </c>
      <c r="W74" s="141" t="b">
        <f t="shared" si="76"/>
        <v>0</v>
      </c>
      <c r="X74" s="141">
        <f t="shared" si="76"/>
        <v>0</v>
      </c>
      <c r="Y74" s="141">
        <f t="shared" si="76"/>
        <v>0</v>
      </c>
      <c r="Z74" s="141" t="b">
        <f t="shared" si="76"/>
        <v>0</v>
      </c>
      <c r="AA74" s="141" t="b">
        <f t="shared" si="76"/>
        <v>0</v>
      </c>
      <c r="AB74" s="141" t="b">
        <f t="shared" si="76"/>
        <v>0</v>
      </c>
      <c r="AC74" s="141" t="b">
        <f t="shared" si="76"/>
        <v>0</v>
      </c>
      <c r="AD74" s="141" t="b">
        <f t="shared" si="76"/>
        <v>0</v>
      </c>
      <c r="AE74" s="141">
        <f t="shared" si="76"/>
        <v>0</v>
      </c>
      <c r="AF74" s="141">
        <f t="shared" si="76"/>
        <v>0</v>
      </c>
      <c r="AG74" s="141" t="b">
        <f t="shared" si="76"/>
        <v>0</v>
      </c>
      <c r="AH74" s="154" t="s">
        <v>12</v>
      </c>
      <c r="AI74" s="133"/>
      <c r="AJ74" s="170"/>
      <c r="AK74" s="133"/>
      <c r="AL74" s="133"/>
    </row>
    <row r="75" spans="1:77" ht="15.95" hidden="1" customHeight="1" x14ac:dyDescent="0.25">
      <c r="A75" s="176"/>
      <c r="B75" s="149" t="s">
        <v>64</v>
      </c>
      <c r="C75" s="141">
        <f t="shared" ref="C75:AG75" si="77">IF(C46=1,IF(C69&gt;C70,24-C69,0),0)</f>
        <v>0</v>
      </c>
      <c r="D75" s="141">
        <f t="shared" si="77"/>
        <v>0</v>
      </c>
      <c r="E75" s="141">
        <f t="shared" si="77"/>
        <v>0</v>
      </c>
      <c r="F75" s="141">
        <f t="shared" si="77"/>
        <v>0</v>
      </c>
      <c r="G75" s="141">
        <f t="shared" si="77"/>
        <v>0</v>
      </c>
      <c r="H75" s="141">
        <f t="shared" si="77"/>
        <v>0</v>
      </c>
      <c r="I75" s="141">
        <f t="shared" si="77"/>
        <v>0</v>
      </c>
      <c r="J75" s="141">
        <f t="shared" si="77"/>
        <v>0</v>
      </c>
      <c r="K75" s="141">
        <f t="shared" si="77"/>
        <v>0</v>
      </c>
      <c r="L75" s="141">
        <f t="shared" si="77"/>
        <v>0</v>
      </c>
      <c r="M75" s="141">
        <f t="shared" si="77"/>
        <v>0</v>
      </c>
      <c r="N75" s="141">
        <f t="shared" si="77"/>
        <v>0</v>
      </c>
      <c r="O75" s="141">
        <f t="shared" si="77"/>
        <v>0</v>
      </c>
      <c r="P75" s="141">
        <f t="shared" si="77"/>
        <v>0</v>
      </c>
      <c r="Q75" s="141">
        <f t="shared" si="77"/>
        <v>0</v>
      </c>
      <c r="R75" s="141">
        <f t="shared" si="77"/>
        <v>0</v>
      </c>
      <c r="S75" s="141">
        <f t="shared" si="77"/>
        <v>0</v>
      </c>
      <c r="T75" s="141">
        <f t="shared" si="77"/>
        <v>0</v>
      </c>
      <c r="U75" s="141">
        <f t="shared" si="77"/>
        <v>0</v>
      </c>
      <c r="V75" s="141">
        <f t="shared" si="77"/>
        <v>0</v>
      </c>
      <c r="W75" s="141">
        <f t="shared" si="77"/>
        <v>0</v>
      </c>
      <c r="X75" s="141">
        <f t="shared" si="77"/>
        <v>0</v>
      </c>
      <c r="Y75" s="141">
        <f t="shared" si="77"/>
        <v>0</v>
      </c>
      <c r="Z75" s="141">
        <f t="shared" si="77"/>
        <v>0</v>
      </c>
      <c r="AA75" s="141">
        <f t="shared" si="77"/>
        <v>0</v>
      </c>
      <c r="AB75" s="141">
        <f t="shared" si="77"/>
        <v>0</v>
      </c>
      <c r="AC75" s="141">
        <f t="shared" si="77"/>
        <v>0</v>
      </c>
      <c r="AD75" s="141">
        <f t="shared" si="77"/>
        <v>0</v>
      </c>
      <c r="AE75" s="141">
        <f t="shared" si="77"/>
        <v>0</v>
      </c>
      <c r="AF75" s="141">
        <f t="shared" si="77"/>
        <v>0</v>
      </c>
      <c r="AG75" s="141">
        <f t="shared" si="77"/>
        <v>0</v>
      </c>
      <c r="AH75" s="154" t="s">
        <v>12</v>
      </c>
      <c r="AI75" s="133"/>
      <c r="AJ75" s="170"/>
      <c r="AK75" s="133"/>
      <c r="AL75" s="133"/>
    </row>
    <row r="76" spans="1:77" ht="15.95" hidden="1" customHeight="1" x14ac:dyDescent="0.25">
      <c r="A76" s="176"/>
      <c r="B76" s="149" t="s">
        <v>65</v>
      </c>
      <c r="C76" s="141">
        <f t="shared" ref="C76:AG76" si="78">IF(D46=1,IF(C69&gt;C70,C70,0),0)</f>
        <v>0</v>
      </c>
      <c r="D76" s="141">
        <f t="shared" si="78"/>
        <v>0</v>
      </c>
      <c r="E76" s="141">
        <f t="shared" si="78"/>
        <v>0</v>
      </c>
      <c r="F76" s="141">
        <f t="shared" si="78"/>
        <v>0</v>
      </c>
      <c r="G76" s="141">
        <f t="shared" si="78"/>
        <v>0</v>
      </c>
      <c r="H76" s="141">
        <f t="shared" si="78"/>
        <v>0</v>
      </c>
      <c r="I76" s="141">
        <f t="shared" si="78"/>
        <v>0</v>
      </c>
      <c r="J76" s="141">
        <f t="shared" si="78"/>
        <v>0</v>
      </c>
      <c r="K76" s="141">
        <f t="shared" si="78"/>
        <v>0</v>
      </c>
      <c r="L76" s="141">
        <f t="shared" si="78"/>
        <v>0</v>
      </c>
      <c r="M76" s="141">
        <f t="shared" si="78"/>
        <v>0</v>
      </c>
      <c r="N76" s="141">
        <f t="shared" si="78"/>
        <v>0</v>
      </c>
      <c r="O76" s="141">
        <f t="shared" si="78"/>
        <v>0</v>
      </c>
      <c r="P76" s="141">
        <f t="shared" si="78"/>
        <v>0</v>
      </c>
      <c r="Q76" s="141">
        <f t="shared" si="78"/>
        <v>0</v>
      </c>
      <c r="R76" s="141">
        <f t="shared" si="78"/>
        <v>0</v>
      </c>
      <c r="S76" s="141">
        <f t="shared" si="78"/>
        <v>0</v>
      </c>
      <c r="T76" s="141">
        <f t="shared" si="78"/>
        <v>0</v>
      </c>
      <c r="U76" s="141">
        <f t="shared" si="78"/>
        <v>0</v>
      </c>
      <c r="V76" s="141">
        <f t="shared" si="78"/>
        <v>0</v>
      </c>
      <c r="W76" s="141">
        <f t="shared" si="78"/>
        <v>0</v>
      </c>
      <c r="X76" s="141">
        <f>IF(Y46=1,IF(X69&gt;X70,X70,0),0)</f>
        <v>0</v>
      </c>
      <c r="Y76" s="141">
        <f t="shared" si="78"/>
        <v>0</v>
      </c>
      <c r="Z76" s="141">
        <f t="shared" si="78"/>
        <v>0</v>
      </c>
      <c r="AA76" s="141">
        <f t="shared" si="78"/>
        <v>0</v>
      </c>
      <c r="AB76" s="141">
        <f t="shared" si="78"/>
        <v>0</v>
      </c>
      <c r="AC76" s="141">
        <f t="shared" si="78"/>
        <v>0</v>
      </c>
      <c r="AD76" s="141">
        <f t="shared" si="78"/>
        <v>0</v>
      </c>
      <c r="AE76" s="141">
        <f t="shared" si="78"/>
        <v>0</v>
      </c>
      <c r="AF76" s="141">
        <f t="shared" si="78"/>
        <v>0</v>
      </c>
      <c r="AG76" s="141">
        <f t="shared" si="78"/>
        <v>0</v>
      </c>
      <c r="AH76" s="154" t="s">
        <v>12</v>
      </c>
      <c r="AI76" s="133"/>
      <c r="AJ76" s="170"/>
      <c r="AK76" s="133"/>
      <c r="AL76" s="133"/>
    </row>
    <row r="77" spans="1:77" ht="15.95" hidden="1" customHeight="1" x14ac:dyDescent="0.25">
      <c r="A77" s="176"/>
      <c r="B77" s="149" t="s">
        <v>67</v>
      </c>
      <c r="C77" s="171">
        <f t="shared" ref="C77:AG77" si="79">SUM(C74:C76)</f>
        <v>0</v>
      </c>
      <c r="D77" s="171">
        <f t="shared" si="79"/>
        <v>0</v>
      </c>
      <c r="E77" s="171">
        <f t="shared" si="79"/>
        <v>0</v>
      </c>
      <c r="F77" s="171">
        <f t="shared" si="79"/>
        <v>0</v>
      </c>
      <c r="G77" s="171">
        <f t="shared" si="79"/>
        <v>0</v>
      </c>
      <c r="H77" s="171">
        <f t="shared" si="79"/>
        <v>0</v>
      </c>
      <c r="I77" s="171">
        <f t="shared" si="79"/>
        <v>0</v>
      </c>
      <c r="J77" s="171">
        <f t="shared" si="79"/>
        <v>0</v>
      </c>
      <c r="K77" s="171">
        <f t="shared" si="79"/>
        <v>0</v>
      </c>
      <c r="L77" s="171">
        <f t="shared" si="79"/>
        <v>0</v>
      </c>
      <c r="M77" s="171">
        <f t="shared" si="79"/>
        <v>0</v>
      </c>
      <c r="N77" s="171">
        <f t="shared" si="79"/>
        <v>0</v>
      </c>
      <c r="O77" s="171">
        <f t="shared" si="79"/>
        <v>0</v>
      </c>
      <c r="P77" s="171">
        <f t="shared" si="79"/>
        <v>0</v>
      </c>
      <c r="Q77" s="171">
        <f t="shared" si="79"/>
        <v>0</v>
      </c>
      <c r="R77" s="171">
        <f t="shared" si="79"/>
        <v>0</v>
      </c>
      <c r="S77" s="171">
        <f t="shared" si="79"/>
        <v>0</v>
      </c>
      <c r="T77" s="171">
        <f t="shared" si="79"/>
        <v>0</v>
      </c>
      <c r="U77" s="171">
        <f t="shared" si="79"/>
        <v>0</v>
      </c>
      <c r="V77" s="171">
        <f t="shared" si="79"/>
        <v>0</v>
      </c>
      <c r="W77" s="171">
        <f t="shared" si="79"/>
        <v>0</v>
      </c>
      <c r="X77" s="171">
        <f t="shared" si="79"/>
        <v>0</v>
      </c>
      <c r="Y77" s="171">
        <f t="shared" si="79"/>
        <v>0</v>
      </c>
      <c r="Z77" s="171">
        <f t="shared" si="79"/>
        <v>0</v>
      </c>
      <c r="AA77" s="171">
        <f t="shared" si="79"/>
        <v>0</v>
      </c>
      <c r="AB77" s="171">
        <f t="shared" si="79"/>
        <v>0</v>
      </c>
      <c r="AC77" s="171">
        <f t="shared" si="79"/>
        <v>0</v>
      </c>
      <c r="AD77" s="171">
        <f t="shared" si="79"/>
        <v>0</v>
      </c>
      <c r="AE77" s="171">
        <f t="shared" si="79"/>
        <v>0</v>
      </c>
      <c r="AF77" s="171">
        <f t="shared" si="79"/>
        <v>0</v>
      </c>
      <c r="AG77" s="171">
        <f t="shared" si="79"/>
        <v>0</v>
      </c>
      <c r="AH77" s="154" t="s">
        <v>12</v>
      </c>
      <c r="AI77" s="133"/>
      <c r="AJ77" s="170"/>
      <c r="AK77" s="133"/>
      <c r="AL77" s="133"/>
    </row>
    <row r="78" spans="1:77" ht="15.95" hidden="1" customHeight="1" x14ac:dyDescent="0.25">
      <c r="A78" s="177"/>
      <c r="B78" s="160" t="s">
        <v>68</v>
      </c>
      <c r="C78" s="161">
        <f t="shared" ref="C78:AF78" si="80">IF(C11="V",IF(C11="",0,1),0)</f>
        <v>0</v>
      </c>
      <c r="D78" s="161">
        <f t="shared" si="80"/>
        <v>0</v>
      </c>
      <c r="E78" s="161">
        <f t="shared" si="80"/>
        <v>0</v>
      </c>
      <c r="F78" s="161">
        <f t="shared" si="80"/>
        <v>0</v>
      </c>
      <c r="G78" s="161">
        <f t="shared" si="80"/>
        <v>0</v>
      </c>
      <c r="H78" s="161">
        <f t="shared" si="80"/>
        <v>0</v>
      </c>
      <c r="I78" s="161">
        <f t="shared" si="80"/>
        <v>0</v>
      </c>
      <c r="J78" s="161">
        <f t="shared" si="80"/>
        <v>0</v>
      </c>
      <c r="K78" s="161">
        <f t="shared" si="80"/>
        <v>0</v>
      </c>
      <c r="L78" s="161">
        <f t="shared" si="80"/>
        <v>0</v>
      </c>
      <c r="M78" s="161">
        <f t="shared" si="80"/>
        <v>0</v>
      </c>
      <c r="N78" s="161">
        <f t="shared" si="80"/>
        <v>0</v>
      </c>
      <c r="O78" s="161">
        <f t="shared" si="80"/>
        <v>0</v>
      </c>
      <c r="P78" s="161">
        <f t="shared" si="80"/>
        <v>0</v>
      </c>
      <c r="Q78" s="161">
        <f t="shared" si="80"/>
        <v>0</v>
      </c>
      <c r="R78" s="161">
        <f t="shared" si="80"/>
        <v>0</v>
      </c>
      <c r="S78" s="161">
        <f t="shared" si="80"/>
        <v>0</v>
      </c>
      <c r="T78" s="161">
        <f t="shared" si="80"/>
        <v>0</v>
      </c>
      <c r="U78" s="161">
        <f t="shared" si="80"/>
        <v>0</v>
      </c>
      <c r="V78" s="161">
        <f t="shared" si="80"/>
        <v>0</v>
      </c>
      <c r="W78" s="161">
        <f t="shared" si="80"/>
        <v>0</v>
      </c>
      <c r="X78" s="161">
        <f t="shared" si="80"/>
        <v>0</v>
      </c>
      <c r="Y78" s="161">
        <f t="shared" si="80"/>
        <v>0</v>
      </c>
      <c r="Z78" s="161">
        <f t="shared" si="80"/>
        <v>0</v>
      </c>
      <c r="AA78" s="161">
        <f t="shared" si="80"/>
        <v>0</v>
      </c>
      <c r="AB78" s="161">
        <f t="shared" si="80"/>
        <v>0</v>
      </c>
      <c r="AC78" s="161">
        <f t="shared" si="80"/>
        <v>0</v>
      </c>
      <c r="AD78" s="161">
        <f t="shared" si="80"/>
        <v>0</v>
      </c>
      <c r="AE78" s="161">
        <f t="shared" si="80"/>
        <v>0</v>
      </c>
      <c r="AF78" s="161">
        <f t="shared" si="80"/>
        <v>0</v>
      </c>
      <c r="AG78" s="161">
        <f t="shared" ref="AG78" si="81">IF(AG11="V",IF(AG11="",0,1),0)</f>
        <v>0</v>
      </c>
      <c r="AH78" s="154" t="s">
        <v>12</v>
      </c>
      <c r="AI78" s="133"/>
      <c r="AJ78" s="170"/>
      <c r="AK78" s="133"/>
      <c r="AL78" s="133"/>
    </row>
    <row r="79" spans="1:77" ht="15.95" hidden="1" customHeight="1" x14ac:dyDescent="0.25">
      <c r="A79" s="173"/>
      <c r="B79" s="130" t="s">
        <v>16</v>
      </c>
      <c r="C79" s="163">
        <f t="shared" ref="C79:AF79" si="82">IF(C11="PR",IF(C11="",0,1),0)</f>
        <v>0</v>
      </c>
      <c r="D79" s="163">
        <f t="shared" si="82"/>
        <v>0</v>
      </c>
      <c r="E79" s="163">
        <f t="shared" si="82"/>
        <v>0</v>
      </c>
      <c r="F79" s="163">
        <f t="shared" si="82"/>
        <v>0</v>
      </c>
      <c r="G79" s="163">
        <f t="shared" si="82"/>
        <v>0</v>
      </c>
      <c r="H79" s="163">
        <f t="shared" si="82"/>
        <v>0</v>
      </c>
      <c r="I79" s="163">
        <f t="shared" si="82"/>
        <v>0</v>
      </c>
      <c r="J79" s="163">
        <f t="shared" si="82"/>
        <v>0</v>
      </c>
      <c r="K79" s="163">
        <f t="shared" si="82"/>
        <v>0</v>
      </c>
      <c r="L79" s="163">
        <f t="shared" si="82"/>
        <v>0</v>
      </c>
      <c r="M79" s="163">
        <f t="shared" si="82"/>
        <v>0</v>
      </c>
      <c r="N79" s="163">
        <f t="shared" si="82"/>
        <v>0</v>
      </c>
      <c r="O79" s="163">
        <f t="shared" si="82"/>
        <v>0</v>
      </c>
      <c r="P79" s="163">
        <f t="shared" si="82"/>
        <v>0</v>
      </c>
      <c r="Q79" s="163">
        <f t="shared" si="82"/>
        <v>0</v>
      </c>
      <c r="R79" s="163">
        <f t="shared" si="82"/>
        <v>0</v>
      </c>
      <c r="S79" s="163">
        <f t="shared" si="82"/>
        <v>0</v>
      </c>
      <c r="T79" s="163">
        <f t="shared" si="82"/>
        <v>0</v>
      </c>
      <c r="U79" s="163">
        <f t="shared" si="82"/>
        <v>0</v>
      </c>
      <c r="V79" s="163">
        <f t="shared" si="82"/>
        <v>0</v>
      </c>
      <c r="W79" s="163">
        <f t="shared" si="82"/>
        <v>0</v>
      </c>
      <c r="X79" s="163">
        <f t="shared" si="82"/>
        <v>0</v>
      </c>
      <c r="Y79" s="163">
        <f t="shared" si="82"/>
        <v>0</v>
      </c>
      <c r="Z79" s="163">
        <f t="shared" si="82"/>
        <v>0</v>
      </c>
      <c r="AA79" s="163">
        <f t="shared" si="82"/>
        <v>0</v>
      </c>
      <c r="AB79" s="163">
        <f t="shared" si="82"/>
        <v>0</v>
      </c>
      <c r="AC79" s="163">
        <f t="shared" si="82"/>
        <v>0</v>
      </c>
      <c r="AD79" s="163">
        <f t="shared" si="82"/>
        <v>0</v>
      </c>
      <c r="AE79" s="163">
        <f t="shared" si="82"/>
        <v>0</v>
      </c>
      <c r="AF79" s="163">
        <f t="shared" si="82"/>
        <v>0</v>
      </c>
      <c r="AG79" s="163">
        <f t="shared" ref="AG79" si="83">IF(AG11="PR",IF(AG11="",0,1),0)</f>
        <v>0</v>
      </c>
      <c r="AH79" s="229">
        <f>SUM(C79:AG79)</f>
        <v>0</v>
      </c>
      <c r="AI79" s="229"/>
      <c r="AJ79" s="174" t="s">
        <v>69</v>
      </c>
      <c r="AK79" s="133"/>
      <c r="AL79" s="133"/>
    </row>
    <row r="80" spans="1:77" ht="15.95" hidden="1" customHeight="1" x14ac:dyDescent="0.25">
      <c r="A80" s="164" t="s">
        <v>75</v>
      </c>
      <c r="B80" s="165" t="s">
        <v>29</v>
      </c>
      <c r="C80" s="141" t="str">
        <f t="shared" ref="C80:AG80" si="84">IF(C12=$R32,$S32*24,IF(C12=$R33,$S33*24,IF(C12=$R34,$S34*24,IF(C12=$R35,$S35*24,IF(C12=$R36,$S36*24,IF(C12=$R37,$S37*24,IF(C12=$R38,$S38*24,IF(C12=$R39,$S39*24,IF(C12=$R40,$S40*24,"")))))))))</f>
        <v/>
      </c>
      <c r="D80" s="141" t="str">
        <f t="shared" si="84"/>
        <v/>
      </c>
      <c r="E80" s="141" t="str">
        <f t="shared" si="84"/>
        <v/>
      </c>
      <c r="F80" s="141" t="str">
        <f t="shared" si="84"/>
        <v/>
      </c>
      <c r="G80" s="141" t="str">
        <f t="shared" si="84"/>
        <v/>
      </c>
      <c r="H80" s="141" t="str">
        <f t="shared" si="84"/>
        <v/>
      </c>
      <c r="I80" s="141" t="str">
        <f t="shared" si="84"/>
        <v/>
      </c>
      <c r="J80" s="141" t="str">
        <f t="shared" si="84"/>
        <v/>
      </c>
      <c r="K80" s="141" t="str">
        <f t="shared" si="84"/>
        <v/>
      </c>
      <c r="L80" s="141" t="str">
        <f t="shared" si="84"/>
        <v/>
      </c>
      <c r="M80" s="141" t="str">
        <f t="shared" si="84"/>
        <v/>
      </c>
      <c r="N80" s="141" t="str">
        <f t="shared" si="84"/>
        <v/>
      </c>
      <c r="O80" s="141" t="str">
        <f t="shared" si="84"/>
        <v/>
      </c>
      <c r="P80" s="141" t="str">
        <f t="shared" si="84"/>
        <v/>
      </c>
      <c r="Q80" s="141" t="str">
        <f t="shared" si="84"/>
        <v/>
      </c>
      <c r="R80" s="141" t="str">
        <f t="shared" si="84"/>
        <v/>
      </c>
      <c r="S80" s="141" t="str">
        <f t="shared" si="84"/>
        <v/>
      </c>
      <c r="T80" s="141" t="str">
        <f t="shared" si="84"/>
        <v/>
      </c>
      <c r="U80" s="141" t="str">
        <f t="shared" si="84"/>
        <v/>
      </c>
      <c r="V80" s="141" t="str">
        <f t="shared" si="84"/>
        <v/>
      </c>
      <c r="W80" s="141" t="str">
        <f t="shared" si="84"/>
        <v/>
      </c>
      <c r="X80" s="141" t="str">
        <f t="shared" si="84"/>
        <v/>
      </c>
      <c r="Y80" s="141" t="str">
        <f t="shared" si="84"/>
        <v/>
      </c>
      <c r="Z80" s="141" t="str">
        <f t="shared" si="84"/>
        <v/>
      </c>
      <c r="AA80" s="141" t="str">
        <f t="shared" si="84"/>
        <v/>
      </c>
      <c r="AB80" s="141" t="str">
        <f t="shared" si="84"/>
        <v/>
      </c>
      <c r="AC80" s="141" t="str">
        <f t="shared" si="84"/>
        <v/>
      </c>
      <c r="AD80" s="141" t="str">
        <f t="shared" si="84"/>
        <v/>
      </c>
      <c r="AE80" s="141" t="str">
        <f t="shared" si="84"/>
        <v/>
      </c>
      <c r="AF80" s="141" t="str">
        <f t="shared" si="84"/>
        <v/>
      </c>
      <c r="AG80" s="141" t="str">
        <f t="shared" si="84"/>
        <v/>
      </c>
      <c r="AH80" s="154" t="s">
        <v>12</v>
      </c>
      <c r="AI80" s="133"/>
      <c r="AJ80" s="170"/>
      <c r="AK80" s="133"/>
      <c r="AL80" s="133"/>
    </row>
    <row r="81" spans="1:38" ht="15.95" hidden="1" customHeight="1" x14ac:dyDescent="0.25">
      <c r="A81" s="166" t="s">
        <v>76</v>
      </c>
      <c r="B81" s="167" t="s">
        <v>30</v>
      </c>
      <c r="C81" s="141" t="str">
        <f t="shared" ref="C81:AG81" si="85">IF(C12=$R32,$V32*24,IF(C12=$R33,$V33*24,IF(C12=$R34,$V34*24,IF(C12=$R35,$V35*24,IF(C12=$R36,$V36*24,IF(C12=$R37,$V37*24,IF(C12=$R38,$V38*24,IF(C12=$R39,$V39*24,IF(C12=$R40,$V40*24,"")))))))))</f>
        <v/>
      </c>
      <c r="D81" s="141" t="str">
        <f t="shared" si="85"/>
        <v/>
      </c>
      <c r="E81" s="141" t="str">
        <f t="shared" si="85"/>
        <v/>
      </c>
      <c r="F81" s="141" t="str">
        <f t="shared" si="85"/>
        <v/>
      </c>
      <c r="G81" s="141" t="str">
        <f t="shared" si="85"/>
        <v/>
      </c>
      <c r="H81" s="141" t="str">
        <f t="shared" si="85"/>
        <v/>
      </c>
      <c r="I81" s="141" t="str">
        <f t="shared" si="85"/>
        <v/>
      </c>
      <c r="J81" s="141" t="str">
        <f t="shared" si="85"/>
        <v/>
      </c>
      <c r="K81" s="141" t="str">
        <f t="shared" si="85"/>
        <v/>
      </c>
      <c r="L81" s="141" t="str">
        <f t="shared" si="85"/>
        <v/>
      </c>
      <c r="M81" s="141" t="str">
        <f t="shared" si="85"/>
        <v/>
      </c>
      <c r="N81" s="141" t="str">
        <f t="shared" si="85"/>
        <v/>
      </c>
      <c r="O81" s="141" t="str">
        <f t="shared" si="85"/>
        <v/>
      </c>
      <c r="P81" s="141" t="str">
        <f t="shared" si="85"/>
        <v/>
      </c>
      <c r="Q81" s="141" t="str">
        <f t="shared" si="85"/>
        <v/>
      </c>
      <c r="R81" s="141" t="str">
        <f t="shared" si="85"/>
        <v/>
      </c>
      <c r="S81" s="141" t="str">
        <f t="shared" si="85"/>
        <v/>
      </c>
      <c r="T81" s="141" t="str">
        <f t="shared" si="85"/>
        <v/>
      </c>
      <c r="U81" s="141" t="str">
        <f t="shared" si="85"/>
        <v/>
      </c>
      <c r="V81" s="141" t="str">
        <f t="shared" si="85"/>
        <v/>
      </c>
      <c r="W81" s="141" t="str">
        <f t="shared" si="85"/>
        <v/>
      </c>
      <c r="X81" s="141" t="str">
        <f t="shared" si="85"/>
        <v/>
      </c>
      <c r="Y81" s="141" t="str">
        <f t="shared" si="85"/>
        <v/>
      </c>
      <c r="Z81" s="141" t="str">
        <f t="shared" si="85"/>
        <v/>
      </c>
      <c r="AA81" s="141" t="str">
        <f t="shared" si="85"/>
        <v/>
      </c>
      <c r="AB81" s="141" t="str">
        <f t="shared" si="85"/>
        <v/>
      </c>
      <c r="AC81" s="141" t="str">
        <f t="shared" si="85"/>
        <v/>
      </c>
      <c r="AD81" s="141" t="str">
        <f t="shared" si="85"/>
        <v/>
      </c>
      <c r="AE81" s="141" t="str">
        <f t="shared" si="85"/>
        <v/>
      </c>
      <c r="AF81" s="141" t="str">
        <f t="shared" si="85"/>
        <v/>
      </c>
      <c r="AG81" s="141" t="str">
        <f t="shared" si="85"/>
        <v/>
      </c>
      <c r="AH81" s="154" t="s">
        <v>12</v>
      </c>
      <c r="AI81" s="133"/>
      <c r="AJ81" s="170"/>
      <c r="AK81" s="133"/>
      <c r="AL81" s="133"/>
    </row>
    <row r="82" spans="1:38" ht="15.95" hidden="1" customHeight="1" x14ac:dyDescent="0.25">
      <c r="A82" s="153"/>
      <c r="B82" s="168" t="s">
        <v>34</v>
      </c>
      <c r="C82" s="169" t="str">
        <f t="shared" ref="C82:AD82" si="86">IF(C12=$R32,$BD32*24,IF(C12=$R33,$BD33*24,IF(C12=$R34,$BD34*24,IF(C12=$R35,$BD35*24,IF(C12=$R36,$BD36*24,IF(C12=$R37,$BD37*24,IF(C12=$R38,$BD38*24,IF(C12=$R39,$BD39*24,IF(C12=$R40,$BD40*24,"")))))))))</f>
        <v/>
      </c>
      <c r="D82" s="169" t="str">
        <f t="shared" si="86"/>
        <v/>
      </c>
      <c r="E82" s="169" t="str">
        <f t="shared" si="86"/>
        <v/>
      </c>
      <c r="F82" s="169" t="str">
        <f t="shared" si="86"/>
        <v/>
      </c>
      <c r="G82" s="169" t="str">
        <f t="shared" si="86"/>
        <v/>
      </c>
      <c r="H82" s="169" t="str">
        <f t="shared" si="86"/>
        <v/>
      </c>
      <c r="I82" s="169" t="str">
        <f t="shared" si="86"/>
        <v/>
      </c>
      <c r="J82" s="169" t="str">
        <f t="shared" si="86"/>
        <v/>
      </c>
      <c r="K82" s="169" t="str">
        <f t="shared" si="86"/>
        <v/>
      </c>
      <c r="L82" s="169" t="str">
        <f t="shared" si="86"/>
        <v/>
      </c>
      <c r="M82" s="169" t="str">
        <f t="shared" si="86"/>
        <v/>
      </c>
      <c r="N82" s="169" t="str">
        <f t="shared" si="86"/>
        <v/>
      </c>
      <c r="O82" s="169" t="str">
        <f t="shared" si="86"/>
        <v/>
      </c>
      <c r="P82" s="169" t="str">
        <f t="shared" si="86"/>
        <v/>
      </c>
      <c r="Q82" s="169" t="str">
        <f t="shared" si="86"/>
        <v/>
      </c>
      <c r="R82" s="169" t="str">
        <f t="shared" si="86"/>
        <v/>
      </c>
      <c r="S82" s="169" t="str">
        <f t="shared" si="86"/>
        <v/>
      </c>
      <c r="T82" s="169" t="str">
        <f t="shared" si="86"/>
        <v/>
      </c>
      <c r="U82" s="169" t="str">
        <f t="shared" si="86"/>
        <v/>
      </c>
      <c r="V82" s="169" t="str">
        <f t="shared" si="86"/>
        <v/>
      </c>
      <c r="W82" s="169" t="str">
        <f t="shared" si="86"/>
        <v/>
      </c>
      <c r="X82" s="169" t="str">
        <f t="shared" si="86"/>
        <v/>
      </c>
      <c r="Y82" s="169" t="str">
        <f t="shared" si="86"/>
        <v/>
      </c>
      <c r="Z82" s="169" t="str">
        <f t="shared" si="86"/>
        <v/>
      </c>
      <c r="AA82" s="169" t="str">
        <f t="shared" si="86"/>
        <v/>
      </c>
      <c r="AB82" s="169" t="str">
        <f t="shared" si="86"/>
        <v/>
      </c>
      <c r="AC82" s="169" t="str">
        <f t="shared" si="86"/>
        <v/>
      </c>
      <c r="AD82" s="169" t="str">
        <f t="shared" si="86"/>
        <v/>
      </c>
      <c r="AE82" s="169" t="str">
        <f>IF(AE12=$R32,$BD32*24,IF(AE12=$R33,$BD33*24,IF(AE12=$R34,$BD34*24,IF(AE12=$R35,$BD35*24,IF(AE12=$R36,$BD36*24,IF(AE12=$R37,$BD37*24,IF(AE12=$R38,$BD38*24,IF(AE12=$R39,$BD39*24,IF(AE12=$R40,$BD40*24,"")))))))))</f>
        <v/>
      </c>
      <c r="AF82" s="169" t="str">
        <f>IF(AF12=$R32,$BD32*24,IF(AF12=$R33,$BD33*24,IF(AF12=$R34,$BD34*24,IF(AF12=$R35,$BD35*24,IF(AF12=$R36,$BD36*24,IF(AF12=$R37,$BD37*24,IF(AF12=$R38,$BD38*24,IF(AF12=$R39,$BD39*24,IF(AF12=$R40,$BD40*24,"")))))))))</f>
        <v/>
      </c>
      <c r="AG82" s="169" t="str">
        <f>IF(AG12=$R32,$BD32*24,IF(AG12=$R33,$BD33*24,IF(AG12=$R34,$BD34*24,IF(AG12=$R35,$BD35*24,IF(AG12=$R36,$BD36*24,IF(AG12=$R37,$BD37*24,IF(AG12=$R38,$BD38*24,IF(AG12=$R39,$BD39*24,IF(AG12=$R40,$BD40*24,"")))))))))</f>
        <v/>
      </c>
      <c r="AH82" s="148">
        <f>SUM(C82:AG82)</f>
        <v>0</v>
      </c>
      <c r="AI82" s="133"/>
      <c r="AJ82" s="170"/>
      <c r="AK82" s="133"/>
      <c r="AL82" s="133"/>
    </row>
    <row r="83" spans="1:38" ht="15.95" hidden="1" customHeight="1" x14ac:dyDescent="0.25">
      <c r="A83" s="153"/>
      <c r="B83" s="167" t="s">
        <v>59</v>
      </c>
      <c r="C83" s="141">
        <f t="shared" ref="C83:AG83" si="87">IF(C12="V",$C36,IF(C12="PR",$C38,0))</f>
        <v>0</v>
      </c>
      <c r="D83" s="141">
        <f t="shared" si="87"/>
        <v>0</v>
      </c>
      <c r="E83" s="141">
        <f t="shared" si="87"/>
        <v>0</v>
      </c>
      <c r="F83" s="141">
        <f t="shared" si="87"/>
        <v>0</v>
      </c>
      <c r="G83" s="141">
        <f t="shared" si="87"/>
        <v>0</v>
      </c>
      <c r="H83" s="141">
        <f t="shared" si="87"/>
        <v>0</v>
      </c>
      <c r="I83" s="141">
        <f t="shared" si="87"/>
        <v>0</v>
      </c>
      <c r="J83" s="141">
        <f t="shared" si="87"/>
        <v>0</v>
      </c>
      <c r="K83" s="141">
        <f t="shared" si="87"/>
        <v>0</v>
      </c>
      <c r="L83" s="141">
        <f t="shared" si="87"/>
        <v>0</v>
      </c>
      <c r="M83" s="141">
        <f t="shared" si="87"/>
        <v>0</v>
      </c>
      <c r="N83" s="141">
        <f t="shared" si="87"/>
        <v>0</v>
      </c>
      <c r="O83" s="141">
        <f t="shared" si="87"/>
        <v>0</v>
      </c>
      <c r="P83" s="141">
        <f t="shared" si="87"/>
        <v>0</v>
      </c>
      <c r="Q83" s="141">
        <f t="shared" si="87"/>
        <v>0</v>
      </c>
      <c r="R83" s="141">
        <f t="shared" si="87"/>
        <v>0</v>
      </c>
      <c r="S83" s="141">
        <f t="shared" si="87"/>
        <v>0</v>
      </c>
      <c r="T83" s="141">
        <f t="shared" si="87"/>
        <v>0</v>
      </c>
      <c r="U83" s="141">
        <f t="shared" si="87"/>
        <v>0</v>
      </c>
      <c r="V83" s="141">
        <f t="shared" si="87"/>
        <v>0</v>
      </c>
      <c r="W83" s="141">
        <f t="shared" si="87"/>
        <v>0</v>
      </c>
      <c r="X83" s="141">
        <f t="shared" si="87"/>
        <v>0</v>
      </c>
      <c r="Y83" s="141">
        <f t="shared" si="87"/>
        <v>0</v>
      </c>
      <c r="Z83" s="141">
        <f t="shared" si="87"/>
        <v>0</v>
      </c>
      <c r="AA83" s="141">
        <f t="shared" si="87"/>
        <v>0</v>
      </c>
      <c r="AB83" s="141">
        <f t="shared" si="87"/>
        <v>0</v>
      </c>
      <c r="AC83" s="141">
        <f t="shared" si="87"/>
        <v>0</v>
      </c>
      <c r="AD83" s="141">
        <f t="shared" si="87"/>
        <v>0</v>
      </c>
      <c r="AE83" s="141">
        <f t="shared" si="87"/>
        <v>0</v>
      </c>
      <c r="AF83" s="141">
        <f t="shared" si="87"/>
        <v>0</v>
      </c>
      <c r="AG83" s="141">
        <f t="shared" si="87"/>
        <v>0</v>
      </c>
      <c r="AH83" s="226">
        <f>SUM(C83:AG83)</f>
        <v>0</v>
      </c>
      <c r="AI83" s="226"/>
      <c r="AJ83" s="170" t="s">
        <v>12</v>
      </c>
      <c r="AK83" s="133"/>
      <c r="AL83" s="133"/>
    </row>
    <row r="84" spans="1:38" ht="15.95" hidden="1" customHeight="1" x14ac:dyDescent="0.25">
      <c r="A84" s="150" t="s">
        <v>60</v>
      </c>
      <c r="B84" s="167" t="s">
        <v>61</v>
      </c>
      <c r="C84" s="151">
        <f t="shared" ref="C84:AD84" si="88">IF(C12=$R32,$BC32,IF(C12=$R33,$BC33,IF(C12=$R34,$BC34,IF(C12=$R35,$BC35,IF(C12=$R36,$BC36,IF(C12=$R37,$BC37,IF(C12=$R38,$BC38,IF(C12=$R39,$BC39,IF(C12=$R40,$BC40,0)))))))))</f>
        <v>0</v>
      </c>
      <c r="D84" s="151">
        <f t="shared" si="88"/>
        <v>0</v>
      </c>
      <c r="E84" s="151">
        <f t="shared" si="88"/>
        <v>0</v>
      </c>
      <c r="F84" s="151">
        <f t="shared" si="88"/>
        <v>0</v>
      </c>
      <c r="G84" s="151">
        <f t="shared" si="88"/>
        <v>0</v>
      </c>
      <c r="H84" s="151">
        <f t="shared" si="88"/>
        <v>0</v>
      </c>
      <c r="I84" s="151">
        <f t="shared" si="88"/>
        <v>0</v>
      </c>
      <c r="J84" s="151">
        <f t="shared" si="88"/>
        <v>0</v>
      </c>
      <c r="K84" s="151">
        <f t="shared" si="88"/>
        <v>0</v>
      </c>
      <c r="L84" s="151">
        <f t="shared" si="88"/>
        <v>0</v>
      </c>
      <c r="M84" s="151">
        <f t="shared" si="88"/>
        <v>0</v>
      </c>
      <c r="N84" s="151">
        <f t="shared" si="88"/>
        <v>0</v>
      </c>
      <c r="O84" s="151">
        <f t="shared" si="88"/>
        <v>0</v>
      </c>
      <c r="P84" s="151">
        <f t="shared" si="88"/>
        <v>0</v>
      </c>
      <c r="Q84" s="151">
        <f t="shared" si="88"/>
        <v>0</v>
      </c>
      <c r="R84" s="151">
        <f t="shared" si="88"/>
        <v>0</v>
      </c>
      <c r="S84" s="151">
        <f t="shared" si="88"/>
        <v>0</v>
      </c>
      <c r="T84" s="151">
        <f t="shared" si="88"/>
        <v>0</v>
      </c>
      <c r="U84" s="151">
        <f t="shared" si="88"/>
        <v>0</v>
      </c>
      <c r="V84" s="151">
        <f t="shared" si="88"/>
        <v>0</v>
      </c>
      <c r="W84" s="151">
        <f t="shared" si="88"/>
        <v>0</v>
      </c>
      <c r="X84" s="151">
        <f t="shared" si="88"/>
        <v>0</v>
      </c>
      <c r="Y84" s="151">
        <f t="shared" si="88"/>
        <v>0</v>
      </c>
      <c r="Z84" s="151">
        <f t="shared" si="88"/>
        <v>0</v>
      </c>
      <c r="AA84" s="151">
        <f t="shared" si="88"/>
        <v>0</v>
      </c>
      <c r="AB84" s="151">
        <f t="shared" si="88"/>
        <v>0</v>
      </c>
      <c r="AC84" s="151">
        <f t="shared" si="88"/>
        <v>0</v>
      </c>
      <c r="AD84" s="151">
        <f t="shared" si="88"/>
        <v>0</v>
      </c>
      <c r="AE84" s="151">
        <f>IF(AE12=$R32,$BC32,IF(AE12=$R33,$BC33,IF(AE12=$R34,$BC34,IF(AE12=$R35,$BC35,IF(AE12=$R36,$BC36,IF(AE12=$R37,$BC37,IF(AE12=$R38,$BC38,IF(AE12=$R39,$BC39,IF(AE12=$R40,$BC40,0)))))))))</f>
        <v>0</v>
      </c>
      <c r="AF84" s="151">
        <f>IF(AF12=$R32,$BC32,IF(AF12=$R33,$BC33,IF(AF12=$R34,$BC34,IF(AF12=$R35,$BC35,IF(AF12=$R36,$BC36,IF(AF12=$R37,$BC37,IF(AF12=$R38,$BC38,IF(AF12=$R39,$BC39,IF(AF12=$R40,$BC40,0)))))))))</f>
        <v>0</v>
      </c>
      <c r="AG84" s="151">
        <f>IF(AG12=$R32,$BC32,IF(AG12=$R33,$BC33,IF(AG12=$R34,$BC34,IF(AG12=$R35,$BC35,IF(AG12=$R36,$BC36,IF(AG12=$R37,$BC37,IF(AG12=$R38,$BC38,IF(AG12=$R39,$BC39,IF(AG12=$R40,$BC40,0)))))))))</f>
        <v>0</v>
      </c>
      <c r="AH84" s="226">
        <f>SUM(C84:AG84)</f>
        <v>0</v>
      </c>
      <c r="AI84" s="226"/>
      <c r="AJ84" s="175" t="s">
        <v>62</v>
      </c>
      <c r="AK84" s="133" t="s">
        <v>12</v>
      </c>
      <c r="AL84" s="133"/>
    </row>
    <row r="85" spans="1:38" ht="15.95" hidden="1" customHeight="1" x14ac:dyDescent="0.25">
      <c r="A85" s="153" t="s">
        <v>48</v>
      </c>
      <c r="B85" s="149" t="s">
        <v>63</v>
      </c>
      <c r="C85" s="141">
        <f t="shared" ref="C85:AG85" si="89">IF(C46=1,IF(C80&lt;C81,C84,0))</f>
        <v>0</v>
      </c>
      <c r="D85" s="141">
        <f t="shared" si="89"/>
        <v>0</v>
      </c>
      <c r="E85" s="141" t="b">
        <f t="shared" si="89"/>
        <v>0</v>
      </c>
      <c r="F85" s="141" t="b">
        <f t="shared" si="89"/>
        <v>0</v>
      </c>
      <c r="G85" s="141" t="b">
        <f t="shared" si="89"/>
        <v>0</v>
      </c>
      <c r="H85" s="141" t="b">
        <f t="shared" si="89"/>
        <v>0</v>
      </c>
      <c r="I85" s="141" t="b">
        <f t="shared" si="89"/>
        <v>0</v>
      </c>
      <c r="J85" s="141">
        <f t="shared" si="89"/>
        <v>0</v>
      </c>
      <c r="K85" s="141">
        <f t="shared" si="89"/>
        <v>0</v>
      </c>
      <c r="L85" s="141" t="b">
        <f t="shared" si="89"/>
        <v>0</v>
      </c>
      <c r="M85" s="141" t="b">
        <f t="shared" si="89"/>
        <v>0</v>
      </c>
      <c r="N85" s="141" t="b">
        <f t="shared" si="89"/>
        <v>0</v>
      </c>
      <c r="O85" s="141" t="b">
        <f t="shared" si="89"/>
        <v>0</v>
      </c>
      <c r="P85" s="141" t="b">
        <f t="shared" si="89"/>
        <v>0</v>
      </c>
      <c r="Q85" s="141">
        <f t="shared" si="89"/>
        <v>0</v>
      </c>
      <c r="R85" s="141">
        <f t="shared" si="89"/>
        <v>0</v>
      </c>
      <c r="S85" s="141" t="b">
        <f t="shared" si="89"/>
        <v>0</v>
      </c>
      <c r="T85" s="141" t="b">
        <f t="shared" si="89"/>
        <v>0</v>
      </c>
      <c r="U85" s="141" t="b">
        <f t="shared" si="89"/>
        <v>0</v>
      </c>
      <c r="V85" s="141" t="b">
        <f t="shared" si="89"/>
        <v>0</v>
      </c>
      <c r="W85" s="141" t="b">
        <f t="shared" si="89"/>
        <v>0</v>
      </c>
      <c r="X85" s="141">
        <f t="shared" si="89"/>
        <v>0</v>
      </c>
      <c r="Y85" s="141">
        <f t="shared" si="89"/>
        <v>0</v>
      </c>
      <c r="Z85" s="141" t="b">
        <f t="shared" si="89"/>
        <v>0</v>
      </c>
      <c r="AA85" s="141" t="b">
        <f t="shared" si="89"/>
        <v>0</v>
      </c>
      <c r="AB85" s="141" t="b">
        <f t="shared" si="89"/>
        <v>0</v>
      </c>
      <c r="AC85" s="141" t="b">
        <f t="shared" si="89"/>
        <v>0</v>
      </c>
      <c r="AD85" s="141" t="b">
        <f t="shared" si="89"/>
        <v>0</v>
      </c>
      <c r="AE85" s="141">
        <f t="shared" si="89"/>
        <v>0</v>
      </c>
      <c r="AF85" s="141">
        <f t="shared" si="89"/>
        <v>0</v>
      </c>
      <c r="AG85" s="141" t="b">
        <f t="shared" si="89"/>
        <v>0</v>
      </c>
      <c r="AH85" s="154" t="s">
        <v>12</v>
      </c>
      <c r="AI85" s="133"/>
      <c r="AJ85" s="170"/>
      <c r="AK85" s="133"/>
      <c r="AL85" s="133"/>
    </row>
    <row r="86" spans="1:38" ht="15.95" hidden="1" customHeight="1" x14ac:dyDescent="0.25">
      <c r="A86" s="176"/>
      <c r="B86" s="149" t="s">
        <v>64</v>
      </c>
      <c r="C86" s="141">
        <f t="shared" ref="C86:AG86" si="90">IF(C46=1,IF(C80&gt;C81,24-C80,0),0)</f>
        <v>0</v>
      </c>
      <c r="D86" s="141">
        <f t="shared" si="90"/>
        <v>0</v>
      </c>
      <c r="E86" s="141">
        <f t="shared" si="90"/>
        <v>0</v>
      </c>
      <c r="F86" s="141">
        <f t="shared" si="90"/>
        <v>0</v>
      </c>
      <c r="G86" s="141">
        <f t="shared" si="90"/>
        <v>0</v>
      </c>
      <c r="H86" s="141">
        <f t="shared" si="90"/>
        <v>0</v>
      </c>
      <c r="I86" s="141">
        <f t="shared" si="90"/>
        <v>0</v>
      </c>
      <c r="J86" s="141">
        <f t="shared" si="90"/>
        <v>0</v>
      </c>
      <c r="K86" s="141">
        <f t="shared" si="90"/>
        <v>0</v>
      </c>
      <c r="L86" s="141">
        <f t="shared" si="90"/>
        <v>0</v>
      </c>
      <c r="M86" s="141">
        <f t="shared" si="90"/>
        <v>0</v>
      </c>
      <c r="N86" s="141">
        <f t="shared" si="90"/>
        <v>0</v>
      </c>
      <c r="O86" s="141">
        <f t="shared" si="90"/>
        <v>0</v>
      </c>
      <c r="P86" s="141">
        <f t="shared" si="90"/>
        <v>0</v>
      </c>
      <c r="Q86" s="141">
        <f t="shared" si="90"/>
        <v>0</v>
      </c>
      <c r="R86" s="141">
        <f t="shared" si="90"/>
        <v>0</v>
      </c>
      <c r="S86" s="141">
        <f t="shared" si="90"/>
        <v>0</v>
      </c>
      <c r="T86" s="141">
        <f t="shared" si="90"/>
        <v>0</v>
      </c>
      <c r="U86" s="141">
        <f t="shared" si="90"/>
        <v>0</v>
      </c>
      <c r="V86" s="141">
        <f t="shared" si="90"/>
        <v>0</v>
      </c>
      <c r="W86" s="141">
        <f t="shared" si="90"/>
        <v>0</v>
      </c>
      <c r="X86" s="141">
        <f t="shared" si="90"/>
        <v>0</v>
      </c>
      <c r="Y86" s="141">
        <f t="shared" si="90"/>
        <v>0</v>
      </c>
      <c r="Z86" s="141">
        <f t="shared" si="90"/>
        <v>0</v>
      </c>
      <c r="AA86" s="141">
        <f t="shared" si="90"/>
        <v>0</v>
      </c>
      <c r="AB86" s="141">
        <f t="shared" si="90"/>
        <v>0</v>
      </c>
      <c r="AC86" s="141">
        <f t="shared" si="90"/>
        <v>0</v>
      </c>
      <c r="AD86" s="141">
        <f t="shared" si="90"/>
        <v>0</v>
      </c>
      <c r="AE86" s="141">
        <f t="shared" si="90"/>
        <v>0</v>
      </c>
      <c r="AF86" s="141">
        <f t="shared" si="90"/>
        <v>0</v>
      </c>
      <c r="AG86" s="141">
        <f t="shared" si="90"/>
        <v>0</v>
      </c>
      <c r="AH86" s="154" t="s">
        <v>12</v>
      </c>
      <c r="AI86" s="133"/>
      <c r="AJ86" s="170"/>
      <c r="AK86" s="133"/>
      <c r="AL86" s="133"/>
    </row>
    <row r="87" spans="1:38" ht="15.95" hidden="1" customHeight="1" x14ac:dyDescent="0.25">
      <c r="A87" s="176"/>
      <c r="B87" s="149" t="s">
        <v>65</v>
      </c>
      <c r="C87" s="141">
        <f t="shared" ref="C87:AG87" si="91">IF(D46=1,IF(C80&gt;C81,C81,0),0)</f>
        <v>0</v>
      </c>
      <c r="D87" s="141">
        <f t="shared" si="91"/>
        <v>0</v>
      </c>
      <c r="E87" s="141">
        <f t="shared" si="91"/>
        <v>0</v>
      </c>
      <c r="F87" s="141">
        <f t="shared" si="91"/>
        <v>0</v>
      </c>
      <c r="G87" s="141">
        <f t="shared" si="91"/>
        <v>0</v>
      </c>
      <c r="H87" s="141">
        <f t="shared" si="91"/>
        <v>0</v>
      </c>
      <c r="I87" s="141">
        <f t="shared" si="91"/>
        <v>0</v>
      </c>
      <c r="J87" s="141">
        <f t="shared" si="91"/>
        <v>0</v>
      </c>
      <c r="K87" s="141">
        <f t="shared" si="91"/>
        <v>0</v>
      </c>
      <c r="L87" s="141">
        <f t="shared" si="91"/>
        <v>0</v>
      </c>
      <c r="M87" s="141">
        <f t="shared" si="91"/>
        <v>0</v>
      </c>
      <c r="N87" s="141">
        <f t="shared" si="91"/>
        <v>0</v>
      </c>
      <c r="O87" s="141">
        <f t="shared" si="91"/>
        <v>0</v>
      </c>
      <c r="P87" s="141">
        <f t="shared" si="91"/>
        <v>0</v>
      </c>
      <c r="Q87" s="141">
        <f t="shared" si="91"/>
        <v>0</v>
      </c>
      <c r="R87" s="141">
        <f t="shared" si="91"/>
        <v>0</v>
      </c>
      <c r="S87" s="141">
        <f t="shared" si="91"/>
        <v>0</v>
      </c>
      <c r="T87" s="141">
        <f t="shared" si="91"/>
        <v>0</v>
      </c>
      <c r="U87" s="141">
        <f t="shared" si="91"/>
        <v>0</v>
      </c>
      <c r="V87" s="141">
        <f t="shared" si="91"/>
        <v>0</v>
      </c>
      <c r="W87" s="141">
        <f t="shared" si="91"/>
        <v>0</v>
      </c>
      <c r="X87" s="141">
        <f>IF(Y46=1,IF(X80&gt;X81,X81,0),0)</f>
        <v>0</v>
      </c>
      <c r="Y87" s="141">
        <f t="shared" si="91"/>
        <v>0</v>
      </c>
      <c r="Z87" s="141">
        <f t="shared" si="91"/>
        <v>0</v>
      </c>
      <c r="AA87" s="141">
        <f t="shared" si="91"/>
        <v>0</v>
      </c>
      <c r="AB87" s="141">
        <f t="shared" si="91"/>
        <v>0</v>
      </c>
      <c r="AC87" s="141">
        <f t="shared" si="91"/>
        <v>0</v>
      </c>
      <c r="AD87" s="141">
        <f t="shared" si="91"/>
        <v>0</v>
      </c>
      <c r="AE87" s="141">
        <f t="shared" si="91"/>
        <v>0</v>
      </c>
      <c r="AF87" s="141">
        <f t="shared" si="91"/>
        <v>0</v>
      </c>
      <c r="AG87" s="141">
        <f t="shared" si="91"/>
        <v>0</v>
      </c>
      <c r="AH87" s="154" t="s">
        <v>12</v>
      </c>
      <c r="AI87" s="133"/>
      <c r="AJ87" s="170"/>
      <c r="AK87" s="133"/>
      <c r="AL87" s="133"/>
    </row>
    <row r="88" spans="1:38" ht="15.95" hidden="1" customHeight="1" x14ac:dyDescent="0.25">
      <c r="A88" s="176"/>
      <c r="B88" s="149" t="s">
        <v>67</v>
      </c>
      <c r="C88" s="171">
        <f t="shared" ref="C88:AG88" si="92">SUM(C85:C87)</f>
        <v>0</v>
      </c>
      <c r="D88" s="171">
        <f t="shared" si="92"/>
        <v>0</v>
      </c>
      <c r="E88" s="171">
        <f t="shared" si="92"/>
        <v>0</v>
      </c>
      <c r="F88" s="171">
        <f t="shared" si="92"/>
        <v>0</v>
      </c>
      <c r="G88" s="171">
        <f t="shared" si="92"/>
        <v>0</v>
      </c>
      <c r="H88" s="171">
        <f t="shared" si="92"/>
        <v>0</v>
      </c>
      <c r="I88" s="171">
        <f t="shared" si="92"/>
        <v>0</v>
      </c>
      <c r="J88" s="171">
        <f t="shared" si="92"/>
        <v>0</v>
      </c>
      <c r="K88" s="171">
        <f t="shared" si="92"/>
        <v>0</v>
      </c>
      <c r="L88" s="171">
        <f t="shared" si="92"/>
        <v>0</v>
      </c>
      <c r="M88" s="171">
        <f t="shared" si="92"/>
        <v>0</v>
      </c>
      <c r="N88" s="171">
        <f t="shared" si="92"/>
        <v>0</v>
      </c>
      <c r="O88" s="171">
        <f t="shared" si="92"/>
        <v>0</v>
      </c>
      <c r="P88" s="171">
        <f t="shared" si="92"/>
        <v>0</v>
      </c>
      <c r="Q88" s="171">
        <f t="shared" si="92"/>
        <v>0</v>
      </c>
      <c r="R88" s="171">
        <f t="shared" si="92"/>
        <v>0</v>
      </c>
      <c r="S88" s="171">
        <f t="shared" si="92"/>
        <v>0</v>
      </c>
      <c r="T88" s="171">
        <f t="shared" si="92"/>
        <v>0</v>
      </c>
      <c r="U88" s="171">
        <f t="shared" si="92"/>
        <v>0</v>
      </c>
      <c r="V88" s="171">
        <f t="shared" si="92"/>
        <v>0</v>
      </c>
      <c r="W88" s="171">
        <f t="shared" si="92"/>
        <v>0</v>
      </c>
      <c r="X88" s="171">
        <f t="shared" si="92"/>
        <v>0</v>
      </c>
      <c r="Y88" s="171">
        <f t="shared" si="92"/>
        <v>0</v>
      </c>
      <c r="Z88" s="171">
        <f t="shared" si="92"/>
        <v>0</v>
      </c>
      <c r="AA88" s="171">
        <f t="shared" si="92"/>
        <v>0</v>
      </c>
      <c r="AB88" s="171">
        <f t="shared" si="92"/>
        <v>0</v>
      </c>
      <c r="AC88" s="171">
        <f t="shared" si="92"/>
        <v>0</v>
      </c>
      <c r="AD88" s="171">
        <f t="shared" si="92"/>
        <v>0</v>
      </c>
      <c r="AE88" s="171">
        <f t="shared" si="92"/>
        <v>0</v>
      </c>
      <c r="AF88" s="171">
        <f t="shared" si="92"/>
        <v>0</v>
      </c>
      <c r="AG88" s="171">
        <f t="shared" si="92"/>
        <v>0</v>
      </c>
      <c r="AH88" s="154" t="s">
        <v>12</v>
      </c>
      <c r="AI88" s="133"/>
      <c r="AJ88" s="170"/>
      <c r="AK88" s="133"/>
      <c r="AL88" s="133"/>
    </row>
    <row r="89" spans="1:38" ht="15.95" hidden="1" customHeight="1" x14ac:dyDescent="0.25">
      <c r="A89" s="177"/>
      <c r="B89" s="160" t="s">
        <v>68</v>
      </c>
      <c r="C89" s="161">
        <f t="shared" ref="C89:AG89" si="93">IF(C12="V",IF(C12="",0,1),0)</f>
        <v>0</v>
      </c>
      <c r="D89" s="161">
        <f t="shared" si="93"/>
        <v>0</v>
      </c>
      <c r="E89" s="161">
        <f t="shared" si="93"/>
        <v>0</v>
      </c>
      <c r="F89" s="161">
        <f t="shared" si="93"/>
        <v>0</v>
      </c>
      <c r="G89" s="161">
        <f t="shared" si="93"/>
        <v>0</v>
      </c>
      <c r="H89" s="161">
        <f t="shared" si="93"/>
        <v>0</v>
      </c>
      <c r="I89" s="161">
        <f t="shared" si="93"/>
        <v>0</v>
      </c>
      <c r="J89" s="161">
        <f t="shared" si="93"/>
        <v>0</v>
      </c>
      <c r="K89" s="161">
        <f t="shared" si="93"/>
        <v>0</v>
      </c>
      <c r="L89" s="161">
        <f t="shared" si="93"/>
        <v>0</v>
      </c>
      <c r="M89" s="161">
        <f t="shared" si="93"/>
        <v>0</v>
      </c>
      <c r="N89" s="161">
        <f t="shared" si="93"/>
        <v>0</v>
      </c>
      <c r="O89" s="161">
        <f t="shared" si="93"/>
        <v>0</v>
      </c>
      <c r="P89" s="161">
        <f t="shared" si="93"/>
        <v>0</v>
      </c>
      <c r="Q89" s="161">
        <f t="shared" si="93"/>
        <v>0</v>
      </c>
      <c r="R89" s="161">
        <f t="shared" si="93"/>
        <v>0</v>
      </c>
      <c r="S89" s="161">
        <f t="shared" si="93"/>
        <v>0</v>
      </c>
      <c r="T89" s="161">
        <f t="shared" si="93"/>
        <v>0</v>
      </c>
      <c r="U89" s="161">
        <f t="shared" si="93"/>
        <v>0</v>
      </c>
      <c r="V89" s="161">
        <f t="shared" si="93"/>
        <v>0</v>
      </c>
      <c r="W89" s="161">
        <f t="shared" si="93"/>
        <v>0</v>
      </c>
      <c r="X89" s="161">
        <f t="shared" si="93"/>
        <v>0</v>
      </c>
      <c r="Y89" s="161">
        <f t="shared" si="93"/>
        <v>0</v>
      </c>
      <c r="Z89" s="161">
        <f t="shared" si="93"/>
        <v>0</v>
      </c>
      <c r="AA89" s="161">
        <f t="shared" si="93"/>
        <v>0</v>
      </c>
      <c r="AB89" s="161">
        <f t="shared" si="93"/>
        <v>0</v>
      </c>
      <c r="AC89" s="161">
        <f t="shared" si="93"/>
        <v>0</v>
      </c>
      <c r="AD89" s="161">
        <f t="shared" si="93"/>
        <v>0</v>
      </c>
      <c r="AE89" s="161">
        <f t="shared" si="93"/>
        <v>0</v>
      </c>
      <c r="AF89" s="161">
        <f t="shared" si="93"/>
        <v>0</v>
      </c>
      <c r="AG89" s="161">
        <f t="shared" si="93"/>
        <v>0</v>
      </c>
      <c r="AH89" s="154"/>
      <c r="AI89" s="133"/>
      <c r="AJ89" s="170"/>
      <c r="AK89" s="133"/>
      <c r="AL89" s="133"/>
    </row>
    <row r="90" spans="1:38" ht="15.95" hidden="1" customHeight="1" x14ac:dyDescent="0.25">
      <c r="A90" s="173"/>
      <c r="B90" s="130" t="s">
        <v>16</v>
      </c>
      <c r="C90" s="163">
        <f t="shared" ref="C90:AG90" si="94">IF(C12="PR",IF(C12="",0,1),0)</f>
        <v>0</v>
      </c>
      <c r="D90" s="163">
        <f t="shared" si="94"/>
        <v>0</v>
      </c>
      <c r="E90" s="163">
        <f t="shared" si="94"/>
        <v>0</v>
      </c>
      <c r="F90" s="163">
        <f t="shared" si="94"/>
        <v>0</v>
      </c>
      <c r="G90" s="163">
        <f t="shared" si="94"/>
        <v>0</v>
      </c>
      <c r="H90" s="163">
        <f t="shared" si="94"/>
        <v>0</v>
      </c>
      <c r="I90" s="163">
        <f t="shared" si="94"/>
        <v>0</v>
      </c>
      <c r="J90" s="163">
        <f t="shared" si="94"/>
        <v>0</v>
      </c>
      <c r="K90" s="163">
        <f t="shared" si="94"/>
        <v>0</v>
      </c>
      <c r="L90" s="163">
        <f t="shared" si="94"/>
        <v>0</v>
      </c>
      <c r="M90" s="163">
        <f t="shared" si="94"/>
        <v>0</v>
      </c>
      <c r="N90" s="163">
        <f t="shared" si="94"/>
        <v>0</v>
      </c>
      <c r="O90" s="163">
        <f t="shared" si="94"/>
        <v>0</v>
      </c>
      <c r="P90" s="163">
        <f t="shared" si="94"/>
        <v>0</v>
      </c>
      <c r="Q90" s="163">
        <f t="shared" si="94"/>
        <v>0</v>
      </c>
      <c r="R90" s="163">
        <f t="shared" si="94"/>
        <v>0</v>
      </c>
      <c r="S90" s="163">
        <f t="shared" si="94"/>
        <v>0</v>
      </c>
      <c r="T90" s="163">
        <f t="shared" si="94"/>
        <v>0</v>
      </c>
      <c r="U90" s="163">
        <f t="shared" si="94"/>
        <v>0</v>
      </c>
      <c r="V90" s="163">
        <f t="shared" si="94"/>
        <v>0</v>
      </c>
      <c r="W90" s="163">
        <f t="shared" si="94"/>
        <v>0</v>
      </c>
      <c r="X90" s="163">
        <f t="shared" si="94"/>
        <v>0</v>
      </c>
      <c r="Y90" s="163">
        <f t="shared" si="94"/>
        <v>0</v>
      </c>
      <c r="Z90" s="163">
        <f t="shared" si="94"/>
        <v>0</v>
      </c>
      <c r="AA90" s="163">
        <f t="shared" si="94"/>
        <v>0</v>
      </c>
      <c r="AB90" s="163">
        <f t="shared" si="94"/>
        <v>0</v>
      </c>
      <c r="AC90" s="163">
        <f t="shared" si="94"/>
        <v>0</v>
      </c>
      <c r="AD90" s="163">
        <f t="shared" si="94"/>
        <v>0</v>
      </c>
      <c r="AE90" s="163">
        <f t="shared" si="94"/>
        <v>0</v>
      </c>
      <c r="AF90" s="163">
        <f t="shared" si="94"/>
        <v>0</v>
      </c>
      <c r="AG90" s="163">
        <f t="shared" si="94"/>
        <v>0</v>
      </c>
      <c r="AH90" s="229">
        <f>SUM(C90:AG90)</f>
        <v>0</v>
      </c>
      <c r="AI90" s="229"/>
      <c r="AJ90" s="174" t="s">
        <v>69</v>
      </c>
      <c r="AK90" s="133"/>
      <c r="AL90" s="133"/>
    </row>
    <row r="91" spans="1:38" ht="15.95" hidden="1" customHeight="1" x14ac:dyDescent="0.25">
      <c r="A91" s="164" t="s">
        <v>77</v>
      </c>
      <c r="B91" s="165" t="s">
        <v>29</v>
      </c>
      <c r="C91" s="141" t="str">
        <f t="shared" ref="C91:AG91" si="95">IF(C13=$R32,$S32*24,IF(C13=$R33,$S33*24,IF(C13=$R34,$S34*24,IF(C13=$R35,$S35*24,IF(C13=$R36,$S36*24,IF(C13=$R37,$S37*24,IF(C13=$R38,$S38*24,IF(C13=$R39,$S39*24,IF(C13=$R40,$S40*24,"")))))))))</f>
        <v/>
      </c>
      <c r="D91" s="141" t="str">
        <f t="shared" si="95"/>
        <v/>
      </c>
      <c r="E91" s="141" t="str">
        <f t="shared" si="95"/>
        <v/>
      </c>
      <c r="F91" s="141" t="str">
        <f t="shared" si="95"/>
        <v/>
      </c>
      <c r="G91" s="141" t="str">
        <f t="shared" si="95"/>
        <v/>
      </c>
      <c r="H91" s="141" t="str">
        <f t="shared" si="95"/>
        <v/>
      </c>
      <c r="I91" s="141" t="str">
        <f t="shared" si="95"/>
        <v/>
      </c>
      <c r="J91" s="141" t="str">
        <f t="shared" si="95"/>
        <v/>
      </c>
      <c r="K91" s="141" t="str">
        <f t="shared" si="95"/>
        <v/>
      </c>
      <c r="L91" s="141" t="str">
        <f t="shared" si="95"/>
        <v/>
      </c>
      <c r="M91" s="141" t="str">
        <f t="shared" si="95"/>
        <v/>
      </c>
      <c r="N91" s="141" t="str">
        <f t="shared" si="95"/>
        <v/>
      </c>
      <c r="O91" s="141" t="str">
        <f t="shared" si="95"/>
        <v/>
      </c>
      <c r="P91" s="141" t="str">
        <f t="shared" si="95"/>
        <v/>
      </c>
      <c r="Q91" s="141" t="str">
        <f t="shared" si="95"/>
        <v/>
      </c>
      <c r="R91" s="141" t="str">
        <f t="shared" si="95"/>
        <v/>
      </c>
      <c r="S91" s="141" t="str">
        <f t="shared" si="95"/>
        <v/>
      </c>
      <c r="T91" s="141" t="str">
        <f t="shared" si="95"/>
        <v/>
      </c>
      <c r="U91" s="141" t="str">
        <f t="shared" si="95"/>
        <v/>
      </c>
      <c r="V91" s="141" t="str">
        <f t="shared" si="95"/>
        <v/>
      </c>
      <c r="W91" s="141" t="str">
        <f t="shared" si="95"/>
        <v/>
      </c>
      <c r="X91" s="141" t="str">
        <f t="shared" si="95"/>
        <v/>
      </c>
      <c r="Y91" s="141" t="str">
        <f t="shared" si="95"/>
        <v/>
      </c>
      <c r="Z91" s="141" t="str">
        <f t="shared" si="95"/>
        <v/>
      </c>
      <c r="AA91" s="141" t="str">
        <f t="shared" si="95"/>
        <v/>
      </c>
      <c r="AB91" s="141" t="str">
        <f t="shared" si="95"/>
        <v/>
      </c>
      <c r="AC91" s="141" t="str">
        <f t="shared" si="95"/>
        <v/>
      </c>
      <c r="AD91" s="141" t="str">
        <f t="shared" si="95"/>
        <v/>
      </c>
      <c r="AE91" s="141" t="str">
        <f t="shared" si="95"/>
        <v/>
      </c>
      <c r="AF91" s="141" t="str">
        <f t="shared" si="95"/>
        <v/>
      </c>
      <c r="AG91" s="141" t="str">
        <f t="shared" si="95"/>
        <v/>
      </c>
      <c r="AH91" s="154" t="s">
        <v>12</v>
      </c>
      <c r="AI91" s="133"/>
      <c r="AJ91" s="170"/>
      <c r="AK91" s="133"/>
      <c r="AL91" s="133"/>
    </row>
    <row r="92" spans="1:38" ht="15.95" hidden="1" customHeight="1" x14ac:dyDescent="0.25">
      <c r="A92" s="166" t="s">
        <v>78</v>
      </c>
      <c r="B92" s="167" t="s">
        <v>30</v>
      </c>
      <c r="C92" s="141" t="str">
        <f t="shared" ref="C92:AG92" si="96">IF(C13=$R32,$V32*24,IF(C13=$R33,$V33*24,IF(C13=$R34,$V34*24,IF(C13=$R35,$V35*24,IF(C13=$R36,$V36*24,IF(C13=$R37,$V37*24,IF(C13=$R38,$V38*24,IF(C13=$R39,$V39*24,IF(C13=$R40,$V40*24,"")))))))))</f>
        <v/>
      </c>
      <c r="D92" s="141" t="str">
        <f t="shared" si="96"/>
        <v/>
      </c>
      <c r="E92" s="141" t="str">
        <f t="shared" si="96"/>
        <v/>
      </c>
      <c r="F92" s="141" t="str">
        <f t="shared" si="96"/>
        <v/>
      </c>
      <c r="G92" s="141" t="str">
        <f t="shared" si="96"/>
        <v/>
      </c>
      <c r="H92" s="141" t="str">
        <f t="shared" si="96"/>
        <v/>
      </c>
      <c r="I92" s="141" t="str">
        <f t="shared" si="96"/>
        <v/>
      </c>
      <c r="J92" s="141" t="str">
        <f t="shared" si="96"/>
        <v/>
      </c>
      <c r="K92" s="141" t="str">
        <f t="shared" si="96"/>
        <v/>
      </c>
      <c r="L92" s="141" t="str">
        <f t="shared" si="96"/>
        <v/>
      </c>
      <c r="M92" s="141" t="str">
        <f t="shared" si="96"/>
        <v/>
      </c>
      <c r="N92" s="141" t="str">
        <f t="shared" si="96"/>
        <v/>
      </c>
      <c r="O92" s="141" t="str">
        <f t="shared" si="96"/>
        <v/>
      </c>
      <c r="P92" s="141" t="str">
        <f t="shared" si="96"/>
        <v/>
      </c>
      <c r="Q92" s="141" t="str">
        <f t="shared" si="96"/>
        <v/>
      </c>
      <c r="R92" s="141" t="str">
        <f t="shared" si="96"/>
        <v/>
      </c>
      <c r="S92" s="141" t="str">
        <f t="shared" si="96"/>
        <v/>
      </c>
      <c r="T92" s="141" t="str">
        <f t="shared" si="96"/>
        <v/>
      </c>
      <c r="U92" s="141" t="str">
        <f t="shared" si="96"/>
        <v/>
      </c>
      <c r="V92" s="141" t="str">
        <f t="shared" si="96"/>
        <v/>
      </c>
      <c r="W92" s="141" t="str">
        <f t="shared" si="96"/>
        <v/>
      </c>
      <c r="X92" s="141" t="str">
        <f t="shared" si="96"/>
        <v/>
      </c>
      <c r="Y92" s="141" t="str">
        <f t="shared" si="96"/>
        <v/>
      </c>
      <c r="Z92" s="141" t="str">
        <f t="shared" si="96"/>
        <v/>
      </c>
      <c r="AA92" s="141" t="str">
        <f t="shared" si="96"/>
        <v/>
      </c>
      <c r="AB92" s="141" t="str">
        <f t="shared" si="96"/>
        <v/>
      </c>
      <c r="AC92" s="141" t="str">
        <f t="shared" si="96"/>
        <v/>
      </c>
      <c r="AD92" s="141" t="str">
        <f t="shared" si="96"/>
        <v/>
      </c>
      <c r="AE92" s="141" t="str">
        <f t="shared" si="96"/>
        <v/>
      </c>
      <c r="AF92" s="141" t="str">
        <f t="shared" si="96"/>
        <v/>
      </c>
      <c r="AG92" s="141" t="str">
        <f t="shared" si="96"/>
        <v/>
      </c>
      <c r="AH92" s="154" t="s">
        <v>12</v>
      </c>
      <c r="AI92" s="133"/>
      <c r="AJ92" s="170"/>
      <c r="AK92" s="133"/>
      <c r="AL92" s="133"/>
    </row>
    <row r="93" spans="1:38" ht="15.95" hidden="1" customHeight="1" x14ac:dyDescent="0.25">
      <c r="A93" s="153"/>
      <c r="B93" s="168" t="s">
        <v>34</v>
      </c>
      <c r="C93" s="169" t="str">
        <f t="shared" ref="C93:AD93" si="97">IF(C13=$R32,$BD32*24,IF(C13=$R33,$BD33*24,IF(C13=$R34,$BD34*24,IF(C13=$R35,$BD35*24,IF(C13=$R36,$BD36*24,IF(C13=$R37,$BD37*24,IF(C13=$R38,$BD38*24,IF(C13=$R39,$BD39*24,IF(C13=$R40,$BD40*24,"")))))))))</f>
        <v/>
      </c>
      <c r="D93" s="169" t="str">
        <f t="shared" si="97"/>
        <v/>
      </c>
      <c r="E93" s="169" t="str">
        <f t="shared" si="97"/>
        <v/>
      </c>
      <c r="F93" s="169" t="str">
        <f t="shared" si="97"/>
        <v/>
      </c>
      <c r="G93" s="169" t="str">
        <f t="shared" si="97"/>
        <v/>
      </c>
      <c r="H93" s="169" t="str">
        <f t="shared" si="97"/>
        <v/>
      </c>
      <c r="I93" s="169" t="str">
        <f t="shared" si="97"/>
        <v/>
      </c>
      <c r="J93" s="169" t="str">
        <f t="shared" si="97"/>
        <v/>
      </c>
      <c r="K93" s="169" t="str">
        <f t="shared" si="97"/>
        <v/>
      </c>
      <c r="L93" s="169" t="str">
        <f t="shared" si="97"/>
        <v/>
      </c>
      <c r="M93" s="169" t="str">
        <f t="shared" si="97"/>
        <v/>
      </c>
      <c r="N93" s="169" t="str">
        <f t="shared" si="97"/>
        <v/>
      </c>
      <c r="O93" s="169" t="str">
        <f t="shared" si="97"/>
        <v/>
      </c>
      <c r="P93" s="169" t="str">
        <f t="shared" si="97"/>
        <v/>
      </c>
      <c r="Q93" s="169" t="str">
        <f t="shared" si="97"/>
        <v/>
      </c>
      <c r="R93" s="169" t="str">
        <f t="shared" si="97"/>
        <v/>
      </c>
      <c r="S93" s="169" t="str">
        <f t="shared" si="97"/>
        <v/>
      </c>
      <c r="T93" s="169" t="str">
        <f t="shared" si="97"/>
        <v/>
      </c>
      <c r="U93" s="169" t="str">
        <f t="shared" si="97"/>
        <v/>
      </c>
      <c r="V93" s="169" t="str">
        <f t="shared" si="97"/>
        <v/>
      </c>
      <c r="W93" s="169" t="str">
        <f t="shared" si="97"/>
        <v/>
      </c>
      <c r="X93" s="169" t="str">
        <f t="shared" si="97"/>
        <v/>
      </c>
      <c r="Y93" s="169" t="str">
        <f t="shared" si="97"/>
        <v/>
      </c>
      <c r="Z93" s="169" t="str">
        <f t="shared" si="97"/>
        <v/>
      </c>
      <c r="AA93" s="169" t="str">
        <f t="shared" si="97"/>
        <v/>
      </c>
      <c r="AB93" s="169" t="str">
        <f t="shared" si="97"/>
        <v/>
      </c>
      <c r="AC93" s="169" t="str">
        <f t="shared" si="97"/>
        <v/>
      </c>
      <c r="AD93" s="169" t="str">
        <f t="shared" si="97"/>
        <v/>
      </c>
      <c r="AE93" s="169" t="str">
        <f>IF(AE13=$R32,$BD32*24,IF(AE13=$R33,$BD33*24,IF(AE13=$R34,$BD34*24,IF(AE13=$R35,$BD35*24,IF(AE13=$R36,$BD36*24,IF(AE13=$R37,$BD37*24,IF(AE13=$R38,$BD38*24,IF(AE13=$R39,$BD39*24,IF(AE13=$R40,$BD40*24,"")))))))))</f>
        <v/>
      </c>
      <c r="AF93" s="169" t="str">
        <f>IF(AF13=$R32,$BD32*24,IF(AF13=$R33,$BD33*24,IF(AF13=$R34,$BD34*24,IF(AF13=$R35,$BD35*24,IF(AF13=$R36,$BD36*24,IF(AF13=$R37,$BD37*24,IF(AF13=$R38,$BD38*24,IF(AF13=$R39,$BD39*24,IF(AF13=$R40,$BD40*24,"")))))))))</f>
        <v/>
      </c>
      <c r="AG93" s="169" t="str">
        <f>IF(AG13=$R32,$BD32*24,IF(AG13=$R33,$BD33*24,IF(AG13=$R34,$BD34*24,IF(AG13=$R35,$BD35*24,IF(AG13=$R36,$BD36*24,IF(AG13=$R37,$BD37*24,IF(AG13=$R38,$BD38*24,IF(AG13=$R39,$BD39*24,IF(AG13=$R40,$BD40*24,"")))))))))</f>
        <v/>
      </c>
      <c r="AH93" s="148">
        <f>SUM(C93:AG93)</f>
        <v>0</v>
      </c>
      <c r="AI93" s="133"/>
      <c r="AJ93" s="170"/>
      <c r="AK93" s="133"/>
      <c r="AL93" s="133"/>
    </row>
    <row r="94" spans="1:38" ht="15.95" hidden="1" customHeight="1" x14ac:dyDescent="0.25">
      <c r="A94" s="153"/>
      <c r="B94" s="167" t="s">
        <v>59</v>
      </c>
      <c r="C94" s="141">
        <f t="shared" ref="C94:AG94" si="98">IF(C13="V",$C36,IF(C13="PR",$C38,0))</f>
        <v>0</v>
      </c>
      <c r="D94" s="141">
        <f t="shared" si="98"/>
        <v>0</v>
      </c>
      <c r="E94" s="141">
        <f t="shared" si="98"/>
        <v>0</v>
      </c>
      <c r="F94" s="141">
        <f t="shared" si="98"/>
        <v>0</v>
      </c>
      <c r="G94" s="141">
        <f t="shared" si="98"/>
        <v>0</v>
      </c>
      <c r="H94" s="141">
        <f t="shared" si="98"/>
        <v>0</v>
      </c>
      <c r="I94" s="141">
        <f t="shared" si="98"/>
        <v>0</v>
      </c>
      <c r="J94" s="141">
        <f t="shared" si="98"/>
        <v>0</v>
      </c>
      <c r="K94" s="141">
        <f t="shared" si="98"/>
        <v>0</v>
      </c>
      <c r="L94" s="141">
        <f t="shared" si="98"/>
        <v>0</v>
      </c>
      <c r="M94" s="141">
        <f t="shared" si="98"/>
        <v>0</v>
      </c>
      <c r="N94" s="141">
        <f t="shared" si="98"/>
        <v>0</v>
      </c>
      <c r="O94" s="141">
        <f t="shared" si="98"/>
        <v>0</v>
      </c>
      <c r="P94" s="141">
        <f t="shared" si="98"/>
        <v>0</v>
      </c>
      <c r="Q94" s="141">
        <f t="shared" si="98"/>
        <v>0</v>
      </c>
      <c r="R94" s="141">
        <f t="shared" si="98"/>
        <v>0</v>
      </c>
      <c r="S94" s="141">
        <f t="shared" si="98"/>
        <v>0</v>
      </c>
      <c r="T94" s="141">
        <f t="shared" si="98"/>
        <v>0</v>
      </c>
      <c r="U94" s="141">
        <f t="shared" si="98"/>
        <v>0</v>
      </c>
      <c r="V94" s="141">
        <f t="shared" si="98"/>
        <v>0</v>
      </c>
      <c r="W94" s="141">
        <f t="shared" si="98"/>
        <v>0</v>
      </c>
      <c r="X94" s="141">
        <f t="shared" si="98"/>
        <v>0</v>
      </c>
      <c r="Y94" s="141">
        <f t="shared" si="98"/>
        <v>0</v>
      </c>
      <c r="Z94" s="141">
        <f t="shared" si="98"/>
        <v>0</v>
      </c>
      <c r="AA94" s="141">
        <f t="shared" si="98"/>
        <v>0</v>
      </c>
      <c r="AB94" s="141">
        <f t="shared" si="98"/>
        <v>0</v>
      </c>
      <c r="AC94" s="141">
        <f t="shared" si="98"/>
        <v>0</v>
      </c>
      <c r="AD94" s="141">
        <f t="shared" si="98"/>
        <v>0</v>
      </c>
      <c r="AE94" s="141">
        <f t="shared" si="98"/>
        <v>0</v>
      </c>
      <c r="AF94" s="141">
        <f t="shared" si="98"/>
        <v>0</v>
      </c>
      <c r="AG94" s="141">
        <f t="shared" si="98"/>
        <v>0</v>
      </c>
      <c r="AH94" s="231">
        <f>SUM(C94:AG94)</f>
        <v>0</v>
      </c>
      <c r="AI94" s="231"/>
      <c r="AJ94" s="170" t="s">
        <v>12</v>
      </c>
      <c r="AK94" s="133"/>
      <c r="AL94" s="133"/>
    </row>
    <row r="95" spans="1:38" ht="15.95" hidden="1" customHeight="1" x14ac:dyDescent="0.25">
      <c r="A95" s="150" t="s">
        <v>60</v>
      </c>
      <c r="B95" s="167" t="s">
        <v>61</v>
      </c>
      <c r="C95" s="151">
        <f t="shared" ref="C95:AD95" si="99">IF(C13=$R32,$BC32,IF(C13=$R33,$BC33,IF(C13=$R34,$BC34,IF(C13=$R35,$BC35,IF(C13=$R36,$BC36,IF(C13=$R37,$BC37,IF(C13=$R38,$BC38,IF(C13=$R39,$BC39,IF(C13=$R40,$BC40,0)))))))))</f>
        <v>0</v>
      </c>
      <c r="D95" s="151">
        <f t="shared" si="99"/>
        <v>0</v>
      </c>
      <c r="E95" s="151">
        <f t="shared" si="99"/>
        <v>0</v>
      </c>
      <c r="F95" s="151">
        <f t="shared" si="99"/>
        <v>0</v>
      </c>
      <c r="G95" s="151">
        <f t="shared" si="99"/>
        <v>0</v>
      </c>
      <c r="H95" s="151">
        <f t="shared" si="99"/>
        <v>0</v>
      </c>
      <c r="I95" s="151">
        <f t="shared" si="99"/>
        <v>0</v>
      </c>
      <c r="J95" s="151">
        <f t="shared" si="99"/>
        <v>0</v>
      </c>
      <c r="K95" s="151">
        <f t="shared" si="99"/>
        <v>0</v>
      </c>
      <c r="L95" s="151">
        <f t="shared" si="99"/>
        <v>0</v>
      </c>
      <c r="M95" s="151">
        <f t="shared" si="99"/>
        <v>0</v>
      </c>
      <c r="N95" s="151">
        <f t="shared" si="99"/>
        <v>0</v>
      </c>
      <c r="O95" s="151">
        <f t="shared" si="99"/>
        <v>0</v>
      </c>
      <c r="P95" s="151">
        <f t="shared" si="99"/>
        <v>0</v>
      </c>
      <c r="Q95" s="151">
        <f t="shared" si="99"/>
        <v>0</v>
      </c>
      <c r="R95" s="151">
        <f t="shared" si="99"/>
        <v>0</v>
      </c>
      <c r="S95" s="151">
        <f t="shared" si="99"/>
        <v>0</v>
      </c>
      <c r="T95" s="151">
        <f t="shared" si="99"/>
        <v>0</v>
      </c>
      <c r="U95" s="151">
        <f t="shared" si="99"/>
        <v>0</v>
      </c>
      <c r="V95" s="151">
        <f t="shared" si="99"/>
        <v>0</v>
      </c>
      <c r="W95" s="151">
        <f t="shared" si="99"/>
        <v>0</v>
      </c>
      <c r="X95" s="151">
        <f t="shared" si="99"/>
        <v>0</v>
      </c>
      <c r="Y95" s="151">
        <f t="shared" si="99"/>
        <v>0</v>
      </c>
      <c r="Z95" s="151">
        <f t="shared" si="99"/>
        <v>0</v>
      </c>
      <c r="AA95" s="151">
        <f t="shared" si="99"/>
        <v>0</v>
      </c>
      <c r="AB95" s="151">
        <f t="shared" si="99"/>
        <v>0</v>
      </c>
      <c r="AC95" s="151">
        <f t="shared" si="99"/>
        <v>0</v>
      </c>
      <c r="AD95" s="151">
        <f t="shared" si="99"/>
        <v>0</v>
      </c>
      <c r="AE95" s="151">
        <f>IF(AE13=$R32,$BC32,IF(AE13=$R33,$BC33,IF(AE13=$R34,$BC34,IF(AE13=$R35,$BC35,IF(AE13=$R36,$BC36,IF(AE13=$R37,$BC37,IF(AE13=$R38,$BC38,IF(AE13=$R39,$BC39,IF(AE13=$R40,$BC40,0)))))))))</f>
        <v>0</v>
      </c>
      <c r="AF95" s="151">
        <f>IF(AF13=$R32,$BC32,IF(AF13=$R33,$BC33,IF(AF13=$R34,$BC34,IF(AF13=$R35,$BC35,IF(AF13=$R36,$BC36,IF(AF13=$R37,$BC37,IF(AF13=$R38,$BC38,IF(AF13=$R39,$BC39,IF(AF13=$R40,$BC40,0)))))))))</f>
        <v>0</v>
      </c>
      <c r="AG95" s="151">
        <f>IF(AG13=$R32,$BC32,IF(AG13=$R33,$BC33,IF(AG13=$R34,$BC34,IF(AG13=$R35,$BC35,IF(AG13=$R36,$BC36,IF(AG13=$R37,$BC37,IF(AG13=$R38,$BC38,IF(AG13=$R39,$BC39,IF(AG13=$R40,$BC40,0)))))))))</f>
        <v>0</v>
      </c>
      <c r="AH95" s="226">
        <f>SUM(C95:AG95)</f>
        <v>0</v>
      </c>
      <c r="AI95" s="226"/>
      <c r="AJ95" s="175" t="s">
        <v>62</v>
      </c>
      <c r="AK95" s="133" t="s">
        <v>12</v>
      </c>
      <c r="AL95" s="133"/>
    </row>
    <row r="96" spans="1:38" ht="15.95" hidden="1" customHeight="1" x14ac:dyDescent="0.25">
      <c r="A96" s="153" t="s">
        <v>48</v>
      </c>
      <c r="B96" s="149" t="s">
        <v>63</v>
      </c>
      <c r="C96" s="141">
        <f t="shared" ref="C96:AG96" si="100">IF(C46=1,IF(C91&lt;C92,C95,0))</f>
        <v>0</v>
      </c>
      <c r="D96" s="141">
        <f t="shared" si="100"/>
        <v>0</v>
      </c>
      <c r="E96" s="141" t="b">
        <f t="shared" si="100"/>
        <v>0</v>
      </c>
      <c r="F96" s="141" t="b">
        <f t="shared" si="100"/>
        <v>0</v>
      </c>
      <c r="G96" s="141" t="b">
        <f t="shared" si="100"/>
        <v>0</v>
      </c>
      <c r="H96" s="141" t="b">
        <f t="shared" si="100"/>
        <v>0</v>
      </c>
      <c r="I96" s="141" t="b">
        <f t="shared" si="100"/>
        <v>0</v>
      </c>
      <c r="J96" s="141">
        <f t="shared" si="100"/>
        <v>0</v>
      </c>
      <c r="K96" s="141">
        <f t="shared" si="100"/>
        <v>0</v>
      </c>
      <c r="L96" s="141" t="b">
        <f t="shared" si="100"/>
        <v>0</v>
      </c>
      <c r="M96" s="141" t="b">
        <f t="shared" si="100"/>
        <v>0</v>
      </c>
      <c r="N96" s="141" t="b">
        <f t="shared" si="100"/>
        <v>0</v>
      </c>
      <c r="O96" s="141" t="b">
        <f t="shared" si="100"/>
        <v>0</v>
      </c>
      <c r="P96" s="141" t="b">
        <f t="shared" si="100"/>
        <v>0</v>
      </c>
      <c r="Q96" s="141">
        <f t="shared" si="100"/>
        <v>0</v>
      </c>
      <c r="R96" s="141">
        <f t="shared" si="100"/>
        <v>0</v>
      </c>
      <c r="S96" s="141" t="b">
        <f t="shared" si="100"/>
        <v>0</v>
      </c>
      <c r="T96" s="141" t="b">
        <f t="shared" si="100"/>
        <v>0</v>
      </c>
      <c r="U96" s="141" t="b">
        <f t="shared" si="100"/>
        <v>0</v>
      </c>
      <c r="V96" s="141" t="b">
        <f t="shared" si="100"/>
        <v>0</v>
      </c>
      <c r="W96" s="141" t="b">
        <f t="shared" si="100"/>
        <v>0</v>
      </c>
      <c r="X96" s="141">
        <f t="shared" si="100"/>
        <v>0</v>
      </c>
      <c r="Y96" s="141">
        <f t="shared" si="100"/>
        <v>0</v>
      </c>
      <c r="Z96" s="141" t="b">
        <f t="shared" si="100"/>
        <v>0</v>
      </c>
      <c r="AA96" s="141" t="b">
        <f t="shared" si="100"/>
        <v>0</v>
      </c>
      <c r="AB96" s="141" t="b">
        <f t="shared" si="100"/>
        <v>0</v>
      </c>
      <c r="AC96" s="141" t="b">
        <f t="shared" si="100"/>
        <v>0</v>
      </c>
      <c r="AD96" s="141" t="b">
        <f t="shared" si="100"/>
        <v>0</v>
      </c>
      <c r="AE96" s="141">
        <f t="shared" si="100"/>
        <v>0</v>
      </c>
      <c r="AF96" s="141">
        <f t="shared" si="100"/>
        <v>0</v>
      </c>
      <c r="AG96" s="141" t="b">
        <f t="shared" si="100"/>
        <v>0</v>
      </c>
      <c r="AH96" s="154" t="s">
        <v>12</v>
      </c>
      <c r="AI96" s="133"/>
      <c r="AJ96" s="170"/>
      <c r="AK96" s="133"/>
      <c r="AL96" s="133"/>
    </row>
    <row r="97" spans="1:57" ht="15.95" hidden="1" customHeight="1" x14ac:dyDescent="0.25">
      <c r="A97" s="176"/>
      <c r="B97" s="149" t="s">
        <v>64</v>
      </c>
      <c r="C97" s="141">
        <f t="shared" ref="C97:AG97" si="101">IF(C46=1,IF(C91&gt;C92,24-C91,0),0)</f>
        <v>0</v>
      </c>
      <c r="D97" s="141">
        <f t="shared" si="101"/>
        <v>0</v>
      </c>
      <c r="E97" s="141">
        <f t="shared" si="101"/>
        <v>0</v>
      </c>
      <c r="F97" s="141">
        <f t="shared" si="101"/>
        <v>0</v>
      </c>
      <c r="G97" s="141">
        <f t="shared" si="101"/>
        <v>0</v>
      </c>
      <c r="H97" s="141">
        <f t="shared" si="101"/>
        <v>0</v>
      </c>
      <c r="I97" s="141">
        <f t="shared" si="101"/>
        <v>0</v>
      </c>
      <c r="J97" s="141">
        <f t="shared" si="101"/>
        <v>0</v>
      </c>
      <c r="K97" s="141">
        <f t="shared" si="101"/>
        <v>0</v>
      </c>
      <c r="L97" s="141">
        <f t="shared" si="101"/>
        <v>0</v>
      </c>
      <c r="M97" s="141">
        <f t="shared" si="101"/>
        <v>0</v>
      </c>
      <c r="N97" s="141">
        <f t="shared" si="101"/>
        <v>0</v>
      </c>
      <c r="O97" s="141">
        <f t="shared" si="101"/>
        <v>0</v>
      </c>
      <c r="P97" s="141">
        <f t="shared" si="101"/>
        <v>0</v>
      </c>
      <c r="Q97" s="141">
        <f t="shared" si="101"/>
        <v>0</v>
      </c>
      <c r="R97" s="141">
        <f t="shared" si="101"/>
        <v>0</v>
      </c>
      <c r="S97" s="141">
        <f t="shared" si="101"/>
        <v>0</v>
      </c>
      <c r="T97" s="141">
        <f t="shared" si="101"/>
        <v>0</v>
      </c>
      <c r="U97" s="141">
        <f t="shared" si="101"/>
        <v>0</v>
      </c>
      <c r="V97" s="141">
        <f t="shared" si="101"/>
        <v>0</v>
      </c>
      <c r="W97" s="141">
        <f t="shared" si="101"/>
        <v>0</v>
      </c>
      <c r="X97" s="141">
        <f t="shared" si="101"/>
        <v>0</v>
      </c>
      <c r="Y97" s="141">
        <f t="shared" si="101"/>
        <v>0</v>
      </c>
      <c r="Z97" s="141">
        <f t="shared" si="101"/>
        <v>0</v>
      </c>
      <c r="AA97" s="141">
        <f t="shared" si="101"/>
        <v>0</v>
      </c>
      <c r="AB97" s="141">
        <f t="shared" si="101"/>
        <v>0</v>
      </c>
      <c r="AC97" s="141">
        <f t="shared" si="101"/>
        <v>0</v>
      </c>
      <c r="AD97" s="141">
        <f t="shared" si="101"/>
        <v>0</v>
      </c>
      <c r="AE97" s="141">
        <f t="shared" si="101"/>
        <v>0</v>
      </c>
      <c r="AF97" s="141">
        <f t="shared" si="101"/>
        <v>0</v>
      </c>
      <c r="AG97" s="141">
        <f t="shared" si="101"/>
        <v>0</v>
      </c>
      <c r="AH97" s="154" t="s">
        <v>12</v>
      </c>
      <c r="AI97" s="133"/>
      <c r="AJ97" s="170"/>
      <c r="AK97" s="133"/>
      <c r="AL97" s="133"/>
    </row>
    <row r="98" spans="1:57" ht="15.95" hidden="1" customHeight="1" x14ac:dyDescent="0.25">
      <c r="A98" s="176"/>
      <c r="B98" s="149" t="s">
        <v>65</v>
      </c>
      <c r="C98" s="141">
        <f t="shared" ref="C98:AG98" si="102">IF(D46=1,IF(C91&gt;C92,C92,0),0)</f>
        <v>0</v>
      </c>
      <c r="D98" s="141">
        <f t="shared" si="102"/>
        <v>0</v>
      </c>
      <c r="E98" s="141">
        <f t="shared" si="102"/>
        <v>0</v>
      </c>
      <c r="F98" s="141">
        <f t="shared" si="102"/>
        <v>0</v>
      </c>
      <c r="G98" s="141">
        <f t="shared" si="102"/>
        <v>0</v>
      </c>
      <c r="H98" s="141">
        <f t="shared" si="102"/>
        <v>0</v>
      </c>
      <c r="I98" s="141">
        <f t="shared" si="102"/>
        <v>0</v>
      </c>
      <c r="J98" s="141">
        <f t="shared" si="102"/>
        <v>0</v>
      </c>
      <c r="K98" s="141">
        <f t="shared" si="102"/>
        <v>0</v>
      </c>
      <c r="L98" s="141">
        <f t="shared" si="102"/>
        <v>0</v>
      </c>
      <c r="M98" s="141">
        <f t="shared" si="102"/>
        <v>0</v>
      </c>
      <c r="N98" s="141">
        <f t="shared" si="102"/>
        <v>0</v>
      </c>
      <c r="O98" s="141">
        <f t="shared" si="102"/>
        <v>0</v>
      </c>
      <c r="P98" s="141">
        <f t="shared" si="102"/>
        <v>0</v>
      </c>
      <c r="Q98" s="141">
        <f t="shared" si="102"/>
        <v>0</v>
      </c>
      <c r="R98" s="141">
        <f t="shared" si="102"/>
        <v>0</v>
      </c>
      <c r="S98" s="141">
        <f t="shared" si="102"/>
        <v>0</v>
      </c>
      <c r="T98" s="141">
        <f t="shared" si="102"/>
        <v>0</v>
      </c>
      <c r="U98" s="141">
        <f t="shared" si="102"/>
        <v>0</v>
      </c>
      <c r="V98" s="141">
        <f t="shared" si="102"/>
        <v>0</v>
      </c>
      <c r="W98" s="141">
        <f t="shared" si="102"/>
        <v>0</v>
      </c>
      <c r="X98" s="141">
        <f>IF(Y46=1,IF(X91&gt;X92,X92,0),0)</f>
        <v>0</v>
      </c>
      <c r="Y98" s="141">
        <f t="shared" si="102"/>
        <v>0</v>
      </c>
      <c r="Z98" s="141">
        <f t="shared" si="102"/>
        <v>0</v>
      </c>
      <c r="AA98" s="141">
        <f t="shared" si="102"/>
        <v>0</v>
      </c>
      <c r="AB98" s="141">
        <f t="shared" si="102"/>
        <v>0</v>
      </c>
      <c r="AC98" s="141">
        <f t="shared" si="102"/>
        <v>0</v>
      </c>
      <c r="AD98" s="141">
        <f t="shared" si="102"/>
        <v>0</v>
      </c>
      <c r="AE98" s="141">
        <f t="shared" si="102"/>
        <v>0</v>
      </c>
      <c r="AF98" s="141">
        <f t="shared" si="102"/>
        <v>0</v>
      </c>
      <c r="AG98" s="141">
        <f t="shared" si="102"/>
        <v>0</v>
      </c>
      <c r="AH98" s="154" t="s">
        <v>12</v>
      </c>
      <c r="AI98" s="133"/>
      <c r="AJ98" s="170"/>
      <c r="AK98" s="133"/>
      <c r="AL98" s="133"/>
    </row>
    <row r="99" spans="1:57" ht="15.95" hidden="1" customHeight="1" x14ac:dyDescent="0.25">
      <c r="A99" s="176"/>
      <c r="B99" s="149" t="s">
        <v>67</v>
      </c>
      <c r="C99" s="178">
        <f t="shared" ref="C99:AG99" si="103">SUM(C96:C98)</f>
        <v>0</v>
      </c>
      <c r="D99" s="178">
        <f t="shared" si="103"/>
        <v>0</v>
      </c>
      <c r="E99" s="178">
        <f t="shared" si="103"/>
        <v>0</v>
      </c>
      <c r="F99" s="178">
        <f t="shared" si="103"/>
        <v>0</v>
      </c>
      <c r="G99" s="178">
        <f t="shared" si="103"/>
        <v>0</v>
      </c>
      <c r="H99" s="178">
        <f t="shared" si="103"/>
        <v>0</v>
      </c>
      <c r="I99" s="178">
        <f t="shared" si="103"/>
        <v>0</v>
      </c>
      <c r="J99" s="178">
        <f t="shared" si="103"/>
        <v>0</v>
      </c>
      <c r="K99" s="178">
        <f t="shared" si="103"/>
        <v>0</v>
      </c>
      <c r="L99" s="178">
        <f t="shared" si="103"/>
        <v>0</v>
      </c>
      <c r="M99" s="178">
        <f t="shared" si="103"/>
        <v>0</v>
      </c>
      <c r="N99" s="178">
        <f t="shared" si="103"/>
        <v>0</v>
      </c>
      <c r="O99" s="178">
        <f t="shared" si="103"/>
        <v>0</v>
      </c>
      <c r="P99" s="178">
        <f t="shared" si="103"/>
        <v>0</v>
      </c>
      <c r="Q99" s="178">
        <f t="shared" si="103"/>
        <v>0</v>
      </c>
      <c r="R99" s="178">
        <f t="shared" si="103"/>
        <v>0</v>
      </c>
      <c r="S99" s="178">
        <f t="shared" si="103"/>
        <v>0</v>
      </c>
      <c r="T99" s="178">
        <f t="shared" si="103"/>
        <v>0</v>
      </c>
      <c r="U99" s="178">
        <f t="shared" si="103"/>
        <v>0</v>
      </c>
      <c r="V99" s="178">
        <f t="shared" si="103"/>
        <v>0</v>
      </c>
      <c r="W99" s="178">
        <f t="shared" si="103"/>
        <v>0</v>
      </c>
      <c r="X99" s="178">
        <f t="shared" si="103"/>
        <v>0</v>
      </c>
      <c r="Y99" s="178">
        <f t="shared" si="103"/>
        <v>0</v>
      </c>
      <c r="Z99" s="178">
        <f t="shared" si="103"/>
        <v>0</v>
      </c>
      <c r="AA99" s="178">
        <f t="shared" si="103"/>
        <v>0</v>
      </c>
      <c r="AB99" s="178">
        <f t="shared" si="103"/>
        <v>0</v>
      </c>
      <c r="AC99" s="178">
        <f t="shared" si="103"/>
        <v>0</v>
      </c>
      <c r="AD99" s="178">
        <f t="shared" si="103"/>
        <v>0</v>
      </c>
      <c r="AE99" s="178">
        <f t="shared" si="103"/>
        <v>0</v>
      </c>
      <c r="AF99" s="178">
        <f t="shared" si="103"/>
        <v>0</v>
      </c>
      <c r="AG99" s="178">
        <f t="shared" si="103"/>
        <v>0</v>
      </c>
      <c r="AH99" s="154" t="s">
        <v>12</v>
      </c>
      <c r="AI99" s="133"/>
      <c r="AJ99" s="170"/>
      <c r="AK99" s="133"/>
      <c r="AL99" s="133"/>
    </row>
    <row r="100" spans="1:57" ht="15.95" hidden="1" customHeight="1" x14ac:dyDescent="0.25">
      <c r="A100" s="177"/>
      <c r="B100" s="160" t="s">
        <v>68</v>
      </c>
      <c r="C100" s="161">
        <f t="shared" ref="C100:AG100" si="104">IF(C13="V",IF(C13="",0,1),0)</f>
        <v>0</v>
      </c>
      <c r="D100" s="161">
        <f t="shared" si="104"/>
        <v>0</v>
      </c>
      <c r="E100" s="161">
        <f t="shared" si="104"/>
        <v>0</v>
      </c>
      <c r="F100" s="161">
        <f t="shared" si="104"/>
        <v>0</v>
      </c>
      <c r="G100" s="161">
        <f t="shared" si="104"/>
        <v>0</v>
      </c>
      <c r="H100" s="161">
        <f t="shared" si="104"/>
        <v>0</v>
      </c>
      <c r="I100" s="161">
        <f t="shared" si="104"/>
        <v>0</v>
      </c>
      <c r="J100" s="161">
        <f t="shared" si="104"/>
        <v>0</v>
      </c>
      <c r="K100" s="161">
        <f t="shared" si="104"/>
        <v>0</v>
      </c>
      <c r="L100" s="161">
        <f t="shared" si="104"/>
        <v>0</v>
      </c>
      <c r="M100" s="161">
        <f t="shared" si="104"/>
        <v>0</v>
      </c>
      <c r="N100" s="161">
        <f t="shared" si="104"/>
        <v>0</v>
      </c>
      <c r="O100" s="161">
        <f t="shared" si="104"/>
        <v>0</v>
      </c>
      <c r="P100" s="161">
        <f t="shared" si="104"/>
        <v>0</v>
      </c>
      <c r="Q100" s="161">
        <f t="shared" si="104"/>
        <v>0</v>
      </c>
      <c r="R100" s="161">
        <f t="shared" si="104"/>
        <v>0</v>
      </c>
      <c r="S100" s="161">
        <f t="shared" si="104"/>
        <v>0</v>
      </c>
      <c r="T100" s="161">
        <f t="shared" si="104"/>
        <v>0</v>
      </c>
      <c r="U100" s="161">
        <f t="shared" si="104"/>
        <v>0</v>
      </c>
      <c r="V100" s="161">
        <f t="shared" si="104"/>
        <v>0</v>
      </c>
      <c r="W100" s="161">
        <f t="shared" si="104"/>
        <v>0</v>
      </c>
      <c r="X100" s="161">
        <f t="shared" si="104"/>
        <v>0</v>
      </c>
      <c r="Y100" s="161">
        <f t="shared" si="104"/>
        <v>0</v>
      </c>
      <c r="Z100" s="161">
        <f t="shared" si="104"/>
        <v>0</v>
      </c>
      <c r="AA100" s="161">
        <f t="shared" si="104"/>
        <v>0</v>
      </c>
      <c r="AB100" s="161">
        <f t="shared" si="104"/>
        <v>0</v>
      </c>
      <c r="AC100" s="161">
        <f t="shared" si="104"/>
        <v>0</v>
      </c>
      <c r="AD100" s="161">
        <f t="shared" si="104"/>
        <v>0</v>
      </c>
      <c r="AE100" s="161">
        <f t="shared" si="104"/>
        <v>0</v>
      </c>
      <c r="AF100" s="161">
        <f t="shared" si="104"/>
        <v>0</v>
      </c>
      <c r="AG100" s="161">
        <f t="shared" si="104"/>
        <v>0</v>
      </c>
      <c r="AH100" s="154" t="s">
        <v>12</v>
      </c>
      <c r="AI100" s="133"/>
      <c r="AJ100" s="170"/>
      <c r="AK100" s="133"/>
      <c r="AL100" s="133"/>
    </row>
    <row r="101" spans="1:57" ht="15.95" hidden="1" customHeight="1" x14ac:dyDescent="0.25">
      <c r="A101" s="173"/>
      <c r="B101" s="130" t="s">
        <v>16</v>
      </c>
      <c r="C101" s="179">
        <f t="shared" ref="C101:AG101" si="105">IF(C13="PR",IF(C13="",0,1),0)</f>
        <v>0</v>
      </c>
      <c r="D101" s="179">
        <f t="shared" si="105"/>
        <v>0</v>
      </c>
      <c r="E101" s="179">
        <f t="shared" si="105"/>
        <v>0</v>
      </c>
      <c r="F101" s="179">
        <f t="shared" si="105"/>
        <v>0</v>
      </c>
      <c r="G101" s="179">
        <f t="shared" si="105"/>
        <v>0</v>
      </c>
      <c r="H101" s="179">
        <f t="shared" si="105"/>
        <v>0</v>
      </c>
      <c r="I101" s="179">
        <f t="shared" si="105"/>
        <v>0</v>
      </c>
      <c r="J101" s="179">
        <f t="shared" si="105"/>
        <v>0</v>
      </c>
      <c r="K101" s="179">
        <f t="shared" si="105"/>
        <v>0</v>
      </c>
      <c r="L101" s="179">
        <f t="shared" si="105"/>
        <v>0</v>
      </c>
      <c r="M101" s="179">
        <f t="shared" si="105"/>
        <v>0</v>
      </c>
      <c r="N101" s="179">
        <f t="shared" si="105"/>
        <v>0</v>
      </c>
      <c r="O101" s="179">
        <f t="shared" si="105"/>
        <v>0</v>
      </c>
      <c r="P101" s="179">
        <f t="shared" si="105"/>
        <v>0</v>
      </c>
      <c r="Q101" s="179">
        <f t="shared" si="105"/>
        <v>0</v>
      </c>
      <c r="R101" s="179">
        <f t="shared" si="105"/>
        <v>0</v>
      </c>
      <c r="S101" s="179">
        <f t="shared" si="105"/>
        <v>0</v>
      </c>
      <c r="T101" s="179">
        <f t="shared" si="105"/>
        <v>0</v>
      </c>
      <c r="U101" s="179">
        <f t="shared" si="105"/>
        <v>0</v>
      </c>
      <c r="V101" s="179">
        <f t="shared" si="105"/>
        <v>0</v>
      </c>
      <c r="W101" s="179">
        <f t="shared" si="105"/>
        <v>0</v>
      </c>
      <c r="X101" s="179">
        <f t="shared" si="105"/>
        <v>0</v>
      </c>
      <c r="Y101" s="179">
        <f t="shared" si="105"/>
        <v>0</v>
      </c>
      <c r="Z101" s="179">
        <f t="shared" si="105"/>
        <v>0</v>
      </c>
      <c r="AA101" s="179">
        <f t="shared" si="105"/>
        <v>0</v>
      </c>
      <c r="AB101" s="179">
        <f t="shared" si="105"/>
        <v>0</v>
      </c>
      <c r="AC101" s="179">
        <f t="shared" si="105"/>
        <v>0</v>
      </c>
      <c r="AD101" s="179">
        <f t="shared" si="105"/>
        <v>0</v>
      </c>
      <c r="AE101" s="179">
        <f t="shared" si="105"/>
        <v>0</v>
      </c>
      <c r="AF101" s="179">
        <f t="shared" si="105"/>
        <v>0</v>
      </c>
      <c r="AG101" s="179">
        <f t="shared" si="105"/>
        <v>0</v>
      </c>
      <c r="AH101" s="229">
        <f>SUM(C101:AG101)</f>
        <v>0</v>
      </c>
      <c r="AI101" s="229"/>
      <c r="AJ101" s="174" t="s">
        <v>69</v>
      </c>
      <c r="AK101" s="133"/>
      <c r="AL101" s="133"/>
    </row>
    <row r="102" spans="1:57" ht="15.95" hidden="1" customHeight="1" x14ac:dyDescent="0.25">
      <c r="A102" s="164" t="s">
        <v>79</v>
      </c>
      <c r="B102" s="165" t="s">
        <v>29</v>
      </c>
      <c r="C102" s="141" t="str">
        <f t="shared" ref="C102:AG102" si="106">IF(C14=$R32,$S32*24,IF(C14=$R33,$S33*24,IF(C14=$R34,$S34*24,IF(C14=$R35,$S35*24,IF(C14=$R36,$S36*24,IF(C14=$R37,$S37*24,IF(C14=$R38,$S38*24,IF(C14=$R39,$S39*24,IF(C14=$R40,$S40*24,"")))))))))</f>
        <v/>
      </c>
      <c r="D102" s="141" t="str">
        <f t="shared" si="106"/>
        <v/>
      </c>
      <c r="E102" s="141" t="str">
        <f t="shared" si="106"/>
        <v/>
      </c>
      <c r="F102" s="141" t="str">
        <f t="shared" si="106"/>
        <v/>
      </c>
      <c r="G102" s="141" t="str">
        <f t="shared" si="106"/>
        <v/>
      </c>
      <c r="H102" s="141" t="str">
        <f t="shared" si="106"/>
        <v/>
      </c>
      <c r="I102" s="141" t="str">
        <f t="shared" si="106"/>
        <v/>
      </c>
      <c r="J102" s="141" t="str">
        <f t="shared" si="106"/>
        <v/>
      </c>
      <c r="K102" s="141" t="str">
        <f t="shared" si="106"/>
        <v/>
      </c>
      <c r="L102" s="141" t="str">
        <f t="shared" si="106"/>
        <v/>
      </c>
      <c r="M102" s="141" t="str">
        <f t="shared" si="106"/>
        <v/>
      </c>
      <c r="N102" s="141" t="str">
        <f t="shared" si="106"/>
        <v/>
      </c>
      <c r="O102" s="141" t="str">
        <f t="shared" si="106"/>
        <v/>
      </c>
      <c r="P102" s="141" t="str">
        <f t="shared" si="106"/>
        <v/>
      </c>
      <c r="Q102" s="141" t="str">
        <f t="shared" si="106"/>
        <v/>
      </c>
      <c r="R102" s="141" t="str">
        <f t="shared" si="106"/>
        <v/>
      </c>
      <c r="S102" s="141" t="str">
        <f t="shared" si="106"/>
        <v/>
      </c>
      <c r="T102" s="141" t="str">
        <f t="shared" si="106"/>
        <v/>
      </c>
      <c r="U102" s="141" t="str">
        <f t="shared" si="106"/>
        <v/>
      </c>
      <c r="V102" s="141" t="str">
        <f t="shared" si="106"/>
        <v/>
      </c>
      <c r="W102" s="141" t="str">
        <f t="shared" si="106"/>
        <v/>
      </c>
      <c r="X102" s="141" t="str">
        <f t="shared" si="106"/>
        <v/>
      </c>
      <c r="Y102" s="141" t="str">
        <f t="shared" si="106"/>
        <v/>
      </c>
      <c r="Z102" s="141" t="str">
        <f t="shared" si="106"/>
        <v/>
      </c>
      <c r="AA102" s="141" t="str">
        <f t="shared" si="106"/>
        <v/>
      </c>
      <c r="AB102" s="141" t="str">
        <f t="shared" si="106"/>
        <v/>
      </c>
      <c r="AC102" s="141" t="str">
        <f t="shared" si="106"/>
        <v/>
      </c>
      <c r="AD102" s="141" t="str">
        <f t="shared" si="106"/>
        <v/>
      </c>
      <c r="AE102" s="141" t="str">
        <f t="shared" si="106"/>
        <v/>
      </c>
      <c r="AF102" s="141" t="str">
        <f t="shared" si="106"/>
        <v/>
      </c>
      <c r="AG102" s="141" t="str">
        <f t="shared" si="106"/>
        <v/>
      </c>
      <c r="AH102" s="154" t="s">
        <v>12</v>
      </c>
      <c r="AI102" s="133"/>
      <c r="AJ102" s="170"/>
      <c r="AK102" s="133"/>
      <c r="AL102" s="133"/>
    </row>
    <row r="103" spans="1:57" ht="15.95" hidden="1" customHeight="1" x14ac:dyDescent="0.25">
      <c r="A103" s="166" t="s">
        <v>80</v>
      </c>
      <c r="B103" s="167" t="s">
        <v>30</v>
      </c>
      <c r="C103" s="141" t="str">
        <f t="shared" ref="C103:AG103" si="107">IF(C14=$R32,$V32*24,IF(C14=$R33,$V33*24,IF(C14=$R34,$V34*24,IF(C14=$R35,$V35*24,IF(C14=$R36,$V36*24,IF(C14=$R37,$V37*24,IF(C14=$R38,$V38*24,IF(C14=$R39,$V39*24,IF(C14=$R40,$V40*24,"")))))))))</f>
        <v/>
      </c>
      <c r="D103" s="141" t="str">
        <f t="shared" si="107"/>
        <v/>
      </c>
      <c r="E103" s="141" t="str">
        <f t="shared" si="107"/>
        <v/>
      </c>
      <c r="F103" s="141" t="str">
        <f t="shared" si="107"/>
        <v/>
      </c>
      <c r="G103" s="141" t="str">
        <f t="shared" si="107"/>
        <v/>
      </c>
      <c r="H103" s="141" t="str">
        <f t="shared" si="107"/>
        <v/>
      </c>
      <c r="I103" s="141" t="str">
        <f t="shared" si="107"/>
        <v/>
      </c>
      <c r="J103" s="141" t="str">
        <f t="shared" si="107"/>
        <v/>
      </c>
      <c r="K103" s="141" t="str">
        <f t="shared" si="107"/>
        <v/>
      </c>
      <c r="L103" s="141" t="str">
        <f t="shared" si="107"/>
        <v/>
      </c>
      <c r="M103" s="141" t="str">
        <f t="shared" si="107"/>
        <v/>
      </c>
      <c r="N103" s="141" t="str">
        <f t="shared" si="107"/>
        <v/>
      </c>
      <c r="O103" s="141" t="str">
        <f t="shared" si="107"/>
        <v/>
      </c>
      <c r="P103" s="141" t="str">
        <f t="shared" si="107"/>
        <v/>
      </c>
      <c r="Q103" s="141" t="str">
        <f t="shared" si="107"/>
        <v/>
      </c>
      <c r="R103" s="141" t="str">
        <f t="shared" si="107"/>
        <v/>
      </c>
      <c r="S103" s="141" t="str">
        <f t="shared" si="107"/>
        <v/>
      </c>
      <c r="T103" s="141" t="str">
        <f t="shared" si="107"/>
        <v/>
      </c>
      <c r="U103" s="141" t="str">
        <f t="shared" si="107"/>
        <v/>
      </c>
      <c r="V103" s="141" t="str">
        <f t="shared" si="107"/>
        <v/>
      </c>
      <c r="W103" s="141" t="str">
        <f t="shared" si="107"/>
        <v/>
      </c>
      <c r="X103" s="141" t="str">
        <f t="shared" si="107"/>
        <v/>
      </c>
      <c r="Y103" s="141" t="str">
        <f t="shared" si="107"/>
        <v/>
      </c>
      <c r="Z103" s="141" t="str">
        <f t="shared" si="107"/>
        <v/>
      </c>
      <c r="AA103" s="141" t="str">
        <f t="shared" si="107"/>
        <v/>
      </c>
      <c r="AB103" s="141" t="str">
        <f t="shared" si="107"/>
        <v/>
      </c>
      <c r="AC103" s="141" t="str">
        <f t="shared" si="107"/>
        <v/>
      </c>
      <c r="AD103" s="141" t="str">
        <f t="shared" si="107"/>
        <v/>
      </c>
      <c r="AE103" s="141" t="str">
        <f t="shared" si="107"/>
        <v/>
      </c>
      <c r="AF103" s="141" t="str">
        <f t="shared" si="107"/>
        <v/>
      </c>
      <c r="AG103" s="141" t="str">
        <f t="shared" si="107"/>
        <v/>
      </c>
      <c r="AH103" s="154" t="s">
        <v>12</v>
      </c>
      <c r="AI103" s="133"/>
      <c r="AJ103" s="170"/>
      <c r="AK103" s="133"/>
      <c r="AL103" s="133"/>
    </row>
    <row r="104" spans="1:57" ht="15.95" hidden="1" customHeight="1" x14ac:dyDescent="0.25">
      <c r="A104" s="153"/>
      <c r="B104" s="168" t="s">
        <v>34</v>
      </c>
      <c r="C104" s="169" t="str">
        <f t="shared" ref="C104:AD104" si="108">IF(C14=$R32,$BD32*24,IF(C14=$R33,$BD33*24,IF(C14=$R34,$BD34*24,IF(C14=$R35,$BD35*24,IF(C14=$R36,$BD36*24,IF(C14=$R37,$BD37*24,IF(C14=$R38,$BD38*24,IF(C14=$R39,$BD39*24,IF(C14=$R40,$BD40*24,"")))))))))</f>
        <v/>
      </c>
      <c r="D104" s="169" t="str">
        <f t="shared" si="108"/>
        <v/>
      </c>
      <c r="E104" s="169" t="str">
        <f t="shared" si="108"/>
        <v/>
      </c>
      <c r="F104" s="169" t="str">
        <f t="shared" si="108"/>
        <v/>
      </c>
      <c r="G104" s="169" t="str">
        <f t="shared" si="108"/>
        <v/>
      </c>
      <c r="H104" s="169" t="str">
        <f t="shared" si="108"/>
        <v/>
      </c>
      <c r="I104" s="169" t="str">
        <f t="shared" si="108"/>
        <v/>
      </c>
      <c r="J104" s="169" t="str">
        <f t="shared" si="108"/>
        <v/>
      </c>
      <c r="K104" s="169" t="str">
        <f t="shared" si="108"/>
        <v/>
      </c>
      <c r="L104" s="169" t="str">
        <f t="shared" si="108"/>
        <v/>
      </c>
      <c r="M104" s="169" t="str">
        <f t="shared" si="108"/>
        <v/>
      </c>
      <c r="N104" s="169" t="str">
        <f t="shared" si="108"/>
        <v/>
      </c>
      <c r="O104" s="169" t="str">
        <f t="shared" si="108"/>
        <v/>
      </c>
      <c r="P104" s="169" t="str">
        <f t="shared" si="108"/>
        <v/>
      </c>
      <c r="Q104" s="169" t="str">
        <f t="shared" si="108"/>
        <v/>
      </c>
      <c r="R104" s="169" t="str">
        <f t="shared" si="108"/>
        <v/>
      </c>
      <c r="S104" s="169" t="str">
        <f t="shared" si="108"/>
        <v/>
      </c>
      <c r="T104" s="169" t="str">
        <f t="shared" si="108"/>
        <v/>
      </c>
      <c r="U104" s="169" t="str">
        <f t="shared" si="108"/>
        <v/>
      </c>
      <c r="V104" s="169" t="str">
        <f t="shared" si="108"/>
        <v/>
      </c>
      <c r="W104" s="169" t="str">
        <f t="shared" si="108"/>
        <v/>
      </c>
      <c r="X104" s="169" t="str">
        <f t="shared" si="108"/>
        <v/>
      </c>
      <c r="Y104" s="169" t="str">
        <f t="shared" si="108"/>
        <v/>
      </c>
      <c r="Z104" s="169" t="str">
        <f t="shared" si="108"/>
        <v/>
      </c>
      <c r="AA104" s="169" t="str">
        <f t="shared" si="108"/>
        <v/>
      </c>
      <c r="AB104" s="169" t="str">
        <f t="shared" si="108"/>
        <v/>
      </c>
      <c r="AC104" s="169" t="str">
        <f t="shared" si="108"/>
        <v/>
      </c>
      <c r="AD104" s="169" t="str">
        <f t="shared" si="108"/>
        <v/>
      </c>
      <c r="AE104" s="169" t="str">
        <f>IF(AE14=$R32,$BD32*24,IF(AE14=$R33,$BD33*24,IF(AE14=$R34,$BD34*24,IF(AE14=$R35,$BD35*24,IF(AE14=$R36,$BD36*24,IF(AE14=$R37,$BD37*24,IF(AE14=$R38,$BD38*24,IF(AE14=$R39,$BD39*24,IF(AE14=$R40,$BD40*24,"")))))))))</f>
        <v/>
      </c>
      <c r="AF104" s="169" t="str">
        <f>IF(AF14=$R32,$BD32*24,IF(AF14=$R33,$BD33*24,IF(AF14=$R34,$BD34*24,IF(AF14=$R35,$BD35*24,IF(AF14=$R36,$BD36*24,IF(AF14=$R37,$BD37*24,IF(AF14=$R38,$BD38*24,IF(AF14=$R39,$BD39*24,IF(AF14=$R40,$BD40*24,"")))))))))</f>
        <v/>
      </c>
      <c r="AG104" s="169" t="str">
        <f>IF(AG14=$R32,$BD32*24,IF(AG14=$R33,$BD33*24,IF(AG14=$R34,$BD34*24,IF(AG14=$R35,$BD35*24,IF(AG14=$R36,$BD36*24,IF(AG14=$R37,$BD37*24,IF(AG14=$R38,$BD38*24,IF(AG14=$R39,$BD39*24,IF(AG14=$R40,$BD40*24,"")))))))))</f>
        <v/>
      </c>
      <c r="AH104" s="148">
        <f>SUM(C104:AG104)</f>
        <v>0</v>
      </c>
      <c r="AI104" s="133"/>
      <c r="AJ104" s="170"/>
      <c r="AK104" s="133"/>
      <c r="AL104" s="133"/>
    </row>
    <row r="105" spans="1:57" ht="15.95" hidden="1" customHeight="1" x14ac:dyDescent="0.25">
      <c r="A105" s="153"/>
      <c r="B105" s="167" t="s">
        <v>59</v>
      </c>
      <c r="C105" s="141">
        <f t="shared" ref="C105:AG105" si="109">IF(C14="V",$C36,IF(C14="PR",$C38,0))</f>
        <v>0</v>
      </c>
      <c r="D105" s="141">
        <f t="shared" si="109"/>
        <v>0</v>
      </c>
      <c r="E105" s="141">
        <f t="shared" si="109"/>
        <v>0</v>
      </c>
      <c r="F105" s="141">
        <f t="shared" si="109"/>
        <v>0</v>
      </c>
      <c r="G105" s="141">
        <f t="shared" si="109"/>
        <v>0</v>
      </c>
      <c r="H105" s="141">
        <f t="shared" si="109"/>
        <v>0</v>
      </c>
      <c r="I105" s="141">
        <f t="shared" si="109"/>
        <v>0</v>
      </c>
      <c r="J105" s="141">
        <f t="shared" si="109"/>
        <v>0</v>
      </c>
      <c r="K105" s="141">
        <f t="shared" si="109"/>
        <v>0</v>
      </c>
      <c r="L105" s="141">
        <f t="shared" si="109"/>
        <v>0</v>
      </c>
      <c r="M105" s="141">
        <f t="shared" si="109"/>
        <v>0</v>
      </c>
      <c r="N105" s="141">
        <f t="shared" si="109"/>
        <v>0</v>
      </c>
      <c r="O105" s="141">
        <f t="shared" si="109"/>
        <v>0</v>
      </c>
      <c r="P105" s="141">
        <f t="shared" si="109"/>
        <v>0</v>
      </c>
      <c r="Q105" s="141">
        <f t="shared" si="109"/>
        <v>0</v>
      </c>
      <c r="R105" s="141">
        <f t="shared" si="109"/>
        <v>0</v>
      </c>
      <c r="S105" s="141">
        <f t="shared" si="109"/>
        <v>0</v>
      </c>
      <c r="T105" s="141">
        <f t="shared" si="109"/>
        <v>0</v>
      </c>
      <c r="U105" s="141">
        <f t="shared" si="109"/>
        <v>0</v>
      </c>
      <c r="V105" s="141">
        <f t="shared" si="109"/>
        <v>0</v>
      </c>
      <c r="W105" s="141">
        <f t="shared" si="109"/>
        <v>0</v>
      </c>
      <c r="X105" s="141">
        <f t="shared" si="109"/>
        <v>0</v>
      </c>
      <c r="Y105" s="141">
        <f t="shared" si="109"/>
        <v>0</v>
      </c>
      <c r="Z105" s="141">
        <f t="shared" si="109"/>
        <v>0</v>
      </c>
      <c r="AA105" s="141">
        <f t="shared" si="109"/>
        <v>0</v>
      </c>
      <c r="AB105" s="141">
        <f t="shared" si="109"/>
        <v>0</v>
      </c>
      <c r="AC105" s="141">
        <f t="shared" si="109"/>
        <v>0</v>
      </c>
      <c r="AD105" s="141">
        <f t="shared" si="109"/>
        <v>0</v>
      </c>
      <c r="AE105" s="141">
        <f t="shared" si="109"/>
        <v>0</v>
      </c>
      <c r="AF105" s="141">
        <f t="shared" si="109"/>
        <v>0</v>
      </c>
      <c r="AG105" s="141">
        <f t="shared" si="109"/>
        <v>0</v>
      </c>
      <c r="AH105" s="226">
        <f>SUM(C105:AG105)</f>
        <v>0</v>
      </c>
      <c r="AI105" s="226"/>
      <c r="AJ105" s="230">
        <f>SUM(AH50+AH61+AH72+AH83+AH94+AH105)</f>
        <v>0</v>
      </c>
      <c r="AK105" s="230"/>
      <c r="AL105" s="133" t="s">
        <v>56</v>
      </c>
      <c r="AM105" s="1" t="s">
        <v>12</v>
      </c>
    </row>
    <row r="106" spans="1:57" ht="15.95" hidden="1" customHeight="1" x14ac:dyDescent="0.25">
      <c r="A106" s="150" t="s">
        <v>60</v>
      </c>
      <c r="B106" s="167" t="s">
        <v>61</v>
      </c>
      <c r="C106" s="151">
        <f t="shared" ref="C106:AD106" si="110">IF(C14=$R32,$BC32,IF(C14=$R33,$BC33,IF(C14=$R34,$BC34,IF(C14=$R35,$BC35,IF(C14=$R36,$BC36,IF(C14=$R37,$BC37,IF(C14=$R38,$BC38,IF(C14=$R39,$BC39,IF(C14=$R40,$BC40,0)))))))))</f>
        <v>0</v>
      </c>
      <c r="D106" s="151">
        <f t="shared" si="110"/>
        <v>0</v>
      </c>
      <c r="E106" s="151">
        <f t="shared" si="110"/>
        <v>0</v>
      </c>
      <c r="F106" s="151">
        <f t="shared" si="110"/>
        <v>0</v>
      </c>
      <c r="G106" s="151">
        <f t="shared" si="110"/>
        <v>0</v>
      </c>
      <c r="H106" s="151">
        <f t="shared" si="110"/>
        <v>0</v>
      </c>
      <c r="I106" s="151">
        <f t="shared" si="110"/>
        <v>0</v>
      </c>
      <c r="J106" s="151">
        <f t="shared" si="110"/>
        <v>0</v>
      </c>
      <c r="K106" s="151">
        <f t="shared" si="110"/>
        <v>0</v>
      </c>
      <c r="L106" s="151">
        <f t="shared" si="110"/>
        <v>0</v>
      </c>
      <c r="M106" s="151">
        <f t="shared" si="110"/>
        <v>0</v>
      </c>
      <c r="N106" s="151">
        <f t="shared" si="110"/>
        <v>0</v>
      </c>
      <c r="O106" s="151">
        <f t="shared" si="110"/>
        <v>0</v>
      </c>
      <c r="P106" s="151">
        <f t="shared" si="110"/>
        <v>0</v>
      </c>
      <c r="Q106" s="151">
        <f t="shared" si="110"/>
        <v>0</v>
      </c>
      <c r="R106" s="151">
        <f t="shared" si="110"/>
        <v>0</v>
      </c>
      <c r="S106" s="151">
        <f t="shared" si="110"/>
        <v>0</v>
      </c>
      <c r="T106" s="151">
        <f t="shared" si="110"/>
        <v>0</v>
      </c>
      <c r="U106" s="151">
        <f t="shared" si="110"/>
        <v>0</v>
      </c>
      <c r="V106" s="151">
        <f t="shared" si="110"/>
        <v>0</v>
      </c>
      <c r="W106" s="151">
        <f t="shared" si="110"/>
        <v>0</v>
      </c>
      <c r="X106" s="151">
        <f t="shared" si="110"/>
        <v>0</v>
      </c>
      <c r="Y106" s="151">
        <f t="shared" si="110"/>
        <v>0</v>
      </c>
      <c r="Z106" s="151">
        <f t="shared" si="110"/>
        <v>0</v>
      </c>
      <c r="AA106" s="151">
        <f t="shared" si="110"/>
        <v>0</v>
      </c>
      <c r="AB106" s="151">
        <f t="shared" si="110"/>
        <v>0</v>
      </c>
      <c r="AC106" s="151">
        <f t="shared" si="110"/>
        <v>0</v>
      </c>
      <c r="AD106" s="151">
        <f t="shared" si="110"/>
        <v>0</v>
      </c>
      <c r="AE106" s="151">
        <f>IF(AE14=$R32,$BC32,IF(AE14=$R33,$BC33,IF(AE14=$R34,$BC34,IF(AE14=$R35,$BC35,IF(AE14=$R36,$BC36,IF(AE14=$R37,$BC37,IF(AE14=$R38,$BC38,IF(AE14=$R39,$BC39,IF(AE14=$R40,$BC40,0)))))))))</f>
        <v>0</v>
      </c>
      <c r="AF106" s="151">
        <f>IF(AF14=$R32,$BC32,IF(AF14=$R33,$BC33,IF(AF14=$R34,$BC34,IF(AF14=$R35,$BC35,IF(AF14=$R36,$BC36,IF(AF14=$R37,$BC37,IF(AF14=$R38,$BC38,IF(AF14=$R39,$BC39,IF(AF14=$R40,$BC40,0)))))))))</f>
        <v>0</v>
      </c>
      <c r="AG106" s="151">
        <f>IF(AG14=$R32,$BC32,IF(AG14=$R33,$BC33,IF(AG14=$R34,$BC34,IF(AG14=$R35,$BC35,IF(AG14=$R36,$BC36,IF(AG14=$R37,$BC37,IF(AG14=$R38,$BC38,IF(AG14=$R39,$BC39,IF(AG14=$R40,$BC40,0)))))))))</f>
        <v>0</v>
      </c>
      <c r="AH106" s="226">
        <f>SUM(C106:AG106)</f>
        <v>0</v>
      </c>
      <c r="AI106" s="226"/>
      <c r="AJ106" s="174" t="s">
        <v>62</v>
      </c>
      <c r="AK106" s="133" t="s">
        <v>12</v>
      </c>
      <c r="AL106" s="133"/>
    </row>
    <row r="107" spans="1:57" ht="15.95" hidden="1" customHeight="1" x14ac:dyDescent="0.25">
      <c r="A107" s="153" t="s">
        <v>48</v>
      </c>
      <c r="B107" s="149" t="s">
        <v>63</v>
      </c>
      <c r="C107" s="141">
        <f t="shared" ref="C107:AG107" si="111">IF(C46=1,IF(C102&lt;C103,C106,0))</f>
        <v>0</v>
      </c>
      <c r="D107" s="141">
        <f t="shared" si="111"/>
        <v>0</v>
      </c>
      <c r="E107" s="141" t="b">
        <f t="shared" si="111"/>
        <v>0</v>
      </c>
      <c r="F107" s="141" t="b">
        <f t="shared" si="111"/>
        <v>0</v>
      </c>
      <c r="G107" s="141" t="b">
        <f t="shared" si="111"/>
        <v>0</v>
      </c>
      <c r="H107" s="141" t="b">
        <f t="shared" si="111"/>
        <v>0</v>
      </c>
      <c r="I107" s="141" t="b">
        <f t="shared" si="111"/>
        <v>0</v>
      </c>
      <c r="J107" s="141">
        <f t="shared" si="111"/>
        <v>0</v>
      </c>
      <c r="K107" s="141">
        <f t="shared" si="111"/>
        <v>0</v>
      </c>
      <c r="L107" s="141" t="b">
        <f t="shared" si="111"/>
        <v>0</v>
      </c>
      <c r="M107" s="141" t="b">
        <f t="shared" si="111"/>
        <v>0</v>
      </c>
      <c r="N107" s="141" t="b">
        <f t="shared" si="111"/>
        <v>0</v>
      </c>
      <c r="O107" s="141" t="b">
        <f t="shared" si="111"/>
        <v>0</v>
      </c>
      <c r="P107" s="141" t="b">
        <f t="shared" si="111"/>
        <v>0</v>
      </c>
      <c r="Q107" s="141">
        <f t="shared" si="111"/>
        <v>0</v>
      </c>
      <c r="R107" s="141">
        <f t="shared" si="111"/>
        <v>0</v>
      </c>
      <c r="S107" s="141" t="b">
        <f t="shared" si="111"/>
        <v>0</v>
      </c>
      <c r="T107" s="141" t="b">
        <f t="shared" si="111"/>
        <v>0</v>
      </c>
      <c r="U107" s="141" t="b">
        <f t="shared" si="111"/>
        <v>0</v>
      </c>
      <c r="V107" s="141" t="b">
        <f t="shared" si="111"/>
        <v>0</v>
      </c>
      <c r="W107" s="141" t="b">
        <f t="shared" si="111"/>
        <v>0</v>
      </c>
      <c r="X107" s="141">
        <f t="shared" si="111"/>
        <v>0</v>
      </c>
      <c r="Y107" s="141">
        <f t="shared" si="111"/>
        <v>0</v>
      </c>
      <c r="Z107" s="141" t="b">
        <f t="shared" si="111"/>
        <v>0</v>
      </c>
      <c r="AA107" s="141" t="b">
        <f t="shared" si="111"/>
        <v>0</v>
      </c>
      <c r="AB107" s="141" t="b">
        <f t="shared" si="111"/>
        <v>0</v>
      </c>
      <c r="AC107" s="141" t="b">
        <f t="shared" si="111"/>
        <v>0</v>
      </c>
      <c r="AD107" s="141" t="b">
        <f t="shared" si="111"/>
        <v>0</v>
      </c>
      <c r="AE107" s="141">
        <f t="shared" si="111"/>
        <v>0</v>
      </c>
      <c r="AF107" s="141">
        <f t="shared" si="111"/>
        <v>0</v>
      </c>
      <c r="AG107" s="141" t="b">
        <f t="shared" si="111"/>
        <v>0</v>
      </c>
      <c r="AH107" s="154" t="s">
        <v>12</v>
      </c>
      <c r="AI107" s="133"/>
      <c r="AJ107" s="170"/>
      <c r="AK107" s="133"/>
      <c r="AL107" s="133"/>
      <c r="BE107" s="31"/>
    </row>
    <row r="108" spans="1:57" ht="15.95" hidden="1" customHeight="1" x14ac:dyDescent="0.25">
      <c r="A108" s="176"/>
      <c r="B108" s="149" t="s">
        <v>64</v>
      </c>
      <c r="C108" s="141">
        <f>IF(C46=1,IF(C113&gt;C114,24-C113,0),0)</f>
        <v>0</v>
      </c>
      <c r="D108" s="141">
        <f t="shared" ref="D108:AG108" si="112">IF(D46=1,IF(D102&gt;D103,24-D102,0),0)</f>
        <v>0</v>
      </c>
      <c r="E108" s="141">
        <f t="shared" si="112"/>
        <v>0</v>
      </c>
      <c r="F108" s="141">
        <f t="shared" si="112"/>
        <v>0</v>
      </c>
      <c r="G108" s="141">
        <f t="shared" si="112"/>
        <v>0</v>
      </c>
      <c r="H108" s="141">
        <f t="shared" si="112"/>
        <v>0</v>
      </c>
      <c r="I108" s="141">
        <f t="shared" si="112"/>
        <v>0</v>
      </c>
      <c r="J108" s="141">
        <f t="shared" si="112"/>
        <v>0</v>
      </c>
      <c r="K108" s="141">
        <f t="shared" si="112"/>
        <v>0</v>
      </c>
      <c r="L108" s="141">
        <f t="shared" si="112"/>
        <v>0</v>
      </c>
      <c r="M108" s="141">
        <f t="shared" si="112"/>
        <v>0</v>
      </c>
      <c r="N108" s="141">
        <f t="shared" si="112"/>
        <v>0</v>
      </c>
      <c r="O108" s="141">
        <f t="shared" si="112"/>
        <v>0</v>
      </c>
      <c r="P108" s="141">
        <f t="shared" si="112"/>
        <v>0</v>
      </c>
      <c r="Q108" s="141">
        <f t="shared" si="112"/>
        <v>0</v>
      </c>
      <c r="R108" s="141">
        <f t="shared" si="112"/>
        <v>0</v>
      </c>
      <c r="S108" s="141">
        <f t="shared" si="112"/>
        <v>0</v>
      </c>
      <c r="T108" s="141">
        <f t="shared" si="112"/>
        <v>0</v>
      </c>
      <c r="U108" s="141">
        <f t="shared" si="112"/>
        <v>0</v>
      </c>
      <c r="V108" s="141">
        <f t="shared" si="112"/>
        <v>0</v>
      </c>
      <c r="W108" s="141">
        <f t="shared" si="112"/>
        <v>0</v>
      </c>
      <c r="X108" s="141">
        <f t="shared" si="112"/>
        <v>0</v>
      </c>
      <c r="Y108" s="141">
        <f t="shared" si="112"/>
        <v>0</v>
      </c>
      <c r="Z108" s="141">
        <f t="shared" si="112"/>
        <v>0</v>
      </c>
      <c r="AA108" s="141">
        <f t="shared" si="112"/>
        <v>0</v>
      </c>
      <c r="AB108" s="141">
        <f t="shared" si="112"/>
        <v>0</v>
      </c>
      <c r="AC108" s="141">
        <f t="shared" si="112"/>
        <v>0</v>
      </c>
      <c r="AD108" s="141">
        <f t="shared" si="112"/>
        <v>0</v>
      </c>
      <c r="AE108" s="141">
        <f t="shared" si="112"/>
        <v>0</v>
      </c>
      <c r="AF108" s="141">
        <f t="shared" si="112"/>
        <v>0</v>
      </c>
      <c r="AG108" s="141">
        <f t="shared" si="112"/>
        <v>0</v>
      </c>
      <c r="AH108" s="154" t="s">
        <v>12</v>
      </c>
      <c r="AI108" s="133"/>
      <c r="AJ108" s="170"/>
      <c r="AK108" s="133"/>
      <c r="AL108" s="133"/>
    </row>
    <row r="109" spans="1:57" ht="15.95" hidden="1" customHeight="1" x14ac:dyDescent="0.25">
      <c r="A109" s="176"/>
      <c r="B109" s="149" t="s">
        <v>65</v>
      </c>
      <c r="C109" s="141">
        <f t="shared" ref="C109:AG109" si="113">IF(D46=1,IF(C102&gt;C103,C103,0),0)</f>
        <v>0</v>
      </c>
      <c r="D109" s="141">
        <f t="shared" si="113"/>
        <v>0</v>
      </c>
      <c r="E109" s="141">
        <f t="shared" si="113"/>
        <v>0</v>
      </c>
      <c r="F109" s="141">
        <f t="shared" si="113"/>
        <v>0</v>
      </c>
      <c r="G109" s="141">
        <f t="shared" si="113"/>
        <v>0</v>
      </c>
      <c r="H109" s="141">
        <f t="shared" si="113"/>
        <v>0</v>
      </c>
      <c r="I109" s="141">
        <f t="shared" si="113"/>
        <v>0</v>
      </c>
      <c r="J109" s="141">
        <f t="shared" si="113"/>
        <v>0</v>
      </c>
      <c r="K109" s="141">
        <f t="shared" si="113"/>
        <v>0</v>
      </c>
      <c r="L109" s="141">
        <f t="shared" si="113"/>
        <v>0</v>
      </c>
      <c r="M109" s="141">
        <f t="shared" si="113"/>
        <v>0</v>
      </c>
      <c r="N109" s="141">
        <f t="shared" si="113"/>
        <v>0</v>
      </c>
      <c r="O109" s="141">
        <f t="shared" si="113"/>
        <v>0</v>
      </c>
      <c r="P109" s="141">
        <f t="shared" si="113"/>
        <v>0</v>
      </c>
      <c r="Q109" s="141">
        <f t="shared" si="113"/>
        <v>0</v>
      </c>
      <c r="R109" s="141">
        <f t="shared" si="113"/>
        <v>0</v>
      </c>
      <c r="S109" s="141">
        <f t="shared" si="113"/>
        <v>0</v>
      </c>
      <c r="T109" s="141">
        <f t="shared" si="113"/>
        <v>0</v>
      </c>
      <c r="U109" s="141">
        <f t="shared" si="113"/>
        <v>0</v>
      </c>
      <c r="V109" s="141">
        <f t="shared" si="113"/>
        <v>0</v>
      </c>
      <c r="W109" s="141">
        <f t="shared" si="113"/>
        <v>0</v>
      </c>
      <c r="X109" s="141">
        <f>IF(Y46=1,IF(X102&gt;X103,X103,0),0)</f>
        <v>0</v>
      </c>
      <c r="Y109" s="141">
        <f t="shared" si="113"/>
        <v>0</v>
      </c>
      <c r="Z109" s="141">
        <f t="shared" si="113"/>
        <v>0</v>
      </c>
      <c r="AA109" s="141">
        <f t="shared" si="113"/>
        <v>0</v>
      </c>
      <c r="AB109" s="141">
        <f t="shared" si="113"/>
        <v>0</v>
      </c>
      <c r="AC109" s="141">
        <f t="shared" si="113"/>
        <v>0</v>
      </c>
      <c r="AD109" s="141">
        <f t="shared" si="113"/>
        <v>0</v>
      </c>
      <c r="AE109" s="141">
        <f t="shared" si="113"/>
        <v>0</v>
      </c>
      <c r="AF109" s="141">
        <f t="shared" si="113"/>
        <v>0</v>
      </c>
      <c r="AG109" s="141">
        <f t="shared" si="113"/>
        <v>0</v>
      </c>
      <c r="AH109" s="154" t="s">
        <v>12</v>
      </c>
      <c r="AI109" s="133"/>
      <c r="AJ109" s="170"/>
      <c r="AK109" s="133"/>
      <c r="AL109" s="133"/>
    </row>
    <row r="110" spans="1:57" ht="15.95" hidden="1" customHeight="1" x14ac:dyDescent="0.25">
      <c r="A110" s="176"/>
      <c r="B110" s="149" t="s">
        <v>67</v>
      </c>
      <c r="C110" s="171">
        <f t="shared" ref="C110:AG110" si="114">SUM(C107:C109)</f>
        <v>0</v>
      </c>
      <c r="D110" s="171">
        <f t="shared" si="114"/>
        <v>0</v>
      </c>
      <c r="E110" s="171">
        <f t="shared" si="114"/>
        <v>0</v>
      </c>
      <c r="F110" s="171">
        <f t="shared" si="114"/>
        <v>0</v>
      </c>
      <c r="G110" s="171">
        <f t="shared" si="114"/>
        <v>0</v>
      </c>
      <c r="H110" s="171">
        <f t="shared" si="114"/>
        <v>0</v>
      </c>
      <c r="I110" s="171">
        <f t="shared" si="114"/>
        <v>0</v>
      </c>
      <c r="J110" s="171">
        <f t="shared" si="114"/>
        <v>0</v>
      </c>
      <c r="K110" s="171">
        <f t="shared" si="114"/>
        <v>0</v>
      </c>
      <c r="L110" s="171">
        <f t="shared" si="114"/>
        <v>0</v>
      </c>
      <c r="M110" s="171">
        <f t="shared" si="114"/>
        <v>0</v>
      </c>
      <c r="N110" s="171">
        <f t="shared" si="114"/>
        <v>0</v>
      </c>
      <c r="O110" s="171">
        <f t="shared" si="114"/>
        <v>0</v>
      </c>
      <c r="P110" s="171">
        <f t="shared" si="114"/>
        <v>0</v>
      </c>
      <c r="Q110" s="171">
        <f t="shared" si="114"/>
        <v>0</v>
      </c>
      <c r="R110" s="171">
        <f t="shared" si="114"/>
        <v>0</v>
      </c>
      <c r="S110" s="171">
        <f t="shared" si="114"/>
        <v>0</v>
      </c>
      <c r="T110" s="171">
        <f t="shared" si="114"/>
        <v>0</v>
      </c>
      <c r="U110" s="171">
        <f t="shared" si="114"/>
        <v>0</v>
      </c>
      <c r="V110" s="171">
        <f t="shared" si="114"/>
        <v>0</v>
      </c>
      <c r="W110" s="171">
        <f t="shared" si="114"/>
        <v>0</v>
      </c>
      <c r="X110" s="171">
        <f t="shared" si="114"/>
        <v>0</v>
      </c>
      <c r="Y110" s="171">
        <f t="shared" si="114"/>
        <v>0</v>
      </c>
      <c r="Z110" s="171">
        <f t="shared" si="114"/>
        <v>0</v>
      </c>
      <c r="AA110" s="171">
        <f t="shared" si="114"/>
        <v>0</v>
      </c>
      <c r="AB110" s="171">
        <f t="shared" si="114"/>
        <v>0</v>
      </c>
      <c r="AC110" s="171">
        <f t="shared" si="114"/>
        <v>0</v>
      </c>
      <c r="AD110" s="171">
        <f t="shared" si="114"/>
        <v>0</v>
      </c>
      <c r="AE110" s="171">
        <f t="shared" si="114"/>
        <v>0</v>
      </c>
      <c r="AF110" s="171">
        <f t="shared" si="114"/>
        <v>0</v>
      </c>
      <c r="AG110" s="171">
        <f t="shared" si="114"/>
        <v>0</v>
      </c>
      <c r="AH110" s="154" t="s">
        <v>12</v>
      </c>
      <c r="AI110" s="133"/>
      <c r="AJ110" s="170"/>
      <c r="AK110" s="133"/>
      <c r="AL110" s="133"/>
    </row>
    <row r="111" spans="1:57" ht="15.95" hidden="1" customHeight="1" x14ac:dyDescent="0.25">
      <c r="A111" s="177"/>
      <c r="B111" s="160" t="s">
        <v>68</v>
      </c>
      <c r="C111" s="161">
        <f t="shared" ref="C111:AG111" si="115">IF(C14="V",IF(C14="",0,1),0)</f>
        <v>0</v>
      </c>
      <c r="D111" s="161">
        <f t="shared" si="115"/>
        <v>0</v>
      </c>
      <c r="E111" s="161">
        <f t="shared" si="115"/>
        <v>0</v>
      </c>
      <c r="F111" s="161">
        <f t="shared" si="115"/>
        <v>0</v>
      </c>
      <c r="G111" s="161">
        <f t="shared" si="115"/>
        <v>0</v>
      </c>
      <c r="H111" s="161">
        <f t="shared" si="115"/>
        <v>0</v>
      </c>
      <c r="I111" s="161">
        <f t="shared" si="115"/>
        <v>0</v>
      </c>
      <c r="J111" s="161">
        <f t="shared" si="115"/>
        <v>0</v>
      </c>
      <c r="K111" s="161">
        <f t="shared" si="115"/>
        <v>0</v>
      </c>
      <c r="L111" s="161">
        <f t="shared" si="115"/>
        <v>0</v>
      </c>
      <c r="M111" s="161">
        <f t="shared" si="115"/>
        <v>0</v>
      </c>
      <c r="N111" s="161">
        <f t="shared" si="115"/>
        <v>0</v>
      </c>
      <c r="O111" s="161">
        <f t="shared" si="115"/>
        <v>0</v>
      </c>
      <c r="P111" s="161">
        <f t="shared" si="115"/>
        <v>0</v>
      </c>
      <c r="Q111" s="161">
        <f t="shared" si="115"/>
        <v>0</v>
      </c>
      <c r="R111" s="161">
        <f t="shared" si="115"/>
        <v>0</v>
      </c>
      <c r="S111" s="161">
        <f t="shared" si="115"/>
        <v>0</v>
      </c>
      <c r="T111" s="161">
        <f t="shared" si="115"/>
        <v>0</v>
      </c>
      <c r="U111" s="161">
        <f t="shared" si="115"/>
        <v>0</v>
      </c>
      <c r="V111" s="161">
        <f t="shared" si="115"/>
        <v>0</v>
      </c>
      <c r="W111" s="161">
        <f t="shared" si="115"/>
        <v>0</v>
      </c>
      <c r="X111" s="161">
        <f t="shared" si="115"/>
        <v>0</v>
      </c>
      <c r="Y111" s="161">
        <f t="shared" si="115"/>
        <v>0</v>
      </c>
      <c r="Z111" s="161">
        <f t="shared" si="115"/>
        <v>0</v>
      </c>
      <c r="AA111" s="161">
        <f t="shared" si="115"/>
        <v>0</v>
      </c>
      <c r="AB111" s="161">
        <f t="shared" si="115"/>
        <v>0</v>
      </c>
      <c r="AC111" s="161">
        <f t="shared" si="115"/>
        <v>0</v>
      </c>
      <c r="AD111" s="161">
        <f t="shared" si="115"/>
        <v>0</v>
      </c>
      <c r="AE111" s="161">
        <f t="shared" si="115"/>
        <v>0</v>
      </c>
      <c r="AF111" s="161">
        <f t="shared" si="115"/>
        <v>0</v>
      </c>
      <c r="AG111" s="161">
        <f t="shared" si="115"/>
        <v>0</v>
      </c>
      <c r="AH111" s="154" t="s">
        <v>12</v>
      </c>
      <c r="AI111" s="133"/>
      <c r="AJ111" s="170"/>
      <c r="AK111" s="133"/>
      <c r="AL111" s="133"/>
    </row>
    <row r="112" spans="1:57" ht="15.95" hidden="1" customHeight="1" x14ac:dyDescent="0.25">
      <c r="A112" s="180"/>
      <c r="B112" s="181" t="s">
        <v>16</v>
      </c>
      <c r="C112" s="182">
        <f t="shared" ref="C112:AG112" si="116">IF(C14="PR",IF(C14="",0,1),0)</f>
        <v>0</v>
      </c>
      <c r="D112" s="182">
        <f t="shared" si="116"/>
        <v>0</v>
      </c>
      <c r="E112" s="182">
        <f t="shared" si="116"/>
        <v>0</v>
      </c>
      <c r="F112" s="182">
        <f t="shared" si="116"/>
        <v>0</v>
      </c>
      <c r="G112" s="182">
        <f t="shared" si="116"/>
        <v>0</v>
      </c>
      <c r="H112" s="182">
        <f t="shared" si="116"/>
        <v>0</v>
      </c>
      <c r="I112" s="182">
        <f t="shared" si="116"/>
        <v>0</v>
      </c>
      <c r="J112" s="182">
        <f t="shared" si="116"/>
        <v>0</v>
      </c>
      <c r="K112" s="182">
        <f t="shared" si="116"/>
        <v>0</v>
      </c>
      <c r="L112" s="182">
        <f t="shared" si="116"/>
        <v>0</v>
      </c>
      <c r="M112" s="182">
        <f t="shared" si="116"/>
        <v>0</v>
      </c>
      <c r="N112" s="182">
        <f t="shared" si="116"/>
        <v>0</v>
      </c>
      <c r="O112" s="182">
        <f t="shared" si="116"/>
        <v>0</v>
      </c>
      <c r="P112" s="182">
        <f t="shared" si="116"/>
        <v>0</v>
      </c>
      <c r="Q112" s="182">
        <f t="shared" si="116"/>
        <v>0</v>
      </c>
      <c r="R112" s="182">
        <f t="shared" si="116"/>
        <v>0</v>
      </c>
      <c r="S112" s="182">
        <f t="shared" si="116"/>
        <v>0</v>
      </c>
      <c r="T112" s="182">
        <f t="shared" si="116"/>
        <v>0</v>
      </c>
      <c r="U112" s="182">
        <f t="shared" si="116"/>
        <v>0</v>
      </c>
      <c r="V112" s="182">
        <f t="shared" si="116"/>
        <v>0</v>
      </c>
      <c r="W112" s="182">
        <f t="shared" si="116"/>
        <v>0</v>
      </c>
      <c r="X112" s="182">
        <f t="shared" si="116"/>
        <v>0</v>
      </c>
      <c r="Y112" s="182">
        <f t="shared" si="116"/>
        <v>0</v>
      </c>
      <c r="Z112" s="182">
        <f t="shared" si="116"/>
        <v>0</v>
      </c>
      <c r="AA112" s="182">
        <f t="shared" si="116"/>
        <v>0</v>
      </c>
      <c r="AB112" s="182">
        <f t="shared" si="116"/>
        <v>0</v>
      </c>
      <c r="AC112" s="182">
        <f t="shared" si="116"/>
        <v>0</v>
      </c>
      <c r="AD112" s="182">
        <f t="shared" si="116"/>
        <v>0</v>
      </c>
      <c r="AE112" s="182">
        <f t="shared" si="116"/>
        <v>0</v>
      </c>
      <c r="AF112" s="182">
        <f t="shared" si="116"/>
        <v>0</v>
      </c>
      <c r="AG112" s="182">
        <f t="shared" si="116"/>
        <v>0</v>
      </c>
      <c r="AH112" s="227">
        <f>SUM(C112:AG112)</f>
        <v>0</v>
      </c>
      <c r="AI112" s="227"/>
      <c r="AJ112" s="174" t="s">
        <v>69</v>
      </c>
      <c r="AK112" s="133"/>
      <c r="AL112" s="133"/>
    </row>
    <row r="113" spans="1:57" s="31" customFormat="1" ht="15.95" hidden="1" customHeight="1" x14ac:dyDescent="0.25">
      <c r="A113" s="164" t="s">
        <v>81</v>
      </c>
      <c r="B113" s="165" t="s">
        <v>29</v>
      </c>
      <c r="C113" s="141" t="str">
        <f t="shared" ref="C113:AG113" si="117">IF(C15=$R32,$S32*24,IF(C15=$R33,$S33*24,IF(C15=$R34,$S34*24,IF(C15=$R35,$S35*24,IF(C15=$R36,$S36*24,IF(C15=$R37,$S37*24,IF(C15=$R38,$S38*24,IF(C15=$R39,$S39*24,IF(C15=$R40,$S40*24,"")))))))))</f>
        <v/>
      </c>
      <c r="D113" s="141" t="str">
        <f t="shared" si="117"/>
        <v/>
      </c>
      <c r="E113" s="141" t="str">
        <f t="shared" si="117"/>
        <v/>
      </c>
      <c r="F113" s="141" t="str">
        <f t="shared" si="117"/>
        <v/>
      </c>
      <c r="G113" s="141" t="str">
        <f t="shared" si="117"/>
        <v/>
      </c>
      <c r="H113" s="141" t="str">
        <f t="shared" si="117"/>
        <v/>
      </c>
      <c r="I113" s="141" t="str">
        <f t="shared" si="117"/>
        <v/>
      </c>
      <c r="J113" s="141" t="str">
        <f t="shared" si="117"/>
        <v/>
      </c>
      <c r="K113" s="141" t="str">
        <f t="shared" si="117"/>
        <v/>
      </c>
      <c r="L113" s="141" t="str">
        <f t="shared" si="117"/>
        <v/>
      </c>
      <c r="M113" s="141" t="str">
        <f t="shared" si="117"/>
        <v/>
      </c>
      <c r="N113" s="141" t="str">
        <f t="shared" si="117"/>
        <v/>
      </c>
      <c r="O113" s="141" t="str">
        <f t="shared" si="117"/>
        <v/>
      </c>
      <c r="P113" s="141" t="str">
        <f t="shared" si="117"/>
        <v/>
      </c>
      <c r="Q113" s="141" t="str">
        <f t="shared" si="117"/>
        <v/>
      </c>
      <c r="R113" s="141" t="str">
        <f t="shared" si="117"/>
        <v/>
      </c>
      <c r="S113" s="141" t="str">
        <f t="shared" si="117"/>
        <v/>
      </c>
      <c r="T113" s="141" t="str">
        <f t="shared" si="117"/>
        <v/>
      </c>
      <c r="U113" s="141" t="str">
        <f t="shared" si="117"/>
        <v/>
      </c>
      <c r="V113" s="141" t="str">
        <f t="shared" si="117"/>
        <v/>
      </c>
      <c r="W113" s="141" t="str">
        <f t="shared" si="117"/>
        <v/>
      </c>
      <c r="X113" s="141" t="str">
        <f t="shared" si="117"/>
        <v/>
      </c>
      <c r="Y113" s="141" t="str">
        <f t="shared" si="117"/>
        <v/>
      </c>
      <c r="Z113" s="141" t="str">
        <f t="shared" si="117"/>
        <v/>
      </c>
      <c r="AA113" s="141" t="str">
        <f t="shared" si="117"/>
        <v/>
      </c>
      <c r="AB113" s="141" t="str">
        <f t="shared" si="117"/>
        <v/>
      </c>
      <c r="AC113" s="141" t="str">
        <f t="shared" si="117"/>
        <v/>
      </c>
      <c r="AD113" s="141" t="str">
        <f t="shared" si="117"/>
        <v/>
      </c>
      <c r="AE113" s="141" t="str">
        <f t="shared" si="117"/>
        <v/>
      </c>
      <c r="AF113" s="141" t="str">
        <f t="shared" si="117"/>
        <v/>
      </c>
      <c r="AG113" s="141" t="str">
        <f t="shared" si="117"/>
        <v/>
      </c>
      <c r="AH113" s="154" t="s">
        <v>12</v>
      </c>
      <c r="AI113" s="133"/>
      <c r="AJ113" s="170"/>
      <c r="AK113" s="133"/>
      <c r="AL113" s="133"/>
      <c r="BE113" s="1"/>
    </row>
    <row r="114" spans="1:57" ht="15.95" hidden="1" customHeight="1" x14ac:dyDescent="0.25">
      <c r="A114" s="166" t="s">
        <v>82</v>
      </c>
      <c r="B114" s="167" t="s">
        <v>30</v>
      </c>
      <c r="C114" s="141" t="str">
        <f t="shared" ref="C114:AG114" si="118">IF(C15=$R32,$V32*24,IF(C15=$R33,$V33*24,IF(C15=$R34,$V34*24,IF(C15=$R35,$V35*24,IF(C15=$R36,$V36*24,IF(C15=$R37,$V37*24,IF(C15=$R38,$V38*24,IF(C15=$R39,$V39*24,IF(C15=$R40,$V40*24,"")))))))))</f>
        <v/>
      </c>
      <c r="D114" s="141" t="str">
        <f t="shared" si="118"/>
        <v/>
      </c>
      <c r="E114" s="141" t="str">
        <f t="shared" si="118"/>
        <v/>
      </c>
      <c r="F114" s="141" t="str">
        <f t="shared" si="118"/>
        <v/>
      </c>
      <c r="G114" s="141" t="str">
        <f t="shared" si="118"/>
        <v/>
      </c>
      <c r="H114" s="141" t="str">
        <f t="shared" si="118"/>
        <v/>
      </c>
      <c r="I114" s="141" t="str">
        <f t="shared" si="118"/>
        <v/>
      </c>
      <c r="J114" s="141" t="str">
        <f t="shared" si="118"/>
        <v/>
      </c>
      <c r="K114" s="141" t="str">
        <f t="shared" si="118"/>
        <v/>
      </c>
      <c r="L114" s="141" t="str">
        <f t="shared" si="118"/>
        <v/>
      </c>
      <c r="M114" s="141" t="str">
        <f t="shared" si="118"/>
        <v/>
      </c>
      <c r="N114" s="141" t="str">
        <f t="shared" si="118"/>
        <v/>
      </c>
      <c r="O114" s="141" t="str">
        <f t="shared" si="118"/>
        <v/>
      </c>
      <c r="P114" s="141" t="str">
        <f t="shared" si="118"/>
        <v/>
      </c>
      <c r="Q114" s="141" t="str">
        <f t="shared" si="118"/>
        <v/>
      </c>
      <c r="R114" s="141" t="str">
        <f t="shared" si="118"/>
        <v/>
      </c>
      <c r="S114" s="141" t="str">
        <f t="shared" si="118"/>
        <v/>
      </c>
      <c r="T114" s="141" t="str">
        <f t="shared" si="118"/>
        <v/>
      </c>
      <c r="U114" s="141" t="str">
        <f t="shared" si="118"/>
        <v/>
      </c>
      <c r="V114" s="141" t="str">
        <f t="shared" si="118"/>
        <v/>
      </c>
      <c r="W114" s="141" t="str">
        <f t="shared" si="118"/>
        <v/>
      </c>
      <c r="X114" s="141" t="str">
        <f t="shared" si="118"/>
        <v/>
      </c>
      <c r="Y114" s="141" t="str">
        <f t="shared" si="118"/>
        <v/>
      </c>
      <c r="Z114" s="141" t="str">
        <f t="shared" si="118"/>
        <v/>
      </c>
      <c r="AA114" s="141" t="str">
        <f t="shared" si="118"/>
        <v/>
      </c>
      <c r="AB114" s="141" t="str">
        <f t="shared" si="118"/>
        <v/>
      </c>
      <c r="AC114" s="141" t="str">
        <f t="shared" si="118"/>
        <v/>
      </c>
      <c r="AD114" s="141" t="str">
        <f t="shared" si="118"/>
        <v/>
      </c>
      <c r="AE114" s="141" t="str">
        <f t="shared" si="118"/>
        <v/>
      </c>
      <c r="AF114" s="141" t="str">
        <f t="shared" si="118"/>
        <v/>
      </c>
      <c r="AG114" s="141" t="str">
        <f t="shared" si="118"/>
        <v/>
      </c>
      <c r="AH114" s="154" t="s">
        <v>12</v>
      </c>
      <c r="AI114" s="133"/>
      <c r="AJ114" s="170"/>
      <c r="AK114" s="133"/>
      <c r="AL114" s="133"/>
    </row>
    <row r="115" spans="1:57" ht="15.95" hidden="1" customHeight="1" x14ac:dyDescent="0.25">
      <c r="A115" s="153"/>
      <c r="B115" s="168" t="s">
        <v>34</v>
      </c>
      <c r="C115" s="169" t="str">
        <f t="shared" ref="C115:AD115" si="119">IF(C15=$R32,$BD32*24,IF(C15=$R33,$BD33*24,IF(C15=$R34,$BD34*24,IF(C15=$R35,$BD35*24,IF(C15=$R36,$BD36*24,IF(C15=$R37,$BD37*24,IF(C15=$R38,$BD38*24,IF(C15=$R39,$BD39*24,IF(C15=$R40,$BD40*24,"")))))))))</f>
        <v/>
      </c>
      <c r="D115" s="169" t="str">
        <f t="shared" si="119"/>
        <v/>
      </c>
      <c r="E115" s="169" t="str">
        <f t="shared" si="119"/>
        <v/>
      </c>
      <c r="F115" s="169" t="str">
        <f t="shared" si="119"/>
        <v/>
      </c>
      <c r="G115" s="169" t="str">
        <f t="shared" si="119"/>
        <v/>
      </c>
      <c r="H115" s="169" t="str">
        <f t="shared" si="119"/>
        <v/>
      </c>
      <c r="I115" s="169" t="str">
        <f t="shared" si="119"/>
        <v/>
      </c>
      <c r="J115" s="169" t="str">
        <f t="shared" si="119"/>
        <v/>
      </c>
      <c r="K115" s="169" t="str">
        <f t="shared" si="119"/>
        <v/>
      </c>
      <c r="L115" s="169" t="str">
        <f t="shared" si="119"/>
        <v/>
      </c>
      <c r="M115" s="169" t="str">
        <f t="shared" si="119"/>
        <v/>
      </c>
      <c r="N115" s="169" t="str">
        <f t="shared" si="119"/>
        <v/>
      </c>
      <c r="O115" s="169" t="str">
        <f t="shared" si="119"/>
        <v/>
      </c>
      <c r="P115" s="169" t="str">
        <f t="shared" si="119"/>
        <v/>
      </c>
      <c r="Q115" s="169" t="str">
        <f t="shared" si="119"/>
        <v/>
      </c>
      <c r="R115" s="169" t="str">
        <f t="shared" si="119"/>
        <v/>
      </c>
      <c r="S115" s="169" t="str">
        <f t="shared" si="119"/>
        <v/>
      </c>
      <c r="T115" s="169" t="str">
        <f t="shared" si="119"/>
        <v/>
      </c>
      <c r="U115" s="169" t="str">
        <f t="shared" si="119"/>
        <v/>
      </c>
      <c r="V115" s="169" t="str">
        <f t="shared" si="119"/>
        <v/>
      </c>
      <c r="W115" s="169" t="str">
        <f t="shared" si="119"/>
        <v/>
      </c>
      <c r="X115" s="169" t="str">
        <f t="shared" si="119"/>
        <v/>
      </c>
      <c r="Y115" s="169" t="str">
        <f t="shared" si="119"/>
        <v/>
      </c>
      <c r="Z115" s="169" t="str">
        <f t="shared" si="119"/>
        <v/>
      </c>
      <c r="AA115" s="169" t="str">
        <f t="shared" si="119"/>
        <v/>
      </c>
      <c r="AB115" s="169" t="str">
        <f t="shared" si="119"/>
        <v/>
      </c>
      <c r="AC115" s="169" t="str">
        <f t="shared" si="119"/>
        <v/>
      </c>
      <c r="AD115" s="169" t="str">
        <f t="shared" si="119"/>
        <v/>
      </c>
      <c r="AE115" s="169" t="str">
        <f>IF(AE15=$R32,$BD32*24,IF(AE15=$R33,$BD33*24,IF(AE15=$R34,$BD34*24,IF(AE15=$R35,$BD35*24,IF(AE15=$R36,$BD36*24,IF(AE15=$R37,$BD37*24,IF(AE15=$R38,$BD38*24,IF(AE15=$R39,$BD39*24,IF(AE15=$R40,$BD40*24,"")))))))))</f>
        <v/>
      </c>
      <c r="AF115" s="169" t="str">
        <f>IF(AF15=$R32,$BD32*24,IF(AF15=$R33,$BD33*24,IF(AF15=$R34,$BD34*24,IF(AF15=$R35,$BD35*24,IF(AF15=$R36,$BD36*24,IF(AF15=$R37,$BD37*24,IF(AF15=$R38,$BD38*24,IF(AF15=$R39,$BD39*24,IF(AF15=$R40,$BD40*24,"")))))))))</f>
        <v/>
      </c>
      <c r="AG115" s="169" t="str">
        <f>IF(AG15=$R32,$BD32*24,IF(AG15=$R33,$BD33*24,IF(AG15=$R34,$BD34*24,IF(AG15=$R35,$BD35*24,IF(AG15=$R36,$BD36*24,IF(AG15=$R37,$BD37*24,IF(AG15=$R38,$BD38*24,IF(AG15=$R39,$BD39*24,IF(AG15=$R40,$BD40*24,"")))))))))</f>
        <v/>
      </c>
      <c r="AH115" s="148">
        <f>SUM(C115:AG115)</f>
        <v>0</v>
      </c>
      <c r="AI115" s="133"/>
      <c r="AJ115" s="170"/>
      <c r="AK115" s="133"/>
      <c r="AL115" s="133"/>
    </row>
    <row r="116" spans="1:57" ht="15.95" hidden="1" customHeight="1" x14ac:dyDescent="0.25">
      <c r="A116" s="153"/>
      <c r="B116" s="167" t="s">
        <v>59</v>
      </c>
      <c r="C116" s="141">
        <f t="shared" ref="C116:AG116" si="120">IF(C15="V",$C36,IF(C15="PR",$C38,0))</f>
        <v>0</v>
      </c>
      <c r="D116" s="141">
        <f t="shared" si="120"/>
        <v>0</v>
      </c>
      <c r="E116" s="141">
        <f t="shared" si="120"/>
        <v>0</v>
      </c>
      <c r="F116" s="141">
        <f t="shared" si="120"/>
        <v>0</v>
      </c>
      <c r="G116" s="141">
        <f t="shared" si="120"/>
        <v>0</v>
      </c>
      <c r="H116" s="141">
        <f t="shared" si="120"/>
        <v>0</v>
      </c>
      <c r="I116" s="141">
        <f t="shared" si="120"/>
        <v>0</v>
      </c>
      <c r="J116" s="141">
        <f t="shared" si="120"/>
        <v>0</v>
      </c>
      <c r="K116" s="141">
        <f t="shared" si="120"/>
        <v>0</v>
      </c>
      <c r="L116" s="141">
        <f t="shared" si="120"/>
        <v>0</v>
      </c>
      <c r="M116" s="141">
        <f t="shared" si="120"/>
        <v>0</v>
      </c>
      <c r="N116" s="141">
        <f t="shared" si="120"/>
        <v>0</v>
      </c>
      <c r="O116" s="141">
        <f t="shared" si="120"/>
        <v>0</v>
      </c>
      <c r="P116" s="141">
        <f t="shared" si="120"/>
        <v>0</v>
      </c>
      <c r="Q116" s="141">
        <f t="shared" si="120"/>
        <v>0</v>
      </c>
      <c r="R116" s="141">
        <f t="shared" si="120"/>
        <v>0</v>
      </c>
      <c r="S116" s="141">
        <f t="shared" si="120"/>
        <v>0</v>
      </c>
      <c r="T116" s="141">
        <f t="shared" si="120"/>
        <v>0</v>
      </c>
      <c r="U116" s="141">
        <f t="shared" si="120"/>
        <v>0</v>
      </c>
      <c r="V116" s="141">
        <f t="shared" si="120"/>
        <v>0</v>
      </c>
      <c r="W116" s="141">
        <f t="shared" si="120"/>
        <v>0</v>
      </c>
      <c r="X116" s="141">
        <f t="shared" si="120"/>
        <v>0</v>
      </c>
      <c r="Y116" s="141">
        <f t="shared" si="120"/>
        <v>0</v>
      </c>
      <c r="Z116" s="141">
        <f t="shared" si="120"/>
        <v>0</v>
      </c>
      <c r="AA116" s="141">
        <f t="shared" si="120"/>
        <v>0</v>
      </c>
      <c r="AB116" s="141">
        <f t="shared" si="120"/>
        <v>0</v>
      </c>
      <c r="AC116" s="141">
        <f t="shared" si="120"/>
        <v>0</v>
      </c>
      <c r="AD116" s="141">
        <f t="shared" si="120"/>
        <v>0</v>
      </c>
      <c r="AE116" s="141">
        <f t="shared" si="120"/>
        <v>0</v>
      </c>
      <c r="AF116" s="141">
        <f t="shared" si="120"/>
        <v>0</v>
      </c>
      <c r="AG116" s="141">
        <f t="shared" si="120"/>
        <v>0</v>
      </c>
      <c r="AH116" s="226">
        <f>SUM(C116:AG116)</f>
        <v>0</v>
      </c>
      <c r="AI116" s="226"/>
      <c r="AJ116" s="230">
        <f>SUM(AH61+AH72+AH83+AH94+AH105+AH116)</f>
        <v>0</v>
      </c>
      <c r="AK116" s="230"/>
      <c r="AL116" s="133" t="s">
        <v>56</v>
      </c>
    </row>
    <row r="117" spans="1:57" ht="15.95" hidden="1" customHeight="1" x14ac:dyDescent="0.25">
      <c r="A117" s="150" t="s">
        <v>60</v>
      </c>
      <c r="B117" s="167" t="s">
        <v>61</v>
      </c>
      <c r="C117" s="151">
        <f t="shared" ref="C117:AD117" si="121">IF(C15=$R32,$BC32,IF(C15=$R33,$BC33,IF(C15=$R34,$BC34,IF(C15=$R35,$BC35,IF(C15=$R36,$BC36,IF(C15=$R37,$BC37,IF(C15=$R38,$BC38,IF(C15=$R39,$BC39,IF(C15=$R40,$BC40,0)))))))))</f>
        <v>0</v>
      </c>
      <c r="D117" s="151">
        <f t="shared" si="121"/>
        <v>0</v>
      </c>
      <c r="E117" s="151">
        <f t="shared" si="121"/>
        <v>0</v>
      </c>
      <c r="F117" s="151">
        <f t="shared" si="121"/>
        <v>0</v>
      </c>
      <c r="G117" s="151">
        <f t="shared" si="121"/>
        <v>0</v>
      </c>
      <c r="H117" s="151">
        <f t="shared" si="121"/>
        <v>0</v>
      </c>
      <c r="I117" s="151">
        <f t="shared" si="121"/>
        <v>0</v>
      </c>
      <c r="J117" s="151">
        <f t="shared" si="121"/>
        <v>0</v>
      </c>
      <c r="K117" s="151">
        <f t="shared" si="121"/>
        <v>0</v>
      </c>
      <c r="L117" s="151">
        <f t="shared" si="121"/>
        <v>0</v>
      </c>
      <c r="M117" s="151">
        <f t="shared" si="121"/>
        <v>0</v>
      </c>
      <c r="N117" s="151">
        <f t="shared" si="121"/>
        <v>0</v>
      </c>
      <c r="O117" s="151">
        <f t="shared" si="121"/>
        <v>0</v>
      </c>
      <c r="P117" s="151">
        <f t="shared" si="121"/>
        <v>0</v>
      </c>
      <c r="Q117" s="151">
        <f t="shared" si="121"/>
        <v>0</v>
      </c>
      <c r="R117" s="151">
        <f t="shared" si="121"/>
        <v>0</v>
      </c>
      <c r="S117" s="151">
        <f t="shared" si="121"/>
        <v>0</v>
      </c>
      <c r="T117" s="151">
        <f t="shared" si="121"/>
        <v>0</v>
      </c>
      <c r="U117" s="151">
        <f t="shared" si="121"/>
        <v>0</v>
      </c>
      <c r="V117" s="151">
        <f t="shared" si="121"/>
        <v>0</v>
      </c>
      <c r="W117" s="151">
        <f t="shared" si="121"/>
        <v>0</v>
      </c>
      <c r="X117" s="151">
        <f t="shared" si="121"/>
        <v>0</v>
      </c>
      <c r="Y117" s="151">
        <f t="shared" si="121"/>
        <v>0</v>
      </c>
      <c r="Z117" s="151">
        <f t="shared" si="121"/>
        <v>0</v>
      </c>
      <c r="AA117" s="151">
        <f t="shared" si="121"/>
        <v>0</v>
      </c>
      <c r="AB117" s="151">
        <f t="shared" si="121"/>
        <v>0</v>
      </c>
      <c r="AC117" s="151">
        <f t="shared" si="121"/>
        <v>0</v>
      </c>
      <c r="AD117" s="151">
        <f t="shared" si="121"/>
        <v>0</v>
      </c>
      <c r="AE117" s="151">
        <f>IF(AE15=$R32,$BC32,IF(AE15=$R33,$BC33,IF(AE15=$R34,$BC34,IF(AE15=$R35,$BC35,IF(AE15=$R36,$BC36,IF(AE15=$R37,$BC37,IF(AE15=$R38,$BC38,IF(AE15=$R39,$BC39,IF(AE15=$R40,$BC40,0)))))))))</f>
        <v>0</v>
      </c>
      <c r="AF117" s="151">
        <f>IF(AF15=$R32,$BC32,IF(AF15=$R33,$BC33,IF(AF15=$R34,$BC34,IF(AF15=$R35,$BC35,IF(AF15=$R36,$BC36,IF(AF15=$R37,$BC37,IF(AF15=$R38,$BC38,IF(AF15=$R39,$BC39,IF(AF15=$R40,$BC40,0)))))))))</f>
        <v>0</v>
      </c>
      <c r="AG117" s="151">
        <f>IF(AG15=$R32,$BC32,IF(AG15=$R33,$BC33,IF(AG15=$R34,$BC34,IF(AG15=$R35,$BC35,IF(AG15=$R36,$BC36,IF(AG15=$R37,$BC37,IF(AG15=$R38,$BC38,IF(AG15=$R39,$BC39,IF(AG15=$R40,$BC40,0)))))))))</f>
        <v>0</v>
      </c>
      <c r="AH117" s="226">
        <f>SUM(C117:AG117)</f>
        <v>0</v>
      </c>
      <c r="AI117" s="226"/>
      <c r="AJ117" s="174" t="s">
        <v>62</v>
      </c>
      <c r="AK117" s="133" t="s">
        <v>12</v>
      </c>
      <c r="AL117" s="133"/>
    </row>
    <row r="118" spans="1:57" ht="15.95" hidden="1" customHeight="1" x14ac:dyDescent="0.25">
      <c r="A118" s="153" t="s">
        <v>48</v>
      </c>
      <c r="B118" s="149" t="s">
        <v>63</v>
      </c>
      <c r="C118" s="141">
        <f t="shared" ref="C118:AG118" si="122">IF(C46=1,IF(C113&lt;C114,C117,0))</f>
        <v>0</v>
      </c>
      <c r="D118" s="141">
        <f t="shared" si="122"/>
        <v>0</v>
      </c>
      <c r="E118" s="141" t="b">
        <f t="shared" si="122"/>
        <v>0</v>
      </c>
      <c r="F118" s="141" t="b">
        <f t="shared" si="122"/>
        <v>0</v>
      </c>
      <c r="G118" s="141" t="b">
        <f t="shared" si="122"/>
        <v>0</v>
      </c>
      <c r="H118" s="141" t="b">
        <f t="shared" si="122"/>
        <v>0</v>
      </c>
      <c r="I118" s="141" t="b">
        <f t="shared" si="122"/>
        <v>0</v>
      </c>
      <c r="J118" s="141">
        <f t="shared" si="122"/>
        <v>0</v>
      </c>
      <c r="K118" s="141">
        <f t="shared" si="122"/>
        <v>0</v>
      </c>
      <c r="L118" s="141" t="b">
        <f t="shared" si="122"/>
        <v>0</v>
      </c>
      <c r="M118" s="141" t="b">
        <f t="shared" si="122"/>
        <v>0</v>
      </c>
      <c r="N118" s="141" t="b">
        <f t="shared" si="122"/>
        <v>0</v>
      </c>
      <c r="O118" s="141" t="b">
        <f t="shared" si="122"/>
        <v>0</v>
      </c>
      <c r="P118" s="141" t="b">
        <f t="shared" si="122"/>
        <v>0</v>
      </c>
      <c r="Q118" s="141">
        <f t="shared" si="122"/>
        <v>0</v>
      </c>
      <c r="R118" s="141">
        <f t="shared" si="122"/>
        <v>0</v>
      </c>
      <c r="S118" s="141" t="b">
        <f t="shared" si="122"/>
        <v>0</v>
      </c>
      <c r="T118" s="141" t="b">
        <f t="shared" si="122"/>
        <v>0</v>
      </c>
      <c r="U118" s="141" t="b">
        <f t="shared" si="122"/>
        <v>0</v>
      </c>
      <c r="V118" s="141" t="b">
        <f t="shared" si="122"/>
        <v>0</v>
      </c>
      <c r="W118" s="141" t="b">
        <f t="shared" si="122"/>
        <v>0</v>
      </c>
      <c r="X118" s="141">
        <f t="shared" si="122"/>
        <v>0</v>
      </c>
      <c r="Y118" s="141">
        <f t="shared" si="122"/>
        <v>0</v>
      </c>
      <c r="Z118" s="141" t="b">
        <f t="shared" si="122"/>
        <v>0</v>
      </c>
      <c r="AA118" s="141" t="b">
        <f t="shared" si="122"/>
        <v>0</v>
      </c>
      <c r="AB118" s="141" t="b">
        <f t="shared" si="122"/>
        <v>0</v>
      </c>
      <c r="AC118" s="141" t="b">
        <f t="shared" si="122"/>
        <v>0</v>
      </c>
      <c r="AD118" s="141" t="b">
        <f t="shared" si="122"/>
        <v>0</v>
      </c>
      <c r="AE118" s="141">
        <f t="shared" si="122"/>
        <v>0</v>
      </c>
      <c r="AF118" s="141">
        <f t="shared" si="122"/>
        <v>0</v>
      </c>
      <c r="AG118" s="141" t="b">
        <f t="shared" si="122"/>
        <v>0</v>
      </c>
      <c r="AH118" s="154" t="s">
        <v>12</v>
      </c>
      <c r="AI118" s="133"/>
      <c r="AJ118" s="170"/>
      <c r="AK118" s="133"/>
      <c r="AL118" s="133"/>
    </row>
    <row r="119" spans="1:57" ht="15.95" hidden="1" customHeight="1" x14ac:dyDescent="0.25">
      <c r="A119" s="176"/>
      <c r="B119" s="149" t="s">
        <v>64</v>
      </c>
      <c r="C119" s="141">
        <f t="shared" ref="C119:AG119" si="123">IF(C46=1,IF(C113&gt;C114,24-C113,0),0)</f>
        <v>0</v>
      </c>
      <c r="D119" s="141">
        <f t="shared" si="123"/>
        <v>0</v>
      </c>
      <c r="E119" s="141">
        <f t="shared" si="123"/>
        <v>0</v>
      </c>
      <c r="F119" s="141">
        <f t="shared" si="123"/>
        <v>0</v>
      </c>
      <c r="G119" s="141">
        <f t="shared" si="123"/>
        <v>0</v>
      </c>
      <c r="H119" s="141">
        <f t="shared" si="123"/>
        <v>0</v>
      </c>
      <c r="I119" s="141">
        <f t="shared" si="123"/>
        <v>0</v>
      </c>
      <c r="J119" s="141">
        <f t="shared" si="123"/>
        <v>0</v>
      </c>
      <c r="K119" s="141">
        <f t="shared" si="123"/>
        <v>0</v>
      </c>
      <c r="L119" s="141">
        <f t="shared" si="123"/>
        <v>0</v>
      </c>
      <c r="M119" s="141">
        <f t="shared" si="123"/>
        <v>0</v>
      </c>
      <c r="N119" s="141">
        <f t="shared" si="123"/>
        <v>0</v>
      </c>
      <c r="O119" s="141">
        <f t="shared" si="123"/>
        <v>0</v>
      </c>
      <c r="P119" s="141">
        <f t="shared" si="123"/>
        <v>0</v>
      </c>
      <c r="Q119" s="141">
        <f t="shared" si="123"/>
        <v>0</v>
      </c>
      <c r="R119" s="141">
        <f t="shared" si="123"/>
        <v>0</v>
      </c>
      <c r="S119" s="141">
        <f t="shared" si="123"/>
        <v>0</v>
      </c>
      <c r="T119" s="141">
        <f t="shared" si="123"/>
        <v>0</v>
      </c>
      <c r="U119" s="141">
        <f t="shared" si="123"/>
        <v>0</v>
      </c>
      <c r="V119" s="141">
        <f t="shared" si="123"/>
        <v>0</v>
      </c>
      <c r="W119" s="141">
        <f t="shared" si="123"/>
        <v>0</v>
      </c>
      <c r="X119" s="141">
        <f t="shared" si="123"/>
        <v>0</v>
      </c>
      <c r="Y119" s="141">
        <f t="shared" si="123"/>
        <v>0</v>
      </c>
      <c r="Z119" s="141">
        <f t="shared" si="123"/>
        <v>0</v>
      </c>
      <c r="AA119" s="141">
        <f t="shared" si="123"/>
        <v>0</v>
      </c>
      <c r="AB119" s="141">
        <f t="shared" si="123"/>
        <v>0</v>
      </c>
      <c r="AC119" s="141">
        <f t="shared" si="123"/>
        <v>0</v>
      </c>
      <c r="AD119" s="141">
        <f t="shared" si="123"/>
        <v>0</v>
      </c>
      <c r="AE119" s="141">
        <f t="shared" si="123"/>
        <v>0</v>
      </c>
      <c r="AF119" s="141">
        <f t="shared" si="123"/>
        <v>0</v>
      </c>
      <c r="AG119" s="141">
        <f t="shared" si="123"/>
        <v>0</v>
      </c>
      <c r="AH119" s="154" t="s">
        <v>12</v>
      </c>
      <c r="AI119" s="133"/>
      <c r="AJ119" s="170"/>
      <c r="AK119" s="133"/>
      <c r="AL119" s="133"/>
    </row>
    <row r="120" spans="1:57" ht="15.95" hidden="1" customHeight="1" x14ac:dyDescent="0.25">
      <c r="A120" s="176"/>
      <c r="B120" s="149" t="s">
        <v>65</v>
      </c>
      <c r="C120" s="141">
        <f t="shared" ref="C120:AG120" si="124">IF(D46=1,IF(C113&gt;C114,C114,0),0)</f>
        <v>0</v>
      </c>
      <c r="D120" s="141">
        <f t="shared" si="124"/>
        <v>0</v>
      </c>
      <c r="E120" s="141">
        <f t="shared" si="124"/>
        <v>0</v>
      </c>
      <c r="F120" s="141">
        <f t="shared" si="124"/>
        <v>0</v>
      </c>
      <c r="G120" s="141">
        <f t="shared" si="124"/>
        <v>0</v>
      </c>
      <c r="H120" s="141">
        <f t="shared" si="124"/>
        <v>0</v>
      </c>
      <c r="I120" s="141">
        <f t="shared" si="124"/>
        <v>0</v>
      </c>
      <c r="J120" s="141">
        <f t="shared" si="124"/>
        <v>0</v>
      </c>
      <c r="K120" s="141">
        <f t="shared" si="124"/>
        <v>0</v>
      </c>
      <c r="L120" s="141">
        <f t="shared" si="124"/>
        <v>0</v>
      </c>
      <c r="M120" s="141">
        <f t="shared" si="124"/>
        <v>0</v>
      </c>
      <c r="N120" s="141">
        <f t="shared" si="124"/>
        <v>0</v>
      </c>
      <c r="O120" s="141">
        <f t="shared" si="124"/>
        <v>0</v>
      </c>
      <c r="P120" s="141">
        <f t="shared" si="124"/>
        <v>0</v>
      </c>
      <c r="Q120" s="141">
        <f t="shared" si="124"/>
        <v>0</v>
      </c>
      <c r="R120" s="141">
        <f t="shared" si="124"/>
        <v>0</v>
      </c>
      <c r="S120" s="141">
        <f t="shared" si="124"/>
        <v>0</v>
      </c>
      <c r="T120" s="141">
        <f t="shared" si="124"/>
        <v>0</v>
      </c>
      <c r="U120" s="141">
        <f t="shared" si="124"/>
        <v>0</v>
      </c>
      <c r="V120" s="141">
        <f t="shared" si="124"/>
        <v>0</v>
      </c>
      <c r="W120" s="141">
        <f t="shared" si="124"/>
        <v>0</v>
      </c>
      <c r="X120" s="141">
        <f>IF(Y46=1,IF(X113&gt;X114,X114,0),0)</f>
        <v>0</v>
      </c>
      <c r="Y120" s="141">
        <f t="shared" si="124"/>
        <v>0</v>
      </c>
      <c r="Z120" s="141">
        <f t="shared" si="124"/>
        <v>0</v>
      </c>
      <c r="AA120" s="141">
        <f t="shared" si="124"/>
        <v>0</v>
      </c>
      <c r="AB120" s="141">
        <f t="shared" si="124"/>
        <v>0</v>
      </c>
      <c r="AC120" s="141">
        <f t="shared" si="124"/>
        <v>0</v>
      </c>
      <c r="AD120" s="141">
        <f t="shared" si="124"/>
        <v>0</v>
      </c>
      <c r="AE120" s="141">
        <f t="shared" si="124"/>
        <v>0</v>
      </c>
      <c r="AF120" s="141">
        <f t="shared" si="124"/>
        <v>0</v>
      </c>
      <c r="AG120" s="141">
        <f t="shared" si="124"/>
        <v>0</v>
      </c>
      <c r="AH120" s="154" t="s">
        <v>12</v>
      </c>
      <c r="AI120" s="133"/>
      <c r="AJ120" s="170"/>
      <c r="AK120" s="133"/>
      <c r="AL120" s="133"/>
    </row>
    <row r="121" spans="1:57" ht="15.95" hidden="1" customHeight="1" x14ac:dyDescent="0.25">
      <c r="A121" s="176"/>
      <c r="B121" s="149" t="s">
        <v>67</v>
      </c>
      <c r="C121" s="171">
        <f t="shared" ref="C121:AG121" si="125">SUM(C118:C120)</f>
        <v>0</v>
      </c>
      <c r="D121" s="171">
        <f t="shared" si="125"/>
        <v>0</v>
      </c>
      <c r="E121" s="171">
        <f t="shared" si="125"/>
        <v>0</v>
      </c>
      <c r="F121" s="171">
        <f t="shared" si="125"/>
        <v>0</v>
      </c>
      <c r="G121" s="171">
        <f t="shared" si="125"/>
        <v>0</v>
      </c>
      <c r="H121" s="171">
        <f t="shared" si="125"/>
        <v>0</v>
      </c>
      <c r="I121" s="171">
        <f t="shared" si="125"/>
        <v>0</v>
      </c>
      <c r="J121" s="171">
        <f t="shared" si="125"/>
        <v>0</v>
      </c>
      <c r="K121" s="171">
        <f t="shared" si="125"/>
        <v>0</v>
      </c>
      <c r="L121" s="171">
        <f t="shared" si="125"/>
        <v>0</v>
      </c>
      <c r="M121" s="171">
        <f t="shared" si="125"/>
        <v>0</v>
      </c>
      <c r="N121" s="171">
        <f t="shared" si="125"/>
        <v>0</v>
      </c>
      <c r="O121" s="171">
        <f t="shared" si="125"/>
        <v>0</v>
      </c>
      <c r="P121" s="171">
        <f t="shared" si="125"/>
        <v>0</v>
      </c>
      <c r="Q121" s="171">
        <f t="shared" si="125"/>
        <v>0</v>
      </c>
      <c r="R121" s="171">
        <f t="shared" si="125"/>
        <v>0</v>
      </c>
      <c r="S121" s="171">
        <f t="shared" si="125"/>
        <v>0</v>
      </c>
      <c r="T121" s="171">
        <f t="shared" si="125"/>
        <v>0</v>
      </c>
      <c r="U121" s="171">
        <f t="shared" si="125"/>
        <v>0</v>
      </c>
      <c r="V121" s="171">
        <f t="shared" si="125"/>
        <v>0</v>
      </c>
      <c r="W121" s="171">
        <f t="shared" si="125"/>
        <v>0</v>
      </c>
      <c r="X121" s="171">
        <f t="shared" si="125"/>
        <v>0</v>
      </c>
      <c r="Y121" s="171">
        <f t="shared" si="125"/>
        <v>0</v>
      </c>
      <c r="Z121" s="171">
        <f t="shared" si="125"/>
        <v>0</v>
      </c>
      <c r="AA121" s="171">
        <f t="shared" si="125"/>
        <v>0</v>
      </c>
      <c r="AB121" s="171">
        <f t="shared" si="125"/>
        <v>0</v>
      </c>
      <c r="AC121" s="171">
        <f t="shared" si="125"/>
        <v>0</v>
      </c>
      <c r="AD121" s="171">
        <f t="shared" si="125"/>
        <v>0</v>
      </c>
      <c r="AE121" s="171">
        <f t="shared" si="125"/>
        <v>0</v>
      </c>
      <c r="AF121" s="171">
        <f t="shared" si="125"/>
        <v>0</v>
      </c>
      <c r="AG121" s="171">
        <f t="shared" si="125"/>
        <v>0</v>
      </c>
      <c r="AH121" s="154" t="s">
        <v>12</v>
      </c>
      <c r="AI121" s="133"/>
      <c r="AJ121" s="170"/>
      <c r="AK121" s="133"/>
      <c r="AL121" s="133"/>
    </row>
    <row r="122" spans="1:57" ht="15.95" hidden="1" customHeight="1" x14ac:dyDescent="0.25">
      <c r="A122" s="177"/>
      <c r="B122" s="160" t="s">
        <v>68</v>
      </c>
      <c r="C122" s="182">
        <f t="shared" ref="C122:AG122" si="126">IF(C15="V",IF(C15="",0,1),0)</f>
        <v>0</v>
      </c>
      <c r="D122" s="182">
        <f t="shared" si="126"/>
        <v>0</v>
      </c>
      <c r="E122" s="182">
        <f t="shared" si="126"/>
        <v>0</v>
      </c>
      <c r="F122" s="182">
        <f t="shared" si="126"/>
        <v>0</v>
      </c>
      <c r="G122" s="182">
        <f t="shared" si="126"/>
        <v>0</v>
      </c>
      <c r="H122" s="182">
        <f t="shared" si="126"/>
        <v>0</v>
      </c>
      <c r="I122" s="182">
        <f t="shared" si="126"/>
        <v>0</v>
      </c>
      <c r="J122" s="182">
        <f t="shared" si="126"/>
        <v>0</v>
      </c>
      <c r="K122" s="182">
        <f t="shared" si="126"/>
        <v>0</v>
      </c>
      <c r="L122" s="182">
        <f t="shared" si="126"/>
        <v>0</v>
      </c>
      <c r="M122" s="182">
        <f t="shared" si="126"/>
        <v>0</v>
      </c>
      <c r="N122" s="182">
        <f t="shared" si="126"/>
        <v>0</v>
      </c>
      <c r="O122" s="182">
        <f t="shared" si="126"/>
        <v>0</v>
      </c>
      <c r="P122" s="182">
        <f t="shared" si="126"/>
        <v>0</v>
      </c>
      <c r="Q122" s="182">
        <f t="shared" si="126"/>
        <v>0</v>
      </c>
      <c r="R122" s="182">
        <f t="shared" si="126"/>
        <v>0</v>
      </c>
      <c r="S122" s="182">
        <f t="shared" si="126"/>
        <v>0</v>
      </c>
      <c r="T122" s="182">
        <f t="shared" si="126"/>
        <v>0</v>
      </c>
      <c r="U122" s="182">
        <f t="shared" si="126"/>
        <v>0</v>
      </c>
      <c r="V122" s="182">
        <f t="shared" si="126"/>
        <v>0</v>
      </c>
      <c r="W122" s="182">
        <f t="shared" si="126"/>
        <v>0</v>
      </c>
      <c r="X122" s="182">
        <f t="shared" si="126"/>
        <v>0</v>
      </c>
      <c r="Y122" s="182">
        <f t="shared" si="126"/>
        <v>0</v>
      </c>
      <c r="Z122" s="182">
        <f t="shared" si="126"/>
        <v>0</v>
      </c>
      <c r="AA122" s="182">
        <f t="shared" si="126"/>
        <v>0</v>
      </c>
      <c r="AB122" s="182">
        <f t="shared" si="126"/>
        <v>0</v>
      </c>
      <c r="AC122" s="182">
        <f t="shared" si="126"/>
        <v>0</v>
      </c>
      <c r="AD122" s="182">
        <f t="shared" si="126"/>
        <v>0</v>
      </c>
      <c r="AE122" s="182">
        <f t="shared" si="126"/>
        <v>0</v>
      </c>
      <c r="AF122" s="182">
        <f t="shared" si="126"/>
        <v>0</v>
      </c>
      <c r="AG122" s="182">
        <f t="shared" si="126"/>
        <v>0</v>
      </c>
      <c r="AH122" s="154" t="s">
        <v>12</v>
      </c>
      <c r="AI122" s="133"/>
      <c r="AJ122" s="170"/>
      <c r="AK122" s="133"/>
      <c r="AL122" s="133"/>
    </row>
    <row r="123" spans="1:57" ht="15.95" hidden="1" customHeight="1" x14ac:dyDescent="0.25">
      <c r="A123" s="180"/>
      <c r="B123" s="181" t="s">
        <v>16</v>
      </c>
      <c r="C123" s="182">
        <f t="shared" ref="C123:AG123" si="127">IF(C15="PR",IF(C15="",0,1),0)</f>
        <v>0</v>
      </c>
      <c r="D123" s="182">
        <f t="shared" si="127"/>
        <v>0</v>
      </c>
      <c r="E123" s="182">
        <f t="shared" si="127"/>
        <v>0</v>
      </c>
      <c r="F123" s="182">
        <f t="shared" si="127"/>
        <v>0</v>
      </c>
      <c r="G123" s="182">
        <f t="shared" si="127"/>
        <v>0</v>
      </c>
      <c r="H123" s="182">
        <f t="shared" si="127"/>
        <v>0</v>
      </c>
      <c r="I123" s="182">
        <f t="shared" si="127"/>
        <v>0</v>
      </c>
      <c r="J123" s="182">
        <f t="shared" si="127"/>
        <v>0</v>
      </c>
      <c r="K123" s="182">
        <f t="shared" si="127"/>
        <v>0</v>
      </c>
      <c r="L123" s="182">
        <f t="shared" si="127"/>
        <v>0</v>
      </c>
      <c r="M123" s="182">
        <f t="shared" si="127"/>
        <v>0</v>
      </c>
      <c r="N123" s="182">
        <f t="shared" si="127"/>
        <v>0</v>
      </c>
      <c r="O123" s="182">
        <f t="shared" si="127"/>
        <v>0</v>
      </c>
      <c r="P123" s="182">
        <f t="shared" si="127"/>
        <v>0</v>
      </c>
      <c r="Q123" s="182">
        <f t="shared" si="127"/>
        <v>0</v>
      </c>
      <c r="R123" s="182">
        <f t="shared" si="127"/>
        <v>0</v>
      </c>
      <c r="S123" s="182">
        <f t="shared" si="127"/>
        <v>0</v>
      </c>
      <c r="T123" s="182">
        <f t="shared" si="127"/>
        <v>0</v>
      </c>
      <c r="U123" s="182">
        <f t="shared" si="127"/>
        <v>0</v>
      </c>
      <c r="V123" s="182">
        <f t="shared" si="127"/>
        <v>0</v>
      </c>
      <c r="W123" s="182">
        <f t="shared" si="127"/>
        <v>0</v>
      </c>
      <c r="X123" s="182">
        <f t="shared" si="127"/>
        <v>0</v>
      </c>
      <c r="Y123" s="182">
        <f t="shared" si="127"/>
        <v>0</v>
      </c>
      <c r="Z123" s="182">
        <f t="shared" si="127"/>
        <v>0</v>
      </c>
      <c r="AA123" s="182">
        <f t="shared" si="127"/>
        <v>0</v>
      </c>
      <c r="AB123" s="182">
        <f t="shared" si="127"/>
        <v>0</v>
      </c>
      <c r="AC123" s="182">
        <f t="shared" si="127"/>
        <v>0</v>
      </c>
      <c r="AD123" s="182">
        <f t="shared" si="127"/>
        <v>0</v>
      </c>
      <c r="AE123" s="182">
        <f t="shared" si="127"/>
        <v>0</v>
      </c>
      <c r="AF123" s="182">
        <f t="shared" si="127"/>
        <v>0</v>
      </c>
      <c r="AG123" s="182">
        <f t="shared" si="127"/>
        <v>0</v>
      </c>
      <c r="AH123" s="227">
        <f>SUM(C123:AG123)</f>
        <v>0</v>
      </c>
      <c r="AI123" s="227"/>
      <c r="AJ123" s="174" t="s">
        <v>69</v>
      </c>
      <c r="AK123" s="133"/>
      <c r="AL123" s="133"/>
    </row>
    <row r="124" spans="1:57" ht="15.95" hidden="1" customHeight="1" x14ac:dyDescent="0.25">
      <c r="A124" s="164" t="s">
        <v>83</v>
      </c>
      <c r="B124" s="165" t="s">
        <v>29</v>
      </c>
      <c r="C124" s="141" t="str">
        <f t="shared" ref="C124:AG124" si="128">IF(C16=$R32,$S32*24,IF(C16=$R33,$S33*24,IF(C16=$R34,$S34*24,IF(C16=$R35,$S35*24,IF(C16=$R36,$S36*24,IF(C16=$R37,$S37*24,IF(C16=$R38,$S38*24,IF(C16=$R39,$S39*24,IF(C16=$R40,$S40*24,"")))))))))</f>
        <v/>
      </c>
      <c r="D124" s="141" t="str">
        <f t="shared" si="128"/>
        <v/>
      </c>
      <c r="E124" s="141" t="str">
        <f t="shared" si="128"/>
        <v/>
      </c>
      <c r="F124" s="141" t="str">
        <f t="shared" si="128"/>
        <v/>
      </c>
      <c r="G124" s="141" t="str">
        <f t="shared" si="128"/>
        <v/>
      </c>
      <c r="H124" s="141" t="str">
        <f t="shared" si="128"/>
        <v/>
      </c>
      <c r="I124" s="141" t="str">
        <f t="shared" si="128"/>
        <v/>
      </c>
      <c r="J124" s="141" t="str">
        <f t="shared" si="128"/>
        <v/>
      </c>
      <c r="K124" s="141" t="str">
        <f t="shared" si="128"/>
        <v/>
      </c>
      <c r="L124" s="141" t="str">
        <f t="shared" si="128"/>
        <v/>
      </c>
      <c r="M124" s="141" t="str">
        <f t="shared" si="128"/>
        <v/>
      </c>
      <c r="N124" s="141" t="str">
        <f t="shared" si="128"/>
        <v/>
      </c>
      <c r="O124" s="141" t="str">
        <f t="shared" si="128"/>
        <v/>
      </c>
      <c r="P124" s="141" t="str">
        <f t="shared" si="128"/>
        <v/>
      </c>
      <c r="Q124" s="141" t="str">
        <f t="shared" si="128"/>
        <v/>
      </c>
      <c r="R124" s="141" t="str">
        <f t="shared" si="128"/>
        <v/>
      </c>
      <c r="S124" s="141" t="str">
        <f t="shared" si="128"/>
        <v/>
      </c>
      <c r="T124" s="141" t="str">
        <f t="shared" si="128"/>
        <v/>
      </c>
      <c r="U124" s="141" t="str">
        <f t="shared" si="128"/>
        <v/>
      </c>
      <c r="V124" s="141" t="str">
        <f t="shared" si="128"/>
        <v/>
      </c>
      <c r="W124" s="141" t="str">
        <f t="shared" si="128"/>
        <v/>
      </c>
      <c r="X124" s="141" t="str">
        <f t="shared" si="128"/>
        <v/>
      </c>
      <c r="Y124" s="141" t="str">
        <f t="shared" si="128"/>
        <v/>
      </c>
      <c r="Z124" s="141" t="str">
        <f t="shared" si="128"/>
        <v/>
      </c>
      <c r="AA124" s="141" t="str">
        <f t="shared" si="128"/>
        <v/>
      </c>
      <c r="AB124" s="141" t="str">
        <f t="shared" si="128"/>
        <v/>
      </c>
      <c r="AC124" s="141" t="str">
        <f t="shared" si="128"/>
        <v/>
      </c>
      <c r="AD124" s="141" t="str">
        <f t="shared" si="128"/>
        <v/>
      </c>
      <c r="AE124" s="141" t="str">
        <f t="shared" si="128"/>
        <v/>
      </c>
      <c r="AF124" s="141" t="str">
        <f t="shared" si="128"/>
        <v/>
      </c>
      <c r="AG124" s="141" t="str">
        <f t="shared" si="128"/>
        <v/>
      </c>
      <c r="AH124" s="154" t="s">
        <v>12</v>
      </c>
      <c r="AI124" s="133"/>
      <c r="AJ124" s="170"/>
      <c r="AK124" s="133"/>
      <c r="AL124" s="133"/>
    </row>
    <row r="125" spans="1:57" ht="15.95" hidden="1" customHeight="1" x14ac:dyDescent="0.25">
      <c r="A125" s="166" t="s">
        <v>84</v>
      </c>
      <c r="B125" s="167" t="s">
        <v>30</v>
      </c>
      <c r="C125" s="141" t="str">
        <f t="shared" ref="C125:AG125" si="129">IF(C16=$R32,$V32*24,IF(C16=$R33,$V33*24,IF(C16=$R34,$V34*24,IF(C16=$R35,$V35*24,IF(C16=$R36,$V36*24,IF(C16=$R37,$V37*24,IF(C16=$R38,$V38*24,IF(C16=$R39,$V39*24,IF(C16=$R40,$V40*24,"")))))))))</f>
        <v/>
      </c>
      <c r="D125" s="141" t="str">
        <f t="shared" si="129"/>
        <v/>
      </c>
      <c r="E125" s="141" t="str">
        <f t="shared" si="129"/>
        <v/>
      </c>
      <c r="F125" s="141" t="str">
        <f t="shared" si="129"/>
        <v/>
      </c>
      <c r="G125" s="141" t="str">
        <f t="shared" si="129"/>
        <v/>
      </c>
      <c r="H125" s="141" t="str">
        <f t="shared" si="129"/>
        <v/>
      </c>
      <c r="I125" s="141" t="str">
        <f t="shared" si="129"/>
        <v/>
      </c>
      <c r="J125" s="141" t="str">
        <f t="shared" si="129"/>
        <v/>
      </c>
      <c r="K125" s="141" t="str">
        <f t="shared" si="129"/>
        <v/>
      </c>
      <c r="L125" s="141" t="str">
        <f t="shared" si="129"/>
        <v/>
      </c>
      <c r="M125" s="141" t="str">
        <f t="shared" si="129"/>
        <v/>
      </c>
      <c r="N125" s="141" t="str">
        <f t="shared" si="129"/>
        <v/>
      </c>
      <c r="O125" s="141" t="str">
        <f t="shared" si="129"/>
        <v/>
      </c>
      <c r="P125" s="141" t="str">
        <f t="shared" si="129"/>
        <v/>
      </c>
      <c r="Q125" s="141" t="str">
        <f t="shared" si="129"/>
        <v/>
      </c>
      <c r="R125" s="141" t="str">
        <f t="shared" si="129"/>
        <v/>
      </c>
      <c r="S125" s="141" t="str">
        <f t="shared" si="129"/>
        <v/>
      </c>
      <c r="T125" s="141" t="str">
        <f t="shared" si="129"/>
        <v/>
      </c>
      <c r="U125" s="141" t="str">
        <f t="shared" si="129"/>
        <v/>
      </c>
      <c r="V125" s="141" t="str">
        <f t="shared" si="129"/>
        <v/>
      </c>
      <c r="W125" s="141" t="str">
        <f t="shared" si="129"/>
        <v/>
      </c>
      <c r="X125" s="141" t="str">
        <f t="shared" si="129"/>
        <v/>
      </c>
      <c r="Y125" s="141" t="str">
        <f t="shared" si="129"/>
        <v/>
      </c>
      <c r="Z125" s="141" t="str">
        <f t="shared" si="129"/>
        <v/>
      </c>
      <c r="AA125" s="141" t="str">
        <f t="shared" si="129"/>
        <v/>
      </c>
      <c r="AB125" s="141" t="str">
        <f t="shared" si="129"/>
        <v/>
      </c>
      <c r="AC125" s="141" t="str">
        <f t="shared" si="129"/>
        <v/>
      </c>
      <c r="AD125" s="141" t="str">
        <f t="shared" si="129"/>
        <v/>
      </c>
      <c r="AE125" s="141" t="str">
        <f t="shared" si="129"/>
        <v/>
      </c>
      <c r="AF125" s="141" t="str">
        <f t="shared" si="129"/>
        <v/>
      </c>
      <c r="AG125" s="141" t="str">
        <f t="shared" si="129"/>
        <v/>
      </c>
      <c r="AH125" s="154" t="s">
        <v>12</v>
      </c>
      <c r="AI125" s="133"/>
      <c r="AJ125" s="170"/>
      <c r="AK125" s="133"/>
      <c r="AL125" s="133"/>
    </row>
    <row r="126" spans="1:57" ht="15.95" hidden="1" customHeight="1" x14ac:dyDescent="0.25">
      <c r="A126" s="153"/>
      <c r="B126" s="168" t="s">
        <v>34</v>
      </c>
      <c r="C126" s="169" t="str">
        <f t="shared" ref="C126:AD126" si="130">IF(C16=$R32,$BD32*24,IF(C16=$R33,$BD33*24,IF(C16=$R34,$BD34*24,IF(C16=$R35,$BD35*24,IF(C16=$R36,$BD36*24,IF(C16=$R37,$BD37*24,IF(C16=$R38,$BD38*24,IF(C16=$R39,$BD39*24,IF(C16=$R40,$BD40*24,"")))))))))</f>
        <v/>
      </c>
      <c r="D126" s="169" t="str">
        <f t="shared" si="130"/>
        <v/>
      </c>
      <c r="E126" s="169" t="str">
        <f t="shared" si="130"/>
        <v/>
      </c>
      <c r="F126" s="169" t="str">
        <f t="shared" si="130"/>
        <v/>
      </c>
      <c r="G126" s="169" t="str">
        <f t="shared" si="130"/>
        <v/>
      </c>
      <c r="H126" s="169" t="str">
        <f t="shared" si="130"/>
        <v/>
      </c>
      <c r="I126" s="169" t="str">
        <f t="shared" si="130"/>
        <v/>
      </c>
      <c r="J126" s="169" t="str">
        <f t="shared" si="130"/>
        <v/>
      </c>
      <c r="K126" s="169" t="str">
        <f t="shared" si="130"/>
        <v/>
      </c>
      <c r="L126" s="169" t="str">
        <f t="shared" si="130"/>
        <v/>
      </c>
      <c r="M126" s="169" t="str">
        <f t="shared" si="130"/>
        <v/>
      </c>
      <c r="N126" s="169" t="str">
        <f t="shared" si="130"/>
        <v/>
      </c>
      <c r="O126" s="169" t="str">
        <f t="shared" si="130"/>
        <v/>
      </c>
      <c r="P126" s="169" t="str">
        <f t="shared" si="130"/>
        <v/>
      </c>
      <c r="Q126" s="169" t="str">
        <f t="shared" si="130"/>
        <v/>
      </c>
      <c r="R126" s="169" t="str">
        <f t="shared" si="130"/>
        <v/>
      </c>
      <c r="S126" s="169" t="str">
        <f t="shared" si="130"/>
        <v/>
      </c>
      <c r="T126" s="169" t="str">
        <f t="shared" si="130"/>
        <v/>
      </c>
      <c r="U126" s="169" t="str">
        <f t="shared" si="130"/>
        <v/>
      </c>
      <c r="V126" s="169" t="str">
        <f t="shared" si="130"/>
        <v/>
      </c>
      <c r="W126" s="169" t="str">
        <f t="shared" si="130"/>
        <v/>
      </c>
      <c r="X126" s="169" t="str">
        <f t="shared" si="130"/>
        <v/>
      </c>
      <c r="Y126" s="169" t="str">
        <f t="shared" si="130"/>
        <v/>
      </c>
      <c r="Z126" s="169" t="str">
        <f t="shared" si="130"/>
        <v/>
      </c>
      <c r="AA126" s="169" t="str">
        <f t="shared" si="130"/>
        <v/>
      </c>
      <c r="AB126" s="169" t="str">
        <f t="shared" si="130"/>
        <v/>
      </c>
      <c r="AC126" s="169" t="str">
        <f t="shared" si="130"/>
        <v/>
      </c>
      <c r="AD126" s="169" t="str">
        <f t="shared" si="130"/>
        <v/>
      </c>
      <c r="AE126" s="169" t="str">
        <f>IF(AE16=$R32,$BD32*24,IF(AE16=$R33,$BD33*24,IF(AE16=$R34,$BD34*24,IF(AE16=$R35,$BD35*24,IF(AE16=$R36,$BD36*24,IF(AE16=$R37,$BD37*24,IF(AE16=$R38,$BD38*24,IF(AE16=$R39,$BD39*24,IF(AE16=$R40,$BD40*24,"")))))))))</f>
        <v/>
      </c>
      <c r="AF126" s="169" t="str">
        <f>IF(AF16=$R32,$BD32*24,IF(AF16=$R33,$BD33*24,IF(AF16=$R34,$BD34*24,IF(AF16=$R35,$BD35*24,IF(AF16=$R36,$BD36*24,IF(AF16=$R37,$BD37*24,IF(AF16=$R38,$BD38*24,IF(AF16=$R39,$BD39*24,IF(AF16=$R40,$BD40*24,"")))))))))</f>
        <v/>
      </c>
      <c r="AG126" s="169" t="str">
        <f>IF(AG16=$R32,$BD32*24,IF(AG16=$R33,$BD33*24,IF(AG16=$R34,$BD34*24,IF(AG16=$R35,$BD35*24,IF(AG16=$R36,$BD36*24,IF(AG16=$R37,$BD37*24,IF(AG16=$R38,$BD38*24,IF(AG16=$R39,$BD39*24,IF(AG16=$R40,$BD40*24,"")))))))))</f>
        <v/>
      </c>
      <c r="AH126" s="148">
        <f>SUM(C126:AG126)</f>
        <v>0</v>
      </c>
      <c r="AI126" s="133"/>
      <c r="AJ126" s="170"/>
      <c r="AK126" s="133"/>
      <c r="AL126" s="133"/>
    </row>
    <row r="127" spans="1:57" ht="15.95" hidden="1" customHeight="1" x14ac:dyDescent="0.25">
      <c r="A127" s="153"/>
      <c r="B127" s="167" t="s">
        <v>59</v>
      </c>
      <c r="C127" s="141">
        <f t="shared" ref="C127:AG127" si="131">IF(C16="V",$C36,IF(C16="PR",$C38,0))</f>
        <v>0</v>
      </c>
      <c r="D127" s="141">
        <f t="shared" si="131"/>
        <v>0</v>
      </c>
      <c r="E127" s="141">
        <f t="shared" si="131"/>
        <v>0</v>
      </c>
      <c r="F127" s="141">
        <f t="shared" si="131"/>
        <v>0</v>
      </c>
      <c r="G127" s="141">
        <f t="shared" si="131"/>
        <v>0</v>
      </c>
      <c r="H127" s="141">
        <f t="shared" si="131"/>
        <v>0</v>
      </c>
      <c r="I127" s="141">
        <f t="shared" si="131"/>
        <v>0</v>
      </c>
      <c r="J127" s="141">
        <f t="shared" si="131"/>
        <v>0</v>
      </c>
      <c r="K127" s="141">
        <f t="shared" si="131"/>
        <v>0</v>
      </c>
      <c r="L127" s="141">
        <f t="shared" si="131"/>
        <v>0</v>
      </c>
      <c r="M127" s="141">
        <f t="shared" si="131"/>
        <v>0</v>
      </c>
      <c r="N127" s="141">
        <f t="shared" si="131"/>
        <v>0</v>
      </c>
      <c r="O127" s="141">
        <f t="shared" si="131"/>
        <v>0</v>
      </c>
      <c r="P127" s="141">
        <f t="shared" si="131"/>
        <v>0</v>
      </c>
      <c r="Q127" s="141">
        <f t="shared" si="131"/>
        <v>0</v>
      </c>
      <c r="R127" s="141">
        <f t="shared" si="131"/>
        <v>0</v>
      </c>
      <c r="S127" s="141">
        <f t="shared" si="131"/>
        <v>0</v>
      </c>
      <c r="T127" s="141">
        <f t="shared" si="131"/>
        <v>0</v>
      </c>
      <c r="U127" s="141">
        <f t="shared" si="131"/>
        <v>0</v>
      </c>
      <c r="V127" s="141">
        <f t="shared" si="131"/>
        <v>0</v>
      </c>
      <c r="W127" s="141">
        <f t="shared" si="131"/>
        <v>0</v>
      </c>
      <c r="X127" s="141">
        <f t="shared" si="131"/>
        <v>0</v>
      </c>
      <c r="Y127" s="141">
        <f t="shared" si="131"/>
        <v>0</v>
      </c>
      <c r="Z127" s="141">
        <f t="shared" si="131"/>
        <v>0</v>
      </c>
      <c r="AA127" s="141">
        <f t="shared" si="131"/>
        <v>0</v>
      </c>
      <c r="AB127" s="141">
        <f t="shared" si="131"/>
        <v>0</v>
      </c>
      <c r="AC127" s="141">
        <f t="shared" si="131"/>
        <v>0</v>
      </c>
      <c r="AD127" s="141">
        <f t="shared" si="131"/>
        <v>0</v>
      </c>
      <c r="AE127" s="141">
        <f t="shared" si="131"/>
        <v>0</v>
      </c>
      <c r="AF127" s="141">
        <f t="shared" si="131"/>
        <v>0</v>
      </c>
      <c r="AG127" s="141">
        <f t="shared" si="131"/>
        <v>0</v>
      </c>
      <c r="AH127" s="226">
        <f>SUM(C127:AG127)</f>
        <v>0</v>
      </c>
      <c r="AI127" s="226"/>
      <c r="AJ127" s="230">
        <f>SUM(AH72+AH83+AH94+AH105+AH116+AH127)</f>
        <v>0</v>
      </c>
      <c r="AK127" s="230"/>
      <c r="AL127" s="133" t="s">
        <v>56</v>
      </c>
    </row>
    <row r="128" spans="1:57" ht="15.95" hidden="1" customHeight="1" x14ac:dyDescent="0.25">
      <c r="A128" s="150" t="s">
        <v>60</v>
      </c>
      <c r="B128" s="167" t="s">
        <v>61</v>
      </c>
      <c r="C128" s="151">
        <f t="shared" ref="C128:AD128" si="132">IF(C16=$R32,$BC32,IF(C16=$R33,$BC33,IF(C16=$R34,$BC34,IF(C16=$R35,$BC35,IF(C16=$R36,$BC36,IF(C16=$R37,$BC37,IF(C16=$R38,$BC38,IF(C16=$R39,$BC39,IF(C16=$R40,$BC40,0)))))))))</f>
        <v>0</v>
      </c>
      <c r="D128" s="151">
        <f t="shared" si="132"/>
        <v>0</v>
      </c>
      <c r="E128" s="151">
        <f t="shared" si="132"/>
        <v>0</v>
      </c>
      <c r="F128" s="151">
        <f t="shared" si="132"/>
        <v>0</v>
      </c>
      <c r="G128" s="151">
        <f t="shared" si="132"/>
        <v>0</v>
      </c>
      <c r="H128" s="151">
        <f t="shared" si="132"/>
        <v>0</v>
      </c>
      <c r="I128" s="151">
        <f t="shared" si="132"/>
        <v>0</v>
      </c>
      <c r="J128" s="151">
        <f t="shared" si="132"/>
        <v>0</v>
      </c>
      <c r="K128" s="151">
        <f t="shared" si="132"/>
        <v>0</v>
      </c>
      <c r="L128" s="151">
        <f t="shared" si="132"/>
        <v>0</v>
      </c>
      <c r="M128" s="151">
        <f t="shared" si="132"/>
        <v>0</v>
      </c>
      <c r="N128" s="151">
        <f t="shared" si="132"/>
        <v>0</v>
      </c>
      <c r="O128" s="151">
        <f t="shared" si="132"/>
        <v>0</v>
      </c>
      <c r="P128" s="151">
        <f t="shared" si="132"/>
        <v>0</v>
      </c>
      <c r="Q128" s="151">
        <f t="shared" si="132"/>
        <v>0</v>
      </c>
      <c r="R128" s="151">
        <f t="shared" si="132"/>
        <v>0</v>
      </c>
      <c r="S128" s="151">
        <f t="shared" si="132"/>
        <v>0</v>
      </c>
      <c r="T128" s="151">
        <f t="shared" si="132"/>
        <v>0</v>
      </c>
      <c r="U128" s="151">
        <f t="shared" si="132"/>
        <v>0</v>
      </c>
      <c r="V128" s="151">
        <f t="shared" si="132"/>
        <v>0</v>
      </c>
      <c r="W128" s="151">
        <f t="shared" si="132"/>
        <v>0</v>
      </c>
      <c r="X128" s="151">
        <f t="shared" si="132"/>
        <v>0</v>
      </c>
      <c r="Y128" s="151">
        <f t="shared" si="132"/>
        <v>0</v>
      </c>
      <c r="Z128" s="151">
        <f t="shared" si="132"/>
        <v>0</v>
      </c>
      <c r="AA128" s="151">
        <f t="shared" si="132"/>
        <v>0</v>
      </c>
      <c r="AB128" s="151">
        <f t="shared" si="132"/>
        <v>0</v>
      </c>
      <c r="AC128" s="151">
        <f t="shared" si="132"/>
        <v>0</v>
      </c>
      <c r="AD128" s="151">
        <f t="shared" si="132"/>
        <v>0</v>
      </c>
      <c r="AE128" s="151">
        <f>IF(AE16=$R32,$BC32,IF(AE16=$R33,$BC33,IF(AE16=$R34,$BC34,IF(AE16=$R35,$BC35,IF(AE16=$R36,$BC36,IF(AE16=$R37,$BC37,IF(AE16=$R38,$BC38,IF(AE16=$R39,$BC39,IF(AE16=$R40,$BC40,0)))))))))</f>
        <v>0</v>
      </c>
      <c r="AF128" s="151">
        <f>IF(AF16=$R32,$BC32,IF(AF16=$R33,$BC33,IF(AF16=$R34,$BC34,IF(AF16=$R35,$BC35,IF(AF16=$R36,$BC36,IF(AF16=$R37,$BC37,IF(AF16=$R38,$BC38,IF(AF16=$R39,$BC39,IF(AF16=$R40,$BC40,0)))))))))</f>
        <v>0</v>
      </c>
      <c r="AG128" s="151">
        <f>IF(AG16=$R32,$BC32,IF(AG16=$R33,$BC33,IF(AG16=$R34,$BC34,IF(AG16=$R35,$BC35,IF(AG16=$R36,$BC36,IF(AG16=$R37,$BC37,IF(AG16=$R38,$BC38,IF(AG16=$R39,$BC39,IF(AG16=$R40,$BC40,0)))))))))</f>
        <v>0</v>
      </c>
      <c r="AH128" s="226">
        <f>SUM(C128:AG128)</f>
        <v>0</v>
      </c>
      <c r="AI128" s="226"/>
      <c r="AJ128" s="174" t="s">
        <v>62</v>
      </c>
      <c r="AK128" s="133" t="s">
        <v>12</v>
      </c>
      <c r="AL128" s="133"/>
    </row>
    <row r="129" spans="1:38" ht="15.95" hidden="1" customHeight="1" x14ac:dyDescent="0.25">
      <c r="A129" s="153" t="s">
        <v>48</v>
      </c>
      <c r="B129" s="149" t="s">
        <v>63</v>
      </c>
      <c r="C129" s="141">
        <f t="shared" ref="C129:AG129" si="133">IF(C46=1,IF(C124&lt;C125,C128,0))</f>
        <v>0</v>
      </c>
      <c r="D129" s="141">
        <f t="shared" si="133"/>
        <v>0</v>
      </c>
      <c r="E129" s="141" t="b">
        <f t="shared" si="133"/>
        <v>0</v>
      </c>
      <c r="F129" s="141" t="b">
        <f t="shared" si="133"/>
        <v>0</v>
      </c>
      <c r="G129" s="141" t="b">
        <f t="shared" si="133"/>
        <v>0</v>
      </c>
      <c r="H129" s="141" t="b">
        <f t="shared" si="133"/>
        <v>0</v>
      </c>
      <c r="I129" s="141" t="b">
        <f t="shared" si="133"/>
        <v>0</v>
      </c>
      <c r="J129" s="141">
        <f t="shared" si="133"/>
        <v>0</v>
      </c>
      <c r="K129" s="141">
        <f t="shared" si="133"/>
        <v>0</v>
      </c>
      <c r="L129" s="141" t="b">
        <f t="shared" si="133"/>
        <v>0</v>
      </c>
      <c r="M129" s="141" t="b">
        <f t="shared" si="133"/>
        <v>0</v>
      </c>
      <c r="N129" s="141" t="b">
        <f t="shared" si="133"/>
        <v>0</v>
      </c>
      <c r="O129" s="141" t="b">
        <f t="shared" si="133"/>
        <v>0</v>
      </c>
      <c r="P129" s="141" t="b">
        <f t="shared" si="133"/>
        <v>0</v>
      </c>
      <c r="Q129" s="141">
        <f t="shared" si="133"/>
        <v>0</v>
      </c>
      <c r="R129" s="141">
        <f t="shared" si="133"/>
        <v>0</v>
      </c>
      <c r="S129" s="141" t="b">
        <f t="shared" si="133"/>
        <v>0</v>
      </c>
      <c r="T129" s="141" t="b">
        <f t="shared" si="133"/>
        <v>0</v>
      </c>
      <c r="U129" s="141" t="b">
        <f t="shared" si="133"/>
        <v>0</v>
      </c>
      <c r="V129" s="141" t="b">
        <f t="shared" si="133"/>
        <v>0</v>
      </c>
      <c r="W129" s="141" t="b">
        <f t="shared" si="133"/>
        <v>0</v>
      </c>
      <c r="X129" s="141">
        <f t="shared" si="133"/>
        <v>0</v>
      </c>
      <c r="Y129" s="141">
        <f t="shared" si="133"/>
        <v>0</v>
      </c>
      <c r="Z129" s="141" t="b">
        <f t="shared" si="133"/>
        <v>0</v>
      </c>
      <c r="AA129" s="141" t="b">
        <f t="shared" si="133"/>
        <v>0</v>
      </c>
      <c r="AB129" s="141" t="b">
        <f t="shared" si="133"/>
        <v>0</v>
      </c>
      <c r="AC129" s="141" t="b">
        <f t="shared" si="133"/>
        <v>0</v>
      </c>
      <c r="AD129" s="141" t="b">
        <f t="shared" si="133"/>
        <v>0</v>
      </c>
      <c r="AE129" s="141">
        <f t="shared" si="133"/>
        <v>0</v>
      </c>
      <c r="AF129" s="141">
        <f t="shared" si="133"/>
        <v>0</v>
      </c>
      <c r="AG129" s="141" t="b">
        <f t="shared" si="133"/>
        <v>0</v>
      </c>
      <c r="AH129" s="154" t="s">
        <v>12</v>
      </c>
      <c r="AI129" s="133"/>
      <c r="AJ129" s="170"/>
      <c r="AK129" s="133"/>
      <c r="AL129" s="133"/>
    </row>
    <row r="130" spans="1:38" ht="15.95" hidden="1" customHeight="1" x14ac:dyDescent="0.25">
      <c r="A130" s="176"/>
      <c r="B130" s="149" t="s">
        <v>64</v>
      </c>
      <c r="C130" s="141">
        <f t="shared" ref="C130:AG130" si="134">IF(C46=1,IF(C124&gt;C125,24-C124,0),0)</f>
        <v>0</v>
      </c>
      <c r="D130" s="141">
        <f t="shared" si="134"/>
        <v>0</v>
      </c>
      <c r="E130" s="141">
        <f t="shared" si="134"/>
        <v>0</v>
      </c>
      <c r="F130" s="141">
        <f t="shared" si="134"/>
        <v>0</v>
      </c>
      <c r="G130" s="141">
        <f t="shared" si="134"/>
        <v>0</v>
      </c>
      <c r="H130" s="141">
        <f t="shared" si="134"/>
        <v>0</v>
      </c>
      <c r="I130" s="141">
        <f t="shared" si="134"/>
        <v>0</v>
      </c>
      <c r="J130" s="141">
        <f t="shared" si="134"/>
        <v>0</v>
      </c>
      <c r="K130" s="141">
        <f t="shared" si="134"/>
        <v>0</v>
      </c>
      <c r="L130" s="141">
        <f t="shared" si="134"/>
        <v>0</v>
      </c>
      <c r="M130" s="141">
        <f t="shared" si="134"/>
        <v>0</v>
      </c>
      <c r="N130" s="141">
        <f t="shared" si="134"/>
        <v>0</v>
      </c>
      <c r="O130" s="141">
        <f t="shared" si="134"/>
        <v>0</v>
      </c>
      <c r="P130" s="141">
        <f t="shared" si="134"/>
        <v>0</v>
      </c>
      <c r="Q130" s="141">
        <f t="shared" si="134"/>
        <v>0</v>
      </c>
      <c r="R130" s="141">
        <f t="shared" si="134"/>
        <v>0</v>
      </c>
      <c r="S130" s="141">
        <f t="shared" si="134"/>
        <v>0</v>
      </c>
      <c r="T130" s="141">
        <f t="shared" si="134"/>
        <v>0</v>
      </c>
      <c r="U130" s="141">
        <f t="shared" si="134"/>
        <v>0</v>
      </c>
      <c r="V130" s="141">
        <f t="shared" si="134"/>
        <v>0</v>
      </c>
      <c r="W130" s="141">
        <f t="shared" si="134"/>
        <v>0</v>
      </c>
      <c r="X130" s="141">
        <f t="shared" si="134"/>
        <v>0</v>
      </c>
      <c r="Y130" s="141">
        <f t="shared" si="134"/>
        <v>0</v>
      </c>
      <c r="Z130" s="141">
        <f t="shared" si="134"/>
        <v>0</v>
      </c>
      <c r="AA130" s="141">
        <f t="shared" si="134"/>
        <v>0</v>
      </c>
      <c r="AB130" s="141">
        <f t="shared" si="134"/>
        <v>0</v>
      </c>
      <c r="AC130" s="141">
        <f t="shared" si="134"/>
        <v>0</v>
      </c>
      <c r="AD130" s="141">
        <f t="shared" si="134"/>
        <v>0</v>
      </c>
      <c r="AE130" s="141">
        <f t="shared" si="134"/>
        <v>0</v>
      </c>
      <c r="AF130" s="141">
        <f t="shared" si="134"/>
        <v>0</v>
      </c>
      <c r="AG130" s="141">
        <f t="shared" si="134"/>
        <v>0</v>
      </c>
      <c r="AH130" s="154" t="s">
        <v>12</v>
      </c>
      <c r="AI130" s="133"/>
      <c r="AJ130" s="170"/>
      <c r="AK130" s="133"/>
      <c r="AL130" s="133"/>
    </row>
    <row r="131" spans="1:38" ht="15.95" hidden="1" customHeight="1" x14ac:dyDescent="0.25">
      <c r="A131" s="176"/>
      <c r="B131" s="149" t="s">
        <v>65</v>
      </c>
      <c r="C131" s="141">
        <f t="shared" ref="C131:AG131" si="135">IF(D46=1,IF(C124&gt;C125,C125,0),0)</f>
        <v>0</v>
      </c>
      <c r="D131" s="141">
        <f t="shared" si="135"/>
        <v>0</v>
      </c>
      <c r="E131" s="141">
        <f t="shared" si="135"/>
        <v>0</v>
      </c>
      <c r="F131" s="141">
        <f t="shared" si="135"/>
        <v>0</v>
      </c>
      <c r="G131" s="141">
        <f t="shared" si="135"/>
        <v>0</v>
      </c>
      <c r="H131" s="141">
        <f t="shared" si="135"/>
        <v>0</v>
      </c>
      <c r="I131" s="141">
        <f t="shared" si="135"/>
        <v>0</v>
      </c>
      <c r="J131" s="141">
        <f t="shared" si="135"/>
        <v>0</v>
      </c>
      <c r="K131" s="141">
        <f t="shared" si="135"/>
        <v>0</v>
      </c>
      <c r="L131" s="141">
        <f t="shared" si="135"/>
        <v>0</v>
      </c>
      <c r="M131" s="141">
        <f t="shared" si="135"/>
        <v>0</v>
      </c>
      <c r="N131" s="141">
        <f t="shared" si="135"/>
        <v>0</v>
      </c>
      <c r="O131" s="141">
        <f t="shared" si="135"/>
        <v>0</v>
      </c>
      <c r="P131" s="141">
        <f t="shared" si="135"/>
        <v>0</v>
      </c>
      <c r="Q131" s="141">
        <f t="shared" si="135"/>
        <v>0</v>
      </c>
      <c r="R131" s="141">
        <f t="shared" si="135"/>
        <v>0</v>
      </c>
      <c r="S131" s="141">
        <f t="shared" si="135"/>
        <v>0</v>
      </c>
      <c r="T131" s="141">
        <f t="shared" si="135"/>
        <v>0</v>
      </c>
      <c r="U131" s="141">
        <f t="shared" si="135"/>
        <v>0</v>
      </c>
      <c r="V131" s="141">
        <f t="shared" si="135"/>
        <v>0</v>
      </c>
      <c r="W131" s="141">
        <f t="shared" si="135"/>
        <v>0</v>
      </c>
      <c r="X131" s="141">
        <f>IF(Y46=1,IF(X124&gt;X125,X125,0),0)</f>
        <v>0</v>
      </c>
      <c r="Y131" s="141">
        <f t="shared" si="135"/>
        <v>0</v>
      </c>
      <c r="Z131" s="141">
        <f t="shared" si="135"/>
        <v>0</v>
      </c>
      <c r="AA131" s="141">
        <f t="shared" si="135"/>
        <v>0</v>
      </c>
      <c r="AB131" s="141">
        <f t="shared" si="135"/>
        <v>0</v>
      </c>
      <c r="AC131" s="141">
        <f t="shared" si="135"/>
        <v>0</v>
      </c>
      <c r="AD131" s="141">
        <f t="shared" si="135"/>
        <v>0</v>
      </c>
      <c r="AE131" s="141">
        <f t="shared" si="135"/>
        <v>0</v>
      </c>
      <c r="AF131" s="141">
        <f t="shared" si="135"/>
        <v>0</v>
      </c>
      <c r="AG131" s="141">
        <f t="shared" si="135"/>
        <v>0</v>
      </c>
      <c r="AH131" s="154" t="s">
        <v>12</v>
      </c>
      <c r="AI131" s="133"/>
      <c r="AJ131" s="170"/>
      <c r="AK131" s="133"/>
      <c r="AL131" s="133"/>
    </row>
    <row r="132" spans="1:38" ht="15.95" hidden="1" customHeight="1" x14ac:dyDescent="0.25">
      <c r="A132" s="176"/>
      <c r="B132" s="149" t="s">
        <v>67</v>
      </c>
      <c r="C132" s="171">
        <f t="shared" ref="C132:AG132" si="136">SUM(C129:C131)</f>
        <v>0</v>
      </c>
      <c r="D132" s="171">
        <f t="shared" si="136"/>
        <v>0</v>
      </c>
      <c r="E132" s="171">
        <f t="shared" si="136"/>
        <v>0</v>
      </c>
      <c r="F132" s="171">
        <f t="shared" si="136"/>
        <v>0</v>
      </c>
      <c r="G132" s="171">
        <f t="shared" si="136"/>
        <v>0</v>
      </c>
      <c r="H132" s="171">
        <f t="shared" si="136"/>
        <v>0</v>
      </c>
      <c r="I132" s="171">
        <f t="shared" si="136"/>
        <v>0</v>
      </c>
      <c r="J132" s="171">
        <f t="shared" si="136"/>
        <v>0</v>
      </c>
      <c r="K132" s="171">
        <f t="shared" si="136"/>
        <v>0</v>
      </c>
      <c r="L132" s="171">
        <f t="shared" si="136"/>
        <v>0</v>
      </c>
      <c r="M132" s="171">
        <f t="shared" si="136"/>
        <v>0</v>
      </c>
      <c r="N132" s="171">
        <f t="shared" si="136"/>
        <v>0</v>
      </c>
      <c r="O132" s="171">
        <f t="shared" si="136"/>
        <v>0</v>
      </c>
      <c r="P132" s="171">
        <f t="shared" si="136"/>
        <v>0</v>
      </c>
      <c r="Q132" s="171">
        <f t="shared" si="136"/>
        <v>0</v>
      </c>
      <c r="R132" s="171">
        <f t="shared" si="136"/>
        <v>0</v>
      </c>
      <c r="S132" s="171">
        <f t="shared" si="136"/>
        <v>0</v>
      </c>
      <c r="T132" s="171">
        <f t="shared" si="136"/>
        <v>0</v>
      </c>
      <c r="U132" s="171">
        <f t="shared" si="136"/>
        <v>0</v>
      </c>
      <c r="V132" s="171">
        <f t="shared" si="136"/>
        <v>0</v>
      </c>
      <c r="W132" s="171">
        <f t="shared" si="136"/>
        <v>0</v>
      </c>
      <c r="X132" s="171">
        <f t="shared" si="136"/>
        <v>0</v>
      </c>
      <c r="Y132" s="171">
        <f t="shared" si="136"/>
        <v>0</v>
      </c>
      <c r="Z132" s="171">
        <f t="shared" si="136"/>
        <v>0</v>
      </c>
      <c r="AA132" s="171">
        <f t="shared" si="136"/>
        <v>0</v>
      </c>
      <c r="AB132" s="171">
        <f t="shared" si="136"/>
        <v>0</v>
      </c>
      <c r="AC132" s="171">
        <f t="shared" si="136"/>
        <v>0</v>
      </c>
      <c r="AD132" s="171">
        <f t="shared" si="136"/>
        <v>0</v>
      </c>
      <c r="AE132" s="171">
        <f t="shared" si="136"/>
        <v>0</v>
      </c>
      <c r="AF132" s="171">
        <f t="shared" si="136"/>
        <v>0</v>
      </c>
      <c r="AG132" s="171">
        <f t="shared" si="136"/>
        <v>0</v>
      </c>
      <c r="AH132" s="154" t="s">
        <v>12</v>
      </c>
      <c r="AI132" s="133"/>
      <c r="AJ132" s="170"/>
      <c r="AK132" s="133"/>
      <c r="AL132" s="133"/>
    </row>
    <row r="133" spans="1:38" ht="15.95" hidden="1" customHeight="1" x14ac:dyDescent="0.25">
      <c r="A133" s="177"/>
      <c r="B133" s="160" t="s">
        <v>68</v>
      </c>
      <c r="C133" s="161">
        <f t="shared" ref="C133:AG133" si="137">IF(C16="V",IF(C16="",0,1),0)</f>
        <v>0</v>
      </c>
      <c r="D133" s="161">
        <f t="shared" si="137"/>
        <v>0</v>
      </c>
      <c r="E133" s="161">
        <f t="shared" si="137"/>
        <v>0</v>
      </c>
      <c r="F133" s="161">
        <f t="shared" si="137"/>
        <v>0</v>
      </c>
      <c r="G133" s="161">
        <f t="shared" si="137"/>
        <v>0</v>
      </c>
      <c r="H133" s="161">
        <f t="shared" si="137"/>
        <v>0</v>
      </c>
      <c r="I133" s="161">
        <f t="shared" si="137"/>
        <v>0</v>
      </c>
      <c r="J133" s="161">
        <f t="shared" si="137"/>
        <v>0</v>
      </c>
      <c r="K133" s="161">
        <f t="shared" si="137"/>
        <v>0</v>
      </c>
      <c r="L133" s="161">
        <f t="shared" si="137"/>
        <v>0</v>
      </c>
      <c r="M133" s="161">
        <f t="shared" si="137"/>
        <v>0</v>
      </c>
      <c r="N133" s="161">
        <f t="shared" si="137"/>
        <v>0</v>
      </c>
      <c r="O133" s="161">
        <f t="shared" si="137"/>
        <v>0</v>
      </c>
      <c r="P133" s="161">
        <f t="shared" si="137"/>
        <v>0</v>
      </c>
      <c r="Q133" s="161">
        <f t="shared" si="137"/>
        <v>0</v>
      </c>
      <c r="R133" s="161">
        <f t="shared" si="137"/>
        <v>0</v>
      </c>
      <c r="S133" s="161">
        <f t="shared" si="137"/>
        <v>0</v>
      </c>
      <c r="T133" s="161">
        <f t="shared" si="137"/>
        <v>0</v>
      </c>
      <c r="U133" s="161">
        <f t="shared" si="137"/>
        <v>0</v>
      </c>
      <c r="V133" s="161">
        <f t="shared" si="137"/>
        <v>0</v>
      </c>
      <c r="W133" s="161">
        <f t="shared" si="137"/>
        <v>0</v>
      </c>
      <c r="X133" s="161">
        <f t="shared" si="137"/>
        <v>0</v>
      </c>
      <c r="Y133" s="161">
        <f t="shared" si="137"/>
        <v>0</v>
      </c>
      <c r="Z133" s="161">
        <f t="shared" si="137"/>
        <v>0</v>
      </c>
      <c r="AA133" s="161">
        <f t="shared" si="137"/>
        <v>0</v>
      </c>
      <c r="AB133" s="161">
        <f t="shared" si="137"/>
        <v>0</v>
      </c>
      <c r="AC133" s="161">
        <f t="shared" si="137"/>
        <v>0</v>
      </c>
      <c r="AD133" s="161">
        <f t="shared" si="137"/>
        <v>0</v>
      </c>
      <c r="AE133" s="161">
        <f t="shared" si="137"/>
        <v>0</v>
      </c>
      <c r="AF133" s="161">
        <f t="shared" si="137"/>
        <v>0</v>
      </c>
      <c r="AG133" s="161">
        <f t="shared" si="137"/>
        <v>0</v>
      </c>
      <c r="AH133" s="154" t="s">
        <v>12</v>
      </c>
      <c r="AI133" s="133"/>
      <c r="AJ133" s="170"/>
      <c r="AK133" s="133"/>
      <c r="AL133" s="133"/>
    </row>
    <row r="134" spans="1:38" ht="15.95" hidden="1" customHeight="1" x14ac:dyDescent="0.25">
      <c r="A134" s="180"/>
      <c r="B134" s="181" t="s">
        <v>16</v>
      </c>
      <c r="C134" s="182">
        <f t="shared" ref="C134:AG134" si="138">IF(C16="PR",IF(C16="",0,1),0)</f>
        <v>0</v>
      </c>
      <c r="D134" s="182">
        <f t="shared" si="138"/>
        <v>0</v>
      </c>
      <c r="E134" s="182">
        <f t="shared" si="138"/>
        <v>0</v>
      </c>
      <c r="F134" s="182">
        <f t="shared" si="138"/>
        <v>0</v>
      </c>
      <c r="G134" s="182">
        <f t="shared" si="138"/>
        <v>0</v>
      </c>
      <c r="H134" s="182">
        <f t="shared" si="138"/>
        <v>0</v>
      </c>
      <c r="I134" s="182">
        <f t="shared" si="138"/>
        <v>0</v>
      </c>
      <c r="J134" s="182">
        <f t="shared" si="138"/>
        <v>0</v>
      </c>
      <c r="K134" s="182">
        <f t="shared" si="138"/>
        <v>0</v>
      </c>
      <c r="L134" s="182">
        <f t="shared" si="138"/>
        <v>0</v>
      </c>
      <c r="M134" s="182">
        <f t="shared" si="138"/>
        <v>0</v>
      </c>
      <c r="N134" s="182">
        <f t="shared" si="138"/>
        <v>0</v>
      </c>
      <c r="O134" s="182">
        <f t="shared" si="138"/>
        <v>0</v>
      </c>
      <c r="P134" s="182">
        <f t="shared" si="138"/>
        <v>0</v>
      </c>
      <c r="Q134" s="182">
        <f t="shared" si="138"/>
        <v>0</v>
      </c>
      <c r="R134" s="182">
        <f t="shared" si="138"/>
        <v>0</v>
      </c>
      <c r="S134" s="182">
        <f t="shared" si="138"/>
        <v>0</v>
      </c>
      <c r="T134" s="182">
        <f t="shared" si="138"/>
        <v>0</v>
      </c>
      <c r="U134" s="182">
        <f t="shared" si="138"/>
        <v>0</v>
      </c>
      <c r="V134" s="182">
        <f t="shared" si="138"/>
        <v>0</v>
      </c>
      <c r="W134" s="182">
        <f t="shared" si="138"/>
        <v>0</v>
      </c>
      <c r="X134" s="182">
        <f t="shared" si="138"/>
        <v>0</v>
      </c>
      <c r="Y134" s="182">
        <f t="shared" si="138"/>
        <v>0</v>
      </c>
      <c r="Z134" s="182">
        <f t="shared" si="138"/>
        <v>0</v>
      </c>
      <c r="AA134" s="182">
        <f t="shared" si="138"/>
        <v>0</v>
      </c>
      <c r="AB134" s="182">
        <f t="shared" si="138"/>
        <v>0</v>
      </c>
      <c r="AC134" s="182">
        <f t="shared" si="138"/>
        <v>0</v>
      </c>
      <c r="AD134" s="182">
        <f t="shared" si="138"/>
        <v>0</v>
      </c>
      <c r="AE134" s="182">
        <f t="shared" si="138"/>
        <v>0</v>
      </c>
      <c r="AF134" s="182">
        <f t="shared" si="138"/>
        <v>0</v>
      </c>
      <c r="AG134" s="182">
        <f t="shared" si="138"/>
        <v>0</v>
      </c>
      <c r="AH134" s="227">
        <f>SUM(C134:AG134)</f>
        <v>0</v>
      </c>
      <c r="AI134" s="227"/>
      <c r="AJ134" s="174" t="s">
        <v>69</v>
      </c>
      <c r="AK134" s="133"/>
      <c r="AL134" s="133"/>
    </row>
    <row r="135" spans="1:38" ht="15.95" hidden="1" customHeight="1" x14ac:dyDescent="0.25">
      <c r="A135" s="164" t="s">
        <v>85</v>
      </c>
      <c r="B135" s="165" t="s">
        <v>29</v>
      </c>
      <c r="C135" s="141" t="str">
        <f t="shared" ref="C135:AG135" si="139">IF(C17=$R32,$S32*24,IF(C17=$R33,$S33*24,IF(C17=$R34,$S34*24,IF(C17=$R35,$S35*24,IF(C17=$R36,$S36*24,IF(C17=$R37,$S37*24,IF(C17=$R38,$S38*24,IF(C17=$R39,$S39*24,IF(C17=$R40,$S40*24,"")))))))))</f>
        <v/>
      </c>
      <c r="D135" s="141" t="str">
        <f t="shared" si="139"/>
        <v/>
      </c>
      <c r="E135" s="141" t="str">
        <f t="shared" si="139"/>
        <v/>
      </c>
      <c r="F135" s="141" t="str">
        <f t="shared" si="139"/>
        <v/>
      </c>
      <c r="G135" s="141" t="str">
        <f t="shared" si="139"/>
        <v/>
      </c>
      <c r="H135" s="141" t="str">
        <f t="shared" si="139"/>
        <v/>
      </c>
      <c r="I135" s="141" t="str">
        <f t="shared" si="139"/>
        <v/>
      </c>
      <c r="J135" s="141" t="str">
        <f t="shared" si="139"/>
        <v/>
      </c>
      <c r="K135" s="141" t="str">
        <f t="shared" si="139"/>
        <v/>
      </c>
      <c r="L135" s="141" t="str">
        <f t="shared" si="139"/>
        <v/>
      </c>
      <c r="M135" s="141" t="str">
        <f t="shared" si="139"/>
        <v/>
      </c>
      <c r="N135" s="141" t="str">
        <f t="shared" si="139"/>
        <v/>
      </c>
      <c r="O135" s="141" t="str">
        <f t="shared" si="139"/>
        <v/>
      </c>
      <c r="P135" s="141" t="str">
        <f t="shared" si="139"/>
        <v/>
      </c>
      <c r="Q135" s="141" t="str">
        <f t="shared" si="139"/>
        <v/>
      </c>
      <c r="R135" s="141" t="str">
        <f t="shared" si="139"/>
        <v/>
      </c>
      <c r="S135" s="141" t="str">
        <f t="shared" si="139"/>
        <v/>
      </c>
      <c r="T135" s="141" t="str">
        <f t="shared" si="139"/>
        <v/>
      </c>
      <c r="U135" s="141" t="str">
        <f t="shared" si="139"/>
        <v/>
      </c>
      <c r="V135" s="141" t="str">
        <f t="shared" si="139"/>
        <v/>
      </c>
      <c r="W135" s="141" t="str">
        <f t="shared" si="139"/>
        <v/>
      </c>
      <c r="X135" s="141" t="str">
        <f t="shared" si="139"/>
        <v/>
      </c>
      <c r="Y135" s="141" t="str">
        <f t="shared" si="139"/>
        <v/>
      </c>
      <c r="Z135" s="141" t="str">
        <f t="shared" si="139"/>
        <v/>
      </c>
      <c r="AA135" s="141" t="str">
        <f t="shared" si="139"/>
        <v/>
      </c>
      <c r="AB135" s="141" t="str">
        <f t="shared" si="139"/>
        <v/>
      </c>
      <c r="AC135" s="141" t="str">
        <f t="shared" si="139"/>
        <v/>
      </c>
      <c r="AD135" s="141" t="str">
        <f t="shared" si="139"/>
        <v/>
      </c>
      <c r="AE135" s="141" t="str">
        <f t="shared" si="139"/>
        <v/>
      </c>
      <c r="AF135" s="141" t="str">
        <f t="shared" si="139"/>
        <v/>
      </c>
      <c r="AG135" s="141" t="str">
        <f t="shared" si="139"/>
        <v/>
      </c>
      <c r="AH135" s="154" t="s">
        <v>12</v>
      </c>
      <c r="AI135" s="133"/>
      <c r="AJ135" s="170"/>
      <c r="AK135" s="133"/>
      <c r="AL135" s="133"/>
    </row>
    <row r="136" spans="1:38" ht="15.95" hidden="1" customHeight="1" x14ac:dyDescent="0.25">
      <c r="A136" s="166" t="s">
        <v>86</v>
      </c>
      <c r="B136" s="167" t="s">
        <v>30</v>
      </c>
      <c r="C136" s="141" t="str">
        <f t="shared" ref="C136:AG136" si="140">IF(C17=$R32,$V32*24,IF(C17=$R33,$V33*24,IF(C17=$R34,$V34*24,IF(C17=$R35,$V35*24,IF(C17=$R36,$V36*24,IF(C17=$R37,$V37*24,IF(C17=$R38,$V38*24,IF(C17=$R39,$V39*24,IF(C17=$R40,$V40*24,"")))))))))</f>
        <v/>
      </c>
      <c r="D136" s="141" t="str">
        <f t="shared" si="140"/>
        <v/>
      </c>
      <c r="E136" s="141" t="str">
        <f t="shared" si="140"/>
        <v/>
      </c>
      <c r="F136" s="141" t="str">
        <f t="shared" si="140"/>
        <v/>
      </c>
      <c r="G136" s="141" t="str">
        <f t="shared" si="140"/>
        <v/>
      </c>
      <c r="H136" s="141" t="str">
        <f t="shared" si="140"/>
        <v/>
      </c>
      <c r="I136" s="141" t="str">
        <f t="shared" si="140"/>
        <v/>
      </c>
      <c r="J136" s="141" t="str">
        <f t="shared" si="140"/>
        <v/>
      </c>
      <c r="K136" s="141" t="str">
        <f t="shared" si="140"/>
        <v/>
      </c>
      <c r="L136" s="141" t="str">
        <f t="shared" si="140"/>
        <v/>
      </c>
      <c r="M136" s="141" t="str">
        <f t="shared" si="140"/>
        <v/>
      </c>
      <c r="N136" s="141" t="str">
        <f t="shared" si="140"/>
        <v/>
      </c>
      <c r="O136" s="141" t="str">
        <f t="shared" si="140"/>
        <v/>
      </c>
      <c r="P136" s="141" t="str">
        <f t="shared" si="140"/>
        <v/>
      </c>
      <c r="Q136" s="141" t="str">
        <f t="shared" si="140"/>
        <v/>
      </c>
      <c r="R136" s="141" t="str">
        <f t="shared" si="140"/>
        <v/>
      </c>
      <c r="S136" s="141" t="str">
        <f t="shared" si="140"/>
        <v/>
      </c>
      <c r="T136" s="141" t="str">
        <f t="shared" si="140"/>
        <v/>
      </c>
      <c r="U136" s="141" t="str">
        <f t="shared" si="140"/>
        <v/>
      </c>
      <c r="V136" s="141" t="str">
        <f t="shared" si="140"/>
        <v/>
      </c>
      <c r="W136" s="141" t="str">
        <f t="shared" si="140"/>
        <v/>
      </c>
      <c r="X136" s="141" t="str">
        <f t="shared" si="140"/>
        <v/>
      </c>
      <c r="Y136" s="141" t="str">
        <f t="shared" si="140"/>
        <v/>
      </c>
      <c r="Z136" s="141" t="str">
        <f t="shared" si="140"/>
        <v/>
      </c>
      <c r="AA136" s="141" t="str">
        <f t="shared" si="140"/>
        <v/>
      </c>
      <c r="AB136" s="141" t="str">
        <f t="shared" si="140"/>
        <v/>
      </c>
      <c r="AC136" s="141" t="str">
        <f t="shared" si="140"/>
        <v/>
      </c>
      <c r="AD136" s="141" t="str">
        <f t="shared" si="140"/>
        <v/>
      </c>
      <c r="AE136" s="141" t="str">
        <f t="shared" si="140"/>
        <v/>
      </c>
      <c r="AF136" s="141" t="str">
        <f t="shared" si="140"/>
        <v/>
      </c>
      <c r="AG136" s="141" t="str">
        <f t="shared" si="140"/>
        <v/>
      </c>
      <c r="AH136" s="154" t="s">
        <v>12</v>
      </c>
      <c r="AI136" s="133"/>
      <c r="AJ136" s="170"/>
      <c r="AK136" s="133"/>
      <c r="AL136" s="133"/>
    </row>
    <row r="137" spans="1:38" ht="15.95" hidden="1" customHeight="1" x14ac:dyDescent="0.25">
      <c r="A137" s="153"/>
      <c r="B137" s="168" t="s">
        <v>34</v>
      </c>
      <c r="C137" s="169" t="str">
        <f t="shared" ref="C137:AD137" si="141">IF(C17=$R32,$BD32*24,IF(C17=$R33,$BD33*24,IF(C17=$R34,$BD34*24,IF(C17=$R35,$BD35*24,IF(C17=$R36,$BD36*24,IF(C17=$R37,$BD37*24,IF(C17=$R38,$BD38*24,IF(C17=$R39,$BD39*24,IF(C17=$R40,$BD40*24,"")))))))))</f>
        <v/>
      </c>
      <c r="D137" s="169" t="str">
        <f t="shared" si="141"/>
        <v/>
      </c>
      <c r="E137" s="169" t="str">
        <f t="shared" si="141"/>
        <v/>
      </c>
      <c r="F137" s="169" t="str">
        <f t="shared" si="141"/>
        <v/>
      </c>
      <c r="G137" s="169" t="str">
        <f t="shared" si="141"/>
        <v/>
      </c>
      <c r="H137" s="169" t="str">
        <f t="shared" si="141"/>
        <v/>
      </c>
      <c r="I137" s="169" t="str">
        <f t="shared" si="141"/>
        <v/>
      </c>
      <c r="J137" s="169" t="str">
        <f t="shared" si="141"/>
        <v/>
      </c>
      <c r="K137" s="169" t="str">
        <f t="shared" si="141"/>
        <v/>
      </c>
      <c r="L137" s="169" t="str">
        <f t="shared" si="141"/>
        <v/>
      </c>
      <c r="M137" s="169" t="str">
        <f t="shared" si="141"/>
        <v/>
      </c>
      <c r="N137" s="169" t="str">
        <f t="shared" si="141"/>
        <v/>
      </c>
      <c r="O137" s="169" t="str">
        <f t="shared" si="141"/>
        <v/>
      </c>
      <c r="P137" s="169" t="str">
        <f t="shared" si="141"/>
        <v/>
      </c>
      <c r="Q137" s="169" t="str">
        <f t="shared" si="141"/>
        <v/>
      </c>
      <c r="R137" s="169" t="str">
        <f t="shared" si="141"/>
        <v/>
      </c>
      <c r="S137" s="169" t="str">
        <f t="shared" si="141"/>
        <v/>
      </c>
      <c r="T137" s="169" t="str">
        <f t="shared" si="141"/>
        <v/>
      </c>
      <c r="U137" s="169" t="str">
        <f t="shared" si="141"/>
        <v/>
      </c>
      <c r="V137" s="169" t="str">
        <f t="shared" si="141"/>
        <v/>
      </c>
      <c r="W137" s="169" t="str">
        <f t="shared" si="141"/>
        <v/>
      </c>
      <c r="X137" s="169" t="str">
        <f t="shared" si="141"/>
        <v/>
      </c>
      <c r="Y137" s="169" t="str">
        <f t="shared" si="141"/>
        <v/>
      </c>
      <c r="Z137" s="169" t="str">
        <f t="shared" si="141"/>
        <v/>
      </c>
      <c r="AA137" s="169" t="str">
        <f t="shared" si="141"/>
        <v/>
      </c>
      <c r="AB137" s="169" t="str">
        <f t="shared" si="141"/>
        <v/>
      </c>
      <c r="AC137" s="169" t="str">
        <f t="shared" si="141"/>
        <v/>
      </c>
      <c r="AD137" s="169" t="str">
        <f t="shared" si="141"/>
        <v/>
      </c>
      <c r="AE137" s="169" t="str">
        <f>IF(AE17=$R32,$BD32*24,IF(AE17=$R33,$BD33*24,IF(AE17=$R34,$BD34*24,IF(AE17=$R35,$BD35*24,IF(AE17=$R36,$BD36*24,IF(AE17=$R37,$BD37*24,IF(AE17=$R38,$BD38*24,IF(AE17=$R39,$BD39*24,IF(AE17=$R40,$BD40*24,"")))))))))</f>
        <v/>
      </c>
      <c r="AF137" s="169" t="str">
        <f>IF(AF17=$R32,$BD32*24,IF(AF17=$R33,$BD33*24,IF(AF17=$R34,$BD34*24,IF(AF17=$R35,$BD35*24,IF(AF17=$R36,$BD36*24,IF(AF17=$R37,$BD37*24,IF(AF17=$R38,$BD38*24,IF(AF17=$R39,$BD39*24,IF(AF17=$R40,$BD40*24,"")))))))))</f>
        <v/>
      </c>
      <c r="AG137" s="169" t="str">
        <f>IF(AG17=$R32,$BD32*24,IF(AG17=$R33,$BD33*24,IF(AG17=$R34,$BD34*24,IF(AG17=$R35,$BD35*24,IF(AG17=$R36,$BD36*24,IF(AG17=$R37,$BD37*24,IF(AG17=$R38,$BD38*24,IF(AG17=$R39,$BD39*24,IF(AG17=$R40,$BD40*24,"")))))))))</f>
        <v/>
      </c>
      <c r="AH137" s="148">
        <f>SUM(C137:AG137)</f>
        <v>0</v>
      </c>
      <c r="AI137" s="133"/>
      <c r="AJ137" s="170"/>
      <c r="AK137" s="133"/>
      <c r="AL137" s="133"/>
    </row>
    <row r="138" spans="1:38" ht="15.95" hidden="1" customHeight="1" x14ac:dyDescent="0.25">
      <c r="A138" s="153"/>
      <c r="B138" s="167" t="s">
        <v>59</v>
      </c>
      <c r="C138" s="141">
        <f t="shared" ref="C138:AG138" si="142">IF(C17="V",$C36,IF(C17="PR",$C38,0))</f>
        <v>0</v>
      </c>
      <c r="D138" s="141">
        <f t="shared" si="142"/>
        <v>0</v>
      </c>
      <c r="E138" s="141">
        <f t="shared" si="142"/>
        <v>0</v>
      </c>
      <c r="F138" s="141">
        <f t="shared" si="142"/>
        <v>0</v>
      </c>
      <c r="G138" s="141">
        <f t="shared" si="142"/>
        <v>0</v>
      </c>
      <c r="H138" s="141">
        <f t="shared" si="142"/>
        <v>0</v>
      </c>
      <c r="I138" s="141">
        <f t="shared" si="142"/>
        <v>0</v>
      </c>
      <c r="J138" s="141">
        <f t="shared" si="142"/>
        <v>0</v>
      </c>
      <c r="K138" s="141">
        <f t="shared" si="142"/>
        <v>0</v>
      </c>
      <c r="L138" s="141">
        <f t="shared" si="142"/>
        <v>0</v>
      </c>
      <c r="M138" s="141">
        <f t="shared" si="142"/>
        <v>0</v>
      </c>
      <c r="N138" s="141">
        <f t="shared" si="142"/>
        <v>0</v>
      </c>
      <c r="O138" s="141">
        <f t="shared" si="142"/>
        <v>0</v>
      </c>
      <c r="P138" s="141">
        <f t="shared" si="142"/>
        <v>0</v>
      </c>
      <c r="Q138" s="141">
        <f t="shared" si="142"/>
        <v>0</v>
      </c>
      <c r="R138" s="141">
        <f t="shared" si="142"/>
        <v>0</v>
      </c>
      <c r="S138" s="141">
        <f t="shared" si="142"/>
        <v>0</v>
      </c>
      <c r="T138" s="141">
        <f t="shared" si="142"/>
        <v>0</v>
      </c>
      <c r="U138" s="141">
        <f t="shared" si="142"/>
        <v>0</v>
      </c>
      <c r="V138" s="141">
        <f t="shared" si="142"/>
        <v>0</v>
      </c>
      <c r="W138" s="141">
        <f t="shared" si="142"/>
        <v>0</v>
      </c>
      <c r="X138" s="141">
        <f t="shared" si="142"/>
        <v>0</v>
      </c>
      <c r="Y138" s="141">
        <f t="shared" si="142"/>
        <v>0</v>
      </c>
      <c r="Z138" s="141">
        <f t="shared" si="142"/>
        <v>0</v>
      </c>
      <c r="AA138" s="141">
        <f t="shared" si="142"/>
        <v>0</v>
      </c>
      <c r="AB138" s="141">
        <f t="shared" si="142"/>
        <v>0</v>
      </c>
      <c r="AC138" s="141">
        <f t="shared" si="142"/>
        <v>0</v>
      </c>
      <c r="AD138" s="141">
        <f t="shared" si="142"/>
        <v>0</v>
      </c>
      <c r="AE138" s="141">
        <f t="shared" si="142"/>
        <v>0</v>
      </c>
      <c r="AF138" s="141">
        <f t="shared" si="142"/>
        <v>0</v>
      </c>
      <c r="AG138" s="141">
        <f t="shared" si="142"/>
        <v>0</v>
      </c>
      <c r="AH138" s="226">
        <f>SUM(C138:AG138)</f>
        <v>0</v>
      </c>
      <c r="AI138" s="226"/>
      <c r="AJ138" s="230">
        <f>SUM(AH83+AH94+AH105+AH116+AH127+AH138)</f>
        <v>0</v>
      </c>
      <c r="AK138" s="230"/>
      <c r="AL138" s="133" t="s">
        <v>56</v>
      </c>
    </row>
    <row r="139" spans="1:38" ht="15.95" hidden="1" customHeight="1" x14ac:dyDescent="0.25">
      <c r="A139" s="150" t="s">
        <v>60</v>
      </c>
      <c r="B139" s="167" t="s">
        <v>61</v>
      </c>
      <c r="C139" s="151">
        <f t="shared" ref="C139:AD139" si="143">IF(C17=$R32,$BC32,IF(C17=$R33,$BC33,IF(C17=$R34,$BC34,IF(C17=$R35,$BC35,IF(C17=$R36,$BC36,IF(C17=$R37,$BC37,IF(C17=$R38,$BC38,IF(C17=$R39,$BC39,IF(C17=$R40,$BC40,0)))))))))</f>
        <v>0</v>
      </c>
      <c r="D139" s="151">
        <f t="shared" si="143"/>
        <v>0</v>
      </c>
      <c r="E139" s="151">
        <f t="shared" si="143"/>
        <v>0</v>
      </c>
      <c r="F139" s="151">
        <f t="shared" si="143"/>
        <v>0</v>
      </c>
      <c r="G139" s="151">
        <f t="shared" si="143"/>
        <v>0</v>
      </c>
      <c r="H139" s="151">
        <f t="shared" si="143"/>
        <v>0</v>
      </c>
      <c r="I139" s="151">
        <f t="shared" si="143"/>
        <v>0</v>
      </c>
      <c r="J139" s="151">
        <f t="shared" si="143"/>
        <v>0</v>
      </c>
      <c r="K139" s="151">
        <f t="shared" si="143"/>
        <v>0</v>
      </c>
      <c r="L139" s="151">
        <f t="shared" si="143"/>
        <v>0</v>
      </c>
      <c r="M139" s="151">
        <f t="shared" si="143"/>
        <v>0</v>
      </c>
      <c r="N139" s="151">
        <f t="shared" si="143"/>
        <v>0</v>
      </c>
      <c r="O139" s="151">
        <f t="shared" si="143"/>
        <v>0</v>
      </c>
      <c r="P139" s="151">
        <f t="shared" si="143"/>
        <v>0</v>
      </c>
      <c r="Q139" s="151">
        <f t="shared" si="143"/>
        <v>0</v>
      </c>
      <c r="R139" s="151">
        <f t="shared" si="143"/>
        <v>0</v>
      </c>
      <c r="S139" s="151">
        <f t="shared" si="143"/>
        <v>0</v>
      </c>
      <c r="T139" s="151">
        <f t="shared" si="143"/>
        <v>0</v>
      </c>
      <c r="U139" s="151">
        <f t="shared" si="143"/>
        <v>0</v>
      </c>
      <c r="V139" s="151">
        <f t="shared" si="143"/>
        <v>0</v>
      </c>
      <c r="W139" s="151">
        <f t="shared" si="143"/>
        <v>0</v>
      </c>
      <c r="X139" s="151">
        <f t="shared" si="143"/>
        <v>0</v>
      </c>
      <c r="Y139" s="151">
        <f t="shared" si="143"/>
        <v>0</v>
      </c>
      <c r="Z139" s="151">
        <f t="shared" si="143"/>
        <v>0</v>
      </c>
      <c r="AA139" s="151">
        <f t="shared" si="143"/>
        <v>0</v>
      </c>
      <c r="AB139" s="151">
        <f t="shared" si="143"/>
        <v>0</v>
      </c>
      <c r="AC139" s="151">
        <f t="shared" si="143"/>
        <v>0</v>
      </c>
      <c r="AD139" s="151">
        <f t="shared" si="143"/>
        <v>0</v>
      </c>
      <c r="AE139" s="151">
        <f>IF(AE17=$R32,$BC32,IF(AE17=$R33,$BC33,IF(AE17=$R34,$BC34,IF(AE17=$R35,$BC35,IF(AE17=$R36,$BC36,IF(AE17=$R37,$BC37,IF(AE17=$R38,$BC38,IF(AE17=$R39,$BC39,IF(AE17=$R40,$BC40,0)))))))))</f>
        <v>0</v>
      </c>
      <c r="AF139" s="151">
        <f>IF(AF17=$R32,$BC32,IF(AF17=$R33,$BC33,IF(AF17=$R34,$BC34,IF(AF17=$R35,$BC35,IF(AF17=$R36,$BC36,IF(AF17=$R37,$BC37,IF(AF17=$R38,$BC38,IF(AF17=$R39,$BC39,IF(AF17=$R40,$BC40,0)))))))))</f>
        <v>0</v>
      </c>
      <c r="AG139" s="151">
        <f>IF(AG17=$R32,$BC32,IF(AG17=$R33,$BC33,IF(AG17=$R34,$BC34,IF(AG17=$R35,$BC35,IF(AG17=$R36,$BC36,IF(AG17=$R37,$BC37,IF(AG17=$R38,$BC38,IF(AG17=$R39,$BC39,IF(AG17=$R40,$BC40,0)))))))))</f>
        <v>0</v>
      </c>
      <c r="AH139" s="226">
        <f>SUM(C139:AG139)</f>
        <v>0</v>
      </c>
      <c r="AI139" s="226"/>
      <c r="AJ139" s="174" t="s">
        <v>62</v>
      </c>
      <c r="AK139" s="133" t="s">
        <v>12</v>
      </c>
      <c r="AL139" s="133"/>
    </row>
    <row r="140" spans="1:38" ht="15.95" hidden="1" customHeight="1" x14ac:dyDescent="0.25">
      <c r="A140" s="153" t="s">
        <v>48</v>
      </c>
      <c r="B140" s="149" t="s">
        <v>63</v>
      </c>
      <c r="C140" s="141">
        <f t="shared" ref="C140:AG140" si="144">IF(C46=1,IF(C135&lt;C136,C139,0))</f>
        <v>0</v>
      </c>
      <c r="D140" s="141">
        <f t="shared" si="144"/>
        <v>0</v>
      </c>
      <c r="E140" s="141" t="b">
        <f t="shared" si="144"/>
        <v>0</v>
      </c>
      <c r="F140" s="141" t="b">
        <f t="shared" si="144"/>
        <v>0</v>
      </c>
      <c r="G140" s="141" t="b">
        <f t="shared" si="144"/>
        <v>0</v>
      </c>
      <c r="H140" s="141" t="b">
        <f t="shared" si="144"/>
        <v>0</v>
      </c>
      <c r="I140" s="141" t="b">
        <f t="shared" si="144"/>
        <v>0</v>
      </c>
      <c r="J140" s="141">
        <f t="shared" si="144"/>
        <v>0</v>
      </c>
      <c r="K140" s="141">
        <f t="shared" si="144"/>
        <v>0</v>
      </c>
      <c r="L140" s="141" t="b">
        <f t="shared" si="144"/>
        <v>0</v>
      </c>
      <c r="M140" s="141" t="b">
        <f t="shared" si="144"/>
        <v>0</v>
      </c>
      <c r="N140" s="141" t="b">
        <f t="shared" si="144"/>
        <v>0</v>
      </c>
      <c r="O140" s="141" t="b">
        <f t="shared" si="144"/>
        <v>0</v>
      </c>
      <c r="P140" s="141" t="b">
        <f t="shared" si="144"/>
        <v>0</v>
      </c>
      <c r="Q140" s="141">
        <f t="shared" si="144"/>
        <v>0</v>
      </c>
      <c r="R140" s="141">
        <f t="shared" si="144"/>
        <v>0</v>
      </c>
      <c r="S140" s="141" t="b">
        <f t="shared" si="144"/>
        <v>0</v>
      </c>
      <c r="T140" s="141" t="b">
        <f t="shared" si="144"/>
        <v>0</v>
      </c>
      <c r="U140" s="141" t="b">
        <f t="shared" si="144"/>
        <v>0</v>
      </c>
      <c r="V140" s="141" t="b">
        <f t="shared" si="144"/>
        <v>0</v>
      </c>
      <c r="W140" s="141" t="b">
        <f t="shared" si="144"/>
        <v>0</v>
      </c>
      <c r="X140" s="141">
        <f t="shared" si="144"/>
        <v>0</v>
      </c>
      <c r="Y140" s="141">
        <f t="shared" si="144"/>
        <v>0</v>
      </c>
      <c r="Z140" s="141" t="b">
        <f t="shared" si="144"/>
        <v>0</v>
      </c>
      <c r="AA140" s="141" t="b">
        <f t="shared" si="144"/>
        <v>0</v>
      </c>
      <c r="AB140" s="141" t="b">
        <f t="shared" si="144"/>
        <v>0</v>
      </c>
      <c r="AC140" s="141" t="b">
        <f t="shared" si="144"/>
        <v>0</v>
      </c>
      <c r="AD140" s="141" t="b">
        <f t="shared" si="144"/>
        <v>0</v>
      </c>
      <c r="AE140" s="141">
        <f t="shared" si="144"/>
        <v>0</v>
      </c>
      <c r="AF140" s="141">
        <f t="shared" si="144"/>
        <v>0</v>
      </c>
      <c r="AG140" s="141" t="b">
        <f t="shared" si="144"/>
        <v>0</v>
      </c>
      <c r="AH140" s="154" t="s">
        <v>12</v>
      </c>
      <c r="AI140" s="133"/>
      <c r="AJ140" s="170"/>
      <c r="AK140" s="133"/>
      <c r="AL140" s="133"/>
    </row>
    <row r="141" spans="1:38" ht="15.95" hidden="1" customHeight="1" x14ac:dyDescent="0.25">
      <c r="A141" s="176"/>
      <c r="B141" s="149" t="s">
        <v>64</v>
      </c>
      <c r="C141" s="141">
        <f t="shared" ref="C141:AG141" si="145">IF(C46=1,IF(C135&gt;C136,24-C135,0),0)</f>
        <v>0</v>
      </c>
      <c r="D141" s="141">
        <f t="shared" si="145"/>
        <v>0</v>
      </c>
      <c r="E141" s="141">
        <f t="shared" si="145"/>
        <v>0</v>
      </c>
      <c r="F141" s="141">
        <f t="shared" si="145"/>
        <v>0</v>
      </c>
      <c r="G141" s="141">
        <f t="shared" si="145"/>
        <v>0</v>
      </c>
      <c r="H141" s="141">
        <f t="shared" si="145"/>
        <v>0</v>
      </c>
      <c r="I141" s="141">
        <f t="shared" si="145"/>
        <v>0</v>
      </c>
      <c r="J141" s="141">
        <f t="shared" si="145"/>
        <v>0</v>
      </c>
      <c r="K141" s="141">
        <f t="shared" si="145"/>
        <v>0</v>
      </c>
      <c r="L141" s="141">
        <f t="shared" si="145"/>
        <v>0</v>
      </c>
      <c r="M141" s="141">
        <f t="shared" si="145"/>
        <v>0</v>
      </c>
      <c r="N141" s="141">
        <f t="shared" si="145"/>
        <v>0</v>
      </c>
      <c r="O141" s="141">
        <f t="shared" si="145"/>
        <v>0</v>
      </c>
      <c r="P141" s="141">
        <f t="shared" si="145"/>
        <v>0</v>
      </c>
      <c r="Q141" s="141">
        <f t="shared" si="145"/>
        <v>0</v>
      </c>
      <c r="R141" s="141">
        <f t="shared" si="145"/>
        <v>0</v>
      </c>
      <c r="S141" s="141">
        <f t="shared" si="145"/>
        <v>0</v>
      </c>
      <c r="T141" s="141">
        <f t="shared" si="145"/>
        <v>0</v>
      </c>
      <c r="U141" s="141">
        <f t="shared" si="145"/>
        <v>0</v>
      </c>
      <c r="V141" s="141">
        <f t="shared" si="145"/>
        <v>0</v>
      </c>
      <c r="W141" s="141">
        <f t="shared" si="145"/>
        <v>0</v>
      </c>
      <c r="X141" s="141">
        <f t="shared" si="145"/>
        <v>0</v>
      </c>
      <c r="Y141" s="141">
        <f t="shared" si="145"/>
        <v>0</v>
      </c>
      <c r="Z141" s="141">
        <f t="shared" si="145"/>
        <v>0</v>
      </c>
      <c r="AA141" s="141">
        <f t="shared" si="145"/>
        <v>0</v>
      </c>
      <c r="AB141" s="141">
        <f t="shared" si="145"/>
        <v>0</v>
      </c>
      <c r="AC141" s="141">
        <f t="shared" si="145"/>
        <v>0</v>
      </c>
      <c r="AD141" s="141">
        <f t="shared" si="145"/>
        <v>0</v>
      </c>
      <c r="AE141" s="141">
        <f t="shared" si="145"/>
        <v>0</v>
      </c>
      <c r="AF141" s="141">
        <f t="shared" si="145"/>
        <v>0</v>
      </c>
      <c r="AG141" s="141">
        <f t="shared" si="145"/>
        <v>0</v>
      </c>
      <c r="AH141" s="154" t="s">
        <v>12</v>
      </c>
      <c r="AI141" s="133"/>
      <c r="AJ141" s="170"/>
      <c r="AK141" s="133"/>
      <c r="AL141" s="133"/>
    </row>
    <row r="142" spans="1:38" ht="15.95" hidden="1" customHeight="1" x14ac:dyDescent="0.25">
      <c r="A142" s="176"/>
      <c r="B142" s="149" t="s">
        <v>65</v>
      </c>
      <c r="C142" s="141">
        <f t="shared" ref="C142:AG142" si="146">IF(D46=1,IF(C135&gt;C136,C136,0),0)</f>
        <v>0</v>
      </c>
      <c r="D142" s="141">
        <f t="shared" si="146"/>
        <v>0</v>
      </c>
      <c r="E142" s="141">
        <f t="shared" si="146"/>
        <v>0</v>
      </c>
      <c r="F142" s="141">
        <f t="shared" si="146"/>
        <v>0</v>
      </c>
      <c r="G142" s="141">
        <f t="shared" si="146"/>
        <v>0</v>
      </c>
      <c r="H142" s="141">
        <f t="shared" si="146"/>
        <v>0</v>
      </c>
      <c r="I142" s="141">
        <f t="shared" si="146"/>
        <v>0</v>
      </c>
      <c r="J142" s="141">
        <f t="shared" si="146"/>
        <v>0</v>
      </c>
      <c r="K142" s="141">
        <f t="shared" si="146"/>
        <v>0</v>
      </c>
      <c r="L142" s="141">
        <f t="shared" si="146"/>
        <v>0</v>
      </c>
      <c r="M142" s="141">
        <f t="shared" si="146"/>
        <v>0</v>
      </c>
      <c r="N142" s="141">
        <f t="shared" si="146"/>
        <v>0</v>
      </c>
      <c r="O142" s="141">
        <f t="shared" si="146"/>
        <v>0</v>
      </c>
      <c r="P142" s="141">
        <f t="shared" si="146"/>
        <v>0</v>
      </c>
      <c r="Q142" s="141">
        <f t="shared" si="146"/>
        <v>0</v>
      </c>
      <c r="R142" s="141">
        <f t="shared" si="146"/>
        <v>0</v>
      </c>
      <c r="S142" s="141">
        <f t="shared" si="146"/>
        <v>0</v>
      </c>
      <c r="T142" s="141">
        <f t="shared" si="146"/>
        <v>0</v>
      </c>
      <c r="U142" s="141">
        <f t="shared" si="146"/>
        <v>0</v>
      </c>
      <c r="V142" s="141">
        <f t="shared" si="146"/>
        <v>0</v>
      </c>
      <c r="W142" s="141">
        <f t="shared" si="146"/>
        <v>0</v>
      </c>
      <c r="X142" s="141">
        <f>IF(Y46=1,IF(X135&gt;X136,X136,0),0)</f>
        <v>0</v>
      </c>
      <c r="Y142" s="141">
        <f t="shared" si="146"/>
        <v>0</v>
      </c>
      <c r="Z142" s="141">
        <f t="shared" si="146"/>
        <v>0</v>
      </c>
      <c r="AA142" s="141">
        <f t="shared" si="146"/>
        <v>0</v>
      </c>
      <c r="AB142" s="141">
        <f t="shared" si="146"/>
        <v>0</v>
      </c>
      <c r="AC142" s="141">
        <f t="shared" si="146"/>
        <v>0</v>
      </c>
      <c r="AD142" s="141">
        <f t="shared" si="146"/>
        <v>0</v>
      </c>
      <c r="AE142" s="141">
        <f t="shared" si="146"/>
        <v>0</v>
      </c>
      <c r="AF142" s="141">
        <f t="shared" si="146"/>
        <v>0</v>
      </c>
      <c r="AG142" s="141">
        <f t="shared" si="146"/>
        <v>0</v>
      </c>
      <c r="AH142" s="154" t="s">
        <v>12</v>
      </c>
      <c r="AI142" s="133"/>
      <c r="AJ142" s="170"/>
      <c r="AK142" s="133"/>
      <c r="AL142" s="133"/>
    </row>
    <row r="143" spans="1:38" ht="15.95" hidden="1" customHeight="1" x14ac:dyDescent="0.25">
      <c r="A143" s="176"/>
      <c r="B143" s="149" t="s">
        <v>67</v>
      </c>
      <c r="C143" s="171">
        <f>SUM(C140:C142)</f>
        <v>0</v>
      </c>
      <c r="D143" s="171">
        <f t="shared" ref="D143:AG143" si="147">SUM(D140:D142)</f>
        <v>0</v>
      </c>
      <c r="E143" s="171">
        <f t="shared" si="147"/>
        <v>0</v>
      </c>
      <c r="F143" s="171">
        <f t="shared" si="147"/>
        <v>0</v>
      </c>
      <c r="G143" s="171">
        <f t="shared" si="147"/>
        <v>0</v>
      </c>
      <c r="H143" s="171">
        <f t="shared" si="147"/>
        <v>0</v>
      </c>
      <c r="I143" s="171">
        <f t="shared" si="147"/>
        <v>0</v>
      </c>
      <c r="J143" s="171">
        <f t="shared" si="147"/>
        <v>0</v>
      </c>
      <c r="K143" s="171">
        <f t="shared" si="147"/>
        <v>0</v>
      </c>
      <c r="L143" s="171">
        <f t="shared" si="147"/>
        <v>0</v>
      </c>
      <c r="M143" s="171">
        <f t="shared" si="147"/>
        <v>0</v>
      </c>
      <c r="N143" s="171">
        <f t="shared" si="147"/>
        <v>0</v>
      </c>
      <c r="O143" s="171">
        <f t="shared" si="147"/>
        <v>0</v>
      </c>
      <c r="P143" s="171">
        <f t="shared" si="147"/>
        <v>0</v>
      </c>
      <c r="Q143" s="171">
        <f t="shared" si="147"/>
        <v>0</v>
      </c>
      <c r="R143" s="171">
        <f t="shared" si="147"/>
        <v>0</v>
      </c>
      <c r="S143" s="171">
        <f t="shared" si="147"/>
        <v>0</v>
      </c>
      <c r="T143" s="171">
        <f t="shared" si="147"/>
        <v>0</v>
      </c>
      <c r="U143" s="171">
        <f t="shared" si="147"/>
        <v>0</v>
      </c>
      <c r="V143" s="171">
        <f t="shared" si="147"/>
        <v>0</v>
      </c>
      <c r="W143" s="171">
        <f t="shared" si="147"/>
        <v>0</v>
      </c>
      <c r="X143" s="171">
        <f t="shared" si="147"/>
        <v>0</v>
      </c>
      <c r="Y143" s="171">
        <f t="shared" si="147"/>
        <v>0</v>
      </c>
      <c r="Z143" s="171">
        <f t="shared" si="147"/>
        <v>0</v>
      </c>
      <c r="AA143" s="171">
        <f t="shared" si="147"/>
        <v>0</v>
      </c>
      <c r="AB143" s="171">
        <f t="shared" si="147"/>
        <v>0</v>
      </c>
      <c r="AC143" s="171">
        <f t="shared" si="147"/>
        <v>0</v>
      </c>
      <c r="AD143" s="171">
        <f t="shared" si="147"/>
        <v>0</v>
      </c>
      <c r="AE143" s="171">
        <f t="shared" si="147"/>
        <v>0</v>
      </c>
      <c r="AF143" s="171">
        <f t="shared" si="147"/>
        <v>0</v>
      </c>
      <c r="AG143" s="171">
        <f t="shared" si="147"/>
        <v>0</v>
      </c>
      <c r="AH143" s="154" t="s">
        <v>12</v>
      </c>
      <c r="AI143" s="133"/>
      <c r="AJ143" s="170"/>
      <c r="AK143" s="133"/>
      <c r="AL143" s="133"/>
    </row>
    <row r="144" spans="1:38" ht="15.95" hidden="1" customHeight="1" x14ac:dyDescent="0.25">
      <c r="A144" s="177"/>
      <c r="B144" s="160" t="s">
        <v>68</v>
      </c>
      <c r="C144" s="161">
        <f t="shared" ref="C144:AG144" si="148">IF(C17="V",IF(C17="",0,1),0)</f>
        <v>0</v>
      </c>
      <c r="D144" s="161">
        <f t="shared" si="148"/>
        <v>0</v>
      </c>
      <c r="E144" s="161">
        <f t="shared" si="148"/>
        <v>0</v>
      </c>
      <c r="F144" s="161">
        <f t="shared" si="148"/>
        <v>0</v>
      </c>
      <c r="G144" s="161">
        <f t="shared" si="148"/>
        <v>0</v>
      </c>
      <c r="H144" s="161">
        <f t="shared" si="148"/>
        <v>0</v>
      </c>
      <c r="I144" s="161">
        <f t="shared" si="148"/>
        <v>0</v>
      </c>
      <c r="J144" s="161">
        <f t="shared" si="148"/>
        <v>0</v>
      </c>
      <c r="K144" s="161">
        <f t="shared" si="148"/>
        <v>0</v>
      </c>
      <c r="L144" s="161">
        <f t="shared" si="148"/>
        <v>0</v>
      </c>
      <c r="M144" s="161">
        <f t="shared" si="148"/>
        <v>0</v>
      </c>
      <c r="N144" s="161">
        <f t="shared" si="148"/>
        <v>0</v>
      </c>
      <c r="O144" s="161">
        <f t="shared" si="148"/>
        <v>0</v>
      </c>
      <c r="P144" s="161">
        <f t="shared" si="148"/>
        <v>0</v>
      </c>
      <c r="Q144" s="161">
        <f t="shared" si="148"/>
        <v>0</v>
      </c>
      <c r="R144" s="161">
        <f t="shared" si="148"/>
        <v>0</v>
      </c>
      <c r="S144" s="161">
        <f t="shared" si="148"/>
        <v>0</v>
      </c>
      <c r="T144" s="161">
        <f t="shared" si="148"/>
        <v>0</v>
      </c>
      <c r="U144" s="161">
        <f t="shared" si="148"/>
        <v>0</v>
      </c>
      <c r="V144" s="161">
        <f t="shared" si="148"/>
        <v>0</v>
      </c>
      <c r="W144" s="161">
        <f t="shared" si="148"/>
        <v>0</v>
      </c>
      <c r="X144" s="161">
        <f t="shared" si="148"/>
        <v>0</v>
      </c>
      <c r="Y144" s="161">
        <f t="shared" si="148"/>
        <v>0</v>
      </c>
      <c r="Z144" s="161">
        <f t="shared" si="148"/>
        <v>0</v>
      </c>
      <c r="AA144" s="161">
        <f t="shared" si="148"/>
        <v>0</v>
      </c>
      <c r="AB144" s="161">
        <f t="shared" si="148"/>
        <v>0</v>
      </c>
      <c r="AC144" s="161">
        <f t="shared" si="148"/>
        <v>0</v>
      </c>
      <c r="AD144" s="161">
        <f t="shared" si="148"/>
        <v>0</v>
      </c>
      <c r="AE144" s="161">
        <f t="shared" si="148"/>
        <v>0</v>
      </c>
      <c r="AF144" s="161">
        <f t="shared" si="148"/>
        <v>0</v>
      </c>
      <c r="AG144" s="161">
        <f t="shared" si="148"/>
        <v>0</v>
      </c>
      <c r="AH144" s="154" t="s">
        <v>12</v>
      </c>
      <c r="AI144" s="133"/>
      <c r="AJ144" s="170"/>
      <c r="AK144" s="133"/>
      <c r="AL144" s="133"/>
    </row>
    <row r="145" spans="1:38" ht="15.95" hidden="1" customHeight="1" x14ac:dyDescent="0.25">
      <c r="A145" s="180"/>
      <c r="B145" s="181" t="s">
        <v>16</v>
      </c>
      <c r="C145" s="182">
        <f t="shared" ref="C145:AG145" si="149">IF(C17="PR",IF(C17="",0,1),0)</f>
        <v>0</v>
      </c>
      <c r="D145" s="182">
        <f t="shared" si="149"/>
        <v>0</v>
      </c>
      <c r="E145" s="182">
        <f t="shared" si="149"/>
        <v>0</v>
      </c>
      <c r="F145" s="182">
        <f t="shared" si="149"/>
        <v>0</v>
      </c>
      <c r="G145" s="182">
        <f t="shared" si="149"/>
        <v>0</v>
      </c>
      <c r="H145" s="182">
        <f t="shared" si="149"/>
        <v>0</v>
      </c>
      <c r="I145" s="182">
        <f t="shared" si="149"/>
        <v>0</v>
      </c>
      <c r="J145" s="182">
        <f t="shared" si="149"/>
        <v>0</v>
      </c>
      <c r="K145" s="182">
        <f t="shared" si="149"/>
        <v>0</v>
      </c>
      <c r="L145" s="182">
        <f t="shared" si="149"/>
        <v>0</v>
      </c>
      <c r="M145" s="182">
        <f t="shared" si="149"/>
        <v>0</v>
      </c>
      <c r="N145" s="182">
        <f t="shared" si="149"/>
        <v>0</v>
      </c>
      <c r="O145" s="182">
        <f t="shared" si="149"/>
        <v>0</v>
      </c>
      <c r="P145" s="182">
        <f t="shared" si="149"/>
        <v>0</v>
      </c>
      <c r="Q145" s="182">
        <f t="shared" si="149"/>
        <v>0</v>
      </c>
      <c r="R145" s="182">
        <f t="shared" si="149"/>
        <v>0</v>
      </c>
      <c r="S145" s="182">
        <f t="shared" si="149"/>
        <v>0</v>
      </c>
      <c r="T145" s="182">
        <f t="shared" si="149"/>
        <v>0</v>
      </c>
      <c r="U145" s="182">
        <f t="shared" si="149"/>
        <v>0</v>
      </c>
      <c r="V145" s="182">
        <f t="shared" si="149"/>
        <v>0</v>
      </c>
      <c r="W145" s="182">
        <f t="shared" si="149"/>
        <v>0</v>
      </c>
      <c r="X145" s="182">
        <f t="shared" si="149"/>
        <v>0</v>
      </c>
      <c r="Y145" s="182">
        <f t="shared" si="149"/>
        <v>0</v>
      </c>
      <c r="Z145" s="182">
        <f t="shared" si="149"/>
        <v>0</v>
      </c>
      <c r="AA145" s="182">
        <f t="shared" si="149"/>
        <v>0</v>
      </c>
      <c r="AB145" s="182">
        <f t="shared" si="149"/>
        <v>0</v>
      </c>
      <c r="AC145" s="182">
        <f t="shared" si="149"/>
        <v>0</v>
      </c>
      <c r="AD145" s="182">
        <f t="shared" si="149"/>
        <v>0</v>
      </c>
      <c r="AE145" s="182">
        <f t="shared" si="149"/>
        <v>0</v>
      </c>
      <c r="AF145" s="182">
        <f t="shared" si="149"/>
        <v>0</v>
      </c>
      <c r="AG145" s="182">
        <f t="shared" si="149"/>
        <v>0</v>
      </c>
      <c r="AH145" s="227">
        <f>SUM(C145:AG145)</f>
        <v>0</v>
      </c>
      <c r="AI145" s="227"/>
      <c r="AJ145" s="174" t="s">
        <v>69</v>
      </c>
      <c r="AK145" s="133"/>
      <c r="AL145" s="133"/>
    </row>
    <row r="146" spans="1:38" ht="15.95" hidden="1" customHeight="1" x14ac:dyDescent="0.25">
      <c r="A146" s="164" t="s">
        <v>87</v>
      </c>
      <c r="B146" s="165" t="s">
        <v>29</v>
      </c>
      <c r="C146" s="141" t="str">
        <f t="shared" ref="C146:AG146" si="150">IF(C18=$R32,$S32*24,IF(C18=$R33,$S33*24,IF(C18=$R34,$S34*24,IF(C18=$R35,$S35*24,IF(C18=$R36,$S36*24,IF(C18=$R37,$S37*24,IF(C18=$R38,$S38*24,IF(C18=$R39,$S39*24,IF(C18=$R40,$S40*24,"")))))))))</f>
        <v/>
      </c>
      <c r="D146" s="141" t="str">
        <f t="shared" si="150"/>
        <v/>
      </c>
      <c r="E146" s="141" t="str">
        <f t="shared" si="150"/>
        <v/>
      </c>
      <c r="F146" s="141" t="str">
        <f t="shared" si="150"/>
        <v/>
      </c>
      <c r="G146" s="141" t="str">
        <f t="shared" si="150"/>
        <v/>
      </c>
      <c r="H146" s="141" t="str">
        <f t="shared" si="150"/>
        <v/>
      </c>
      <c r="I146" s="141" t="str">
        <f t="shared" si="150"/>
        <v/>
      </c>
      <c r="J146" s="141" t="str">
        <f t="shared" si="150"/>
        <v/>
      </c>
      <c r="K146" s="141" t="str">
        <f t="shared" si="150"/>
        <v/>
      </c>
      <c r="L146" s="141" t="str">
        <f t="shared" si="150"/>
        <v/>
      </c>
      <c r="M146" s="141" t="str">
        <f t="shared" si="150"/>
        <v/>
      </c>
      <c r="N146" s="141" t="str">
        <f t="shared" si="150"/>
        <v/>
      </c>
      <c r="O146" s="141" t="str">
        <f t="shared" si="150"/>
        <v/>
      </c>
      <c r="P146" s="141" t="str">
        <f t="shared" si="150"/>
        <v/>
      </c>
      <c r="Q146" s="141" t="str">
        <f t="shared" si="150"/>
        <v/>
      </c>
      <c r="R146" s="141" t="str">
        <f t="shared" si="150"/>
        <v/>
      </c>
      <c r="S146" s="141" t="str">
        <f t="shared" si="150"/>
        <v/>
      </c>
      <c r="T146" s="141" t="str">
        <f t="shared" si="150"/>
        <v/>
      </c>
      <c r="U146" s="141" t="str">
        <f t="shared" si="150"/>
        <v/>
      </c>
      <c r="V146" s="141" t="str">
        <f t="shared" si="150"/>
        <v/>
      </c>
      <c r="W146" s="141" t="str">
        <f t="shared" si="150"/>
        <v/>
      </c>
      <c r="X146" s="141" t="str">
        <f t="shared" si="150"/>
        <v/>
      </c>
      <c r="Y146" s="141" t="str">
        <f t="shared" si="150"/>
        <v/>
      </c>
      <c r="Z146" s="141" t="str">
        <f t="shared" si="150"/>
        <v/>
      </c>
      <c r="AA146" s="141" t="str">
        <f t="shared" si="150"/>
        <v/>
      </c>
      <c r="AB146" s="141" t="str">
        <f t="shared" si="150"/>
        <v/>
      </c>
      <c r="AC146" s="141" t="str">
        <f t="shared" si="150"/>
        <v/>
      </c>
      <c r="AD146" s="141" t="str">
        <f t="shared" si="150"/>
        <v/>
      </c>
      <c r="AE146" s="141" t="str">
        <f t="shared" si="150"/>
        <v/>
      </c>
      <c r="AF146" s="141" t="str">
        <f t="shared" si="150"/>
        <v/>
      </c>
      <c r="AG146" s="141" t="str">
        <f t="shared" si="150"/>
        <v/>
      </c>
      <c r="AH146" s="154" t="s">
        <v>12</v>
      </c>
      <c r="AI146" s="133"/>
      <c r="AJ146" s="170"/>
      <c r="AK146" s="133"/>
      <c r="AL146" s="133"/>
    </row>
    <row r="147" spans="1:38" ht="15.95" hidden="1" customHeight="1" x14ac:dyDescent="0.25">
      <c r="A147" s="166" t="s">
        <v>88</v>
      </c>
      <c r="B147" s="167" t="s">
        <v>30</v>
      </c>
      <c r="C147" s="141" t="str">
        <f t="shared" ref="C147:AG147" si="151">IF(C18=$R32,$V32*24,IF(C18=$R33,$V33*24,IF(C18=$R34,$V34*24,IF(C18=$R35,$V35*24,IF(C18=$R36,$V36*24,IF(C18=$R37,$V37*24,IF(C18=$R38,$V38*24,IF(C18=$R39,$V39*24,IF(C18=$R40,$V40*24,"")))))))))</f>
        <v/>
      </c>
      <c r="D147" s="141" t="str">
        <f t="shared" si="151"/>
        <v/>
      </c>
      <c r="E147" s="141" t="str">
        <f t="shared" si="151"/>
        <v/>
      </c>
      <c r="F147" s="141" t="str">
        <f t="shared" si="151"/>
        <v/>
      </c>
      <c r="G147" s="141" t="str">
        <f t="shared" si="151"/>
        <v/>
      </c>
      <c r="H147" s="141" t="str">
        <f t="shared" si="151"/>
        <v/>
      </c>
      <c r="I147" s="141" t="str">
        <f t="shared" si="151"/>
        <v/>
      </c>
      <c r="J147" s="141" t="str">
        <f t="shared" si="151"/>
        <v/>
      </c>
      <c r="K147" s="141" t="str">
        <f t="shared" si="151"/>
        <v/>
      </c>
      <c r="L147" s="141" t="str">
        <f t="shared" si="151"/>
        <v/>
      </c>
      <c r="M147" s="141" t="str">
        <f t="shared" si="151"/>
        <v/>
      </c>
      <c r="N147" s="141" t="str">
        <f t="shared" si="151"/>
        <v/>
      </c>
      <c r="O147" s="141" t="str">
        <f t="shared" si="151"/>
        <v/>
      </c>
      <c r="P147" s="141" t="str">
        <f t="shared" si="151"/>
        <v/>
      </c>
      <c r="Q147" s="141" t="str">
        <f t="shared" si="151"/>
        <v/>
      </c>
      <c r="R147" s="141" t="str">
        <f t="shared" si="151"/>
        <v/>
      </c>
      <c r="S147" s="141" t="str">
        <f t="shared" si="151"/>
        <v/>
      </c>
      <c r="T147" s="141" t="str">
        <f t="shared" si="151"/>
        <v/>
      </c>
      <c r="U147" s="141" t="str">
        <f t="shared" si="151"/>
        <v/>
      </c>
      <c r="V147" s="141" t="str">
        <f t="shared" si="151"/>
        <v/>
      </c>
      <c r="W147" s="141" t="str">
        <f t="shared" si="151"/>
        <v/>
      </c>
      <c r="X147" s="141" t="str">
        <f t="shared" si="151"/>
        <v/>
      </c>
      <c r="Y147" s="141" t="str">
        <f t="shared" si="151"/>
        <v/>
      </c>
      <c r="Z147" s="141" t="str">
        <f t="shared" si="151"/>
        <v/>
      </c>
      <c r="AA147" s="141" t="str">
        <f t="shared" si="151"/>
        <v/>
      </c>
      <c r="AB147" s="141" t="str">
        <f t="shared" si="151"/>
        <v/>
      </c>
      <c r="AC147" s="141" t="str">
        <f t="shared" si="151"/>
        <v/>
      </c>
      <c r="AD147" s="141" t="str">
        <f t="shared" si="151"/>
        <v/>
      </c>
      <c r="AE147" s="141" t="str">
        <f t="shared" si="151"/>
        <v/>
      </c>
      <c r="AF147" s="141" t="str">
        <f t="shared" si="151"/>
        <v/>
      </c>
      <c r="AG147" s="141" t="str">
        <f t="shared" si="151"/>
        <v/>
      </c>
      <c r="AH147" s="154" t="s">
        <v>12</v>
      </c>
      <c r="AI147" s="133"/>
      <c r="AJ147" s="170"/>
      <c r="AK147" s="133"/>
      <c r="AL147" s="133"/>
    </row>
    <row r="148" spans="1:38" ht="15.95" hidden="1" customHeight="1" x14ac:dyDescent="0.25">
      <c r="A148" s="153"/>
      <c r="B148" s="168" t="s">
        <v>34</v>
      </c>
      <c r="C148" s="169" t="str">
        <f t="shared" ref="C148:AD148" si="152">IF(C18=$R32,$BD32*24,IF(C18=$R33,$BD33*24,IF(C18=$R34,$BD34*24,IF(C18=$R35,$BD35*24,IF(C18=$R36,$BD36*24,IF(C18=$R37,$BD37*24,IF(C18=$R38,$BD38*24,IF(C18=$R39,$BD39*24,IF(C18=$R40,$BD40*24,"")))))))))</f>
        <v/>
      </c>
      <c r="D148" s="169" t="str">
        <f t="shared" si="152"/>
        <v/>
      </c>
      <c r="E148" s="169" t="str">
        <f t="shared" si="152"/>
        <v/>
      </c>
      <c r="F148" s="169" t="str">
        <f t="shared" si="152"/>
        <v/>
      </c>
      <c r="G148" s="169" t="str">
        <f t="shared" si="152"/>
        <v/>
      </c>
      <c r="H148" s="169" t="str">
        <f t="shared" si="152"/>
        <v/>
      </c>
      <c r="I148" s="169" t="str">
        <f t="shared" si="152"/>
        <v/>
      </c>
      <c r="J148" s="169" t="str">
        <f t="shared" si="152"/>
        <v/>
      </c>
      <c r="K148" s="169" t="str">
        <f t="shared" si="152"/>
        <v/>
      </c>
      <c r="L148" s="169" t="str">
        <f t="shared" si="152"/>
        <v/>
      </c>
      <c r="M148" s="169" t="str">
        <f t="shared" si="152"/>
        <v/>
      </c>
      <c r="N148" s="169" t="str">
        <f t="shared" si="152"/>
        <v/>
      </c>
      <c r="O148" s="169" t="str">
        <f t="shared" si="152"/>
        <v/>
      </c>
      <c r="P148" s="169" t="str">
        <f t="shared" si="152"/>
        <v/>
      </c>
      <c r="Q148" s="169" t="str">
        <f t="shared" si="152"/>
        <v/>
      </c>
      <c r="R148" s="169" t="str">
        <f t="shared" si="152"/>
        <v/>
      </c>
      <c r="S148" s="169" t="str">
        <f t="shared" si="152"/>
        <v/>
      </c>
      <c r="T148" s="169" t="str">
        <f t="shared" si="152"/>
        <v/>
      </c>
      <c r="U148" s="169" t="str">
        <f t="shared" si="152"/>
        <v/>
      </c>
      <c r="V148" s="169" t="str">
        <f t="shared" si="152"/>
        <v/>
      </c>
      <c r="W148" s="169" t="str">
        <f t="shared" si="152"/>
        <v/>
      </c>
      <c r="X148" s="169" t="str">
        <f t="shared" si="152"/>
        <v/>
      </c>
      <c r="Y148" s="169" t="str">
        <f t="shared" si="152"/>
        <v/>
      </c>
      <c r="Z148" s="169" t="str">
        <f t="shared" si="152"/>
        <v/>
      </c>
      <c r="AA148" s="169" t="str">
        <f t="shared" si="152"/>
        <v/>
      </c>
      <c r="AB148" s="169" t="str">
        <f t="shared" si="152"/>
        <v/>
      </c>
      <c r="AC148" s="169" t="str">
        <f t="shared" si="152"/>
        <v/>
      </c>
      <c r="AD148" s="169" t="str">
        <f t="shared" si="152"/>
        <v/>
      </c>
      <c r="AE148" s="169" t="str">
        <f>IF(AE18=$R32,$BD32*24,IF(AE18=$R33,$BD33*24,IF(AE18=$R34,$BD34*24,IF(AE18=$R35,$BD35*24,IF(AE18=$R36,$BD36*24,IF(AE18=$R37,$BD37*24,IF(AE18=$R38,$BD38*24,IF(AE18=$R39,$BD39*24,IF(AE18=$R40,$BD40*24,"")))))))))</f>
        <v/>
      </c>
      <c r="AF148" s="169" t="str">
        <f>IF(AF18=$R32,$BD32*24,IF(AF18=$R33,$BD33*24,IF(AF18=$R34,$BD34*24,IF(AF18=$R35,$BD35*24,IF(AF18=$R36,$BD36*24,IF(AF18=$R37,$BD37*24,IF(AF18=$R38,$BD38*24,IF(AF18=$R39,$BD39*24,IF(AF18=$R40,$BD40*24,"")))))))))</f>
        <v/>
      </c>
      <c r="AG148" s="169" t="str">
        <f>IF(AG18=$R32,$BD32*24,IF(AG18=$R33,$BD33*24,IF(AG18=$R34,$BD34*24,IF(AG18=$R35,$BD35*24,IF(AG18=$R36,$BD36*24,IF(AG18=$R37,$BD37*24,IF(AG18=$R38,$BD38*24,IF(AG18=$R39,$BD39*24,IF(AG18=$R40,$BD40*24,"")))))))))</f>
        <v/>
      </c>
      <c r="AH148" s="148">
        <f>SUM(C148:AG148)</f>
        <v>0</v>
      </c>
      <c r="AI148" s="133"/>
      <c r="AJ148" s="170"/>
      <c r="AK148" s="133"/>
      <c r="AL148" s="133"/>
    </row>
    <row r="149" spans="1:38" ht="15.95" hidden="1" customHeight="1" x14ac:dyDescent="0.25">
      <c r="A149" s="153"/>
      <c r="B149" s="167" t="s">
        <v>59</v>
      </c>
      <c r="C149" s="141">
        <f t="shared" ref="C149:AG149" si="153">IF(C18="V",$C36,IF(C18="PR",$C38,0))</f>
        <v>0</v>
      </c>
      <c r="D149" s="141">
        <f t="shared" si="153"/>
        <v>0</v>
      </c>
      <c r="E149" s="141">
        <f t="shared" si="153"/>
        <v>0</v>
      </c>
      <c r="F149" s="141">
        <f t="shared" si="153"/>
        <v>0</v>
      </c>
      <c r="G149" s="141">
        <f t="shared" si="153"/>
        <v>0</v>
      </c>
      <c r="H149" s="141">
        <f t="shared" si="153"/>
        <v>0</v>
      </c>
      <c r="I149" s="141">
        <f t="shared" si="153"/>
        <v>0</v>
      </c>
      <c r="J149" s="141">
        <f t="shared" si="153"/>
        <v>0</v>
      </c>
      <c r="K149" s="141">
        <f t="shared" si="153"/>
        <v>0</v>
      </c>
      <c r="L149" s="141">
        <f t="shared" si="153"/>
        <v>0</v>
      </c>
      <c r="M149" s="141">
        <f t="shared" si="153"/>
        <v>0</v>
      </c>
      <c r="N149" s="141">
        <f t="shared" si="153"/>
        <v>0</v>
      </c>
      <c r="O149" s="141">
        <f t="shared" si="153"/>
        <v>0</v>
      </c>
      <c r="P149" s="141">
        <f t="shared" si="153"/>
        <v>0</v>
      </c>
      <c r="Q149" s="141">
        <f t="shared" si="153"/>
        <v>0</v>
      </c>
      <c r="R149" s="141">
        <f t="shared" si="153"/>
        <v>0</v>
      </c>
      <c r="S149" s="141">
        <f t="shared" si="153"/>
        <v>0</v>
      </c>
      <c r="T149" s="141">
        <f t="shared" si="153"/>
        <v>0</v>
      </c>
      <c r="U149" s="141">
        <f t="shared" si="153"/>
        <v>0</v>
      </c>
      <c r="V149" s="141">
        <f t="shared" si="153"/>
        <v>0</v>
      </c>
      <c r="W149" s="141">
        <f t="shared" si="153"/>
        <v>0</v>
      </c>
      <c r="X149" s="141">
        <f t="shared" si="153"/>
        <v>0</v>
      </c>
      <c r="Y149" s="141">
        <f t="shared" si="153"/>
        <v>0</v>
      </c>
      <c r="Z149" s="141">
        <f t="shared" si="153"/>
        <v>0</v>
      </c>
      <c r="AA149" s="141">
        <f t="shared" si="153"/>
        <v>0</v>
      </c>
      <c r="AB149" s="141">
        <f t="shared" si="153"/>
        <v>0</v>
      </c>
      <c r="AC149" s="141">
        <f t="shared" si="153"/>
        <v>0</v>
      </c>
      <c r="AD149" s="141">
        <f t="shared" si="153"/>
        <v>0</v>
      </c>
      <c r="AE149" s="141">
        <f t="shared" si="153"/>
        <v>0</v>
      </c>
      <c r="AF149" s="141">
        <f t="shared" si="153"/>
        <v>0</v>
      </c>
      <c r="AG149" s="141">
        <f t="shared" si="153"/>
        <v>0</v>
      </c>
      <c r="AH149" s="226">
        <f>SUM(C149:AG149)</f>
        <v>0</v>
      </c>
      <c r="AI149" s="226"/>
      <c r="AJ149" s="230">
        <f>SUM(AH94+AH105+AH116+AH127+AH138+AH149)</f>
        <v>0</v>
      </c>
      <c r="AK149" s="230"/>
      <c r="AL149" s="133" t="s">
        <v>56</v>
      </c>
    </row>
    <row r="150" spans="1:38" ht="15.95" hidden="1" customHeight="1" x14ac:dyDescent="0.25">
      <c r="A150" s="150" t="s">
        <v>60</v>
      </c>
      <c r="B150" s="167" t="s">
        <v>61</v>
      </c>
      <c r="C150" s="151">
        <f t="shared" ref="C150:AD150" si="154">IF(C18=$R32,$BC32,IF(C18=$R33,$BC33,IF(C18=$R34,$BC34,IF(C18=$R35,$BC35,IF(C18=$R36,$BC36,IF(C18=$R37,$BC37,IF(C18=$R38,$BC38,IF(C18=$R39,$BC39,IF(C18=$R40,$BC40,0)))))))))</f>
        <v>0</v>
      </c>
      <c r="D150" s="151">
        <f t="shared" si="154"/>
        <v>0</v>
      </c>
      <c r="E150" s="151">
        <f t="shared" si="154"/>
        <v>0</v>
      </c>
      <c r="F150" s="151">
        <f t="shared" si="154"/>
        <v>0</v>
      </c>
      <c r="G150" s="151">
        <f t="shared" si="154"/>
        <v>0</v>
      </c>
      <c r="H150" s="151">
        <f t="shared" si="154"/>
        <v>0</v>
      </c>
      <c r="I150" s="151">
        <f t="shared" si="154"/>
        <v>0</v>
      </c>
      <c r="J150" s="151">
        <f t="shared" si="154"/>
        <v>0</v>
      </c>
      <c r="K150" s="151">
        <f t="shared" si="154"/>
        <v>0</v>
      </c>
      <c r="L150" s="151">
        <f t="shared" si="154"/>
        <v>0</v>
      </c>
      <c r="M150" s="151">
        <f t="shared" si="154"/>
        <v>0</v>
      </c>
      <c r="N150" s="151">
        <f t="shared" si="154"/>
        <v>0</v>
      </c>
      <c r="O150" s="151">
        <f t="shared" si="154"/>
        <v>0</v>
      </c>
      <c r="P150" s="151">
        <f t="shared" si="154"/>
        <v>0</v>
      </c>
      <c r="Q150" s="151">
        <f t="shared" si="154"/>
        <v>0</v>
      </c>
      <c r="R150" s="151">
        <f t="shared" si="154"/>
        <v>0</v>
      </c>
      <c r="S150" s="151">
        <f t="shared" si="154"/>
        <v>0</v>
      </c>
      <c r="T150" s="151">
        <f t="shared" si="154"/>
        <v>0</v>
      </c>
      <c r="U150" s="151">
        <f t="shared" si="154"/>
        <v>0</v>
      </c>
      <c r="V150" s="151">
        <f t="shared" si="154"/>
        <v>0</v>
      </c>
      <c r="W150" s="151">
        <f t="shared" si="154"/>
        <v>0</v>
      </c>
      <c r="X150" s="151">
        <f t="shared" si="154"/>
        <v>0</v>
      </c>
      <c r="Y150" s="151">
        <f t="shared" si="154"/>
        <v>0</v>
      </c>
      <c r="Z150" s="151">
        <f t="shared" si="154"/>
        <v>0</v>
      </c>
      <c r="AA150" s="151">
        <f t="shared" si="154"/>
        <v>0</v>
      </c>
      <c r="AB150" s="151">
        <f t="shared" si="154"/>
        <v>0</v>
      </c>
      <c r="AC150" s="151">
        <f t="shared" si="154"/>
        <v>0</v>
      </c>
      <c r="AD150" s="151">
        <f t="shared" si="154"/>
        <v>0</v>
      </c>
      <c r="AE150" s="151">
        <f>IF(AE18=$R32,$BC32,IF(AE18=$R33,$BC33,IF(AE18=$R34,$BC34,IF(AE18=$R35,$BC35,IF(AE18=$R36,$BC36,IF(AE18=$R37,$BC37,IF(AE18=$R38,$BC38,IF(AE18=$R39,$BC39,IF(AE18=$R40,$BC40,0)))))))))</f>
        <v>0</v>
      </c>
      <c r="AF150" s="151">
        <f>IF(AF18=$R32,$BC32,IF(AF18=$R33,$BC33,IF(AF18=$R34,$BC34,IF(AF18=$R35,$BC35,IF(AF18=$R36,$BC36,IF(AF18=$R37,$BC37,IF(AF18=$R38,$BC38,IF(AF18=$R39,$BC39,IF(AF18=$R40,$BC40,0)))))))))</f>
        <v>0</v>
      </c>
      <c r="AG150" s="151">
        <f>IF(AG18=$R32,$BC32,IF(AG18=$R33,$BC33,IF(AG18=$R34,$BC34,IF(AG18=$R35,$BC35,IF(AG18=$R36,$BC36,IF(AG18=$R37,$BC37,IF(AG18=$R38,$BC38,IF(AG18=$R39,$BC39,IF(AG18=$R40,$BC40,0)))))))))</f>
        <v>0</v>
      </c>
      <c r="AH150" s="226">
        <f>SUM(C150:AG150)</f>
        <v>0</v>
      </c>
      <c r="AI150" s="226"/>
      <c r="AJ150" s="174" t="s">
        <v>62</v>
      </c>
      <c r="AK150" s="133" t="s">
        <v>12</v>
      </c>
      <c r="AL150" s="133"/>
    </row>
    <row r="151" spans="1:38" ht="15.95" hidden="1" customHeight="1" x14ac:dyDescent="0.25">
      <c r="A151" s="153" t="s">
        <v>48</v>
      </c>
      <c r="B151" s="149" t="s">
        <v>63</v>
      </c>
      <c r="C151" s="141">
        <f>IF(C46=1,IF(C146&lt;C147,C150,0))</f>
        <v>0</v>
      </c>
      <c r="D151" s="141">
        <f t="shared" ref="D151:AG151" si="155">IF(D46=1,IF(D146&lt;D147,D150,0))</f>
        <v>0</v>
      </c>
      <c r="E151" s="141" t="b">
        <f t="shared" si="155"/>
        <v>0</v>
      </c>
      <c r="F151" s="141" t="b">
        <f t="shared" si="155"/>
        <v>0</v>
      </c>
      <c r="G151" s="141" t="b">
        <f t="shared" si="155"/>
        <v>0</v>
      </c>
      <c r="H151" s="141" t="b">
        <f t="shared" si="155"/>
        <v>0</v>
      </c>
      <c r="I151" s="141" t="b">
        <f t="shared" si="155"/>
        <v>0</v>
      </c>
      <c r="J151" s="141">
        <f t="shared" si="155"/>
        <v>0</v>
      </c>
      <c r="K151" s="141">
        <f t="shared" si="155"/>
        <v>0</v>
      </c>
      <c r="L151" s="141" t="b">
        <f t="shared" si="155"/>
        <v>0</v>
      </c>
      <c r="M151" s="141" t="b">
        <f t="shared" si="155"/>
        <v>0</v>
      </c>
      <c r="N151" s="141" t="b">
        <f t="shared" si="155"/>
        <v>0</v>
      </c>
      <c r="O151" s="141" t="b">
        <f t="shared" si="155"/>
        <v>0</v>
      </c>
      <c r="P151" s="141" t="b">
        <f t="shared" si="155"/>
        <v>0</v>
      </c>
      <c r="Q151" s="141">
        <f t="shared" si="155"/>
        <v>0</v>
      </c>
      <c r="R151" s="141">
        <f t="shared" si="155"/>
        <v>0</v>
      </c>
      <c r="S151" s="141" t="b">
        <f t="shared" si="155"/>
        <v>0</v>
      </c>
      <c r="T151" s="141" t="b">
        <f t="shared" si="155"/>
        <v>0</v>
      </c>
      <c r="U151" s="141" t="b">
        <f t="shared" si="155"/>
        <v>0</v>
      </c>
      <c r="V151" s="141" t="b">
        <f t="shared" si="155"/>
        <v>0</v>
      </c>
      <c r="W151" s="141" t="b">
        <f t="shared" si="155"/>
        <v>0</v>
      </c>
      <c r="X151" s="141">
        <f t="shared" si="155"/>
        <v>0</v>
      </c>
      <c r="Y151" s="141">
        <f t="shared" si="155"/>
        <v>0</v>
      </c>
      <c r="Z151" s="141" t="b">
        <f t="shared" si="155"/>
        <v>0</v>
      </c>
      <c r="AA151" s="141" t="b">
        <f t="shared" si="155"/>
        <v>0</v>
      </c>
      <c r="AB151" s="141" t="b">
        <f t="shared" si="155"/>
        <v>0</v>
      </c>
      <c r="AC151" s="141" t="b">
        <f t="shared" si="155"/>
        <v>0</v>
      </c>
      <c r="AD151" s="141" t="b">
        <f t="shared" si="155"/>
        <v>0</v>
      </c>
      <c r="AE151" s="141">
        <f t="shared" si="155"/>
        <v>0</v>
      </c>
      <c r="AF151" s="141">
        <f t="shared" si="155"/>
        <v>0</v>
      </c>
      <c r="AG151" s="141" t="b">
        <f t="shared" si="155"/>
        <v>0</v>
      </c>
      <c r="AH151" s="154" t="s">
        <v>12</v>
      </c>
      <c r="AI151" s="133"/>
      <c r="AJ151" s="170"/>
      <c r="AK151" s="133"/>
      <c r="AL151" s="133"/>
    </row>
    <row r="152" spans="1:38" ht="15.95" hidden="1" customHeight="1" x14ac:dyDescent="0.25">
      <c r="A152" s="176"/>
      <c r="B152" s="149" t="s">
        <v>64</v>
      </c>
      <c r="C152" s="141">
        <f t="shared" ref="C152:AG152" si="156">IF(C46=1,IF(C146&gt;C147,24-C146,0),0)</f>
        <v>0</v>
      </c>
      <c r="D152" s="141">
        <f t="shared" si="156"/>
        <v>0</v>
      </c>
      <c r="E152" s="141">
        <f t="shared" si="156"/>
        <v>0</v>
      </c>
      <c r="F152" s="141">
        <f t="shared" si="156"/>
        <v>0</v>
      </c>
      <c r="G152" s="141">
        <f t="shared" si="156"/>
        <v>0</v>
      </c>
      <c r="H152" s="141">
        <f t="shared" si="156"/>
        <v>0</v>
      </c>
      <c r="I152" s="141">
        <f t="shared" si="156"/>
        <v>0</v>
      </c>
      <c r="J152" s="141">
        <f t="shared" si="156"/>
        <v>0</v>
      </c>
      <c r="K152" s="141">
        <f t="shared" si="156"/>
        <v>0</v>
      </c>
      <c r="L152" s="141">
        <f t="shared" si="156"/>
        <v>0</v>
      </c>
      <c r="M152" s="141">
        <f t="shared" si="156"/>
        <v>0</v>
      </c>
      <c r="N152" s="141">
        <f t="shared" si="156"/>
        <v>0</v>
      </c>
      <c r="O152" s="141">
        <f t="shared" si="156"/>
        <v>0</v>
      </c>
      <c r="P152" s="141">
        <f t="shared" si="156"/>
        <v>0</v>
      </c>
      <c r="Q152" s="141">
        <f t="shared" si="156"/>
        <v>0</v>
      </c>
      <c r="R152" s="141">
        <f t="shared" si="156"/>
        <v>0</v>
      </c>
      <c r="S152" s="141">
        <f t="shared" si="156"/>
        <v>0</v>
      </c>
      <c r="T152" s="141">
        <f t="shared" si="156"/>
        <v>0</v>
      </c>
      <c r="U152" s="141">
        <f t="shared" si="156"/>
        <v>0</v>
      </c>
      <c r="V152" s="141">
        <f t="shared" si="156"/>
        <v>0</v>
      </c>
      <c r="W152" s="141">
        <f t="shared" si="156"/>
        <v>0</v>
      </c>
      <c r="X152" s="141">
        <f t="shared" si="156"/>
        <v>0</v>
      </c>
      <c r="Y152" s="141">
        <f t="shared" si="156"/>
        <v>0</v>
      </c>
      <c r="Z152" s="141">
        <f t="shared" si="156"/>
        <v>0</v>
      </c>
      <c r="AA152" s="141">
        <f t="shared" si="156"/>
        <v>0</v>
      </c>
      <c r="AB152" s="141">
        <f t="shared" si="156"/>
        <v>0</v>
      </c>
      <c r="AC152" s="141">
        <f t="shared" si="156"/>
        <v>0</v>
      </c>
      <c r="AD152" s="141">
        <f t="shared" si="156"/>
        <v>0</v>
      </c>
      <c r="AE152" s="141">
        <f t="shared" si="156"/>
        <v>0</v>
      </c>
      <c r="AF152" s="141">
        <f t="shared" si="156"/>
        <v>0</v>
      </c>
      <c r="AG152" s="141">
        <f t="shared" si="156"/>
        <v>0</v>
      </c>
      <c r="AH152" s="154" t="s">
        <v>12</v>
      </c>
      <c r="AI152" s="133"/>
      <c r="AJ152" s="170"/>
      <c r="AK152" s="133"/>
      <c r="AL152" s="133"/>
    </row>
    <row r="153" spans="1:38" ht="15.95" hidden="1" customHeight="1" x14ac:dyDescent="0.25">
      <c r="A153" s="176"/>
      <c r="B153" s="149" t="s">
        <v>65</v>
      </c>
      <c r="C153" s="141">
        <f t="shared" ref="C153:AG153" si="157">IF(D46=1,IF(C146&gt;C147,C147,0),0)</f>
        <v>0</v>
      </c>
      <c r="D153" s="141">
        <f t="shared" si="157"/>
        <v>0</v>
      </c>
      <c r="E153" s="141">
        <f t="shared" si="157"/>
        <v>0</v>
      </c>
      <c r="F153" s="141">
        <f t="shared" si="157"/>
        <v>0</v>
      </c>
      <c r="G153" s="141">
        <f t="shared" si="157"/>
        <v>0</v>
      </c>
      <c r="H153" s="141">
        <f t="shared" si="157"/>
        <v>0</v>
      </c>
      <c r="I153" s="141">
        <f t="shared" si="157"/>
        <v>0</v>
      </c>
      <c r="J153" s="141">
        <f t="shared" si="157"/>
        <v>0</v>
      </c>
      <c r="K153" s="141">
        <f t="shared" si="157"/>
        <v>0</v>
      </c>
      <c r="L153" s="141">
        <f t="shared" si="157"/>
        <v>0</v>
      </c>
      <c r="M153" s="141">
        <f t="shared" si="157"/>
        <v>0</v>
      </c>
      <c r="N153" s="141">
        <f t="shared" si="157"/>
        <v>0</v>
      </c>
      <c r="O153" s="141">
        <f t="shared" si="157"/>
        <v>0</v>
      </c>
      <c r="P153" s="141">
        <f t="shared" si="157"/>
        <v>0</v>
      </c>
      <c r="Q153" s="141">
        <f t="shared" si="157"/>
        <v>0</v>
      </c>
      <c r="R153" s="141">
        <f t="shared" si="157"/>
        <v>0</v>
      </c>
      <c r="S153" s="141">
        <f t="shared" si="157"/>
        <v>0</v>
      </c>
      <c r="T153" s="141">
        <f t="shared" si="157"/>
        <v>0</v>
      </c>
      <c r="U153" s="141">
        <f t="shared" si="157"/>
        <v>0</v>
      </c>
      <c r="V153" s="141">
        <f t="shared" si="157"/>
        <v>0</v>
      </c>
      <c r="W153" s="141">
        <f t="shared" si="157"/>
        <v>0</v>
      </c>
      <c r="X153" s="141">
        <f>IF(Y46=1,IF(X146&gt;X147,X147,0),0)</f>
        <v>0</v>
      </c>
      <c r="Y153" s="141">
        <f t="shared" si="157"/>
        <v>0</v>
      </c>
      <c r="Z153" s="141">
        <f t="shared" si="157"/>
        <v>0</v>
      </c>
      <c r="AA153" s="141">
        <f t="shared" si="157"/>
        <v>0</v>
      </c>
      <c r="AB153" s="141">
        <f t="shared" si="157"/>
        <v>0</v>
      </c>
      <c r="AC153" s="141">
        <f t="shared" si="157"/>
        <v>0</v>
      </c>
      <c r="AD153" s="141">
        <f t="shared" si="157"/>
        <v>0</v>
      </c>
      <c r="AE153" s="141">
        <f t="shared" si="157"/>
        <v>0</v>
      </c>
      <c r="AF153" s="141">
        <f t="shared" si="157"/>
        <v>0</v>
      </c>
      <c r="AG153" s="141">
        <f t="shared" si="157"/>
        <v>0</v>
      </c>
      <c r="AH153" s="154" t="s">
        <v>12</v>
      </c>
      <c r="AI153" s="133"/>
      <c r="AJ153" s="170"/>
      <c r="AK153" s="133"/>
      <c r="AL153" s="133"/>
    </row>
    <row r="154" spans="1:38" ht="15.95" hidden="1" customHeight="1" x14ac:dyDescent="0.25">
      <c r="A154" s="176"/>
      <c r="B154" s="149" t="s">
        <v>67</v>
      </c>
      <c r="C154" s="171">
        <f>SUM(C151:C153)</f>
        <v>0</v>
      </c>
      <c r="D154" s="171">
        <f t="shared" ref="D154:AG154" si="158">SUM(D151:D153)</f>
        <v>0</v>
      </c>
      <c r="E154" s="171">
        <f t="shared" si="158"/>
        <v>0</v>
      </c>
      <c r="F154" s="171">
        <f t="shared" si="158"/>
        <v>0</v>
      </c>
      <c r="G154" s="171">
        <f t="shared" si="158"/>
        <v>0</v>
      </c>
      <c r="H154" s="171">
        <f t="shared" si="158"/>
        <v>0</v>
      </c>
      <c r="I154" s="171">
        <f t="shared" si="158"/>
        <v>0</v>
      </c>
      <c r="J154" s="171">
        <f t="shared" si="158"/>
        <v>0</v>
      </c>
      <c r="K154" s="171">
        <f t="shared" si="158"/>
        <v>0</v>
      </c>
      <c r="L154" s="171">
        <f t="shared" si="158"/>
        <v>0</v>
      </c>
      <c r="M154" s="171">
        <f t="shared" si="158"/>
        <v>0</v>
      </c>
      <c r="N154" s="171">
        <f t="shared" si="158"/>
        <v>0</v>
      </c>
      <c r="O154" s="171">
        <f t="shared" si="158"/>
        <v>0</v>
      </c>
      <c r="P154" s="171">
        <f t="shared" si="158"/>
        <v>0</v>
      </c>
      <c r="Q154" s="171">
        <f t="shared" si="158"/>
        <v>0</v>
      </c>
      <c r="R154" s="171">
        <f t="shared" si="158"/>
        <v>0</v>
      </c>
      <c r="S154" s="171">
        <f t="shared" si="158"/>
        <v>0</v>
      </c>
      <c r="T154" s="171">
        <f t="shared" si="158"/>
        <v>0</v>
      </c>
      <c r="U154" s="171">
        <f t="shared" si="158"/>
        <v>0</v>
      </c>
      <c r="V154" s="171">
        <f t="shared" si="158"/>
        <v>0</v>
      </c>
      <c r="W154" s="171">
        <f t="shared" si="158"/>
        <v>0</v>
      </c>
      <c r="X154" s="171">
        <f t="shared" si="158"/>
        <v>0</v>
      </c>
      <c r="Y154" s="171">
        <f t="shared" si="158"/>
        <v>0</v>
      </c>
      <c r="Z154" s="171">
        <f t="shared" si="158"/>
        <v>0</v>
      </c>
      <c r="AA154" s="171">
        <f t="shared" si="158"/>
        <v>0</v>
      </c>
      <c r="AB154" s="171">
        <f t="shared" si="158"/>
        <v>0</v>
      </c>
      <c r="AC154" s="171">
        <f t="shared" si="158"/>
        <v>0</v>
      </c>
      <c r="AD154" s="171">
        <f t="shared" si="158"/>
        <v>0</v>
      </c>
      <c r="AE154" s="171">
        <f t="shared" si="158"/>
        <v>0</v>
      </c>
      <c r="AF154" s="171">
        <f t="shared" si="158"/>
        <v>0</v>
      </c>
      <c r="AG154" s="171">
        <f t="shared" si="158"/>
        <v>0</v>
      </c>
      <c r="AH154" s="154" t="s">
        <v>12</v>
      </c>
      <c r="AI154" s="133"/>
      <c r="AJ154" s="170"/>
      <c r="AK154" s="133"/>
      <c r="AL154" s="133"/>
    </row>
    <row r="155" spans="1:38" ht="15.95" hidden="1" customHeight="1" x14ac:dyDescent="0.25">
      <c r="A155" s="177"/>
      <c r="B155" s="160" t="s">
        <v>68</v>
      </c>
      <c r="C155" s="161">
        <f t="shared" ref="C155:AG155" si="159">IF(C18="V",IF(C18="",0,1),0)</f>
        <v>0</v>
      </c>
      <c r="D155" s="161">
        <f t="shared" si="159"/>
        <v>0</v>
      </c>
      <c r="E155" s="161">
        <f t="shared" si="159"/>
        <v>0</v>
      </c>
      <c r="F155" s="161">
        <f t="shared" si="159"/>
        <v>0</v>
      </c>
      <c r="G155" s="161">
        <f t="shared" si="159"/>
        <v>0</v>
      </c>
      <c r="H155" s="161">
        <f t="shared" si="159"/>
        <v>0</v>
      </c>
      <c r="I155" s="161">
        <f t="shared" si="159"/>
        <v>0</v>
      </c>
      <c r="J155" s="161">
        <f t="shared" si="159"/>
        <v>0</v>
      </c>
      <c r="K155" s="161">
        <f t="shared" si="159"/>
        <v>0</v>
      </c>
      <c r="L155" s="161">
        <f t="shared" si="159"/>
        <v>0</v>
      </c>
      <c r="M155" s="161">
        <f t="shared" si="159"/>
        <v>0</v>
      </c>
      <c r="N155" s="161">
        <f t="shared" si="159"/>
        <v>0</v>
      </c>
      <c r="O155" s="161">
        <f t="shared" si="159"/>
        <v>0</v>
      </c>
      <c r="P155" s="161">
        <f t="shared" si="159"/>
        <v>0</v>
      </c>
      <c r="Q155" s="161">
        <f t="shared" si="159"/>
        <v>0</v>
      </c>
      <c r="R155" s="161">
        <f t="shared" si="159"/>
        <v>0</v>
      </c>
      <c r="S155" s="161">
        <f t="shared" si="159"/>
        <v>0</v>
      </c>
      <c r="T155" s="161">
        <f t="shared" si="159"/>
        <v>0</v>
      </c>
      <c r="U155" s="161">
        <f t="shared" si="159"/>
        <v>0</v>
      </c>
      <c r="V155" s="161">
        <f t="shared" si="159"/>
        <v>0</v>
      </c>
      <c r="W155" s="161">
        <f t="shared" si="159"/>
        <v>0</v>
      </c>
      <c r="X155" s="161">
        <f t="shared" si="159"/>
        <v>0</v>
      </c>
      <c r="Y155" s="161">
        <f t="shared" si="159"/>
        <v>0</v>
      </c>
      <c r="Z155" s="161">
        <f t="shared" si="159"/>
        <v>0</v>
      </c>
      <c r="AA155" s="161">
        <f t="shared" si="159"/>
        <v>0</v>
      </c>
      <c r="AB155" s="161">
        <f t="shared" si="159"/>
        <v>0</v>
      </c>
      <c r="AC155" s="161">
        <f t="shared" si="159"/>
        <v>0</v>
      </c>
      <c r="AD155" s="161">
        <f t="shared" si="159"/>
        <v>0</v>
      </c>
      <c r="AE155" s="161">
        <f t="shared" si="159"/>
        <v>0</v>
      </c>
      <c r="AF155" s="161">
        <f t="shared" si="159"/>
        <v>0</v>
      </c>
      <c r="AG155" s="161">
        <f t="shared" si="159"/>
        <v>0</v>
      </c>
      <c r="AH155" s="154" t="s">
        <v>12</v>
      </c>
      <c r="AI155" s="133"/>
      <c r="AJ155" s="170"/>
      <c r="AK155" s="133"/>
      <c r="AL155" s="133"/>
    </row>
    <row r="156" spans="1:38" ht="15.95" hidden="1" customHeight="1" x14ac:dyDescent="0.25">
      <c r="A156" s="180"/>
      <c r="B156" s="181" t="s">
        <v>16</v>
      </c>
      <c r="C156" s="182">
        <f t="shared" ref="C156:AG156" si="160">IF(C18="PR",IF(C18="",0,1),0)</f>
        <v>0</v>
      </c>
      <c r="D156" s="182">
        <f t="shared" si="160"/>
        <v>0</v>
      </c>
      <c r="E156" s="182">
        <f t="shared" si="160"/>
        <v>0</v>
      </c>
      <c r="F156" s="182">
        <f t="shared" si="160"/>
        <v>0</v>
      </c>
      <c r="G156" s="182">
        <f t="shared" si="160"/>
        <v>0</v>
      </c>
      <c r="H156" s="182">
        <f t="shared" si="160"/>
        <v>0</v>
      </c>
      <c r="I156" s="182">
        <f t="shared" si="160"/>
        <v>0</v>
      </c>
      <c r="J156" s="182">
        <f t="shared" si="160"/>
        <v>0</v>
      </c>
      <c r="K156" s="182">
        <f t="shared" si="160"/>
        <v>0</v>
      </c>
      <c r="L156" s="182">
        <f t="shared" si="160"/>
        <v>0</v>
      </c>
      <c r="M156" s="182">
        <f t="shared" si="160"/>
        <v>0</v>
      </c>
      <c r="N156" s="182">
        <f t="shared" si="160"/>
        <v>0</v>
      </c>
      <c r="O156" s="182">
        <f t="shared" si="160"/>
        <v>0</v>
      </c>
      <c r="P156" s="182">
        <f t="shared" si="160"/>
        <v>0</v>
      </c>
      <c r="Q156" s="182">
        <f t="shared" si="160"/>
        <v>0</v>
      </c>
      <c r="R156" s="182">
        <f t="shared" si="160"/>
        <v>0</v>
      </c>
      <c r="S156" s="182">
        <f t="shared" si="160"/>
        <v>0</v>
      </c>
      <c r="T156" s="182">
        <f t="shared" si="160"/>
        <v>0</v>
      </c>
      <c r="U156" s="182">
        <f t="shared" si="160"/>
        <v>0</v>
      </c>
      <c r="V156" s="182">
        <f t="shared" si="160"/>
        <v>0</v>
      </c>
      <c r="W156" s="182">
        <f t="shared" si="160"/>
        <v>0</v>
      </c>
      <c r="X156" s="182">
        <f t="shared" si="160"/>
        <v>0</v>
      </c>
      <c r="Y156" s="182">
        <f t="shared" si="160"/>
        <v>0</v>
      </c>
      <c r="Z156" s="182">
        <f t="shared" si="160"/>
        <v>0</v>
      </c>
      <c r="AA156" s="182">
        <f t="shared" si="160"/>
        <v>0</v>
      </c>
      <c r="AB156" s="182">
        <f t="shared" si="160"/>
        <v>0</v>
      </c>
      <c r="AC156" s="182">
        <f t="shared" si="160"/>
        <v>0</v>
      </c>
      <c r="AD156" s="182">
        <f t="shared" si="160"/>
        <v>0</v>
      </c>
      <c r="AE156" s="182">
        <f t="shared" si="160"/>
        <v>0</v>
      </c>
      <c r="AF156" s="182">
        <f t="shared" si="160"/>
        <v>0</v>
      </c>
      <c r="AG156" s="182">
        <f t="shared" si="160"/>
        <v>0</v>
      </c>
      <c r="AH156" s="227">
        <f>SUM(C156:AG156)</f>
        <v>0</v>
      </c>
      <c r="AI156" s="227"/>
      <c r="AJ156" s="174" t="s">
        <v>69</v>
      </c>
      <c r="AK156" s="133"/>
      <c r="AL156" s="133"/>
    </row>
    <row r="157" spans="1:38" ht="15.95" hidden="1" customHeight="1" x14ac:dyDescent="0.25">
      <c r="A157" s="164" t="s">
        <v>126</v>
      </c>
      <c r="B157" s="165" t="s">
        <v>29</v>
      </c>
      <c r="C157" s="141" t="str">
        <f>IF(C19=$R32,$S32*24,IF(C19=$R33,$S33*24,IF(C19=$R34,$S34*24,IF(C19=$R35,$S35*24,IF(C19=$R36,$S36*24,IF(C19=$R37,$S37*24,IF(C19=$R38,$S38*24,IF(C19=$R39,$S39*24,IF(C19=$R40,$S40*24,"")))))))))</f>
        <v/>
      </c>
      <c r="D157" s="141" t="str">
        <f t="shared" ref="D157:AG157" si="161">IF(D19=$R32,$S32*24,IF(D19=$R33,$S33*24,IF(D19=$R34,$S34*24,IF(D19=$R35,$S35*24,IF(D19=$R36,$S36*24,IF(D19=$R37,$S37*24,IF(D19=$R38,$S38*24,IF(D19=$R39,$S39*24,IF(D19=$R40,$S40*24,"")))))))))</f>
        <v/>
      </c>
      <c r="E157" s="141" t="str">
        <f t="shared" si="161"/>
        <v/>
      </c>
      <c r="F157" s="141" t="str">
        <f t="shared" si="161"/>
        <v/>
      </c>
      <c r="G157" s="141" t="str">
        <f t="shared" si="161"/>
        <v/>
      </c>
      <c r="H157" s="141" t="str">
        <f t="shared" si="161"/>
        <v/>
      </c>
      <c r="I157" s="141" t="str">
        <f t="shared" si="161"/>
        <v/>
      </c>
      <c r="J157" s="141" t="str">
        <f t="shared" si="161"/>
        <v/>
      </c>
      <c r="K157" s="141" t="str">
        <f t="shared" si="161"/>
        <v/>
      </c>
      <c r="L157" s="141" t="str">
        <f t="shared" si="161"/>
        <v/>
      </c>
      <c r="M157" s="141" t="str">
        <f t="shared" si="161"/>
        <v/>
      </c>
      <c r="N157" s="141" t="str">
        <f t="shared" si="161"/>
        <v/>
      </c>
      <c r="O157" s="141" t="str">
        <f t="shared" si="161"/>
        <v/>
      </c>
      <c r="P157" s="141" t="str">
        <f t="shared" si="161"/>
        <v/>
      </c>
      <c r="Q157" s="141" t="str">
        <f t="shared" si="161"/>
        <v/>
      </c>
      <c r="R157" s="141" t="str">
        <f t="shared" si="161"/>
        <v/>
      </c>
      <c r="S157" s="141" t="str">
        <f t="shared" si="161"/>
        <v/>
      </c>
      <c r="T157" s="141" t="str">
        <f t="shared" si="161"/>
        <v/>
      </c>
      <c r="U157" s="141" t="str">
        <f t="shared" si="161"/>
        <v/>
      </c>
      <c r="V157" s="141" t="str">
        <f t="shared" si="161"/>
        <v/>
      </c>
      <c r="W157" s="141" t="str">
        <f t="shared" si="161"/>
        <v/>
      </c>
      <c r="X157" s="141" t="str">
        <f t="shared" si="161"/>
        <v/>
      </c>
      <c r="Y157" s="141" t="str">
        <f t="shared" si="161"/>
        <v/>
      </c>
      <c r="Z157" s="141" t="str">
        <f t="shared" si="161"/>
        <v/>
      </c>
      <c r="AA157" s="141" t="str">
        <f t="shared" si="161"/>
        <v/>
      </c>
      <c r="AB157" s="141" t="str">
        <f t="shared" si="161"/>
        <v/>
      </c>
      <c r="AC157" s="141" t="str">
        <f t="shared" si="161"/>
        <v/>
      </c>
      <c r="AD157" s="141" t="str">
        <f t="shared" si="161"/>
        <v/>
      </c>
      <c r="AE157" s="141" t="str">
        <f t="shared" si="161"/>
        <v/>
      </c>
      <c r="AF157" s="141" t="str">
        <f t="shared" si="161"/>
        <v/>
      </c>
      <c r="AG157" s="141" t="str">
        <f t="shared" si="161"/>
        <v/>
      </c>
      <c r="AH157" s="154" t="s">
        <v>12</v>
      </c>
      <c r="AI157" s="133"/>
      <c r="AJ157" s="170"/>
      <c r="AK157" s="133"/>
      <c r="AL157" s="133"/>
    </row>
    <row r="158" spans="1:38" ht="15.95" hidden="1" customHeight="1" x14ac:dyDescent="0.25">
      <c r="A158" s="166" t="s">
        <v>128</v>
      </c>
      <c r="B158" s="167" t="s">
        <v>30</v>
      </c>
      <c r="C158" s="141" t="str">
        <f>IF(C19=$R32,$V32*24,IF(C19=$R33,$V33*24,IF(C19=$R34,$V34*24,IF(C19=$R35,$V35*24,IF(C19=$R36,$V36*24,IF(C19=$R37,$V37*24,IF(C19=$R38,$V38*24,IF(C19=$R39,$V39*24,IF(C19=$R40,$V40*24,"")))))))))</f>
        <v/>
      </c>
      <c r="D158" s="141" t="str">
        <f t="shared" ref="D158:AG158" si="162">IF(D19=$R32,$V32*24,IF(D19=$R33,$V33*24,IF(D19=$R34,$V34*24,IF(D19=$R35,$V35*24,IF(D19=$R36,$V36*24,IF(D19=$R37,$V37*24,IF(D19=$R38,$V38*24,IF(D19=$R39,$V39*24,IF(D19=$R40,$V40*24,"")))))))))</f>
        <v/>
      </c>
      <c r="E158" s="141" t="str">
        <f t="shared" si="162"/>
        <v/>
      </c>
      <c r="F158" s="141" t="str">
        <f t="shared" si="162"/>
        <v/>
      </c>
      <c r="G158" s="141" t="str">
        <f t="shared" si="162"/>
        <v/>
      </c>
      <c r="H158" s="141" t="str">
        <f t="shared" si="162"/>
        <v/>
      </c>
      <c r="I158" s="141" t="str">
        <f t="shared" si="162"/>
        <v/>
      </c>
      <c r="J158" s="141" t="str">
        <f t="shared" si="162"/>
        <v/>
      </c>
      <c r="K158" s="141" t="str">
        <f t="shared" si="162"/>
        <v/>
      </c>
      <c r="L158" s="141" t="str">
        <f t="shared" si="162"/>
        <v/>
      </c>
      <c r="M158" s="141" t="str">
        <f t="shared" si="162"/>
        <v/>
      </c>
      <c r="N158" s="141" t="str">
        <f t="shared" si="162"/>
        <v/>
      </c>
      <c r="O158" s="141" t="str">
        <f t="shared" si="162"/>
        <v/>
      </c>
      <c r="P158" s="141" t="str">
        <f t="shared" si="162"/>
        <v/>
      </c>
      <c r="Q158" s="141" t="str">
        <f t="shared" si="162"/>
        <v/>
      </c>
      <c r="R158" s="141" t="str">
        <f t="shared" si="162"/>
        <v/>
      </c>
      <c r="S158" s="141" t="str">
        <f t="shared" si="162"/>
        <v/>
      </c>
      <c r="T158" s="141" t="str">
        <f t="shared" si="162"/>
        <v/>
      </c>
      <c r="U158" s="141" t="str">
        <f t="shared" si="162"/>
        <v/>
      </c>
      <c r="V158" s="141" t="str">
        <f t="shared" si="162"/>
        <v/>
      </c>
      <c r="W158" s="141" t="str">
        <f t="shared" si="162"/>
        <v/>
      </c>
      <c r="X158" s="141" t="str">
        <f t="shared" si="162"/>
        <v/>
      </c>
      <c r="Y158" s="141" t="str">
        <f t="shared" si="162"/>
        <v/>
      </c>
      <c r="Z158" s="141" t="str">
        <f t="shared" si="162"/>
        <v/>
      </c>
      <c r="AA158" s="141" t="str">
        <f t="shared" si="162"/>
        <v/>
      </c>
      <c r="AB158" s="141" t="str">
        <f t="shared" si="162"/>
        <v/>
      </c>
      <c r="AC158" s="141" t="str">
        <f t="shared" si="162"/>
        <v/>
      </c>
      <c r="AD158" s="141" t="str">
        <f t="shared" si="162"/>
        <v/>
      </c>
      <c r="AE158" s="141" t="str">
        <f t="shared" si="162"/>
        <v/>
      </c>
      <c r="AF158" s="141" t="str">
        <f t="shared" si="162"/>
        <v/>
      </c>
      <c r="AG158" s="141" t="str">
        <f t="shared" si="162"/>
        <v/>
      </c>
      <c r="AH158" s="154" t="s">
        <v>12</v>
      </c>
      <c r="AI158" s="133"/>
      <c r="AJ158" s="170"/>
      <c r="AK158" s="133"/>
      <c r="AL158" s="133"/>
    </row>
    <row r="159" spans="1:38" ht="15.95" hidden="1" customHeight="1" x14ac:dyDescent="0.25">
      <c r="A159" s="153"/>
      <c r="B159" s="183" t="s">
        <v>34</v>
      </c>
      <c r="C159" s="169" t="str">
        <f t="shared" ref="C159:AD159" si="163">IF(C19=$R32,$BD32*24,IF(C19=$R33,$BD33*24,IF(C19=$R34,$BD34*24,IF(C19=$R35,$BD35*24,IF(C19=$R36,$BD36*24,IF(C19=$R37,$BD37*24,IF(C19=$R38,$BD38*24,IF(C19=$R39,$BD39*24,IF(C19=$R40,$BD40*24,"")))))))))</f>
        <v/>
      </c>
      <c r="D159" s="169" t="str">
        <f t="shared" si="163"/>
        <v/>
      </c>
      <c r="E159" s="169" t="str">
        <f t="shared" si="163"/>
        <v/>
      </c>
      <c r="F159" s="169" t="str">
        <f t="shared" si="163"/>
        <v/>
      </c>
      <c r="G159" s="169" t="str">
        <f t="shared" si="163"/>
        <v/>
      </c>
      <c r="H159" s="169" t="str">
        <f t="shared" si="163"/>
        <v/>
      </c>
      <c r="I159" s="169" t="str">
        <f t="shared" si="163"/>
        <v/>
      </c>
      <c r="J159" s="169" t="str">
        <f t="shared" si="163"/>
        <v/>
      </c>
      <c r="K159" s="169" t="str">
        <f t="shared" si="163"/>
        <v/>
      </c>
      <c r="L159" s="169" t="str">
        <f t="shared" si="163"/>
        <v/>
      </c>
      <c r="M159" s="169" t="str">
        <f t="shared" si="163"/>
        <v/>
      </c>
      <c r="N159" s="169" t="str">
        <f t="shared" si="163"/>
        <v/>
      </c>
      <c r="O159" s="169" t="str">
        <f t="shared" si="163"/>
        <v/>
      </c>
      <c r="P159" s="169" t="str">
        <f t="shared" si="163"/>
        <v/>
      </c>
      <c r="Q159" s="169" t="str">
        <f t="shared" si="163"/>
        <v/>
      </c>
      <c r="R159" s="169" t="str">
        <f t="shared" si="163"/>
        <v/>
      </c>
      <c r="S159" s="169" t="str">
        <f t="shared" si="163"/>
        <v/>
      </c>
      <c r="T159" s="169" t="str">
        <f t="shared" si="163"/>
        <v/>
      </c>
      <c r="U159" s="169" t="str">
        <f t="shared" si="163"/>
        <v/>
      </c>
      <c r="V159" s="169" t="str">
        <f t="shared" si="163"/>
        <v/>
      </c>
      <c r="W159" s="169" t="str">
        <f t="shared" si="163"/>
        <v/>
      </c>
      <c r="X159" s="169" t="str">
        <f t="shared" si="163"/>
        <v/>
      </c>
      <c r="Y159" s="169" t="str">
        <f t="shared" si="163"/>
        <v/>
      </c>
      <c r="Z159" s="169" t="str">
        <f t="shared" si="163"/>
        <v/>
      </c>
      <c r="AA159" s="169" t="str">
        <f t="shared" si="163"/>
        <v/>
      </c>
      <c r="AB159" s="169" t="str">
        <f t="shared" si="163"/>
        <v/>
      </c>
      <c r="AC159" s="169" t="str">
        <f t="shared" si="163"/>
        <v/>
      </c>
      <c r="AD159" s="169" t="str">
        <f t="shared" si="163"/>
        <v/>
      </c>
      <c r="AE159" s="169" t="str">
        <f>IF(AE19=$R32,$BD32*24,IF(AE19=$R33,$BD33*24,IF(AE19=$R34,$BD34*24,IF(AE19=$R35,$BD35*24,IF(AE19=$R36,$BD36*24,IF(AE19=$R37,$BD37*24,IF(AE19=$R38,$BD38*24,IF(AE19=$R39,$BD39*24,IF(AE19=$R40,$BD40*24,"")))))))))</f>
        <v/>
      </c>
      <c r="AF159" s="169" t="str">
        <f>IF(AF19=$R32,$BD32*24,IF(AF19=$R33,$BD33*24,IF(AF19=$R34,$BD34*24,IF(AF19=$R35,$BD35*24,IF(AF19=$R36,$BD36*24,IF(AF19=$R37,$BD37*24,IF(AF19=$R38,$BD38*24,IF(AF19=$R39,$BD39*24,IF(AF19=$R40,$BD40*24,"")))))))))</f>
        <v/>
      </c>
      <c r="AG159" s="169" t="str">
        <f>IF(AG19=$R32,$BD32*24,IF(AG19=$R33,$BD33*24,IF(AG19=$R34,$BD34*24,IF(AG19=$R35,$BD35*24,IF(AG19=$R36,$BD36*24,IF(AG19=$R37,$BD37*24,IF(AG19=$R38,$BD38*24,IF(AG19=$R39,$BD39*24,IF(AG19=$R40,$BD40*24,"")))))))))</f>
        <v/>
      </c>
      <c r="AH159" s="148">
        <f>SUM(C159:AG159)</f>
        <v>0</v>
      </c>
      <c r="AI159" s="133"/>
      <c r="AJ159" s="170"/>
      <c r="AK159" s="133"/>
      <c r="AL159" s="133"/>
    </row>
    <row r="160" spans="1:38" ht="15.95" hidden="1" customHeight="1" x14ac:dyDescent="0.25">
      <c r="A160" s="153"/>
      <c r="B160" s="167" t="s">
        <v>59</v>
      </c>
      <c r="C160" s="141">
        <f>IF(C19="V",$C36,IF(C19="PR",$C38,0))</f>
        <v>0</v>
      </c>
      <c r="D160" s="141">
        <f t="shared" ref="D160:AG160" si="164">IF(D19="V",$C36,IF(D19="PR",$C38,0))</f>
        <v>0</v>
      </c>
      <c r="E160" s="141">
        <f t="shared" si="164"/>
        <v>0</v>
      </c>
      <c r="F160" s="141">
        <f t="shared" si="164"/>
        <v>0</v>
      </c>
      <c r="G160" s="141">
        <f t="shared" si="164"/>
        <v>0</v>
      </c>
      <c r="H160" s="141">
        <f t="shared" si="164"/>
        <v>0</v>
      </c>
      <c r="I160" s="141">
        <f t="shared" si="164"/>
        <v>0</v>
      </c>
      <c r="J160" s="141">
        <f t="shared" si="164"/>
        <v>0</v>
      </c>
      <c r="K160" s="141">
        <f t="shared" si="164"/>
        <v>0</v>
      </c>
      <c r="L160" s="141">
        <f t="shared" si="164"/>
        <v>0</v>
      </c>
      <c r="M160" s="141">
        <f t="shared" si="164"/>
        <v>0</v>
      </c>
      <c r="N160" s="141">
        <f t="shared" si="164"/>
        <v>0</v>
      </c>
      <c r="O160" s="141">
        <f t="shared" si="164"/>
        <v>0</v>
      </c>
      <c r="P160" s="141">
        <f t="shared" si="164"/>
        <v>0</v>
      </c>
      <c r="Q160" s="141">
        <f t="shared" si="164"/>
        <v>0</v>
      </c>
      <c r="R160" s="141">
        <f t="shared" si="164"/>
        <v>0</v>
      </c>
      <c r="S160" s="141">
        <f t="shared" si="164"/>
        <v>0</v>
      </c>
      <c r="T160" s="141">
        <f t="shared" si="164"/>
        <v>0</v>
      </c>
      <c r="U160" s="141">
        <f t="shared" si="164"/>
        <v>0</v>
      </c>
      <c r="V160" s="141">
        <f t="shared" si="164"/>
        <v>0</v>
      </c>
      <c r="W160" s="141">
        <f t="shared" si="164"/>
        <v>0</v>
      </c>
      <c r="X160" s="141">
        <f t="shared" si="164"/>
        <v>0</v>
      </c>
      <c r="Y160" s="141">
        <f t="shared" si="164"/>
        <v>0</v>
      </c>
      <c r="Z160" s="141">
        <f t="shared" si="164"/>
        <v>0</v>
      </c>
      <c r="AA160" s="141">
        <f t="shared" si="164"/>
        <v>0</v>
      </c>
      <c r="AB160" s="141">
        <f t="shared" si="164"/>
        <v>0</v>
      </c>
      <c r="AC160" s="141">
        <f t="shared" si="164"/>
        <v>0</v>
      </c>
      <c r="AD160" s="141">
        <f t="shared" si="164"/>
        <v>0</v>
      </c>
      <c r="AE160" s="141">
        <f t="shared" si="164"/>
        <v>0</v>
      </c>
      <c r="AF160" s="141">
        <f t="shared" si="164"/>
        <v>0</v>
      </c>
      <c r="AG160" s="141">
        <f t="shared" si="164"/>
        <v>0</v>
      </c>
      <c r="AH160" s="226">
        <f>SUM(C160:AG160)</f>
        <v>0</v>
      </c>
      <c r="AI160" s="226"/>
      <c r="AJ160" s="230">
        <f>SUM(AH105+AH116+AH127+AH138+AH149+AH160)</f>
        <v>0</v>
      </c>
      <c r="AK160" s="230"/>
      <c r="AL160" s="133" t="s">
        <v>56</v>
      </c>
    </row>
    <row r="161" spans="1:38" ht="15.95" hidden="1" customHeight="1" x14ac:dyDescent="0.25">
      <c r="A161" s="150" t="s">
        <v>60</v>
      </c>
      <c r="B161" s="167" t="s">
        <v>61</v>
      </c>
      <c r="C161" s="151">
        <f t="shared" ref="C161:AD161" si="165">IF(C19=$R32,$BC32,IF(C19=$R33,$BC33,IF(C19=$R34,$BC34,IF(C19=$R35,$BC35,IF(C19=$R36,$BC36,IF(C19=$R37,$BC37,IF(C19=$R38,$BC38,IF(C19=$R39,$BC39,IF(C19=$R40,$BC40,0)))))))))</f>
        <v>0</v>
      </c>
      <c r="D161" s="151">
        <f t="shared" si="165"/>
        <v>0</v>
      </c>
      <c r="E161" s="151">
        <f t="shared" si="165"/>
        <v>0</v>
      </c>
      <c r="F161" s="151">
        <f t="shared" si="165"/>
        <v>0</v>
      </c>
      <c r="G161" s="151">
        <f t="shared" si="165"/>
        <v>0</v>
      </c>
      <c r="H161" s="151">
        <f t="shared" si="165"/>
        <v>0</v>
      </c>
      <c r="I161" s="151">
        <f t="shared" si="165"/>
        <v>0</v>
      </c>
      <c r="J161" s="151">
        <f t="shared" si="165"/>
        <v>0</v>
      </c>
      <c r="K161" s="151">
        <f t="shared" si="165"/>
        <v>0</v>
      </c>
      <c r="L161" s="151">
        <f t="shared" si="165"/>
        <v>0</v>
      </c>
      <c r="M161" s="151">
        <f t="shared" si="165"/>
        <v>0</v>
      </c>
      <c r="N161" s="151">
        <f t="shared" si="165"/>
        <v>0</v>
      </c>
      <c r="O161" s="151">
        <f t="shared" si="165"/>
        <v>0</v>
      </c>
      <c r="P161" s="151">
        <f t="shared" si="165"/>
        <v>0</v>
      </c>
      <c r="Q161" s="151">
        <f t="shared" si="165"/>
        <v>0</v>
      </c>
      <c r="R161" s="151">
        <f t="shared" si="165"/>
        <v>0</v>
      </c>
      <c r="S161" s="151">
        <f t="shared" si="165"/>
        <v>0</v>
      </c>
      <c r="T161" s="151">
        <f t="shared" si="165"/>
        <v>0</v>
      </c>
      <c r="U161" s="151">
        <f t="shared" si="165"/>
        <v>0</v>
      </c>
      <c r="V161" s="151">
        <f t="shared" si="165"/>
        <v>0</v>
      </c>
      <c r="W161" s="151">
        <f t="shared" si="165"/>
        <v>0</v>
      </c>
      <c r="X161" s="151">
        <f t="shared" si="165"/>
        <v>0</v>
      </c>
      <c r="Y161" s="151">
        <f t="shared" si="165"/>
        <v>0</v>
      </c>
      <c r="Z161" s="151">
        <f t="shared" si="165"/>
        <v>0</v>
      </c>
      <c r="AA161" s="151">
        <f t="shared" si="165"/>
        <v>0</v>
      </c>
      <c r="AB161" s="151">
        <f t="shared" si="165"/>
        <v>0</v>
      </c>
      <c r="AC161" s="151">
        <f t="shared" si="165"/>
        <v>0</v>
      </c>
      <c r="AD161" s="151">
        <f t="shared" si="165"/>
        <v>0</v>
      </c>
      <c r="AE161" s="151">
        <f>IF(AE19=$R32,$BC32,IF(AE19=$R33,$BC33,IF(AE19=$R34,$BC34,IF(AE19=$R35,$BC35,IF(AE19=$R36,$BC36,IF(AE19=$R37,$BC37,IF(AE19=$R38,$BC38,IF(AE19=$R39,$BC39,IF(AE19=$R40,$BC40,0)))))))))</f>
        <v>0</v>
      </c>
      <c r="AF161" s="151">
        <f>IF(AF19=$R32,$BC32,IF(AF19=$R33,$BC33,IF(AF19=$R34,$BC34,IF(AF19=$R35,$BC35,IF(AF19=$R36,$BC36,IF(AF19=$R37,$BC37,IF(AF19=$R38,$BC38,IF(AF19=$R39,$BC39,IF(AF19=$R40,$BC40,0)))))))))</f>
        <v>0</v>
      </c>
      <c r="AG161" s="151">
        <f>IF(AG19=$R32,$BC32,IF(AG19=$R33,$BC33,IF(AG19=$R34,$BC34,IF(AG19=$R35,$BC35,IF(AG19=$R36,$BC36,IF(AG19=$R37,$BC37,IF(AG19=$R38,$BC38,IF(AG19=$R39,$BC39,IF(AG19=$R40,$BC40,0)))))))))</f>
        <v>0</v>
      </c>
      <c r="AH161" s="226">
        <f>SUM(C161:AG161)</f>
        <v>0</v>
      </c>
      <c r="AI161" s="226"/>
      <c r="AJ161" s="174" t="s">
        <v>62</v>
      </c>
      <c r="AK161" s="133" t="s">
        <v>12</v>
      </c>
      <c r="AL161" s="133"/>
    </row>
    <row r="162" spans="1:38" ht="15.95" hidden="1" customHeight="1" x14ac:dyDescent="0.25">
      <c r="A162" s="153" t="s">
        <v>48</v>
      </c>
      <c r="B162" s="149" t="s">
        <v>63</v>
      </c>
      <c r="C162" s="141">
        <f>IF(C46=1,IF(C157&lt;C158,C161,0))</f>
        <v>0</v>
      </c>
      <c r="D162" s="141">
        <f t="shared" ref="D162:AG162" si="166">IF(D46=1,IF(D157&lt;D158,D161,0))</f>
        <v>0</v>
      </c>
      <c r="E162" s="141" t="b">
        <f t="shared" si="166"/>
        <v>0</v>
      </c>
      <c r="F162" s="141" t="b">
        <f t="shared" si="166"/>
        <v>0</v>
      </c>
      <c r="G162" s="141" t="b">
        <f t="shared" si="166"/>
        <v>0</v>
      </c>
      <c r="H162" s="141" t="b">
        <f t="shared" si="166"/>
        <v>0</v>
      </c>
      <c r="I162" s="141" t="b">
        <f t="shared" si="166"/>
        <v>0</v>
      </c>
      <c r="J162" s="141">
        <f t="shared" si="166"/>
        <v>0</v>
      </c>
      <c r="K162" s="141">
        <f t="shared" si="166"/>
        <v>0</v>
      </c>
      <c r="L162" s="141" t="b">
        <f t="shared" si="166"/>
        <v>0</v>
      </c>
      <c r="M162" s="141" t="b">
        <f t="shared" si="166"/>
        <v>0</v>
      </c>
      <c r="N162" s="141" t="b">
        <f t="shared" si="166"/>
        <v>0</v>
      </c>
      <c r="O162" s="141" t="b">
        <f t="shared" si="166"/>
        <v>0</v>
      </c>
      <c r="P162" s="141" t="b">
        <f t="shared" si="166"/>
        <v>0</v>
      </c>
      <c r="Q162" s="141">
        <f t="shared" si="166"/>
        <v>0</v>
      </c>
      <c r="R162" s="141">
        <f t="shared" si="166"/>
        <v>0</v>
      </c>
      <c r="S162" s="141" t="b">
        <f t="shared" si="166"/>
        <v>0</v>
      </c>
      <c r="T162" s="141" t="b">
        <f t="shared" si="166"/>
        <v>0</v>
      </c>
      <c r="U162" s="141" t="b">
        <f t="shared" si="166"/>
        <v>0</v>
      </c>
      <c r="V162" s="141" t="b">
        <f t="shared" si="166"/>
        <v>0</v>
      </c>
      <c r="W162" s="141" t="b">
        <f t="shared" si="166"/>
        <v>0</v>
      </c>
      <c r="X162" s="141">
        <f t="shared" si="166"/>
        <v>0</v>
      </c>
      <c r="Y162" s="141">
        <f t="shared" si="166"/>
        <v>0</v>
      </c>
      <c r="Z162" s="141" t="b">
        <f t="shared" si="166"/>
        <v>0</v>
      </c>
      <c r="AA162" s="141" t="b">
        <f t="shared" si="166"/>
        <v>0</v>
      </c>
      <c r="AB162" s="141" t="b">
        <f t="shared" si="166"/>
        <v>0</v>
      </c>
      <c r="AC162" s="141" t="b">
        <f t="shared" si="166"/>
        <v>0</v>
      </c>
      <c r="AD162" s="141" t="b">
        <f t="shared" si="166"/>
        <v>0</v>
      </c>
      <c r="AE162" s="141">
        <f t="shared" si="166"/>
        <v>0</v>
      </c>
      <c r="AF162" s="141">
        <f t="shared" si="166"/>
        <v>0</v>
      </c>
      <c r="AG162" s="141" t="b">
        <f t="shared" si="166"/>
        <v>0</v>
      </c>
      <c r="AH162" s="154" t="s">
        <v>12</v>
      </c>
      <c r="AI162" s="133"/>
      <c r="AJ162" s="170"/>
      <c r="AK162" s="133"/>
      <c r="AL162" s="133"/>
    </row>
    <row r="163" spans="1:38" ht="15.95" hidden="1" customHeight="1" x14ac:dyDescent="0.25">
      <c r="A163" s="176"/>
      <c r="B163" s="149" t="s">
        <v>64</v>
      </c>
      <c r="C163" s="141">
        <f>IF(C46=1,IF(C157&gt;C158,24-C157,0),0)</f>
        <v>0</v>
      </c>
      <c r="D163" s="141">
        <f t="shared" ref="D163:AG163" si="167">IF(D46=1,IF(D157&gt;D158,24-D157,0),0)</f>
        <v>0</v>
      </c>
      <c r="E163" s="141">
        <f t="shared" si="167"/>
        <v>0</v>
      </c>
      <c r="F163" s="141">
        <f t="shared" si="167"/>
        <v>0</v>
      </c>
      <c r="G163" s="141">
        <f t="shared" si="167"/>
        <v>0</v>
      </c>
      <c r="H163" s="141">
        <f t="shared" si="167"/>
        <v>0</v>
      </c>
      <c r="I163" s="141">
        <f t="shared" si="167"/>
        <v>0</v>
      </c>
      <c r="J163" s="141">
        <f t="shared" si="167"/>
        <v>0</v>
      </c>
      <c r="K163" s="141">
        <f t="shared" si="167"/>
        <v>0</v>
      </c>
      <c r="L163" s="141">
        <f t="shared" si="167"/>
        <v>0</v>
      </c>
      <c r="M163" s="141">
        <f t="shared" si="167"/>
        <v>0</v>
      </c>
      <c r="N163" s="141">
        <f t="shared" si="167"/>
        <v>0</v>
      </c>
      <c r="O163" s="141">
        <f t="shared" si="167"/>
        <v>0</v>
      </c>
      <c r="P163" s="141">
        <f t="shared" si="167"/>
        <v>0</v>
      </c>
      <c r="Q163" s="141">
        <f t="shared" si="167"/>
        <v>0</v>
      </c>
      <c r="R163" s="141">
        <f t="shared" si="167"/>
        <v>0</v>
      </c>
      <c r="S163" s="141">
        <f t="shared" si="167"/>
        <v>0</v>
      </c>
      <c r="T163" s="141">
        <f t="shared" si="167"/>
        <v>0</v>
      </c>
      <c r="U163" s="141">
        <f t="shared" si="167"/>
        <v>0</v>
      </c>
      <c r="V163" s="141">
        <f t="shared" si="167"/>
        <v>0</v>
      </c>
      <c r="W163" s="141">
        <f t="shared" si="167"/>
        <v>0</v>
      </c>
      <c r="X163" s="141">
        <f t="shared" si="167"/>
        <v>0</v>
      </c>
      <c r="Y163" s="141">
        <f t="shared" si="167"/>
        <v>0</v>
      </c>
      <c r="Z163" s="141">
        <f t="shared" si="167"/>
        <v>0</v>
      </c>
      <c r="AA163" s="141">
        <f t="shared" si="167"/>
        <v>0</v>
      </c>
      <c r="AB163" s="141">
        <f t="shared" si="167"/>
        <v>0</v>
      </c>
      <c r="AC163" s="141">
        <f t="shared" si="167"/>
        <v>0</v>
      </c>
      <c r="AD163" s="141">
        <f t="shared" si="167"/>
        <v>0</v>
      </c>
      <c r="AE163" s="141">
        <f t="shared" si="167"/>
        <v>0</v>
      </c>
      <c r="AF163" s="141">
        <f t="shared" si="167"/>
        <v>0</v>
      </c>
      <c r="AG163" s="141">
        <f t="shared" si="167"/>
        <v>0</v>
      </c>
      <c r="AH163" s="154" t="s">
        <v>12</v>
      </c>
      <c r="AI163" s="133"/>
      <c r="AJ163" s="170"/>
      <c r="AK163" s="133"/>
      <c r="AL163" s="133"/>
    </row>
    <row r="164" spans="1:38" ht="15.95" hidden="1" customHeight="1" x14ac:dyDescent="0.25">
      <c r="A164" s="176"/>
      <c r="B164" s="149" t="s">
        <v>65</v>
      </c>
      <c r="C164" s="141">
        <f>IF(C46=1,IF(C157&gt;C158,C158,0),0)</f>
        <v>0</v>
      </c>
      <c r="D164" s="141">
        <f t="shared" ref="D164:AG164" si="168">IF(D46=1,IF(D157&gt;D158,D158,0),0)</f>
        <v>0</v>
      </c>
      <c r="E164" s="141">
        <f t="shared" si="168"/>
        <v>0</v>
      </c>
      <c r="F164" s="141">
        <f t="shared" si="168"/>
        <v>0</v>
      </c>
      <c r="G164" s="141">
        <f t="shared" si="168"/>
        <v>0</v>
      </c>
      <c r="H164" s="141">
        <f t="shared" si="168"/>
        <v>0</v>
      </c>
      <c r="I164" s="141">
        <f t="shared" si="168"/>
        <v>0</v>
      </c>
      <c r="J164" s="141">
        <f t="shared" si="168"/>
        <v>0</v>
      </c>
      <c r="K164" s="141">
        <f t="shared" si="168"/>
        <v>0</v>
      </c>
      <c r="L164" s="141">
        <f t="shared" si="168"/>
        <v>0</v>
      </c>
      <c r="M164" s="141">
        <f t="shared" si="168"/>
        <v>0</v>
      </c>
      <c r="N164" s="141">
        <f t="shared" si="168"/>
        <v>0</v>
      </c>
      <c r="O164" s="141">
        <f t="shared" si="168"/>
        <v>0</v>
      </c>
      <c r="P164" s="141">
        <f t="shared" si="168"/>
        <v>0</v>
      </c>
      <c r="Q164" s="141">
        <f t="shared" si="168"/>
        <v>0</v>
      </c>
      <c r="R164" s="141">
        <f t="shared" si="168"/>
        <v>0</v>
      </c>
      <c r="S164" s="141">
        <f t="shared" si="168"/>
        <v>0</v>
      </c>
      <c r="T164" s="141">
        <f t="shared" si="168"/>
        <v>0</v>
      </c>
      <c r="U164" s="141">
        <f t="shared" si="168"/>
        <v>0</v>
      </c>
      <c r="V164" s="141">
        <f t="shared" si="168"/>
        <v>0</v>
      </c>
      <c r="W164" s="141">
        <f t="shared" si="168"/>
        <v>0</v>
      </c>
      <c r="X164" s="141">
        <f t="shared" si="168"/>
        <v>0</v>
      </c>
      <c r="Y164" s="141">
        <f t="shared" si="168"/>
        <v>0</v>
      </c>
      <c r="Z164" s="141">
        <f t="shared" si="168"/>
        <v>0</v>
      </c>
      <c r="AA164" s="141">
        <f t="shared" si="168"/>
        <v>0</v>
      </c>
      <c r="AB164" s="141">
        <f t="shared" si="168"/>
        <v>0</v>
      </c>
      <c r="AC164" s="141">
        <f t="shared" si="168"/>
        <v>0</v>
      </c>
      <c r="AD164" s="141">
        <f t="shared" si="168"/>
        <v>0</v>
      </c>
      <c r="AE164" s="141">
        <f t="shared" si="168"/>
        <v>0</v>
      </c>
      <c r="AF164" s="141">
        <f t="shared" si="168"/>
        <v>0</v>
      </c>
      <c r="AG164" s="141">
        <f t="shared" si="168"/>
        <v>0</v>
      </c>
      <c r="AH164" s="154" t="s">
        <v>12</v>
      </c>
      <c r="AI164" s="133"/>
      <c r="AJ164" s="170"/>
      <c r="AK164" s="133"/>
      <c r="AL164" s="133"/>
    </row>
    <row r="165" spans="1:38" ht="15.95" hidden="1" customHeight="1" x14ac:dyDescent="0.25">
      <c r="A165" s="176"/>
      <c r="B165" s="149" t="s">
        <v>67</v>
      </c>
      <c r="C165" s="171">
        <f t="shared" ref="C165:AG165" si="169">SUM(C162:C164)</f>
        <v>0</v>
      </c>
      <c r="D165" s="171">
        <f t="shared" si="169"/>
        <v>0</v>
      </c>
      <c r="E165" s="171">
        <f t="shared" si="169"/>
        <v>0</v>
      </c>
      <c r="F165" s="171">
        <f t="shared" si="169"/>
        <v>0</v>
      </c>
      <c r="G165" s="171">
        <f t="shared" si="169"/>
        <v>0</v>
      </c>
      <c r="H165" s="171">
        <f t="shared" si="169"/>
        <v>0</v>
      </c>
      <c r="I165" s="171">
        <f t="shared" si="169"/>
        <v>0</v>
      </c>
      <c r="J165" s="171">
        <f t="shared" si="169"/>
        <v>0</v>
      </c>
      <c r="K165" s="171">
        <f t="shared" si="169"/>
        <v>0</v>
      </c>
      <c r="L165" s="171">
        <f t="shared" si="169"/>
        <v>0</v>
      </c>
      <c r="M165" s="171">
        <f t="shared" si="169"/>
        <v>0</v>
      </c>
      <c r="N165" s="171">
        <f t="shared" si="169"/>
        <v>0</v>
      </c>
      <c r="O165" s="171">
        <f t="shared" si="169"/>
        <v>0</v>
      </c>
      <c r="P165" s="171">
        <f t="shared" si="169"/>
        <v>0</v>
      </c>
      <c r="Q165" s="171">
        <f t="shared" si="169"/>
        <v>0</v>
      </c>
      <c r="R165" s="171">
        <f t="shared" si="169"/>
        <v>0</v>
      </c>
      <c r="S165" s="171">
        <f t="shared" si="169"/>
        <v>0</v>
      </c>
      <c r="T165" s="171">
        <f t="shared" si="169"/>
        <v>0</v>
      </c>
      <c r="U165" s="171">
        <f t="shared" si="169"/>
        <v>0</v>
      </c>
      <c r="V165" s="171">
        <f t="shared" si="169"/>
        <v>0</v>
      </c>
      <c r="W165" s="171">
        <f t="shared" si="169"/>
        <v>0</v>
      </c>
      <c r="X165" s="171">
        <f t="shared" si="169"/>
        <v>0</v>
      </c>
      <c r="Y165" s="171">
        <f t="shared" si="169"/>
        <v>0</v>
      </c>
      <c r="Z165" s="171">
        <f t="shared" si="169"/>
        <v>0</v>
      </c>
      <c r="AA165" s="171">
        <f t="shared" si="169"/>
        <v>0</v>
      </c>
      <c r="AB165" s="171">
        <f t="shared" si="169"/>
        <v>0</v>
      </c>
      <c r="AC165" s="171">
        <f t="shared" si="169"/>
        <v>0</v>
      </c>
      <c r="AD165" s="171">
        <f t="shared" si="169"/>
        <v>0</v>
      </c>
      <c r="AE165" s="171">
        <f t="shared" si="169"/>
        <v>0</v>
      </c>
      <c r="AF165" s="171">
        <f t="shared" si="169"/>
        <v>0</v>
      </c>
      <c r="AG165" s="171">
        <f t="shared" si="169"/>
        <v>0</v>
      </c>
      <c r="AH165" s="154" t="s">
        <v>12</v>
      </c>
      <c r="AI165" s="133"/>
      <c r="AJ165" s="170"/>
      <c r="AK165" s="133"/>
      <c r="AL165" s="133"/>
    </row>
    <row r="166" spans="1:38" ht="15.95" hidden="1" customHeight="1" x14ac:dyDescent="0.25">
      <c r="A166" s="177"/>
      <c r="B166" s="160" t="s">
        <v>68</v>
      </c>
      <c r="C166" s="161">
        <f>IF(C19="V",IF(C19="",0,1),0)</f>
        <v>0</v>
      </c>
      <c r="D166" s="161">
        <f t="shared" ref="D166:AG166" si="170">IF(D19="V",IF(D19="",0,1),0)</f>
        <v>0</v>
      </c>
      <c r="E166" s="161">
        <f t="shared" si="170"/>
        <v>0</v>
      </c>
      <c r="F166" s="161">
        <f t="shared" si="170"/>
        <v>0</v>
      </c>
      <c r="G166" s="161">
        <f t="shared" si="170"/>
        <v>0</v>
      </c>
      <c r="H166" s="161">
        <f t="shared" si="170"/>
        <v>0</v>
      </c>
      <c r="I166" s="161">
        <f t="shared" si="170"/>
        <v>0</v>
      </c>
      <c r="J166" s="161">
        <f t="shared" si="170"/>
        <v>0</v>
      </c>
      <c r="K166" s="161">
        <f t="shared" si="170"/>
        <v>0</v>
      </c>
      <c r="L166" s="161">
        <f t="shared" si="170"/>
        <v>0</v>
      </c>
      <c r="M166" s="161">
        <f t="shared" si="170"/>
        <v>0</v>
      </c>
      <c r="N166" s="161">
        <f t="shared" si="170"/>
        <v>0</v>
      </c>
      <c r="O166" s="161">
        <f t="shared" si="170"/>
        <v>0</v>
      </c>
      <c r="P166" s="161">
        <f t="shared" si="170"/>
        <v>0</v>
      </c>
      <c r="Q166" s="161">
        <f t="shared" si="170"/>
        <v>0</v>
      </c>
      <c r="R166" s="161">
        <f t="shared" si="170"/>
        <v>0</v>
      </c>
      <c r="S166" s="161">
        <f t="shared" si="170"/>
        <v>0</v>
      </c>
      <c r="T166" s="161">
        <f t="shared" si="170"/>
        <v>0</v>
      </c>
      <c r="U166" s="161">
        <f t="shared" si="170"/>
        <v>0</v>
      </c>
      <c r="V166" s="161">
        <f t="shared" si="170"/>
        <v>0</v>
      </c>
      <c r="W166" s="161">
        <f t="shared" si="170"/>
        <v>0</v>
      </c>
      <c r="X166" s="161">
        <f t="shared" si="170"/>
        <v>0</v>
      </c>
      <c r="Y166" s="161">
        <f t="shared" si="170"/>
        <v>0</v>
      </c>
      <c r="Z166" s="161">
        <f t="shared" si="170"/>
        <v>0</v>
      </c>
      <c r="AA166" s="161">
        <f t="shared" si="170"/>
        <v>0</v>
      </c>
      <c r="AB166" s="161">
        <f t="shared" si="170"/>
        <v>0</v>
      </c>
      <c r="AC166" s="161">
        <f t="shared" si="170"/>
        <v>0</v>
      </c>
      <c r="AD166" s="161">
        <f t="shared" si="170"/>
        <v>0</v>
      </c>
      <c r="AE166" s="161">
        <f t="shared" si="170"/>
        <v>0</v>
      </c>
      <c r="AF166" s="161">
        <f t="shared" si="170"/>
        <v>0</v>
      </c>
      <c r="AG166" s="161">
        <f t="shared" si="170"/>
        <v>0</v>
      </c>
      <c r="AH166" s="154" t="s">
        <v>12</v>
      </c>
      <c r="AI166" s="133"/>
      <c r="AJ166" s="170"/>
      <c r="AK166" s="133"/>
      <c r="AL166" s="133"/>
    </row>
    <row r="167" spans="1:38" ht="15.95" hidden="1" customHeight="1" x14ac:dyDescent="0.25">
      <c r="A167" s="180"/>
      <c r="B167" s="181" t="s">
        <v>16</v>
      </c>
      <c r="C167" s="182">
        <f>IF(C19="PR",IF(C19="",0,1),0)</f>
        <v>0</v>
      </c>
      <c r="D167" s="182">
        <f t="shared" ref="D167:AG167" si="171">IF(D19="PR",IF(D19="",0,1),0)</f>
        <v>0</v>
      </c>
      <c r="E167" s="182">
        <f t="shared" si="171"/>
        <v>0</v>
      </c>
      <c r="F167" s="182">
        <f t="shared" si="171"/>
        <v>0</v>
      </c>
      <c r="G167" s="182">
        <f t="shared" si="171"/>
        <v>0</v>
      </c>
      <c r="H167" s="182">
        <f t="shared" si="171"/>
        <v>0</v>
      </c>
      <c r="I167" s="182">
        <f t="shared" si="171"/>
        <v>0</v>
      </c>
      <c r="J167" s="182">
        <f t="shared" si="171"/>
        <v>0</v>
      </c>
      <c r="K167" s="182">
        <f t="shared" si="171"/>
        <v>0</v>
      </c>
      <c r="L167" s="182">
        <f t="shared" si="171"/>
        <v>0</v>
      </c>
      <c r="M167" s="182">
        <f t="shared" si="171"/>
        <v>0</v>
      </c>
      <c r="N167" s="182">
        <f t="shared" si="171"/>
        <v>0</v>
      </c>
      <c r="O167" s="182">
        <f t="shared" si="171"/>
        <v>0</v>
      </c>
      <c r="P167" s="182">
        <f t="shared" si="171"/>
        <v>0</v>
      </c>
      <c r="Q167" s="182">
        <f t="shared" si="171"/>
        <v>0</v>
      </c>
      <c r="R167" s="182">
        <f t="shared" si="171"/>
        <v>0</v>
      </c>
      <c r="S167" s="182">
        <f t="shared" si="171"/>
        <v>0</v>
      </c>
      <c r="T167" s="182">
        <f t="shared" si="171"/>
        <v>0</v>
      </c>
      <c r="U167" s="182">
        <f t="shared" si="171"/>
        <v>0</v>
      </c>
      <c r="V167" s="182">
        <f t="shared" si="171"/>
        <v>0</v>
      </c>
      <c r="W167" s="182">
        <f t="shared" si="171"/>
        <v>0</v>
      </c>
      <c r="X167" s="182">
        <f t="shared" si="171"/>
        <v>0</v>
      </c>
      <c r="Y167" s="182">
        <f t="shared" si="171"/>
        <v>0</v>
      </c>
      <c r="Z167" s="182">
        <f t="shared" si="171"/>
        <v>0</v>
      </c>
      <c r="AA167" s="182">
        <f t="shared" si="171"/>
        <v>0</v>
      </c>
      <c r="AB167" s="182">
        <f t="shared" si="171"/>
        <v>0</v>
      </c>
      <c r="AC167" s="182">
        <f t="shared" si="171"/>
        <v>0</v>
      </c>
      <c r="AD167" s="182">
        <f t="shared" si="171"/>
        <v>0</v>
      </c>
      <c r="AE167" s="182">
        <f t="shared" si="171"/>
        <v>0</v>
      </c>
      <c r="AF167" s="182">
        <f t="shared" si="171"/>
        <v>0</v>
      </c>
      <c r="AG167" s="182">
        <f t="shared" si="171"/>
        <v>0</v>
      </c>
      <c r="AH167" s="227">
        <f>SUM(C167:AG167)</f>
        <v>0</v>
      </c>
      <c r="AI167" s="227"/>
      <c r="AJ167" s="174" t="s">
        <v>69</v>
      </c>
      <c r="AK167" s="133"/>
      <c r="AL167" s="133"/>
    </row>
    <row r="168" spans="1:38" ht="15.95" hidden="1" customHeight="1" x14ac:dyDescent="0.25">
      <c r="A168" s="164" t="s">
        <v>127</v>
      </c>
      <c r="B168" s="165" t="s">
        <v>29</v>
      </c>
      <c r="C168" s="141" t="str">
        <f>IF(C20=$R32,$S32*24,IF(C20=$R33,$S33*24,IF(C20=$R34,$S34*24,IF(C20=$R35,$S35*24,IF(C20=$R36,$S36*24,IF(C20=$R37,$S37*24,IF(C20=$R38,$S38*24,IF(C20=$R39,$S39*24,IF(C20=$R40,$S40*24,"")))))))))</f>
        <v/>
      </c>
      <c r="D168" s="141" t="str">
        <f t="shared" ref="D168:AG168" si="172">IF(D20=$R32,$S32*24,IF(D20=$R33,$S33*24,IF(D20=$R34,$S34*24,IF(D20=$R35,$S35*24,IF(D20=$R36,$S36*24,IF(D20=$R37,$S37*24,IF(D20=$R38,$S38*24,IF(D20=$R39,$S39*24,IF(D20=$R40,$S40*24,"")))))))))</f>
        <v/>
      </c>
      <c r="E168" s="141" t="str">
        <f t="shared" si="172"/>
        <v/>
      </c>
      <c r="F168" s="141" t="str">
        <f t="shared" si="172"/>
        <v/>
      </c>
      <c r="G168" s="141" t="str">
        <f t="shared" si="172"/>
        <v/>
      </c>
      <c r="H168" s="141" t="str">
        <f t="shared" si="172"/>
        <v/>
      </c>
      <c r="I168" s="141" t="str">
        <f t="shared" si="172"/>
        <v/>
      </c>
      <c r="J168" s="141" t="str">
        <f t="shared" si="172"/>
        <v/>
      </c>
      <c r="K168" s="141" t="str">
        <f t="shared" si="172"/>
        <v/>
      </c>
      <c r="L168" s="141" t="str">
        <f t="shared" si="172"/>
        <v/>
      </c>
      <c r="M168" s="141" t="str">
        <f t="shared" si="172"/>
        <v/>
      </c>
      <c r="N168" s="141" t="str">
        <f t="shared" si="172"/>
        <v/>
      </c>
      <c r="O168" s="141" t="str">
        <f t="shared" si="172"/>
        <v/>
      </c>
      <c r="P168" s="141" t="str">
        <f t="shared" si="172"/>
        <v/>
      </c>
      <c r="Q168" s="141" t="str">
        <f t="shared" si="172"/>
        <v/>
      </c>
      <c r="R168" s="141" t="str">
        <f t="shared" si="172"/>
        <v/>
      </c>
      <c r="S168" s="141" t="str">
        <f t="shared" si="172"/>
        <v/>
      </c>
      <c r="T168" s="141" t="str">
        <f t="shared" si="172"/>
        <v/>
      </c>
      <c r="U168" s="141" t="str">
        <f t="shared" si="172"/>
        <v/>
      </c>
      <c r="V168" s="141" t="str">
        <f t="shared" si="172"/>
        <v/>
      </c>
      <c r="W168" s="141" t="str">
        <f t="shared" si="172"/>
        <v/>
      </c>
      <c r="X168" s="141" t="str">
        <f t="shared" si="172"/>
        <v/>
      </c>
      <c r="Y168" s="141" t="str">
        <f t="shared" si="172"/>
        <v/>
      </c>
      <c r="Z168" s="141" t="str">
        <f t="shared" si="172"/>
        <v/>
      </c>
      <c r="AA168" s="141" t="str">
        <f t="shared" si="172"/>
        <v/>
      </c>
      <c r="AB168" s="141" t="str">
        <f t="shared" si="172"/>
        <v/>
      </c>
      <c r="AC168" s="141" t="str">
        <f t="shared" si="172"/>
        <v/>
      </c>
      <c r="AD168" s="141" t="str">
        <f t="shared" si="172"/>
        <v/>
      </c>
      <c r="AE168" s="141" t="str">
        <f t="shared" si="172"/>
        <v/>
      </c>
      <c r="AF168" s="141" t="str">
        <f t="shared" si="172"/>
        <v/>
      </c>
      <c r="AG168" s="141" t="str">
        <f t="shared" si="172"/>
        <v/>
      </c>
      <c r="AH168" s="154" t="s">
        <v>12</v>
      </c>
      <c r="AI168" s="133"/>
      <c r="AJ168" s="170"/>
      <c r="AK168" s="133"/>
      <c r="AL168" s="133"/>
    </row>
    <row r="169" spans="1:38" ht="15.95" hidden="1" customHeight="1" x14ac:dyDescent="0.25">
      <c r="A169" s="166" t="s">
        <v>129</v>
      </c>
      <c r="B169" s="167" t="s">
        <v>30</v>
      </c>
      <c r="C169" s="141" t="str">
        <f>IF(C20=$R32,$V32*24,IF(C20=$R33,$V33*24,IF(C20=$R34,$V34*24,IF(C20=$R35,$V35*24,IF(C20=$R36,$V36*24,IF(C20=$R37,$V37*24,IF(C20=$R38,$V38*24,IF(C20=$R39,$V39*24,IF(C20=$R40,$V40*24,"")))))))))</f>
        <v/>
      </c>
      <c r="D169" s="141" t="str">
        <f t="shared" ref="D169:AG169" si="173">IF(D20=$R32,$V32*24,IF(D20=$R33,$V33*24,IF(D20=$R34,$V34*24,IF(D20=$R35,$V35*24,IF(D20=$R36,$V36*24,IF(D20=$R37,$V37*24,IF(D20=$R38,$V38*24,IF(D20=$R39,$V39*24,IF(D20=$R40,$V40*24,"")))))))))</f>
        <v/>
      </c>
      <c r="E169" s="141" t="str">
        <f t="shared" si="173"/>
        <v/>
      </c>
      <c r="F169" s="141" t="str">
        <f t="shared" si="173"/>
        <v/>
      </c>
      <c r="G169" s="141" t="str">
        <f t="shared" si="173"/>
        <v/>
      </c>
      <c r="H169" s="141" t="str">
        <f t="shared" si="173"/>
        <v/>
      </c>
      <c r="I169" s="141" t="str">
        <f t="shared" si="173"/>
        <v/>
      </c>
      <c r="J169" s="141" t="str">
        <f t="shared" si="173"/>
        <v/>
      </c>
      <c r="K169" s="141" t="str">
        <f t="shared" si="173"/>
        <v/>
      </c>
      <c r="L169" s="141" t="str">
        <f t="shared" si="173"/>
        <v/>
      </c>
      <c r="M169" s="141" t="str">
        <f t="shared" si="173"/>
        <v/>
      </c>
      <c r="N169" s="141" t="str">
        <f t="shared" si="173"/>
        <v/>
      </c>
      <c r="O169" s="141" t="str">
        <f t="shared" si="173"/>
        <v/>
      </c>
      <c r="P169" s="141" t="str">
        <f t="shared" si="173"/>
        <v/>
      </c>
      <c r="Q169" s="141" t="str">
        <f t="shared" si="173"/>
        <v/>
      </c>
      <c r="R169" s="141" t="str">
        <f t="shared" si="173"/>
        <v/>
      </c>
      <c r="S169" s="141" t="str">
        <f t="shared" si="173"/>
        <v/>
      </c>
      <c r="T169" s="141" t="str">
        <f t="shared" si="173"/>
        <v/>
      </c>
      <c r="U169" s="141" t="str">
        <f t="shared" si="173"/>
        <v/>
      </c>
      <c r="V169" s="141" t="str">
        <f t="shared" si="173"/>
        <v/>
      </c>
      <c r="W169" s="141" t="str">
        <f t="shared" si="173"/>
        <v/>
      </c>
      <c r="X169" s="141" t="str">
        <f t="shared" si="173"/>
        <v/>
      </c>
      <c r="Y169" s="141" t="str">
        <f t="shared" si="173"/>
        <v/>
      </c>
      <c r="Z169" s="141" t="str">
        <f t="shared" si="173"/>
        <v/>
      </c>
      <c r="AA169" s="141" t="str">
        <f t="shared" si="173"/>
        <v/>
      </c>
      <c r="AB169" s="141" t="str">
        <f t="shared" si="173"/>
        <v/>
      </c>
      <c r="AC169" s="141" t="str">
        <f t="shared" si="173"/>
        <v/>
      </c>
      <c r="AD169" s="141" t="str">
        <f t="shared" si="173"/>
        <v/>
      </c>
      <c r="AE169" s="141" t="str">
        <f t="shared" si="173"/>
        <v/>
      </c>
      <c r="AF169" s="141" t="str">
        <f t="shared" si="173"/>
        <v/>
      </c>
      <c r="AG169" s="141" t="str">
        <f t="shared" si="173"/>
        <v/>
      </c>
      <c r="AH169" s="154" t="s">
        <v>12</v>
      </c>
      <c r="AI169" s="133"/>
      <c r="AJ169" s="170"/>
      <c r="AK169" s="133"/>
      <c r="AL169" s="133"/>
    </row>
    <row r="170" spans="1:38" ht="15.95" hidden="1" customHeight="1" x14ac:dyDescent="0.25">
      <c r="A170" s="153"/>
      <c r="B170" s="183" t="s">
        <v>34</v>
      </c>
      <c r="C170" s="169" t="str">
        <f t="shared" ref="C170:AD170" si="174">IF(C20=$R32,$BD32*24,IF(C20=$R33,$BD33*24,IF(C20=$R34,$BD34*24,IF(C20=$R35,$BD35*24,IF(C20=$R36,$BD36*24,IF(C20=$R37,$BD37*24,IF(C20=$R38,$BD38*24,IF(C20=$R39,$BD39*24,IF(C20=$R40,$BD40*24,"")))))))))</f>
        <v/>
      </c>
      <c r="D170" s="169" t="str">
        <f t="shared" si="174"/>
        <v/>
      </c>
      <c r="E170" s="169" t="str">
        <f t="shared" si="174"/>
        <v/>
      </c>
      <c r="F170" s="169" t="str">
        <f t="shared" si="174"/>
        <v/>
      </c>
      <c r="G170" s="169" t="str">
        <f t="shared" si="174"/>
        <v/>
      </c>
      <c r="H170" s="169" t="str">
        <f t="shared" si="174"/>
        <v/>
      </c>
      <c r="I170" s="169" t="str">
        <f t="shared" si="174"/>
        <v/>
      </c>
      <c r="J170" s="169" t="str">
        <f t="shared" si="174"/>
        <v/>
      </c>
      <c r="K170" s="169" t="str">
        <f t="shared" si="174"/>
        <v/>
      </c>
      <c r="L170" s="169" t="str">
        <f t="shared" si="174"/>
        <v/>
      </c>
      <c r="M170" s="169" t="str">
        <f t="shared" si="174"/>
        <v/>
      </c>
      <c r="N170" s="169" t="str">
        <f t="shared" si="174"/>
        <v/>
      </c>
      <c r="O170" s="169" t="str">
        <f t="shared" si="174"/>
        <v/>
      </c>
      <c r="P170" s="169" t="str">
        <f t="shared" si="174"/>
        <v/>
      </c>
      <c r="Q170" s="169" t="str">
        <f t="shared" si="174"/>
        <v/>
      </c>
      <c r="R170" s="169" t="str">
        <f t="shared" si="174"/>
        <v/>
      </c>
      <c r="S170" s="169" t="str">
        <f t="shared" si="174"/>
        <v/>
      </c>
      <c r="T170" s="169" t="str">
        <f t="shared" si="174"/>
        <v/>
      </c>
      <c r="U170" s="169" t="str">
        <f t="shared" si="174"/>
        <v/>
      </c>
      <c r="V170" s="169" t="str">
        <f t="shared" si="174"/>
        <v/>
      </c>
      <c r="W170" s="169" t="str">
        <f t="shared" si="174"/>
        <v/>
      </c>
      <c r="X170" s="169" t="str">
        <f t="shared" si="174"/>
        <v/>
      </c>
      <c r="Y170" s="169" t="str">
        <f t="shared" si="174"/>
        <v/>
      </c>
      <c r="Z170" s="169" t="str">
        <f t="shared" si="174"/>
        <v/>
      </c>
      <c r="AA170" s="169" t="str">
        <f t="shared" si="174"/>
        <v/>
      </c>
      <c r="AB170" s="169" t="str">
        <f t="shared" si="174"/>
        <v/>
      </c>
      <c r="AC170" s="169" t="str">
        <f t="shared" si="174"/>
        <v/>
      </c>
      <c r="AD170" s="169" t="str">
        <f t="shared" si="174"/>
        <v/>
      </c>
      <c r="AE170" s="169" t="str">
        <f>IF(AE20=$R32,$BD32*24,IF(AE20=$R33,$BD33*24,IF(AE20=$R34,$BD34*24,IF(AE20=$R35,$BD35*24,IF(AE20=$R36,$BD36*24,IF(AE20=$R37,$BD37*24,IF(AE20=$R38,$BD38*24,IF(AE20=$R39,$BD39*24,IF(AE20=$R40,$BD40*24,"")))))))))</f>
        <v/>
      </c>
      <c r="AF170" s="169" t="str">
        <f>IF(AF20=$R32,$BD32*24,IF(AF20=$R33,$BD33*24,IF(AF20=$R34,$BD34*24,IF(AF20=$R35,$BD35*24,IF(AF20=$R36,$BD36*24,IF(AF20=$R37,$BD37*24,IF(AF20=$R38,$BD38*24,IF(AF20=$R39,$BD39*24,IF(AF20=$R40,$BD40*24,"")))))))))</f>
        <v/>
      </c>
      <c r="AG170" s="169" t="str">
        <f>IF(AG20=$R32,$BD32*24,IF(AG20=$R33,$BD33*24,IF(AG20=$R34,$BD34*24,IF(AG20=$R35,$BD35*24,IF(AG20=$R36,$BD36*24,IF(AG20=$R37,$BD37*24,IF(AG20=$R38,$BD38*24,IF(AG20=$R39,$BD39*24,IF(AG20=$R40,$BD40*24,"")))))))))</f>
        <v/>
      </c>
      <c r="AH170" s="148">
        <f>SUM(C170:AG170)</f>
        <v>0</v>
      </c>
      <c r="AI170" s="133"/>
      <c r="AJ170" s="170"/>
      <c r="AK170" s="133"/>
      <c r="AL170" s="133"/>
    </row>
    <row r="171" spans="1:38" ht="15.95" hidden="1" customHeight="1" x14ac:dyDescent="0.25">
      <c r="A171" s="153"/>
      <c r="B171" s="167" t="s">
        <v>59</v>
      </c>
      <c r="C171" s="141">
        <f>IF(C20="V",$C36,IF(C20="PR",$C38,0))</f>
        <v>0</v>
      </c>
      <c r="D171" s="141">
        <f t="shared" ref="D171:AG171" si="175">IF(D20="V",$C36,IF(D20="PR",$C38,0))</f>
        <v>0</v>
      </c>
      <c r="E171" s="141">
        <f t="shared" si="175"/>
        <v>0</v>
      </c>
      <c r="F171" s="141">
        <f t="shared" si="175"/>
        <v>0</v>
      </c>
      <c r="G171" s="141">
        <f t="shared" si="175"/>
        <v>0</v>
      </c>
      <c r="H171" s="141">
        <f t="shared" si="175"/>
        <v>0</v>
      </c>
      <c r="I171" s="141">
        <f t="shared" si="175"/>
        <v>0</v>
      </c>
      <c r="J171" s="141">
        <f t="shared" si="175"/>
        <v>0</v>
      </c>
      <c r="K171" s="141">
        <f t="shared" si="175"/>
        <v>0</v>
      </c>
      <c r="L171" s="141">
        <f t="shared" si="175"/>
        <v>0</v>
      </c>
      <c r="M171" s="141">
        <f t="shared" si="175"/>
        <v>0</v>
      </c>
      <c r="N171" s="141">
        <f t="shared" si="175"/>
        <v>0</v>
      </c>
      <c r="O171" s="141">
        <f t="shared" si="175"/>
        <v>0</v>
      </c>
      <c r="P171" s="141">
        <f t="shared" si="175"/>
        <v>0</v>
      </c>
      <c r="Q171" s="141">
        <f t="shared" si="175"/>
        <v>0</v>
      </c>
      <c r="R171" s="141">
        <f t="shared" si="175"/>
        <v>0</v>
      </c>
      <c r="S171" s="141">
        <f t="shared" si="175"/>
        <v>0</v>
      </c>
      <c r="T171" s="141">
        <f t="shared" si="175"/>
        <v>0</v>
      </c>
      <c r="U171" s="141">
        <f t="shared" si="175"/>
        <v>0</v>
      </c>
      <c r="V171" s="141">
        <f t="shared" si="175"/>
        <v>0</v>
      </c>
      <c r="W171" s="141">
        <f t="shared" si="175"/>
        <v>0</v>
      </c>
      <c r="X171" s="141">
        <f t="shared" si="175"/>
        <v>0</v>
      </c>
      <c r="Y171" s="141">
        <f t="shared" si="175"/>
        <v>0</v>
      </c>
      <c r="Z171" s="141">
        <f t="shared" si="175"/>
        <v>0</v>
      </c>
      <c r="AA171" s="141">
        <f t="shared" si="175"/>
        <v>0</v>
      </c>
      <c r="AB171" s="141">
        <f t="shared" si="175"/>
        <v>0</v>
      </c>
      <c r="AC171" s="141">
        <f t="shared" si="175"/>
        <v>0</v>
      </c>
      <c r="AD171" s="141">
        <f t="shared" si="175"/>
        <v>0</v>
      </c>
      <c r="AE171" s="141">
        <f t="shared" si="175"/>
        <v>0</v>
      </c>
      <c r="AF171" s="141">
        <f t="shared" si="175"/>
        <v>0</v>
      </c>
      <c r="AG171" s="141">
        <f t="shared" si="175"/>
        <v>0</v>
      </c>
      <c r="AH171" s="226">
        <f>SUM(C171:AG171)</f>
        <v>0</v>
      </c>
      <c r="AI171" s="226"/>
      <c r="AJ171" s="230">
        <f>SUM(AH116+AH127+AH138+AH149+AH160+AH171)</f>
        <v>0</v>
      </c>
      <c r="AK171" s="230"/>
      <c r="AL171" s="133" t="s">
        <v>56</v>
      </c>
    </row>
    <row r="172" spans="1:38" ht="15.95" hidden="1" customHeight="1" x14ac:dyDescent="0.25">
      <c r="A172" s="150" t="s">
        <v>60</v>
      </c>
      <c r="B172" s="167" t="s">
        <v>61</v>
      </c>
      <c r="C172" s="151">
        <f t="shared" ref="C172:AD172" si="176">IF(C20=$R32,$BC32,IF(C20=$R33,$BC33,IF(C20=$R34,$BC34,IF(C20=$R35,$BC35,IF(C20=$R36,$BC36,IF(C20=$R37,$BC37,IF(C20=$R38,$BC38,IF(C20=$R39,$BC39,IF(C20=$R40,$BC40,0)))))))))</f>
        <v>0</v>
      </c>
      <c r="D172" s="151">
        <f t="shared" si="176"/>
        <v>0</v>
      </c>
      <c r="E172" s="151">
        <f t="shared" si="176"/>
        <v>0</v>
      </c>
      <c r="F172" s="151">
        <f t="shared" si="176"/>
        <v>0</v>
      </c>
      <c r="G172" s="151">
        <f t="shared" si="176"/>
        <v>0</v>
      </c>
      <c r="H172" s="151">
        <f t="shared" si="176"/>
        <v>0</v>
      </c>
      <c r="I172" s="151">
        <f t="shared" si="176"/>
        <v>0</v>
      </c>
      <c r="J172" s="151">
        <f t="shared" si="176"/>
        <v>0</v>
      </c>
      <c r="K172" s="151">
        <f t="shared" si="176"/>
        <v>0</v>
      </c>
      <c r="L172" s="151">
        <f t="shared" si="176"/>
        <v>0</v>
      </c>
      <c r="M172" s="151">
        <f t="shared" si="176"/>
        <v>0</v>
      </c>
      <c r="N172" s="151">
        <f t="shared" si="176"/>
        <v>0</v>
      </c>
      <c r="O172" s="151">
        <f t="shared" si="176"/>
        <v>0</v>
      </c>
      <c r="P172" s="151">
        <f t="shared" si="176"/>
        <v>0</v>
      </c>
      <c r="Q172" s="151">
        <f t="shared" si="176"/>
        <v>0</v>
      </c>
      <c r="R172" s="151">
        <f t="shared" si="176"/>
        <v>0</v>
      </c>
      <c r="S172" s="151">
        <f t="shared" si="176"/>
        <v>0</v>
      </c>
      <c r="T172" s="151">
        <f t="shared" si="176"/>
        <v>0</v>
      </c>
      <c r="U172" s="151">
        <f t="shared" si="176"/>
        <v>0</v>
      </c>
      <c r="V172" s="151">
        <f t="shared" si="176"/>
        <v>0</v>
      </c>
      <c r="W172" s="151">
        <f t="shared" si="176"/>
        <v>0</v>
      </c>
      <c r="X172" s="151">
        <f t="shared" si="176"/>
        <v>0</v>
      </c>
      <c r="Y172" s="151">
        <f t="shared" si="176"/>
        <v>0</v>
      </c>
      <c r="Z172" s="151">
        <f t="shared" si="176"/>
        <v>0</v>
      </c>
      <c r="AA172" s="151">
        <f t="shared" si="176"/>
        <v>0</v>
      </c>
      <c r="AB172" s="151">
        <f t="shared" si="176"/>
        <v>0</v>
      </c>
      <c r="AC172" s="151">
        <f t="shared" si="176"/>
        <v>0</v>
      </c>
      <c r="AD172" s="151">
        <f t="shared" si="176"/>
        <v>0</v>
      </c>
      <c r="AE172" s="151">
        <f>IF(AE20=$R32,$BC32,IF(AE20=$R33,$BC33,IF(AE20=$R34,$BC34,IF(AE20=$R35,$BC35,IF(AE20=$R36,$BC36,IF(AE20=$R37,$BC37,IF(AE20=$R38,$BC38,IF(AE20=$R39,$BC39,IF(AE20=$R40,$BC40,0)))))))))</f>
        <v>0</v>
      </c>
      <c r="AF172" s="151">
        <f>IF(AF20=$R32,$BC32,IF(AF20=$R33,$BC33,IF(AF20=$R34,$BC34,IF(AF20=$R35,$BC35,IF(AF20=$R36,$BC36,IF(AF20=$R37,$BC37,IF(AF20=$R38,$BC38,IF(AF20=$R39,$BC39,IF(AF20=$R40,$BC40,0)))))))))</f>
        <v>0</v>
      </c>
      <c r="AG172" s="151">
        <f>IF(AG20=$R32,$BC32,IF(AG20=$R33,$BC33,IF(AG20=$R34,$BC34,IF(AG20=$R35,$BC35,IF(AG20=$R36,$BC36,IF(AG20=$R37,$BC37,IF(AG20=$R38,$BC38,IF(AG20=$R39,$BC39,IF(AG20=$R40,$BC40,0)))))))))</f>
        <v>0</v>
      </c>
      <c r="AH172" s="226">
        <f>SUM(C172:AG172)</f>
        <v>0</v>
      </c>
      <c r="AI172" s="226"/>
      <c r="AJ172" s="174" t="s">
        <v>62</v>
      </c>
      <c r="AK172" s="133" t="s">
        <v>12</v>
      </c>
      <c r="AL172" s="133"/>
    </row>
    <row r="173" spans="1:38" ht="15.95" hidden="1" customHeight="1" x14ac:dyDescent="0.25">
      <c r="A173" s="153" t="s">
        <v>48</v>
      </c>
      <c r="B173" s="149" t="s">
        <v>63</v>
      </c>
      <c r="C173" s="141">
        <f>IF(C46=1,IF(C168&lt;C169,C172,0))</f>
        <v>0</v>
      </c>
      <c r="D173" s="141">
        <f t="shared" ref="D173:AG173" si="177">IF(D46=1,IF(D168&lt;D169,D172,0))</f>
        <v>0</v>
      </c>
      <c r="E173" s="141" t="b">
        <f t="shared" si="177"/>
        <v>0</v>
      </c>
      <c r="F173" s="141" t="b">
        <f t="shared" si="177"/>
        <v>0</v>
      </c>
      <c r="G173" s="141" t="b">
        <f t="shared" si="177"/>
        <v>0</v>
      </c>
      <c r="H173" s="141" t="b">
        <f t="shared" si="177"/>
        <v>0</v>
      </c>
      <c r="I173" s="141" t="b">
        <f t="shared" si="177"/>
        <v>0</v>
      </c>
      <c r="J173" s="141">
        <f t="shared" si="177"/>
        <v>0</v>
      </c>
      <c r="K173" s="141">
        <f t="shared" si="177"/>
        <v>0</v>
      </c>
      <c r="L173" s="141" t="b">
        <f t="shared" si="177"/>
        <v>0</v>
      </c>
      <c r="M173" s="141" t="b">
        <f t="shared" si="177"/>
        <v>0</v>
      </c>
      <c r="N173" s="141" t="b">
        <f t="shared" si="177"/>
        <v>0</v>
      </c>
      <c r="O173" s="141" t="b">
        <f t="shared" si="177"/>
        <v>0</v>
      </c>
      <c r="P173" s="141" t="b">
        <f t="shared" si="177"/>
        <v>0</v>
      </c>
      <c r="Q173" s="141">
        <f t="shared" si="177"/>
        <v>0</v>
      </c>
      <c r="R173" s="141">
        <f t="shared" si="177"/>
        <v>0</v>
      </c>
      <c r="S173" s="141" t="b">
        <f t="shared" si="177"/>
        <v>0</v>
      </c>
      <c r="T173" s="141" t="b">
        <f t="shared" si="177"/>
        <v>0</v>
      </c>
      <c r="U173" s="141" t="b">
        <f t="shared" si="177"/>
        <v>0</v>
      </c>
      <c r="V173" s="141" t="b">
        <f t="shared" si="177"/>
        <v>0</v>
      </c>
      <c r="W173" s="141" t="b">
        <f t="shared" si="177"/>
        <v>0</v>
      </c>
      <c r="X173" s="141">
        <f t="shared" si="177"/>
        <v>0</v>
      </c>
      <c r="Y173" s="141">
        <f t="shared" si="177"/>
        <v>0</v>
      </c>
      <c r="Z173" s="141" t="b">
        <f t="shared" si="177"/>
        <v>0</v>
      </c>
      <c r="AA173" s="141" t="b">
        <f t="shared" si="177"/>
        <v>0</v>
      </c>
      <c r="AB173" s="141" t="b">
        <f t="shared" si="177"/>
        <v>0</v>
      </c>
      <c r="AC173" s="141" t="b">
        <f t="shared" si="177"/>
        <v>0</v>
      </c>
      <c r="AD173" s="141" t="b">
        <f t="shared" si="177"/>
        <v>0</v>
      </c>
      <c r="AE173" s="141">
        <f t="shared" si="177"/>
        <v>0</v>
      </c>
      <c r="AF173" s="141">
        <f t="shared" si="177"/>
        <v>0</v>
      </c>
      <c r="AG173" s="141" t="b">
        <f t="shared" si="177"/>
        <v>0</v>
      </c>
      <c r="AH173" s="154" t="s">
        <v>12</v>
      </c>
      <c r="AI173" s="133"/>
      <c r="AJ173" s="170"/>
      <c r="AK173" s="133"/>
      <c r="AL173" s="133"/>
    </row>
    <row r="174" spans="1:38" ht="15.95" hidden="1" customHeight="1" x14ac:dyDescent="0.25">
      <c r="A174" s="176"/>
      <c r="B174" s="149" t="s">
        <v>64</v>
      </c>
      <c r="C174" s="141">
        <f>IF(C46=1,IF(C168&gt;C169,24-C168,0),0)</f>
        <v>0</v>
      </c>
      <c r="D174" s="141">
        <f t="shared" ref="D174:AG174" si="178">IF(D46=1,IF(D168&gt;D169,24-D168,0),0)</f>
        <v>0</v>
      </c>
      <c r="E174" s="141">
        <f t="shared" si="178"/>
        <v>0</v>
      </c>
      <c r="F174" s="141">
        <f t="shared" si="178"/>
        <v>0</v>
      </c>
      <c r="G174" s="141">
        <f t="shared" si="178"/>
        <v>0</v>
      </c>
      <c r="H174" s="141">
        <f t="shared" si="178"/>
        <v>0</v>
      </c>
      <c r="I174" s="141">
        <f t="shared" si="178"/>
        <v>0</v>
      </c>
      <c r="J174" s="141">
        <f t="shared" si="178"/>
        <v>0</v>
      </c>
      <c r="K174" s="141">
        <f t="shared" si="178"/>
        <v>0</v>
      </c>
      <c r="L174" s="141">
        <f t="shared" si="178"/>
        <v>0</v>
      </c>
      <c r="M174" s="141">
        <f t="shared" si="178"/>
        <v>0</v>
      </c>
      <c r="N174" s="141">
        <f t="shared" si="178"/>
        <v>0</v>
      </c>
      <c r="O174" s="141">
        <f t="shared" si="178"/>
        <v>0</v>
      </c>
      <c r="P174" s="141">
        <f t="shared" si="178"/>
        <v>0</v>
      </c>
      <c r="Q174" s="141">
        <f t="shared" si="178"/>
        <v>0</v>
      </c>
      <c r="R174" s="141">
        <f t="shared" si="178"/>
        <v>0</v>
      </c>
      <c r="S174" s="141">
        <f t="shared" si="178"/>
        <v>0</v>
      </c>
      <c r="T174" s="141">
        <f t="shared" si="178"/>
        <v>0</v>
      </c>
      <c r="U174" s="141">
        <f t="shared" si="178"/>
        <v>0</v>
      </c>
      <c r="V174" s="141">
        <f t="shared" si="178"/>
        <v>0</v>
      </c>
      <c r="W174" s="141">
        <f t="shared" si="178"/>
        <v>0</v>
      </c>
      <c r="X174" s="141">
        <f t="shared" si="178"/>
        <v>0</v>
      </c>
      <c r="Y174" s="141">
        <f t="shared" si="178"/>
        <v>0</v>
      </c>
      <c r="Z174" s="141">
        <f t="shared" si="178"/>
        <v>0</v>
      </c>
      <c r="AA174" s="141">
        <f t="shared" si="178"/>
        <v>0</v>
      </c>
      <c r="AB174" s="141">
        <f t="shared" si="178"/>
        <v>0</v>
      </c>
      <c r="AC174" s="141">
        <f t="shared" si="178"/>
        <v>0</v>
      </c>
      <c r="AD174" s="141">
        <f t="shared" si="178"/>
        <v>0</v>
      </c>
      <c r="AE174" s="141">
        <f t="shared" si="178"/>
        <v>0</v>
      </c>
      <c r="AF174" s="141">
        <f t="shared" si="178"/>
        <v>0</v>
      </c>
      <c r="AG174" s="141">
        <f t="shared" si="178"/>
        <v>0</v>
      </c>
      <c r="AH174" s="154" t="s">
        <v>12</v>
      </c>
      <c r="AI174" s="133"/>
      <c r="AJ174" s="170"/>
      <c r="AK174" s="133"/>
      <c r="AL174" s="133"/>
    </row>
    <row r="175" spans="1:38" ht="15.95" hidden="1" customHeight="1" x14ac:dyDescent="0.25">
      <c r="A175" s="176"/>
      <c r="B175" s="149" t="s">
        <v>65</v>
      </c>
      <c r="C175" s="141">
        <f>IF(C46=1,IF(C168&gt;C169,C169,0),0)</f>
        <v>0</v>
      </c>
      <c r="D175" s="141">
        <f t="shared" ref="D175:AG175" si="179">IF(D46=1,IF(D168&gt;D169,D169,0),0)</f>
        <v>0</v>
      </c>
      <c r="E175" s="141">
        <f t="shared" si="179"/>
        <v>0</v>
      </c>
      <c r="F175" s="141">
        <f t="shared" si="179"/>
        <v>0</v>
      </c>
      <c r="G175" s="141">
        <f t="shared" si="179"/>
        <v>0</v>
      </c>
      <c r="H175" s="141">
        <f t="shared" si="179"/>
        <v>0</v>
      </c>
      <c r="I175" s="141">
        <f t="shared" si="179"/>
        <v>0</v>
      </c>
      <c r="J175" s="141">
        <f t="shared" si="179"/>
        <v>0</v>
      </c>
      <c r="K175" s="141">
        <f t="shared" si="179"/>
        <v>0</v>
      </c>
      <c r="L175" s="141">
        <f t="shared" si="179"/>
        <v>0</v>
      </c>
      <c r="M175" s="141">
        <f t="shared" si="179"/>
        <v>0</v>
      </c>
      <c r="N175" s="141">
        <f t="shared" si="179"/>
        <v>0</v>
      </c>
      <c r="O175" s="141">
        <f t="shared" si="179"/>
        <v>0</v>
      </c>
      <c r="P175" s="141">
        <f t="shared" si="179"/>
        <v>0</v>
      </c>
      <c r="Q175" s="141">
        <f t="shared" si="179"/>
        <v>0</v>
      </c>
      <c r="R175" s="141">
        <f t="shared" si="179"/>
        <v>0</v>
      </c>
      <c r="S175" s="141">
        <f t="shared" si="179"/>
        <v>0</v>
      </c>
      <c r="T175" s="141">
        <f t="shared" si="179"/>
        <v>0</v>
      </c>
      <c r="U175" s="141">
        <f t="shared" si="179"/>
        <v>0</v>
      </c>
      <c r="V175" s="141">
        <f t="shared" si="179"/>
        <v>0</v>
      </c>
      <c r="W175" s="141">
        <f t="shared" si="179"/>
        <v>0</v>
      </c>
      <c r="X175" s="141">
        <f t="shared" si="179"/>
        <v>0</v>
      </c>
      <c r="Y175" s="141">
        <f t="shared" si="179"/>
        <v>0</v>
      </c>
      <c r="Z175" s="141">
        <f t="shared" si="179"/>
        <v>0</v>
      </c>
      <c r="AA175" s="141">
        <f t="shared" si="179"/>
        <v>0</v>
      </c>
      <c r="AB175" s="141">
        <f t="shared" si="179"/>
        <v>0</v>
      </c>
      <c r="AC175" s="141">
        <f t="shared" si="179"/>
        <v>0</v>
      </c>
      <c r="AD175" s="141">
        <f t="shared" si="179"/>
        <v>0</v>
      </c>
      <c r="AE175" s="141">
        <f t="shared" si="179"/>
        <v>0</v>
      </c>
      <c r="AF175" s="141">
        <f t="shared" si="179"/>
        <v>0</v>
      </c>
      <c r="AG175" s="141">
        <f t="shared" si="179"/>
        <v>0</v>
      </c>
      <c r="AH175" s="154" t="s">
        <v>12</v>
      </c>
      <c r="AI175" s="133"/>
      <c r="AJ175" s="170"/>
      <c r="AK175" s="133"/>
      <c r="AL175" s="133"/>
    </row>
    <row r="176" spans="1:38" ht="15.95" hidden="1" customHeight="1" x14ac:dyDescent="0.25">
      <c r="A176" s="176"/>
      <c r="B176" s="149" t="s">
        <v>67</v>
      </c>
      <c r="C176" s="171">
        <f>SUM(C173:C175)</f>
        <v>0</v>
      </c>
      <c r="D176" s="171">
        <f t="shared" ref="D176:AG176" si="180">SUM(D173:D175)</f>
        <v>0</v>
      </c>
      <c r="E176" s="171">
        <f t="shared" si="180"/>
        <v>0</v>
      </c>
      <c r="F176" s="171">
        <f t="shared" si="180"/>
        <v>0</v>
      </c>
      <c r="G176" s="171">
        <f t="shared" si="180"/>
        <v>0</v>
      </c>
      <c r="H176" s="171">
        <f t="shared" si="180"/>
        <v>0</v>
      </c>
      <c r="I176" s="171">
        <f t="shared" si="180"/>
        <v>0</v>
      </c>
      <c r="J176" s="171">
        <f t="shared" si="180"/>
        <v>0</v>
      </c>
      <c r="K176" s="171">
        <f t="shared" si="180"/>
        <v>0</v>
      </c>
      <c r="L176" s="171">
        <f t="shared" si="180"/>
        <v>0</v>
      </c>
      <c r="M176" s="171">
        <f t="shared" si="180"/>
        <v>0</v>
      </c>
      <c r="N176" s="171">
        <f t="shared" si="180"/>
        <v>0</v>
      </c>
      <c r="O176" s="171">
        <f t="shared" si="180"/>
        <v>0</v>
      </c>
      <c r="P176" s="171">
        <f t="shared" si="180"/>
        <v>0</v>
      </c>
      <c r="Q176" s="171">
        <f t="shared" si="180"/>
        <v>0</v>
      </c>
      <c r="R176" s="171">
        <f t="shared" si="180"/>
        <v>0</v>
      </c>
      <c r="S176" s="171">
        <f t="shared" si="180"/>
        <v>0</v>
      </c>
      <c r="T176" s="171">
        <f t="shared" si="180"/>
        <v>0</v>
      </c>
      <c r="U176" s="171">
        <f t="shared" si="180"/>
        <v>0</v>
      </c>
      <c r="V176" s="171">
        <f t="shared" si="180"/>
        <v>0</v>
      </c>
      <c r="W176" s="171">
        <f t="shared" si="180"/>
        <v>0</v>
      </c>
      <c r="X176" s="171">
        <f t="shared" si="180"/>
        <v>0</v>
      </c>
      <c r="Y176" s="171">
        <f t="shared" si="180"/>
        <v>0</v>
      </c>
      <c r="Z176" s="171">
        <f t="shared" si="180"/>
        <v>0</v>
      </c>
      <c r="AA176" s="171">
        <f t="shared" si="180"/>
        <v>0</v>
      </c>
      <c r="AB176" s="171">
        <f t="shared" si="180"/>
        <v>0</v>
      </c>
      <c r="AC176" s="171">
        <f t="shared" si="180"/>
        <v>0</v>
      </c>
      <c r="AD176" s="171">
        <f t="shared" si="180"/>
        <v>0</v>
      </c>
      <c r="AE176" s="171">
        <f t="shared" si="180"/>
        <v>0</v>
      </c>
      <c r="AF176" s="171">
        <f t="shared" si="180"/>
        <v>0</v>
      </c>
      <c r="AG176" s="171">
        <f t="shared" si="180"/>
        <v>0</v>
      </c>
      <c r="AH176" s="154" t="s">
        <v>12</v>
      </c>
      <c r="AI176" s="133"/>
      <c r="AJ176" s="170"/>
      <c r="AK176" s="133"/>
      <c r="AL176" s="133"/>
    </row>
    <row r="177" spans="1:38" ht="15.95" hidden="1" customHeight="1" x14ac:dyDescent="0.25">
      <c r="A177" s="177"/>
      <c r="B177" s="160" t="s">
        <v>68</v>
      </c>
      <c r="C177" s="161">
        <f>IF(C20="V",IF(C20="",0,1),0)</f>
        <v>0</v>
      </c>
      <c r="D177" s="161">
        <f t="shared" ref="D177:AG177" si="181">IF(D20="V",IF(D20="",0,1),0)</f>
        <v>0</v>
      </c>
      <c r="E177" s="161">
        <f t="shared" si="181"/>
        <v>0</v>
      </c>
      <c r="F177" s="161">
        <f t="shared" si="181"/>
        <v>0</v>
      </c>
      <c r="G177" s="161">
        <f t="shared" si="181"/>
        <v>0</v>
      </c>
      <c r="H177" s="161">
        <f t="shared" si="181"/>
        <v>0</v>
      </c>
      <c r="I177" s="161">
        <f t="shared" si="181"/>
        <v>0</v>
      </c>
      <c r="J177" s="161">
        <f t="shared" si="181"/>
        <v>0</v>
      </c>
      <c r="K177" s="161">
        <f t="shared" si="181"/>
        <v>0</v>
      </c>
      <c r="L177" s="161">
        <f t="shared" si="181"/>
        <v>0</v>
      </c>
      <c r="M177" s="161">
        <f t="shared" si="181"/>
        <v>0</v>
      </c>
      <c r="N177" s="161">
        <f t="shared" si="181"/>
        <v>0</v>
      </c>
      <c r="O177" s="161">
        <f t="shared" si="181"/>
        <v>0</v>
      </c>
      <c r="P177" s="161">
        <f t="shared" si="181"/>
        <v>0</v>
      </c>
      <c r="Q177" s="161">
        <f t="shared" si="181"/>
        <v>0</v>
      </c>
      <c r="R177" s="161">
        <f t="shared" si="181"/>
        <v>0</v>
      </c>
      <c r="S177" s="161">
        <f t="shared" si="181"/>
        <v>0</v>
      </c>
      <c r="T177" s="161">
        <f t="shared" si="181"/>
        <v>0</v>
      </c>
      <c r="U177" s="161">
        <f t="shared" si="181"/>
        <v>0</v>
      </c>
      <c r="V177" s="161">
        <f t="shared" si="181"/>
        <v>0</v>
      </c>
      <c r="W177" s="161">
        <f t="shared" si="181"/>
        <v>0</v>
      </c>
      <c r="X177" s="161">
        <f t="shared" si="181"/>
        <v>0</v>
      </c>
      <c r="Y177" s="161">
        <f t="shared" si="181"/>
        <v>0</v>
      </c>
      <c r="Z177" s="161">
        <f t="shared" si="181"/>
        <v>0</v>
      </c>
      <c r="AA177" s="161">
        <f t="shared" si="181"/>
        <v>0</v>
      </c>
      <c r="AB177" s="161">
        <f t="shared" si="181"/>
        <v>0</v>
      </c>
      <c r="AC177" s="161">
        <f t="shared" si="181"/>
        <v>0</v>
      </c>
      <c r="AD177" s="161">
        <f t="shared" si="181"/>
        <v>0</v>
      </c>
      <c r="AE177" s="161">
        <f t="shared" si="181"/>
        <v>0</v>
      </c>
      <c r="AF177" s="161">
        <f t="shared" si="181"/>
        <v>0</v>
      </c>
      <c r="AG177" s="161">
        <f t="shared" si="181"/>
        <v>0</v>
      </c>
      <c r="AH177" s="154" t="s">
        <v>12</v>
      </c>
      <c r="AI177" s="133"/>
      <c r="AJ177" s="170"/>
      <c r="AK177" s="133"/>
      <c r="AL177" s="133"/>
    </row>
    <row r="178" spans="1:38" ht="15.95" hidden="1" customHeight="1" x14ac:dyDescent="0.25">
      <c r="A178" s="180"/>
      <c r="B178" s="181" t="s">
        <v>16</v>
      </c>
      <c r="C178" s="182">
        <f>IF(C20="PR",IF(C20="",0,1),0)</f>
        <v>0</v>
      </c>
      <c r="D178" s="182">
        <f t="shared" ref="D178:AG178" si="182">IF(D20="PR",IF(D20="",0,1),0)</f>
        <v>0</v>
      </c>
      <c r="E178" s="182">
        <f t="shared" si="182"/>
        <v>0</v>
      </c>
      <c r="F178" s="182">
        <f t="shared" si="182"/>
        <v>0</v>
      </c>
      <c r="G178" s="182">
        <f t="shared" si="182"/>
        <v>0</v>
      </c>
      <c r="H178" s="182">
        <f t="shared" si="182"/>
        <v>0</v>
      </c>
      <c r="I178" s="182">
        <f t="shared" si="182"/>
        <v>0</v>
      </c>
      <c r="J178" s="182">
        <f t="shared" si="182"/>
        <v>0</v>
      </c>
      <c r="K178" s="182">
        <f t="shared" si="182"/>
        <v>0</v>
      </c>
      <c r="L178" s="182">
        <f t="shared" si="182"/>
        <v>0</v>
      </c>
      <c r="M178" s="182">
        <f t="shared" si="182"/>
        <v>0</v>
      </c>
      <c r="N178" s="182">
        <f t="shared" si="182"/>
        <v>0</v>
      </c>
      <c r="O178" s="182">
        <f t="shared" si="182"/>
        <v>0</v>
      </c>
      <c r="P178" s="182">
        <f t="shared" si="182"/>
        <v>0</v>
      </c>
      <c r="Q178" s="182">
        <f t="shared" si="182"/>
        <v>0</v>
      </c>
      <c r="R178" s="182">
        <f t="shared" si="182"/>
        <v>0</v>
      </c>
      <c r="S178" s="182">
        <f t="shared" si="182"/>
        <v>0</v>
      </c>
      <c r="T178" s="182">
        <f t="shared" si="182"/>
        <v>0</v>
      </c>
      <c r="U178" s="182">
        <f t="shared" si="182"/>
        <v>0</v>
      </c>
      <c r="V178" s="182">
        <f t="shared" si="182"/>
        <v>0</v>
      </c>
      <c r="W178" s="182">
        <f t="shared" si="182"/>
        <v>0</v>
      </c>
      <c r="X178" s="182">
        <f t="shared" si="182"/>
        <v>0</v>
      </c>
      <c r="Y178" s="182">
        <f t="shared" si="182"/>
        <v>0</v>
      </c>
      <c r="Z178" s="182">
        <f t="shared" si="182"/>
        <v>0</v>
      </c>
      <c r="AA178" s="182">
        <f t="shared" si="182"/>
        <v>0</v>
      </c>
      <c r="AB178" s="182">
        <f t="shared" si="182"/>
        <v>0</v>
      </c>
      <c r="AC178" s="182">
        <f t="shared" si="182"/>
        <v>0</v>
      </c>
      <c r="AD178" s="182">
        <f t="shared" si="182"/>
        <v>0</v>
      </c>
      <c r="AE178" s="182">
        <f t="shared" si="182"/>
        <v>0</v>
      </c>
      <c r="AF178" s="182">
        <f t="shared" si="182"/>
        <v>0</v>
      </c>
      <c r="AG178" s="182">
        <f t="shared" si="182"/>
        <v>0</v>
      </c>
      <c r="AH178" s="227">
        <f>SUM(C178:AG178)</f>
        <v>0</v>
      </c>
      <c r="AI178" s="227"/>
      <c r="AJ178" s="174" t="s">
        <v>69</v>
      </c>
      <c r="AK178" s="133"/>
      <c r="AL178" s="133"/>
    </row>
    <row r="179" spans="1:38" ht="15.95" hidden="1" customHeight="1" x14ac:dyDescent="0.25">
      <c r="A179" s="116"/>
      <c r="B179" s="184"/>
      <c r="C179" s="185"/>
      <c r="D179" s="185"/>
      <c r="E179" s="185"/>
      <c r="F179" s="185"/>
      <c r="G179" s="186"/>
      <c r="H179" s="185"/>
      <c r="I179" s="185"/>
      <c r="J179" s="185"/>
      <c r="K179" s="185"/>
      <c r="L179" s="185"/>
      <c r="M179" s="185"/>
      <c r="N179" s="186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185"/>
      <c r="AF179" s="185"/>
      <c r="AG179" s="185"/>
      <c r="AH179" s="133"/>
      <c r="AI179" s="133"/>
      <c r="AJ179" s="133"/>
      <c r="AK179" s="133"/>
      <c r="AL179" s="133"/>
    </row>
    <row r="180" spans="1:38" ht="15.95" hidden="1" customHeight="1" x14ac:dyDescent="0.25">
      <c r="A180" s="116"/>
      <c r="B180" s="184"/>
      <c r="C180" s="185"/>
      <c r="D180" s="185"/>
      <c r="E180" s="185"/>
      <c r="F180" s="185"/>
      <c r="G180" s="186"/>
      <c r="H180" s="185"/>
      <c r="I180" s="185"/>
      <c r="J180" s="185"/>
      <c r="K180" s="185"/>
      <c r="L180" s="185"/>
      <c r="M180" s="185"/>
      <c r="N180" s="186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185"/>
      <c r="AF180" s="185"/>
      <c r="AG180" s="185"/>
      <c r="AH180" s="116"/>
      <c r="AI180" s="116"/>
      <c r="AJ180" s="116"/>
      <c r="AK180" s="116"/>
      <c r="AL180" s="116"/>
    </row>
    <row r="181" spans="1:38" ht="15.95" hidden="1" customHeight="1" x14ac:dyDescent="0.25">
      <c r="A181" s="116"/>
      <c r="B181" s="184"/>
      <c r="C181" s="185"/>
      <c r="D181" s="185"/>
      <c r="E181" s="185"/>
      <c r="F181" s="185"/>
      <c r="G181" s="186"/>
      <c r="H181" s="185"/>
      <c r="I181" s="185"/>
      <c r="J181" s="185"/>
      <c r="K181" s="185"/>
      <c r="L181" s="185"/>
      <c r="M181" s="185"/>
      <c r="N181" s="186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/>
      <c r="AH181" s="116"/>
      <c r="AI181" s="116"/>
      <c r="AJ181" s="116"/>
      <c r="AK181" s="116"/>
      <c r="AL181" s="116"/>
    </row>
    <row r="182" spans="1:38" ht="15.95" hidden="1" customHeight="1" x14ac:dyDescent="0.25">
      <c r="A182" s="116"/>
      <c r="B182" s="126"/>
      <c r="C182" s="116"/>
      <c r="D182" s="116"/>
      <c r="E182" s="116"/>
      <c r="F182" s="116"/>
      <c r="G182" s="114"/>
      <c r="H182" s="116"/>
      <c r="I182" s="116"/>
      <c r="J182" s="116"/>
      <c r="K182" s="116"/>
      <c r="L182" s="116"/>
      <c r="M182" s="116"/>
      <c r="N182" s="114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  <c r="AH182" s="116"/>
      <c r="AI182" s="116"/>
      <c r="AJ182" s="116"/>
      <c r="AK182" s="116"/>
      <c r="AL182" s="116"/>
    </row>
    <row r="183" spans="1:38" ht="15.95" hidden="1" customHeight="1" x14ac:dyDescent="0.25">
      <c r="A183" s="116"/>
      <c r="B183" s="126"/>
      <c r="C183" s="116"/>
      <c r="D183" s="116"/>
      <c r="E183" s="116"/>
      <c r="F183" s="116"/>
      <c r="G183" s="114"/>
      <c r="H183" s="116"/>
      <c r="I183" s="116"/>
      <c r="J183" s="116"/>
      <c r="K183" s="116"/>
      <c r="L183" s="116"/>
      <c r="M183" s="116"/>
      <c r="N183" s="114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  <c r="AI183" s="116"/>
      <c r="AJ183" s="116"/>
      <c r="AK183" s="116"/>
      <c r="AL183" s="116"/>
    </row>
    <row r="184" spans="1:38" ht="15.95" hidden="1" customHeight="1" x14ac:dyDescent="0.25">
      <c r="A184" s="116"/>
      <c r="B184" s="126"/>
      <c r="C184" s="116"/>
      <c r="D184" s="116"/>
      <c r="E184" s="116"/>
      <c r="F184" s="116"/>
      <c r="G184" s="114"/>
      <c r="H184" s="116"/>
      <c r="I184" s="116"/>
      <c r="J184" s="116"/>
      <c r="K184" s="116"/>
      <c r="L184" s="116"/>
      <c r="M184" s="116"/>
      <c r="N184" s="114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  <c r="AI184" s="116"/>
      <c r="AJ184" s="116"/>
      <c r="AK184" s="116"/>
      <c r="AL184" s="116"/>
    </row>
    <row r="185" spans="1:38" ht="15.95" hidden="1" customHeight="1" x14ac:dyDescent="0.25">
      <c r="A185" s="116"/>
      <c r="B185" s="116"/>
      <c r="C185" s="116"/>
      <c r="D185" s="116"/>
      <c r="E185" s="116"/>
      <c r="F185" s="116"/>
      <c r="G185" s="114"/>
      <c r="H185" s="116"/>
      <c r="I185" s="116"/>
      <c r="J185" s="116"/>
      <c r="K185" s="116"/>
      <c r="L185" s="116"/>
      <c r="M185" s="116"/>
      <c r="N185" s="114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  <c r="AI185" s="116"/>
      <c r="AJ185" s="116"/>
      <c r="AK185" s="116"/>
      <c r="AL185" s="116"/>
    </row>
    <row r="186" spans="1:38" ht="15.95" hidden="1" customHeight="1" x14ac:dyDescent="0.25">
      <c r="A186" s="116"/>
      <c r="B186" s="116"/>
      <c r="C186" s="228" t="s">
        <v>89</v>
      </c>
      <c r="D186" s="228"/>
      <c r="E186" s="228"/>
      <c r="F186" s="228"/>
      <c r="G186" s="228"/>
      <c r="H186" s="228"/>
      <c r="I186" s="228"/>
      <c r="J186" s="228"/>
      <c r="K186" s="228"/>
      <c r="L186" s="228"/>
      <c r="M186" s="116"/>
      <c r="N186" s="114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  <c r="AH186" s="116"/>
      <c r="AI186" s="116"/>
      <c r="AJ186" s="116"/>
      <c r="AK186" s="116"/>
      <c r="AL186" s="116"/>
    </row>
    <row r="187" spans="1:38" ht="15.95" hidden="1" customHeight="1" x14ac:dyDescent="0.25">
      <c r="A187" s="180"/>
      <c r="B187" s="181" t="s">
        <v>90</v>
      </c>
      <c r="C187" s="187">
        <f t="shared" ref="C187:AG187" si="183">IF(C49&gt;=4,IF(C49="",0,8),IF(C49&gt;=0.1,IF(C49="",0,C49),""))</f>
        <v>0</v>
      </c>
      <c r="D187" s="187">
        <f t="shared" si="183"/>
        <v>0</v>
      </c>
      <c r="E187" s="187">
        <f t="shared" si="183"/>
        <v>0</v>
      </c>
      <c r="F187" s="187">
        <f t="shared" si="183"/>
        <v>0</v>
      </c>
      <c r="G187" s="187">
        <f t="shared" si="183"/>
        <v>0</v>
      </c>
      <c r="H187" s="187">
        <f t="shared" si="183"/>
        <v>0</v>
      </c>
      <c r="I187" s="187">
        <f t="shared" si="183"/>
        <v>0</v>
      </c>
      <c r="J187" s="187">
        <f t="shared" si="183"/>
        <v>0</v>
      </c>
      <c r="K187" s="187">
        <f t="shared" si="183"/>
        <v>0</v>
      </c>
      <c r="L187" s="187">
        <f t="shared" si="183"/>
        <v>0</v>
      </c>
      <c r="M187" s="187">
        <f t="shared" si="183"/>
        <v>0</v>
      </c>
      <c r="N187" s="187">
        <f t="shared" si="183"/>
        <v>0</v>
      </c>
      <c r="O187" s="187">
        <f t="shared" si="183"/>
        <v>0</v>
      </c>
      <c r="P187" s="187">
        <f t="shared" si="183"/>
        <v>0</v>
      </c>
      <c r="Q187" s="187">
        <f t="shared" si="183"/>
        <v>0</v>
      </c>
      <c r="R187" s="187">
        <f t="shared" si="183"/>
        <v>0</v>
      </c>
      <c r="S187" s="187">
        <f t="shared" si="183"/>
        <v>0</v>
      </c>
      <c r="T187" s="187">
        <f t="shared" si="183"/>
        <v>0</v>
      </c>
      <c r="U187" s="187">
        <f t="shared" si="183"/>
        <v>0</v>
      </c>
      <c r="V187" s="187">
        <f t="shared" si="183"/>
        <v>0</v>
      </c>
      <c r="W187" s="187">
        <f t="shared" si="183"/>
        <v>0</v>
      </c>
      <c r="X187" s="187">
        <f t="shared" si="183"/>
        <v>0</v>
      </c>
      <c r="Y187" s="187">
        <f t="shared" si="183"/>
        <v>0</v>
      </c>
      <c r="Z187" s="187">
        <f t="shared" si="183"/>
        <v>0</v>
      </c>
      <c r="AA187" s="187">
        <f t="shared" si="183"/>
        <v>0</v>
      </c>
      <c r="AB187" s="187">
        <f t="shared" si="183"/>
        <v>0</v>
      </c>
      <c r="AC187" s="187">
        <f t="shared" si="183"/>
        <v>0</v>
      </c>
      <c r="AD187" s="187">
        <f t="shared" si="183"/>
        <v>0</v>
      </c>
      <c r="AE187" s="187">
        <f t="shared" si="183"/>
        <v>0</v>
      </c>
      <c r="AF187" s="187">
        <f t="shared" si="183"/>
        <v>0</v>
      </c>
      <c r="AG187" s="187">
        <f t="shared" si="183"/>
        <v>0</v>
      </c>
      <c r="AH187" s="188">
        <f t="shared" ref="AH187" si="184">SUM(C187:AG187)</f>
        <v>0</v>
      </c>
      <c r="AI187" s="116" t="s">
        <v>91</v>
      </c>
      <c r="AJ187" s="116"/>
      <c r="AK187" s="116"/>
      <c r="AL187" s="116"/>
    </row>
    <row r="188" spans="1:38" ht="15.95" hidden="1" customHeight="1" x14ac:dyDescent="0.25">
      <c r="A188" s="116"/>
      <c r="B188" s="181" t="s">
        <v>92</v>
      </c>
      <c r="C188" s="189">
        <v>1</v>
      </c>
      <c r="D188" s="189">
        <v>2</v>
      </c>
      <c r="E188" s="189">
        <v>3</v>
      </c>
      <c r="F188" s="189">
        <v>4</v>
      </c>
      <c r="G188" s="189">
        <v>5</v>
      </c>
      <c r="H188" s="189">
        <v>6</v>
      </c>
      <c r="I188" s="189">
        <v>7</v>
      </c>
      <c r="J188" s="189">
        <v>8</v>
      </c>
      <c r="K188" s="189">
        <v>9</v>
      </c>
      <c r="L188" s="189">
        <v>10</v>
      </c>
      <c r="M188" s="189">
        <v>11</v>
      </c>
      <c r="N188" s="189">
        <v>12</v>
      </c>
      <c r="O188" s="189">
        <v>13</v>
      </c>
      <c r="P188" s="189">
        <v>14</v>
      </c>
      <c r="Q188" s="189">
        <v>15</v>
      </c>
      <c r="R188" s="189">
        <v>16</v>
      </c>
      <c r="S188" s="189">
        <v>17</v>
      </c>
      <c r="T188" s="189">
        <v>18</v>
      </c>
      <c r="U188" s="189">
        <v>19</v>
      </c>
      <c r="V188" s="189">
        <v>20</v>
      </c>
      <c r="W188" s="189">
        <v>21</v>
      </c>
      <c r="X188" s="189">
        <v>22</v>
      </c>
      <c r="Y188" s="189">
        <v>23</v>
      </c>
      <c r="Z188" s="189">
        <v>24</v>
      </c>
      <c r="AA188" s="189">
        <v>25</v>
      </c>
      <c r="AB188" s="189">
        <v>26</v>
      </c>
      <c r="AC188" s="189">
        <v>27</v>
      </c>
      <c r="AD188" s="189">
        <v>28</v>
      </c>
      <c r="AE188" s="189">
        <v>29</v>
      </c>
      <c r="AF188" s="189">
        <v>30</v>
      </c>
      <c r="AG188" s="189">
        <v>31</v>
      </c>
      <c r="AH188" s="116"/>
      <c r="AI188" s="116"/>
      <c r="AJ188" s="116"/>
      <c r="AK188" s="116"/>
      <c r="AL188" s="116"/>
    </row>
    <row r="189" spans="1:38" ht="15.95" hidden="1" customHeight="1" x14ac:dyDescent="0.25">
      <c r="A189" s="116"/>
      <c r="B189" s="116"/>
      <c r="C189" s="116"/>
      <c r="D189" s="116"/>
      <c r="E189" s="116"/>
      <c r="F189" s="116"/>
      <c r="G189" s="114"/>
      <c r="H189" s="116"/>
      <c r="I189" s="116"/>
      <c r="J189" s="116"/>
      <c r="K189" s="116"/>
      <c r="L189" s="116"/>
      <c r="M189" s="116"/>
      <c r="N189" s="114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  <c r="AH189" s="116"/>
      <c r="AI189" s="116"/>
      <c r="AJ189" s="116"/>
      <c r="AK189" s="116"/>
      <c r="AL189" s="116"/>
    </row>
    <row r="190" spans="1:38" ht="15.95" hidden="1" customHeight="1" x14ac:dyDescent="0.25">
      <c r="A190" s="116"/>
      <c r="B190" s="116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  <c r="AB190" s="221"/>
      <c r="AC190" s="221"/>
      <c r="AD190" s="221"/>
      <c r="AE190" s="221"/>
      <c r="AF190" s="221"/>
      <c r="AG190" s="221"/>
      <c r="AH190" s="116"/>
      <c r="AI190" s="116"/>
      <c r="AJ190" s="116"/>
      <c r="AK190" s="116"/>
      <c r="AL190" s="116"/>
    </row>
    <row r="191" spans="1:38" ht="15.95" hidden="1" customHeight="1" x14ac:dyDescent="0.25">
      <c r="A191" s="116"/>
      <c r="B191" s="181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  <c r="AA191" s="190"/>
      <c r="AB191" s="190"/>
      <c r="AC191" s="190"/>
      <c r="AD191" s="190"/>
      <c r="AE191" s="190"/>
      <c r="AF191" s="190"/>
      <c r="AG191" s="190"/>
      <c r="AH191" s="116"/>
      <c r="AI191" s="116"/>
      <c r="AJ191" s="116"/>
      <c r="AK191" s="116"/>
      <c r="AL191" s="116"/>
    </row>
    <row r="192" spans="1:38" ht="15.95" hidden="1" customHeight="1" x14ac:dyDescent="0.25">
      <c r="A192" s="116"/>
      <c r="B192" s="191"/>
      <c r="C192" s="192"/>
      <c r="D192" s="192"/>
      <c r="E192" s="192"/>
      <c r="F192" s="192"/>
      <c r="G192" s="193"/>
      <c r="H192" s="192"/>
      <c r="I192" s="192"/>
      <c r="J192" s="192"/>
      <c r="K192" s="192"/>
      <c r="L192" s="192"/>
      <c r="M192" s="192"/>
      <c r="N192" s="193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  <c r="AA192" s="192"/>
      <c r="AB192" s="192"/>
      <c r="AC192" s="192"/>
      <c r="AD192" s="192"/>
      <c r="AE192" s="192"/>
      <c r="AF192" s="192"/>
      <c r="AG192" s="192"/>
      <c r="AH192" s="116"/>
      <c r="AI192" s="116"/>
      <c r="AJ192" s="116"/>
      <c r="AK192" s="116"/>
      <c r="AL192" s="116"/>
    </row>
    <row r="193" spans="1:38" ht="15.95" hidden="1" customHeight="1" x14ac:dyDescent="0.25">
      <c r="A193" s="116"/>
      <c r="B193" s="116"/>
      <c r="C193" s="116"/>
      <c r="D193" s="116"/>
      <c r="E193" s="116"/>
      <c r="F193" s="116"/>
      <c r="G193" s="114"/>
      <c r="H193" s="116"/>
      <c r="I193" s="116"/>
      <c r="J193" s="116"/>
      <c r="K193" s="116"/>
      <c r="L193" s="116"/>
      <c r="M193" s="116"/>
      <c r="N193" s="114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  <c r="AH193" s="116"/>
      <c r="AI193" s="116"/>
      <c r="AJ193" s="116"/>
      <c r="AK193" s="116"/>
      <c r="AL193" s="116"/>
    </row>
    <row r="194" spans="1:38" ht="15.95" hidden="1" customHeight="1" x14ac:dyDescent="0.25">
      <c r="A194" s="116"/>
      <c r="B194" s="116"/>
      <c r="C194" s="116"/>
      <c r="D194" s="116"/>
      <c r="E194" s="116"/>
      <c r="F194" s="116"/>
      <c r="G194" s="114"/>
      <c r="H194" s="116"/>
      <c r="I194" s="116"/>
      <c r="J194" s="116"/>
      <c r="K194" s="116"/>
      <c r="L194" s="116"/>
      <c r="M194" s="116"/>
      <c r="N194" s="114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  <c r="AK194" s="116"/>
      <c r="AL194" s="116"/>
    </row>
    <row r="195" spans="1:38" ht="15.95" hidden="1" customHeight="1" x14ac:dyDescent="0.25">
      <c r="A195" s="116"/>
      <c r="B195" s="116"/>
      <c r="C195" s="116"/>
      <c r="D195" s="116"/>
      <c r="E195" s="116"/>
      <c r="F195" s="116"/>
      <c r="G195" s="114"/>
      <c r="H195" s="116"/>
      <c r="I195" s="116"/>
      <c r="J195" s="116"/>
      <c r="K195" s="116"/>
      <c r="L195" s="116"/>
      <c r="M195" s="116"/>
      <c r="N195" s="114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  <c r="AJ195" s="116"/>
      <c r="AK195" s="116"/>
      <c r="AL195" s="116"/>
    </row>
    <row r="196" spans="1:38" ht="15.95" hidden="1" customHeight="1" x14ac:dyDescent="0.25">
      <c r="A196" s="116"/>
      <c r="B196" s="116"/>
      <c r="C196" s="116"/>
      <c r="D196" s="116"/>
      <c r="E196" s="116"/>
      <c r="F196" s="116"/>
      <c r="G196" s="114"/>
      <c r="H196" s="116"/>
      <c r="I196" s="116"/>
      <c r="J196" s="116"/>
      <c r="K196" s="116"/>
      <c r="L196" s="116"/>
      <c r="M196" s="116"/>
      <c r="N196" s="114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  <c r="AJ196" s="116"/>
      <c r="AK196" s="116"/>
      <c r="AL196" s="116"/>
    </row>
    <row r="197" spans="1:38" ht="15.95" hidden="1" customHeight="1" x14ac:dyDescent="0.25">
      <c r="A197" s="116"/>
      <c r="B197" s="116"/>
      <c r="C197" s="116"/>
      <c r="D197" s="116"/>
      <c r="E197" s="116"/>
      <c r="F197" s="116"/>
      <c r="G197" s="114"/>
      <c r="H197" s="116"/>
      <c r="I197" s="116"/>
      <c r="J197" s="116"/>
      <c r="K197" s="116"/>
      <c r="L197" s="116"/>
      <c r="M197" s="116"/>
      <c r="N197" s="114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  <c r="AI197" s="116"/>
      <c r="AJ197" s="116"/>
      <c r="AK197" s="116"/>
      <c r="AL197" s="116"/>
    </row>
    <row r="198" spans="1:38" ht="15.95" hidden="1" customHeight="1" x14ac:dyDescent="0.25">
      <c r="A198" s="116"/>
      <c r="B198" s="116"/>
      <c r="C198" s="116"/>
      <c r="D198" s="116"/>
      <c r="E198" s="116"/>
      <c r="F198" s="116"/>
      <c r="G198" s="114"/>
      <c r="H198" s="116"/>
      <c r="I198" s="116"/>
      <c r="J198" s="116"/>
      <c r="K198" s="116"/>
      <c r="L198" s="116"/>
      <c r="M198" s="116"/>
      <c r="N198" s="114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  <c r="AL198" s="116"/>
    </row>
    <row r="199" spans="1:38" ht="15.95" hidden="1" customHeight="1" x14ac:dyDescent="0.25">
      <c r="A199" s="116"/>
      <c r="B199" s="116"/>
      <c r="C199" s="116"/>
      <c r="D199" s="116"/>
      <c r="E199" s="116"/>
      <c r="F199" s="116"/>
      <c r="G199" s="114"/>
      <c r="H199" s="116"/>
      <c r="I199" s="116"/>
      <c r="J199" s="116"/>
      <c r="K199" s="116"/>
      <c r="L199" s="116"/>
      <c r="M199" s="116"/>
      <c r="N199" s="114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  <c r="AJ199" s="116"/>
      <c r="AK199" s="116"/>
      <c r="AL199" s="116"/>
    </row>
    <row r="200" spans="1:38" ht="15.95" hidden="1" customHeight="1" x14ac:dyDescent="0.25">
      <c r="A200" s="116"/>
      <c r="B200" s="116"/>
      <c r="C200" s="116"/>
      <c r="D200" s="116"/>
      <c r="E200" s="116"/>
      <c r="F200" s="116"/>
      <c r="G200" s="114"/>
      <c r="H200" s="116"/>
      <c r="I200" s="116"/>
      <c r="J200" s="116"/>
      <c r="K200" s="116"/>
      <c r="L200" s="116"/>
      <c r="M200" s="116"/>
      <c r="N200" s="114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  <c r="AI200" s="116"/>
      <c r="AJ200" s="116"/>
      <c r="AK200" s="116"/>
      <c r="AL200" s="116"/>
    </row>
    <row r="201" spans="1:38" ht="20.25" customHeight="1" x14ac:dyDescent="0.25">
      <c r="A201" s="116"/>
      <c r="B201" s="116"/>
      <c r="C201" s="116"/>
      <c r="D201" s="116"/>
      <c r="E201" s="116"/>
      <c r="F201" s="116"/>
      <c r="G201" s="114"/>
      <c r="H201" s="116"/>
      <c r="I201" s="116"/>
      <c r="J201" s="116"/>
      <c r="K201" s="116"/>
      <c r="L201" s="116"/>
      <c r="M201" s="116"/>
      <c r="N201" s="114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  <c r="AK201" s="116"/>
      <c r="AL201" s="116"/>
    </row>
  </sheetData>
  <sheetProtection algorithmName="SHA-512" hashValue="B7vkNgClhxf7QfrWtnzg7VqiCrzzOpq0etZH5wFLT+qlcrIcVXeayFXsY//qfZZtCOPVWX8QyuitTAA+n/UM6A==" saltValue="qB08zd0F1BVwT4VQmEmK/Q==" spinCount="100000" sheet="1" objects="1" scenarios="1" formatCells="0"/>
  <mergeCells count="148">
    <mergeCell ref="AH171:AI171"/>
    <mergeCell ref="AJ171:AK171"/>
    <mergeCell ref="AH172:AI172"/>
    <mergeCell ref="AH178:AI178"/>
    <mergeCell ref="C186:L186"/>
    <mergeCell ref="C190:AG190"/>
    <mergeCell ref="AH150:AI150"/>
    <mergeCell ref="AH156:AI156"/>
    <mergeCell ref="AH160:AI160"/>
    <mergeCell ref="AJ160:AK160"/>
    <mergeCell ref="AH161:AI161"/>
    <mergeCell ref="AH167:AI167"/>
    <mergeCell ref="AH138:AI138"/>
    <mergeCell ref="AJ138:AK138"/>
    <mergeCell ref="AH139:AI139"/>
    <mergeCell ref="AH145:AI145"/>
    <mergeCell ref="AH149:AI149"/>
    <mergeCell ref="AJ149:AK149"/>
    <mergeCell ref="AH117:AI117"/>
    <mergeCell ref="AH123:AI123"/>
    <mergeCell ref="AH127:AI127"/>
    <mergeCell ref="AJ127:AK127"/>
    <mergeCell ref="AH128:AI128"/>
    <mergeCell ref="AH134:AI134"/>
    <mergeCell ref="AH105:AI105"/>
    <mergeCell ref="AJ105:AK105"/>
    <mergeCell ref="AH106:AI106"/>
    <mergeCell ref="AH112:AI112"/>
    <mergeCell ref="AH116:AI116"/>
    <mergeCell ref="AJ116:AK116"/>
    <mergeCell ref="AH83:AI83"/>
    <mergeCell ref="AH84:AI84"/>
    <mergeCell ref="AH90:AI90"/>
    <mergeCell ref="AH94:AI94"/>
    <mergeCell ref="AH95:AI95"/>
    <mergeCell ref="AH101:AI101"/>
    <mergeCell ref="AH61:AI61"/>
    <mergeCell ref="AH62:AI62"/>
    <mergeCell ref="AH68:AI68"/>
    <mergeCell ref="AH72:AI72"/>
    <mergeCell ref="AH73:AI73"/>
    <mergeCell ref="AH79:AI79"/>
    <mergeCell ref="AI48:AJ48"/>
    <mergeCell ref="AI49:AJ49"/>
    <mergeCell ref="AN49:AO49"/>
    <mergeCell ref="AH50:AI50"/>
    <mergeCell ref="AH51:AI51"/>
    <mergeCell ref="AH57:AI57"/>
    <mergeCell ref="C43:D43"/>
    <mergeCell ref="E43:AI43"/>
    <mergeCell ref="AI45:AJ45"/>
    <mergeCell ref="AI46:AJ46"/>
    <mergeCell ref="AI47:AJ47"/>
    <mergeCell ref="AN47:AO47"/>
    <mergeCell ref="S39:T39"/>
    <mergeCell ref="V39:W39"/>
    <mergeCell ref="S40:T40"/>
    <mergeCell ref="V40:W40"/>
    <mergeCell ref="C42:V42"/>
    <mergeCell ref="W42:AH42"/>
    <mergeCell ref="A37:B37"/>
    <mergeCell ref="C37:N37"/>
    <mergeCell ref="S37:T37"/>
    <mergeCell ref="V37:W37"/>
    <mergeCell ref="A38:B38"/>
    <mergeCell ref="C38:N38"/>
    <mergeCell ref="S38:T38"/>
    <mergeCell ref="V38:W38"/>
    <mergeCell ref="A35:B35"/>
    <mergeCell ref="C35:N35"/>
    <mergeCell ref="S35:T35"/>
    <mergeCell ref="V35:W35"/>
    <mergeCell ref="A36:B36"/>
    <mergeCell ref="C36:N36"/>
    <mergeCell ref="S36:T36"/>
    <mergeCell ref="V36:W36"/>
    <mergeCell ref="A33:B33"/>
    <mergeCell ref="C33:N33"/>
    <mergeCell ref="S33:T33"/>
    <mergeCell ref="V33:W33"/>
    <mergeCell ref="A34:B34"/>
    <mergeCell ref="C34:N34"/>
    <mergeCell ref="S34:T34"/>
    <mergeCell ref="V34:W34"/>
    <mergeCell ref="AR31:AZ31"/>
    <mergeCell ref="D26:E26"/>
    <mergeCell ref="G26:H26"/>
    <mergeCell ref="K26:L26"/>
    <mergeCell ref="N26:O26"/>
    <mergeCell ref="R26:S26"/>
    <mergeCell ref="U26:V26"/>
    <mergeCell ref="W26:X26"/>
    <mergeCell ref="BB31:BC31"/>
    <mergeCell ref="A32:B32"/>
    <mergeCell ref="C32:N32"/>
    <mergeCell ref="S32:T32"/>
    <mergeCell ref="V32:W32"/>
    <mergeCell ref="AD32:AG32"/>
    <mergeCell ref="AI32:AJ32"/>
    <mergeCell ref="Z26:AA26"/>
    <mergeCell ref="AH26:AI26"/>
    <mergeCell ref="AJ26:AL26"/>
    <mergeCell ref="AE27:AF27"/>
    <mergeCell ref="C29:AJ29"/>
    <mergeCell ref="A31:N31"/>
    <mergeCell ref="R31:W31"/>
    <mergeCell ref="AD31:AI31"/>
    <mergeCell ref="AH24:AI24"/>
    <mergeCell ref="AJ24:AL24"/>
    <mergeCell ref="D25:E25"/>
    <mergeCell ref="G25:H25"/>
    <mergeCell ref="K25:L25"/>
    <mergeCell ref="N25:O25"/>
    <mergeCell ref="R25:S25"/>
    <mergeCell ref="U25:V25"/>
    <mergeCell ref="W25:X25"/>
    <mergeCell ref="Z25:AA25"/>
    <mergeCell ref="AH25:AI25"/>
    <mergeCell ref="AJ25:AL25"/>
    <mergeCell ref="C23:H23"/>
    <mergeCell ref="J23:O23"/>
    <mergeCell ref="Q23:AA23"/>
    <mergeCell ref="D24:E24"/>
    <mergeCell ref="G24:H24"/>
    <mergeCell ref="K24:L24"/>
    <mergeCell ref="N24:O24"/>
    <mergeCell ref="R24:S24"/>
    <mergeCell ref="U24:V24"/>
    <mergeCell ref="W24:X24"/>
    <mergeCell ref="Z24:AA24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B3:J3"/>
    <mergeCell ref="B4:O4"/>
    <mergeCell ref="Q4:X4"/>
    <mergeCell ref="Z4:AB4"/>
    <mergeCell ref="AC4:AH4"/>
    <mergeCell ref="A8:B8"/>
    <mergeCell ref="A15:B15"/>
    <mergeCell ref="A16:B16"/>
    <mergeCell ref="A17:B17"/>
  </mergeCells>
  <conditionalFormatting sqref="C7:AG20">
    <cfRule type="expression" dxfId="1" priority="1" stopIfTrue="1">
      <formula>C$46=1</formula>
    </cfRule>
  </conditionalFormatting>
  <hyperlinks>
    <hyperlink ref="C42" r:id="rId1" xr:uid="{00000000-0004-0000-0A00-000000000000}"/>
  </hyperlinks>
  <printOptions horizontalCentered="1"/>
  <pageMargins left="7.874015748031496E-2" right="7.874015748031496E-2" top="0.31496062992125984" bottom="0" header="0.51181102362204722" footer="0.51181102362204722"/>
  <pageSetup paperSize="9" scale="97" orientation="landscape" useFirstPageNumber="1" r:id="rId2"/>
  <headerFooter alignWithMargins="0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CI201"/>
  <sheetViews>
    <sheetView showGridLines="0" showRowColHeaders="0" topLeftCell="A4" zoomScale="120" zoomScaleNormal="120" zoomScaleSheetLayoutView="75" workbookViewId="0">
      <selection activeCell="B7" sqref="A7:AG19"/>
    </sheetView>
  </sheetViews>
  <sheetFormatPr baseColWidth="10" defaultColWidth="11.140625" defaultRowHeight="20.25" customHeight="1" x14ac:dyDescent="0.25"/>
  <cols>
    <col min="1" max="2" width="9.7109375" style="1" customWidth="1"/>
    <col min="3" max="6" width="3.28515625" style="1" customWidth="1"/>
    <col min="7" max="7" width="3.28515625" style="2" customWidth="1"/>
    <col min="8" max="13" width="3.28515625" style="1" customWidth="1"/>
    <col min="14" max="14" width="3.28515625" style="2" customWidth="1"/>
    <col min="15" max="33" width="3.28515625" style="1" customWidth="1"/>
    <col min="34" max="34" width="7.7109375" style="1" customWidth="1"/>
    <col min="35" max="38" width="4.7109375" style="1" customWidth="1"/>
    <col min="39" max="59" width="6.7109375" style="1" hidden="1" customWidth="1"/>
    <col min="60" max="83" width="4.7109375" style="1" hidden="1" customWidth="1"/>
    <col min="84" max="95" width="0" style="1" hidden="1" customWidth="1"/>
    <col min="96" max="16384" width="11.140625" style="1"/>
  </cols>
  <sheetData>
    <row r="1" spans="1:84" s="2" customFormat="1" ht="19.5" customHeight="1" x14ac:dyDescent="0.35">
      <c r="B1" s="3"/>
      <c r="M1" s="4"/>
      <c r="U1" s="5"/>
      <c r="V1" s="6"/>
      <c r="Z1" s="7"/>
      <c r="AA1" s="7"/>
      <c r="AB1" s="7"/>
      <c r="AC1" s="7"/>
      <c r="AD1" s="7"/>
      <c r="AE1" s="7"/>
      <c r="AF1" s="7"/>
      <c r="AG1" s="1"/>
      <c r="AH1" s="1"/>
      <c r="AI1" s="1"/>
      <c r="AJ1" s="1"/>
    </row>
    <row r="2" spans="1:84" s="2" customFormat="1" ht="19.5" customHeight="1" x14ac:dyDescent="0.35">
      <c r="B2" s="3"/>
      <c r="M2" s="4"/>
      <c r="U2" s="5"/>
      <c r="V2" s="6"/>
      <c r="Z2" s="7"/>
      <c r="AA2" s="7"/>
      <c r="AB2" s="7"/>
      <c r="AC2" s="7"/>
      <c r="AD2" s="7"/>
      <c r="AE2" s="7"/>
      <c r="AF2" s="7"/>
      <c r="AG2" s="1"/>
      <c r="AH2" s="1"/>
      <c r="AI2" s="1"/>
      <c r="AJ2" s="1"/>
    </row>
    <row r="3" spans="1:84" s="2" customFormat="1" ht="19.5" customHeight="1" x14ac:dyDescent="0.35">
      <c r="B3" s="271" t="str">
        <f t="shared" ref="B3:B4" si="0">C32</f>
        <v>EMPRESA</v>
      </c>
      <c r="C3" s="271"/>
      <c r="D3" s="271"/>
      <c r="E3" s="271"/>
      <c r="F3" s="271"/>
      <c r="G3" s="271"/>
      <c r="H3" s="271"/>
      <c r="I3" s="271"/>
      <c r="J3" s="271"/>
      <c r="M3" s="4"/>
      <c r="U3" s="5"/>
      <c r="V3" s="6"/>
      <c r="Z3" s="7"/>
      <c r="AA3" s="7"/>
      <c r="AB3" s="7"/>
      <c r="AC3" s="7"/>
      <c r="AD3" s="7"/>
      <c r="AE3" s="7"/>
      <c r="AF3" s="7"/>
      <c r="AG3" s="1"/>
      <c r="AH3" s="1"/>
      <c r="AI3" s="1"/>
      <c r="AJ3" s="1"/>
    </row>
    <row r="4" spans="1:84" s="9" customFormat="1" ht="17.25" customHeight="1" x14ac:dyDescent="0.25">
      <c r="A4" s="8"/>
      <c r="B4" s="272" t="str">
        <f t="shared" si="0"/>
        <v>Las Terrazas</v>
      </c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1"/>
      <c r="Q4" s="232">
        <f>DATE($C$34,$C$35,1)</f>
        <v>45992</v>
      </c>
      <c r="R4" s="232"/>
      <c r="S4" s="232"/>
      <c r="T4" s="232"/>
      <c r="U4" s="232"/>
      <c r="V4" s="232"/>
      <c r="W4" s="232"/>
      <c r="X4" s="232"/>
      <c r="Y4" s="1"/>
      <c r="Z4" s="259">
        <f>SUM(AH51+AH62+AH73+AH84+AH95+AH106+AH117+AH128+AH139+AH150+AH161+AH172)</f>
        <v>1735.9999999999991</v>
      </c>
      <c r="AA4" s="259"/>
      <c r="AB4" s="259"/>
      <c r="AC4" s="267" t="s">
        <v>0</v>
      </c>
      <c r="AD4" s="267"/>
      <c r="AE4" s="267"/>
      <c r="AF4" s="267"/>
      <c r="AG4" s="267"/>
      <c r="AH4" s="267"/>
      <c r="AI4" s="1"/>
      <c r="AJ4" s="1"/>
    </row>
    <row r="5" spans="1:84" s="2" customFormat="1" ht="17.25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/>
      <c r="AD5" s="12"/>
      <c r="AE5" s="12" t="str">
        <f>IF(CA59=28,IF(CA59="",0,1),IF(CA59=1,IF(CA59="",0,1),""))</f>
        <v/>
      </c>
      <c r="AF5" s="12" t="str">
        <f>IF(CA59=29,IF(CA59="",0,1),IF(CA59=1,IF(CA59="",0,1),""))</f>
        <v/>
      </c>
      <c r="AG5" s="12" t="str">
        <f>IF(CA59=30,IF(CA59="",0,1),IF(CA59=1,IF(CA59="",0,1),""))</f>
        <v/>
      </c>
      <c r="AH5" s="12">
        <f>IF(CA59=31,IF(CA59="",0,1),IF(CA59=1,IF(CA59="",0,1),""))</f>
        <v>1</v>
      </c>
      <c r="AI5" s="1"/>
      <c r="AJ5" s="1"/>
    </row>
    <row r="6" spans="1:84" s="13" customFormat="1" ht="17.25" customHeight="1" x14ac:dyDescent="0.25">
      <c r="B6" s="14" t="s">
        <v>1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"/>
      <c r="AJ6" s="1"/>
    </row>
    <row r="7" spans="1:84" s="11" customFormat="1" ht="19.5" customHeight="1" x14ac:dyDescent="0.25">
      <c r="A7" s="16"/>
      <c r="B7" s="17" t="s">
        <v>2</v>
      </c>
      <c r="C7" s="18" t="str">
        <f>IF(AV47="LUNES","lu",IF(AV47="MARTES","ma",IF(AV47="MIERCOLES","mi",IF(AV47="JUEVES","ju",IF(AV47="VIERNES","vi",IF(AV47="SABADO","S",IF(AV47="DOMINGO","D","")))))))</f>
        <v>lu</v>
      </c>
      <c r="D7" s="18" t="str">
        <f t="shared" ref="D7:AD7" si="1">IF(C7="lu","ma",IF(C7="ma","mi",IF(C7="mi","ju",IF(C7="ju","vi",IF(C7="vi","S",IF(C7="S","D",IF(C7="D","lu","")))))))</f>
        <v>ma</v>
      </c>
      <c r="E7" s="18" t="str">
        <f t="shared" si="1"/>
        <v>mi</v>
      </c>
      <c r="F7" s="18" t="str">
        <f t="shared" si="1"/>
        <v>ju</v>
      </c>
      <c r="G7" s="18" t="str">
        <f t="shared" si="1"/>
        <v>vi</v>
      </c>
      <c r="H7" s="18" t="str">
        <f t="shared" si="1"/>
        <v>S</v>
      </c>
      <c r="I7" s="18" t="str">
        <f t="shared" si="1"/>
        <v>D</v>
      </c>
      <c r="J7" s="18" t="str">
        <f t="shared" si="1"/>
        <v>lu</v>
      </c>
      <c r="K7" s="18" t="str">
        <f t="shared" si="1"/>
        <v>ma</v>
      </c>
      <c r="L7" s="18" t="str">
        <f t="shared" si="1"/>
        <v>mi</v>
      </c>
      <c r="M7" s="18" t="str">
        <f t="shared" si="1"/>
        <v>ju</v>
      </c>
      <c r="N7" s="18" t="str">
        <f t="shared" si="1"/>
        <v>vi</v>
      </c>
      <c r="O7" s="18" t="str">
        <f t="shared" si="1"/>
        <v>S</v>
      </c>
      <c r="P7" s="18" t="str">
        <f t="shared" si="1"/>
        <v>D</v>
      </c>
      <c r="Q7" s="18" t="str">
        <f t="shared" si="1"/>
        <v>lu</v>
      </c>
      <c r="R7" s="18" t="str">
        <f t="shared" si="1"/>
        <v>ma</v>
      </c>
      <c r="S7" s="18" t="str">
        <f t="shared" si="1"/>
        <v>mi</v>
      </c>
      <c r="T7" s="18" t="str">
        <f t="shared" si="1"/>
        <v>ju</v>
      </c>
      <c r="U7" s="18" t="str">
        <f t="shared" si="1"/>
        <v>vi</v>
      </c>
      <c r="V7" s="18" t="str">
        <f t="shared" si="1"/>
        <v>S</v>
      </c>
      <c r="W7" s="18" t="str">
        <f t="shared" si="1"/>
        <v>D</v>
      </c>
      <c r="X7" s="18" t="str">
        <f t="shared" si="1"/>
        <v>lu</v>
      </c>
      <c r="Y7" s="18" t="str">
        <f t="shared" si="1"/>
        <v>ma</v>
      </c>
      <c r="Z7" s="18" t="str">
        <f t="shared" si="1"/>
        <v>mi</v>
      </c>
      <c r="AA7" s="18" t="str">
        <f t="shared" si="1"/>
        <v>ju</v>
      </c>
      <c r="AB7" s="18" t="str">
        <f t="shared" si="1"/>
        <v>vi</v>
      </c>
      <c r="AC7" s="18" t="str">
        <f t="shared" si="1"/>
        <v>S</v>
      </c>
      <c r="AD7" s="18" t="str">
        <f t="shared" si="1"/>
        <v>D</v>
      </c>
      <c r="AE7" s="18" t="str">
        <f>IF(AE8="","",IF(AD7="lu","ma",IF(AD7="ma","mi",IF(AD7="mi","ju",IF(AD7="ju","vi",IF(AD7="vi","S",IF(AD7="S","D",IF(AD7="D","lu",""))))))))</f>
        <v>lu</v>
      </c>
      <c r="AF7" s="18" t="str">
        <f>IF(AF8="","",IF(AE7="lu","ma",IF(AE7="ma","mi",IF(AE7="mi","ju",IF(AE7="ju","vi",IF(AE7="vi","S",IF(AE7="S","D",IF(AE7="D","lu",""))))))))</f>
        <v>ma</v>
      </c>
      <c r="AG7" s="18" t="str">
        <f>IF(AG8="","",IF(AF7="lu","ma",IF(AF7="ma","mi",IF(AF7="mi","ju",IF(AF7="ju","vi",IF(AF7="vi","S",IF(AF7="S","D",IF(AF7="D","lu",""))))))))</f>
        <v>mi</v>
      </c>
      <c r="AH7" s="16"/>
    </row>
    <row r="8" spans="1:84" s="22" customFormat="1" ht="19.5" customHeight="1" x14ac:dyDescent="0.2">
      <c r="A8" s="270" t="s">
        <v>3</v>
      </c>
      <c r="B8" s="270"/>
      <c r="C8" s="18">
        <v>1</v>
      </c>
      <c r="D8" s="18">
        <v>2</v>
      </c>
      <c r="E8" s="18">
        <v>3</v>
      </c>
      <c r="F8" s="18">
        <v>4</v>
      </c>
      <c r="G8" s="18">
        <v>5</v>
      </c>
      <c r="H8" s="18">
        <v>6</v>
      </c>
      <c r="I8" s="18">
        <v>7</v>
      </c>
      <c r="J8" s="18">
        <v>8</v>
      </c>
      <c r="K8" s="18">
        <v>9</v>
      </c>
      <c r="L8" s="18">
        <v>10</v>
      </c>
      <c r="M8" s="18">
        <v>11</v>
      </c>
      <c r="N8" s="18">
        <v>12</v>
      </c>
      <c r="O8" s="18">
        <v>13</v>
      </c>
      <c r="P8" s="18">
        <v>14</v>
      </c>
      <c r="Q8" s="18">
        <v>15</v>
      </c>
      <c r="R8" s="18">
        <v>16</v>
      </c>
      <c r="S8" s="18">
        <v>17</v>
      </c>
      <c r="T8" s="18">
        <v>18</v>
      </c>
      <c r="U8" s="18">
        <v>19</v>
      </c>
      <c r="V8" s="18">
        <v>20</v>
      </c>
      <c r="W8" s="18">
        <v>21</v>
      </c>
      <c r="X8" s="18">
        <v>22</v>
      </c>
      <c r="Y8" s="18">
        <v>23</v>
      </c>
      <c r="Z8" s="18">
        <v>24</v>
      </c>
      <c r="AA8" s="18">
        <v>25</v>
      </c>
      <c r="AB8" s="18">
        <v>26</v>
      </c>
      <c r="AC8" s="18">
        <v>27</v>
      </c>
      <c r="AD8" s="18">
        <v>28</v>
      </c>
      <c r="AE8" s="18">
        <f>IF(CA59=28,"",IF(CA59=29,29,IF(CA59=30,29,IF(CA59=31,29,""))))</f>
        <v>29</v>
      </c>
      <c r="AF8" s="18">
        <f>IF(CA59=28,"",IF(CA59=29,"",IF(CA59=30,30,IF(CA59=31,30,""))))</f>
        <v>30</v>
      </c>
      <c r="AG8" s="18">
        <f>IF(CA59=28,"",IF(CA59=29,"",IF(CA59=30,"",IF(CA59=31,31,""))))</f>
        <v>31</v>
      </c>
      <c r="AH8" s="19" t="s">
        <v>60</v>
      </c>
      <c r="AI8" s="20" t="s">
        <v>4</v>
      </c>
      <c r="AJ8" s="20" t="s">
        <v>5</v>
      </c>
      <c r="AK8" s="21" t="s">
        <v>6</v>
      </c>
      <c r="AL8" s="21" t="s">
        <v>7</v>
      </c>
    </row>
    <row r="9" spans="1:84" s="2" customFormat="1" ht="20.100000000000001" customHeight="1" x14ac:dyDescent="0.25">
      <c r="A9" s="268" t="s">
        <v>155</v>
      </c>
      <c r="B9" s="268"/>
      <c r="C9" s="23" t="s">
        <v>91</v>
      </c>
      <c r="D9" s="23" t="s">
        <v>91</v>
      </c>
      <c r="E9" s="23" t="s">
        <v>91</v>
      </c>
      <c r="F9" s="23" t="s">
        <v>91</v>
      </c>
      <c r="G9" s="23" t="s">
        <v>91</v>
      </c>
      <c r="H9" s="23" t="s">
        <v>91</v>
      </c>
      <c r="I9" s="23" t="s">
        <v>91</v>
      </c>
      <c r="J9" s="23" t="s">
        <v>91</v>
      </c>
      <c r="K9" s="23" t="s">
        <v>91</v>
      </c>
      <c r="L9" s="23" t="s">
        <v>91</v>
      </c>
      <c r="M9" s="23" t="s">
        <v>91</v>
      </c>
      <c r="N9" s="23" t="s">
        <v>91</v>
      </c>
      <c r="O9" s="23" t="s">
        <v>91</v>
      </c>
      <c r="P9" s="23" t="s">
        <v>91</v>
      </c>
      <c r="Q9" s="23" t="s">
        <v>91</v>
      </c>
      <c r="R9" s="23" t="s">
        <v>91</v>
      </c>
      <c r="S9" s="23" t="s">
        <v>91</v>
      </c>
      <c r="T9" s="24" t="s">
        <v>91</v>
      </c>
      <c r="U9" s="23" t="s">
        <v>91</v>
      </c>
      <c r="V9" s="23" t="s">
        <v>91</v>
      </c>
      <c r="W9" s="23" t="s">
        <v>91</v>
      </c>
      <c r="X9" s="23" t="s">
        <v>91</v>
      </c>
      <c r="Y9" s="23" t="s">
        <v>91</v>
      </c>
      <c r="Z9" s="23" t="s">
        <v>91</v>
      </c>
      <c r="AA9" s="23" t="s">
        <v>91</v>
      </c>
      <c r="AB9" s="23" t="s">
        <v>91</v>
      </c>
      <c r="AC9" s="23" t="s">
        <v>91</v>
      </c>
      <c r="AD9" s="23" t="s">
        <v>91</v>
      </c>
      <c r="AE9" s="23" t="s">
        <v>91</v>
      </c>
      <c r="AF9" s="23" t="s">
        <v>91</v>
      </c>
      <c r="AG9" s="23" t="s">
        <v>91</v>
      </c>
      <c r="AH9" s="83">
        <f>SUM(AH50:AH51)</f>
        <v>0</v>
      </c>
      <c r="AI9" s="84">
        <f>AH9-C37</f>
        <v>-162</v>
      </c>
      <c r="AJ9" s="84">
        <f>SUM(C55:AG55)</f>
        <v>0</v>
      </c>
      <c r="AK9" s="84">
        <f>AK32</f>
        <v>0</v>
      </c>
      <c r="AL9" s="18">
        <f>SUM(C56:AG56)</f>
        <v>0</v>
      </c>
      <c r="CB9" s="25">
        <f>ROUNDDOWN(AH9,0)</f>
        <v>0</v>
      </c>
      <c r="CC9" s="26">
        <f>AH9-INT(AH9)</f>
        <v>0</v>
      </c>
      <c r="CD9" s="27">
        <f>CC9/24</f>
        <v>0</v>
      </c>
      <c r="CE9"/>
      <c r="CF9"/>
    </row>
    <row r="10" spans="1:84" s="2" customFormat="1" ht="20.100000000000001" customHeight="1" x14ac:dyDescent="0.25">
      <c r="A10" s="268" t="s">
        <v>156</v>
      </c>
      <c r="B10" s="268"/>
      <c r="C10" s="23" t="s">
        <v>153</v>
      </c>
      <c r="D10" s="23"/>
      <c r="E10" s="23"/>
      <c r="F10" s="23" t="s">
        <v>151</v>
      </c>
      <c r="G10" s="23" t="s">
        <v>153</v>
      </c>
      <c r="H10" s="23" t="s">
        <v>153</v>
      </c>
      <c r="I10" s="23" t="s">
        <v>153</v>
      </c>
      <c r="J10" s="23"/>
      <c r="K10" s="23"/>
      <c r="L10" s="23" t="s">
        <v>153</v>
      </c>
      <c r="M10" s="23" t="s">
        <v>153</v>
      </c>
      <c r="N10" s="23"/>
      <c r="O10" s="23"/>
      <c r="P10" s="23"/>
      <c r="Q10" s="23" t="s">
        <v>153</v>
      </c>
      <c r="R10" s="23" t="s">
        <v>153</v>
      </c>
      <c r="S10" s="23"/>
      <c r="T10" s="23" t="s">
        <v>151</v>
      </c>
      <c r="U10" s="23" t="s">
        <v>153</v>
      </c>
      <c r="V10" s="23" t="s">
        <v>153</v>
      </c>
      <c r="W10" s="23" t="s">
        <v>153</v>
      </c>
      <c r="X10" s="23" t="s">
        <v>153</v>
      </c>
      <c r="Y10" s="23" t="s">
        <v>153</v>
      </c>
      <c r="Z10" s="23"/>
      <c r="AA10" s="23"/>
      <c r="AB10" s="23"/>
      <c r="AC10" s="23"/>
      <c r="AD10" s="23"/>
      <c r="AE10" s="23"/>
      <c r="AF10" s="23"/>
      <c r="AG10" s="23" t="s">
        <v>153</v>
      </c>
      <c r="AH10" s="83">
        <f>SUM(AH61:AH62)</f>
        <v>192</v>
      </c>
      <c r="AI10" s="84">
        <f>AH10-C37</f>
        <v>30</v>
      </c>
      <c r="AJ10" s="84">
        <f>SUM(C66:AG66)</f>
        <v>48</v>
      </c>
      <c r="AK10" s="84">
        <f t="shared" ref="AK10:AK20" si="2">AK33</f>
        <v>112</v>
      </c>
      <c r="AL10" s="18">
        <f>SUM(C67:AG67)</f>
        <v>0</v>
      </c>
      <c r="CF10"/>
    </row>
    <row r="11" spans="1:84" s="2" customFormat="1" ht="20.100000000000001" customHeight="1" x14ac:dyDescent="0.25">
      <c r="A11" s="268" t="s">
        <v>157</v>
      </c>
      <c r="B11" s="268"/>
      <c r="C11" s="23" t="s">
        <v>151</v>
      </c>
      <c r="D11" s="23" t="s">
        <v>151</v>
      </c>
      <c r="E11" s="23" t="s">
        <v>151</v>
      </c>
      <c r="F11" s="23"/>
      <c r="G11" s="23" t="s">
        <v>151</v>
      </c>
      <c r="H11" s="23" t="s">
        <v>151</v>
      </c>
      <c r="I11" s="23" t="s">
        <v>151</v>
      </c>
      <c r="J11" s="23"/>
      <c r="K11" s="23" t="s">
        <v>151</v>
      </c>
      <c r="L11" s="23" t="s">
        <v>151</v>
      </c>
      <c r="M11" s="23" t="s">
        <v>151</v>
      </c>
      <c r="N11" s="23"/>
      <c r="O11" s="23"/>
      <c r="P11" s="23"/>
      <c r="Q11" s="23" t="s">
        <v>151</v>
      </c>
      <c r="R11" s="23" t="s">
        <v>151</v>
      </c>
      <c r="S11" s="23"/>
      <c r="T11" s="23"/>
      <c r="U11" s="23" t="s">
        <v>151</v>
      </c>
      <c r="V11" s="23" t="s">
        <v>151</v>
      </c>
      <c r="W11" s="23" t="s">
        <v>151</v>
      </c>
      <c r="X11" s="23"/>
      <c r="Y11" s="23"/>
      <c r="Z11" s="23"/>
      <c r="AA11" s="23"/>
      <c r="AB11" s="23"/>
      <c r="AC11" s="23"/>
      <c r="AD11" s="23"/>
      <c r="AE11" s="23" t="s">
        <v>151</v>
      </c>
      <c r="AF11" s="23" t="s">
        <v>152</v>
      </c>
      <c r="AG11" s="23" t="s">
        <v>152</v>
      </c>
      <c r="AH11" s="83">
        <f>SUM(AH72:AH73)</f>
        <v>203.99999999999997</v>
      </c>
      <c r="AI11" s="84">
        <f>AH11-C37</f>
        <v>41.999999999999972</v>
      </c>
      <c r="AJ11" s="84">
        <f>SUM(C77:AG77)</f>
        <v>47.999999999999993</v>
      </c>
      <c r="AK11" s="84">
        <f t="shared" si="2"/>
        <v>16</v>
      </c>
      <c r="AL11" s="18">
        <f>SUM(C78:AG78)</f>
        <v>0</v>
      </c>
      <c r="CF11"/>
    </row>
    <row r="12" spans="1:84" s="2" customFormat="1" ht="20.100000000000001" customHeight="1" x14ac:dyDescent="0.25">
      <c r="A12" s="268" t="s">
        <v>169</v>
      </c>
      <c r="B12" s="268"/>
      <c r="C12" s="23"/>
      <c r="D12" s="23" t="s">
        <v>153</v>
      </c>
      <c r="E12" s="23" t="s">
        <v>153</v>
      </c>
      <c r="F12" s="23" t="s">
        <v>153</v>
      </c>
      <c r="G12" s="23"/>
      <c r="H12" s="23"/>
      <c r="I12" s="23"/>
      <c r="J12" s="23" t="s">
        <v>153</v>
      </c>
      <c r="K12" s="23"/>
      <c r="L12" s="23"/>
      <c r="M12" s="23"/>
      <c r="N12" s="23" t="s">
        <v>151</v>
      </c>
      <c r="O12" s="23" t="s">
        <v>151</v>
      </c>
      <c r="P12" s="23" t="s">
        <v>151</v>
      </c>
      <c r="Q12" s="23"/>
      <c r="R12" s="23"/>
      <c r="S12" s="23" t="s">
        <v>153</v>
      </c>
      <c r="T12" s="23" t="s">
        <v>153</v>
      </c>
      <c r="U12" s="23"/>
      <c r="V12" s="23"/>
      <c r="W12" s="23"/>
      <c r="X12" s="23" t="s">
        <v>151</v>
      </c>
      <c r="Y12" s="23" t="s">
        <v>151</v>
      </c>
      <c r="Z12" s="23" t="s">
        <v>151</v>
      </c>
      <c r="AA12" s="23" t="s">
        <v>151</v>
      </c>
      <c r="AB12" s="23" t="s">
        <v>151</v>
      </c>
      <c r="AC12" s="23" t="s">
        <v>151</v>
      </c>
      <c r="AD12" s="23" t="s">
        <v>151</v>
      </c>
      <c r="AE12" s="23" t="s">
        <v>151</v>
      </c>
      <c r="AF12" s="23"/>
      <c r="AG12" s="23"/>
      <c r="AH12" s="83">
        <f>SUM(AH83:AH84)</f>
        <v>204</v>
      </c>
      <c r="AI12" s="84">
        <f>AH12-C37</f>
        <v>42</v>
      </c>
      <c r="AJ12" s="84">
        <f>SUM(C88:AG88)</f>
        <v>47.999999999999993</v>
      </c>
      <c r="AK12" s="84">
        <f t="shared" si="2"/>
        <v>48</v>
      </c>
      <c r="AL12" s="18">
        <f>SUM(C89:AG89)</f>
        <v>0</v>
      </c>
      <c r="CF12"/>
    </row>
    <row r="13" spans="1:84" s="2" customFormat="1" ht="20.100000000000001" customHeight="1" x14ac:dyDescent="0.25">
      <c r="A13" s="268" t="s">
        <v>177</v>
      </c>
      <c r="B13" s="268"/>
      <c r="C13" s="23" t="s">
        <v>150</v>
      </c>
      <c r="D13" s="23" t="s">
        <v>150</v>
      </c>
      <c r="E13" s="23"/>
      <c r="F13" s="23"/>
      <c r="G13" s="23" t="s">
        <v>150</v>
      </c>
      <c r="H13" s="23" t="s">
        <v>150</v>
      </c>
      <c r="I13" s="23" t="s">
        <v>150</v>
      </c>
      <c r="J13" s="23"/>
      <c r="K13" s="23" t="s">
        <v>150</v>
      </c>
      <c r="L13" s="23" t="s">
        <v>150</v>
      </c>
      <c r="M13" s="23" t="s">
        <v>150</v>
      </c>
      <c r="N13" s="23"/>
      <c r="O13" s="23"/>
      <c r="P13" s="23"/>
      <c r="Q13" s="23" t="s">
        <v>150</v>
      </c>
      <c r="R13" s="23" t="s">
        <v>150</v>
      </c>
      <c r="S13" s="23" t="s">
        <v>151</v>
      </c>
      <c r="T13" s="23"/>
      <c r="U13" s="23" t="s">
        <v>150</v>
      </c>
      <c r="V13" s="23" t="s">
        <v>150</v>
      </c>
      <c r="W13" s="23" t="s">
        <v>150</v>
      </c>
      <c r="X13" s="23"/>
      <c r="Y13" s="23"/>
      <c r="Z13" s="23"/>
      <c r="AA13" s="23"/>
      <c r="AB13" s="23"/>
      <c r="AC13" s="23"/>
      <c r="AD13" s="23"/>
      <c r="AE13" s="23" t="s">
        <v>150</v>
      </c>
      <c r="AF13" s="23" t="s">
        <v>151</v>
      </c>
      <c r="AG13" s="23" t="s">
        <v>151</v>
      </c>
      <c r="AH13" s="83">
        <f>SUM(AH94:AH95)</f>
        <v>204</v>
      </c>
      <c r="AI13" s="84">
        <f>AH13-C37</f>
        <v>42</v>
      </c>
      <c r="AJ13" s="84">
        <f>SUM(C99:AG99)</f>
        <v>48</v>
      </c>
      <c r="AK13" s="84">
        <f t="shared" si="2"/>
        <v>0</v>
      </c>
      <c r="AL13" s="18">
        <f>SUM(C100:AG100)</f>
        <v>0</v>
      </c>
      <c r="CB13" s="28"/>
      <c r="CF13"/>
    </row>
    <row r="14" spans="1:84" s="2" customFormat="1" ht="19.5" customHeight="1" x14ac:dyDescent="0.25">
      <c r="A14" s="268" t="s">
        <v>161</v>
      </c>
      <c r="B14" s="268"/>
      <c r="C14" s="23"/>
      <c r="D14" s="23"/>
      <c r="E14" s="23" t="s">
        <v>152</v>
      </c>
      <c r="F14" s="23" t="s">
        <v>152</v>
      </c>
      <c r="G14" s="23"/>
      <c r="H14" s="23"/>
      <c r="I14" s="23"/>
      <c r="J14" s="23" t="s">
        <v>151</v>
      </c>
      <c r="K14" s="23" t="s">
        <v>153</v>
      </c>
      <c r="L14" s="23"/>
      <c r="M14" s="23"/>
      <c r="N14" s="23" t="s">
        <v>153</v>
      </c>
      <c r="O14" s="23" t="s">
        <v>153</v>
      </c>
      <c r="P14" s="23" t="s">
        <v>153</v>
      </c>
      <c r="Q14" s="23"/>
      <c r="R14" s="23" t="s">
        <v>152</v>
      </c>
      <c r="S14" s="23" t="s">
        <v>152</v>
      </c>
      <c r="T14" s="23" t="s">
        <v>152</v>
      </c>
      <c r="U14" s="23"/>
      <c r="V14" s="23"/>
      <c r="W14" s="23"/>
      <c r="X14" s="23" t="s">
        <v>152</v>
      </c>
      <c r="Y14" s="23" t="s">
        <v>152</v>
      </c>
      <c r="Z14" s="23" t="s">
        <v>153</v>
      </c>
      <c r="AA14" s="23" t="s">
        <v>153</v>
      </c>
      <c r="AB14" s="23" t="s">
        <v>153</v>
      </c>
      <c r="AC14" s="23"/>
      <c r="AD14" s="23"/>
      <c r="AE14" s="23" t="s">
        <v>152</v>
      </c>
      <c r="AF14" s="23" t="s">
        <v>152</v>
      </c>
      <c r="AG14" s="23"/>
      <c r="AH14" s="83">
        <f>SUM(AH105:AH106)</f>
        <v>204</v>
      </c>
      <c r="AI14" s="84">
        <f>AH14-C37</f>
        <v>42</v>
      </c>
      <c r="AJ14" s="84">
        <f>SUM(C110:AG110)</f>
        <v>31</v>
      </c>
      <c r="AK14" s="84">
        <f t="shared" si="2"/>
        <v>128</v>
      </c>
      <c r="AL14" s="18">
        <f>SUM(C111:AG111)</f>
        <v>0</v>
      </c>
      <c r="CF14"/>
    </row>
    <row r="15" spans="1:84" s="2" customFormat="1" ht="19.5" customHeight="1" x14ac:dyDescent="0.25">
      <c r="A15" s="268" t="s">
        <v>160</v>
      </c>
      <c r="B15" s="268"/>
      <c r="C15" s="23"/>
      <c r="D15" s="23"/>
      <c r="E15" s="23" t="s">
        <v>150</v>
      </c>
      <c r="F15" s="23" t="s">
        <v>150</v>
      </c>
      <c r="G15" s="23"/>
      <c r="H15" s="23"/>
      <c r="I15" s="23"/>
      <c r="J15" s="23" t="s">
        <v>150</v>
      </c>
      <c r="K15" s="23" t="s">
        <v>152</v>
      </c>
      <c r="L15" s="23" t="s">
        <v>152</v>
      </c>
      <c r="M15" s="23"/>
      <c r="N15" s="23" t="s">
        <v>150</v>
      </c>
      <c r="O15" s="23" t="s">
        <v>150</v>
      </c>
      <c r="P15" s="23" t="s">
        <v>150</v>
      </c>
      <c r="Q15" s="23"/>
      <c r="R15" s="23"/>
      <c r="S15" s="23" t="s">
        <v>150</v>
      </c>
      <c r="T15" s="23" t="s">
        <v>150</v>
      </c>
      <c r="U15" s="23"/>
      <c r="V15" s="23"/>
      <c r="W15" s="23"/>
      <c r="X15" s="23" t="s">
        <v>150</v>
      </c>
      <c r="Y15" s="23" t="s">
        <v>150</v>
      </c>
      <c r="Z15" s="23" t="s">
        <v>152</v>
      </c>
      <c r="AA15" s="23" t="s">
        <v>152</v>
      </c>
      <c r="AB15" s="23" t="s">
        <v>152</v>
      </c>
      <c r="AC15" s="23"/>
      <c r="AD15" s="23"/>
      <c r="AE15" s="23"/>
      <c r="AF15" s="23" t="s">
        <v>150</v>
      </c>
      <c r="AG15" s="23" t="s">
        <v>150</v>
      </c>
      <c r="AH15" s="83">
        <f>SUM(AH116:AH117)</f>
        <v>204</v>
      </c>
      <c r="AI15" s="84">
        <f>AH15-C37</f>
        <v>42</v>
      </c>
      <c r="AJ15" s="84">
        <f>SUM(C121:AG121)</f>
        <v>30</v>
      </c>
      <c r="AK15" s="84">
        <f t="shared" si="2"/>
        <v>40</v>
      </c>
      <c r="AL15" s="18">
        <f>SUM(C122:AG122)</f>
        <v>0</v>
      </c>
      <c r="CF15"/>
    </row>
    <row r="16" spans="1:84" s="2" customFormat="1" ht="19.5" customHeight="1" x14ac:dyDescent="0.25">
      <c r="A16" s="268" t="s">
        <v>162</v>
      </c>
      <c r="B16" s="268"/>
      <c r="C16" s="23" t="s">
        <v>152</v>
      </c>
      <c r="D16" s="23" t="s">
        <v>152</v>
      </c>
      <c r="E16" s="23"/>
      <c r="F16" s="23"/>
      <c r="G16" s="23" t="s">
        <v>152</v>
      </c>
      <c r="H16" s="23" t="s">
        <v>152</v>
      </c>
      <c r="I16" s="23" t="s">
        <v>152</v>
      </c>
      <c r="J16" s="23"/>
      <c r="K16" s="23"/>
      <c r="L16" s="23"/>
      <c r="M16" s="23" t="s">
        <v>152</v>
      </c>
      <c r="N16" s="23"/>
      <c r="O16" s="23"/>
      <c r="P16" s="23"/>
      <c r="Q16" s="23"/>
      <c r="R16" s="23"/>
      <c r="S16" s="23"/>
      <c r="T16" s="23"/>
      <c r="U16" s="23" t="s">
        <v>152</v>
      </c>
      <c r="V16" s="23" t="s">
        <v>152</v>
      </c>
      <c r="W16" s="23" t="s">
        <v>152</v>
      </c>
      <c r="X16" s="23"/>
      <c r="Y16" s="23"/>
      <c r="Z16" s="23" t="s">
        <v>150</v>
      </c>
      <c r="AA16" s="23" t="s">
        <v>150</v>
      </c>
      <c r="AB16" s="23" t="s">
        <v>150</v>
      </c>
      <c r="AC16" s="23" t="s">
        <v>153</v>
      </c>
      <c r="AD16" s="23" t="s">
        <v>153</v>
      </c>
      <c r="AE16" s="23"/>
      <c r="AF16" s="23"/>
      <c r="AG16" s="23"/>
      <c r="AH16" s="83">
        <f>SUM(AH127:AH128)</f>
        <v>168</v>
      </c>
      <c r="AI16" s="84">
        <f>AH16-C37</f>
        <v>6</v>
      </c>
      <c r="AJ16" s="84">
        <f>SUM(C132:AG132)</f>
        <v>65</v>
      </c>
      <c r="AK16" s="84">
        <f t="shared" si="2"/>
        <v>88</v>
      </c>
      <c r="AL16" s="18">
        <f>SUM(C133:AG133)</f>
        <v>0</v>
      </c>
      <c r="CF16"/>
    </row>
    <row r="17" spans="1:87" s="2" customFormat="1" ht="19.5" customHeight="1" x14ac:dyDescent="0.25">
      <c r="A17" s="268" t="s">
        <v>163</v>
      </c>
      <c r="B17" s="268"/>
      <c r="C17" s="23"/>
      <c r="D17" s="23"/>
      <c r="E17" s="23" t="s">
        <v>154</v>
      </c>
      <c r="F17" s="23" t="s">
        <v>154</v>
      </c>
      <c r="G17" s="23"/>
      <c r="H17" s="23"/>
      <c r="I17" s="23"/>
      <c r="J17" s="23" t="s">
        <v>154</v>
      </c>
      <c r="K17" s="23" t="s">
        <v>154</v>
      </c>
      <c r="L17" s="23"/>
      <c r="M17" s="23"/>
      <c r="N17" s="23" t="s">
        <v>152</v>
      </c>
      <c r="O17" s="23" t="s">
        <v>152</v>
      </c>
      <c r="P17" s="23" t="s">
        <v>152</v>
      </c>
      <c r="Q17" s="23" t="s">
        <v>152</v>
      </c>
      <c r="R17" s="23"/>
      <c r="S17" s="23" t="s">
        <v>154</v>
      </c>
      <c r="T17" s="23" t="s">
        <v>154</v>
      </c>
      <c r="U17" s="23"/>
      <c r="V17" s="23"/>
      <c r="W17" s="23"/>
      <c r="X17" s="23"/>
      <c r="Y17" s="23"/>
      <c r="Z17" s="23" t="s">
        <v>154</v>
      </c>
      <c r="AA17" s="23" t="s">
        <v>154</v>
      </c>
      <c r="AB17" s="23" t="s">
        <v>154</v>
      </c>
      <c r="AC17" s="23" t="s">
        <v>152</v>
      </c>
      <c r="AD17" s="23" t="s">
        <v>152</v>
      </c>
      <c r="AE17" s="23"/>
      <c r="AF17" s="23"/>
      <c r="AG17" s="23"/>
      <c r="AH17" s="83">
        <f>SUM(AH138:AH139)</f>
        <v>143.99999999999974</v>
      </c>
      <c r="AI17" s="84">
        <f>AH17-C37</f>
        <v>-18.000000000000256</v>
      </c>
      <c r="AJ17" s="84">
        <f>SUM(C143:AG143)</f>
        <v>48</v>
      </c>
      <c r="AK17" s="84">
        <f t="shared" si="2"/>
        <v>120</v>
      </c>
      <c r="AL17" s="18">
        <f>SUM(C144:AG144)</f>
        <v>0</v>
      </c>
      <c r="CF17"/>
    </row>
    <row r="18" spans="1:87" s="2" customFormat="1" ht="19.5" customHeight="1" x14ac:dyDescent="0.25">
      <c r="A18" s="268" t="s">
        <v>178</v>
      </c>
      <c r="B18" s="268"/>
      <c r="C18" s="23" t="s">
        <v>154</v>
      </c>
      <c r="D18" s="23" t="s">
        <v>154</v>
      </c>
      <c r="E18" s="23"/>
      <c r="F18" s="23"/>
      <c r="G18" s="23" t="s">
        <v>154</v>
      </c>
      <c r="H18" s="23" t="s">
        <v>154</v>
      </c>
      <c r="I18" s="23" t="s">
        <v>154</v>
      </c>
      <c r="J18" s="23" t="s">
        <v>152</v>
      </c>
      <c r="K18" s="23"/>
      <c r="L18" s="23" t="s">
        <v>154</v>
      </c>
      <c r="M18" s="23" t="s">
        <v>154</v>
      </c>
      <c r="N18" s="23"/>
      <c r="O18" s="23"/>
      <c r="P18" s="23"/>
      <c r="Q18" s="23" t="s">
        <v>154</v>
      </c>
      <c r="R18" s="23" t="s">
        <v>154</v>
      </c>
      <c r="S18" s="23"/>
      <c r="T18" s="23"/>
      <c r="U18" s="23" t="s">
        <v>154</v>
      </c>
      <c r="V18" s="23" t="s">
        <v>154</v>
      </c>
      <c r="W18" s="23" t="s">
        <v>154</v>
      </c>
      <c r="X18" s="23" t="s">
        <v>154</v>
      </c>
      <c r="Y18" s="23" t="s">
        <v>154</v>
      </c>
      <c r="Z18" s="23"/>
      <c r="AA18" s="23"/>
      <c r="AB18" s="23"/>
      <c r="AC18" s="23" t="s">
        <v>150</v>
      </c>
      <c r="AD18" s="23" t="s">
        <v>150</v>
      </c>
      <c r="AE18" s="23" t="s">
        <v>154</v>
      </c>
      <c r="AF18" s="23" t="s">
        <v>154</v>
      </c>
      <c r="AG18" s="23" t="s">
        <v>154</v>
      </c>
      <c r="AH18" s="83">
        <f>SUM(AH149:AH150)</f>
        <v>171.99999999999952</v>
      </c>
      <c r="AI18" s="84">
        <f>AH18-C37</f>
        <v>9.9999999999995168</v>
      </c>
      <c r="AJ18" s="84">
        <f>SUM(C154:AG154)</f>
        <v>56</v>
      </c>
      <c r="AK18" s="84">
        <f t="shared" si="2"/>
        <v>144</v>
      </c>
      <c r="AL18" s="18">
        <f>SUM(C155:AG155)</f>
        <v>0</v>
      </c>
      <c r="CF18"/>
    </row>
    <row r="19" spans="1:87" s="2" customFormat="1" ht="19.5" customHeight="1" x14ac:dyDescent="0.25">
      <c r="A19" s="268" t="s">
        <v>179</v>
      </c>
      <c r="B19" s="268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 t="s">
        <v>154</v>
      </c>
      <c r="O19" s="23" t="s">
        <v>154</v>
      </c>
      <c r="P19" s="23" t="s">
        <v>154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 t="s">
        <v>154</v>
      </c>
      <c r="AD19" s="23" t="s">
        <v>154</v>
      </c>
      <c r="AE19" s="23"/>
      <c r="AF19" s="23"/>
      <c r="AG19" s="23"/>
      <c r="AH19" s="83">
        <f>SUM(AH160:AH161)</f>
        <v>39.999999999999858</v>
      </c>
      <c r="AI19" s="84">
        <f>AH19-C37</f>
        <v>-122.00000000000014</v>
      </c>
      <c r="AJ19" s="84">
        <f>SUM(C165:AG165)</f>
        <v>32</v>
      </c>
      <c r="AK19" s="84">
        <f t="shared" si="2"/>
        <v>40</v>
      </c>
      <c r="AL19" s="18">
        <f>SUM(C166:AG166)</f>
        <v>0</v>
      </c>
      <c r="CF19"/>
    </row>
    <row r="20" spans="1:87" s="2" customFormat="1" ht="19.5" customHeight="1" x14ac:dyDescent="0.25">
      <c r="A20" s="268"/>
      <c r="B20" s="268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83">
        <f>SUM(AH171:AH172)</f>
        <v>0</v>
      </c>
      <c r="AI20" s="84">
        <f>AH20-C37</f>
        <v>-162</v>
      </c>
      <c r="AJ20" s="84">
        <f>SUM(C176:AG176)</f>
        <v>0</v>
      </c>
      <c r="AK20" s="84">
        <f t="shared" si="2"/>
        <v>0</v>
      </c>
      <c r="AL20" s="18">
        <f>SUM(C177:AG177)</f>
        <v>0</v>
      </c>
      <c r="CF20"/>
    </row>
    <row r="21" spans="1:87" s="2" customFormat="1" ht="19.5" customHeight="1" x14ac:dyDescent="0.25">
      <c r="A21" s="10"/>
      <c r="B21" s="29" t="s">
        <v>8</v>
      </c>
      <c r="C21" s="113">
        <f>SUM(C51+C62+C73+C84+C95+C106+C117+C128+C139+C150+C161+C172)</f>
        <v>55.999999999999972</v>
      </c>
      <c r="D21" s="113">
        <f t="shared" ref="D21:AG21" si="3">SUM(D51+D62+D73+D84+D95+D106+D117+D128+D139+D150+D161+D172)</f>
        <v>55.999999999999972</v>
      </c>
      <c r="E21" s="113">
        <f t="shared" si="3"/>
        <v>55.999999999999972</v>
      </c>
      <c r="F21" s="113">
        <f t="shared" si="3"/>
        <v>55.999999999999972</v>
      </c>
      <c r="G21" s="113">
        <f t="shared" si="3"/>
        <v>55.999999999999972</v>
      </c>
      <c r="H21" s="113">
        <f t="shared" si="3"/>
        <v>55.999999999999972</v>
      </c>
      <c r="I21" s="113">
        <f t="shared" si="3"/>
        <v>55.999999999999972</v>
      </c>
      <c r="J21" s="113">
        <f t="shared" si="3"/>
        <v>55.999999999999972</v>
      </c>
      <c r="K21" s="113">
        <f t="shared" si="3"/>
        <v>55.999999999999972</v>
      </c>
      <c r="L21" s="113">
        <f t="shared" si="3"/>
        <v>55.999999999999972</v>
      </c>
      <c r="M21" s="113">
        <f t="shared" si="3"/>
        <v>55.999999999999972</v>
      </c>
      <c r="N21" s="113">
        <f t="shared" si="3"/>
        <v>55.999999999999972</v>
      </c>
      <c r="O21" s="113">
        <f t="shared" si="3"/>
        <v>55.999999999999972</v>
      </c>
      <c r="P21" s="113">
        <f t="shared" si="3"/>
        <v>55.999999999999972</v>
      </c>
      <c r="Q21" s="113">
        <f t="shared" si="3"/>
        <v>55.999999999999972</v>
      </c>
      <c r="R21" s="113">
        <f t="shared" si="3"/>
        <v>55.999999999999972</v>
      </c>
      <c r="S21" s="113">
        <f t="shared" si="3"/>
        <v>55.999999999999972</v>
      </c>
      <c r="T21" s="113">
        <f t="shared" si="3"/>
        <v>55.999999999999972</v>
      </c>
      <c r="U21" s="113">
        <f t="shared" si="3"/>
        <v>55.999999999999972</v>
      </c>
      <c r="V21" s="113">
        <f t="shared" si="3"/>
        <v>55.999999999999972</v>
      </c>
      <c r="W21" s="113">
        <f t="shared" si="3"/>
        <v>55.999999999999972</v>
      </c>
      <c r="X21" s="113">
        <f t="shared" si="3"/>
        <v>55.999999999999972</v>
      </c>
      <c r="Y21" s="113">
        <f t="shared" si="3"/>
        <v>55.999999999999972</v>
      </c>
      <c r="Z21" s="113">
        <f t="shared" si="3"/>
        <v>55.999999999999972</v>
      </c>
      <c r="AA21" s="113">
        <f t="shared" si="3"/>
        <v>55.999999999999972</v>
      </c>
      <c r="AB21" s="113">
        <f t="shared" si="3"/>
        <v>55.999999999999972</v>
      </c>
      <c r="AC21" s="113">
        <f t="shared" si="3"/>
        <v>55.999999999999972</v>
      </c>
      <c r="AD21" s="113">
        <f t="shared" si="3"/>
        <v>55.999999999999972</v>
      </c>
      <c r="AE21" s="113">
        <f t="shared" si="3"/>
        <v>55.999999999999972</v>
      </c>
      <c r="AF21" s="113">
        <f t="shared" si="3"/>
        <v>55.999999999999972</v>
      </c>
      <c r="AG21" s="113">
        <f t="shared" si="3"/>
        <v>55.999999999999972</v>
      </c>
      <c r="AH21" s="30"/>
      <c r="AI21" s="30"/>
      <c r="AJ21" s="30"/>
      <c r="AK21" s="30"/>
      <c r="AL21" s="30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</row>
    <row r="22" spans="1:87" s="2" customFormat="1" ht="19.5" customHeight="1" x14ac:dyDescent="0.25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</row>
    <row r="23" spans="1:87" s="2" customFormat="1" ht="19.5" customHeight="1" x14ac:dyDescent="0.25">
      <c r="A23" s="80"/>
      <c r="B23" s="80"/>
      <c r="C23" s="273" t="s">
        <v>9</v>
      </c>
      <c r="D23" s="273"/>
      <c r="E23" s="273"/>
      <c r="F23" s="273"/>
      <c r="G23" s="273"/>
      <c r="H23" s="273"/>
      <c r="I23" s="82"/>
      <c r="J23" s="274" t="s">
        <v>9</v>
      </c>
      <c r="K23" s="274"/>
      <c r="L23" s="274"/>
      <c r="M23" s="274"/>
      <c r="N23" s="274"/>
      <c r="O23" s="274"/>
      <c r="P23" s="32"/>
      <c r="Q23" s="274" t="s">
        <v>136</v>
      </c>
      <c r="R23" s="274"/>
      <c r="S23" s="274"/>
      <c r="T23" s="274"/>
      <c r="U23" s="274"/>
      <c r="V23" s="274"/>
      <c r="W23" s="274"/>
      <c r="X23" s="274"/>
      <c r="Y23" s="274"/>
      <c r="Z23" s="274"/>
      <c r="AA23" s="274"/>
      <c r="AB23" s="82"/>
      <c r="AC23" s="82"/>
      <c r="AD23" s="82"/>
      <c r="AE23" s="82"/>
      <c r="AF23" s="80"/>
      <c r="AG23" s="80"/>
      <c r="AH23" s="80"/>
      <c r="AI23" s="80"/>
      <c r="AJ23" s="80"/>
      <c r="AK23" s="80"/>
      <c r="AL23" s="80"/>
      <c r="AM23"/>
      <c r="AN23"/>
      <c r="AO23"/>
      <c r="AP23"/>
      <c r="AQ23" s="1" t="s">
        <v>10</v>
      </c>
      <c r="AR23" s="1"/>
      <c r="AS23" s="1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</row>
    <row r="24" spans="1:87" ht="14.45" customHeight="1" x14ac:dyDescent="0.25">
      <c r="A24" s="82"/>
      <c r="B24" s="82"/>
      <c r="C24" s="108" t="str">
        <f t="shared" ref="C24:D26" si="4">R32</f>
        <v>D1</v>
      </c>
      <c r="D24" s="275">
        <f t="shared" si="4"/>
        <v>0.25</v>
      </c>
      <c r="E24" s="275"/>
      <c r="F24" s="33" t="s">
        <v>11</v>
      </c>
      <c r="G24" s="276">
        <f t="shared" ref="G24:G26" si="5">V32</f>
        <v>0.75</v>
      </c>
      <c r="H24" s="276"/>
      <c r="I24" s="105"/>
      <c r="J24" s="107" t="str">
        <f t="shared" ref="J24:K26" si="6">R35</f>
        <v>N2</v>
      </c>
      <c r="K24" s="277">
        <f t="shared" si="6"/>
        <v>0.79166666666666663</v>
      </c>
      <c r="L24" s="278"/>
      <c r="M24" s="110" t="s">
        <v>11</v>
      </c>
      <c r="N24" s="277">
        <f>V35</f>
        <v>0.29166666666666669</v>
      </c>
      <c r="O24" s="279"/>
      <c r="P24" s="32"/>
      <c r="Q24" s="107" t="str">
        <f>R38</f>
        <v>G</v>
      </c>
      <c r="R24" s="280"/>
      <c r="S24" s="280"/>
      <c r="T24" s="109" t="s">
        <v>11</v>
      </c>
      <c r="U24" s="280"/>
      <c r="V24" s="280"/>
      <c r="W24" s="281"/>
      <c r="X24" s="280"/>
      <c r="Y24" s="109" t="s">
        <v>11</v>
      </c>
      <c r="Z24" s="282"/>
      <c r="AA24" s="283"/>
      <c r="AB24" s="106"/>
      <c r="AC24" s="80"/>
      <c r="AD24" s="104"/>
      <c r="AE24" s="104"/>
      <c r="AF24" s="104"/>
      <c r="AG24" s="107" t="s">
        <v>12</v>
      </c>
      <c r="AH24" s="256" t="s">
        <v>1</v>
      </c>
      <c r="AI24" s="257"/>
      <c r="AJ24" s="245"/>
      <c r="AK24" s="245"/>
      <c r="AL24" s="245"/>
      <c r="AM24"/>
      <c r="AN24"/>
      <c r="AO24"/>
      <c r="AP24"/>
      <c r="AQ24" s="1" t="s">
        <v>13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</row>
    <row r="25" spans="1:87" s="2" customFormat="1" ht="14.45" customHeight="1" x14ac:dyDescent="0.25">
      <c r="A25" s="82"/>
      <c r="B25" s="82"/>
      <c r="C25" s="108" t="str">
        <f t="shared" si="4"/>
        <v>D2</v>
      </c>
      <c r="D25" s="275">
        <f t="shared" si="4"/>
        <v>0.29166666666666669</v>
      </c>
      <c r="E25" s="275"/>
      <c r="F25" s="33" t="s">
        <v>11</v>
      </c>
      <c r="G25" s="276">
        <f t="shared" si="5"/>
        <v>0.79166666666666663</v>
      </c>
      <c r="H25" s="276"/>
      <c r="I25" s="105"/>
      <c r="J25" s="107" t="str">
        <f t="shared" si="6"/>
        <v>N3</v>
      </c>
      <c r="K25" s="280">
        <f t="shared" si="6"/>
        <v>0.91666666666666663</v>
      </c>
      <c r="L25" s="278"/>
      <c r="M25" s="110" t="s">
        <v>11</v>
      </c>
      <c r="N25" s="280">
        <f>V36</f>
        <v>0.25</v>
      </c>
      <c r="O25" s="279"/>
      <c r="P25" s="32"/>
      <c r="Q25" s="107" t="str">
        <f>R39</f>
        <v>H</v>
      </c>
      <c r="R25" s="280"/>
      <c r="S25" s="280"/>
      <c r="T25" s="109" t="s">
        <v>11</v>
      </c>
      <c r="U25" s="280"/>
      <c r="V25" s="280"/>
      <c r="W25" s="281"/>
      <c r="X25" s="280"/>
      <c r="Y25" s="109" t="s">
        <v>11</v>
      </c>
      <c r="Z25" s="284"/>
      <c r="AA25" s="283"/>
      <c r="AB25" s="106"/>
      <c r="AC25" s="80"/>
      <c r="AD25" s="104"/>
      <c r="AE25" s="104"/>
      <c r="AF25" s="104"/>
      <c r="AG25" s="107" t="s">
        <v>14</v>
      </c>
      <c r="AH25" s="256" t="s">
        <v>59</v>
      </c>
      <c r="AI25" s="257"/>
      <c r="AJ25" s="245"/>
      <c r="AK25" s="245"/>
      <c r="AL25" s="245"/>
      <c r="AM25"/>
      <c r="AN25"/>
      <c r="AO25"/>
      <c r="AP25"/>
      <c r="AQ25" s="1" t="s">
        <v>15</v>
      </c>
      <c r="AR25" s="1"/>
      <c r="AS25" s="1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</row>
    <row r="26" spans="1:87" s="2" customFormat="1" ht="14.45" customHeight="1" x14ac:dyDescent="0.25">
      <c r="A26" s="82"/>
      <c r="B26" s="82"/>
      <c r="C26" s="108" t="str">
        <f t="shared" si="4"/>
        <v>N1</v>
      </c>
      <c r="D26" s="275">
        <f t="shared" si="4"/>
        <v>0.75</v>
      </c>
      <c r="E26" s="275"/>
      <c r="F26" s="33" t="s">
        <v>11</v>
      </c>
      <c r="G26" s="276">
        <f t="shared" si="5"/>
        <v>0.25</v>
      </c>
      <c r="H26" s="276"/>
      <c r="I26" s="105"/>
      <c r="J26" s="107" t="str">
        <f t="shared" si="6"/>
        <v>F</v>
      </c>
      <c r="K26" s="280">
        <f t="shared" si="6"/>
        <v>0.20833333333333334</v>
      </c>
      <c r="L26" s="278"/>
      <c r="M26" s="110" t="s">
        <v>11</v>
      </c>
      <c r="N26" s="280">
        <f>V37</f>
        <v>0.25</v>
      </c>
      <c r="O26" s="279"/>
      <c r="P26" s="32"/>
      <c r="Q26" s="107" t="str">
        <f>R40</f>
        <v>I</v>
      </c>
      <c r="R26" s="280"/>
      <c r="S26" s="280"/>
      <c r="T26" s="109" t="s">
        <v>11</v>
      </c>
      <c r="U26" s="280"/>
      <c r="V26" s="280"/>
      <c r="W26" s="281"/>
      <c r="X26" s="280"/>
      <c r="Y26" s="109" t="s">
        <v>11</v>
      </c>
      <c r="Z26" s="284"/>
      <c r="AA26" s="283"/>
      <c r="AB26" s="106"/>
      <c r="AC26" s="80"/>
      <c r="AD26" s="104"/>
      <c r="AE26" s="104"/>
      <c r="AF26" s="104"/>
      <c r="AG26" s="107" t="s">
        <v>16</v>
      </c>
      <c r="AH26" s="256" t="s">
        <v>42</v>
      </c>
      <c r="AI26" s="257"/>
      <c r="AJ26" s="245"/>
      <c r="AK26" s="245"/>
      <c r="AL26" s="245"/>
      <c r="AM26"/>
      <c r="AN26"/>
      <c r="AO26"/>
      <c r="AP26"/>
      <c r="AQ26" s="1" t="s">
        <v>17</v>
      </c>
      <c r="AR26" s="1"/>
      <c r="AS26" s="1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</row>
    <row r="27" spans="1:87" s="2" customFormat="1" ht="14.45" customHeight="1" x14ac:dyDescent="0.25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82"/>
      <c r="Z27" s="82"/>
      <c r="AA27" s="82"/>
      <c r="AB27" s="82"/>
      <c r="AC27" s="82"/>
      <c r="AD27" s="82"/>
      <c r="AE27" s="262"/>
      <c r="AF27" s="262"/>
      <c r="AG27" s="82"/>
      <c r="AH27" s="82"/>
      <c r="AI27" s="82"/>
      <c r="AJ27" s="32"/>
      <c r="AK27" s="32"/>
      <c r="AL27" s="32"/>
    </row>
    <row r="28" spans="1:87" s="2" customFormat="1" ht="14.45" customHeight="1" x14ac:dyDescent="0.25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32"/>
      <c r="AK28" s="32"/>
      <c r="AL28" s="32"/>
    </row>
    <row r="29" spans="1:87" s="2" customFormat="1" ht="14.45" customHeight="1" x14ac:dyDescent="0.25">
      <c r="A29" s="82"/>
      <c r="B29" s="81" t="s">
        <v>18</v>
      </c>
      <c r="C29" s="251" t="str">
        <f>E43</f>
        <v xml:space="preserve">*Aquí notas que se vean en el cuadrante... </v>
      </c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  <c r="AA29" s="251"/>
      <c r="AB29" s="251"/>
      <c r="AC29" s="251"/>
      <c r="AD29" s="251"/>
      <c r="AE29" s="251"/>
      <c r="AF29" s="251"/>
      <c r="AG29" s="251"/>
      <c r="AH29" s="251"/>
      <c r="AI29" s="251"/>
      <c r="AJ29" s="251"/>
      <c r="AK29" s="32"/>
      <c r="AL29" s="32"/>
    </row>
    <row r="30" spans="1:87" s="2" customFormat="1" ht="19.5" customHeight="1" x14ac:dyDescent="0.35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32"/>
      <c r="AK30" s="32"/>
      <c r="AL30" s="32"/>
      <c r="AN30" s="5" t="s">
        <v>19</v>
      </c>
      <c r="AO30" s="5"/>
      <c r="AP30" s="5" t="s">
        <v>20</v>
      </c>
      <c r="AQ30" s="5" t="s">
        <v>21</v>
      </c>
      <c r="AR30" s="5"/>
      <c r="AS30" s="5"/>
      <c r="AT30" s="5"/>
      <c r="AU30" s="5"/>
      <c r="AV30" s="5"/>
      <c r="AW30" s="5"/>
      <c r="AX30" s="5" t="s">
        <v>22</v>
      </c>
      <c r="AY30" s="5"/>
      <c r="AZ30" s="5" t="s">
        <v>23</v>
      </c>
      <c r="BA30" s="5"/>
      <c r="BB30" s="5"/>
      <c r="BC30" s="5"/>
      <c r="BD30" s="5" t="s">
        <v>24</v>
      </c>
    </row>
    <row r="31" spans="1:87" s="2" customFormat="1" ht="19.5" customHeight="1" x14ac:dyDescent="0.25">
      <c r="A31" s="252" t="s">
        <v>25</v>
      </c>
      <c r="B31" s="252"/>
      <c r="C31" s="252"/>
      <c r="D31" s="252"/>
      <c r="E31" s="252"/>
      <c r="F31" s="252"/>
      <c r="G31" s="252"/>
      <c r="H31" s="252"/>
      <c r="I31" s="252"/>
      <c r="J31" s="252"/>
      <c r="K31" s="252"/>
      <c r="L31" s="252"/>
      <c r="M31" s="252"/>
      <c r="N31" s="252"/>
      <c r="O31" s="114"/>
      <c r="P31" s="114"/>
      <c r="Q31" s="114"/>
      <c r="R31" s="252" t="s">
        <v>9</v>
      </c>
      <c r="S31" s="252"/>
      <c r="T31" s="252"/>
      <c r="U31" s="252"/>
      <c r="V31" s="252"/>
      <c r="W31" s="252"/>
      <c r="X31" s="115"/>
      <c r="Y31" s="289"/>
      <c r="Z31" s="289"/>
      <c r="AA31" s="115"/>
      <c r="AB31" s="115"/>
      <c r="AC31" s="116"/>
      <c r="AD31" s="253" t="s">
        <v>26</v>
      </c>
      <c r="AE31" s="253"/>
      <c r="AF31" s="253"/>
      <c r="AG31" s="253"/>
      <c r="AH31" s="253"/>
      <c r="AI31" s="253"/>
      <c r="AJ31" s="114"/>
      <c r="AK31" s="212" t="s">
        <v>6</v>
      </c>
      <c r="AL31" s="114"/>
      <c r="AN31" s="97" t="s">
        <v>27</v>
      </c>
      <c r="AO31" s="97" t="s">
        <v>28</v>
      </c>
      <c r="AP31" s="97" t="s">
        <v>29</v>
      </c>
      <c r="AQ31" s="97" t="s">
        <v>30</v>
      </c>
      <c r="AR31" s="261" t="s">
        <v>31</v>
      </c>
      <c r="AS31" s="261"/>
      <c r="AT31" s="261"/>
      <c r="AU31" s="261"/>
      <c r="AV31" s="261"/>
      <c r="AW31" s="261"/>
      <c r="AX31" s="261"/>
      <c r="AY31" s="261"/>
      <c r="AZ31" s="261"/>
      <c r="BA31" s="97" t="s">
        <v>32</v>
      </c>
      <c r="BB31" s="260" t="s">
        <v>33</v>
      </c>
      <c r="BC31" s="260"/>
      <c r="BD31" s="103" t="s">
        <v>34</v>
      </c>
      <c r="BE31" s="56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</row>
    <row r="32" spans="1:87" s="2" customFormat="1" ht="19.5" customHeight="1" x14ac:dyDescent="0.25">
      <c r="A32" s="238" t="s">
        <v>35</v>
      </c>
      <c r="B32" s="238"/>
      <c r="C32" s="242" t="str">
        <f>CONTROL!B34</f>
        <v>EMPRESA</v>
      </c>
      <c r="D32" s="242"/>
      <c r="E32" s="242"/>
      <c r="F32" s="242"/>
      <c r="G32" s="242"/>
      <c r="H32" s="242"/>
      <c r="I32" s="242"/>
      <c r="J32" s="242"/>
      <c r="K32" s="242"/>
      <c r="L32" s="242"/>
      <c r="M32" s="242"/>
      <c r="N32" s="242"/>
      <c r="O32" s="114"/>
      <c r="P32" s="114"/>
      <c r="Q32" s="117"/>
      <c r="R32" s="85" t="s">
        <v>150</v>
      </c>
      <c r="S32" s="240">
        <v>0.25</v>
      </c>
      <c r="T32" s="240"/>
      <c r="U32" s="118" t="s">
        <v>11</v>
      </c>
      <c r="V32" s="241">
        <v>0.75</v>
      </c>
      <c r="W32" s="241"/>
      <c r="X32" s="115"/>
      <c r="Y32" s="289"/>
      <c r="Z32" s="289"/>
      <c r="AA32" s="115"/>
      <c r="AB32" s="115"/>
      <c r="AC32" s="116"/>
      <c r="AD32" s="250" t="s">
        <v>36</v>
      </c>
      <c r="AE32" s="250"/>
      <c r="AF32" s="250"/>
      <c r="AG32" s="250"/>
      <c r="AH32" s="86">
        <v>0.5</v>
      </c>
      <c r="AI32" s="254">
        <f>AH32/24</f>
        <v>2.0833333333333332E-2</v>
      </c>
      <c r="AJ32" s="255"/>
      <c r="AK32" s="217">
        <f>AH49</f>
        <v>0</v>
      </c>
      <c r="AL32" s="214" t="s">
        <v>90</v>
      </c>
      <c r="AM32" s="9"/>
      <c r="AN32" s="34">
        <f t="shared" ref="AN32:AN40" si="7">IF(AS32/24=0,0,AS32/24)</f>
        <v>0</v>
      </c>
      <c r="AO32" s="35">
        <f t="shared" ref="AO32:AO40" si="8">IF(BA32=0,"",BA32)</f>
        <v>0.5</v>
      </c>
      <c r="AP32" s="36">
        <f t="shared" ref="AP32:AP39" si="9">S32*24</f>
        <v>6</v>
      </c>
      <c r="AQ32" s="36">
        <f t="shared" ref="AQ32:AQ40" si="10">V32*24</f>
        <v>18</v>
      </c>
      <c r="AR32" s="36">
        <f t="shared" ref="AR32:AR40" si="11">AS32</f>
        <v>0</v>
      </c>
      <c r="AS32" s="37">
        <f t="shared" ref="AS32:AS40" si="12">IF(AV32&gt;=4,AT32,AT32)</f>
        <v>0</v>
      </c>
      <c r="AT32" s="38">
        <f t="shared" ref="AT32:AT40" si="13">IF(AV32&gt;8,8,AU32)</f>
        <v>0</v>
      </c>
      <c r="AU32" s="39">
        <f t="shared" ref="AU32:AU40" si="14">IF(AV32&lt;0,0,AV32)</f>
        <v>0</v>
      </c>
      <c r="AV32" s="40">
        <f t="shared" ref="AV32:AV40" si="15">IF(AP32=AQ32,0,IF(AP32&gt;AQ32,AW32,IF(AP32&gt;=6,AX32,AQ32-AP32)))</f>
        <v>-12</v>
      </c>
      <c r="AW32" s="36">
        <f t="shared" ref="AW32:AW40" si="16">IF(AP32&lt;6,(AQ32-22+24)+(6-AP32),IF(AP32&gt;=22,AY32,IF(AV2&lt;=6,(AQ32-22)+24,8)))</f>
        <v>20</v>
      </c>
      <c r="AX32" s="41">
        <f t="shared" ref="AX32:AX40" si="17">IF(AQ32&gt;22,AZ32,IF(AP32&lt;AQ32,AP32-AQ32,IF(AP32&gt;6,0,(6-AP32))))</f>
        <v>-12</v>
      </c>
      <c r="AY32" s="36">
        <f t="shared" ref="AY32:AY40" si="18">IF(AQ32&lt;=6,(AQ32-AP32)+24,IF(AQ32&gt;22,8,(6-AP32)+24))</f>
        <v>24</v>
      </c>
      <c r="AZ32" s="42">
        <f t="shared" ref="AZ32:AZ40" si="19">IF(AP32&lt;=6,(6-AP32)+(AQ32-22),IF(AP32&gt;22,(AQ32-AP32),(AQ32-22)))</f>
        <v>-4</v>
      </c>
      <c r="BA32" s="36">
        <f t="shared" ref="BA32:BA40" si="20">IF(V32-S32&gt;=0,V32-S32,V32-S32+24)</f>
        <v>0.5</v>
      </c>
      <c r="BB32" s="36">
        <f t="shared" ref="BB32:BB40" si="21">IF(AO32&lt;1,AO32*24,(AO32-24)*24)</f>
        <v>12</v>
      </c>
      <c r="BC32" s="36">
        <f t="shared" ref="BC32:BC40" si="22">IF(BB32&gt;=0,BB32,BB32+24)</f>
        <v>12</v>
      </c>
      <c r="BD32" s="43">
        <f t="shared" ref="BD32:BD40" si="23">IF(AX32&lt;=0,AN32,IF(AX32&gt;=0.1,AX32/24))</f>
        <v>0</v>
      </c>
      <c r="BE32" s="44" t="str">
        <f t="shared" ref="BE32:BE34" si="24">IF(BD38&gt;=4,IF(BD38="",0,8),IF(BD38&gt;=0.1,IF(BD38="",0,BD38),""))</f>
        <v/>
      </c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</row>
    <row r="33" spans="1:80" s="2" customFormat="1" ht="19.5" customHeight="1" x14ac:dyDescent="0.25">
      <c r="A33" s="238" t="s">
        <v>37</v>
      </c>
      <c r="B33" s="238"/>
      <c r="C33" s="242" t="s">
        <v>149</v>
      </c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114"/>
      <c r="P33" s="114"/>
      <c r="Q33" s="117"/>
      <c r="R33" s="85" t="s">
        <v>151</v>
      </c>
      <c r="S33" s="240">
        <v>0.29166666666666669</v>
      </c>
      <c r="T33" s="240"/>
      <c r="U33" s="118" t="s">
        <v>11</v>
      </c>
      <c r="V33" s="241">
        <v>0.79166666666666663</v>
      </c>
      <c r="W33" s="241"/>
      <c r="X33" s="115"/>
      <c r="Y33" s="289"/>
      <c r="Z33" s="289"/>
      <c r="AA33" s="115"/>
      <c r="AB33" s="115"/>
      <c r="AC33" s="115"/>
      <c r="AD33" s="115"/>
      <c r="AE33" s="115"/>
      <c r="AF33" s="115"/>
      <c r="AG33" s="115"/>
      <c r="AH33" s="115"/>
      <c r="AI33" s="115"/>
      <c r="AJ33" s="114"/>
      <c r="AK33" s="217">
        <f>AH60</f>
        <v>112</v>
      </c>
      <c r="AL33" s="214" t="s">
        <v>138</v>
      </c>
      <c r="AM33" s="9"/>
      <c r="AN33" s="35">
        <f t="shared" si="7"/>
        <v>0</v>
      </c>
      <c r="AO33" s="35">
        <f t="shared" si="8"/>
        <v>0.49999999999999994</v>
      </c>
      <c r="AP33" s="36">
        <f t="shared" si="9"/>
        <v>7</v>
      </c>
      <c r="AQ33" s="36">
        <f t="shared" si="10"/>
        <v>19</v>
      </c>
      <c r="AR33" s="36">
        <f t="shared" si="11"/>
        <v>0</v>
      </c>
      <c r="AS33" s="37">
        <f t="shared" si="12"/>
        <v>0</v>
      </c>
      <c r="AT33" s="38">
        <f t="shared" si="13"/>
        <v>0</v>
      </c>
      <c r="AU33" s="39">
        <f t="shared" si="14"/>
        <v>0</v>
      </c>
      <c r="AV33" s="36">
        <f t="shared" si="15"/>
        <v>-12</v>
      </c>
      <c r="AW33" s="36">
        <f t="shared" si="16"/>
        <v>21</v>
      </c>
      <c r="AX33" s="41">
        <f t="shared" si="17"/>
        <v>-12</v>
      </c>
      <c r="AY33" s="36">
        <f t="shared" si="18"/>
        <v>23</v>
      </c>
      <c r="AZ33" s="36">
        <f t="shared" si="19"/>
        <v>-3</v>
      </c>
      <c r="BA33" s="36">
        <f t="shared" si="20"/>
        <v>0.49999999999999994</v>
      </c>
      <c r="BB33" s="36">
        <f t="shared" si="21"/>
        <v>11.999999999999998</v>
      </c>
      <c r="BC33" s="36">
        <f t="shared" si="22"/>
        <v>11.999999999999998</v>
      </c>
      <c r="BD33" s="43">
        <f t="shared" si="23"/>
        <v>0</v>
      </c>
      <c r="BE33" s="44" t="str">
        <f t="shared" si="24"/>
        <v/>
      </c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</row>
    <row r="34" spans="1:80" s="2" customFormat="1" ht="19.5" customHeight="1" x14ac:dyDescent="0.35">
      <c r="A34" s="238" t="s">
        <v>38</v>
      </c>
      <c r="B34" s="238"/>
      <c r="C34" s="242">
        <v>2025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114"/>
      <c r="P34" s="114"/>
      <c r="Q34" s="117"/>
      <c r="R34" s="85" t="s">
        <v>152</v>
      </c>
      <c r="S34" s="240">
        <v>0.75</v>
      </c>
      <c r="T34" s="240"/>
      <c r="U34" s="118" t="s">
        <v>11</v>
      </c>
      <c r="V34" s="241">
        <v>0.25</v>
      </c>
      <c r="W34" s="241"/>
      <c r="X34" s="115"/>
      <c r="Y34" s="290"/>
      <c r="Z34" s="290"/>
      <c r="AA34" s="119"/>
      <c r="AB34" s="119"/>
      <c r="AC34" s="119"/>
      <c r="AD34" s="119"/>
      <c r="AE34" s="115"/>
      <c r="AF34" s="115"/>
      <c r="AG34" s="115"/>
      <c r="AH34" s="115"/>
      <c r="AI34" s="115"/>
      <c r="AJ34" s="115"/>
      <c r="AK34" s="217">
        <f>AH71</f>
        <v>16</v>
      </c>
      <c r="AL34" s="214" t="s">
        <v>139</v>
      </c>
      <c r="AM34" s="9"/>
      <c r="AN34" s="35">
        <f t="shared" si="7"/>
        <v>0.33333333333333331</v>
      </c>
      <c r="AO34" s="35">
        <f t="shared" si="8"/>
        <v>23.5</v>
      </c>
      <c r="AP34" s="36">
        <f t="shared" si="9"/>
        <v>18</v>
      </c>
      <c r="AQ34" s="36">
        <f t="shared" si="10"/>
        <v>6</v>
      </c>
      <c r="AR34" s="36">
        <f t="shared" si="11"/>
        <v>8</v>
      </c>
      <c r="AS34" s="37">
        <f t="shared" si="12"/>
        <v>8</v>
      </c>
      <c r="AT34" s="38">
        <f t="shared" si="13"/>
        <v>8</v>
      </c>
      <c r="AU34" s="39">
        <f t="shared" si="14"/>
        <v>8</v>
      </c>
      <c r="AV34" s="36">
        <f t="shared" si="15"/>
        <v>8</v>
      </c>
      <c r="AW34" s="36">
        <f t="shared" si="16"/>
        <v>8</v>
      </c>
      <c r="AX34" s="41">
        <f t="shared" si="17"/>
        <v>0</v>
      </c>
      <c r="AY34" s="36">
        <f t="shared" si="18"/>
        <v>12</v>
      </c>
      <c r="AZ34" s="36">
        <f t="shared" si="19"/>
        <v>-16</v>
      </c>
      <c r="BA34" s="36">
        <f t="shared" si="20"/>
        <v>23.5</v>
      </c>
      <c r="BB34" s="36">
        <f t="shared" si="21"/>
        <v>-12</v>
      </c>
      <c r="BC34" s="36">
        <f t="shared" si="22"/>
        <v>12</v>
      </c>
      <c r="BD34" s="43">
        <f t="shared" si="23"/>
        <v>0.33333333333333331</v>
      </c>
      <c r="BE34" s="44" t="str">
        <f t="shared" si="24"/>
        <v/>
      </c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</row>
    <row r="35" spans="1:80" s="2" customFormat="1" ht="19.5" customHeight="1" x14ac:dyDescent="0.25">
      <c r="A35" s="238" t="s">
        <v>39</v>
      </c>
      <c r="B35" s="238"/>
      <c r="C35" s="242">
        <v>12</v>
      </c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114"/>
      <c r="P35" s="114"/>
      <c r="Q35" s="117"/>
      <c r="R35" s="85" t="s">
        <v>153</v>
      </c>
      <c r="S35" s="240">
        <v>0.79166666666666663</v>
      </c>
      <c r="T35" s="240"/>
      <c r="U35" s="118" t="s">
        <v>11</v>
      </c>
      <c r="V35" s="241">
        <v>0.29166666666666669</v>
      </c>
      <c r="W35" s="241"/>
      <c r="X35" s="115"/>
      <c r="Y35" s="291"/>
      <c r="Z35" s="291"/>
      <c r="AA35" s="121"/>
      <c r="AB35" s="120"/>
      <c r="AC35" s="121"/>
      <c r="AD35" s="121"/>
      <c r="AE35" s="115"/>
      <c r="AF35" s="115"/>
      <c r="AG35" s="115"/>
      <c r="AH35" s="115"/>
      <c r="AI35" s="115"/>
      <c r="AJ35" s="115"/>
      <c r="AK35" s="217">
        <f>AH82</f>
        <v>48</v>
      </c>
      <c r="AL35" s="214" t="s">
        <v>140</v>
      </c>
      <c r="AM35" s="9"/>
      <c r="AN35" s="35">
        <f t="shared" si="7"/>
        <v>0.33333333333333331</v>
      </c>
      <c r="AO35" s="35">
        <f t="shared" si="8"/>
        <v>23.5</v>
      </c>
      <c r="AP35" s="36">
        <f t="shared" si="9"/>
        <v>19</v>
      </c>
      <c r="AQ35" s="36">
        <f t="shared" si="10"/>
        <v>7</v>
      </c>
      <c r="AR35" s="36">
        <f t="shared" si="11"/>
        <v>8</v>
      </c>
      <c r="AS35" s="37">
        <f t="shared" si="12"/>
        <v>8</v>
      </c>
      <c r="AT35" s="38">
        <f t="shared" si="13"/>
        <v>8</v>
      </c>
      <c r="AU35" s="39">
        <f t="shared" si="14"/>
        <v>9</v>
      </c>
      <c r="AV35" s="36">
        <f t="shared" si="15"/>
        <v>9</v>
      </c>
      <c r="AW35" s="36">
        <f t="shared" si="16"/>
        <v>9</v>
      </c>
      <c r="AX35" s="41">
        <f t="shared" si="17"/>
        <v>0</v>
      </c>
      <c r="AY35" s="36">
        <f t="shared" si="18"/>
        <v>11</v>
      </c>
      <c r="AZ35" s="36">
        <f t="shared" si="19"/>
        <v>-15</v>
      </c>
      <c r="BA35" s="36">
        <f t="shared" si="20"/>
        <v>23.5</v>
      </c>
      <c r="BB35" s="36">
        <f t="shared" si="21"/>
        <v>-12</v>
      </c>
      <c r="BC35" s="36">
        <f t="shared" si="22"/>
        <v>12</v>
      </c>
      <c r="BD35" s="43">
        <f t="shared" si="23"/>
        <v>0.33333333333333331</v>
      </c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</row>
    <row r="36" spans="1:80" s="2" customFormat="1" ht="19.5" customHeight="1" x14ac:dyDescent="0.25">
      <c r="A36" s="238" t="s">
        <v>40</v>
      </c>
      <c r="B36" s="238"/>
      <c r="C36" s="239">
        <v>5.22</v>
      </c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114"/>
      <c r="P36" s="114"/>
      <c r="Q36" s="117"/>
      <c r="R36" s="85" t="s">
        <v>154</v>
      </c>
      <c r="S36" s="240">
        <v>0.91666666666666663</v>
      </c>
      <c r="T36" s="240"/>
      <c r="U36" s="118" t="s">
        <v>11</v>
      </c>
      <c r="V36" s="241">
        <v>0.25</v>
      </c>
      <c r="W36" s="241"/>
      <c r="X36" s="115"/>
      <c r="Y36" s="291"/>
      <c r="Z36" s="291"/>
      <c r="AA36" s="121"/>
      <c r="AB36" s="120"/>
      <c r="AC36" s="121"/>
      <c r="AD36" s="121"/>
      <c r="AE36" s="115"/>
      <c r="AF36" s="115"/>
      <c r="AG36" s="115"/>
      <c r="AH36" s="115"/>
      <c r="AI36" s="115"/>
      <c r="AJ36" s="115"/>
      <c r="AK36" s="217">
        <f>AH93</f>
        <v>0</v>
      </c>
      <c r="AL36" s="214" t="s">
        <v>141</v>
      </c>
      <c r="AM36" s="9"/>
      <c r="AN36" s="35">
        <f t="shared" si="7"/>
        <v>0.33333333333333331</v>
      </c>
      <c r="AO36" s="35">
        <f t="shared" si="8"/>
        <v>23.333333333333332</v>
      </c>
      <c r="AP36" s="36">
        <f t="shared" si="9"/>
        <v>22</v>
      </c>
      <c r="AQ36" s="36">
        <f t="shared" si="10"/>
        <v>6</v>
      </c>
      <c r="AR36" s="36">
        <f t="shared" si="11"/>
        <v>8</v>
      </c>
      <c r="AS36" s="37">
        <f t="shared" si="12"/>
        <v>8</v>
      </c>
      <c r="AT36" s="38">
        <f t="shared" si="13"/>
        <v>8</v>
      </c>
      <c r="AU36" s="39">
        <f t="shared" si="14"/>
        <v>8</v>
      </c>
      <c r="AV36" s="36">
        <f t="shared" si="15"/>
        <v>8</v>
      </c>
      <c r="AW36" s="36">
        <f t="shared" si="16"/>
        <v>8</v>
      </c>
      <c r="AX36" s="41">
        <f t="shared" si="17"/>
        <v>0</v>
      </c>
      <c r="AY36" s="36">
        <f t="shared" si="18"/>
        <v>8</v>
      </c>
      <c r="AZ36" s="36">
        <f t="shared" si="19"/>
        <v>-16</v>
      </c>
      <c r="BA36" s="36">
        <f t="shared" si="20"/>
        <v>23.333333333333332</v>
      </c>
      <c r="BB36" s="36">
        <f t="shared" si="21"/>
        <v>-16.000000000000028</v>
      </c>
      <c r="BC36" s="36">
        <f t="shared" si="22"/>
        <v>7.9999999999999716</v>
      </c>
      <c r="BD36" s="43">
        <f t="shared" si="23"/>
        <v>0.33333333333333331</v>
      </c>
      <c r="BE36" s="1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</row>
    <row r="37" spans="1:80" s="2" customFormat="1" ht="19.5" customHeight="1" x14ac:dyDescent="0.25">
      <c r="A37" s="238" t="s">
        <v>41</v>
      </c>
      <c r="B37" s="238"/>
      <c r="C37" s="239">
        <v>162</v>
      </c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116"/>
      <c r="P37" s="116"/>
      <c r="Q37" s="117"/>
      <c r="R37" s="85" t="str">
        <f>CONTROL!F40</f>
        <v>F</v>
      </c>
      <c r="S37" s="240">
        <f>CONTROL!G40</f>
        <v>0.20833333333333334</v>
      </c>
      <c r="T37" s="240"/>
      <c r="U37" s="118" t="s">
        <v>11</v>
      </c>
      <c r="V37" s="241">
        <f>CONTROL!H40</f>
        <v>0.25</v>
      </c>
      <c r="W37" s="241"/>
      <c r="X37" s="115"/>
      <c r="Y37" s="291"/>
      <c r="Z37" s="291"/>
      <c r="AA37" s="121"/>
      <c r="AB37" s="120"/>
      <c r="AC37" s="121"/>
      <c r="AD37" s="121"/>
      <c r="AE37" s="115"/>
      <c r="AF37" s="115"/>
      <c r="AG37" s="115"/>
      <c r="AH37" s="115"/>
      <c r="AI37" s="115"/>
      <c r="AJ37" s="116"/>
      <c r="AK37" s="217">
        <f>AH104</f>
        <v>128</v>
      </c>
      <c r="AL37" s="214" t="s">
        <v>142</v>
      </c>
      <c r="AM37" s="9"/>
      <c r="AN37" s="35">
        <f t="shared" si="7"/>
        <v>4.1666666666666664E-2</v>
      </c>
      <c r="AO37" s="35">
        <f t="shared" si="8"/>
        <v>4.1666666666666657E-2</v>
      </c>
      <c r="AP37" s="36">
        <f t="shared" si="9"/>
        <v>5</v>
      </c>
      <c r="AQ37" s="36">
        <f t="shared" si="10"/>
        <v>6</v>
      </c>
      <c r="AR37" s="36">
        <f t="shared" si="11"/>
        <v>1</v>
      </c>
      <c r="AS37" s="37">
        <f t="shared" si="12"/>
        <v>1</v>
      </c>
      <c r="AT37" s="38">
        <f t="shared" si="13"/>
        <v>1</v>
      </c>
      <c r="AU37" s="39">
        <f t="shared" si="14"/>
        <v>1</v>
      </c>
      <c r="AV37" s="36">
        <f t="shared" si="15"/>
        <v>1</v>
      </c>
      <c r="AW37" s="36">
        <f t="shared" si="16"/>
        <v>9</v>
      </c>
      <c r="AX37" s="41">
        <f t="shared" si="17"/>
        <v>-1</v>
      </c>
      <c r="AY37" s="36">
        <f t="shared" si="18"/>
        <v>25</v>
      </c>
      <c r="AZ37" s="36">
        <f t="shared" si="19"/>
        <v>-15</v>
      </c>
      <c r="BA37" s="36">
        <f t="shared" si="20"/>
        <v>4.1666666666666657E-2</v>
      </c>
      <c r="BB37" s="36">
        <f t="shared" si="21"/>
        <v>0.99999999999999978</v>
      </c>
      <c r="BC37" s="36">
        <f t="shared" si="22"/>
        <v>0.99999999999999978</v>
      </c>
      <c r="BD37" s="43">
        <f t="shared" si="23"/>
        <v>4.1666666666666664E-2</v>
      </c>
      <c r="BE37" s="1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</row>
    <row r="38" spans="1:80" s="2" customFormat="1" ht="20.100000000000001" customHeight="1" x14ac:dyDescent="0.25">
      <c r="A38" s="238" t="s">
        <v>42</v>
      </c>
      <c r="B38" s="238"/>
      <c r="C38" s="239">
        <v>0</v>
      </c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122"/>
      <c r="P38" s="122"/>
      <c r="Q38" s="115"/>
      <c r="R38" s="197" t="str">
        <f>CONTROL!F41</f>
        <v>G</v>
      </c>
      <c r="S38" s="222">
        <f>CONTROL!G41</f>
        <v>0.29166666666666669</v>
      </c>
      <c r="T38" s="222"/>
      <c r="U38" s="118" t="s">
        <v>11</v>
      </c>
      <c r="V38" s="223">
        <f>CONTROL!H41</f>
        <v>0.33333333333333331</v>
      </c>
      <c r="W38" s="223"/>
      <c r="X38" s="115"/>
      <c r="Y38" s="291"/>
      <c r="Z38" s="291"/>
      <c r="AA38" s="121"/>
      <c r="AB38" s="120"/>
      <c r="AC38" s="121"/>
      <c r="AD38" s="121"/>
      <c r="AE38" s="116"/>
      <c r="AF38" s="116"/>
      <c r="AG38" s="116"/>
      <c r="AH38" s="116"/>
      <c r="AI38" s="116"/>
      <c r="AJ38" s="114"/>
      <c r="AK38" s="217">
        <f>AH115</f>
        <v>40</v>
      </c>
      <c r="AL38" s="214" t="s">
        <v>143</v>
      </c>
      <c r="AN38" s="35">
        <f t="shared" si="7"/>
        <v>0</v>
      </c>
      <c r="AO38" s="35">
        <f t="shared" si="8"/>
        <v>4.166666666666663E-2</v>
      </c>
      <c r="AP38" s="36">
        <f t="shared" si="9"/>
        <v>7</v>
      </c>
      <c r="AQ38" s="36">
        <f t="shared" si="10"/>
        <v>8</v>
      </c>
      <c r="AR38" s="36">
        <f t="shared" si="11"/>
        <v>0</v>
      </c>
      <c r="AS38" s="37">
        <f t="shared" si="12"/>
        <v>0</v>
      </c>
      <c r="AT38" s="38">
        <f t="shared" si="13"/>
        <v>0</v>
      </c>
      <c r="AU38" s="39">
        <f t="shared" si="14"/>
        <v>0</v>
      </c>
      <c r="AV38" s="36">
        <f t="shared" si="15"/>
        <v>-1</v>
      </c>
      <c r="AW38" s="36">
        <f t="shared" si="16"/>
        <v>10</v>
      </c>
      <c r="AX38" s="41">
        <f t="shared" si="17"/>
        <v>-1</v>
      </c>
      <c r="AY38" s="36">
        <f t="shared" si="18"/>
        <v>23</v>
      </c>
      <c r="AZ38" s="36">
        <f t="shared" si="19"/>
        <v>-14</v>
      </c>
      <c r="BA38" s="36">
        <f t="shared" si="20"/>
        <v>4.166666666666663E-2</v>
      </c>
      <c r="BB38" s="36">
        <f t="shared" si="21"/>
        <v>0.99999999999999911</v>
      </c>
      <c r="BC38" s="36">
        <f t="shared" si="22"/>
        <v>0.99999999999999911</v>
      </c>
      <c r="BD38" s="43">
        <f t="shared" si="23"/>
        <v>0</v>
      </c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</row>
    <row r="39" spans="1:80" s="2" customFormat="1" ht="20.100000000000001" customHeight="1" x14ac:dyDescent="0.25">
      <c r="A39" s="123"/>
      <c r="B39" s="116"/>
      <c r="C39" s="124"/>
      <c r="D39" s="116"/>
      <c r="E39" s="116"/>
      <c r="F39" s="116"/>
      <c r="G39" s="116"/>
      <c r="H39" s="116"/>
      <c r="I39" s="116"/>
      <c r="J39" s="116"/>
      <c r="K39" s="116"/>
      <c r="L39" s="122"/>
      <c r="M39" s="122"/>
      <c r="N39" s="125"/>
      <c r="O39" s="122"/>
      <c r="P39" s="122"/>
      <c r="Q39" s="115"/>
      <c r="R39" s="197" t="str">
        <f>CONTROL!F42</f>
        <v>H</v>
      </c>
      <c r="S39" s="222">
        <f>CONTROL!G42</f>
        <v>0.33333333333333331</v>
      </c>
      <c r="T39" s="222"/>
      <c r="U39" s="118" t="s">
        <v>11</v>
      </c>
      <c r="V39" s="223">
        <f>CONTROL!H42</f>
        <v>0.375</v>
      </c>
      <c r="W39" s="223"/>
      <c r="X39" s="115"/>
      <c r="Y39" s="291"/>
      <c r="Z39" s="291"/>
      <c r="AA39" s="121"/>
      <c r="AB39" s="120"/>
      <c r="AC39" s="121"/>
      <c r="AD39" s="121"/>
      <c r="AE39" s="116"/>
      <c r="AF39" s="116"/>
      <c r="AG39" s="116"/>
      <c r="AH39" s="116"/>
      <c r="AI39" s="116"/>
      <c r="AJ39" s="114"/>
      <c r="AK39" s="217">
        <f>AH126</f>
        <v>88</v>
      </c>
      <c r="AL39" s="214" t="s">
        <v>144</v>
      </c>
      <c r="AN39" s="35">
        <f t="shared" si="7"/>
        <v>0</v>
      </c>
      <c r="AO39" s="35">
        <f t="shared" si="8"/>
        <v>4.1666666666666685E-2</v>
      </c>
      <c r="AP39" s="36">
        <f t="shared" si="9"/>
        <v>8</v>
      </c>
      <c r="AQ39" s="36">
        <f t="shared" si="10"/>
        <v>9</v>
      </c>
      <c r="AR39" s="36">
        <f t="shared" si="11"/>
        <v>0</v>
      </c>
      <c r="AS39" s="37">
        <f t="shared" si="12"/>
        <v>0</v>
      </c>
      <c r="AT39" s="38">
        <f t="shared" si="13"/>
        <v>0</v>
      </c>
      <c r="AU39" s="39">
        <f t="shared" si="14"/>
        <v>0</v>
      </c>
      <c r="AV39" s="36">
        <f t="shared" si="15"/>
        <v>-1</v>
      </c>
      <c r="AW39" s="36">
        <f t="shared" si="16"/>
        <v>11</v>
      </c>
      <c r="AX39" s="41">
        <f t="shared" si="17"/>
        <v>-1</v>
      </c>
      <c r="AY39" s="36">
        <f t="shared" si="18"/>
        <v>22</v>
      </c>
      <c r="AZ39" s="36">
        <f t="shared" si="19"/>
        <v>-13</v>
      </c>
      <c r="BA39" s="36">
        <f t="shared" si="20"/>
        <v>4.1666666666666685E-2</v>
      </c>
      <c r="BB39" s="36">
        <f t="shared" si="21"/>
        <v>1.0000000000000004</v>
      </c>
      <c r="BC39" s="36">
        <f t="shared" si="22"/>
        <v>1.0000000000000004</v>
      </c>
      <c r="BD39" s="43">
        <f t="shared" si="23"/>
        <v>0</v>
      </c>
      <c r="BE39" s="31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</row>
    <row r="40" spans="1:80" s="2" customFormat="1" ht="20.100000000000001" customHeight="1" x14ac:dyDescent="0.25">
      <c r="A40" s="123"/>
      <c r="B40" s="116"/>
      <c r="C40" s="124"/>
      <c r="D40" s="116"/>
      <c r="E40" s="116"/>
      <c r="F40" s="116"/>
      <c r="G40" s="116"/>
      <c r="H40" s="116"/>
      <c r="I40" s="116"/>
      <c r="J40" s="116"/>
      <c r="K40" s="116"/>
      <c r="L40" s="122"/>
      <c r="M40" s="122"/>
      <c r="N40" s="125"/>
      <c r="O40" s="122"/>
      <c r="P40" s="122"/>
      <c r="Q40" s="115"/>
      <c r="R40" s="197" t="str">
        <f>CONTROL!F43</f>
        <v>I</v>
      </c>
      <c r="S40" s="222">
        <f>CONTROL!G43</f>
        <v>0.41666666666666669</v>
      </c>
      <c r="T40" s="222"/>
      <c r="U40" s="118" t="s">
        <v>11</v>
      </c>
      <c r="V40" s="223">
        <f>CONTROL!H43</f>
        <v>0.45833333333333331</v>
      </c>
      <c r="W40" s="223"/>
      <c r="X40" s="115"/>
      <c r="Y40" s="291"/>
      <c r="Z40" s="291"/>
      <c r="AA40" s="121"/>
      <c r="AB40" s="120"/>
      <c r="AC40" s="121"/>
      <c r="AD40" s="121"/>
      <c r="AE40" s="116"/>
      <c r="AF40" s="116"/>
      <c r="AG40" s="116"/>
      <c r="AH40" s="116"/>
      <c r="AI40" s="116"/>
      <c r="AJ40" s="114"/>
      <c r="AK40" s="217">
        <f>AH137</f>
        <v>120</v>
      </c>
      <c r="AL40" s="214" t="s">
        <v>145</v>
      </c>
      <c r="AN40" s="35">
        <f t="shared" si="7"/>
        <v>0</v>
      </c>
      <c r="AO40" s="35">
        <f t="shared" si="8"/>
        <v>4.166666666666663E-2</v>
      </c>
      <c r="AP40" s="36">
        <f>S40*24+24</f>
        <v>34</v>
      </c>
      <c r="AQ40" s="36">
        <f t="shared" si="10"/>
        <v>11</v>
      </c>
      <c r="AR40" s="36">
        <f t="shared" si="11"/>
        <v>0</v>
      </c>
      <c r="AS40" s="37">
        <f t="shared" si="12"/>
        <v>0</v>
      </c>
      <c r="AT40" s="38">
        <f t="shared" si="13"/>
        <v>0</v>
      </c>
      <c r="AU40" s="39">
        <f t="shared" si="14"/>
        <v>0</v>
      </c>
      <c r="AV40" s="36">
        <f t="shared" si="15"/>
        <v>-4</v>
      </c>
      <c r="AW40" s="36">
        <f t="shared" si="16"/>
        <v>-4</v>
      </c>
      <c r="AX40" s="41">
        <f t="shared" si="17"/>
        <v>0</v>
      </c>
      <c r="AY40" s="36">
        <f t="shared" si="18"/>
        <v>-4</v>
      </c>
      <c r="AZ40" s="36">
        <f t="shared" si="19"/>
        <v>-23</v>
      </c>
      <c r="BA40" s="36">
        <f t="shared" si="20"/>
        <v>4.166666666666663E-2</v>
      </c>
      <c r="BB40" s="36">
        <f t="shared" si="21"/>
        <v>0.99999999999999911</v>
      </c>
      <c r="BC40" s="36">
        <f t="shared" si="22"/>
        <v>0.99999999999999911</v>
      </c>
      <c r="BD40" s="43">
        <f t="shared" si="23"/>
        <v>0</v>
      </c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</row>
    <row r="41" spans="1:80" s="2" customFormat="1" ht="20.100000000000001" customHeight="1" x14ac:dyDescent="0.25">
      <c r="A41" s="123"/>
      <c r="B41" s="116"/>
      <c r="C41" s="124"/>
      <c r="D41" s="116"/>
      <c r="E41" s="116"/>
      <c r="F41" s="116"/>
      <c r="G41" s="116"/>
      <c r="H41" s="116"/>
      <c r="I41" s="116"/>
      <c r="J41" s="116"/>
      <c r="K41" s="116"/>
      <c r="L41" s="122"/>
      <c r="M41" s="122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6"/>
      <c r="AB41" s="116"/>
      <c r="AC41" s="116"/>
      <c r="AD41" s="116"/>
      <c r="AE41" s="116"/>
      <c r="AF41" s="116"/>
      <c r="AG41" s="116"/>
      <c r="AH41" s="116"/>
      <c r="AI41" s="116"/>
      <c r="AJ41" s="114"/>
      <c r="AK41" s="217">
        <f>AH148</f>
        <v>144</v>
      </c>
      <c r="AL41" s="214" t="s">
        <v>146</v>
      </c>
      <c r="AN41" s="10"/>
      <c r="AO41" s="10"/>
      <c r="AP41" s="46">
        <f>S41*24</f>
        <v>0</v>
      </c>
      <c r="AQ41" s="10"/>
      <c r="AR41" s="47">
        <v>1</v>
      </c>
      <c r="AS41" s="47">
        <v>2</v>
      </c>
      <c r="AT41" s="47">
        <v>3</v>
      </c>
      <c r="AU41" s="47">
        <v>4</v>
      </c>
      <c r="AV41" s="47">
        <v>5</v>
      </c>
      <c r="AW41" s="47">
        <v>6</v>
      </c>
      <c r="AX41" s="47">
        <v>7</v>
      </c>
      <c r="AY41" s="47">
        <v>8</v>
      </c>
      <c r="AZ41" s="47">
        <v>9</v>
      </c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</row>
    <row r="42" spans="1:80" ht="20.100000000000001" customHeight="1" x14ac:dyDescent="0.25">
      <c r="A42" s="116"/>
      <c r="B42" s="126"/>
      <c r="C42" s="224" t="s">
        <v>43</v>
      </c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5" t="str">
        <f>CONTROL!B38</f>
        <v>OSCAR ORGEIRA © 20.03.00 EXCEL</v>
      </c>
      <c r="X42" s="225"/>
      <c r="Y42" s="225"/>
      <c r="Z42" s="225"/>
      <c r="AA42" s="225"/>
      <c r="AB42" s="225"/>
      <c r="AC42" s="225"/>
      <c r="AD42" s="225"/>
      <c r="AE42" s="225"/>
      <c r="AF42" s="225"/>
      <c r="AG42" s="225"/>
      <c r="AH42" s="225"/>
      <c r="AI42" s="127"/>
      <c r="AJ42" s="116"/>
      <c r="AK42" s="218">
        <f>AH159</f>
        <v>40</v>
      </c>
      <c r="AL42" s="215" t="s">
        <v>147</v>
      </c>
      <c r="BE42" s="10"/>
    </row>
    <row r="43" spans="1:80" ht="20.100000000000001" customHeight="1" x14ac:dyDescent="0.25">
      <c r="A43" s="116"/>
      <c r="B43" s="116"/>
      <c r="C43" s="234" t="s">
        <v>44</v>
      </c>
      <c r="D43" s="234"/>
      <c r="E43" s="235" t="s">
        <v>45</v>
      </c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  <c r="AA43" s="235"/>
      <c r="AB43" s="235"/>
      <c r="AC43" s="235"/>
      <c r="AD43" s="235"/>
      <c r="AE43" s="235"/>
      <c r="AF43" s="235"/>
      <c r="AG43" s="235"/>
      <c r="AH43" s="235"/>
      <c r="AI43" s="235"/>
      <c r="AJ43" s="116"/>
      <c r="AK43" s="218">
        <f>AH170</f>
        <v>0</v>
      </c>
      <c r="AL43" s="215" t="s">
        <v>148</v>
      </c>
      <c r="BE43" s="10"/>
    </row>
    <row r="44" spans="1:80" s="2" customFormat="1" ht="15.95" hidden="1" customHeight="1" x14ac:dyDescent="0.25">
      <c r="A44" s="123"/>
      <c r="B44" s="114"/>
      <c r="C44" s="128"/>
      <c r="D44" s="114"/>
      <c r="E44" s="114"/>
      <c r="F44" s="114"/>
      <c r="G44" s="114"/>
      <c r="H44" s="114"/>
      <c r="I44" s="114"/>
      <c r="J44" s="114"/>
      <c r="K44" s="114"/>
      <c r="L44" s="125"/>
      <c r="M44" s="125"/>
      <c r="N44" s="125"/>
      <c r="O44" s="125"/>
      <c r="P44" s="125"/>
      <c r="Q44" s="125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N44" s="10"/>
      <c r="AO44" s="10"/>
      <c r="AP44" s="10"/>
      <c r="AQ44" s="10"/>
      <c r="AR44" s="47"/>
      <c r="AS44" s="47"/>
      <c r="AT44" s="47"/>
      <c r="AU44" s="47"/>
      <c r="AV44" s="47"/>
      <c r="AW44" s="47"/>
      <c r="AX44" s="47"/>
      <c r="AY44" s="47"/>
      <c r="AZ44" s="47"/>
      <c r="BA44" s="10"/>
      <c r="BB44" s="10"/>
      <c r="BC44" s="10"/>
      <c r="BD44" s="10"/>
      <c r="BE44" s="48" t="str">
        <f>INDEX({"do";"lu";"ma";"mi";"ju";"vi";"sa"},1+MOD($AR$47+4-2,7))</f>
        <v>ju</v>
      </c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</row>
    <row r="45" spans="1:80" ht="15.95" hidden="1" customHeight="1" x14ac:dyDescent="0.25">
      <c r="A45" s="129"/>
      <c r="B45" s="130" t="s">
        <v>46</v>
      </c>
      <c r="C45" s="131" t="str">
        <f t="shared" ref="C45:AH45" si="25">IF(C7="S",IF(C7="",0,1),IF(C7="D",IF(C7="",0,1),""))</f>
        <v/>
      </c>
      <c r="D45" s="131" t="str">
        <f t="shared" si="25"/>
        <v/>
      </c>
      <c r="E45" s="131" t="str">
        <f t="shared" si="25"/>
        <v/>
      </c>
      <c r="F45" s="131" t="str">
        <f t="shared" si="25"/>
        <v/>
      </c>
      <c r="G45" s="131" t="str">
        <f t="shared" si="25"/>
        <v/>
      </c>
      <c r="H45" s="131">
        <f t="shared" si="25"/>
        <v>1</v>
      </c>
      <c r="I45" s="131">
        <f t="shared" si="25"/>
        <v>1</v>
      </c>
      <c r="J45" s="131" t="str">
        <f t="shared" si="25"/>
        <v/>
      </c>
      <c r="K45" s="131" t="str">
        <f t="shared" si="25"/>
        <v/>
      </c>
      <c r="L45" s="131" t="str">
        <f t="shared" si="25"/>
        <v/>
      </c>
      <c r="M45" s="131" t="str">
        <f t="shared" si="25"/>
        <v/>
      </c>
      <c r="N45" s="131" t="str">
        <f t="shared" si="25"/>
        <v/>
      </c>
      <c r="O45" s="131">
        <f t="shared" si="25"/>
        <v>1</v>
      </c>
      <c r="P45" s="131">
        <f t="shared" si="25"/>
        <v>1</v>
      </c>
      <c r="Q45" s="131" t="str">
        <f t="shared" si="25"/>
        <v/>
      </c>
      <c r="R45" s="131" t="str">
        <f t="shared" si="25"/>
        <v/>
      </c>
      <c r="S45" s="131" t="str">
        <f t="shared" si="25"/>
        <v/>
      </c>
      <c r="T45" s="131" t="str">
        <f t="shared" si="25"/>
        <v/>
      </c>
      <c r="U45" s="131" t="str">
        <f t="shared" si="25"/>
        <v/>
      </c>
      <c r="V45" s="131">
        <f t="shared" si="25"/>
        <v>1</v>
      </c>
      <c r="W45" s="131">
        <f t="shared" si="25"/>
        <v>1</v>
      </c>
      <c r="X45" s="131" t="str">
        <f t="shared" si="25"/>
        <v/>
      </c>
      <c r="Y45" s="131" t="str">
        <f t="shared" si="25"/>
        <v/>
      </c>
      <c r="Z45" s="131" t="str">
        <f t="shared" si="25"/>
        <v/>
      </c>
      <c r="AA45" s="131" t="str">
        <f t="shared" si="25"/>
        <v/>
      </c>
      <c r="AB45" s="131" t="str">
        <f t="shared" si="25"/>
        <v/>
      </c>
      <c r="AC45" s="131">
        <f t="shared" si="25"/>
        <v>1</v>
      </c>
      <c r="AD45" s="131">
        <f t="shared" si="25"/>
        <v>1</v>
      </c>
      <c r="AE45" s="131" t="str">
        <f t="shared" si="25"/>
        <v/>
      </c>
      <c r="AF45" s="131" t="str">
        <f t="shared" si="25"/>
        <v/>
      </c>
      <c r="AG45" s="131" t="str">
        <f t="shared" si="25"/>
        <v/>
      </c>
      <c r="AH45" s="132" t="str">
        <f t="shared" si="25"/>
        <v/>
      </c>
      <c r="AI45" s="236" t="s">
        <v>8</v>
      </c>
      <c r="AJ45" s="236"/>
      <c r="AK45" s="133"/>
      <c r="AL45" s="133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49" t="str">
        <f>IF(MONTH($Q$4)&lt;&gt;MONTH($Q$4-(WEEKDAY($Q$4,1)-($AR$47-1))-IF((WEEKDAY($Q$4,1)-($AR$47-1))&lt;=0,7,0)+(ROW(BE45)-ROW($AN$51))*7+(COLUMN(BE45)-COLUMN($AN$51)+1)),"",$Q$4-(WEEKDAY($Q$4,1)-($AR$47-1))-IF((WEEKDAY($Q$4,1)-($AR$47-1))&lt;=0,7,0)+(ROW(BE45)-ROW($AN$51))*7+(COLUMN(BE45)-COLUMN($AN$51)+1))</f>
        <v/>
      </c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</row>
    <row r="46" spans="1:80" s="2" customFormat="1" ht="15.95" hidden="1" customHeight="1" x14ac:dyDescent="0.25">
      <c r="A46" s="134" t="s">
        <v>47</v>
      </c>
      <c r="B46" s="134" t="s">
        <v>48</v>
      </c>
      <c r="C46" s="135" t="str">
        <f t="shared" ref="C46:AG46" si="26">IF(C6="X",IF(C6="",0,1),IF(C45=1,IF(C45="",0,1),""))</f>
        <v/>
      </c>
      <c r="D46" s="135" t="str">
        <f t="shared" si="26"/>
        <v/>
      </c>
      <c r="E46" s="135" t="str">
        <f t="shared" si="26"/>
        <v/>
      </c>
      <c r="F46" s="135" t="str">
        <f t="shared" si="26"/>
        <v/>
      </c>
      <c r="G46" s="135" t="str">
        <f t="shared" si="26"/>
        <v/>
      </c>
      <c r="H46" s="135">
        <f t="shared" si="26"/>
        <v>1</v>
      </c>
      <c r="I46" s="135">
        <f t="shared" si="26"/>
        <v>1</v>
      </c>
      <c r="J46" s="135" t="str">
        <f t="shared" si="26"/>
        <v/>
      </c>
      <c r="K46" s="135" t="str">
        <f t="shared" si="26"/>
        <v/>
      </c>
      <c r="L46" s="135" t="str">
        <f t="shared" si="26"/>
        <v/>
      </c>
      <c r="M46" s="135" t="str">
        <f t="shared" si="26"/>
        <v/>
      </c>
      <c r="N46" s="135" t="str">
        <f t="shared" si="26"/>
        <v/>
      </c>
      <c r="O46" s="135">
        <f t="shared" si="26"/>
        <v>1</v>
      </c>
      <c r="P46" s="135">
        <f t="shared" si="26"/>
        <v>1</v>
      </c>
      <c r="Q46" s="135" t="str">
        <f t="shared" si="26"/>
        <v/>
      </c>
      <c r="R46" s="135" t="str">
        <f t="shared" si="26"/>
        <v/>
      </c>
      <c r="S46" s="135" t="str">
        <f t="shared" si="26"/>
        <v/>
      </c>
      <c r="T46" s="135" t="str">
        <f t="shared" si="26"/>
        <v/>
      </c>
      <c r="U46" s="135" t="str">
        <f t="shared" si="26"/>
        <v/>
      </c>
      <c r="V46" s="135">
        <f t="shared" si="26"/>
        <v>1</v>
      </c>
      <c r="W46" s="135">
        <f t="shared" si="26"/>
        <v>1</v>
      </c>
      <c r="X46" s="135" t="str">
        <f t="shared" si="26"/>
        <v/>
      </c>
      <c r="Y46" s="135" t="str">
        <f t="shared" si="26"/>
        <v/>
      </c>
      <c r="Z46" s="135" t="str">
        <f t="shared" si="26"/>
        <v/>
      </c>
      <c r="AA46" s="135" t="str">
        <f t="shared" si="26"/>
        <v/>
      </c>
      <c r="AB46" s="135" t="str">
        <f t="shared" si="26"/>
        <v/>
      </c>
      <c r="AC46" s="135">
        <f t="shared" si="26"/>
        <v>1</v>
      </c>
      <c r="AD46" s="135">
        <f t="shared" si="26"/>
        <v>1</v>
      </c>
      <c r="AE46" s="132" t="str">
        <f t="shared" si="26"/>
        <v/>
      </c>
      <c r="AF46" s="132" t="str">
        <f t="shared" si="26"/>
        <v/>
      </c>
      <c r="AG46" s="132" t="str">
        <f t="shared" si="26"/>
        <v/>
      </c>
      <c r="AH46" s="136" t="b">
        <f>IF(AH6="X",IF(AH6="",0,1))</f>
        <v>0</v>
      </c>
      <c r="AI46" s="231">
        <f>(AH32-AH33)*AL46</f>
        <v>4</v>
      </c>
      <c r="AJ46" s="231"/>
      <c r="AK46" s="137" t="s">
        <v>49</v>
      </c>
      <c r="AL46" s="138">
        <f>SUM(C46:AG46)</f>
        <v>8</v>
      </c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</row>
    <row r="47" spans="1:80" s="2" customFormat="1" ht="15.95" hidden="1" customHeight="1" x14ac:dyDescent="0.3">
      <c r="A47" s="139" t="s">
        <v>50</v>
      </c>
      <c r="B47" s="140" t="s">
        <v>29</v>
      </c>
      <c r="C47" s="141" t="str">
        <f t="shared" ref="C47:AG47" si="27">IF(C9=$R32,$S32*24,IF(C9=$R33,$S33*24,IF(C9=$R34,$S34*24,IF(C9=$R35,$S35*24,IF(C9=$R36,$S36*24,IF(C9=$R37,$S37*24,IF(C9=$R38,$S38*24,IF(C9=$R39,$S39*24,IF(C9=$R40,$S40*24,"")))))))))</f>
        <v/>
      </c>
      <c r="D47" s="141" t="str">
        <f t="shared" si="27"/>
        <v/>
      </c>
      <c r="E47" s="141" t="str">
        <f t="shared" si="27"/>
        <v/>
      </c>
      <c r="F47" s="141" t="str">
        <f t="shared" si="27"/>
        <v/>
      </c>
      <c r="G47" s="141" t="str">
        <f t="shared" si="27"/>
        <v/>
      </c>
      <c r="H47" s="141" t="str">
        <f t="shared" si="27"/>
        <v/>
      </c>
      <c r="I47" s="141" t="str">
        <f t="shared" si="27"/>
        <v/>
      </c>
      <c r="J47" s="141" t="str">
        <f t="shared" si="27"/>
        <v/>
      </c>
      <c r="K47" s="141" t="str">
        <f t="shared" si="27"/>
        <v/>
      </c>
      <c r="L47" s="141" t="str">
        <f t="shared" si="27"/>
        <v/>
      </c>
      <c r="M47" s="141" t="str">
        <f t="shared" si="27"/>
        <v/>
      </c>
      <c r="N47" s="141" t="str">
        <f t="shared" si="27"/>
        <v/>
      </c>
      <c r="O47" s="141" t="str">
        <f t="shared" si="27"/>
        <v/>
      </c>
      <c r="P47" s="141" t="str">
        <f t="shared" si="27"/>
        <v/>
      </c>
      <c r="Q47" s="141" t="str">
        <f t="shared" si="27"/>
        <v/>
      </c>
      <c r="R47" s="141" t="str">
        <f t="shared" si="27"/>
        <v/>
      </c>
      <c r="S47" s="141" t="str">
        <f t="shared" si="27"/>
        <v/>
      </c>
      <c r="T47" s="141" t="str">
        <f t="shared" si="27"/>
        <v/>
      </c>
      <c r="U47" s="141" t="str">
        <f t="shared" si="27"/>
        <v/>
      </c>
      <c r="V47" s="141" t="str">
        <f t="shared" si="27"/>
        <v/>
      </c>
      <c r="W47" s="141" t="str">
        <f t="shared" si="27"/>
        <v/>
      </c>
      <c r="X47" s="141" t="str">
        <f t="shared" si="27"/>
        <v/>
      </c>
      <c r="Y47" s="141" t="str">
        <f t="shared" si="27"/>
        <v/>
      </c>
      <c r="Z47" s="141" t="str">
        <f t="shared" si="27"/>
        <v/>
      </c>
      <c r="AA47" s="141" t="str">
        <f t="shared" si="27"/>
        <v/>
      </c>
      <c r="AB47" s="141" t="str">
        <f t="shared" si="27"/>
        <v/>
      </c>
      <c r="AC47" s="141" t="str">
        <f t="shared" si="27"/>
        <v/>
      </c>
      <c r="AD47" s="141" t="str">
        <f t="shared" si="27"/>
        <v/>
      </c>
      <c r="AE47" s="141" t="str">
        <f t="shared" si="27"/>
        <v/>
      </c>
      <c r="AF47" s="141" t="str">
        <f t="shared" si="27"/>
        <v/>
      </c>
      <c r="AG47" s="141" t="str">
        <f t="shared" si="27"/>
        <v/>
      </c>
      <c r="AH47" s="142" t="s">
        <v>12</v>
      </c>
      <c r="AI47" s="231">
        <f>(CA59-AH46)*AH33</f>
        <v>0</v>
      </c>
      <c r="AJ47" s="231"/>
      <c r="AK47" s="137" t="s">
        <v>51</v>
      </c>
      <c r="AL47" s="137"/>
      <c r="AN47" s="237" t="s">
        <v>52</v>
      </c>
      <c r="AO47" s="237"/>
      <c r="AP47" s="10"/>
      <c r="AQ47" s="50" t="s">
        <v>53</v>
      </c>
      <c r="AR47" s="46">
        <v>2</v>
      </c>
      <c r="AS47" s="51">
        <v>1</v>
      </c>
      <c r="AT47" s="52" t="str">
        <f>IF(AN53="lu","LUNES",IF(AN53="ma","MARTES",IF(AN53="mi","MIERCOLES",IF(AN53="ju","JUEVES",IF(AN53="vi","VIERNES",IF(AN53="sa","SABADO",IF(AN53="do","DOMINGO",IF(AO53="lu","LUNES",IF(AO53="ma","MARTES",IF(AO53="mi","MIERCOLES",IF(AO53="ju","JUEVES",IF(AO53="vi","VIERNES",IF(AO53="sa","SABADO",IF(AO53="do","DOMINGO",IF(AP53="lu","LUNES",IF(AP53="ma","MARTES",IF(AP53="mi","MIERCOLES",IF(AP53="ju","JUEVES",IF(AP53="vi","VIERNES",IF(AP53="sa","SABADO",IF(AP53="do","DOMINGO",IF(AQ53="lu","LUNES",IF(AQ53="ma","MARTES",IF(AQ53="mi","MIERCOLES",IF(AQ53="ju","JUEVES",IF(AQ53="vi","VIERNES",IF(AQ53="sa","SABADO",IF(AQ53="do","DOMINGO",IF(AR53="lu","LUNES",IF(AR53="ma","MARTES",IF(AR53="mi","MIERCOLES",IF(AR53="ju","JUEVES",IF(AR53="vi","VIERNES",IF(AR53="sa","SABADO",IF(AR53="do","DOMINGO","")))))))))))))))))))))))))))))))))))</f>
        <v>LUNES</v>
      </c>
      <c r="AU47" s="50" t="s">
        <v>54</v>
      </c>
      <c r="AV47" s="53" t="str">
        <f>IF(AT47="LUNES","LUNES",IF(AT47="MARTES","MARTES",IF(AT47="MIERCOLES","MIERCOLES",IF(AT47="JUEVES","JUEVES",IF(AT47="VIERNES","VIERNES",IF(AT47="SABADO","SABADO",IF(AT47="DOMINGO","DOMINGO",IF(AT48="LUNES","LUNES",IF(AT48="MARTES","MARTES",IF(AT48="MIERCOLES","MIERCOLES",IF(AT48="JUEVES","JUEVES",IF(AT48="VIERNES","VIERNES",IF(AT48="SABADO","SABADO",IF(AT48="DOMINGO","DOMINGO",""))))))))))))))</f>
        <v>LUNES</v>
      </c>
      <c r="AW47" s="51">
        <v>28</v>
      </c>
      <c r="AX47" s="46">
        <f>$AR$48+27</f>
        <v>46019</v>
      </c>
      <c r="AY47" s="51">
        <v>30</v>
      </c>
      <c r="AZ47" s="46">
        <f>$AR$48+29</f>
        <v>46021</v>
      </c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</row>
    <row r="48" spans="1:80" s="2" customFormat="1" ht="15.95" hidden="1" customHeight="1" x14ac:dyDescent="0.35">
      <c r="A48" s="143" t="s">
        <v>55</v>
      </c>
      <c r="B48" s="144" t="s">
        <v>30</v>
      </c>
      <c r="C48" s="141" t="str">
        <f t="shared" ref="C48:AG48" si="28">IF(C9=$R32,$V32*24,IF(C9=$R33,$V33*24,IF(C9=$R34,$V34*24,IF(C9=$R35,$V35*24,IF(C9=$R36,$V36*24,IF(C9=$R37,$V37*24,IF(C9=$R38,$V38*24,IF(C9=$R39,$V39*24,IF(C9=$R40,$V40*24,"")))))))))</f>
        <v/>
      </c>
      <c r="D48" s="141" t="str">
        <f t="shared" si="28"/>
        <v/>
      </c>
      <c r="E48" s="141" t="str">
        <f t="shared" si="28"/>
        <v/>
      </c>
      <c r="F48" s="141" t="str">
        <f t="shared" si="28"/>
        <v/>
      </c>
      <c r="G48" s="141" t="str">
        <f t="shared" si="28"/>
        <v/>
      </c>
      <c r="H48" s="141" t="str">
        <f t="shared" si="28"/>
        <v/>
      </c>
      <c r="I48" s="141" t="str">
        <f t="shared" si="28"/>
        <v/>
      </c>
      <c r="J48" s="141" t="str">
        <f t="shared" si="28"/>
        <v/>
      </c>
      <c r="K48" s="141" t="str">
        <f t="shared" si="28"/>
        <v/>
      </c>
      <c r="L48" s="141" t="str">
        <f t="shared" si="28"/>
        <v/>
      </c>
      <c r="M48" s="141" t="str">
        <f t="shared" si="28"/>
        <v/>
      </c>
      <c r="N48" s="141" t="str">
        <f t="shared" si="28"/>
        <v/>
      </c>
      <c r="O48" s="141" t="str">
        <f t="shared" si="28"/>
        <v/>
      </c>
      <c r="P48" s="141" t="str">
        <f t="shared" si="28"/>
        <v/>
      </c>
      <c r="Q48" s="141" t="str">
        <f t="shared" si="28"/>
        <v/>
      </c>
      <c r="R48" s="141" t="str">
        <f t="shared" si="28"/>
        <v/>
      </c>
      <c r="S48" s="141" t="str">
        <f t="shared" si="28"/>
        <v/>
      </c>
      <c r="T48" s="141" t="str">
        <f t="shared" si="28"/>
        <v/>
      </c>
      <c r="U48" s="141" t="str">
        <f t="shared" si="28"/>
        <v/>
      </c>
      <c r="V48" s="141" t="str">
        <f t="shared" si="28"/>
        <v/>
      </c>
      <c r="W48" s="141" t="str">
        <f t="shared" si="28"/>
        <v/>
      </c>
      <c r="X48" s="141" t="str">
        <f t="shared" si="28"/>
        <v/>
      </c>
      <c r="Y48" s="141" t="str">
        <f t="shared" si="28"/>
        <v/>
      </c>
      <c r="Z48" s="141" t="str">
        <f t="shared" si="28"/>
        <v/>
      </c>
      <c r="AA48" s="141" t="str">
        <f t="shared" si="28"/>
        <v/>
      </c>
      <c r="AB48" s="141" t="str">
        <f t="shared" si="28"/>
        <v/>
      </c>
      <c r="AC48" s="141" t="str">
        <f t="shared" si="28"/>
        <v/>
      </c>
      <c r="AD48" s="141" t="str">
        <f t="shared" si="28"/>
        <v/>
      </c>
      <c r="AE48" s="141" t="str">
        <f t="shared" si="28"/>
        <v/>
      </c>
      <c r="AF48" s="141" t="str">
        <f t="shared" si="28"/>
        <v/>
      </c>
      <c r="AG48" s="141" t="str">
        <f t="shared" si="28"/>
        <v/>
      </c>
      <c r="AH48" s="142" t="s">
        <v>12</v>
      </c>
      <c r="AI48" s="230">
        <f>SUM(AI46:AI47)</f>
        <v>4</v>
      </c>
      <c r="AJ48" s="230"/>
      <c r="AK48" s="137" t="s">
        <v>56</v>
      </c>
      <c r="AL48" s="137"/>
      <c r="AN48" s="10"/>
      <c r="AO48" s="10"/>
      <c r="AP48" s="10"/>
      <c r="AQ48" s="50" t="s">
        <v>57</v>
      </c>
      <c r="AR48" s="54">
        <f>DATE($C$34,$C$35,1)</f>
        <v>45992</v>
      </c>
      <c r="AS48" s="51">
        <v>2</v>
      </c>
      <c r="AT48" s="52" t="str">
        <f>IF(AS53="lu","LUNES",IF(AS53="ma","MARTES",IF(AS53="mi","MIERCOLES",IF(AS53="ju","JUEVES",IF(AS53="vi","VIERNES",IF(AS53="sa","SABADO",IF(AS53="do","DOMINGO",IF(AT53="lu","LUNES",IF(AT53="ma","MARTES",IF(AT53="mi","MIERCOLES",IF(AT53="ju","JUEVES",IF(AT53="vi","VIERNES",IF(AT53="sa","SABADO",IF(AT53="do","DOMINGO",""))))))))))))))</f>
        <v/>
      </c>
      <c r="AU48" s="10"/>
      <c r="AV48" s="51"/>
      <c r="AW48" s="51">
        <v>29</v>
      </c>
      <c r="AX48" s="46">
        <f>$AR$48+28</f>
        <v>46020</v>
      </c>
      <c r="AY48" s="51">
        <v>31</v>
      </c>
      <c r="AZ48" s="46">
        <f>$AR$48+30</f>
        <v>46022</v>
      </c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</row>
    <row r="49" spans="1:80" s="2" customFormat="1" ht="15.95" hidden="1" customHeight="1" x14ac:dyDescent="0.25">
      <c r="A49" s="145"/>
      <c r="B49" s="146" t="s">
        <v>34</v>
      </c>
      <c r="C49" s="147" t="str">
        <f t="shared" ref="C49:AD49" si="29">IF(C9=$R32,$BD32*24,IF(C9=$R33,$BD33*24,IF(C9=$R34,$BD34*24,IF(C9=$R35,$BD35*24,IF(C9=$R36,$BD36*24,IF(C9=$R37,$BD37*24,IF(C9=$R38,$BD38*24,IF(C9=$R39,$BD39*24,IF(C9=$R40,$BD40*24,"")))))))))</f>
        <v/>
      </c>
      <c r="D49" s="147" t="str">
        <f t="shared" si="29"/>
        <v/>
      </c>
      <c r="E49" s="147" t="str">
        <f t="shared" si="29"/>
        <v/>
      </c>
      <c r="F49" s="147" t="str">
        <f t="shared" si="29"/>
        <v/>
      </c>
      <c r="G49" s="147" t="str">
        <f t="shared" si="29"/>
        <v/>
      </c>
      <c r="H49" s="147" t="str">
        <f t="shared" si="29"/>
        <v/>
      </c>
      <c r="I49" s="147" t="str">
        <f t="shared" si="29"/>
        <v/>
      </c>
      <c r="J49" s="147" t="str">
        <f t="shared" si="29"/>
        <v/>
      </c>
      <c r="K49" s="147" t="str">
        <f t="shared" si="29"/>
        <v/>
      </c>
      <c r="L49" s="147" t="str">
        <f t="shared" si="29"/>
        <v/>
      </c>
      <c r="M49" s="147" t="str">
        <f t="shared" si="29"/>
        <v/>
      </c>
      <c r="N49" s="147" t="str">
        <f t="shared" si="29"/>
        <v/>
      </c>
      <c r="O49" s="147" t="str">
        <f t="shared" si="29"/>
        <v/>
      </c>
      <c r="P49" s="147" t="str">
        <f t="shared" si="29"/>
        <v/>
      </c>
      <c r="Q49" s="147" t="str">
        <f t="shared" si="29"/>
        <v/>
      </c>
      <c r="R49" s="147" t="str">
        <f t="shared" si="29"/>
        <v/>
      </c>
      <c r="S49" s="147" t="str">
        <f t="shared" si="29"/>
        <v/>
      </c>
      <c r="T49" s="147" t="str">
        <f t="shared" si="29"/>
        <v/>
      </c>
      <c r="U49" s="147" t="str">
        <f t="shared" si="29"/>
        <v/>
      </c>
      <c r="V49" s="147" t="str">
        <f t="shared" si="29"/>
        <v/>
      </c>
      <c r="W49" s="147" t="str">
        <f t="shared" si="29"/>
        <v/>
      </c>
      <c r="X49" s="147" t="str">
        <f t="shared" si="29"/>
        <v/>
      </c>
      <c r="Y49" s="147" t="str">
        <f t="shared" si="29"/>
        <v/>
      </c>
      <c r="Z49" s="147" t="str">
        <f t="shared" si="29"/>
        <v/>
      </c>
      <c r="AA49" s="147" t="str">
        <f t="shared" si="29"/>
        <v/>
      </c>
      <c r="AB49" s="147" t="str">
        <f t="shared" si="29"/>
        <v/>
      </c>
      <c r="AC49" s="147" t="str">
        <f t="shared" si="29"/>
        <v/>
      </c>
      <c r="AD49" s="147" t="str">
        <f t="shared" si="29"/>
        <v/>
      </c>
      <c r="AE49" s="147" t="str">
        <f>IF(AE9=$R32,$BD32*24,IF(AE9=$R33,$BD33*24,IF(AE9=$R34,$BD34*24,IF(AE9=$R35,$BD35*24,IF(AE9=$R36,$BD36*24,IF(AE9=$R37,$BD37*24,IF(AE9=$R38,$BD38*24,IF(AE9=$R39,$BD39*24,IF(AE9=$R40,$BD40*24,"")))))))))</f>
        <v/>
      </c>
      <c r="AF49" s="147" t="str">
        <f>IF(AF9=$R32,$BD32*24,IF(AF9=$R33,$BD33*24,IF(AF9=$R34,$BD34*24,IF(AF9=$R35,$BD35*24,IF(AF9=$R36,$BD36*24,IF(AF9=$R37,$BD37*24,IF(AF9=$R38,$BD38*24,IF(AF9=$R39,$BD39*24,IF(AF9=$R40,$BD40*24,"")))))))))</f>
        <v/>
      </c>
      <c r="AG49" s="147" t="str">
        <f>IF(AG9=$R32,$BD32*24,IF(AG9=$R33,$BD33*24,IF(AG9=$R34,$BD34*24,IF(AG9=$R35,$BD35*24,IF(AG9=$R36,$BD36*24,IF(AG9=$R37,$BD37*24,IF(AG9=$R38,$BD38*24,IF(AG9=$R39,$BD39*24,IF(AG9=$R40,$BD40*24,"")))))))))</f>
        <v/>
      </c>
      <c r="AH49" s="148">
        <f>SUM(C49:AG49)</f>
        <v>0</v>
      </c>
      <c r="AI49" s="231">
        <f>C37*AF36</f>
        <v>0</v>
      </c>
      <c r="AJ49" s="231"/>
      <c r="AK49" s="137" t="s">
        <v>58</v>
      </c>
      <c r="AL49" s="137"/>
      <c r="AN49" s="232">
        <f>Q4</f>
        <v>45992</v>
      </c>
      <c r="AO49" s="232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</row>
    <row r="50" spans="1:80" s="2" customFormat="1" ht="15.95" hidden="1" customHeight="1" x14ac:dyDescent="0.25">
      <c r="A50" s="145"/>
      <c r="B50" s="149" t="s">
        <v>59</v>
      </c>
      <c r="C50" s="141">
        <f t="shared" ref="C50:AG50" si="30">IF(C9="V",$C36,IF(C9="PR",$C38,0))</f>
        <v>0</v>
      </c>
      <c r="D50" s="141">
        <f t="shared" si="30"/>
        <v>0</v>
      </c>
      <c r="E50" s="141">
        <f t="shared" si="30"/>
        <v>0</v>
      </c>
      <c r="F50" s="141">
        <f t="shared" si="30"/>
        <v>0</v>
      </c>
      <c r="G50" s="141">
        <f t="shared" si="30"/>
        <v>0</v>
      </c>
      <c r="H50" s="141">
        <f t="shared" si="30"/>
        <v>0</v>
      </c>
      <c r="I50" s="141">
        <f t="shared" si="30"/>
        <v>0</v>
      </c>
      <c r="J50" s="141">
        <f t="shared" si="30"/>
        <v>0</v>
      </c>
      <c r="K50" s="141">
        <f t="shared" si="30"/>
        <v>0</v>
      </c>
      <c r="L50" s="141">
        <f t="shared" si="30"/>
        <v>0</v>
      </c>
      <c r="M50" s="141">
        <f t="shared" si="30"/>
        <v>0</v>
      </c>
      <c r="N50" s="141">
        <f t="shared" si="30"/>
        <v>0</v>
      </c>
      <c r="O50" s="141">
        <f t="shared" si="30"/>
        <v>0</v>
      </c>
      <c r="P50" s="141">
        <f t="shared" si="30"/>
        <v>0</v>
      </c>
      <c r="Q50" s="141">
        <f t="shared" si="30"/>
        <v>0</v>
      </c>
      <c r="R50" s="141">
        <f t="shared" si="30"/>
        <v>0</v>
      </c>
      <c r="S50" s="141">
        <f t="shared" si="30"/>
        <v>0</v>
      </c>
      <c r="T50" s="141">
        <f t="shared" si="30"/>
        <v>0</v>
      </c>
      <c r="U50" s="141">
        <f t="shared" si="30"/>
        <v>0</v>
      </c>
      <c r="V50" s="141">
        <f t="shared" si="30"/>
        <v>0</v>
      </c>
      <c r="W50" s="141">
        <f t="shared" si="30"/>
        <v>0</v>
      </c>
      <c r="X50" s="141">
        <f t="shared" si="30"/>
        <v>0</v>
      </c>
      <c r="Y50" s="141">
        <f t="shared" si="30"/>
        <v>0</v>
      </c>
      <c r="Z50" s="141">
        <f t="shared" si="30"/>
        <v>0</v>
      </c>
      <c r="AA50" s="141">
        <f t="shared" si="30"/>
        <v>0</v>
      </c>
      <c r="AB50" s="141">
        <f t="shared" si="30"/>
        <v>0</v>
      </c>
      <c r="AC50" s="141">
        <f t="shared" si="30"/>
        <v>0</v>
      </c>
      <c r="AD50" s="141">
        <f t="shared" si="30"/>
        <v>0</v>
      </c>
      <c r="AE50" s="141">
        <f t="shared" si="30"/>
        <v>0</v>
      </c>
      <c r="AF50" s="141">
        <f t="shared" si="30"/>
        <v>0</v>
      </c>
      <c r="AG50" s="141">
        <f t="shared" si="30"/>
        <v>0</v>
      </c>
      <c r="AH50" s="226">
        <f>SUM(C50:AG50)</f>
        <v>0</v>
      </c>
      <c r="AI50" s="226"/>
      <c r="AJ50" s="137" t="s">
        <v>12</v>
      </c>
      <c r="AK50" s="137"/>
      <c r="AL50" s="137"/>
      <c r="AN50" s="48" t="str">
        <f>INDEX({"do";"lu";"ma";"mi";"ju";"vi";"sa"},1+MOD($AR$47+1-2,7))</f>
        <v>lu</v>
      </c>
      <c r="AO50" s="48" t="str">
        <f>INDEX({"do";"lu";"ma";"mi";"ju";"vi";"sa"},1+MOD($AR$47+2-2,7))</f>
        <v>ma</v>
      </c>
      <c r="AP50" s="48" t="str">
        <f>INDEX({"do";"lu";"ma";"mi";"ju";"vi";"sa"},1+MOD($AR$47+3-2,7))</f>
        <v>mi</v>
      </c>
      <c r="AQ50" s="48" t="str">
        <f>INDEX({"do";"lu";"ma";"mi";"ju";"vi";"sa"},1+MOD($AR$47+4-2,7))</f>
        <v>ju</v>
      </c>
      <c r="AR50" s="48" t="str">
        <f>INDEX({"do";"lu";"ma";"mi";"ju";"vi";"sa"},1+MOD($AR$47+5-2,7))</f>
        <v>vi</v>
      </c>
      <c r="AS50" s="48" t="str">
        <f>INDEX({"do";"lu";"ma";"mi";"ju";"vi";"sa"},1+MOD($AR$47+6-2,7))</f>
        <v>sa</v>
      </c>
      <c r="AT50" s="48" t="str">
        <f>INDEX({"do";"lu";"ma";"mi";"ju";"vi";"sa"},1+MOD($AR$47+7-2,7))</f>
        <v>do</v>
      </c>
      <c r="AU50" s="48" t="str">
        <f>INDEX({"do";"lu";"ma";"mi";"ju";"vi";"sa"},1+MOD($AR$47+1-2,7))</f>
        <v>lu</v>
      </c>
      <c r="AV50" s="48" t="str">
        <f>INDEX({"do";"lu";"ma";"mi";"ju";"vi";"sa"},1+MOD($AR$47+2-2,7))</f>
        <v>ma</v>
      </c>
      <c r="AW50" s="48" t="str">
        <f>INDEX({"do";"lu";"ma";"mi";"ju";"vi";"sa"},1+MOD($AR$47+3-2,7))</f>
        <v>mi</v>
      </c>
      <c r="AX50" s="48" t="str">
        <f>INDEX({"do";"lu";"ma";"mi";"ju";"vi";"sa"},1+MOD($AR$47+4-2,7))</f>
        <v>ju</v>
      </c>
      <c r="AY50" s="48" t="str">
        <f>INDEX({"do";"lu";"ma";"mi";"ju";"vi";"sa"},1+MOD($AR$47+5-2,7))</f>
        <v>vi</v>
      </c>
      <c r="AZ50" s="48" t="str">
        <f>INDEX({"do";"lu";"ma";"mi";"ju";"vi";"sa"},1+MOD($AR$47+6-2,7))</f>
        <v>sa</v>
      </c>
      <c r="BA50" s="48" t="str">
        <f>INDEX({"do";"lu";"ma";"mi";"ju";"vi";"sa"},1+MOD($AR$47+7-2,7))</f>
        <v>do</v>
      </c>
      <c r="BB50" s="48" t="str">
        <f>INDEX({"do";"lu";"ma";"mi";"ju";"vi";"sa"},1+MOD($AR$47+1-2,7))</f>
        <v>lu</v>
      </c>
      <c r="BC50" s="48" t="str">
        <f>INDEX({"do";"lu";"ma";"mi";"ju";"vi";"sa"},1+MOD($AR$47+2-2,7))</f>
        <v>ma</v>
      </c>
      <c r="BD50" s="48" t="str">
        <f>INDEX({"do";"lu";"ma";"mi";"ju";"vi";"sa"},1+MOD($AR$47+3-2,7))</f>
        <v>mi</v>
      </c>
      <c r="BE50" s="10"/>
      <c r="BF50" s="48" t="str">
        <f>INDEX({"do";"lu";"ma";"mi";"ju";"vi";"sa"},1+MOD($AR$47+5-2,7))</f>
        <v>vi</v>
      </c>
      <c r="BG50" s="48" t="str">
        <f>INDEX({"do";"lu";"ma";"mi";"ju";"vi";"sa"},1+MOD($AR$47+6-2,7))</f>
        <v>sa</v>
      </c>
      <c r="BH50" s="48" t="str">
        <f>INDEX({"do";"lu";"ma";"mi";"ju";"vi";"sa"},1+MOD($AR$47+7-2,7))</f>
        <v>do</v>
      </c>
      <c r="BI50" s="48" t="str">
        <f>INDEX({"do";"lu";"ma";"mi";"ju";"vi";"sa"},1+MOD($AR$47+1-2,7))</f>
        <v>lu</v>
      </c>
      <c r="BJ50" s="48" t="str">
        <f>INDEX({"do";"lu";"ma";"mi";"ju";"vi";"sa"},1+MOD($AR$47+2-2,7))</f>
        <v>ma</v>
      </c>
      <c r="BK50" s="48" t="str">
        <f>INDEX({"do";"lu";"ma";"mi";"ju";"vi";"sa"},1+MOD($AR$47+3-2,7))</f>
        <v>mi</v>
      </c>
      <c r="BL50" s="48" t="str">
        <f>INDEX({"do";"lu";"ma";"mi";"ju";"vi";"sa"},1+MOD($AR$47+4-2,7))</f>
        <v>ju</v>
      </c>
      <c r="BM50" s="48" t="str">
        <f>INDEX({"do";"lu";"ma";"mi";"ju";"vi";"sa"},1+MOD($AR$47+5-2,7))</f>
        <v>vi</v>
      </c>
      <c r="BN50" s="48" t="str">
        <f>INDEX({"do";"lu";"ma";"mi";"ju";"vi";"sa"},1+MOD($AR$47+6-2,7))</f>
        <v>sa</v>
      </c>
      <c r="BO50" s="48" t="str">
        <f>INDEX({"do";"lu";"ma";"mi";"ju";"vi";"sa"},1+MOD($AR$47+7-2,7))</f>
        <v>do</v>
      </c>
      <c r="BP50" s="48" t="str">
        <f>INDEX({"do";"lu";"ma";"mi";"ju";"vi";"sa"},1+MOD($AR$47+1-2,7))</f>
        <v>lu</v>
      </c>
      <c r="BQ50" s="48" t="str">
        <f>INDEX({"do";"lu";"ma";"mi";"ju";"vi";"sa"},1+MOD($AR$47+2-2,7))</f>
        <v>ma</v>
      </c>
      <c r="BR50" s="48" t="str">
        <f>INDEX({"do";"lu";"ma";"mi";"ju";"vi";"sa"},1+MOD($AR$47+3-2,7))</f>
        <v>mi</v>
      </c>
      <c r="BS50" s="48" t="str">
        <f>INDEX({"do";"lu";"ma";"mi";"ju";"vi";"sa"},1+MOD($AR$47+4-2,7))</f>
        <v>ju</v>
      </c>
      <c r="BT50" s="48" t="str">
        <f>INDEX({"do";"lu";"ma";"mi";"ju";"vi";"sa"},1+MOD($AR$47+5-2,7))</f>
        <v>vi</v>
      </c>
      <c r="BU50" s="48" t="str">
        <f>INDEX({"do";"lu";"ma";"mi";"ju";"vi";"sa"},1+MOD($AR$47+6-2,7))</f>
        <v>sa</v>
      </c>
      <c r="BV50" s="48" t="str">
        <f>INDEX({"do";"lu";"ma";"mi";"ju";"vi";"sa"},1+MOD($AR$47+7-2,7))</f>
        <v>do</v>
      </c>
      <c r="BW50" s="48" t="str">
        <f>INDEX({"do";"lu";"ma";"mi";"ju";"vi";"sa"},1+MOD($AR$47+1-2,7))</f>
        <v>lu</v>
      </c>
      <c r="BX50" s="48" t="str">
        <f>INDEX({"do";"lu";"ma";"mi";"ju";"vi";"sa"},1+MOD($AR$47+2-2,7))</f>
        <v>ma</v>
      </c>
      <c r="BY50" s="10"/>
      <c r="BZ50" s="10"/>
      <c r="CA50" s="10"/>
      <c r="CB50" s="10"/>
    </row>
    <row r="51" spans="1:80" s="2" customFormat="1" ht="15.95" hidden="1" customHeight="1" x14ac:dyDescent="0.25">
      <c r="A51" s="150" t="s">
        <v>60</v>
      </c>
      <c r="B51" s="144" t="s">
        <v>61</v>
      </c>
      <c r="C51" s="151">
        <f t="shared" ref="C51:AD51" si="31">IF(C9=$R32,$BC32,IF(C9=$R33,$BC33,IF(C9=$R34,$BC34,IF(C9=$R35,$BC35,IF(C9=$R36,$BC36,IF(C9=$R37,$BC37,IF(C9=$R38,$BC38,IF(C9=$R39,$BC39,IF(C9=$R40,$BC40,0)))))))))</f>
        <v>0</v>
      </c>
      <c r="D51" s="151">
        <f t="shared" si="31"/>
        <v>0</v>
      </c>
      <c r="E51" s="151">
        <f t="shared" si="31"/>
        <v>0</v>
      </c>
      <c r="F51" s="151">
        <f t="shared" si="31"/>
        <v>0</v>
      </c>
      <c r="G51" s="151">
        <f t="shared" si="31"/>
        <v>0</v>
      </c>
      <c r="H51" s="151">
        <f t="shared" si="31"/>
        <v>0</v>
      </c>
      <c r="I51" s="151">
        <f t="shared" si="31"/>
        <v>0</v>
      </c>
      <c r="J51" s="151">
        <f t="shared" si="31"/>
        <v>0</v>
      </c>
      <c r="K51" s="151">
        <f t="shared" si="31"/>
        <v>0</v>
      </c>
      <c r="L51" s="151">
        <f t="shared" si="31"/>
        <v>0</v>
      </c>
      <c r="M51" s="151">
        <f t="shared" si="31"/>
        <v>0</v>
      </c>
      <c r="N51" s="151">
        <f t="shared" si="31"/>
        <v>0</v>
      </c>
      <c r="O51" s="151">
        <f t="shared" si="31"/>
        <v>0</v>
      </c>
      <c r="P51" s="151">
        <f t="shared" si="31"/>
        <v>0</v>
      </c>
      <c r="Q51" s="151">
        <f t="shared" si="31"/>
        <v>0</v>
      </c>
      <c r="R51" s="151">
        <f t="shared" si="31"/>
        <v>0</v>
      </c>
      <c r="S51" s="151">
        <f t="shared" si="31"/>
        <v>0</v>
      </c>
      <c r="T51" s="151">
        <f t="shared" si="31"/>
        <v>0</v>
      </c>
      <c r="U51" s="151">
        <f t="shared" si="31"/>
        <v>0</v>
      </c>
      <c r="V51" s="151">
        <f t="shared" si="31"/>
        <v>0</v>
      </c>
      <c r="W51" s="151">
        <f t="shared" si="31"/>
        <v>0</v>
      </c>
      <c r="X51" s="151">
        <f t="shared" si="31"/>
        <v>0</v>
      </c>
      <c r="Y51" s="151">
        <f t="shared" si="31"/>
        <v>0</v>
      </c>
      <c r="Z51" s="151">
        <f t="shared" si="31"/>
        <v>0</v>
      </c>
      <c r="AA51" s="151">
        <f t="shared" si="31"/>
        <v>0</v>
      </c>
      <c r="AB51" s="151">
        <f t="shared" si="31"/>
        <v>0</v>
      </c>
      <c r="AC51" s="151">
        <f t="shared" si="31"/>
        <v>0</v>
      </c>
      <c r="AD51" s="151">
        <f t="shared" si="31"/>
        <v>0</v>
      </c>
      <c r="AE51" s="151">
        <f>IF(AE9=$R32,$BC32,IF(AE9=$R33,$BC33,IF(AE9=$R34,$BC34,IF(AE9=$R35,$BC35,IF(AE9=$R36,$BC36,IF(AE9=$R37,$BC37,IF(AE9=$R38,$BC38,IF(AE9=$R39,$BC39,IF(AE9=$R40,$BC40,0)))))))))</f>
        <v>0</v>
      </c>
      <c r="AF51" s="151">
        <f>IF(AF9=$R32,$BC32,IF(AF9=$R33,$BC33,IF(AF9=$R34,$BC34,IF(AF9=$R35,$BC35,IF(AF9=$R36,$BC36,IF(AF9=$R37,$BC37,IF(AF9=$R38,$BC38,IF(AF9=$R39,$BC39,IF(AF9=$R40,$BC40,0)))))))))</f>
        <v>0</v>
      </c>
      <c r="AG51" s="151">
        <f>IF(AG9=$R32,$BC32,IF(AG9=$R33,$BC33,IF(AG9=$R34,$BC34,IF(AG9=$R35,$BC35,IF(AG9=$R36,$BC36,IF(AG9=$R37,$BC37,IF(AG9=$R38,$BC38,IF(AG9=$R39,$BC39,IF(AG9=$R40,$BC40,0)))))))))</f>
        <v>0</v>
      </c>
      <c r="AH51" s="226">
        <f>SUM(C51:AG51)</f>
        <v>0</v>
      </c>
      <c r="AI51" s="226"/>
      <c r="AJ51" s="152" t="s">
        <v>62</v>
      </c>
      <c r="AK51" s="137" t="s">
        <v>12</v>
      </c>
      <c r="AL51" s="137"/>
      <c r="AN51" s="49">
        <f t="shared" ref="AN51:BD51" si="32">IF(MONTH($Q$4)&lt;&gt;MONTH($Q$4-(WEEKDAY($Q$4,1)-($AR$47-1))-IF((WEEKDAY($Q$4,1)-($AR$47-1))&lt;=0,7,0)+(ROW(AN51)-ROW($AN$51))*7+(COLUMN(AN51)-COLUMN($AN$51)+1)),"",$Q$4-(WEEKDAY($Q$4,1)-($AR$47-1))-IF((WEEKDAY($Q$4,1)-($AR$47-1))&lt;=0,7,0)+(ROW(AN51)-ROW($AN$51))*7+(COLUMN(AN51)-COLUMN($AN$51)+1))</f>
        <v>45992</v>
      </c>
      <c r="AO51" s="49">
        <f t="shared" si="32"/>
        <v>45993</v>
      </c>
      <c r="AP51" s="49">
        <f t="shared" si="32"/>
        <v>45994</v>
      </c>
      <c r="AQ51" s="49">
        <f t="shared" si="32"/>
        <v>45995</v>
      </c>
      <c r="AR51" s="49">
        <f t="shared" si="32"/>
        <v>45996</v>
      </c>
      <c r="AS51" s="49">
        <f t="shared" si="32"/>
        <v>45997</v>
      </c>
      <c r="AT51" s="49">
        <f t="shared" si="32"/>
        <v>45998</v>
      </c>
      <c r="AU51" s="49">
        <f t="shared" si="32"/>
        <v>45999</v>
      </c>
      <c r="AV51" s="49">
        <f t="shared" si="32"/>
        <v>46000</v>
      </c>
      <c r="AW51" s="49">
        <f t="shared" si="32"/>
        <v>46001</v>
      </c>
      <c r="AX51" s="49">
        <f t="shared" si="32"/>
        <v>46002</v>
      </c>
      <c r="AY51" s="49">
        <f t="shared" si="32"/>
        <v>46003</v>
      </c>
      <c r="AZ51" s="49">
        <f t="shared" si="32"/>
        <v>46004</v>
      </c>
      <c r="BA51" s="49">
        <f t="shared" si="32"/>
        <v>46005</v>
      </c>
      <c r="BB51" s="49">
        <f t="shared" si="32"/>
        <v>46006</v>
      </c>
      <c r="BC51" s="49">
        <f t="shared" si="32"/>
        <v>46007</v>
      </c>
      <c r="BD51" s="49">
        <f t="shared" si="32"/>
        <v>46008</v>
      </c>
      <c r="BE51" s="31"/>
      <c r="BF51" s="49">
        <f t="shared" ref="BF51:BX51" si="33">IF(MONTH($Q$4)&lt;&gt;MONTH($Q$4-(WEEKDAY($Q$4,1)-($AR$47-1))-IF((WEEKDAY($Q$4,1)-($AR$47-1))&lt;=0,7,0)+(ROW(BF51)-ROW($AN$51))*7+(COLUMN(BF51)-COLUMN($AN$51)+1)),"",$Q$4-(WEEKDAY($Q$4,1)-($AR$47-1))-IF((WEEKDAY($Q$4,1)-($AR$47-1))&lt;=0,7,0)+(ROW(BF51)-ROW($AN$51))*7+(COLUMN(BF51)-COLUMN($AN$51)+1))</f>
        <v>46010</v>
      </c>
      <c r="BG51" s="49">
        <f t="shared" si="33"/>
        <v>46011</v>
      </c>
      <c r="BH51" s="49">
        <f t="shared" si="33"/>
        <v>46012</v>
      </c>
      <c r="BI51" s="49">
        <f t="shared" si="33"/>
        <v>46013</v>
      </c>
      <c r="BJ51" s="49">
        <f t="shared" si="33"/>
        <v>46014</v>
      </c>
      <c r="BK51" s="49">
        <f t="shared" si="33"/>
        <v>46015</v>
      </c>
      <c r="BL51" s="49">
        <f t="shared" si="33"/>
        <v>46016</v>
      </c>
      <c r="BM51" s="49">
        <f t="shared" si="33"/>
        <v>46017</v>
      </c>
      <c r="BN51" s="49">
        <f t="shared" si="33"/>
        <v>46018</v>
      </c>
      <c r="BO51" s="49">
        <f t="shared" si="33"/>
        <v>46019</v>
      </c>
      <c r="BP51" s="49">
        <f t="shared" si="33"/>
        <v>46020</v>
      </c>
      <c r="BQ51" s="49">
        <f t="shared" si="33"/>
        <v>46021</v>
      </c>
      <c r="BR51" s="49">
        <f t="shared" si="33"/>
        <v>46022</v>
      </c>
      <c r="BS51" s="49" t="str">
        <f t="shared" si="33"/>
        <v/>
      </c>
      <c r="BT51" s="49" t="str">
        <f t="shared" si="33"/>
        <v/>
      </c>
      <c r="BU51" s="49" t="str">
        <f t="shared" si="33"/>
        <v/>
      </c>
      <c r="BV51" s="49" t="str">
        <f t="shared" si="33"/>
        <v/>
      </c>
      <c r="BW51" s="49" t="str">
        <f t="shared" si="33"/>
        <v/>
      </c>
      <c r="BX51" s="49" t="str">
        <f t="shared" si="33"/>
        <v/>
      </c>
      <c r="BY51" s="10"/>
      <c r="BZ51" s="10"/>
      <c r="CA51" s="10"/>
      <c r="CB51" s="10"/>
    </row>
    <row r="52" spans="1:80" s="2" customFormat="1" ht="15.95" hidden="1" customHeight="1" x14ac:dyDescent="0.25">
      <c r="A52" s="153" t="s">
        <v>48</v>
      </c>
      <c r="B52" s="149" t="s">
        <v>63</v>
      </c>
      <c r="C52" s="141" t="b">
        <f t="shared" ref="C52:AG52" si="34">IF(C46=1,IF(C47&lt;C48,C51,0))</f>
        <v>0</v>
      </c>
      <c r="D52" s="141" t="b">
        <f t="shared" si="34"/>
        <v>0</v>
      </c>
      <c r="E52" s="141" t="b">
        <f t="shared" si="34"/>
        <v>0</v>
      </c>
      <c r="F52" s="141" t="b">
        <f t="shared" si="34"/>
        <v>0</v>
      </c>
      <c r="G52" s="141" t="b">
        <f t="shared" si="34"/>
        <v>0</v>
      </c>
      <c r="H52" s="141">
        <f t="shared" si="34"/>
        <v>0</v>
      </c>
      <c r="I52" s="141">
        <f t="shared" si="34"/>
        <v>0</v>
      </c>
      <c r="J52" s="141" t="b">
        <f t="shared" si="34"/>
        <v>0</v>
      </c>
      <c r="K52" s="141" t="b">
        <f t="shared" si="34"/>
        <v>0</v>
      </c>
      <c r="L52" s="141" t="b">
        <f t="shared" si="34"/>
        <v>0</v>
      </c>
      <c r="M52" s="141" t="b">
        <f t="shared" si="34"/>
        <v>0</v>
      </c>
      <c r="N52" s="141" t="b">
        <f t="shared" si="34"/>
        <v>0</v>
      </c>
      <c r="O52" s="141">
        <f t="shared" si="34"/>
        <v>0</v>
      </c>
      <c r="P52" s="141">
        <f t="shared" si="34"/>
        <v>0</v>
      </c>
      <c r="Q52" s="141" t="b">
        <f t="shared" si="34"/>
        <v>0</v>
      </c>
      <c r="R52" s="141" t="b">
        <f t="shared" si="34"/>
        <v>0</v>
      </c>
      <c r="S52" s="141" t="b">
        <f t="shared" si="34"/>
        <v>0</v>
      </c>
      <c r="T52" s="141" t="b">
        <f t="shared" si="34"/>
        <v>0</v>
      </c>
      <c r="U52" s="141" t="b">
        <f t="shared" si="34"/>
        <v>0</v>
      </c>
      <c r="V52" s="141">
        <f t="shared" si="34"/>
        <v>0</v>
      </c>
      <c r="W52" s="141">
        <f t="shared" si="34"/>
        <v>0</v>
      </c>
      <c r="X52" s="141" t="b">
        <f t="shared" si="34"/>
        <v>0</v>
      </c>
      <c r="Y52" s="141" t="b">
        <f t="shared" si="34"/>
        <v>0</v>
      </c>
      <c r="Z52" s="141" t="b">
        <f t="shared" si="34"/>
        <v>0</v>
      </c>
      <c r="AA52" s="141" t="b">
        <f t="shared" si="34"/>
        <v>0</v>
      </c>
      <c r="AB52" s="141" t="b">
        <f t="shared" si="34"/>
        <v>0</v>
      </c>
      <c r="AC52" s="141">
        <f t="shared" si="34"/>
        <v>0</v>
      </c>
      <c r="AD52" s="141">
        <f t="shared" si="34"/>
        <v>0</v>
      </c>
      <c r="AE52" s="141" t="b">
        <f t="shared" si="34"/>
        <v>0</v>
      </c>
      <c r="AF52" s="141" t="b">
        <f t="shared" si="34"/>
        <v>0</v>
      </c>
      <c r="AG52" s="141" t="b">
        <f t="shared" si="34"/>
        <v>0</v>
      </c>
      <c r="AH52" s="154" t="s">
        <v>12</v>
      </c>
      <c r="AI52" s="133"/>
      <c r="AJ52" s="155"/>
      <c r="AK52" s="156"/>
      <c r="AL52" s="137"/>
      <c r="AN52" s="55">
        <f t="shared" ref="AN52:AT52" si="35">IF(AN51=$AR$48,IF(AN51="",0,1),"")</f>
        <v>1</v>
      </c>
      <c r="AO52" s="55" t="str">
        <f t="shared" si="35"/>
        <v/>
      </c>
      <c r="AP52" s="55" t="str">
        <f t="shared" si="35"/>
        <v/>
      </c>
      <c r="AQ52" s="55" t="str">
        <f t="shared" si="35"/>
        <v/>
      </c>
      <c r="AR52" s="55" t="str">
        <f t="shared" si="35"/>
        <v/>
      </c>
      <c r="AS52" s="55" t="str">
        <f t="shared" si="35"/>
        <v/>
      </c>
      <c r="AT52" s="55" t="str">
        <f t="shared" si="35"/>
        <v/>
      </c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56"/>
      <c r="BF52" s="10"/>
      <c r="BG52" s="10"/>
      <c r="BH52" s="10"/>
      <c r="BI52" s="10"/>
      <c r="BJ52" s="10"/>
      <c r="BK52" s="10"/>
      <c r="BL52" s="10"/>
      <c r="BM52" s="10"/>
      <c r="BN52" s="10"/>
      <c r="BO52" s="96">
        <f t="shared" ref="BO52:BX52" si="36">BO51</f>
        <v>46019</v>
      </c>
      <c r="BP52" s="96">
        <f t="shared" si="36"/>
        <v>46020</v>
      </c>
      <c r="BQ52" s="96">
        <f t="shared" si="36"/>
        <v>46021</v>
      </c>
      <c r="BR52" s="96">
        <f t="shared" si="36"/>
        <v>46022</v>
      </c>
      <c r="BS52" s="96" t="str">
        <f t="shared" si="36"/>
        <v/>
      </c>
      <c r="BT52" s="96" t="str">
        <f t="shared" si="36"/>
        <v/>
      </c>
      <c r="BU52" s="96" t="str">
        <f t="shared" si="36"/>
        <v/>
      </c>
      <c r="BV52" s="96" t="str">
        <f t="shared" si="36"/>
        <v/>
      </c>
      <c r="BW52" s="96" t="str">
        <f t="shared" si="36"/>
        <v/>
      </c>
      <c r="BX52" s="96" t="str">
        <f t="shared" si="36"/>
        <v/>
      </c>
      <c r="BY52" s="10"/>
      <c r="BZ52" s="10"/>
      <c r="CA52" s="10"/>
      <c r="CB52" s="10"/>
    </row>
    <row r="53" spans="1:80" s="2" customFormat="1" ht="15.95" hidden="1" customHeight="1" x14ac:dyDescent="0.25">
      <c r="A53" s="153"/>
      <c r="B53" s="149" t="s">
        <v>64</v>
      </c>
      <c r="C53" s="141">
        <f t="shared" ref="C53:AG53" si="37">IF(C46=1,IF(C47&gt;C48,24-C47,0),0)</f>
        <v>0</v>
      </c>
      <c r="D53" s="141">
        <f t="shared" si="37"/>
        <v>0</v>
      </c>
      <c r="E53" s="141">
        <f t="shared" si="37"/>
        <v>0</v>
      </c>
      <c r="F53" s="141">
        <f t="shared" si="37"/>
        <v>0</v>
      </c>
      <c r="G53" s="141">
        <f t="shared" si="37"/>
        <v>0</v>
      </c>
      <c r="H53" s="141">
        <f t="shared" si="37"/>
        <v>0</v>
      </c>
      <c r="I53" s="141">
        <f t="shared" si="37"/>
        <v>0</v>
      </c>
      <c r="J53" s="141">
        <f t="shared" si="37"/>
        <v>0</v>
      </c>
      <c r="K53" s="141">
        <f t="shared" si="37"/>
        <v>0</v>
      </c>
      <c r="L53" s="141">
        <f t="shared" si="37"/>
        <v>0</v>
      </c>
      <c r="M53" s="141">
        <f t="shared" si="37"/>
        <v>0</v>
      </c>
      <c r="N53" s="141">
        <f t="shared" si="37"/>
        <v>0</v>
      </c>
      <c r="O53" s="141">
        <f t="shared" si="37"/>
        <v>0</v>
      </c>
      <c r="P53" s="141">
        <f t="shared" si="37"/>
        <v>0</v>
      </c>
      <c r="Q53" s="141">
        <f t="shared" si="37"/>
        <v>0</v>
      </c>
      <c r="R53" s="141">
        <f t="shared" si="37"/>
        <v>0</v>
      </c>
      <c r="S53" s="141">
        <f t="shared" si="37"/>
        <v>0</v>
      </c>
      <c r="T53" s="141">
        <f t="shared" si="37"/>
        <v>0</v>
      </c>
      <c r="U53" s="141">
        <f t="shared" si="37"/>
        <v>0</v>
      </c>
      <c r="V53" s="141">
        <f t="shared" si="37"/>
        <v>0</v>
      </c>
      <c r="W53" s="141">
        <f t="shared" si="37"/>
        <v>0</v>
      </c>
      <c r="X53" s="141">
        <f t="shared" si="37"/>
        <v>0</v>
      </c>
      <c r="Y53" s="141">
        <f t="shared" si="37"/>
        <v>0</v>
      </c>
      <c r="Z53" s="141">
        <f t="shared" si="37"/>
        <v>0</v>
      </c>
      <c r="AA53" s="141">
        <f t="shared" si="37"/>
        <v>0</v>
      </c>
      <c r="AB53" s="141">
        <f t="shared" si="37"/>
        <v>0</v>
      </c>
      <c r="AC53" s="141">
        <f t="shared" si="37"/>
        <v>0</v>
      </c>
      <c r="AD53" s="141">
        <f t="shared" si="37"/>
        <v>0</v>
      </c>
      <c r="AE53" s="141">
        <f t="shared" si="37"/>
        <v>0</v>
      </c>
      <c r="AF53" s="141">
        <f t="shared" si="37"/>
        <v>0</v>
      </c>
      <c r="AG53" s="141">
        <f t="shared" si="37"/>
        <v>0</v>
      </c>
      <c r="AH53" s="154" t="s">
        <v>12</v>
      </c>
      <c r="AI53" s="133"/>
      <c r="AJ53" s="155"/>
      <c r="AK53" s="137"/>
      <c r="AL53" s="137"/>
      <c r="AN53" s="57" t="str">
        <f t="shared" ref="AN53:AT53" si="38">IF(AN52=1,IF(AN52="",0,AN50),"")</f>
        <v>lu</v>
      </c>
      <c r="AO53" s="57" t="str">
        <f t="shared" si="38"/>
        <v/>
      </c>
      <c r="AP53" s="57" t="str">
        <f t="shared" si="38"/>
        <v/>
      </c>
      <c r="AQ53" s="57" t="str">
        <f t="shared" si="38"/>
        <v/>
      </c>
      <c r="AR53" s="57" t="str">
        <f t="shared" si="38"/>
        <v/>
      </c>
      <c r="AS53" s="57" t="str">
        <f t="shared" si="38"/>
        <v/>
      </c>
      <c r="AT53" s="57" t="str">
        <f t="shared" si="38"/>
        <v/>
      </c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56"/>
      <c r="BF53" s="10"/>
      <c r="BG53" s="10"/>
      <c r="BH53" s="10"/>
      <c r="BI53" s="10"/>
      <c r="BJ53" s="10"/>
      <c r="BK53" s="10"/>
      <c r="BL53" s="10"/>
      <c r="BM53" s="10"/>
      <c r="BN53" s="10"/>
      <c r="BO53" s="58">
        <f t="shared" ref="BO53:BX53" si="39">IF(BO52=$AR$48+30,IF(BO52="",0,1),IF(BO52=$AR$48+29,IF(BO52="",0,1),IF(BO52=$AR$48+28,IF(BO52="",0,1),IF(BO52=$AR$48+27,IF(BO52="",0,1),""))))</f>
        <v>1</v>
      </c>
      <c r="BP53" s="58">
        <f t="shared" si="39"/>
        <v>1</v>
      </c>
      <c r="BQ53" s="58">
        <f t="shared" si="39"/>
        <v>1</v>
      </c>
      <c r="BR53" s="58">
        <f t="shared" si="39"/>
        <v>1</v>
      </c>
      <c r="BS53" s="58" t="str">
        <f t="shared" si="39"/>
        <v/>
      </c>
      <c r="BT53" s="58" t="str">
        <f t="shared" si="39"/>
        <v/>
      </c>
      <c r="BU53" s="58" t="str">
        <f t="shared" si="39"/>
        <v/>
      </c>
      <c r="BV53" s="58" t="str">
        <f t="shared" si="39"/>
        <v/>
      </c>
      <c r="BW53" s="58" t="str">
        <f t="shared" si="39"/>
        <v/>
      </c>
      <c r="BX53" s="58" t="str">
        <f t="shared" si="39"/>
        <v/>
      </c>
      <c r="BY53" s="10"/>
      <c r="BZ53" s="10"/>
      <c r="CA53" s="10"/>
      <c r="CB53" s="10"/>
    </row>
    <row r="54" spans="1:80" s="2" customFormat="1" ht="15.95" hidden="1" customHeight="1" x14ac:dyDescent="0.25">
      <c r="A54" s="157"/>
      <c r="B54" s="149" t="s">
        <v>65</v>
      </c>
      <c r="C54" s="141">
        <f t="shared" ref="C54:AG54" si="40">IF(D46=1,IF(C47&gt;C48,C48,0),0)</f>
        <v>0</v>
      </c>
      <c r="D54" s="141">
        <f t="shared" si="40"/>
        <v>0</v>
      </c>
      <c r="E54" s="141">
        <f t="shared" si="40"/>
        <v>0</v>
      </c>
      <c r="F54" s="141">
        <f t="shared" si="40"/>
        <v>0</v>
      </c>
      <c r="G54" s="141">
        <f t="shared" si="40"/>
        <v>0</v>
      </c>
      <c r="H54" s="141">
        <f t="shared" si="40"/>
        <v>0</v>
      </c>
      <c r="I54" s="141">
        <f t="shared" si="40"/>
        <v>0</v>
      </c>
      <c r="J54" s="141">
        <f t="shared" si="40"/>
        <v>0</v>
      </c>
      <c r="K54" s="141">
        <f t="shared" si="40"/>
        <v>0</v>
      </c>
      <c r="L54" s="141">
        <f t="shared" si="40"/>
        <v>0</v>
      </c>
      <c r="M54" s="141">
        <f t="shared" si="40"/>
        <v>0</v>
      </c>
      <c r="N54" s="141">
        <f t="shared" si="40"/>
        <v>0</v>
      </c>
      <c r="O54" s="141">
        <f t="shared" si="40"/>
        <v>0</v>
      </c>
      <c r="P54" s="141">
        <f t="shared" si="40"/>
        <v>0</v>
      </c>
      <c r="Q54" s="141">
        <f t="shared" si="40"/>
        <v>0</v>
      </c>
      <c r="R54" s="141">
        <f t="shared" si="40"/>
        <v>0</v>
      </c>
      <c r="S54" s="141">
        <f t="shared" si="40"/>
        <v>0</v>
      </c>
      <c r="T54" s="141">
        <f t="shared" si="40"/>
        <v>0</v>
      </c>
      <c r="U54" s="141">
        <f t="shared" si="40"/>
        <v>0</v>
      </c>
      <c r="V54" s="141">
        <f t="shared" si="40"/>
        <v>0</v>
      </c>
      <c r="W54" s="141">
        <f t="shared" si="40"/>
        <v>0</v>
      </c>
      <c r="X54" s="141">
        <f>IF(Y46=1,IF(X47&gt;X48,X48,0),0)</f>
        <v>0</v>
      </c>
      <c r="Y54" s="141">
        <f t="shared" si="40"/>
        <v>0</v>
      </c>
      <c r="Z54" s="141">
        <f t="shared" si="40"/>
        <v>0</v>
      </c>
      <c r="AA54" s="141">
        <f t="shared" si="40"/>
        <v>0</v>
      </c>
      <c r="AB54" s="141">
        <f t="shared" si="40"/>
        <v>0</v>
      </c>
      <c r="AC54" s="141">
        <f t="shared" si="40"/>
        <v>0</v>
      </c>
      <c r="AD54" s="141">
        <f t="shared" si="40"/>
        <v>0</v>
      </c>
      <c r="AE54" s="141">
        <f t="shared" si="40"/>
        <v>0</v>
      </c>
      <c r="AF54" s="141">
        <f t="shared" si="40"/>
        <v>0</v>
      </c>
      <c r="AG54" s="141">
        <f t="shared" si="40"/>
        <v>0</v>
      </c>
      <c r="AH54" s="154" t="s">
        <v>12</v>
      </c>
      <c r="AI54" s="133"/>
      <c r="AJ54" s="155"/>
      <c r="AK54" s="137"/>
      <c r="AL54" s="137"/>
      <c r="AN54" s="10"/>
      <c r="AO54" s="10"/>
      <c r="AP54" s="10"/>
      <c r="AQ54" s="10"/>
      <c r="AR54" s="47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56"/>
      <c r="BF54" s="10"/>
      <c r="BG54" s="10"/>
      <c r="BH54" s="10"/>
      <c r="BI54" s="10"/>
      <c r="BJ54" s="10"/>
      <c r="BK54" s="10"/>
      <c r="BL54" s="10"/>
      <c r="BM54" s="10"/>
      <c r="BN54" s="10"/>
      <c r="BO54" s="52">
        <f t="shared" ref="BO54:BX54" si="41">IF(BO53=1,IF(BO53="",0,BO52),"")</f>
        <v>46019</v>
      </c>
      <c r="BP54" s="52">
        <f t="shared" si="41"/>
        <v>46020</v>
      </c>
      <c r="BQ54" s="52">
        <f t="shared" si="41"/>
        <v>46021</v>
      </c>
      <c r="BR54" s="52">
        <f t="shared" si="41"/>
        <v>46022</v>
      </c>
      <c r="BS54" s="52" t="str">
        <f t="shared" si="41"/>
        <v/>
      </c>
      <c r="BT54" s="52" t="str">
        <f t="shared" si="41"/>
        <v/>
      </c>
      <c r="BU54" s="52" t="str">
        <f t="shared" si="41"/>
        <v/>
      </c>
      <c r="BV54" s="52" t="str">
        <f t="shared" si="41"/>
        <v/>
      </c>
      <c r="BW54" s="52" t="str">
        <f t="shared" si="41"/>
        <v/>
      </c>
      <c r="BX54" s="52" t="str">
        <f t="shared" si="41"/>
        <v/>
      </c>
      <c r="BY54" s="56"/>
      <c r="BZ54" s="97" t="s">
        <v>66</v>
      </c>
      <c r="CA54" s="56"/>
      <c r="CB54" s="10"/>
    </row>
    <row r="55" spans="1:80" s="2" customFormat="1" ht="15.95" hidden="1" customHeight="1" x14ac:dyDescent="0.25">
      <c r="A55" s="157"/>
      <c r="B55" s="149" t="s">
        <v>67</v>
      </c>
      <c r="C55" s="158">
        <f t="shared" ref="C55:AG55" si="42">SUM(C52:C54)</f>
        <v>0</v>
      </c>
      <c r="D55" s="158">
        <f t="shared" si="42"/>
        <v>0</v>
      </c>
      <c r="E55" s="158">
        <f t="shared" si="42"/>
        <v>0</v>
      </c>
      <c r="F55" s="158">
        <f t="shared" si="42"/>
        <v>0</v>
      </c>
      <c r="G55" s="158">
        <f t="shared" si="42"/>
        <v>0</v>
      </c>
      <c r="H55" s="158">
        <f t="shared" si="42"/>
        <v>0</v>
      </c>
      <c r="I55" s="158">
        <f t="shared" si="42"/>
        <v>0</v>
      </c>
      <c r="J55" s="158">
        <f t="shared" si="42"/>
        <v>0</v>
      </c>
      <c r="K55" s="158">
        <f t="shared" si="42"/>
        <v>0</v>
      </c>
      <c r="L55" s="158">
        <f t="shared" si="42"/>
        <v>0</v>
      </c>
      <c r="M55" s="158">
        <f t="shared" si="42"/>
        <v>0</v>
      </c>
      <c r="N55" s="158">
        <f t="shared" si="42"/>
        <v>0</v>
      </c>
      <c r="O55" s="158">
        <f t="shared" si="42"/>
        <v>0</v>
      </c>
      <c r="P55" s="158">
        <f t="shared" si="42"/>
        <v>0</v>
      </c>
      <c r="Q55" s="158">
        <f t="shared" si="42"/>
        <v>0</v>
      </c>
      <c r="R55" s="158">
        <f t="shared" si="42"/>
        <v>0</v>
      </c>
      <c r="S55" s="158">
        <f t="shared" si="42"/>
        <v>0</v>
      </c>
      <c r="T55" s="158">
        <f t="shared" si="42"/>
        <v>0</v>
      </c>
      <c r="U55" s="158">
        <f t="shared" si="42"/>
        <v>0</v>
      </c>
      <c r="V55" s="158">
        <f t="shared" si="42"/>
        <v>0</v>
      </c>
      <c r="W55" s="158">
        <f t="shared" si="42"/>
        <v>0</v>
      </c>
      <c r="X55" s="158">
        <f t="shared" si="42"/>
        <v>0</v>
      </c>
      <c r="Y55" s="158">
        <f t="shared" si="42"/>
        <v>0</v>
      </c>
      <c r="Z55" s="158">
        <f t="shared" si="42"/>
        <v>0</v>
      </c>
      <c r="AA55" s="158">
        <f t="shared" si="42"/>
        <v>0</v>
      </c>
      <c r="AB55" s="158">
        <f t="shared" si="42"/>
        <v>0</v>
      </c>
      <c r="AC55" s="158">
        <f t="shared" si="42"/>
        <v>0</v>
      </c>
      <c r="AD55" s="158">
        <f t="shared" si="42"/>
        <v>0</v>
      </c>
      <c r="AE55" s="158">
        <f t="shared" si="42"/>
        <v>0</v>
      </c>
      <c r="AF55" s="158">
        <f t="shared" si="42"/>
        <v>0</v>
      </c>
      <c r="AG55" s="158">
        <f t="shared" si="42"/>
        <v>0</v>
      </c>
      <c r="AH55" s="154" t="s">
        <v>12</v>
      </c>
      <c r="AI55" s="133"/>
      <c r="AJ55" s="155"/>
      <c r="AK55" s="137"/>
      <c r="AL55" s="137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59"/>
      <c r="BF55" s="10"/>
      <c r="BG55" s="10"/>
      <c r="BH55" s="10"/>
      <c r="BI55" s="10"/>
      <c r="BJ55" s="10"/>
      <c r="BK55" s="10"/>
      <c r="BL55" s="10"/>
      <c r="BM55" s="10"/>
      <c r="BN55" s="10"/>
      <c r="BO55" s="52" t="str">
        <f t="shared" ref="BO55:BX55" si="43">IF(BO54=$AZ48,IF(BO54="",0,$AZ48),"")</f>
        <v/>
      </c>
      <c r="BP55" s="52" t="str">
        <f t="shared" si="43"/>
        <v/>
      </c>
      <c r="BQ55" s="52" t="str">
        <f t="shared" si="43"/>
        <v/>
      </c>
      <c r="BR55" s="52">
        <f t="shared" si="43"/>
        <v>46022</v>
      </c>
      <c r="BS55" s="52" t="str">
        <f t="shared" si="43"/>
        <v/>
      </c>
      <c r="BT55" s="52" t="str">
        <f t="shared" si="43"/>
        <v/>
      </c>
      <c r="BU55" s="52" t="str">
        <f t="shared" si="43"/>
        <v/>
      </c>
      <c r="BV55" s="52" t="str">
        <f t="shared" si="43"/>
        <v/>
      </c>
      <c r="BW55" s="52" t="str">
        <f t="shared" si="43"/>
        <v/>
      </c>
      <c r="BX55" s="52" t="str">
        <f t="shared" si="43"/>
        <v/>
      </c>
      <c r="BY55" s="52">
        <f t="shared" ref="BY55:BY58" si="44">SUM(BO55:BX55)</f>
        <v>46022</v>
      </c>
      <c r="BZ55" s="98">
        <f t="shared" ref="BZ55:BZ58" si="45">IF(BY55=$AZ$48,IF(BY55="",0,31),IF(BY55=$AZ$47,IF(BY55="",0,30),IF(BY55=$AX$48,IF(BY55="",0,29),IF(BY55=$AX$47,IF(BY55="",0,28)))))</f>
        <v>31</v>
      </c>
      <c r="CA55" s="99">
        <v>31</v>
      </c>
      <c r="CB55" s="10"/>
    </row>
    <row r="56" spans="1:80" s="2" customFormat="1" ht="15.95" hidden="1" customHeight="1" x14ac:dyDescent="0.25">
      <c r="A56" s="159"/>
      <c r="B56" s="160" t="s">
        <v>68</v>
      </c>
      <c r="C56" s="161">
        <f t="shared" ref="C56:AG56" si="46">IF(C9="V",IF(C9="",0,1),0)</f>
        <v>0</v>
      </c>
      <c r="D56" s="161">
        <f t="shared" si="46"/>
        <v>0</v>
      </c>
      <c r="E56" s="161">
        <f t="shared" si="46"/>
        <v>0</v>
      </c>
      <c r="F56" s="161">
        <f t="shared" si="46"/>
        <v>0</v>
      </c>
      <c r="G56" s="161">
        <f t="shared" si="46"/>
        <v>0</v>
      </c>
      <c r="H56" s="161">
        <f t="shared" si="46"/>
        <v>0</v>
      </c>
      <c r="I56" s="161">
        <f t="shared" si="46"/>
        <v>0</v>
      </c>
      <c r="J56" s="161">
        <f t="shared" si="46"/>
        <v>0</v>
      </c>
      <c r="K56" s="161">
        <f t="shared" si="46"/>
        <v>0</v>
      </c>
      <c r="L56" s="161">
        <f t="shared" si="46"/>
        <v>0</v>
      </c>
      <c r="M56" s="161">
        <f t="shared" si="46"/>
        <v>0</v>
      </c>
      <c r="N56" s="161">
        <f t="shared" si="46"/>
        <v>0</v>
      </c>
      <c r="O56" s="161">
        <f t="shared" si="46"/>
        <v>0</v>
      </c>
      <c r="P56" s="161">
        <f t="shared" si="46"/>
        <v>0</v>
      </c>
      <c r="Q56" s="161">
        <f t="shared" si="46"/>
        <v>0</v>
      </c>
      <c r="R56" s="161">
        <f t="shared" si="46"/>
        <v>0</v>
      </c>
      <c r="S56" s="161">
        <f t="shared" si="46"/>
        <v>0</v>
      </c>
      <c r="T56" s="161">
        <f t="shared" si="46"/>
        <v>0</v>
      </c>
      <c r="U56" s="161">
        <f t="shared" si="46"/>
        <v>0</v>
      </c>
      <c r="V56" s="161">
        <f t="shared" si="46"/>
        <v>0</v>
      </c>
      <c r="W56" s="161">
        <f t="shared" si="46"/>
        <v>0</v>
      </c>
      <c r="X56" s="161">
        <f t="shared" si="46"/>
        <v>0</v>
      </c>
      <c r="Y56" s="161">
        <f t="shared" si="46"/>
        <v>0</v>
      </c>
      <c r="Z56" s="161">
        <f t="shared" si="46"/>
        <v>0</v>
      </c>
      <c r="AA56" s="161">
        <f t="shared" si="46"/>
        <v>0</v>
      </c>
      <c r="AB56" s="161">
        <f t="shared" si="46"/>
        <v>0</v>
      </c>
      <c r="AC56" s="161">
        <f t="shared" si="46"/>
        <v>0</v>
      </c>
      <c r="AD56" s="161">
        <f t="shared" si="46"/>
        <v>0</v>
      </c>
      <c r="AE56" s="161">
        <f t="shared" si="46"/>
        <v>0</v>
      </c>
      <c r="AF56" s="161">
        <f t="shared" si="46"/>
        <v>0</v>
      </c>
      <c r="AG56" s="161">
        <f t="shared" si="46"/>
        <v>0</v>
      </c>
      <c r="AH56" s="154" t="s">
        <v>12</v>
      </c>
      <c r="AI56" s="133"/>
      <c r="AJ56" s="155"/>
      <c r="AK56" s="137"/>
      <c r="AL56" s="137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59"/>
      <c r="BF56" s="10"/>
      <c r="BG56" s="10"/>
      <c r="BH56" s="10"/>
      <c r="BI56" s="10"/>
      <c r="BJ56" s="10"/>
      <c r="BK56" s="10"/>
      <c r="BL56" s="10"/>
      <c r="BM56" s="10"/>
      <c r="BN56" s="10"/>
      <c r="BO56" s="52" t="str">
        <f t="shared" ref="BO56:BX56" si="47">IF(BO54=$AZ47,IF(BO54="",0,$AZ47),"")</f>
        <v/>
      </c>
      <c r="BP56" s="52" t="str">
        <f t="shared" si="47"/>
        <v/>
      </c>
      <c r="BQ56" s="52">
        <f t="shared" si="47"/>
        <v>46021</v>
      </c>
      <c r="BR56" s="52" t="str">
        <f t="shared" si="47"/>
        <v/>
      </c>
      <c r="BS56" s="52" t="str">
        <f t="shared" si="47"/>
        <v/>
      </c>
      <c r="BT56" s="52" t="str">
        <f t="shared" si="47"/>
        <v/>
      </c>
      <c r="BU56" s="52" t="str">
        <f t="shared" si="47"/>
        <v/>
      </c>
      <c r="BV56" s="52" t="str">
        <f t="shared" si="47"/>
        <v/>
      </c>
      <c r="BW56" s="52" t="str">
        <f t="shared" si="47"/>
        <v/>
      </c>
      <c r="BX56" s="52" t="str">
        <f t="shared" si="47"/>
        <v/>
      </c>
      <c r="BY56" s="52">
        <f t="shared" si="44"/>
        <v>46021</v>
      </c>
      <c r="BZ56" s="98">
        <f t="shared" si="45"/>
        <v>30</v>
      </c>
      <c r="CA56" s="99">
        <v>30</v>
      </c>
      <c r="CB56" s="10"/>
    </row>
    <row r="57" spans="1:80" ht="15.95" hidden="1" customHeight="1" x14ac:dyDescent="0.25">
      <c r="A57" s="129"/>
      <c r="B57" s="162" t="s">
        <v>16</v>
      </c>
      <c r="C57" s="163">
        <f t="shared" ref="C57:AG57" si="48">IF(C9="PR",IF(C9="",0,1),0)</f>
        <v>0</v>
      </c>
      <c r="D57" s="163">
        <f t="shared" si="48"/>
        <v>0</v>
      </c>
      <c r="E57" s="163">
        <f t="shared" si="48"/>
        <v>0</v>
      </c>
      <c r="F57" s="163">
        <f t="shared" si="48"/>
        <v>0</v>
      </c>
      <c r="G57" s="163">
        <f t="shared" si="48"/>
        <v>0</v>
      </c>
      <c r="H57" s="163">
        <f t="shared" si="48"/>
        <v>0</v>
      </c>
      <c r="I57" s="163">
        <f t="shared" si="48"/>
        <v>0</v>
      </c>
      <c r="J57" s="163">
        <f t="shared" si="48"/>
        <v>0</v>
      </c>
      <c r="K57" s="163">
        <f t="shared" si="48"/>
        <v>0</v>
      </c>
      <c r="L57" s="163">
        <f t="shared" si="48"/>
        <v>0</v>
      </c>
      <c r="M57" s="163">
        <f t="shared" si="48"/>
        <v>0</v>
      </c>
      <c r="N57" s="163">
        <f t="shared" si="48"/>
        <v>0</v>
      </c>
      <c r="O57" s="163">
        <f t="shared" si="48"/>
        <v>0</v>
      </c>
      <c r="P57" s="163">
        <f t="shared" si="48"/>
        <v>0</v>
      </c>
      <c r="Q57" s="163">
        <f t="shared" si="48"/>
        <v>0</v>
      </c>
      <c r="R57" s="163">
        <f t="shared" si="48"/>
        <v>0</v>
      </c>
      <c r="S57" s="163">
        <f t="shared" si="48"/>
        <v>0</v>
      </c>
      <c r="T57" s="163">
        <f t="shared" si="48"/>
        <v>0</v>
      </c>
      <c r="U57" s="163">
        <f t="shared" si="48"/>
        <v>0</v>
      </c>
      <c r="V57" s="163">
        <f t="shared" si="48"/>
        <v>0</v>
      </c>
      <c r="W57" s="163">
        <f t="shared" si="48"/>
        <v>0</v>
      </c>
      <c r="X57" s="163">
        <f t="shared" si="48"/>
        <v>0</v>
      </c>
      <c r="Y57" s="163">
        <f t="shared" si="48"/>
        <v>0</v>
      </c>
      <c r="Z57" s="163">
        <f t="shared" si="48"/>
        <v>0</v>
      </c>
      <c r="AA57" s="163">
        <f t="shared" si="48"/>
        <v>0</v>
      </c>
      <c r="AB57" s="163">
        <f t="shared" si="48"/>
        <v>0</v>
      </c>
      <c r="AC57" s="163">
        <f t="shared" si="48"/>
        <v>0</v>
      </c>
      <c r="AD57" s="163">
        <f t="shared" si="48"/>
        <v>0</v>
      </c>
      <c r="AE57" s="163">
        <f t="shared" si="48"/>
        <v>0</v>
      </c>
      <c r="AF57" s="163">
        <f t="shared" si="48"/>
        <v>0</v>
      </c>
      <c r="AG57" s="163">
        <f t="shared" si="48"/>
        <v>0</v>
      </c>
      <c r="AH57" s="233">
        <f>SUM(C57:AG57)</f>
        <v>0</v>
      </c>
      <c r="AI57" s="233"/>
      <c r="AJ57" s="137" t="s">
        <v>69</v>
      </c>
      <c r="AK57" s="133"/>
      <c r="AL57" s="133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59"/>
      <c r="BF57" s="31"/>
      <c r="BG57" s="31"/>
      <c r="BH57" s="31"/>
      <c r="BI57" s="31"/>
      <c r="BJ57" s="31"/>
      <c r="BK57" s="31"/>
      <c r="BL57" s="31"/>
      <c r="BM57" s="31"/>
      <c r="BN57" s="31"/>
      <c r="BO57" s="52" t="str">
        <f t="shared" ref="BO57:BX57" si="49">IF(BO54=$AX48,IF(BO54="",0,$AX48),"")</f>
        <v/>
      </c>
      <c r="BP57" s="52">
        <f t="shared" si="49"/>
        <v>46020</v>
      </c>
      <c r="BQ57" s="52" t="str">
        <f t="shared" si="49"/>
        <v/>
      </c>
      <c r="BR57" s="52" t="str">
        <f t="shared" si="49"/>
        <v/>
      </c>
      <c r="BS57" s="52" t="str">
        <f t="shared" si="49"/>
        <v/>
      </c>
      <c r="BT57" s="52" t="str">
        <f t="shared" si="49"/>
        <v/>
      </c>
      <c r="BU57" s="52" t="str">
        <f t="shared" si="49"/>
        <v/>
      </c>
      <c r="BV57" s="52" t="str">
        <f t="shared" si="49"/>
        <v/>
      </c>
      <c r="BW57" s="52" t="str">
        <f t="shared" si="49"/>
        <v/>
      </c>
      <c r="BX57" s="52" t="str">
        <f t="shared" si="49"/>
        <v/>
      </c>
      <c r="BY57" s="52">
        <f t="shared" si="44"/>
        <v>46020</v>
      </c>
      <c r="BZ57" s="98">
        <f t="shared" si="45"/>
        <v>29</v>
      </c>
      <c r="CA57" s="99">
        <v>29</v>
      </c>
      <c r="CB57" s="31"/>
    </row>
    <row r="58" spans="1:80" s="59" customFormat="1" ht="15.95" hidden="1" customHeight="1" x14ac:dyDescent="0.25">
      <c r="A58" s="164" t="s">
        <v>70</v>
      </c>
      <c r="B58" s="165" t="s">
        <v>29</v>
      </c>
      <c r="C58" s="141">
        <f t="shared" ref="C58:AG58" si="50">IF(C10=$R32,$S32*24,IF(C10=$R33,$S33*24,IF(C10=$R34,$S34*24,IF(C10=$R35,$S35*24,IF(C10=$R36,$S36*24,IF(C10=$R37,$S37*24,IF(C10=$R38,$S38*24,IF(C10=$R39,$S39*24,IF(C10=$R40,$S40*24,"")))))))))</f>
        <v>19</v>
      </c>
      <c r="D58" s="141" t="str">
        <f t="shared" si="50"/>
        <v/>
      </c>
      <c r="E58" s="141" t="str">
        <f t="shared" si="50"/>
        <v/>
      </c>
      <c r="F58" s="141">
        <f t="shared" si="50"/>
        <v>7</v>
      </c>
      <c r="G58" s="141">
        <f t="shared" si="50"/>
        <v>19</v>
      </c>
      <c r="H58" s="141">
        <f t="shared" si="50"/>
        <v>19</v>
      </c>
      <c r="I58" s="141">
        <f t="shared" si="50"/>
        <v>19</v>
      </c>
      <c r="J58" s="141" t="str">
        <f t="shared" si="50"/>
        <v/>
      </c>
      <c r="K58" s="141" t="str">
        <f t="shared" si="50"/>
        <v/>
      </c>
      <c r="L58" s="141">
        <f t="shared" si="50"/>
        <v>19</v>
      </c>
      <c r="M58" s="141">
        <f t="shared" si="50"/>
        <v>19</v>
      </c>
      <c r="N58" s="141" t="str">
        <f t="shared" si="50"/>
        <v/>
      </c>
      <c r="O58" s="141" t="str">
        <f t="shared" si="50"/>
        <v/>
      </c>
      <c r="P58" s="141" t="str">
        <f t="shared" si="50"/>
        <v/>
      </c>
      <c r="Q58" s="141">
        <f t="shared" si="50"/>
        <v>19</v>
      </c>
      <c r="R58" s="141">
        <f t="shared" si="50"/>
        <v>19</v>
      </c>
      <c r="S58" s="141" t="str">
        <f t="shared" si="50"/>
        <v/>
      </c>
      <c r="T58" s="141">
        <f t="shared" si="50"/>
        <v>7</v>
      </c>
      <c r="U58" s="141">
        <f t="shared" si="50"/>
        <v>19</v>
      </c>
      <c r="V58" s="141">
        <f t="shared" si="50"/>
        <v>19</v>
      </c>
      <c r="W58" s="141">
        <f t="shared" si="50"/>
        <v>19</v>
      </c>
      <c r="X58" s="141">
        <f t="shared" si="50"/>
        <v>19</v>
      </c>
      <c r="Y58" s="141">
        <f t="shared" si="50"/>
        <v>19</v>
      </c>
      <c r="Z58" s="141" t="str">
        <f t="shared" si="50"/>
        <v/>
      </c>
      <c r="AA58" s="141" t="str">
        <f t="shared" si="50"/>
        <v/>
      </c>
      <c r="AB58" s="141" t="str">
        <f t="shared" si="50"/>
        <v/>
      </c>
      <c r="AC58" s="141" t="str">
        <f t="shared" si="50"/>
        <v/>
      </c>
      <c r="AD58" s="141" t="str">
        <f t="shared" si="50"/>
        <v/>
      </c>
      <c r="AE58" s="141" t="str">
        <f t="shared" si="50"/>
        <v/>
      </c>
      <c r="AF58" s="141" t="str">
        <f t="shared" si="50"/>
        <v/>
      </c>
      <c r="AG58" s="141">
        <f t="shared" si="50"/>
        <v>19</v>
      </c>
      <c r="AH58" s="154" t="s">
        <v>12</v>
      </c>
      <c r="AI58" s="133"/>
      <c r="AJ58" s="137"/>
      <c r="AK58" s="137"/>
      <c r="AL58" s="137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1"/>
      <c r="BF58" s="56"/>
      <c r="BG58" s="56"/>
      <c r="BH58" s="56"/>
      <c r="BI58" s="56"/>
      <c r="BJ58" s="56"/>
      <c r="BK58" s="56"/>
      <c r="BL58" s="56"/>
      <c r="BM58" s="56"/>
      <c r="BN58" s="56"/>
      <c r="BO58" s="52">
        <f t="shared" ref="BO58:BX58" si="51">IF(BO54=$AX47,IF(BO54="",0,$AX47),"")</f>
        <v>46019</v>
      </c>
      <c r="BP58" s="52" t="str">
        <f t="shared" si="51"/>
        <v/>
      </c>
      <c r="BQ58" s="52" t="str">
        <f t="shared" si="51"/>
        <v/>
      </c>
      <c r="BR58" s="52" t="str">
        <f t="shared" si="51"/>
        <v/>
      </c>
      <c r="BS58" s="52" t="str">
        <f t="shared" si="51"/>
        <v/>
      </c>
      <c r="BT58" s="52" t="str">
        <f t="shared" si="51"/>
        <v/>
      </c>
      <c r="BU58" s="52" t="str">
        <f t="shared" si="51"/>
        <v/>
      </c>
      <c r="BV58" s="52" t="str">
        <f t="shared" si="51"/>
        <v/>
      </c>
      <c r="BW58" s="52" t="str">
        <f t="shared" si="51"/>
        <v/>
      </c>
      <c r="BX58" s="52" t="str">
        <f t="shared" si="51"/>
        <v/>
      </c>
      <c r="BY58" s="52">
        <f t="shared" si="44"/>
        <v>46019</v>
      </c>
      <c r="BZ58" s="52">
        <f t="shared" si="45"/>
        <v>28</v>
      </c>
      <c r="CA58" s="99">
        <v>28</v>
      </c>
      <c r="CB58" s="56"/>
    </row>
    <row r="59" spans="1:80" s="59" customFormat="1" ht="15.95" hidden="1" customHeight="1" x14ac:dyDescent="0.25">
      <c r="A59" s="166" t="s">
        <v>71</v>
      </c>
      <c r="B59" s="167" t="s">
        <v>30</v>
      </c>
      <c r="C59" s="141">
        <f t="shared" ref="C59:AG59" si="52">IF(C10=$R32,$V32*24,IF(C10=$R33,$V33*24,IF(C10=$R34,$V34*24,IF(C10=$R35,$V35*24,IF(C10=$R36,$V36*24,IF(C10=$R37,$V37*24,IF(C10=$R38,$V38*24,IF(C10=$R39,$V39*24,IF(C10=$R40,$V40*24,"")))))))))</f>
        <v>7</v>
      </c>
      <c r="D59" s="141" t="str">
        <f t="shared" si="52"/>
        <v/>
      </c>
      <c r="E59" s="141" t="str">
        <f t="shared" si="52"/>
        <v/>
      </c>
      <c r="F59" s="141">
        <f t="shared" si="52"/>
        <v>19</v>
      </c>
      <c r="G59" s="141">
        <f t="shared" si="52"/>
        <v>7</v>
      </c>
      <c r="H59" s="141">
        <f t="shared" si="52"/>
        <v>7</v>
      </c>
      <c r="I59" s="141">
        <f t="shared" si="52"/>
        <v>7</v>
      </c>
      <c r="J59" s="141" t="str">
        <f t="shared" si="52"/>
        <v/>
      </c>
      <c r="K59" s="141" t="str">
        <f t="shared" si="52"/>
        <v/>
      </c>
      <c r="L59" s="141">
        <f t="shared" si="52"/>
        <v>7</v>
      </c>
      <c r="M59" s="141">
        <f t="shared" si="52"/>
        <v>7</v>
      </c>
      <c r="N59" s="141" t="str">
        <f t="shared" si="52"/>
        <v/>
      </c>
      <c r="O59" s="141" t="str">
        <f t="shared" si="52"/>
        <v/>
      </c>
      <c r="P59" s="141" t="str">
        <f t="shared" si="52"/>
        <v/>
      </c>
      <c r="Q59" s="141">
        <f t="shared" si="52"/>
        <v>7</v>
      </c>
      <c r="R59" s="141">
        <f t="shared" si="52"/>
        <v>7</v>
      </c>
      <c r="S59" s="141" t="str">
        <f t="shared" si="52"/>
        <v/>
      </c>
      <c r="T59" s="141">
        <f t="shared" si="52"/>
        <v>19</v>
      </c>
      <c r="U59" s="141">
        <f t="shared" si="52"/>
        <v>7</v>
      </c>
      <c r="V59" s="141">
        <f t="shared" si="52"/>
        <v>7</v>
      </c>
      <c r="W59" s="141">
        <f t="shared" si="52"/>
        <v>7</v>
      </c>
      <c r="X59" s="141">
        <f t="shared" si="52"/>
        <v>7</v>
      </c>
      <c r="Y59" s="141">
        <f t="shared" si="52"/>
        <v>7</v>
      </c>
      <c r="Z59" s="141" t="str">
        <f t="shared" si="52"/>
        <v/>
      </c>
      <c r="AA59" s="141" t="str">
        <f t="shared" si="52"/>
        <v/>
      </c>
      <c r="AB59" s="141" t="str">
        <f t="shared" si="52"/>
        <v/>
      </c>
      <c r="AC59" s="141" t="str">
        <f t="shared" si="52"/>
        <v/>
      </c>
      <c r="AD59" s="141" t="str">
        <f t="shared" si="52"/>
        <v/>
      </c>
      <c r="AE59" s="141" t="str">
        <f t="shared" si="52"/>
        <v/>
      </c>
      <c r="AF59" s="141" t="str">
        <f t="shared" si="52"/>
        <v/>
      </c>
      <c r="AG59" s="141">
        <f t="shared" si="52"/>
        <v>7</v>
      </c>
      <c r="AH59" s="154" t="s">
        <v>12</v>
      </c>
      <c r="AI59" s="133"/>
      <c r="AJ59" s="137"/>
      <c r="AK59" s="137"/>
      <c r="AL59" s="137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1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100" t="s">
        <v>56</v>
      </c>
      <c r="BZ59" s="52">
        <f>SUM(BZ55:BZ58)</f>
        <v>118</v>
      </c>
      <c r="CA59" s="53">
        <f>IF(BZ59=118,31,IF(BZ59=90,31,IF(BZ59=61,31,IF(BZ59=31,31,IF(BZ59=87,30,IF(BZ59=59,30,IF(BZ59=30,30,IF(BZ59=57,29,IF(BZ59=29,29,IF(BZ59=28,28,""))))))))))</f>
        <v>31</v>
      </c>
      <c r="CB59" s="10"/>
    </row>
    <row r="60" spans="1:80" s="59" customFormat="1" ht="15.95" hidden="1" customHeight="1" x14ac:dyDescent="0.25">
      <c r="A60" s="153"/>
      <c r="B60" s="168" t="s">
        <v>34</v>
      </c>
      <c r="C60" s="169">
        <f t="shared" ref="C60:AD60" si="53">IF(C10=$R32,$BD32*24,IF(C10=$R33,$BD33*24,IF(C10=$R34,$BD34*24,IF(C10=$R35,$BD35*24,IF(C10=$R36,$BD36*24,IF(C10=$R37,$BD37*24,IF(C10=$R38,$BD38*24,IF(C10=$R39,$BD39*24,IF(C10=$R40,$BD40*24,"")))))))))</f>
        <v>8</v>
      </c>
      <c r="D60" s="169" t="str">
        <f t="shared" si="53"/>
        <v/>
      </c>
      <c r="E60" s="169" t="str">
        <f t="shared" si="53"/>
        <v/>
      </c>
      <c r="F60" s="169">
        <f t="shared" si="53"/>
        <v>0</v>
      </c>
      <c r="G60" s="169">
        <f t="shared" si="53"/>
        <v>8</v>
      </c>
      <c r="H60" s="169">
        <f t="shared" si="53"/>
        <v>8</v>
      </c>
      <c r="I60" s="169">
        <f t="shared" si="53"/>
        <v>8</v>
      </c>
      <c r="J60" s="169" t="str">
        <f t="shared" si="53"/>
        <v/>
      </c>
      <c r="K60" s="169" t="str">
        <f t="shared" si="53"/>
        <v/>
      </c>
      <c r="L60" s="169">
        <f t="shared" si="53"/>
        <v>8</v>
      </c>
      <c r="M60" s="169">
        <f t="shared" si="53"/>
        <v>8</v>
      </c>
      <c r="N60" s="169" t="str">
        <f t="shared" si="53"/>
        <v/>
      </c>
      <c r="O60" s="169" t="str">
        <f t="shared" si="53"/>
        <v/>
      </c>
      <c r="P60" s="169" t="str">
        <f t="shared" si="53"/>
        <v/>
      </c>
      <c r="Q60" s="169">
        <f t="shared" si="53"/>
        <v>8</v>
      </c>
      <c r="R60" s="169">
        <f t="shared" si="53"/>
        <v>8</v>
      </c>
      <c r="S60" s="169" t="str">
        <f t="shared" si="53"/>
        <v/>
      </c>
      <c r="T60" s="169">
        <f t="shared" si="53"/>
        <v>0</v>
      </c>
      <c r="U60" s="169">
        <f t="shared" si="53"/>
        <v>8</v>
      </c>
      <c r="V60" s="169">
        <f t="shared" si="53"/>
        <v>8</v>
      </c>
      <c r="W60" s="169">
        <f t="shared" si="53"/>
        <v>8</v>
      </c>
      <c r="X60" s="169">
        <f t="shared" si="53"/>
        <v>8</v>
      </c>
      <c r="Y60" s="169">
        <f t="shared" si="53"/>
        <v>8</v>
      </c>
      <c r="Z60" s="169" t="str">
        <f t="shared" si="53"/>
        <v/>
      </c>
      <c r="AA60" s="169" t="str">
        <f t="shared" si="53"/>
        <v/>
      </c>
      <c r="AB60" s="169" t="str">
        <f t="shared" si="53"/>
        <v/>
      </c>
      <c r="AC60" s="169" t="str">
        <f t="shared" si="53"/>
        <v/>
      </c>
      <c r="AD60" s="169" t="str">
        <f t="shared" si="53"/>
        <v/>
      </c>
      <c r="AE60" s="169" t="str">
        <f>IF(AE10=$R32,$BD32*24,IF(AE10=$R33,$BD33*24,IF(AE10=$R34,$BD34*24,IF(AE10=$R35,$BD35*24,IF(AE10=$R36,$BD36*24,IF(AE10=$R37,$BD37*24,IF(AE10=$R38,$BD38*24,IF(AE10=$R39,$BD39*24,IF(AE10=$R40,$BD40*24,"")))))))))</f>
        <v/>
      </c>
      <c r="AF60" s="169" t="str">
        <f>IF(AF10=$R32,$BD32*24,IF(AF10=$R33,$BD33*24,IF(AF10=$R34,$BD34*24,IF(AF10=$R35,$BD35*24,IF(AF10=$R36,$BD36*24,IF(AF10=$R37,$BD37*24,IF(AF10=$R38,$BD38*24,IF(AF10=$R39,$BD39*24,IF(AF10=$R40,$BD40*24,"")))))))))</f>
        <v/>
      </c>
      <c r="AG60" s="169">
        <f>IF(AG10=$R32,$BD32*24,IF(AG10=$R33,$BD33*24,IF(AG10=$R34,$BD34*24,IF(AG10=$R35,$BD35*24,IF(AG10=$R36,$BD36*24,IF(AG10=$R37,$BD37*24,IF(AG10=$R38,$BD38*24,IF(AG10=$R39,$BD39*24,IF(AG10=$R40,$BD40*24,"")))))))))</f>
        <v>8</v>
      </c>
      <c r="AH60" s="148">
        <f>SUM(C60:AG60)</f>
        <v>112</v>
      </c>
      <c r="AI60" s="133"/>
      <c r="AJ60" s="137"/>
      <c r="AK60" s="137"/>
      <c r="AL60" s="137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1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101">
        <f>CA59</f>
        <v>31</v>
      </c>
      <c r="CB60" s="56"/>
    </row>
    <row r="61" spans="1:80" s="59" customFormat="1" ht="15.95" hidden="1" customHeight="1" x14ac:dyDescent="0.25">
      <c r="A61" s="153"/>
      <c r="B61" s="167" t="s">
        <v>59</v>
      </c>
      <c r="C61" s="141">
        <f t="shared" ref="C61:AG61" si="54">IF(C10="V",$C36,IF(C10="PR",$C38,0))</f>
        <v>0</v>
      </c>
      <c r="D61" s="141">
        <f t="shared" si="54"/>
        <v>0</v>
      </c>
      <c r="E61" s="141">
        <f t="shared" si="54"/>
        <v>0</v>
      </c>
      <c r="F61" s="141">
        <f t="shared" si="54"/>
        <v>0</v>
      </c>
      <c r="G61" s="141">
        <f t="shared" si="54"/>
        <v>0</v>
      </c>
      <c r="H61" s="141">
        <f t="shared" si="54"/>
        <v>0</v>
      </c>
      <c r="I61" s="141">
        <f t="shared" si="54"/>
        <v>0</v>
      </c>
      <c r="J61" s="141">
        <f t="shared" si="54"/>
        <v>0</v>
      </c>
      <c r="K61" s="141">
        <f t="shared" si="54"/>
        <v>0</v>
      </c>
      <c r="L61" s="141">
        <f t="shared" si="54"/>
        <v>0</v>
      </c>
      <c r="M61" s="141">
        <f t="shared" si="54"/>
        <v>0</v>
      </c>
      <c r="N61" s="141">
        <f t="shared" si="54"/>
        <v>0</v>
      </c>
      <c r="O61" s="141">
        <f t="shared" si="54"/>
        <v>0</v>
      </c>
      <c r="P61" s="141">
        <f t="shared" si="54"/>
        <v>0</v>
      </c>
      <c r="Q61" s="141">
        <f t="shared" si="54"/>
        <v>0</v>
      </c>
      <c r="R61" s="141">
        <f t="shared" si="54"/>
        <v>0</v>
      </c>
      <c r="S61" s="141">
        <f t="shared" si="54"/>
        <v>0</v>
      </c>
      <c r="T61" s="141">
        <f t="shared" si="54"/>
        <v>0</v>
      </c>
      <c r="U61" s="141">
        <f t="shared" si="54"/>
        <v>0</v>
      </c>
      <c r="V61" s="141">
        <f t="shared" si="54"/>
        <v>0</v>
      </c>
      <c r="W61" s="141">
        <f t="shared" si="54"/>
        <v>0</v>
      </c>
      <c r="X61" s="141">
        <f t="shared" si="54"/>
        <v>0</v>
      </c>
      <c r="Y61" s="141">
        <f t="shared" si="54"/>
        <v>0</v>
      </c>
      <c r="Z61" s="141">
        <f t="shared" si="54"/>
        <v>0</v>
      </c>
      <c r="AA61" s="141">
        <f t="shared" si="54"/>
        <v>0</v>
      </c>
      <c r="AB61" s="141">
        <f t="shared" si="54"/>
        <v>0</v>
      </c>
      <c r="AC61" s="141">
        <f t="shared" si="54"/>
        <v>0</v>
      </c>
      <c r="AD61" s="141">
        <f t="shared" si="54"/>
        <v>0</v>
      </c>
      <c r="AE61" s="141">
        <f t="shared" si="54"/>
        <v>0</v>
      </c>
      <c r="AF61" s="141">
        <f t="shared" si="54"/>
        <v>0</v>
      </c>
      <c r="AG61" s="141">
        <f t="shared" si="54"/>
        <v>0</v>
      </c>
      <c r="AH61" s="226">
        <f>SUM(C61:AG61)</f>
        <v>0</v>
      </c>
      <c r="AI61" s="226"/>
      <c r="AJ61" s="137" t="s">
        <v>12</v>
      </c>
      <c r="AK61" s="137"/>
      <c r="AL61" s="137"/>
      <c r="BE61" s="1"/>
      <c r="BU61" s="60" t="str">
        <f>BS50</f>
        <v>ju</v>
      </c>
      <c r="BV61" s="60" t="str">
        <f>BT50</f>
        <v>vi</v>
      </c>
      <c r="BW61" s="60" t="str">
        <f>BU50</f>
        <v>sa</v>
      </c>
      <c r="BX61" s="60" t="str">
        <f>BV50</f>
        <v>do</v>
      </c>
      <c r="BY61" s="60" t="str">
        <f>BW50</f>
        <v>lu</v>
      </c>
    </row>
    <row r="62" spans="1:80" s="59" customFormat="1" ht="15.95" hidden="1" customHeight="1" x14ac:dyDescent="0.25">
      <c r="A62" s="150" t="s">
        <v>60</v>
      </c>
      <c r="B62" s="167" t="s">
        <v>61</v>
      </c>
      <c r="C62" s="151">
        <f t="shared" ref="C62:AD62" si="55">IF(C10=$R32,$BC32,IF(C10=$R33,$BC33,IF(C10=$R34,$BC34,IF(C10=$R35,$BC35,IF(C10=$R36,$BC36,IF(C10=$R37,$BC37,IF(C10=$R38,$BC38,IF(C10=$R39,$BC39,IF(C10=$R40,$BC40,0)))))))))</f>
        <v>12</v>
      </c>
      <c r="D62" s="151">
        <f t="shared" si="55"/>
        <v>0</v>
      </c>
      <c r="E62" s="151">
        <f t="shared" si="55"/>
        <v>0</v>
      </c>
      <c r="F62" s="151">
        <f t="shared" si="55"/>
        <v>11.999999999999998</v>
      </c>
      <c r="G62" s="151">
        <f t="shared" si="55"/>
        <v>12</v>
      </c>
      <c r="H62" s="151">
        <f t="shared" si="55"/>
        <v>12</v>
      </c>
      <c r="I62" s="151">
        <f t="shared" si="55"/>
        <v>12</v>
      </c>
      <c r="J62" s="151">
        <f t="shared" si="55"/>
        <v>0</v>
      </c>
      <c r="K62" s="151">
        <f t="shared" si="55"/>
        <v>0</v>
      </c>
      <c r="L62" s="151">
        <f t="shared" si="55"/>
        <v>12</v>
      </c>
      <c r="M62" s="151">
        <f t="shared" si="55"/>
        <v>12</v>
      </c>
      <c r="N62" s="151">
        <f t="shared" si="55"/>
        <v>0</v>
      </c>
      <c r="O62" s="151">
        <f t="shared" si="55"/>
        <v>0</v>
      </c>
      <c r="P62" s="151">
        <f t="shared" si="55"/>
        <v>0</v>
      </c>
      <c r="Q62" s="151">
        <f t="shared" si="55"/>
        <v>12</v>
      </c>
      <c r="R62" s="151">
        <f t="shared" si="55"/>
        <v>12</v>
      </c>
      <c r="S62" s="151">
        <f t="shared" si="55"/>
        <v>0</v>
      </c>
      <c r="T62" s="151">
        <f t="shared" si="55"/>
        <v>11.999999999999998</v>
      </c>
      <c r="U62" s="151">
        <f t="shared" si="55"/>
        <v>12</v>
      </c>
      <c r="V62" s="151">
        <f t="shared" si="55"/>
        <v>12</v>
      </c>
      <c r="W62" s="151">
        <f t="shared" si="55"/>
        <v>12</v>
      </c>
      <c r="X62" s="151">
        <f t="shared" si="55"/>
        <v>12</v>
      </c>
      <c r="Y62" s="151">
        <f t="shared" si="55"/>
        <v>12</v>
      </c>
      <c r="Z62" s="151">
        <f t="shared" si="55"/>
        <v>0</v>
      </c>
      <c r="AA62" s="151">
        <f t="shared" si="55"/>
        <v>0</v>
      </c>
      <c r="AB62" s="151">
        <f t="shared" si="55"/>
        <v>0</v>
      </c>
      <c r="AC62" s="151">
        <f t="shared" si="55"/>
        <v>0</v>
      </c>
      <c r="AD62" s="151">
        <f t="shared" si="55"/>
        <v>0</v>
      </c>
      <c r="AE62" s="151">
        <f>IF(AE10=$R32,$BC32,IF(AE10=$R33,$BC33,IF(AE10=$R34,$BC34,IF(AE10=$R35,$BC35,IF(AE10=$R36,$BC36,IF(AE10=$R37,$BC37,IF(AE10=$R38,$BC38,IF(AE10=$R39,$BC39,IF(AE10=$R40,$BC40,0)))))))))</f>
        <v>0</v>
      </c>
      <c r="AF62" s="151">
        <f>IF(AF10=$R32,$BC32,IF(AF10=$R33,$BC33,IF(AF10=$R34,$BC34,IF(AF10=$R35,$BC35,IF(AF10=$R36,$BC36,IF(AF10=$R37,$BC37,IF(AF10=$R38,$BC38,IF(AF10=$R39,$BC39,IF(AF10=$R40,$BC40,0)))))))))</f>
        <v>0</v>
      </c>
      <c r="AG62" s="151">
        <f>IF(AG10=$R32,$BC32,IF(AG10=$R33,$BC33,IF(AG10=$R34,$BC34,IF(AG10=$R35,$BC35,IF(AG10=$R36,$BC36,IF(AG10=$R37,$BC37,IF(AG10=$R38,$BC38,IF(AG10=$R39,$BC39,IF(AG10=$R40,$BC40,0)))))))))</f>
        <v>12</v>
      </c>
      <c r="AH62" s="226">
        <f>SUM(C62:AG62)</f>
        <v>192</v>
      </c>
      <c r="AI62" s="226"/>
      <c r="AJ62" s="137" t="s">
        <v>62</v>
      </c>
      <c r="AK62" s="137" t="s">
        <v>12</v>
      </c>
      <c r="AL62" s="137"/>
      <c r="BE62" s="1"/>
      <c r="BU62" s="61">
        <v>28</v>
      </c>
      <c r="BV62" s="61">
        <v>29</v>
      </c>
      <c r="BW62" s="61">
        <v>30</v>
      </c>
      <c r="BX62" s="61">
        <v>31</v>
      </c>
      <c r="BY62" s="61">
        <v>1</v>
      </c>
    </row>
    <row r="63" spans="1:80" s="59" customFormat="1" ht="15.95" hidden="1" customHeight="1" x14ac:dyDescent="0.25">
      <c r="A63" s="153" t="s">
        <v>48</v>
      </c>
      <c r="B63" s="149" t="s">
        <v>63</v>
      </c>
      <c r="C63" s="141" t="b">
        <f t="shared" ref="C63:AG63" si="56">IF(C46=1,IF(C58&lt;C59,C62,0))</f>
        <v>0</v>
      </c>
      <c r="D63" s="141" t="b">
        <f t="shared" si="56"/>
        <v>0</v>
      </c>
      <c r="E63" s="141" t="b">
        <f t="shared" si="56"/>
        <v>0</v>
      </c>
      <c r="F63" s="141" t="b">
        <f t="shared" si="56"/>
        <v>0</v>
      </c>
      <c r="G63" s="141" t="b">
        <f t="shared" si="56"/>
        <v>0</v>
      </c>
      <c r="H63" s="141">
        <f t="shared" si="56"/>
        <v>0</v>
      </c>
      <c r="I63" s="141">
        <f t="shared" si="56"/>
        <v>0</v>
      </c>
      <c r="J63" s="141" t="b">
        <f t="shared" si="56"/>
        <v>0</v>
      </c>
      <c r="K63" s="141" t="b">
        <f t="shared" si="56"/>
        <v>0</v>
      </c>
      <c r="L63" s="141" t="b">
        <f t="shared" si="56"/>
        <v>0</v>
      </c>
      <c r="M63" s="141" t="b">
        <f t="shared" si="56"/>
        <v>0</v>
      </c>
      <c r="N63" s="141" t="b">
        <f t="shared" si="56"/>
        <v>0</v>
      </c>
      <c r="O63" s="141">
        <f t="shared" si="56"/>
        <v>0</v>
      </c>
      <c r="P63" s="141">
        <f t="shared" si="56"/>
        <v>0</v>
      </c>
      <c r="Q63" s="141" t="b">
        <f t="shared" si="56"/>
        <v>0</v>
      </c>
      <c r="R63" s="141" t="b">
        <f t="shared" si="56"/>
        <v>0</v>
      </c>
      <c r="S63" s="141" t="b">
        <f t="shared" si="56"/>
        <v>0</v>
      </c>
      <c r="T63" s="141" t="b">
        <f t="shared" si="56"/>
        <v>0</v>
      </c>
      <c r="U63" s="141" t="b">
        <f t="shared" si="56"/>
        <v>0</v>
      </c>
      <c r="V63" s="141">
        <f t="shared" si="56"/>
        <v>0</v>
      </c>
      <c r="W63" s="141">
        <f t="shared" si="56"/>
        <v>0</v>
      </c>
      <c r="X63" s="141" t="b">
        <f t="shared" si="56"/>
        <v>0</v>
      </c>
      <c r="Y63" s="141" t="b">
        <f t="shared" si="56"/>
        <v>0</v>
      </c>
      <c r="Z63" s="141" t="b">
        <f t="shared" si="56"/>
        <v>0</v>
      </c>
      <c r="AA63" s="141" t="b">
        <f t="shared" si="56"/>
        <v>0</v>
      </c>
      <c r="AB63" s="141" t="b">
        <f t="shared" si="56"/>
        <v>0</v>
      </c>
      <c r="AC63" s="141">
        <f t="shared" si="56"/>
        <v>0</v>
      </c>
      <c r="AD63" s="141">
        <f t="shared" si="56"/>
        <v>0</v>
      </c>
      <c r="AE63" s="141" t="b">
        <f t="shared" si="56"/>
        <v>0</v>
      </c>
      <c r="AF63" s="141" t="b">
        <f t="shared" si="56"/>
        <v>0</v>
      </c>
      <c r="AG63" s="141" t="b">
        <f t="shared" si="56"/>
        <v>0</v>
      </c>
      <c r="AH63" s="142" t="s">
        <v>12</v>
      </c>
      <c r="AI63" s="133"/>
      <c r="AJ63" s="137"/>
      <c r="AK63" s="137"/>
      <c r="AL63" s="137"/>
      <c r="BE63" s="1"/>
      <c r="BV63" s="102" t="str">
        <f>IF(CA59=28,IF(CA59="",0,1),IF(CA59=1,IF(CA59="",0,1),""))</f>
        <v/>
      </c>
      <c r="BW63" s="102" t="str">
        <f>IF(CA59=29,IF(CA59="",0,1),IF(CA59=1,IF(CA59="",0,1),""))</f>
        <v/>
      </c>
      <c r="BX63" s="102" t="str">
        <f>IF(CA59=30,IF(CA59="",0,1),IF(CA59=1,IF(CA59="",0,1),""))</f>
        <v/>
      </c>
      <c r="BY63" s="102">
        <f>IF(CA59=31,IF(CA59="",0,1),IF(CA59=1,IF(CA59="",0,1),""))</f>
        <v>1</v>
      </c>
    </row>
    <row r="64" spans="1:80" ht="15.95" hidden="1" customHeight="1" x14ac:dyDescent="0.25">
      <c r="A64" s="153"/>
      <c r="B64" s="149" t="s">
        <v>64</v>
      </c>
      <c r="C64" s="141">
        <f t="shared" ref="C64:AG64" si="57">IF(C46=1,IF(C58&gt;C59,24-C58,0),0)</f>
        <v>0</v>
      </c>
      <c r="D64" s="141">
        <f t="shared" si="57"/>
        <v>0</v>
      </c>
      <c r="E64" s="141">
        <f t="shared" si="57"/>
        <v>0</v>
      </c>
      <c r="F64" s="141">
        <f t="shared" si="57"/>
        <v>0</v>
      </c>
      <c r="G64" s="141">
        <f t="shared" si="57"/>
        <v>0</v>
      </c>
      <c r="H64" s="141">
        <f t="shared" si="57"/>
        <v>5</v>
      </c>
      <c r="I64" s="141">
        <f t="shared" si="57"/>
        <v>5</v>
      </c>
      <c r="J64" s="141">
        <f t="shared" si="57"/>
        <v>0</v>
      </c>
      <c r="K64" s="141">
        <f t="shared" si="57"/>
        <v>0</v>
      </c>
      <c r="L64" s="141">
        <f t="shared" si="57"/>
        <v>0</v>
      </c>
      <c r="M64" s="141">
        <f t="shared" si="57"/>
        <v>0</v>
      </c>
      <c r="N64" s="141">
        <f t="shared" si="57"/>
        <v>0</v>
      </c>
      <c r="O64" s="141">
        <f t="shared" si="57"/>
        <v>0</v>
      </c>
      <c r="P64" s="141">
        <f t="shared" si="57"/>
        <v>0</v>
      </c>
      <c r="Q64" s="141">
        <f t="shared" si="57"/>
        <v>0</v>
      </c>
      <c r="R64" s="141">
        <f t="shared" si="57"/>
        <v>0</v>
      </c>
      <c r="S64" s="141">
        <f t="shared" si="57"/>
        <v>0</v>
      </c>
      <c r="T64" s="141">
        <f t="shared" si="57"/>
        <v>0</v>
      </c>
      <c r="U64" s="141">
        <f t="shared" si="57"/>
        <v>0</v>
      </c>
      <c r="V64" s="141">
        <f t="shared" si="57"/>
        <v>5</v>
      </c>
      <c r="W64" s="141">
        <f t="shared" si="57"/>
        <v>5</v>
      </c>
      <c r="X64" s="141">
        <f t="shared" si="57"/>
        <v>0</v>
      </c>
      <c r="Y64" s="141">
        <f t="shared" si="57"/>
        <v>0</v>
      </c>
      <c r="Z64" s="141">
        <f t="shared" si="57"/>
        <v>0</v>
      </c>
      <c r="AA64" s="141">
        <f t="shared" si="57"/>
        <v>0</v>
      </c>
      <c r="AB64" s="141">
        <f t="shared" si="57"/>
        <v>0</v>
      </c>
      <c r="AC64" s="141">
        <f t="shared" si="57"/>
        <v>0</v>
      </c>
      <c r="AD64" s="141">
        <f t="shared" si="57"/>
        <v>0</v>
      </c>
      <c r="AE64" s="141">
        <f t="shared" si="57"/>
        <v>0</v>
      </c>
      <c r="AF64" s="141">
        <f t="shared" si="57"/>
        <v>0</v>
      </c>
      <c r="AG64" s="141">
        <f t="shared" si="57"/>
        <v>0</v>
      </c>
      <c r="AH64" s="142" t="s">
        <v>12</v>
      </c>
      <c r="AI64" s="133"/>
      <c r="AJ64" s="170"/>
      <c r="AK64" s="133"/>
      <c r="AL64" s="133"/>
      <c r="BU64" s="45" t="s">
        <v>72</v>
      </c>
      <c r="BV64" s="102" t="b">
        <f>IF(BV61="sa",IF(BV61="",0,"1"),IF(BV61="do",IF(BV61="",0,"1")))</f>
        <v>0</v>
      </c>
      <c r="BW64" s="102" t="str">
        <f>IF(BW61="sa",IF(BW61="",0,"1"),IF(BW61="do",IF(BW61="",0,"1")))</f>
        <v>1</v>
      </c>
      <c r="BX64" s="102" t="str">
        <f>IF(BX61="sa",IF(BX61="",0,"1"),IF(BX61="do",IF(BX61="",0,"1")))</f>
        <v>1</v>
      </c>
      <c r="BY64" s="102" t="b">
        <f>IF(BY61="sa",IF(BY61="",0,"1"),IF(BY61="do",IF(BY61="",0,"1")))</f>
        <v>0</v>
      </c>
    </row>
    <row r="65" spans="1:77" ht="15.95" hidden="1" customHeight="1" x14ac:dyDescent="0.25">
      <c r="A65" s="153"/>
      <c r="B65" s="149" t="s">
        <v>65</v>
      </c>
      <c r="C65" s="141">
        <f t="shared" ref="C65:AG65" si="58">IF(D46=1,IF(C58&gt;C59,C59,0),0)</f>
        <v>0</v>
      </c>
      <c r="D65" s="141">
        <f t="shared" si="58"/>
        <v>0</v>
      </c>
      <c r="E65" s="141">
        <f t="shared" si="58"/>
        <v>0</v>
      </c>
      <c r="F65" s="141">
        <f t="shared" si="58"/>
        <v>0</v>
      </c>
      <c r="G65" s="141">
        <f t="shared" si="58"/>
        <v>7</v>
      </c>
      <c r="H65" s="141">
        <f t="shared" si="58"/>
        <v>7</v>
      </c>
      <c r="I65" s="141">
        <f t="shared" si="58"/>
        <v>0</v>
      </c>
      <c r="J65" s="141">
        <f t="shared" si="58"/>
        <v>0</v>
      </c>
      <c r="K65" s="141">
        <f t="shared" si="58"/>
        <v>0</v>
      </c>
      <c r="L65" s="141">
        <f t="shared" si="58"/>
        <v>0</v>
      </c>
      <c r="M65" s="141">
        <f t="shared" si="58"/>
        <v>0</v>
      </c>
      <c r="N65" s="141">
        <f t="shared" si="58"/>
        <v>0</v>
      </c>
      <c r="O65" s="141">
        <f t="shared" si="58"/>
        <v>0</v>
      </c>
      <c r="P65" s="141">
        <f t="shared" si="58"/>
        <v>0</v>
      </c>
      <c r="Q65" s="141">
        <f t="shared" si="58"/>
        <v>0</v>
      </c>
      <c r="R65" s="141">
        <f t="shared" si="58"/>
        <v>0</v>
      </c>
      <c r="S65" s="141">
        <f t="shared" si="58"/>
        <v>0</v>
      </c>
      <c r="T65" s="141">
        <f t="shared" si="58"/>
        <v>0</v>
      </c>
      <c r="U65" s="141">
        <f t="shared" si="58"/>
        <v>7</v>
      </c>
      <c r="V65" s="141">
        <f t="shared" si="58"/>
        <v>7</v>
      </c>
      <c r="W65" s="141">
        <f t="shared" si="58"/>
        <v>0</v>
      </c>
      <c r="X65" s="141">
        <f>IF(Y46=1,IF(X58&gt;X59,X59,0),0)</f>
        <v>0</v>
      </c>
      <c r="Y65" s="141">
        <f t="shared" si="58"/>
        <v>0</v>
      </c>
      <c r="Z65" s="141">
        <f t="shared" si="58"/>
        <v>0</v>
      </c>
      <c r="AA65" s="141">
        <f t="shared" si="58"/>
        <v>0</v>
      </c>
      <c r="AB65" s="141">
        <f t="shared" si="58"/>
        <v>0</v>
      </c>
      <c r="AC65" s="141">
        <f t="shared" si="58"/>
        <v>0</v>
      </c>
      <c r="AD65" s="141">
        <f t="shared" si="58"/>
        <v>0</v>
      </c>
      <c r="AE65" s="141">
        <f t="shared" si="58"/>
        <v>0</v>
      </c>
      <c r="AF65" s="141">
        <f t="shared" si="58"/>
        <v>0</v>
      </c>
      <c r="AG65" s="141">
        <f t="shared" si="58"/>
        <v>0</v>
      </c>
      <c r="AH65" s="142" t="s">
        <v>12</v>
      </c>
      <c r="AI65" s="133"/>
      <c r="AJ65" s="170"/>
      <c r="AK65" s="133"/>
      <c r="AL65" s="133"/>
    </row>
    <row r="66" spans="1:77" ht="15.95" hidden="1" customHeight="1" x14ac:dyDescent="0.25">
      <c r="A66" s="153"/>
      <c r="B66" s="149" t="s">
        <v>67</v>
      </c>
      <c r="C66" s="171">
        <f t="shared" ref="C66:AG66" si="59">SUM(C63:C65)</f>
        <v>0</v>
      </c>
      <c r="D66" s="171">
        <f t="shared" si="59"/>
        <v>0</v>
      </c>
      <c r="E66" s="171">
        <f t="shared" si="59"/>
        <v>0</v>
      </c>
      <c r="F66" s="171">
        <f t="shared" si="59"/>
        <v>0</v>
      </c>
      <c r="G66" s="171">
        <f t="shared" si="59"/>
        <v>7</v>
      </c>
      <c r="H66" s="171">
        <f t="shared" si="59"/>
        <v>12</v>
      </c>
      <c r="I66" s="171">
        <f t="shared" si="59"/>
        <v>5</v>
      </c>
      <c r="J66" s="171">
        <f t="shared" si="59"/>
        <v>0</v>
      </c>
      <c r="K66" s="171">
        <f t="shared" si="59"/>
        <v>0</v>
      </c>
      <c r="L66" s="171">
        <f t="shared" si="59"/>
        <v>0</v>
      </c>
      <c r="M66" s="171">
        <f t="shared" si="59"/>
        <v>0</v>
      </c>
      <c r="N66" s="171">
        <f t="shared" si="59"/>
        <v>0</v>
      </c>
      <c r="O66" s="171">
        <f t="shared" si="59"/>
        <v>0</v>
      </c>
      <c r="P66" s="171">
        <f t="shared" si="59"/>
        <v>0</v>
      </c>
      <c r="Q66" s="171">
        <f t="shared" si="59"/>
        <v>0</v>
      </c>
      <c r="R66" s="171">
        <f t="shared" si="59"/>
        <v>0</v>
      </c>
      <c r="S66" s="171">
        <f t="shared" si="59"/>
        <v>0</v>
      </c>
      <c r="T66" s="171">
        <f t="shared" si="59"/>
        <v>0</v>
      </c>
      <c r="U66" s="171">
        <f t="shared" si="59"/>
        <v>7</v>
      </c>
      <c r="V66" s="171">
        <f t="shared" si="59"/>
        <v>12</v>
      </c>
      <c r="W66" s="171">
        <f t="shared" si="59"/>
        <v>5</v>
      </c>
      <c r="X66" s="171">
        <f t="shared" si="59"/>
        <v>0</v>
      </c>
      <c r="Y66" s="171">
        <f t="shared" si="59"/>
        <v>0</v>
      </c>
      <c r="Z66" s="171">
        <f t="shared" si="59"/>
        <v>0</v>
      </c>
      <c r="AA66" s="171">
        <f t="shared" si="59"/>
        <v>0</v>
      </c>
      <c r="AB66" s="171">
        <f t="shared" si="59"/>
        <v>0</v>
      </c>
      <c r="AC66" s="171">
        <f t="shared" si="59"/>
        <v>0</v>
      </c>
      <c r="AD66" s="171">
        <f t="shared" si="59"/>
        <v>0</v>
      </c>
      <c r="AE66" s="171">
        <f t="shared" si="59"/>
        <v>0</v>
      </c>
      <c r="AF66" s="171">
        <f t="shared" si="59"/>
        <v>0</v>
      </c>
      <c r="AG66" s="171">
        <f t="shared" si="59"/>
        <v>0</v>
      </c>
      <c r="AH66" s="142" t="s">
        <v>12</v>
      </c>
      <c r="AI66" s="133"/>
      <c r="AJ66" s="170"/>
      <c r="AK66" s="133"/>
      <c r="AL66" s="133"/>
      <c r="BU66" s="62"/>
      <c r="BV66" s="63" t="str">
        <f t="shared" ref="BV66:BY67" si="60">IF(BV65=2,IF(BV65="",0,"X"),IF(BV65=2,IF(BV65="",0,2),""))</f>
        <v/>
      </c>
      <c r="BW66" s="63" t="str">
        <f t="shared" si="60"/>
        <v/>
      </c>
      <c r="BX66" s="63" t="str">
        <f t="shared" si="60"/>
        <v/>
      </c>
      <c r="BY66" s="63" t="str">
        <f t="shared" si="60"/>
        <v/>
      </c>
    </row>
    <row r="67" spans="1:77" ht="15.95" hidden="1" customHeight="1" x14ac:dyDescent="0.25">
      <c r="A67" s="172"/>
      <c r="B67" s="160" t="s">
        <v>68</v>
      </c>
      <c r="C67" s="161">
        <f t="shared" ref="C67:AG67" si="61">IF(C10="V",IF(C10="",0,1),0)</f>
        <v>0</v>
      </c>
      <c r="D67" s="161">
        <f t="shared" si="61"/>
        <v>0</v>
      </c>
      <c r="E67" s="161">
        <f t="shared" si="61"/>
        <v>0</v>
      </c>
      <c r="F67" s="161">
        <f t="shared" si="61"/>
        <v>0</v>
      </c>
      <c r="G67" s="161">
        <f t="shared" si="61"/>
        <v>0</v>
      </c>
      <c r="H67" s="161">
        <f t="shared" si="61"/>
        <v>0</v>
      </c>
      <c r="I67" s="161">
        <f t="shared" si="61"/>
        <v>0</v>
      </c>
      <c r="J67" s="161">
        <f t="shared" si="61"/>
        <v>0</v>
      </c>
      <c r="K67" s="161">
        <f t="shared" si="61"/>
        <v>0</v>
      </c>
      <c r="L67" s="161">
        <f t="shared" si="61"/>
        <v>0</v>
      </c>
      <c r="M67" s="161">
        <f t="shared" si="61"/>
        <v>0</v>
      </c>
      <c r="N67" s="161">
        <f t="shared" si="61"/>
        <v>0</v>
      </c>
      <c r="O67" s="161">
        <f t="shared" si="61"/>
        <v>0</v>
      </c>
      <c r="P67" s="161">
        <f t="shared" si="61"/>
        <v>0</v>
      </c>
      <c r="Q67" s="161">
        <f t="shared" si="61"/>
        <v>0</v>
      </c>
      <c r="R67" s="161">
        <f t="shared" si="61"/>
        <v>0</v>
      </c>
      <c r="S67" s="161">
        <f t="shared" si="61"/>
        <v>0</v>
      </c>
      <c r="T67" s="161">
        <f t="shared" si="61"/>
        <v>0</v>
      </c>
      <c r="U67" s="161">
        <f t="shared" si="61"/>
        <v>0</v>
      </c>
      <c r="V67" s="161">
        <f t="shared" si="61"/>
        <v>0</v>
      </c>
      <c r="W67" s="161">
        <f t="shared" si="61"/>
        <v>0</v>
      </c>
      <c r="X67" s="161">
        <f t="shared" si="61"/>
        <v>0</v>
      </c>
      <c r="Y67" s="161">
        <f t="shared" si="61"/>
        <v>0</v>
      </c>
      <c r="Z67" s="161">
        <f t="shared" si="61"/>
        <v>0</v>
      </c>
      <c r="AA67" s="161">
        <f t="shared" si="61"/>
        <v>0</v>
      </c>
      <c r="AB67" s="161">
        <f t="shared" si="61"/>
        <v>0</v>
      </c>
      <c r="AC67" s="161">
        <f t="shared" si="61"/>
        <v>0</v>
      </c>
      <c r="AD67" s="161">
        <f t="shared" si="61"/>
        <v>0</v>
      </c>
      <c r="AE67" s="161">
        <f t="shared" si="61"/>
        <v>0</v>
      </c>
      <c r="AF67" s="161">
        <f t="shared" si="61"/>
        <v>0</v>
      </c>
      <c r="AG67" s="161">
        <f t="shared" si="61"/>
        <v>0</v>
      </c>
      <c r="AH67" s="142" t="s">
        <v>12</v>
      </c>
      <c r="AI67" s="133"/>
      <c r="AJ67" s="170"/>
      <c r="AK67" s="133"/>
      <c r="AL67" s="133"/>
      <c r="BU67" s="64"/>
      <c r="BV67" s="63" t="str">
        <f t="shared" si="60"/>
        <v/>
      </c>
      <c r="BW67" s="63" t="str">
        <f t="shared" si="60"/>
        <v/>
      </c>
      <c r="BX67" s="63" t="str">
        <f t="shared" si="60"/>
        <v/>
      </c>
      <c r="BY67" s="63" t="str">
        <f t="shared" si="60"/>
        <v/>
      </c>
    </row>
    <row r="68" spans="1:77" ht="15.95" hidden="1" customHeight="1" x14ac:dyDescent="0.25">
      <c r="A68" s="173"/>
      <c r="B68" s="130" t="s">
        <v>16</v>
      </c>
      <c r="C68" s="163">
        <f t="shared" ref="C68:AG68" si="62">IF(C10="PR",IF(C10="",0,1),0)</f>
        <v>0</v>
      </c>
      <c r="D68" s="163">
        <f t="shared" si="62"/>
        <v>0</v>
      </c>
      <c r="E68" s="163">
        <f t="shared" si="62"/>
        <v>0</v>
      </c>
      <c r="F68" s="163">
        <f t="shared" si="62"/>
        <v>0</v>
      </c>
      <c r="G68" s="163">
        <f t="shared" si="62"/>
        <v>0</v>
      </c>
      <c r="H68" s="163">
        <f t="shared" si="62"/>
        <v>0</v>
      </c>
      <c r="I68" s="163">
        <f t="shared" si="62"/>
        <v>0</v>
      </c>
      <c r="J68" s="163">
        <f t="shared" si="62"/>
        <v>0</v>
      </c>
      <c r="K68" s="163">
        <f t="shared" si="62"/>
        <v>0</v>
      </c>
      <c r="L68" s="163">
        <f t="shared" si="62"/>
        <v>0</v>
      </c>
      <c r="M68" s="163">
        <f t="shared" si="62"/>
        <v>0</v>
      </c>
      <c r="N68" s="163">
        <f t="shared" si="62"/>
        <v>0</v>
      </c>
      <c r="O68" s="163">
        <f t="shared" si="62"/>
        <v>0</v>
      </c>
      <c r="P68" s="163">
        <f t="shared" si="62"/>
        <v>0</v>
      </c>
      <c r="Q68" s="163">
        <f t="shared" si="62"/>
        <v>0</v>
      </c>
      <c r="R68" s="163">
        <f t="shared" si="62"/>
        <v>0</v>
      </c>
      <c r="S68" s="163">
        <f t="shared" si="62"/>
        <v>0</v>
      </c>
      <c r="T68" s="163">
        <f t="shared" si="62"/>
        <v>0</v>
      </c>
      <c r="U68" s="163">
        <f t="shared" si="62"/>
        <v>0</v>
      </c>
      <c r="V68" s="163">
        <f t="shared" si="62"/>
        <v>0</v>
      </c>
      <c r="W68" s="163">
        <f t="shared" si="62"/>
        <v>0</v>
      </c>
      <c r="X68" s="163">
        <f t="shared" si="62"/>
        <v>0</v>
      </c>
      <c r="Y68" s="163">
        <f t="shared" si="62"/>
        <v>0</v>
      </c>
      <c r="Z68" s="163">
        <f t="shared" si="62"/>
        <v>0</v>
      </c>
      <c r="AA68" s="163">
        <f t="shared" si="62"/>
        <v>0</v>
      </c>
      <c r="AB68" s="163">
        <f t="shared" si="62"/>
        <v>0</v>
      </c>
      <c r="AC68" s="163">
        <f t="shared" si="62"/>
        <v>0</v>
      </c>
      <c r="AD68" s="163">
        <f t="shared" si="62"/>
        <v>0</v>
      </c>
      <c r="AE68" s="163">
        <f t="shared" si="62"/>
        <v>0</v>
      </c>
      <c r="AF68" s="163">
        <f t="shared" si="62"/>
        <v>0</v>
      </c>
      <c r="AG68" s="163">
        <f t="shared" si="62"/>
        <v>0</v>
      </c>
      <c r="AH68" s="229">
        <f>SUM(C68:AG68)</f>
        <v>0</v>
      </c>
      <c r="AI68" s="229"/>
      <c r="AJ68" s="174" t="s">
        <v>69</v>
      </c>
      <c r="AK68" s="133"/>
      <c r="AL68" s="133"/>
    </row>
    <row r="69" spans="1:77" ht="15.95" hidden="1" customHeight="1" x14ac:dyDescent="0.25">
      <c r="A69" s="164" t="s">
        <v>73</v>
      </c>
      <c r="B69" s="165" t="s">
        <v>29</v>
      </c>
      <c r="C69" s="141">
        <f t="shared" ref="C69:AG69" si="63">IF(C11=$R32,$S32*24,IF(C11=$R33,$S33*24,IF(C11=$R34,$S34*24,IF(C11=$R35,$S35*24,IF(C11=$R36,$S36*24,IF(C11=$R37,$S37*24,IF(C11=$R38,$S38*24,IF(C11=$R39,$S39*24,IF(C11=$R40,$S40*24,"")))))))))</f>
        <v>7</v>
      </c>
      <c r="D69" s="141">
        <f t="shared" si="63"/>
        <v>7</v>
      </c>
      <c r="E69" s="141">
        <f t="shared" si="63"/>
        <v>7</v>
      </c>
      <c r="F69" s="141" t="str">
        <f t="shared" si="63"/>
        <v/>
      </c>
      <c r="G69" s="141">
        <f t="shared" si="63"/>
        <v>7</v>
      </c>
      <c r="H69" s="141">
        <f t="shared" si="63"/>
        <v>7</v>
      </c>
      <c r="I69" s="141">
        <f t="shared" si="63"/>
        <v>7</v>
      </c>
      <c r="J69" s="141" t="str">
        <f t="shared" si="63"/>
        <v/>
      </c>
      <c r="K69" s="141">
        <f t="shared" si="63"/>
        <v>7</v>
      </c>
      <c r="L69" s="141">
        <f t="shared" si="63"/>
        <v>7</v>
      </c>
      <c r="M69" s="141">
        <f t="shared" si="63"/>
        <v>7</v>
      </c>
      <c r="N69" s="141" t="str">
        <f t="shared" si="63"/>
        <v/>
      </c>
      <c r="O69" s="141" t="str">
        <f t="shared" si="63"/>
        <v/>
      </c>
      <c r="P69" s="141" t="str">
        <f t="shared" si="63"/>
        <v/>
      </c>
      <c r="Q69" s="141">
        <f t="shared" si="63"/>
        <v>7</v>
      </c>
      <c r="R69" s="141">
        <f t="shared" si="63"/>
        <v>7</v>
      </c>
      <c r="S69" s="141" t="str">
        <f t="shared" si="63"/>
        <v/>
      </c>
      <c r="T69" s="141" t="str">
        <f t="shared" si="63"/>
        <v/>
      </c>
      <c r="U69" s="141">
        <f t="shared" si="63"/>
        <v>7</v>
      </c>
      <c r="V69" s="141">
        <f t="shared" si="63"/>
        <v>7</v>
      </c>
      <c r="W69" s="141">
        <f t="shared" si="63"/>
        <v>7</v>
      </c>
      <c r="X69" s="141" t="str">
        <f>IF(X11=$R32,$S32*24,IF(X11=$R33,$S33*24,IF(X11=$R34,$S34*24,IF(X11=$R35,$S35*24,IF(X11=$R36,$S36*24,IF(X11=$R37,$S37*24,IF(X11=$R38,$S38*24,IF(X11=$R39,$S39*24,IF(X11=$R40,$S40*24,"")))))))))</f>
        <v/>
      </c>
      <c r="Y69" s="141" t="str">
        <f t="shared" si="63"/>
        <v/>
      </c>
      <c r="Z69" s="141" t="str">
        <f t="shared" si="63"/>
        <v/>
      </c>
      <c r="AA69" s="141" t="str">
        <f t="shared" si="63"/>
        <v/>
      </c>
      <c r="AB69" s="141" t="str">
        <f t="shared" si="63"/>
        <v/>
      </c>
      <c r="AC69" s="141" t="str">
        <f t="shared" si="63"/>
        <v/>
      </c>
      <c r="AD69" s="141" t="str">
        <f t="shared" si="63"/>
        <v/>
      </c>
      <c r="AE69" s="141">
        <f t="shared" si="63"/>
        <v>7</v>
      </c>
      <c r="AF69" s="141">
        <f t="shared" si="63"/>
        <v>18</v>
      </c>
      <c r="AG69" s="141">
        <f t="shared" si="63"/>
        <v>18</v>
      </c>
      <c r="AH69" s="154" t="s">
        <v>12</v>
      </c>
      <c r="AI69" s="133"/>
      <c r="AJ69" s="170"/>
      <c r="AK69" s="133"/>
      <c r="AL69" s="133"/>
    </row>
    <row r="70" spans="1:77" ht="15.95" hidden="1" customHeight="1" x14ac:dyDescent="0.25">
      <c r="A70" s="166" t="s">
        <v>74</v>
      </c>
      <c r="B70" s="167" t="s">
        <v>30</v>
      </c>
      <c r="C70" s="141">
        <f t="shared" ref="C70:AG70" si="64">IF(C11=$R32,$V32*24,IF(C11=$R33,$V33*24,IF(C11=$R34,$V34*24,IF(C11=$R35,$V35*24,IF(C11=$R36,$V36*24,IF(C11=$R37,$V37*24,IF(C11=$R38,$V38*24,IF(C11=$R39,$V39*24,IF(C11=$R40,$V40*24,"")))))))))</f>
        <v>19</v>
      </c>
      <c r="D70" s="141">
        <f t="shared" si="64"/>
        <v>19</v>
      </c>
      <c r="E70" s="141">
        <f t="shared" si="64"/>
        <v>19</v>
      </c>
      <c r="F70" s="141" t="str">
        <f t="shared" si="64"/>
        <v/>
      </c>
      <c r="G70" s="141">
        <f t="shared" si="64"/>
        <v>19</v>
      </c>
      <c r="H70" s="141">
        <f t="shared" si="64"/>
        <v>19</v>
      </c>
      <c r="I70" s="141">
        <f t="shared" si="64"/>
        <v>19</v>
      </c>
      <c r="J70" s="141" t="str">
        <f t="shared" si="64"/>
        <v/>
      </c>
      <c r="K70" s="141">
        <f t="shared" si="64"/>
        <v>19</v>
      </c>
      <c r="L70" s="141">
        <f t="shared" si="64"/>
        <v>19</v>
      </c>
      <c r="M70" s="141">
        <f t="shared" si="64"/>
        <v>19</v>
      </c>
      <c r="N70" s="141" t="str">
        <f t="shared" si="64"/>
        <v/>
      </c>
      <c r="O70" s="141" t="str">
        <f t="shared" si="64"/>
        <v/>
      </c>
      <c r="P70" s="141" t="str">
        <f t="shared" si="64"/>
        <v/>
      </c>
      <c r="Q70" s="141">
        <f t="shared" si="64"/>
        <v>19</v>
      </c>
      <c r="R70" s="141">
        <f t="shared" si="64"/>
        <v>19</v>
      </c>
      <c r="S70" s="141" t="str">
        <f t="shared" si="64"/>
        <v/>
      </c>
      <c r="T70" s="141" t="str">
        <f t="shared" si="64"/>
        <v/>
      </c>
      <c r="U70" s="141">
        <f t="shared" si="64"/>
        <v>19</v>
      </c>
      <c r="V70" s="141">
        <f t="shared" si="64"/>
        <v>19</v>
      </c>
      <c r="W70" s="141">
        <f t="shared" si="64"/>
        <v>19</v>
      </c>
      <c r="X70" s="141" t="str">
        <f>IF(X11=$R32,$V32*24,IF(X11=$R33,$V33*24,IF(X11=$R34,$V34*24,IF(X11=$R35,$V35*24,IF(X11=$R36,$V36*24,IF(X11=$R37,$V37*24,IF(X11=$R38,$V38*24,IF(X11=$R39,$V39*24,IF(X11=$R40,$V40*24,"")))))))))</f>
        <v/>
      </c>
      <c r="Y70" s="141" t="str">
        <f t="shared" si="64"/>
        <v/>
      </c>
      <c r="Z70" s="141" t="str">
        <f t="shared" si="64"/>
        <v/>
      </c>
      <c r="AA70" s="141" t="str">
        <f t="shared" si="64"/>
        <v/>
      </c>
      <c r="AB70" s="141" t="str">
        <f t="shared" si="64"/>
        <v/>
      </c>
      <c r="AC70" s="141" t="str">
        <f t="shared" si="64"/>
        <v/>
      </c>
      <c r="AD70" s="141" t="str">
        <f t="shared" si="64"/>
        <v/>
      </c>
      <c r="AE70" s="141">
        <f t="shared" si="64"/>
        <v>19</v>
      </c>
      <c r="AF70" s="141">
        <f t="shared" si="64"/>
        <v>6</v>
      </c>
      <c r="AG70" s="141">
        <f t="shared" si="64"/>
        <v>6</v>
      </c>
      <c r="AH70" s="154" t="s">
        <v>12</v>
      </c>
      <c r="AI70" s="133"/>
      <c r="AJ70" s="170"/>
      <c r="AK70" s="133"/>
      <c r="AL70" s="133"/>
    </row>
    <row r="71" spans="1:77" ht="15.95" hidden="1" customHeight="1" x14ac:dyDescent="0.25">
      <c r="A71" s="153"/>
      <c r="B71" s="168" t="s">
        <v>34</v>
      </c>
      <c r="C71" s="169">
        <f t="shared" ref="C71:AD71" si="65">IF(C11=$R32,$BD32*24,IF(C11=$R33,$BD33*24,IF(C11=$R34,$BD34*24,IF(C11=$R35,$BD35*24,IF(C11=$R36,$BD36*24,IF(C11=$R37,$BD37*24,IF(C11=$R38,$BD38*24,IF(C11=$R39,$BD39*24,IF(C11=$R40,$BD40*24,"")))))))))</f>
        <v>0</v>
      </c>
      <c r="D71" s="169">
        <f t="shared" si="65"/>
        <v>0</v>
      </c>
      <c r="E71" s="169">
        <f t="shared" si="65"/>
        <v>0</v>
      </c>
      <c r="F71" s="169" t="str">
        <f t="shared" si="65"/>
        <v/>
      </c>
      <c r="G71" s="169">
        <f t="shared" si="65"/>
        <v>0</v>
      </c>
      <c r="H71" s="169">
        <f t="shared" si="65"/>
        <v>0</v>
      </c>
      <c r="I71" s="169">
        <f t="shared" si="65"/>
        <v>0</v>
      </c>
      <c r="J71" s="169" t="str">
        <f t="shared" si="65"/>
        <v/>
      </c>
      <c r="K71" s="169">
        <f t="shared" si="65"/>
        <v>0</v>
      </c>
      <c r="L71" s="169">
        <f t="shared" si="65"/>
        <v>0</v>
      </c>
      <c r="M71" s="169">
        <f t="shared" si="65"/>
        <v>0</v>
      </c>
      <c r="N71" s="169" t="str">
        <f t="shared" si="65"/>
        <v/>
      </c>
      <c r="O71" s="169" t="str">
        <f t="shared" si="65"/>
        <v/>
      </c>
      <c r="P71" s="169" t="str">
        <f t="shared" si="65"/>
        <v/>
      </c>
      <c r="Q71" s="169">
        <f t="shared" si="65"/>
        <v>0</v>
      </c>
      <c r="R71" s="169">
        <f t="shared" si="65"/>
        <v>0</v>
      </c>
      <c r="S71" s="169" t="str">
        <f t="shared" si="65"/>
        <v/>
      </c>
      <c r="T71" s="169" t="str">
        <f t="shared" si="65"/>
        <v/>
      </c>
      <c r="U71" s="169">
        <f t="shared" si="65"/>
        <v>0</v>
      </c>
      <c r="V71" s="169">
        <f t="shared" si="65"/>
        <v>0</v>
      </c>
      <c r="W71" s="169">
        <f t="shared" si="65"/>
        <v>0</v>
      </c>
      <c r="X71" s="169" t="str">
        <f>IF(X11=$R32,$BD32*24,IF(X11=$R33,$BD33*24,IF(X11=$R34,$BD34*24,IF(X11=$R35,$BD35*24,IF(X11=$R36,$BD36*24,IF(X11=$R37,$BD37*24,IF(X11=$R38,$BD38*24,IF(X11=$R39,$BD39*24,IF(X11=$R40,$BD40*24,"")))))))))</f>
        <v/>
      </c>
      <c r="Y71" s="169" t="str">
        <f t="shared" si="65"/>
        <v/>
      </c>
      <c r="Z71" s="169" t="str">
        <f t="shared" si="65"/>
        <v/>
      </c>
      <c r="AA71" s="169" t="str">
        <f t="shared" si="65"/>
        <v/>
      </c>
      <c r="AB71" s="169" t="str">
        <f t="shared" si="65"/>
        <v/>
      </c>
      <c r="AC71" s="169" t="str">
        <f t="shared" si="65"/>
        <v/>
      </c>
      <c r="AD71" s="169" t="str">
        <f t="shared" si="65"/>
        <v/>
      </c>
      <c r="AE71" s="169">
        <f>IF(AE11=$R32,$BD32*24,IF(AE11=$R33,$BD33*24,IF(AE11=$R34,$BD34*24,IF(AE11=$R35,$BD35*24,IF(AE11=$R36,$BD36*24,IF(AE11=$R37,$BD37*24,IF(AE11=$R38,$BD38*24,IF(AE11=$R39,$BD39*24,IF(AE11=$R40,$BD40*24,"")))))))))</f>
        <v>0</v>
      </c>
      <c r="AF71" s="169">
        <f>IF(AF11=$R32,$BD32*24,IF(AF11=$R33,$BD33*24,IF(AF11=$R34,$BD34*24,IF(AF11=$R35,$BD35*24,IF(AF11=$R36,$BD36*24,IF(AF11=$R37,$BD37*24,IF(AF11=$R38,$BD38*24,IF(AF11=$R39,$BD39*24,IF(AF11=$R40,$BD40*24,"")))))))))</f>
        <v>8</v>
      </c>
      <c r="AG71" s="169">
        <f>IF(AG11=$R32,$BD32*24,IF(AG11=$R33,$BD33*24,IF(AG11=$R34,$BD34*24,IF(AG11=$R35,$BD35*24,IF(AG11=$R36,$BD36*24,IF(AG11=$R37,$BD37*24,IF(AG11=$R38,$BD38*24,IF(AG11=$R39,$BD39*24,IF(AG11=$R40,$BD40*24,"")))))))))</f>
        <v>8</v>
      </c>
      <c r="AH71" s="148">
        <f>SUM(C71:AG71)</f>
        <v>16</v>
      </c>
      <c r="AI71" s="133"/>
      <c r="AJ71" s="170"/>
      <c r="AK71" s="133"/>
      <c r="AL71" s="133"/>
    </row>
    <row r="72" spans="1:77" ht="15.95" hidden="1" customHeight="1" x14ac:dyDescent="0.25">
      <c r="A72" s="153"/>
      <c r="B72" s="167" t="s">
        <v>59</v>
      </c>
      <c r="C72" s="141">
        <f t="shared" ref="C72:AG72" si="66">IF(C11="V",$C36,IF(C11="PR",$C38,0))</f>
        <v>0</v>
      </c>
      <c r="D72" s="141">
        <f t="shared" si="66"/>
        <v>0</v>
      </c>
      <c r="E72" s="141">
        <f t="shared" si="66"/>
        <v>0</v>
      </c>
      <c r="F72" s="141">
        <f t="shared" si="66"/>
        <v>0</v>
      </c>
      <c r="G72" s="141">
        <f t="shared" si="66"/>
        <v>0</v>
      </c>
      <c r="H72" s="141">
        <f t="shared" si="66"/>
        <v>0</v>
      </c>
      <c r="I72" s="141">
        <f t="shared" si="66"/>
        <v>0</v>
      </c>
      <c r="J72" s="141">
        <f t="shared" si="66"/>
        <v>0</v>
      </c>
      <c r="K72" s="141">
        <f t="shared" si="66"/>
        <v>0</v>
      </c>
      <c r="L72" s="141">
        <f t="shared" si="66"/>
        <v>0</v>
      </c>
      <c r="M72" s="141">
        <f t="shared" si="66"/>
        <v>0</v>
      </c>
      <c r="N72" s="141">
        <f t="shared" si="66"/>
        <v>0</v>
      </c>
      <c r="O72" s="141">
        <f t="shared" si="66"/>
        <v>0</v>
      </c>
      <c r="P72" s="141">
        <f t="shared" si="66"/>
        <v>0</v>
      </c>
      <c r="Q72" s="141">
        <f t="shared" si="66"/>
        <v>0</v>
      </c>
      <c r="R72" s="141">
        <f t="shared" si="66"/>
        <v>0</v>
      </c>
      <c r="S72" s="141">
        <f t="shared" si="66"/>
        <v>0</v>
      </c>
      <c r="T72" s="141">
        <f t="shared" si="66"/>
        <v>0</v>
      </c>
      <c r="U72" s="141">
        <f t="shared" si="66"/>
        <v>0</v>
      </c>
      <c r="V72" s="141">
        <f t="shared" si="66"/>
        <v>0</v>
      </c>
      <c r="W72" s="141">
        <f t="shared" si="66"/>
        <v>0</v>
      </c>
      <c r="X72" s="141">
        <f>IF(X11="V",$C36,IF(X11="PR",$C38,0))</f>
        <v>0</v>
      </c>
      <c r="Y72" s="141">
        <f t="shared" si="66"/>
        <v>0</v>
      </c>
      <c r="Z72" s="141">
        <f t="shared" si="66"/>
        <v>0</v>
      </c>
      <c r="AA72" s="141">
        <f t="shared" si="66"/>
        <v>0</v>
      </c>
      <c r="AB72" s="141">
        <f t="shared" si="66"/>
        <v>0</v>
      </c>
      <c r="AC72" s="141">
        <f t="shared" si="66"/>
        <v>0</v>
      </c>
      <c r="AD72" s="141">
        <f t="shared" si="66"/>
        <v>0</v>
      </c>
      <c r="AE72" s="141">
        <f t="shared" si="66"/>
        <v>0</v>
      </c>
      <c r="AF72" s="141">
        <f t="shared" si="66"/>
        <v>0</v>
      </c>
      <c r="AG72" s="141">
        <f t="shared" si="66"/>
        <v>0</v>
      </c>
      <c r="AH72" s="226">
        <f>SUM(C72:AG72)</f>
        <v>0</v>
      </c>
      <c r="AI72" s="226"/>
      <c r="AJ72" s="170" t="s">
        <v>12</v>
      </c>
      <c r="AK72" s="133"/>
      <c r="AL72" s="133"/>
    </row>
    <row r="73" spans="1:77" ht="15.95" hidden="1" customHeight="1" x14ac:dyDescent="0.25">
      <c r="A73" s="150" t="s">
        <v>60</v>
      </c>
      <c r="B73" s="167" t="s">
        <v>61</v>
      </c>
      <c r="C73" s="151">
        <f t="shared" ref="C73:AD73" si="67">IF(C11=$R32,$BC32,IF(C11=$R33,$BC33,IF(C11=$R34,$BC34,IF(C11=$R35,$BC35,IF(C11=$R36,$BC36,IF(C11=$R37,$BC37,IF(C11=$R38,$BC38,IF(C11=$R39,$BC39,IF(C11=$R40,$BC40,0)))))))))</f>
        <v>11.999999999999998</v>
      </c>
      <c r="D73" s="151">
        <f t="shared" si="67"/>
        <v>11.999999999999998</v>
      </c>
      <c r="E73" s="151">
        <f t="shared" si="67"/>
        <v>11.999999999999998</v>
      </c>
      <c r="F73" s="151">
        <f t="shared" si="67"/>
        <v>0</v>
      </c>
      <c r="G73" s="151">
        <f t="shared" si="67"/>
        <v>11.999999999999998</v>
      </c>
      <c r="H73" s="151">
        <f t="shared" si="67"/>
        <v>11.999999999999998</v>
      </c>
      <c r="I73" s="151">
        <f t="shared" si="67"/>
        <v>11.999999999999998</v>
      </c>
      <c r="J73" s="151">
        <f t="shared" si="67"/>
        <v>0</v>
      </c>
      <c r="K73" s="151">
        <f t="shared" si="67"/>
        <v>11.999999999999998</v>
      </c>
      <c r="L73" s="151">
        <f t="shared" si="67"/>
        <v>11.999999999999998</v>
      </c>
      <c r="M73" s="151">
        <f t="shared" si="67"/>
        <v>11.999999999999998</v>
      </c>
      <c r="N73" s="151">
        <f t="shared" si="67"/>
        <v>0</v>
      </c>
      <c r="O73" s="151">
        <f t="shared" si="67"/>
        <v>0</v>
      </c>
      <c r="P73" s="151">
        <f t="shared" si="67"/>
        <v>0</v>
      </c>
      <c r="Q73" s="151">
        <f t="shared" si="67"/>
        <v>11.999999999999998</v>
      </c>
      <c r="R73" s="151">
        <f t="shared" si="67"/>
        <v>11.999999999999998</v>
      </c>
      <c r="S73" s="151">
        <f t="shared" si="67"/>
        <v>0</v>
      </c>
      <c r="T73" s="151">
        <f t="shared" si="67"/>
        <v>0</v>
      </c>
      <c r="U73" s="151">
        <f t="shared" si="67"/>
        <v>11.999999999999998</v>
      </c>
      <c r="V73" s="151">
        <f t="shared" si="67"/>
        <v>11.999999999999998</v>
      </c>
      <c r="W73" s="151">
        <f t="shared" si="67"/>
        <v>11.999999999999998</v>
      </c>
      <c r="X73" s="151">
        <f>IF(X11=$R32,$BC32,IF(X11=$R33,$BC33,IF(X11=$R34,$BC34,IF(X11=$R35,$BC35,IF(X11=$R36,$BC36,IF(X11=$R37,$BC37,IF(X11=$R38,$BC38,IF(X11=$R39,$BC39,IF(X11=$R40,$BC40,0)))))))))</f>
        <v>0</v>
      </c>
      <c r="Y73" s="151">
        <f t="shared" si="67"/>
        <v>0</v>
      </c>
      <c r="Z73" s="151">
        <f t="shared" si="67"/>
        <v>0</v>
      </c>
      <c r="AA73" s="151">
        <f t="shared" si="67"/>
        <v>0</v>
      </c>
      <c r="AB73" s="151">
        <f t="shared" si="67"/>
        <v>0</v>
      </c>
      <c r="AC73" s="151">
        <f t="shared" si="67"/>
        <v>0</v>
      </c>
      <c r="AD73" s="151">
        <f t="shared" si="67"/>
        <v>0</v>
      </c>
      <c r="AE73" s="151">
        <f>IF(AE11=$R32,$BC32,IF(AE11=$R33,$BC33,IF(AE11=$R34,$BC34,IF(AE11=$R35,$BC35,IF(AE11=$R36,$BC36,IF(AE11=$R37,$BC37,IF(AE11=$R38,$BC38,IF(AE11=$R39,$BC39,IF(AE11=$R40,$BC40,0)))))))))</f>
        <v>11.999999999999998</v>
      </c>
      <c r="AF73" s="151">
        <f>IF(AF11=$R32,$BC32,IF(AF11=$R33,$BC33,IF(AF11=$R34,$BC34,IF(AF11=$R35,$BC35,IF(AF11=$R36,$BC36,IF(AF11=$R37,$BC37,IF(AF11=$R38,$BC38,IF(AF11=$R39,$BC39,IF(AF11=$R40,$BC40,0)))))))))</f>
        <v>12</v>
      </c>
      <c r="AG73" s="151">
        <f>IF(AG11=$R32,$BC32,IF(AG11=$R33,$BC33,IF(AG11=$R34,$BC34,IF(AG11=$R35,$BC35,IF(AG11=$R36,$BC36,IF(AG11=$R37,$BC37,IF(AG11=$R38,$BC38,IF(AG11=$R39,$BC39,IF(AG11=$R40,$BC40,0)))))))))</f>
        <v>12</v>
      </c>
      <c r="AH73" s="226">
        <f>SUM(C73:AG73)</f>
        <v>203.99999999999997</v>
      </c>
      <c r="AI73" s="226"/>
      <c r="AJ73" s="175" t="s">
        <v>62</v>
      </c>
      <c r="AK73" s="133" t="s">
        <v>12</v>
      </c>
      <c r="AL73" s="133"/>
    </row>
    <row r="74" spans="1:77" ht="15.95" hidden="1" customHeight="1" x14ac:dyDescent="0.25">
      <c r="A74" s="153" t="s">
        <v>48</v>
      </c>
      <c r="B74" s="149" t="s">
        <v>63</v>
      </c>
      <c r="C74" s="141" t="b">
        <f t="shared" ref="C74:AG74" si="68">IF(C46=1,IF(C69&lt;C70,C73,0))</f>
        <v>0</v>
      </c>
      <c r="D74" s="141" t="b">
        <f t="shared" si="68"/>
        <v>0</v>
      </c>
      <c r="E74" s="141" t="b">
        <f t="shared" si="68"/>
        <v>0</v>
      </c>
      <c r="F74" s="141" t="b">
        <f t="shared" si="68"/>
        <v>0</v>
      </c>
      <c r="G74" s="141" t="b">
        <f t="shared" si="68"/>
        <v>0</v>
      </c>
      <c r="H74" s="141">
        <f t="shared" si="68"/>
        <v>11.999999999999998</v>
      </c>
      <c r="I74" s="141">
        <f t="shared" si="68"/>
        <v>11.999999999999998</v>
      </c>
      <c r="J74" s="141" t="b">
        <f t="shared" si="68"/>
        <v>0</v>
      </c>
      <c r="K74" s="141" t="b">
        <f t="shared" si="68"/>
        <v>0</v>
      </c>
      <c r="L74" s="141" t="b">
        <f t="shared" si="68"/>
        <v>0</v>
      </c>
      <c r="M74" s="141" t="b">
        <f t="shared" si="68"/>
        <v>0</v>
      </c>
      <c r="N74" s="141" t="b">
        <f t="shared" si="68"/>
        <v>0</v>
      </c>
      <c r="O74" s="141">
        <f t="shared" si="68"/>
        <v>0</v>
      </c>
      <c r="P74" s="141">
        <f t="shared" si="68"/>
        <v>0</v>
      </c>
      <c r="Q74" s="141" t="b">
        <f t="shared" si="68"/>
        <v>0</v>
      </c>
      <c r="R74" s="141" t="b">
        <f t="shared" si="68"/>
        <v>0</v>
      </c>
      <c r="S74" s="141" t="b">
        <f t="shared" si="68"/>
        <v>0</v>
      </c>
      <c r="T74" s="141" t="b">
        <f t="shared" si="68"/>
        <v>0</v>
      </c>
      <c r="U74" s="141" t="b">
        <f t="shared" si="68"/>
        <v>0</v>
      </c>
      <c r="V74" s="141">
        <f t="shared" si="68"/>
        <v>11.999999999999998</v>
      </c>
      <c r="W74" s="141">
        <f t="shared" si="68"/>
        <v>11.999999999999998</v>
      </c>
      <c r="X74" s="141" t="b">
        <f t="shared" si="68"/>
        <v>0</v>
      </c>
      <c r="Y74" s="141" t="b">
        <f t="shared" si="68"/>
        <v>0</v>
      </c>
      <c r="Z74" s="141" t="b">
        <f t="shared" si="68"/>
        <v>0</v>
      </c>
      <c r="AA74" s="141" t="b">
        <f t="shared" si="68"/>
        <v>0</v>
      </c>
      <c r="AB74" s="141" t="b">
        <f t="shared" si="68"/>
        <v>0</v>
      </c>
      <c r="AC74" s="141">
        <f t="shared" si="68"/>
        <v>0</v>
      </c>
      <c r="AD74" s="141">
        <f t="shared" si="68"/>
        <v>0</v>
      </c>
      <c r="AE74" s="141" t="b">
        <f t="shared" si="68"/>
        <v>0</v>
      </c>
      <c r="AF74" s="141" t="b">
        <f t="shared" si="68"/>
        <v>0</v>
      </c>
      <c r="AG74" s="141" t="b">
        <f t="shared" si="68"/>
        <v>0</v>
      </c>
      <c r="AH74" s="154" t="s">
        <v>12</v>
      </c>
      <c r="AI74" s="133"/>
      <c r="AJ74" s="170"/>
      <c r="AK74" s="133"/>
      <c r="AL74" s="133"/>
    </row>
    <row r="75" spans="1:77" ht="15.95" hidden="1" customHeight="1" x14ac:dyDescent="0.25">
      <c r="A75" s="176"/>
      <c r="B75" s="149" t="s">
        <v>64</v>
      </c>
      <c r="C75" s="141">
        <f t="shared" ref="C75:AG75" si="69">IF(C46=1,IF(C69&gt;C70,24-C69,0),0)</f>
        <v>0</v>
      </c>
      <c r="D75" s="141">
        <f t="shared" si="69"/>
        <v>0</v>
      </c>
      <c r="E75" s="141">
        <f t="shared" si="69"/>
        <v>0</v>
      </c>
      <c r="F75" s="141">
        <f t="shared" si="69"/>
        <v>0</v>
      </c>
      <c r="G75" s="141">
        <f t="shared" si="69"/>
        <v>0</v>
      </c>
      <c r="H75" s="141">
        <f t="shared" si="69"/>
        <v>0</v>
      </c>
      <c r="I75" s="141">
        <f t="shared" si="69"/>
        <v>0</v>
      </c>
      <c r="J75" s="141">
        <f t="shared" si="69"/>
        <v>0</v>
      </c>
      <c r="K75" s="141">
        <f t="shared" si="69"/>
        <v>0</v>
      </c>
      <c r="L75" s="141">
        <f t="shared" si="69"/>
        <v>0</v>
      </c>
      <c r="M75" s="141">
        <f t="shared" si="69"/>
        <v>0</v>
      </c>
      <c r="N75" s="141">
        <f t="shared" si="69"/>
        <v>0</v>
      </c>
      <c r="O75" s="141">
        <f t="shared" si="69"/>
        <v>0</v>
      </c>
      <c r="P75" s="141">
        <f t="shared" si="69"/>
        <v>0</v>
      </c>
      <c r="Q75" s="141">
        <f t="shared" si="69"/>
        <v>0</v>
      </c>
      <c r="R75" s="141">
        <f t="shared" si="69"/>
        <v>0</v>
      </c>
      <c r="S75" s="141">
        <f t="shared" si="69"/>
        <v>0</v>
      </c>
      <c r="T75" s="141">
        <f t="shared" si="69"/>
        <v>0</v>
      </c>
      <c r="U75" s="141">
        <f t="shared" si="69"/>
        <v>0</v>
      </c>
      <c r="V75" s="141">
        <f t="shared" si="69"/>
        <v>0</v>
      </c>
      <c r="W75" s="141">
        <f t="shared" si="69"/>
        <v>0</v>
      </c>
      <c r="X75" s="141">
        <f t="shared" si="69"/>
        <v>0</v>
      </c>
      <c r="Y75" s="141">
        <f t="shared" si="69"/>
        <v>0</v>
      </c>
      <c r="Z75" s="141">
        <f t="shared" si="69"/>
        <v>0</v>
      </c>
      <c r="AA75" s="141">
        <f t="shared" si="69"/>
        <v>0</v>
      </c>
      <c r="AB75" s="141">
        <f t="shared" si="69"/>
        <v>0</v>
      </c>
      <c r="AC75" s="141">
        <f t="shared" si="69"/>
        <v>0</v>
      </c>
      <c r="AD75" s="141">
        <f t="shared" si="69"/>
        <v>0</v>
      </c>
      <c r="AE75" s="141">
        <f t="shared" si="69"/>
        <v>0</v>
      </c>
      <c r="AF75" s="141">
        <f t="shared" si="69"/>
        <v>0</v>
      </c>
      <c r="AG75" s="141">
        <f t="shared" si="69"/>
        <v>0</v>
      </c>
      <c r="AH75" s="154" t="s">
        <v>12</v>
      </c>
      <c r="AI75" s="133"/>
      <c r="AJ75" s="170"/>
      <c r="AK75" s="133"/>
      <c r="AL75" s="133"/>
    </row>
    <row r="76" spans="1:77" ht="15.95" hidden="1" customHeight="1" x14ac:dyDescent="0.25">
      <c r="A76" s="176"/>
      <c r="B76" s="149" t="s">
        <v>65</v>
      </c>
      <c r="C76" s="141">
        <f t="shared" ref="C76:AG76" si="70">IF(D46=1,IF(C69&gt;C70,C70,0),0)</f>
        <v>0</v>
      </c>
      <c r="D76" s="141">
        <f t="shared" si="70"/>
        <v>0</v>
      </c>
      <c r="E76" s="141">
        <f t="shared" si="70"/>
        <v>0</v>
      </c>
      <c r="F76" s="141">
        <f t="shared" si="70"/>
        <v>0</v>
      </c>
      <c r="G76" s="141">
        <f t="shared" si="70"/>
        <v>0</v>
      </c>
      <c r="H76" s="141">
        <f t="shared" si="70"/>
        <v>0</v>
      </c>
      <c r="I76" s="141">
        <f t="shared" si="70"/>
        <v>0</v>
      </c>
      <c r="J76" s="141">
        <f t="shared" si="70"/>
        <v>0</v>
      </c>
      <c r="K76" s="141">
        <f t="shared" si="70"/>
        <v>0</v>
      </c>
      <c r="L76" s="141">
        <f t="shared" si="70"/>
        <v>0</v>
      </c>
      <c r="M76" s="141">
        <f t="shared" si="70"/>
        <v>0</v>
      </c>
      <c r="N76" s="141">
        <f t="shared" si="70"/>
        <v>0</v>
      </c>
      <c r="O76" s="141">
        <f t="shared" si="70"/>
        <v>0</v>
      </c>
      <c r="P76" s="141">
        <f t="shared" si="70"/>
        <v>0</v>
      </c>
      <c r="Q76" s="141">
        <f t="shared" si="70"/>
        <v>0</v>
      </c>
      <c r="R76" s="141">
        <f t="shared" si="70"/>
        <v>0</v>
      </c>
      <c r="S76" s="141">
        <f t="shared" si="70"/>
        <v>0</v>
      </c>
      <c r="T76" s="141">
        <f t="shared" si="70"/>
        <v>0</v>
      </c>
      <c r="U76" s="141">
        <f t="shared" si="70"/>
        <v>0</v>
      </c>
      <c r="V76" s="141">
        <f t="shared" si="70"/>
        <v>0</v>
      </c>
      <c r="W76" s="141">
        <f t="shared" si="70"/>
        <v>0</v>
      </c>
      <c r="X76" s="141">
        <f>IF(Y46=1,IF(X69&gt;X70,X70,0),0)</f>
        <v>0</v>
      </c>
      <c r="Y76" s="141">
        <f t="shared" si="70"/>
        <v>0</v>
      </c>
      <c r="Z76" s="141">
        <f t="shared" si="70"/>
        <v>0</v>
      </c>
      <c r="AA76" s="141">
        <f t="shared" si="70"/>
        <v>0</v>
      </c>
      <c r="AB76" s="141">
        <f t="shared" si="70"/>
        <v>0</v>
      </c>
      <c r="AC76" s="141">
        <f t="shared" si="70"/>
        <v>0</v>
      </c>
      <c r="AD76" s="141">
        <f t="shared" si="70"/>
        <v>0</v>
      </c>
      <c r="AE76" s="141">
        <f t="shared" si="70"/>
        <v>0</v>
      </c>
      <c r="AF76" s="141">
        <f t="shared" si="70"/>
        <v>0</v>
      </c>
      <c r="AG76" s="141">
        <f t="shared" si="70"/>
        <v>0</v>
      </c>
      <c r="AH76" s="154" t="s">
        <v>12</v>
      </c>
      <c r="AI76" s="133"/>
      <c r="AJ76" s="170"/>
      <c r="AK76" s="133"/>
      <c r="AL76" s="133"/>
    </row>
    <row r="77" spans="1:77" ht="15.95" hidden="1" customHeight="1" x14ac:dyDescent="0.25">
      <c r="A77" s="176"/>
      <c r="B77" s="149" t="s">
        <v>67</v>
      </c>
      <c r="C77" s="171">
        <f t="shared" ref="C77:AG77" si="71">SUM(C74:C76)</f>
        <v>0</v>
      </c>
      <c r="D77" s="171">
        <f t="shared" si="71"/>
        <v>0</v>
      </c>
      <c r="E77" s="171">
        <f t="shared" si="71"/>
        <v>0</v>
      </c>
      <c r="F77" s="171">
        <f t="shared" si="71"/>
        <v>0</v>
      </c>
      <c r="G77" s="171">
        <f t="shared" si="71"/>
        <v>0</v>
      </c>
      <c r="H77" s="171">
        <f t="shared" si="71"/>
        <v>11.999999999999998</v>
      </c>
      <c r="I77" s="171">
        <f t="shared" si="71"/>
        <v>11.999999999999998</v>
      </c>
      <c r="J77" s="171">
        <f t="shared" si="71"/>
        <v>0</v>
      </c>
      <c r="K77" s="171">
        <f t="shared" si="71"/>
        <v>0</v>
      </c>
      <c r="L77" s="171">
        <f t="shared" si="71"/>
        <v>0</v>
      </c>
      <c r="M77" s="171">
        <f t="shared" si="71"/>
        <v>0</v>
      </c>
      <c r="N77" s="171">
        <f t="shared" si="71"/>
        <v>0</v>
      </c>
      <c r="O77" s="171">
        <f t="shared" si="71"/>
        <v>0</v>
      </c>
      <c r="P77" s="171">
        <f t="shared" si="71"/>
        <v>0</v>
      </c>
      <c r="Q77" s="171">
        <f t="shared" si="71"/>
        <v>0</v>
      </c>
      <c r="R77" s="171">
        <f t="shared" si="71"/>
        <v>0</v>
      </c>
      <c r="S77" s="171">
        <f t="shared" si="71"/>
        <v>0</v>
      </c>
      <c r="T77" s="171">
        <f t="shared" si="71"/>
        <v>0</v>
      </c>
      <c r="U77" s="171">
        <f t="shared" si="71"/>
        <v>0</v>
      </c>
      <c r="V77" s="171">
        <f t="shared" si="71"/>
        <v>11.999999999999998</v>
      </c>
      <c r="W77" s="171">
        <f t="shared" si="71"/>
        <v>11.999999999999998</v>
      </c>
      <c r="X77" s="171">
        <f t="shared" si="71"/>
        <v>0</v>
      </c>
      <c r="Y77" s="171">
        <f t="shared" si="71"/>
        <v>0</v>
      </c>
      <c r="Z77" s="171">
        <f t="shared" si="71"/>
        <v>0</v>
      </c>
      <c r="AA77" s="171">
        <f t="shared" si="71"/>
        <v>0</v>
      </c>
      <c r="AB77" s="171">
        <f t="shared" si="71"/>
        <v>0</v>
      </c>
      <c r="AC77" s="171">
        <f t="shared" si="71"/>
        <v>0</v>
      </c>
      <c r="AD77" s="171">
        <f t="shared" si="71"/>
        <v>0</v>
      </c>
      <c r="AE77" s="171">
        <f t="shared" si="71"/>
        <v>0</v>
      </c>
      <c r="AF77" s="171">
        <f t="shared" si="71"/>
        <v>0</v>
      </c>
      <c r="AG77" s="171">
        <f t="shared" si="71"/>
        <v>0</v>
      </c>
      <c r="AH77" s="154" t="s">
        <v>12</v>
      </c>
      <c r="AI77" s="133"/>
      <c r="AJ77" s="170"/>
      <c r="AK77" s="133"/>
      <c r="AL77" s="133"/>
    </row>
    <row r="78" spans="1:77" ht="15.95" hidden="1" customHeight="1" x14ac:dyDescent="0.25">
      <c r="A78" s="177"/>
      <c r="B78" s="160" t="s">
        <v>68</v>
      </c>
      <c r="C78" s="161">
        <f t="shared" ref="C78:AG78" si="72">IF(C11="V",IF(C11="",0,1),0)</f>
        <v>0</v>
      </c>
      <c r="D78" s="161">
        <f t="shared" si="72"/>
        <v>0</v>
      </c>
      <c r="E78" s="161">
        <f t="shared" si="72"/>
        <v>0</v>
      </c>
      <c r="F78" s="161">
        <f t="shared" si="72"/>
        <v>0</v>
      </c>
      <c r="G78" s="161">
        <f t="shared" si="72"/>
        <v>0</v>
      </c>
      <c r="H78" s="161">
        <f t="shared" si="72"/>
        <v>0</v>
      </c>
      <c r="I78" s="161">
        <f t="shared" si="72"/>
        <v>0</v>
      </c>
      <c r="J78" s="161">
        <f t="shared" si="72"/>
        <v>0</v>
      </c>
      <c r="K78" s="161">
        <f t="shared" si="72"/>
        <v>0</v>
      </c>
      <c r="L78" s="161">
        <f t="shared" si="72"/>
        <v>0</v>
      </c>
      <c r="M78" s="161">
        <f t="shared" si="72"/>
        <v>0</v>
      </c>
      <c r="N78" s="161">
        <f t="shared" si="72"/>
        <v>0</v>
      </c>
      <c r="O78" s="161">
        <f t="shared" si="72"/>
        <v>0</v>
      </c>
      <c r="P78" s="161">
        <f t="shared" si="72"/>
        <v>0</v>
      </c>
      <c r="Q78" s="161">
        <f t="shared" si="72"/>
        <v>0</v>
      </c>
      <c r="R78" s="161">
        <f t="shared" si="72"/>
        <v>0</v>
      </c>
      <c r="S78" s="161">
        <f t="shared" si="72"/>
        <v>0</v>
      </c>
      <c r="T78" s="161">
        <f t="shared" si="72"/>
        <v>0</v>
      </c>
      <c r="U78" s="161">
        <f t="shared" si="72"/>
        <v>0</v>
      </c>
      <c r="V78" s="161">
        <f t="shared" si="72"/>
        <v>0</v>
      </c>
      <c r="W78" s="161">
        <f t="shared" si="72"/>
        <v>0</v>
      </c>
      <c r="X78" s="161">
        <f>IF(X11="V",IF(X11="",0,1),0)</f>
        <v>0</v>
      </c>
      <c r="Y78" s="161">
        <f t="shared" si="72"/>
        <v>0</v>
      </c>
      <c r="Z78" s="161">
        <f t="shared" si="72"/>
        <v>0</v>
      </c>
      <c r="AA78" s="161">
        <f t="shared" si="72"/>
        <v>0</v>
      </c>
      <c r="AB78" s="161">
        <f t="shared" si="72"/>
        <v>0</v>
      </c>
      <c r="AC78" s="161">
        <f t="shared" si="72"/>
        <v>0</v>
      </c>
      <c r="AD78" s="161">
        <f t="shared" si="72"/>
        <v>0</v>
      </c>
      <c r="AE78" s="161">
        <f t="shared" si="72"/>
        <v>0</v>
      </c>
      <c r="AF78" s="161">
        <f t="shared" si="72"/>
        <v>0</v>
      </c>
      <c r="AG78" s="161">
        <f t="shared" si="72"/>
        <v>0</v>
      </c>
      <c r="AH78" s="154" t="s">
        <v>12</v>
      </c>
      <c r="AI78" s="133"/>
      <c r="AJ78" s="170"/>
      <c r="AK78" s="133"/>
      <c r="AL78" s="133"/>
    </row>
    <row r="79" spans="1:77" ht="15.95" hidden="1" customHeight="1" x14ac:dyDescent="0.25">
      <c r="A79" s="173"/>
      <c r="B79" s="130" t="s">
        <v>16</v>
      </c>
      <c r="C79" s="163">
        <f t="shared" ref="C79:AG79" si="73">IF(C11="PR",IF(C11="",0,1),0)</f>
        <v>0</v>
      </c>
      <c r="D79" s="163">
        <f t="shared" si="73"/>
        <v>0</v>
      </c>
      <c r="E79" s="163">
        <f t="shared" si="73"/>
        <v>0</v>
      </c>
      <c r="F79" s="163">
        <f t="shared" si="73"/>
        <v>0</v>
      </c>
      <c r="G79" s="163">
        <f t="shared" si="73"/>
        <v>0</v>
      </c>
      <c r="H79" s="163">
        <f t="shared" si="73"/>
        <v>0</v>
      </c>
      <c r="I79" s="163">
        <f t="shared" si="73"/>
        <v>0</v>
      </c>
      <c r="J79" s="163">
        <f t="shared" si="73"/>
        <v>0</v>
      </c>
      <c r="K79" s="163">
        <f t="shared" si="73"/>
        <v>0</v>
      </c>
      <c r="L79" s="163">
        <f t="shared" si="73"/>
        <v>0</v>
      </c>
      <c r="M79" s="163">
        <f t="shared" si="73"/>
        <v>0</v>
      </c>
      <c r="N79" s="163">
        <f t="shared" si="73"/>
        <v>0</v>
      </c>
      <c r="O79" s="163">
        <f t="shared" si="73"/>
        <v>0</v>
      </c>
      <c r="P79" s="163">
        <f t="shared" si="73"/>
        <v>0</v>
      </c>
      <c r="Q79" s="163">
        <f t="shared" si="73"/>
        <v>0</v>
      </c>
      <c r="R79" s="163">
        <f t="shared" si="73"/>
        <v>0</v>
      </c>
      <c r="S79" s="163">
        <f t="shared" si="73"/>
        <v>0</v>
      </c>
      <c r="T79" s="163">
        <f t="shared" si="73"/>
        <v>0</v>
      </c>
      <c r="U79" s="163">
        <f t="shared" si="73"/>
        <v>0</v>
      </c>
      <c r="V79" s="163">
        <f t="shared" si="73"/>
        <v>0</v>
      </c>
      <c r="W79" s="163">
        <f t="shared" si="73"/>
        <v>0</v>
      </c>
      <c r="X79" s="163">
        <f>IF(X11="PR",IF(X11="",0,1),0)</f>
        <v>0</v>
      </c>
      <c r="Y79" s="163">
        <f t="shared" si="73"/>
        <v>0</v>
      </c>
      <c r="Z79" s="163">
        <f t="shared" si="73"/>
        <v>0</v>
      </c>
      <c r="AA79" s="163">
        <f t="shared" si="73"/>
        <v>0</v>
      </c>
      <c r="AB79" s="163">
        <f t="shared" si="73"/>
        <v>0</v>
      </c>
      <c r="AC79" s="163">
        <f t="shared" si="73"/>
        <v>0</v>
      </c>
      <c r="AD79" s="163">
        <f t="shared" si="73"/>
        <v>0</v>
      </c>
      <c r="AE79" s="163">
        <f t="shared" si="73"/>
        <v>0</v>
      </c>
      <c r="AF79" s="163">
        <f t="shared" si="73"/>
        <v>0</v>
      </c>
      <c r="AG79" s="163">
        <f t="shared" si="73"/>
        <v>0</v>
      </c>
      <c r="AH79" s="229">
        <f>SUM(C79:AG79)</f>
        <v>0</v>
      </c>
      <c r="AI79" s="229"/>
      <c r="AJ79" s="174" t="s">
        <v>69</v>
      </c>
      <c r="AK79" s="133"/>
      <c r="AL79" s="133"/>
    </row>
    <row r="80" spans="1:77" ht="15.95" hidden="1" customHeight="1" x14ac:dyDescent="0.25">
      <c r="A80" s="164" t="s">
        <v>75</v>
      </c>
      <c r="B80" s="165" t="s">
        <v>29</v>
      </c>
      <c r="C80" s="141" t="str">
        <f t="shared" ref="C80:AG80" si="74">IF(C12=$R32,$S32*24,IF(C12=$R33,$S33*24,IF(C12=$R34,$S34*24,IF(C12=$R35,$S35*24,IF(C12=$R36,$S36*24,IF(C12=$R37,$S37*24,IF(C12=$R38,$S38*24,IF(C12=$R39,$S39*24,IF(C12=$R40,$S40*24,"")))))))))</f>
        <v/>
      </c>
      <c r="D80" s="141">
        <f t="shared" si="74"/>
        <v>19</v>
      </c>
      <c r="E80" s="141">
        <f t="shared" si="74"/>
        <v>19</v>
      </c>
      <c r="F80" s="141">
        <f t="shared" si="74"/>
        <v>19</v>
      </c>
      <c r="G80" s="141" t="str">
        <f t="shared" si="74"/>
        <v/>
      </c>
      <c r="H80" s="141" t="str">
        <f t="shared" si="74"/>
        <v/>
      </c>
      <c r="I80" s="141" t="str">
        <f t="shared" si="74"/>
        <v/>
      </c>
      <c r="J80" s="141">
        <f t="shared" si="74"/>
        <v>19</v>
      </c>
      <c r="K80" s="141" t="str">
        <f t="shared" si="74"/>
        <v/>
      </c>
      <c r="L80" s="141" t="str">
        <f t="shared" si="74"/>
        <v/>
      </c>
      <c r="M80" s="141" t="str">
        <f t="shared" si="74"/>
        <v/>
      </c>
      <c r="N80" s="141">
        <f t="shared" si="74"/>
        <v>7</v>
      </c>
      <c r="O80" s="141">
        <f t="shared" si="74"/>
        <v>7</v>
      </c>
      <c r="P80" s="141">
        <f t="shared" si="74"/>
        <v>7</v>
      </c>
      <c r="Q80" s="141" t="str">
        <f t="shared" si="74"/>
        <v/>
      </c>
      <c r="R80" s="141" t="str">
        <f t="shared" si="74"/>
        <v/>
      </c>
      <c r="S80" s="141">
        <f t="shared" si="74"/>
        <v>19</v>
      </c>
      <c r="T80" s="141">
        <f t="shared" si="74"/>
        <v>19</v>
      </c>
      <c r="U80" s="141" t="str">
        <f t="shared" si="74"/>
        <v/>
      </c>
      <c r="V80" s="141" t="str">
        <f t="shared" si="74"/>
        <v/>
      </c>
      <c r="W80" s="141" t="str">
        <f t="shared" si="74"/>
        <v/>
      </c>
      <c r="X80" s="141">
        <f t="shared" si="74"/>
        <v>7</v>
      </c>
      <c r="Y80" s="141">
        <f t="shared" si="74"/>
        <v>7</v>
      </c>
      <c r="Z80" s="141">
        <f t="shared" si="74"/>
        <v>7</v>
      </c>
      <c r="AA80" s="141">
        <f t="shared" si="74"/>
        <v>7</v>
      </c>
      <c r="AB80" s="141">
        <f t="shared" si="74"/>
        <v>7</v>
      </c>
      <c r="AC80" s="141">
        <f t="shared" si="74"/>
        <v>7</v>
      </c>
      <c r="AD80" s="141">
        <f t="shared" si="74"/>
        <v>7</v>
      </c>
      <c r="AE80" s="141">
        <f t="shared" si="74"/>
        <v>7</v>
      </c>
      <c r="AF80" s="141" t="str">
        <f t="shared" si="74"/>
        <v/>
      </c>
      <c r="AG80" s="141" t="str">
        <f t="shared" si="74"/>
        <v/>
      </c>
      <c r="AH80" s="154" t="s">
        <v>12</v>
      </c>
      <c r="AI80" s="133"/>
      <c r="AJ80" s="170"/>
      <c r="AK80" s="133"/>
      <c r="AL80" s="133"/>
    </row>
    <row r="81" spans="1:38" ht="15.95" hidden="1" customHeight="1" x14ac:dyDescent="0.25">
      <c r="A81" s="166" t="s">
        <v>76</v>
      </c>
      <c r="B81" s="167" t="s">
        <v>30</v>
      </c>
      <c r="C81" s="141" t="str">
        <f t="shared" ref="C81:AG81" si="75">IF(C12=$R32,$V32*24,IF(C12=$R33,$V33*24,IF(C12=$R34,$V34*24,IF(C12=$R35,$V35*24,IF(C12=$R36,$V36*24,IF(C12=$R37,$V37*24,IF(C12=$R38,$V38*24,IF(C12=$R39,$V39*24,IF(C12=$R40,$V40*24,"")))))))))</f>
        <v/>
      </c>
      <c r="D81" s="141">
        <f t="shared" si="75"/>
        <v>7</v>
      </c>
      <c r="E81" s="141">
        <f t="shared" si="75"/>
        <v>7</v>
      </c>
      <c r="F81" s="141">
        <f t="shared" si="75"/>
        <v>7</v>
      </c>
      <c r="G81" s="141" t="str">
        <f t="shared" si="75"/>
        <v/>
      </c>
      <c r="H81" s="141" t="str">
        <f t="shared" si="75"/>
        <v/>
      </c>
      <c r="I81" s="141" t="str">
        <f t="shared" si="75"/>
        <v/>
      </c>
      <c r="J81" s="141">
        <f t="shared" si="75"/>
        <v>7</v>
      </c>
      <c r="K81" s="141" t="str">
        <f t="shared" si="75"/>
        <v/>
      </c>
      <c r="L81" s="141" t="str">
        <f t="shared" si="75"/>
        <v/>
      </c>
      <c r="M81" s="141" t="str">
        <f t="shared" si="75"/>
        <v/>
      </c>
      <c r="N81" s="141">
        <f t="shared" si="75"/>
        <v>19</v>
      </c>
      <c r="O81" s="141">
        <f t="shared" si="75"/>
        <v>19</v>
      </c>
      <c r="P81" s="141">
        <f t="shared" si="75"/>
        <v>19</v>
      </c>
      <c r="Q81" s="141" t="str">
        <f t="shared" si="75"/>
        <v/>
      </c>
      <c r="R81" s="141" t="str">
        <f t="shared" si="75"/>
        <v/>
      </c>
      <c r="S81" s="141">
        <f t="shared" si="75"/>
        <v>7</v>
      </c>
      <c r="T81" s="141">
        <f t="shared" si="75"/>
        <v>7</v>
      </c>
      <c r="U81" s="141" t="str">
        <f t="shared" si="75"/>
        <v/>
      </c>
      <c r="V81" s="141" t="str">
        <f t="shared" si="75"/>
        <v/>
      </c>
      <c r="W81" s="141" t="str">
        <f t="shared" si="75"/>
        <v/>
      </c>
      <c r="X81" s="141">
        <f t="shared" si="75"/>
        <v>19</v>
      </c>
      <c r="Y81" s="141">
        <f t="shared" si="75"/>
        <v>19</v>
      </c>
      <c r="Z81" s="141">
        <f t="shared" si="75"/>
        <v>19</v>
      </c>
      <c r="AA81" s="141">
        <f t="shared" si="75"/>
        <v>19</v>
      </c>
      <c r="AB81" s="141">
        <f t="shared" si="75"/>
        <v>19</v>
      </c>
      <c r="AC81" s="141">
        <f t="shared" si="75"/>
        <v>19</v>
      </c>
      <c r="AD81" s="141">
        <f t="shared" si="75"/>
        <v>19</v>
      </c>
      <c r="AE81" s="141">
        <f t="shared" si="75"/>
        <v>19</v>
      </c>
      <c r="AF81" s="141" t="str">
        <f t="shared" si="75"/>
        <v/>
      </c>
      <c r="AG81" s="141" t="str">
        <f t="shared" si="75"/>
        <v/>
      </c>
      <c r="AH81" s="154" t="s">
        <v>12</v>
      </c>
      <c r="AI81" s="133"/>
      <c r="AJ81" s="170"/>
      <c r="AK81" s="133"/>
      <c r="AL81" s="133"/>
    </row>
    <row r="82" spans="1:38" ht="15.95" hidden="1" customHeight="1" x14ac:dyDescent="0.25">
      <c r="A82" s="153"/>
      <c r="B82" s="168" t="s">
        <v>34</v>
      </c>
      <c r="C82" s="169" t="str">
        <f t="shared" ref="C82:AD82" si="76">IF(C12=$R32,$BD32*24,IF(C12=$R33,$BD33*24,IF(C12=$R34,$BD34*24,IF(C12=$R35,$BD35*24,IF(C12=$R36,$BD36*24,IF(C12=$R37,$BD37*24,IF(C12=$R38,$BD38*24,IF(C12=$R39,$BD39*24,IF(C12=$R40,$BD40*24,"")))))))))</f>
        <v/>
      </c>
      <c r="D82" s="169">
        <f t="shared" si="76"/>
        <v>8</v>
      </c>
      <c r="E82" s="169">
        <f t="shared" si="76"/>
        <v>8</v>
      </c>
      <c r="F82" s="169">
        <f t="shared" si="76"/>
        <v>8</v>
      </c>
      <c r="G82" s="169" t="str">
        <f t="shared" si="76"/>
        <v/>
      </c>
      <c r="H82" s="169" t="str">
        <f t="shared" si="76"/>
        <v/>
      </c>
      <c r="I82" s="169" t="str">
        <f t="shared" si="76"/>
        <v/>
      </c>
      <c r="J82" s="169">
        <f t="shared" si="76"/>
        <v>8</v>
      </c>
      <c r="K82" s="169" t="str">
        <f t="shared" si="76"/>
        <v/>
      </c>
      <c r="L82" s="169" t="str">
        <f t="shared" si="76"/>
        <v/>
      </c>
      <c r="M82" s="169" t="str">
        <f t="shared" si="76"/>
        <v/>
      </c>
      <c r="N82" s="169">
        <f t="shared" si="76"/>
        <v>0</v>
      </c>
      <c r="O82" s="169">
        <f t="shared" si="76"/>
        <v>0</v>
      </c>
      <c r="P82" s="169">
        <f t="shared" si="76"/>
        <v>0</v>
      </c>
      <c r="Q82" s="169" t="str">
        <f t="shared" si="76"/>
        <v/>
      </c>
      <c r="R82" s="169" t="str">
        <f t="shared" si="76"/>
        <v/>
      </c>
      <c r="S82" s="169">
        <f t="shared" si="76"/>
        <v>8</v>
      </c>
      <c r="T82" s="169">
        <f t="shared" si="76"/>
        <v>8</v>
      </c>
      <c r="U82" s="169" t="str">
        <f t="shared" si="76"/>
        <v/>
      </c>
      <c r="V82" s="169" t="str">
        <f t="shared" si="76"/>
        <v/>
      </c>
      <c r="W82" s="169" t="str">
        <f t="shared" si="76"/>
        <v/>
      </c>
      <c r="X82" s="169">
        <f t="shared" si="76"/>
        <v>0</v>
      </c>
      <c r="Y82" s="169">
        <f t="shared" si="76"/>
        <v>0</v>
      </c>
      <c r="Z82" s="169">
        <f t="shared" si="76"/>
        <v>0</v>
      </c>
      <c r="AA82" s="169">
        <f t="shared" si="76"/>
        <v>0</v>
      </c>
      <c r="AB82" s="169">
        <f t="shared" si="76"/>
        <v>0</v>
      </c>
      <c r="AC82" s="169">
        <f t="shared" si="76"/>
        <v>0</v>
      </c>
      <c r="AD82" s="169">
        <f t="shared" si="76"/>
        <v>0</v>
      </c>
      <c r="AE82" s="169">
        <f>IF(AE12=$R32,$BD32*24,IF(AE12=$R33,$BD33*24,IF(AE12=$R34,$BD34*24,IF(AE12=$R35,$BD35*24,IF(AE12=$R36,$BD36*24,IF(AE12=$R37,$BD37*24,IF(AE12=$R38,$BD38*24,IF(AE12=$R39,$BD39*24,IF(AE12=$R40,$BD40*24,"")))))))))</f>
        <v>0</v>
      </c>
      <c r="AF82" s="169" t="str">
        <f>IF(AF12=$R32,$BD32*24,IF(AF12=$R33,$BD33*24,IF(AF12=$R34,$BD34*24,IF(AF12=$R35,$BD35*24,IF(AF12=$R36,$BD36*24,IF(AF12=$R37,$BD37*24,IF(AF12=$R38,$BD38*24,IF(AF12=$R39,$BD39*24,IF(AF12=$R40,$BD40*24,"")))))))))</f>
        <v/>
      </c>
      <c r="AG82" s="169" t="str">
        <f>IF(AG12=$R32,$BD32*24,IF(AG12=$R33,$BD33*24,IF(AG12=$R34,$BD34*24,IF(AG12=$R35,$BD35*24,IF(AG12=$R36,$BD36*24,IF(AG12=$R37,$BD37*24,IF(AG12=$R38,$BD38*24,IF(AG12=$R39,$BD39*24,IF(AG12=$R40,$BD40*24,"")))))))))</f>
        <v/>
      </c>
      <c r="AH82" s="148">
        <f>SUM(C82:AG82)</f>
        <v>48</v>
      </c>
      <c r="AI82" s="133"/>
      <c r="AJ82" s="170"/>
      <c r="AK82" s="133"/>
      <c r="AL82" s="133"/>
    </row>
    <row r="83" spans="1:38" ht="15.95" hidden="1" customHeight="1" x14ac:dyDescent="0.25">
      <c r="A83" s="153"/>
      <c r="B83" s="167" t="s">
        <v>59</v>
      </c>
      <c r="C83" s="141">
        <f t="shared" ref="C83:AG83" si="77">IF(C12="V",$C36,IF(C12="PR",$C38,0))</f>
        <v>0</v>
      </c>
      <c r="D83" s="141">
        <f t="shared" si="77"/>
        <v>0</v>
      </c>
      <c r="E83" s="141">
        <f t="shared" si="77"/>
        <v>0</v>
      </c>
      <c r="F83" s="141">
        <f t="shared" si="77"/>
        <v>0</v>
      </c>
      <c r="G83" s="141">
        <f t="shared" si="77"/>
        <v>0</v>
      </c>
      <c r="H83" s="141">
        <f t="shared" si="77"/>
        <v>0</v>
      </c>
      <c r="I83" s="141">
        <f t="shared" si="77"/>
        <v>0</v>
      </c>
      <c r="J83" s="141">
        <f t="shared" si="77"/>
        <v>0</v>
      </c>
      <c r="K83" s="141">
        <f t="shared" si="77"/>
        <v>0</v>
      </c>
      <c r="L83" s="141">
        <f t="shared" si="77"/>
        <v>0</v>
      </c>
      <c r="M83" s="141">
        <f t="shared" si="77"/>
        <v>0</v>
      </c>
      <c r="N83" s="141">
        <f t="shared" si="77"/>
        <v>0</v>
      </c>
      <c r="O83" s="141">
        <f t="shared" si="77"/>
        <v>0</v>
      </c>
      <c r="P83" s="141">
        <f t="shared" si="77"/>
        <v>0</v>
      </c>
      <c r="Q83" s="141">
        <f t="shared" si="77"/>
        <v>0</v>
      </c>
      <c r="R83" s="141">
        <f t="shared" si="77"/>
        <v>0</v>
      </c>
      <c r="S83" s="141">
        <f t="shared" si="77"/>
        <v>0</v>
      </c>
      <c r="T83" s="141">
        <f t="shared" si="77"/>
        <v>0</v>
      </c>
      <c r="U83" s="141">
        <f t="shared" si="77"/>
        <v>0</v>
      </c>
      <c r="V83" s="141">
        <f t="shared" si="77"/>
        <v>0</v>
      </c>
      <c r="W83" s="141">
        <f t="shared" si="77"/>
        <v>0</v>
      </c>
      <c r="X83" s="141">
        <f t="shared" si="77"/>
        <v>0</v>
      </c>
      <c r="Y83" s="141">
        <f t="shared" si="77"/>
        <v>0</v>
      </c>
      <c r="Z83" s="141">
        <f t="shared" si="77"/>
        <v>0</v>
      </c>
      <c r="AA83" s="141">
        <f t="shared" si="77"/>
        <v>0</v>
      </c>
      <c r="AB83" s="141">
        <f t="shared" si="77"/>
        <v>0</v>
      </c>
      <c r="AC83" s="141">
        <f t="shared" si="77"/>
        <v>0</v>
      </c>
      <c r="AD83" s="141">
        <f t="shared" si="77"/>
        <v>0</v>
      </c>
      <c r="AE83" s="141">
        <f t="shared" si="77"/>
        <v>0</v>
      </c>
      <c r="AF83" s="141">
        <f t="shared" si="77"/>
        <v>0</v>
      </c>
      <c r="AG83" s="141">
        <f t="shared" si="77"/>
        <v>0</v>
      </c>
      <c r="AH83" s="226">
        <f>SUM(C83:AG83)</f>
        <v>0</v>
      </c>
      <c r="AI83" s="226"/>
      <c r="AJ83" s="170" t="s">
        <v>12</v>
      </c>
      <c r="AK83" s="133"/>
      <c r="AL83" s="133"/>
    </row>
    <row r="84" spans="1:38" ht="15.95" hidden="1" customHeight="1" x14ac:dyDescent="0.25">
      <c r="A84" s="150" t="s">
        <v>60</v>
      </c>
      <c r="B84" s="167" t="s">
        <v>61</v>
      </c>
      <c r="C84" s="151">
        <f t="shared" ref="C84:AD84" si="78">IF(C12=$R32,$BC32,IF(C12=$R33,$BC33,IF(C12=$R34,$BC34,IF(C12=$R35,$BC35,IF(C12=$R36,$BC36,IF(C12=$R37,$BC37,IF(C12=$R38,$BC38,IF(C12=$R39,$BC39,IF(C12=$R40,$BC40,0)))))))))</f>
        <v>0</v>
      </c>
      <c r="D84" s="151">
        <f t="shared" si="78"/>
        <v>12</v>
      </c>
      <c r="E84" s="151">
        <f t="shared" si="78"/>
        <v>12</v>
      </c>
      <c r="F84" s="151">
        <f t="shared" si="78"/>
        <v>12</v>
      </c>
      <c r="G84" s="151">
        <f t="shared" si="78"/>
        <v>0</v>
      </c>
      <c r="H84" s="151">
        <f t="shared" si="78"/>
        <v>0</v>
      </c>
      <c r="I84" s="151">
        <f t="shared" si="78"/>
        <v>0</v>
      </c>
      <c r="J84" s="151">
        <f t="shared" si="78"/>
        <v>12</v>
      </c>
      <c r="K84" s="151">
        <f t="shared" si="78"/>
        <v>0</v>
      </c>
      <c r="L84" s="151">
        <f t="shared" si="78"/>
        <v>0</v>
      </c>
      <c r="M84" s="151">
        <f t="shared" si="78"/>
        <v>0</v>
      </c>
      <c r="N84" s="151">
        <f t="shared" si="78"/>
        <v>11.999999999999998</v>
      </c>
      <c r="O84" s="151">
        <f t="shared" si="78"/>
        <v>11.999999999999998</v>
      </c>
      <c r="P84" s="151">
        <f t="shared" si="78"/>
        <v>11.999999999999998</v>
      </c>
      <c r="Q84" s="151">
        <f t="shared" si="78"/>
        <v>0</v>
      </c>
      <c r="R84" s="151">
        <f t="shared" si="78"/>
        <v>0</v>
      </c>
      <c r="S84" s="151">
        <f t="shared" si="78"/>
        <v>12</v>
      </c>
      <c r="T84" s="151">
        <f t="shared" si="78"/>
        <v>12</v>
      </c>
      <c r="U84" s="151">
        <f t="shared" si="78"/>
        <v>0</v>
      </c>
      <c r="V84" s="151">
        <f t="shared" si="78"/>
        <v>0</v>
      </c>
      <c r="W84" s="151">
        <f t="shared" si="78"/>
        <v>0</v>
      </c>
      <c r="X84" s="151">
        <f t="shared" si="78"/>
        <v>11.999999999999998</v>
      </c>
      <c r="Y84" s="151">
        <f t="shared" si="78"/>
        <v>11.999999999999998</v>
      </c>
      <c r="Z84" s="151">
        <f t="shared" si="78"/>
        <v>11.999999999999998</v>
      </c>
      <c r="AA84" s="151">
        <f t="shared" si="78"/>
        <v>11.999999999999998</v>
      </c>
      <c r="AB84" s="151">
        <f t="shared" si="78"/>
        <v>11.999999999999998</v>
      </c>
      <c r="AC84" s="151">
        <f t="shared" si="78"/>
        <v>11.999999999999998</v>
      </c>
      <c r="AD84" s="151">
        <f t="shared" si="78"/>
        <v>11.999999999999998</v>
      </c>
      <c r="AE84" s="151">
        <f>IF(AE12=$R32,$BC32,IF(AE12=$R33,$BC33,IF(AE12=$R34,$BC34,IF(AE12=$R35,$BC35,IF(AE12=$R36,$BC36,IF(AE12=$R37,$BC37,IF(AE12=$R38,$BC38,IF(AE12=$R39,$BC39,IF(AE12=$R40,$BC40,0)))))))))</f>
        <v>11.999999999999998</v>
      </c>
      <c r="AF84" s="151">
        <f>IF(AF12=$R32,$BC32,IF(AF12=$R33,$BC33,IF(AF12=$R34,$BC34,IF(AF12=$R35,$BC35,IF(AF12=$R36,$BC36,IF(AF12=$R37,$BC37,IF(AF12=$R38,$BC38,IF(AF12=$R39,$BC39,IF(AF12=$R40,$BC40,0)))))))))</f>
        <v>0</v>
      </c>
      <c r="AG84" s="151">
        <f>IF(AG12=$R32,$BC32,IF(AG12=$R33,$BC33,IF(AG12=$R34,$BC34,IF(AG12=$R35,$BC35,IF(AG12=$R36,$BC36,IF(AG12=$R37,$BC37,IF(AG12=$R38,$BC38,IF(AG12=$R39,$BC39,IF(AG12=$R40,$BC40,0)))))))))</f>
        <v>0</v>
      </c>
      <c r="AH84" s="226">
        <f>SUM(C84:AG84)</f>
        <v>204</v>
      </c>
      <c r="AI84" s="226"/>
      <c r="AJ84" s="175" t="s">
        <v>62</v>
      </c>
      <c r="AK84" s="133" t="s">
        <v>12</v>
      </c>
      <c r="AL84" s="133"/>
    </row>
    <row r="85" spans="1:38" ht="15.95" hidden="1" customHeight="1" x14ac:dyDescent="0.25">
      <c r="A85" s="153" t="s">
        <v>48</v>
      </c>
      <c r="B85" s="149" t="s">
        <v>63</v>
      </c>
      <c r="C85" s="141" t="b">
        <f t="shared" ref="C85:AG85" si="79">IF(C46=1,IF(C80&lt;C81,C84,0))</f>
        <v>0</v>
      </c>
      <c r="D85" s="141" t="b">
        <f t="shared" si="79"/>
        <v>0</v>
      </c>
      <c r="E85" s="141" t="b">
        <f t="shared" si="79"/>
        <v>0</v>
      </c>
      <c r="F85" s="141" t="b">
        <f t="shared" si="79"/>
        <v>0</v>
      </c>
      <c r="G85" s="141" t="b">
        <f t="shared" si="79"/>
        <v>0</v>
      </c>
      <c r="H85" s="141">
        <f t="shared" si="79"/>
        <v>0</v>
      </c>
      <c r="I85" s="141">
        <f t="shared" si="79"/>
        <v>0</v>
      </c>
      <c r="J85" s="141" t="b">
        <f t="shared" si="79"/>
        <v>0</v>
      </c>
      <c r="K85" s="141" t="b">
        <f t="shared" si="79"/>
        <v>0</v>
      </c>
      <c r="L85" s="141" t="b">
        <f t="shared" si="79"/>
        <v>0</v>
      </c>
      <c r="M85" s="141" t="b">
        <f t="shared" si="79"/>
        <v>0</v>
      </c>
      <c r="N85" s="141" t="b">
        <f t="shared" si="79"/>
        <v>0</v>
      </c>
      <c r="O85" s="141">
        <f t="shared" si="79"/>
        <v>11.999999999999998</v>
      </c>
      <c r="P85" s="141">
        <f t="shared" si="79"/>
        <v>11.999999999999998</v>
      </c>
      <c r="Q85" s="141" t="b">
        <f t="shared" si="79"/>
        <v>0</v>
      </c>
      <c r="R85" s="141" t="b">
        <f t="shared" si="79"/>
        <v>0</v>
      </c>
      <c r="S85" s="141" t="b">
        <f t="shared" si="79"/>
        <v>0</v>
      </c>
      <c r="T85" s="141" t="b">
        <f t="shared" si="79"/>
        <v>0</v>
      </c>
      <c r="U85" s="141" t="b">
        <f t="shared" si="79"/>
        <v>0</v>
      </c>
      <c r="V85" s="141">
        <f t="shared" si="79"/>
        <v>0</v>
      </c>
      <c r="W85" s="141">
        <f t="shared" si="79"/>
        <v>0</v>
      </c>
      <c r="X85" s="141" t="b">
        <f t="shared" si="79"/>
        <v>0</v>
      </c>
      <c r="Y85" s="141" t="b">
        <f t="shared" si="79"/>
        <v>0</v>
      </c>
      <c r="Z85" s="141" t="b">
        <f t="shared" si="79"/>
        <v>0</v>
      </c>
      <c r="AA85" s="141" t="b">
        <f t="shared" si="79"/>
        <v>0</v>
      </c>
      <c r="AB85" s="141" t="b">
        <f t="shared" si="79"/>
        <v>0</v>
      </c>
      <c r="AC85" s="141">
        <f t="shared" si="79"/>
        <v>11.999999999999998</v>
      </c>
      <c r="AD85" s="141">
        <f t="shared" si="79"/>
        <v>11.999999999999998</v>
      </c>
      <c r="AE85" s="141" t="b">
        <f t="shared" si="79"/>
        <v>0</v>
      </c>
      <c r="AF85" s="141" t="b">
        <f t="shared" si="79"/>
        <v>0</v>
      </c>
      <c r="AG85" s="141" t="b">
        <f t="shared" si="79"/>
        <v>0</v>
      </c>
      <c r="AH85" s="154" t="s">
        <v>12</v>
      </c>
      <c r="AI85" s="133"/>
      <c r="AJ85" s="170"/>
      <c r="AK85" s="133"/>
      <c r="AL85" s="133"/>
    </row>
    <row r="86" spans="1:38" ht="15.95" hidden="1" customHeight="1" x14ac:dyDescent="0.25">
      <c r="A86" s="176"/>
      <c r="B86" s="149" t="s">
        <v>64</v>
      </c>
      <c r="C86" s="141">
        <f t="shared" ref="C86:AG86" si="80">IF(C46=1,IF(C80&gt;C81,24-C80,0),0)</f>
        <v>0</v>
      </c>
      <c r="D86" s="141">
        <f t="shared" si="80"/>
        <v>0</v>
      </c>
      <c r="E86" s="141">
        <f t="shared" si="80"/>
        <v>0</v>
      </c>
      <c r="F86" s="141">
        <f t="shared" si="80"/>
        <v>0</v>
      </c>
      <c r="G86" s="141">
        <f t="shared" si="80"/>
        <v>0</v>
      </c>
      <c r="H86" s="141">
        <f t="shared" si="80"/>
        <v>0</v>
      </c>
      <c r="I86" s="141">
        <f t="shared" si="80"/>
        <v>0</v>
      </c>
      <c r="J86" s="141">
        <f t="shared" si="80"/>
        <v>0</v>
      </c>
      <c r="K86" s="141">
        <f t="shared" si="80"/>
        <v>0</v>
      </c>
      <c r="L86" s="141">
        <f t="shared" si="80"/>
        <v>0</v>
      </c>
      <c r="M86" s="141">
        <f t="shared" si="80"/>
        <v>0</v>
      </c>
      <c r="N86" s="141">
        <f t="shared" si="80"/>
        <v>0</v>
      </c>
      <c r="O86" s="141">
        <f t="shared" si="80"/>
        <v>0</v>
      </c>
      <c r="P86" s="141">
        <f t="shared" si="80"/>
        <v>0</v>
      </c>
      <c r="Q86" s="141">
        <f t="shared" si="80"/>
        <v>0</v>
      </c>
      <c r="R86" s="141">
        <f t="shared" si="80"/>
        <v>0</v>
      </c>
      <c r="S86" s="141">
        <f t="shared" si="80"/>
        <v>0</v>
      </c>
      <c r="T86" s="141">
        <f t="shared" si="80"/>
        <v>0</v>
      </c>
      <c r="U86" s="141">
        <f t="shared" si="80"/>
        <v>0</v>
      </c>
      <c r="V86" s="141">
        <f t="shared" si="80"/>
        <v>0</v>
      </c>
      <c r="W86" s="141">
        <f t="shared" si="80"/>
        <v>0</v>
      </c>
      <c r="X86" s="141">
        <f t="shared" si="80"/>
        <v>0</v>
      </c>
      <c r="Y86" s="141">
        <f t="shared" si="80"/>
        <v>0</v>
      </c>
      <c r="Z86" s="141">
        <f t="shared" si="80"/>
        <v>0</v>
      </c>
      <c r="AA86" s="141">
        <f t="shared" si="80"/>
        <v>0</v>
      </c>
      <c r="AB86" s="141">
        <f t="shared" si="80"/>
        <v>0</v>
      </c>
      <c r="AC86" s="141">
        <f t="shared" si="80"/>
        <v>0</v>
      </c>
      <c r="AD86" s="141">
        <f t="shared" si="80"/>
        <v>0</v>
      </c>
      <c r="AE86" s="141">
        <f t="shared" si="80"/>
        <v>0</v>
      </c>
      <c r="AF86" s="141">
        <f t="shared" si="80"/>
        <v>0</v>
      </c>
      <c r="AG86" s="141">
        <f t="shared" si="80"/>
        <v>0</v>
      </c>
      <c r="AH86" s="154" t="s">
        <v>12</v>
      </c>
      <c r="AI86" s="133"/>
      <c r="AJ86" s="170"/>
      <c r="AK86" s="133"/>
      <c r="AL86" s="133"/>
    </row>
    <row r="87" spans="1:38" ht="15.95" hidden="1" customHeight="1" x14ac:dyDescent="0.25">
      <c r="A87" s="176"/>
      <c r="B87" s="149" t="s">
        <v>65</v>
      </c>
      <c r="C87" s="141">
        <f t="shared" ref="C87:AG87" si="81">IF(D46=1,IF(C80&gt;C81,C81,0),0)</f>
        <v>0</v>
      </c>
      <c r="D87" s="141">
        <f t="shared" si="81"/>
        <v>0</v>
      </c>
      <c r="E87" s="141">
        <f t="shared" si="81"/>
        <v>0</v>
      </c>
      <c r="F87" s="141">
        <f t="shared" si="81"/>
        <v>0</v>
      </c>
      <c r="G87" s="141">
        <f t="shared" si="81"/>
        <v>0</v>
      </c>
      <c r="H87" s="141">
        <f t="shared" si="81"/>
        <v>0</v>
      </c>
      <c r="I87" s="141">
        <f t="shared" si="81"/>
        <v>0</v>
      </c>
      <c r="J87" s="141">
        <f t="shared" si="81"/>
        <v>0</v>
      </c>
      <c r="K87" s="141">
        <f t="shared" si="81"/>
        <v>0</v>
      </c>
      <c r="L87" s="141">
        <f t="shared" si="81"/>
        <v>0</v>
      </c>
      <c r="M87" s="141">
        <f t="shared" si="81"/>
        <v>0</v>
      </c>
      <c r="N87" s="141">
        <f t="shared" si="81"/>
        <v>0</v>
      </c>
      <c r="O87" s="141">
        <f t="shared" si="81"/>
        <v>0</v>
      </c>
      <c r="P87" s="141">
        <f t="shared" si="81"/>
        <v>0</v>
      </c>
      <c r="Q87" s="141">
        <f t="shared" si="81"/>
        <v>0</v>
      </c>
      <c r="R87" s="141">
        <f t="shared" si="81"/>
        <v>0</v>
      </c>
      <c r="S87" s="141">
        <f t="shared" si="81"/>
        <v>0</v>
      </c>
      <c r="T87" s="141">
        <f t="shared" si="81"/>
        <v>0</v>
      </c>
      <c r="U87" s="141">
        <f t="shared" si="81"/>
        <v>0</v>
      </c>
      <c r="V87" s="141">
        <f t="shared" si="81"/>
        <v>0</v>
      </c>
      <c r="W87" s="141">
        <f t="shared" si="81"/>
        <v>0</v>
      </c>
      <c r="X87" s="141">
        <f>IF(Y46=1,IF(X80&gt;X81,X81,0),0)</f>
        <v>0</v>
      </c>
      <c r="Y87" s="141">
        <f t="shared" si="81"/>
        <v>0</v>
      </c>
      <c r="Z87" s="141">
        <f t="shared" si="81"/>
        <v>0</v>
      </c>
      <c r="AA87" s="141">
        <f t="shared" si="81"/>
        <v>0</v>
      </c>
      <c r="AB87" s="141">
        <f t="shared" si="81"/>
        <v>0</v>
      </c>
      <c r="AC87" s="141">
        <f t="shared" si="81"/>
        <v>0</v>
      </c>
      <c r="AD87" s="141">
        <f t="shared" si="81"/>
        <v>0</v>
      </c>
      <c r="AE87" s="141">
        <f t="shared" si="81"/>
        <v>0</v>
      </c>
      <c r="AF87" s="141">
        <f t="shared" si="81"/>
        <v>0</v>
      </c>
      <c r="AG87" s="141">
        <f t="shared" si="81"/>
        <v>0</v>
      </c>
      <c r="AH87" s="154" t="s">
        <v>12</v>
      </c>
      <c r="AI87" s="133"/>
      <c r="AJ87" s="170"/>
      <c r="AK87" s="133"/>
      <c r="AL87" s="133"/>
    </row>
    <row r="88" spans="1:38" ht="15.95" hidden="1" customHeight="1" x14ac:dyDescent="0.25">
      <c r="A88" s="176"/>
      <c r="B88" s="149" t="s">
        <v>67</v>
      </c>
      <c r="C88" s="171">
        <f t="shared" ref="C88:AG88" si="82">SUM(C85:C87)</f>
        <v>0</v>
      </c>
      <c r="D88" s="171">
        <f t="shared" si="82"/>
        <v>0</v>
      </c>
      <c r="E88" s="171">
        <f t="shared" si="82"/>
        <v>0</v>
      </c>
      <c r="F88" s="171">
        <f t="shared" si="82"/>
        <v>0</v>
      </c>
      <c r="G88" s="171">
        <f t="shared" si="82"/>
        <v>0</v>
      </c>
      <c r="H88" s="171">
        <f t="shared" si="82"/>
        <v>0</v>
      </c>
      <c r="I88" s="171">
        <f t="shared" si="82"/>
        <v>0</v>
      </c>
      <c r="J88" s="171">
        <f t="shared" si="82"/>
        <v>0</v>
      </c>
      <c r="K88" s="171">
        <f t="shared" si="82"/>
        <v>0</v>
      </c>
      <c r="L88" s="171">
        <f t="shared" si="82"/>
        <v>0</v>
      </c>
      <c r="M88" s="171">
        <f t="shared" si="82"/>
        <v>0</v>
      </c>
      <c r="N88" s="171">
        <f t="shared" si="82"/>
        <v>0</v>
      </c>
      <c r="O88" s="171">
        <f t="shared" si="82"/>
        <v>11.999999999999998</v>
      </c>
      <c r="P88" s="171">
        <f t="shared" si="82"/>
        <v>11.999999999999998</v>
      </c>
      <c r="Q88" s="171">
        <f t="shared" si="82"/>
        <v>0</v>
      </c>
      <c r="R88" s="171">
        <f t="shared" si="82"/>
        <v>0</v>
      </c>
      <c r="S88" s="171">
        <f t="shared" si="82"/>
        <v>0</v>
      </c>
      <c r="T88" s="171">
        <f t="shared" si="82"/>
        <v>0</v>
      </c>
      <c r="U88" s="171">
        <f t="shared" si="82"/>
        <v>0</v>
      </c>
      <c r="V88" s="171">
        <f t="shared" si="82"/>
        <v>0</v>
      </c>
      <c r="W88" s="171">
        <f t="shared" si="82"/>
        <v>0</v>
      </c>
      <c r="X88" s="171">
        <f t="shared" si="82"/>
        <v>0</v>
      </c>
      <c r="Y88" s="171">
        <f t="shared" si="82"/>
        <v>0</v>
      </c>
      <c r="Z88" s="171">
        <f t="shared" si="82"/>
        <v>0</v>
      </c>
      <c r="AA88" s="171">
        <f t="shared" si="82"/>
        <v>0</v>
      </c>
      <c r="AB88" s="171">
        <f t="shared" si="82"/>
        <v>0</v>
      </c>
      <c r="AC88" s="171">
        <f t="shared" si="82"/>
        <v>11.999999999999998</v>
      </c>
      <c r="AD88" s="171">
        <f t="shared" si="82"/>
        <v>11.999999999999998</v>
      </c>
      <c r="AE88" s="171">
        <f t="shared" si="82"/>
        <v>0</v>
      </c>
      <c r="AF88" s="171">
        <f t="shared" si="82"/>
        <v>0</v>
      </c>
      <c r="AG88" s="171">
        <f t="shared" si="82"/>
        <v>0</v>
      </c>
      <c r="AH88" s="154" t="s">
        <v>12</v>
      </c>
      <c r="AI88" s="133"/>
      <c r="AJ88" s="170"/>
      <c r="AK88" s="133"/>
      <c r="AL88" s="133"/>
    </row>
    <row r="89" spans="1:38" ht="15.95" hidden="1" customHeight="1" x14ac:dyDescent="0.25">
      <c r="A89" s="177"/>
      <c r="B89" s="160" t="s">
        <v>68</v>
      </c>
      <c r="C89" s="161">
        <f t="shared" ref="C89:AG89" si="83">IF(C12="V",IF(C12="",0,1),0)</f>
        <v>0</v>
      </c>
      <c r="D89" s="161">
        <f t="shared" si="83"/>
        <v>0</v>
      </c>
      <c r="E89" s="161">
        <f t="shared" si="83"/>
        <v>0</v>
      </c>
      <c r="F89" s="161">
        <f t="shared" si="83"/>
        <v>0</v>
      </c>
      <c r="G89" s="161">
        <f t="shared" si="83"/>
        <v>0</v>
      </c>
      <c r="H89" s="161">
        <f t="shared" si="83"/>
        <v>0</v>
      </c>
      <c r="I89" s="161">
        <f t="shared" si="83"/>
        <v>0</v>
      </c>
      <c r="J89" s="161">
        <f t="shared" si="83"/>
        <v>0</v>
      </c>
      <c r="K89" s="161">
        <f t="shared" si="83"/>
        <v>0</v>
      </c>
      <c r="L89" s="161">
        <f t="shared" si="83"/>
        <v>0</v>
      </c>
      <c r="M89" s="161">
        <f t="shared" si="83"/>
        <v>0</v>
      </c>
      <c r="N89" s="161">
        <f t="shared" si="83"/>
        <v>0</v>
      </c>
      <c r="O89" s="161">
        <f t="shared" si="83"/>
        <v>0</v>
      </c>
      <c r="P89" s="161">
        <f t="shared" si="83"/>
        <v>0</v>
      </c>
      <c r="Q89" s="161">
        <f t="shared" si="83"/>
        <v>0</v>
      </c>
      <c r="R89" s="161">
        <f t="shared" si="83"/>
        <v>0</v>
      </c>
      <c r="S89" s="161">
        <f t="shared" si="83"/>
        <v>0</v>
      </c>
      <c r="T89" s="161">
        <f t="shared" si="83"/>
        <v>0</v>
      </c>
      <c r="U89" s="161">
        <f t="shared" si="83"/>
        <v>0</v>
      </c>
      <c r="V89" s="161">
        <f t="shared" si="83"/>
        <v>0</v>
      </c>
      <c r="W89" s="161">
        <f t="shared" si="83"/>
        <v>0</v>
      </c>
      <c r="X89" s="161">
        <f t="shared" si="83"/>
        <v>0</v>
      </c>
      <c r="Y89" s="161">
        <f t="shared" si="83"/>
        <v>0</v>
      </c>
      <c r="Z89" s="161">
        <f t="shared" si="83"/>
        <v>0</v>
      </c>
      <c r="AA89" s="161">
        <f t="shared" si="83"/>
        <v>0</v>
      </c>
      <c r="AB89" s="161">
        <f t="shared" si="83"/>
        <v>0</v>
      </c>
      <c r="AC89" s="161">
        <f t="shared" si="83"/>
        <v>0</v>
      </c>
      <c r="AD89" s="161">
        <f t="shared" si="83"/>
        <v>0</v>
      </c>
      <c r="AE89" s="161">
        <f t="shared" si="83"/>
        <v>0</v>
      </c>
      <c r="AF89" s="161">
        <f t="shared" si="83"/>
        <v>0</v>
      </c>
      <c r="AG89" s="161">
        <f t="shared" si="83"/>
        <v>0</v>
      </c>
      <c r="AH89" s="154"/>
      <c r="AI89" s="133"/>
      <c r="AJ89" s="170"/>
      <c r="AK89" s="133"/>
      <c r="AL89" s="133"/>
    </row>
    <row r="90" spans="1:38" ht="15.95" hidden="1" customHeight="1" x14ac:dyDescent="0.25">
      <c r="A90" s="173"/>
      <c r="B90" s="130" t="s">
        <v>16</v>
      </c>
      <c r="C90" s="163">
        <f t="shared" ref="C90:AG90" si="84">IF(C12="PR",IF(C12="",0,1),0)</f>
        <v>0</v>
      </c>
      <c r="D90" s="163">
        <f t="shared" si="84"/>
        <v>0</v>
      </c>
      <c r="E90" s="163">
        <f t="shared" si="84"/>
        <v>0</v>
      </c>
      <c r="F90" s="163">
        <f t="shared" si="84"/>
        <v>0</v>
      </c>
      <c r="G90" s="163">
        <f t="shared" si="84"/>
        <v>0</v>
      </c>
      <c r="H90" s="163">
        <f t="shared" si="84"/>
        <v>0</v>
      </c>
      <c r="I90" s="163">
        <f t="shared" si="84"/>
        <v>0</v>
      </c>
      <c r="J90" s="163">
        <f t="shared" si="84"/>
        <v>0</v>
      </c>
      <c r="K90" s="163">
        <f t="shared" si="84"/>
        <v>0</v>
      </c>
      <c r="L90" s="163">
        <f t="shared" si="84"/>
        <v>0</v>
      </c>
      <c r="M90" s="163">
        <f t="shared" si="84"/>
        <v>0</v>
      </c>
      <c r="N90" s="163">
        <f t="shared" si="84"/>
        <v>0</v>
      </c>
      <c r="O90" s="163">
        <f t="shared" si="84"/>
        <v>0</v>
      </c>
      <c r="P90" s="163">
        <f t="shared" si="84"/>
        <v>0</v>
      </c>
      <c r="Q90" s="163">
        <f t="shared" si="84"/>
        <v>0</v>
      </c>
      <c r="R90" s="163">
        <f t="shared" si="84"/>
        <v>0</v>
      </c>
      <c r="S90" s="163">
        <f t="shared" si="84"/>
        <v>0</v>
      </c>
      <c r="T90" s="163">
        <f t="shared" si="84"/>
        <v>0</v>
      </c>
      <c r="U90" s="163">
        <f t="shared" si="84"/>
        <v>0</v>
      </c>
      <c r="V90" s="163">
        <f t="shared" si="84"/>
        <v>0</v>
      </c>
      <c r="W90" s="163">
        <f t="shared" si="84"/>
        <v>0</v>
      </c>
      <c r="X90" s="163">
        <f t="shared" si="84"/>
        <v>0</v>
      </c>
      <c r="Y90" s="163">
        <f t="shared" si="84"/>
        <v>0</v>
      </c>
      <c r="Z90" s="163">
        <f t="shared" si="84"/>
        <v>0</v>
      </c>
      <c r="AA90" s="163">
        <f t="shared" si="84"/>
        <v>0</v>
      </c>
      <c r="AB90" s="163">
        <f t="shared" si="84"/>
        <v>0</v>
      </c>
      <c r="AC90" s="163">
        <f t="shared" si="84"/>
        <v>0</v>
      </c>
      <c r="AD90" s="163">
        <f t="shared" si="84"/>
        <v>0</v>
      </c>
      <c r="AE90" s="163">
        <f t="shared" si="84"/>
        <v>0</v>
      </c>
      <c r="AF90" s="163">
        <f t="shared" si="84"/>
        <v>0</v>
      </c>
      <c r="AG90" s="163">
        <f t="shared" si="84"/>
        <v>0</v>
      </c>
      <c r="AH90" s="229">
        <f>SUM(C90:AG90)</f>
        <v>0</v>
      </c>
      <c r="AI90" s="229"/>
      <c r="AJ90" s="174" t="s">
        <v>69</v>
      </c>
      <c r="AK90" s="133"/>
      <c r="AL90" s="133"/>
    </row>
    <row r="91" spans="1:38" ht="15.95" hidden="1" customHeight="1" x14ac:dyDescent="0.25">
      <c r="A91" s="164" t="s">
        <v>77</v>
      </c>
      <c r="B91" s="165" t="s">
        <v>29</v>
      </c>
      <c r="C91" s="141">
        <f t="shared" ref="C91:AG91" si="85">IF(C13=$R32,$S32*24,IF(C13=$R33,$S33*24,IF(C13=$R34,$S34*24,IF(C13=$R35,$S35*24,IF(C13=$R36,$S36*24,IF(C13=$R37,$S37*24,IF(C13=$R38,$S38*24,IF(C13=$R39,$S39*24,IF(C13=$R40,$S40*24,"")))))))))</f>
        <v>6</v>
      </c>
      <c r="D91" s="141">
        <f t="shared" si="85"/>
        <v>6</v>
      </c>
      <c r="E91" s="141" t="str">
        <f t="shared" si="85"/>
        <v/>
      </c>
      <c r="F91" s="141" t="str">
        <f t="shared" si="85"/>
        <v/>
      </c>
      <c r="G91" s="141">
        <f t="shared" si="85"/>
        <v>6</v>
      </c>
      <c r="H91" s="141">
        <f t="shared" si="85"/>
        <v>6</v>
      </c>
      <c r="I91" s="141">
        <f t="shared" si="85"/>
        <v>6</v>
      </c>
      <c r="J91" s="141" t="str">
        <f t="shared" si="85"/>
        <v/>
      </c>
      <c r="K91" s="141">
        <f t="shared" si="85"/>
        <v>6</v>
      </c>
      <c r="L91" s="141">
        <f t="shared" si="85"/>
        <v>6</v>
      </c>
      <c r="M91" s="141">
        <f t="shared" si="85"/>
        <v>6</v>
      </c>
      <c r="N91" s="141" t="str">
        <f t="shared" si="85"/>
        <v/>
      </c>
      <c r="O91" s="141" t="str">
        <f t="shared" si="85"/>
        <v/>
      </c>
      <c r="P91" s="141" t="str">
        <f t="shared" si="85"/>
        <v/>
      </c>
      <c r="Q91" s="141">
        <f t="shared" si="85"/>
        <v>6</v>
      </c>
      <c r="R91" s="141">
        <f t="shared" si="85"/>
        <v>6</v>
      </c>
      <c r="S91" s="141">
        <f t="shared" si="85"/>
        <v>7</v>
      </c>
      <c r="T91" s="141" t="str">
        <f t="shared" si="85"/>
        <v/>
      </c>
      <c r="U91" s="141">
        <f t="shared" si="85"/>
        <v>6</v>
      </c>
      <c r="V91" s="141">
        <f t="shared" si="85"/>
        <v>6</v>
      </c>
      <c r="W91" s="141">
        <f t="shared" si="85"/>
        <v>6</v>
      </c>
      <c r="X91" s="141" t="str">
        <f t="shared" si="85"/>
        <v/>
      </c>
      <c r="Y91" s="141" t="str">
        <f t="shared" si="85"/>
        <v/>
      </c>
      <c r="Z91" s="141" t="str">
        <f t="shared" si="85"/>
        <v/>
      </c>
      <c r="AA91" s="141" t="str">
        <f t="shared" si="85"/>
        <v/>
      </c>
      <c r="AB91" s="141" t="str">
        <f t="shared" si="85"/>
        <v/>
      </c>
      <c r="AC91" s="141" t="str">
        <f t="shared" si="85"/>
        <v/>
      </c>
      <c r="AD91" s="141" t="str">
        <f t="shared" si="85"/>
        <v/>
      </c>
      <c r="AE91" s="141">
        <f t="shared" si="85"/>
        <v>6</v>
      </c>
      <c r="AF91" s="141">
        <f t="shared" si="85"/>
        <v>7</v>
      </c>
      <c r="AG91" s="141">
        <f t="shared" si="85"/>
        <v>7</v>
      </c>
      <c r="AH91" s="154" t="s">
        <v>12</v>
      </c>
      <c r="AI91" s="133"/>
      <c r="AJ91" s="170"/>
      <c r="AK91" s="133"/>
      <c r="AL91" s="133"/>
    </row>
    <row r="92" spans="1:38" ht="15.95" hidden="1" customHeight="1" x14ac:dyDescent="0.25">
      <c r="A92" s="166" t="s">
        <v>78</v>
      </c>
      <c r="B92" s="167" t="s">
        <v>30</v>
      </c>
      <c r="C92" s="141">
        <f t="shared" ref="C92:AG92" si="86">IF(C13=$R32,$V32*24,IF(C13=$R33,$V33*24,IF(C13=$R34,$V34*24,IF(C13=$R35,$V35*24,IF(C13=$R36,$V36*24,IF(C13=$R37,$V37*24,IF(C13=$R38,$V38*24,IF(C13=$R39,$V39*24,IF(C13=$R40,$V40*24,"")))))))))</f>
        <v>18</v>
      </c>
      <c r="D92" s="141">
        <f t="shared" si="86"/>
        <v>18</v>
      </c>
      <c r="E92" s="141" t="str">
        <f t="shared" si="86"/>
        <v/>
      </c>
      <c r="F92" s="141" t="str">
        <f t="shared" si="86"/>
        <v/>
      </c>
      <c r="G92" s="141">
        <f t="shared" si="86"/>
        <v>18</v>
      </c>
      <c r="H92" s="141">
        <f t="shared" si="86"/>
        <v>18</v>
      </c>
      <c r="I92" s="141">
        <f t="shared" si="86"/>
        <v>18</v>
      </c>
      <c r="J92" s="141" t="str">
        <f t="shared" si="86"/>
        <v/>
      </c>
      <c r="K92" s="141">
        <f t="shared" si="86"/>
        <v>18</v>
      </c>
      <c r="L92" s="141">
        <f t="shared" si="86"/>
        <v>18</v>
      </c>
      <c r="M92" s="141">
        <f t="shared" si="86"/>
        <v>18</v>
      </c>
      <c r="N92" s="141" t="str">
        <f t="shared" si="86"/>
        <v/>
      </c>
      <c r="O92" s="141" t="str">
        <f t="shared" si="86"/>
        <v/>
      </c>
      <c r="P92" s="141" t="str">
        <f t="shared" si="86"/>
        <v/>
      </c>
      <c r="Q92" s="141">
        <f t="shared" si="86"/>
        <v>18</v>
      </c>
      <c r="R92" s="141">
        <f t="shared" si="86"/>
        <v>18</v>
      </c>
      <c r="S92" s="141">
        <f t="shared" si="86"/>
        <v>19</v>
      </c>
      <c r="T92" s="141" t="str">
        <f t="shared" si="86"/>
        <v/>
      </c>
      <c r="U92" s="141">
        <f t="shared" si="86"/>
        <v>18</v>
      </c>
      <c r="V92" s="141">
        <f t="shared" si="86"/>
        <v>18</v>
      </c>
      <c r="W92" s="141">
        <f t="shared" si="86"/>
        <v>18</v>
      </c>
      <c r="X92" s="141" t="str">
        <f t="shared" si="86"/>
        <v/>
      </c>
      <c r="Y92" s="141" t="str">
        <f t="shared" si="86"/>
        <v/>
      </c>
      <c r="Z92" s="141" t="str">
        <f t="shared" si="86"/>
        <v/>
      </c>
      <c r="AA92" s="141" t="str">
        <f t="shared" si="86"/>
        <v/>
      </c>
      <c r="AB92" s="141" t="str">
        <f t="shared" si="86"/>
        <v/>
      </c>
      <c r="AC92" s="141" t="str">
        <f t="shared" si="86"/>
        <v/>
      </c>
      <c r="AD92" s="141" t="str">
        <f t="shared" si="86"/>
        <v/>
      </c>
      <c r="AE92" s="141">
        <f t="shared" si="86"/>
        <v>18</v>
      </c>
      <c r="AF92" s="141">
        <f t="shared" si="86"/>
        <v>19</v>
      </c>
      <c r="AG92" s="141">
        <f t="shared" si="86"/>
        <v>19</v>
      </c>
      <c r="AH92" s="154" t="s">
        <v>12</v>
      </c>
      <c r="AI92" s="133"/>
      <c r="AJ92" s="170"/>
      <c r="AK92" s="133"/>
      <c r="AL92" s="133"/>
    </row>
    <row r="93" spans="1:38" ht="15.95" hidden="1" customHeight="1" x14ac:dyDescent="0.25">
      <c r="A93" s="153"/>
      <c r="B93" s="168" t="s">
        <v>34</v>
      </c>
      <c r="C93" s="169">
        <f t="shared" ref="C93:AD93" si="87">IF(C13=$R32,$BD32*24,IF(C13=$R33,$BD33*24,IF(C13=$R34,$BD34*24,IF(C13=$R35,$BD35*24,IF(C13=$R36,$BD36*24,IF(C13=$R37,$BD37*24,IF(C13=$R38,$BD38*24,IF(C13=$R39,$BD39*24,IF(C13=$R40,$BD40*24,"")))))))))</f>
        <v>0</v>
      </c>
      <c r="D93" s="169">
        <f t="shared" si="87"/>
        <v>0</v>
      </c>
      <c r="E93" s="169" t="str">
        <f t="shared" si="87"/>
        <v/>
      </c>
      <c r="F93" s="169" t="str">
        <f t="shared" si="87"/>
        <v/>
      </c>
      <c r="G93" s="169">
        <f t="shared" si="87"/>
        <v>0</v>
      </c>
      <c r="H93" s="169">
        <f t="shared" si="87"/>
        <v>0</v>
      </c>
      <c r="I93" s="169">
        <f t="shared" si="87"/>
        <v>0</v>
      </c>
      <c r="J93" s="169" t="str">
        <f t="shared" si="87"/>
        <v/>
      </c>
      <c r="K93" s="169">
        <f t="shared" si="87"/>
        <v>0</v>
      </c>
      <c r="L93" s="169">
        <f t="shared" si="87"/>
        <v>0</v>
      </c>
      <c r="M93" s="169">
        <f t="shared" si="87"/>
        <v>0</v>
      </c>
      <c r="N93" s="169" t="str">
        <f t="shared" si="87"/>
        <v/>
      </c>
      <c r="O93" s="169" t="str">
        <f t="shared" si="87"/>
        <v/>
      </c>
      <c r="P93" s="169" t="str">
        <f t="shared" si="87"/>
        <v/>
      </c>
      <c r="Q93" s="169">
        <f t="shared" si="87"/>
        <v>0</v>
      </c>
      <c r="R93" s="169">
        <f t="shared" si="87"/>
        <v>0</v>
      </c>
      <c r="S93" s="169">
        <f t="shared" si="87"/>
        <v>0</v>
      </c>
      <c r="T93" s="169" t="str">
        <f t="shared" si="87"/>
        <v/>
      </c>
      <c r="U93" s="169">
        <f t="shared" si="87"/>
        <v>0</v>
      </c>
      <c r="V93" s="169">
        <f t="shared" si="87"/>
        <v>0</v>
      </c>
      <c r="W93" s="169">
        <f t="shared" si="87"/>
        <v>0</v>
      </c>
      <c r="X93" s="169" t="str">
        <f t="shared" si="87"/>
        <v/>
      </c>
      <c r="Y93" s="169" t="str">
        <f t="shared" si="87"/>
        <v/>
      </c>
      <c r="Z93" s="169" t="str">
        <f t="shared" si="87"/>
        <v/>
      </c>
      <c r="AA93" s="169" t="str">
        <f t="shared" si="87"/>
        <v/>
      </c>
      <c r="AB93" s="169" t="str">
        <f t="shared" si="87"/>
        <v/>
      </c>
      <c r="AC93" s="169" t="str">
        <f t="shared" si="87"/>
        <v/>
      </c>
      <c r="AD93" s="169" t="str">
        <f t="shared" si="87"/>
        <v/>
      </c>
      <c r="AE93" s="169">
        <f>IF(AE13=$R32,$BD32*24,IF(AE13=$R33,$BD33*24,IF(AE13=$R34,$BD34*24,IF(AE13=$R35,$BD35*24,IF(AE13=$R36,$BD36*24,IF(AE13=$R37,$BD37*24,IF(AE13=$R38,$BD38*24,IF(AE13=$R39,$BD39*24,IF(AE13=$R40,$BD40*24,"")))))))))</f>
        <v>0</v>
      </c>
      <c r="AF93" s="169">
        <f>IF(AF13=$R32,$BD32*24,IF(AF13=$R33,$BD33*24,IF(AF13=$R34,$BD34*24,IF(AF13=$R35,$BD35*24,IF(AF13=$R36,$BD36*24,IF(AF13=$R37,$BD37*24,IF(AF13=$R38,$BD38*24,IF(AF13=$R39,$BD39*24,IF(AF13=$R40,$BD40*24,"")))))))))</f>
        <v>0</v>
      </c>
      <c r="AG93" s="169">
        <f>IF(AG13=$R32,$BD32*24,IF(AG13=$R33,$BD33*24,IF(AG13=$R34,$BD34*24,IF(AG13=$R35,$BD35*24,IF(AG13=$R36,$BD36*24,IF(AG13=$R37,$BD37*24,IF(AG13=$R38,$BD38*24,IF(AG13=$R39,$BD39*24,IF(AG13=$R40,$BD40*24,"")))))))))</f>
        <v>0</v>
      </c>
      <c r="AH93" s="148">
        <f>SUM(C93:AG93)</f>
        <v>0</v>
      </c>
      <c r="AI93" s="133"/>
      <c r="AJ93" s="170"/>
      <c r="AK93" s="133"/>
      <c r="AL93" s="133"/>
    </row>
    <row r="94" spans="1:38" ht="15.95" hidden="1" customHeight="1" x14ac:dyDescent="0.25">
      <c r="A94" s="153"/>
      <c r="B94" s="167" t="s">
        <v>59</v>
      </c>
      <c r="C94" s="141">
        <f t="shared" ref="C94:AG94" si="88">IF(C13="V",$C36,IF(C13="PR",$C38,0))</f>
        <v>0</v>
      </c>
      <c r="D94" s="141">
        <f t="shared" si="88"/>
        <v>0</v>
      </c>
      <c r="E94" s="141">
        <f t="shared" si="88"/>
        <v>0</v>
      </c>
      <c r="F94" s="141">
        <f t="shared" si="88"/>
        <v>0</v>
      </c>
      <c r="G94" s="141">
        <f t="shared" si="88"/>
        <v>0</v>
      </c>
      <c r="H94" s="141">
        <f t="shared" si="88"/>
        <v>0</v>
      </c>
      <c r="I94" s="141">
        <f t="shared" si="88"/>
        <v>0</v>
      </c>
      <c r="J94" s="141">
        <f t="shared" si="88"/>
        <v>0</v>
      </c>
      <c r="K94" s="141">
        <f t="shared" si="88"/>
        <v>0</v>
      </c>
      <c r="L94" s="141">
        <f t="shared" si="88"/>
        <v>0</v>
      </c>
      <c r="M94" s="141">
        <f t="shared" si="88"/>
        <v>0</v>
      </c>
      <c r="N94" s="141">
        <f t="shared" si="88"/>
        <v>0</v>
      </c>
      <c r="O94" s="141">
        <f t="shared" si="88"/>
        <v>0</v>
      </c>
      <c r="P94" s="141">
        <f t="shared" si="88"/>
        <v>0</v>
      </c>
      <c r="Q94" s="141">
        <f t="shared" si="88"/>
        <v>0</v>
      </c>
      <c r="R94" s="141">
        <f t="shared" si="88"/>
        <v>0</v>
      </c>
      <c r="S94" s="141">
        <f t="shared" si="88"/>
        <v>0</v>
      </c>
      <c r="T94" s="141">
        <f t="shared" si="88"/>
        <v>0</v>
      </c>
      <c r="U94" s="141">
        <f t="shared" si="88"/>
        <v>0</v>
      </c>
      <c r="V94" s="141">
        <f t="shared" si="88"/>
        <v>0</v>
      </c>
      <c r="W94" s="141">
        <f t="shared" si="88"/>
        <v>0</v>
      </c>
      <c r="X94" s="141">
        <f t="shared" si="88"/>
        <v>0</v>
      </c>
      <c r="Y94" s="141">
        <f t="shared" si="88"/>
        <v>0</v>
      </c>
      <c r="Z94" s="141">
        <f t="shared" si="88"/>
        <v>0</v>
      </c>
      <c r="AA94" s="141">
        <f t="shared" si="88"/>
        <v>0</v>
      </c>
      <c r="AB94" s="141">
        <f t="shared" si="88"/>
        <v>0</v>
      </c>
      <c r="AC94" s="141">
        <f t="shared" si="88"/>
        <v>0</v>
      </c>
      <c r="AD94" s="141">
        <f t="shared" si="88"/>
        <v>0</v>
      </c>
      <c r="AE94" s="141">
        <f t="shared" si="88"/>
        <v>0</v>
      </c>
      <c r="AF94" s="141">
        <f t="shared" si="88"/>
        <v>0</v>
      </c>
      <c r="AG94" s="141">
        <f t="shared" si="88"/>
        <v>0</v>
      </c>
      <c r="AH94" s="231">
        <f>SUM(C94:AG94)</f>
        <v>0</v>
      </c>
      <c r="AI94" s="231"/>
      <c r="AJ94" s="170" t="s">
        <v>12</v>
      </c>
      <c r="AK94" s="133"/>
      <c r="AL94" s="133"/>
    </row>
    <row r="95" spans="1:38" ht="15.95" hidden="1" customHeight="1" x14ac:dyDescent="0.25">
      <c r="A95" s="150" t="s">
        <v>60</v>
      </c>
      <c r="B95" s="167" t="s">
        <v>61</v>
      </c>
      <c r="C95" s="151">
        <f t="shared" ref="C95:AD95" si="89">IF(C13=$R32,$BC32,IF(C13=$R33,$BC33,IF(C13=$R34,$BC34,IF(C13=$R35,$BC35,IF(C13=$R36,$BC36,IF(C13=$R37,$BC37,IF(C13=$R38,$BC38,IF(C13=$R39,$BC39,IF(C13=$R40,$BC40,0)))))))))</f>
        <v>12</v>
      </c>
      <c r="D95" s="151">
        <f t="shared" si="89"/>
        <v>12</v>
      </c>
      <c r="E95" s="151">
        <f t="shared" si="89"/>
        <v>0</v>
      </c>
      <c r="F95" s="151">
        <f t="shared" si="89"/>
        <v>0</v>
      </c>
      <c r="G95" s="151">
        <f t="shared" si="89"/>
        <v>12</v>
      </c>
      <c r="H95" s="151">
        <f t="shared" si="89"/>
        <v>12</v>
      </c>
      <c r="I95" s="151">
        <f t="shared" si="89"/>
        <v>12</v>
      </c>
      <c r="J95" s="151">
        <f t="shared" si="89"/>
        <v>0</v>
      </c>
      <c r="K95" s="151">
        <f t="shared" si="89"/>
        <v>12</v>
      </c>
      <c r="L95" s="151">
        <f t="shared" si="89"/>
        <v>12</v>
      </c>
      <c r="M95" s="151">
        <f t="shared" si="89"/>
        <v>12</v>
      </c>
      <c r="N95" s="151">
        <f t="shared" si="89"/>
        <v>0</v>
      </c>
      <c r="O95" s="151">
        <f t="shared" si="89"/>
        <v>0</v>
      </c>
      <c r="P95" s="151">
        <f t="shared" si="89"/>
        <v>0</v>
      </c>
      <c r="Q95" s="151">
        <f t="shared" si="89"/>
        <v>12</v>
      </c>
      <c r="R95" s="151">
        <f t="shared" si="89"/>
        <v>12</v>
      </c>
      <c r="S95" s="151">
        <f t="shared" si="89"/>
        <v>11.999999999999998</v>
      </c>
      <c r="T95" s="151">
        <f t="shared" si="89"/>
        <v>0</v>
      </c>
      <c r="U95" s="151">
        <f t="shared" si="89"/>
        <v>12</v>
      </c>
      <c r="V95" s="151">
        <f t="shared" si="89"/>
        <v>12</v>
      </c>
      <c r="W95" s="151">
        <f t="shared" si="89"/>
        <v>12</v>
      </c>
      <c r="X95" s="151">
        <f t="shared" si="89"/>
        <v>0</v>
      </c>
      <c r="Y95" s="151">
        <f t="shared" si="89"/>
        <v>0</v>
      </c>
      <c r="Z95" s="151">
        <f t="shared" si="89"/>
        <v>0</v>
      </c>
      <c r="AA95" s="151">
        <f t="shared" si="89"/>
        <v>0</v>
      </c>
      <c r="AB95" s="151">
        <f t="shared" si="89"/>
        <v>0</v>
      </c>
      <c r="AC95" s="151">
        <f t="shared" si="89"/>
        <v>0</v>
      </c>
      <c r="AD95" s="151">
        <f t="shared" si="89"/>
        <v>0</v>
      </c>
      <c r="AE95" s="151">
        <f>IF(AE13=$R32,$BC32,IF(AE13=$R33,$BC33,IF(AE13=$R34,$BC34,IF(AE13=$R35,$BC35,IF(AE13=$R36,$BC36,IF(AE13=$R37,$BC37,IF(AE13=$R38,$BC38,IF(AE13=$R39,$BC39,IF(AE13=$R40,$BC40,0)))))))))</f>
        <v>12</v>
      </c>
      <c r="AF95" s="151">
        <f>IF(AF13=$R32,$BC32,IF(AF13=$R33,$BC33,IF(AF13=$R34,$BC34,IF(AF13=$R35,$BC35,IF(AF13=$R36,$BC36,IF(AF13=$R37,$BC37,IF(AF13=$R38,$BC38,IF(AF13=$R39,$BC39,IF(AF13=$R40,$BC40,0)))))))))</f>
        <v>11.999999999999998</v>
      </c>
      <c r="AG95" s="151">
        <f>IF(AG13=$R32,$BC32,IF(AG13=$R33,$BC33,IF(AG13=$R34,$BC34,IF(AG13=$R35,$BC35,IF(AG13=$R36,$BC36,IF(AG13=$R37,$BC37,IF(AG13=$R38,$BC38,IF(AG13=$R39,$BC39,IF(AG13=$R40,$BC40,0)))))))))</f>
        <v>11.999999999999998</v>
      </c>
      <c r="AH95" s="226">
        <f>SUM(C95:AG95)</f>
        <v>204</v>
      </c>
      <c r="AI95" s="226"/>
      <c r="AJ95" s="175" t="s">
        <v>62</v>
      </c>
      <c r="AK95" s="133" t="s">
        <v>12</v>
      </c>
      <c r="AL95" s="133"/>
    </row>
    <row r="96" spans="1:38" ht="15.95" hidden="1" customHeight="1" x14ac:dyDescent="0.25">
      <c r="A96" s="153" t="s">
        <v>48</v>
      </c>
      <c r="B96" s="149" t="s">
        <v>63</v>
      </c>
      <c r="C96" s="141" t="b">
        <f t="shared" ref="C96:AG96" si="90">IF(C46=1,IF(C91&lt;C92,C95,0))</f>
        <v>0</v>
      </c>
      <c r="D96" s="141" t="b">
        <f t="shared" si="90"/>
        <v>0</v>
      </c>
      <c r="E96" s="141" t="b">
        <f t="shared" si="90"/>
        <v>0</v>
      </c>
      <c r="F96" s="141" t="b">
        <f t="shared" si="90"/>
        <v>0</v>
      </c>
      <c r="G96" s="141" t="b">
        <f t="shared" si="90"/>
        <v>0</v>
      </c>
      <c r="H96" s="141">
        <f t="shared" si="90"/>
        <v>12</v>
      </c>
      <c r="I96" s="141">
        <f t="shared" si="90"/>
        <v>12</v>
      </c>
      <c r="J96" s="141" t="b">
        <f t="shared" si="90"/>
        <v>0</v>
      </c>
      <c r="K96" s="141" t="b">
        <f t="shared" si="90"/>
        <v>0</v>
      </c>
      <c r="L96" s="141" t="b">
        <f t="shared" si="90"/>
        <v>0</v>
      </c>
      <c r="M96" s="141" t="b">
        <f t="shared" si="90"/>
        <v>0</v>
      </c>
      <c r="N96" s="141" t="b">
        <f t="shared" si="90"/>
        <v>0</v>
      </c>
      <c r="O96" s="141">
        <f t="shared" si="90"/>
        <v>0</v>
      </c>
      <c r="P96" s="141">
        <f t="shared" si="90"/>
        <v>0</v>
      </c>
      <c r="Q96" s="141" t="b">
        <f t="shared" si="90"/>
        <v>0</v>
      </c>
      <c r="R96" s="141" t="b">
        <f t="shared" si="90"/>
        <v>0</v>
      </c>
      <c r="S96" s="141" t="b">
        <f t="shared" si="90"/>
        <v>0</v>
      </c>
      <c r="T96" s="141" t="b">
        <f t="shared" si="90"/>
        <v>0</v>
      </c>
      <c r="U96" s="141" t="b">
        <f t="shared" si="90"/>
        <v>0</v>
      </c>
      <c r="V96" s="141">
        <f t="shared" si="90"/>
        <v>12</v>
      </c>
      <c r="W96" s="141">
        <f t="shared" si="90"/>
        <v>12</v>
      </c>
      <c r="X96" s="141" t="b">
        <f t="shared" si="90"/>
        <v>0</v>
      </c>
      <c r="Y96" s="141" t="b">
        <f t="shared" si="90"/>
        <v>0</v>
      </c>
      <c r="Z96" s="141" t="b">
        <f t="shared" si="90"/>
        <v>0</v>
      </c>
      <c r="AA96" s="141" t="b">
        <f t="shared" si="90"/>
        <v>0</v>
      </c>
      <c r="AB96" s="141" t="b">
        <f t="shared" si="90"/>
        <v>0</v>
      </c>
      <c r="AC96" s="141">
        <f t="shared" si="90"/>
        <v>0</v>
      </c>
      <c r="AD96" s="141">
        <f t="shared" si="90"/>
        <v>0</v>
      </c>
      <c r="AE96" s="141" t="b">
        <f t="shared" si="90"/>
        <v>0</v>
      </c>
      <c r="AF96" s="141" t="b">
        <f t="shared" si="90"/>
        <v>0</v>
      </c>
      <c r="AG96" s="141" t="b">
        <f t="shared" si="90"/>
        <v>0</v>
      </c>
      <c r="AH96" s="154" t="s">
        <v>12</v>
      </c>
      <c r="AI96" s="133"/>
      <c r="AJ96" s="170"/>
      <c r="AK96" s="133"/>
      <c r="AL96" s="133"/>
    </row>
    <row r="97" spans="1:57" ht="15.95" hidden="1" customHeight="1" x14ac:dyDescent="0.25">
      <c r="A97" s="176"/>
      <c r="B97" s="149" t="s">
        <v>64</v>
      </c>
      <c r="C97" s="141">
        <f t="shared" ref="C97:AG97" si="91">IF(C46=1,IF(C91&gt;C92,24-C91,0),0)</f>
        <v>0</v>
      </c>
      <c r="D97" s="141">
        <f t="shared" si="91"/>
        <v>0</v>
      </c>
      <c r="E97" s="141">
        <f t="shared" si="91"/>
        <v>0</v>
      </c>
      <c r="F97" s="141">
        <f t="shared" si="91"/>
        <v>0</v>
      </c>
      <c r="G97" s="141">
        <f t="shared" si="91"/>
        <v>0</v>
      </c>
      <c r="H97" s="141">
        <f t="shared" si="91"/>
        <v>0</v>
      </c>
      <c r="I97" s="141">
        <f t="shared" si="91"/>
        <v>0</v>
      </c>
      <c r="J97" s="141">
        <f t="shared" si="91"/>
        <v>0</v>
      </c>
      <c r="K97" s="141">
        <f t="shared" si="91"/>
        <v>0</v>
      </c>
      <c r="L97" s="141">
        <f t="shared" si="91"/>
        <v>0</v>
      </c>
      <c r="M97" s="141">
        <f t="shared" si="91"/>
        <v>0</v>
      </c>
      <c r="N97" s="141">
        <f t="shared" si="91"/>
        <v>0</v>
      </c>
      <c r="O97" s="141">
        <f t="shared" si="91"/>
        <v>0</v>
      </c>
      <c r="P97" s="141">
        <f t="shared" si="91"/>
        <v>0</v>
      </c>
      <c r="Q97" s="141">
        <f t="shared" si="91"/>
        <v>0</v>
      </c>
      <c r="R97" s="141">
        <f t="shared" si="91"/>
        <v>0</v>
      </c>
      <c r="S97" s="141">
        <f t="shared" si="91"/>
        <v>0</v>
      </c>
      <c r="T97" s="141">
        <f t="shared" si="91"/>
        <v>0</v>
      </c>
      <c r="U97" s="141">
        <f t="shared" si="91"/>
        <v>0</v>
      </c>
      <c r="V97" s="141">
        <f t="shared" si="91"/>
        <v>0</v>
      </c>
      <c r="W97" s="141">
        <f t="shared" si="91"/>
        <v>0</v>
      </c>
      <c r="X97" s="141">
        <f t="shared" si="91"/>
        <v>0</v>
      </c>
      <c r="Y97" s="141">
        <f t="shared" si="91"/>
        <v>0</v>
      </c>
      <c r="Z97" s="141">
        <f t="shared" si="91"/>
        <v>0</v>
      </c>
      <c r="AA97" s="141">
        <f t="shared" si="91"/>
        <v>0</v>
      </c>
      <c r="AB97" s="141">
        <f t="shared" si="91"/>
        <v>0</v>
      </c>
      <c r="AC97" s="141">
        <f t="shared" si="91"/>
        <v>0</v>
      </c>
      <c r="AD97" s="141">
        <f t="shared" si="91"/>
        <v>0</v>
      </c>
      <c r="AE97" s="141">
        <f t="shared" si="91"/>
        <v>0</v>
      </c>
      <c r="AF97" s="141">
        <f t="shared" si="91"/>
        <v>0</v>
      </c>
      <c r="AG97" s="141">
        <f t="shared" si="91"/>
        <v>0</v>
      </c>
      <c r="AH97" s="154" t="s">
        <v>12</v>
      </c>
      <c r="AI97" s="133"/>
      <c r="AJ97" s="170"/>
      <c r="AK97" s="133"/>
      <c r="AL97" s="133"/>
    </row>
    <row r="98" spans="1:57" ht="15.95" hidden="1" customHeight="1" x14ac:dyDescent="0.25">
      <c r="A98" s="176"/>
      <c r="B98" s="149" t="s">
        <v>65</v>
      </c>
      <c r="C98" s="141">
        <f t="shared" ref="C98:AG98" si="92">IF(D46=1,IF(C91&gt;C92,C92,0),0)</f>
        <v>0</v>
      </c>
      <c r="D98" s="141">
        <f t="shared" si="92"/>
        <v>0</v>
      </c>
      <c r="E98" s="141">
        <f t="shared" si="92"/>
        <v>0</v>
      </c>
      <c r="F98" s="141">
        <f t="shared" si="92"/>
        <v>0</v>
      </c>
      <c r="G98" s="141">
        <f t="shared" si="92"/>
        <v>0</v>
      </c>
      <c r="H98" s="141">
        <f t="shared" si="92"/>
        <v>0</v>
      </c>
      <c r="I98" s="141">
        <f t="shared" si="92"/>
        <v>0</v>
      </c>
      <c r="J98" s="141">
        <f t="shared" si="92"/>
        <v>0</v>
      </c>
      <c r="K98" s="141">
        <f t="shared" si="92"/>
        <v>0</v>
      </c>
      <c r="L98" s="141">
        <f t="shared" si="92"/>
        <v>0</v>
      </c>
      <c r="M98" s="141">
        <f t="shared" si="92"/>
        <v>0</v>
      </c>
      <c r="N98" s="141">
        <f t="shared" si="92"/>
        <v>0</v>
      </c>
      <c r="O98" s="141">
        <f t="shared" si="92"/>
        <v>0</v>
      </c>
      <c r="P98" s="141">
        <f t="shared" si="92"/>
        <v>0</v>
      </c>
      <c r="Q98" s="141">
        <f t="shared" si="92"/>
        <v>0</v>
      </c>
      <c r="R98" s="141">
        <f t="shared" si="92"/>
        <v>0</v>
      </c>
      <c r="S98" s="141">
        <f t="shared" si="92"/>
        <v>0</v>
      </c>
      <c r="T98" s="141">
        <f t="shared" si="92"/>
        <v>0</v>
      </c>
      <c r="U98" s="141">
        <f t="shared" si="92"/>
        <v>0</v>
      </c>
      <c r="V98" s="141">
        <f t="shared" si="92"/>
        <v>0</v>
      </c>
      <c r="W98" s="141">
        <f t="shared" si="92"/>
        <v>0</v>
      </c>
      <c r="X98" s="141">
        <f>IF(Y46=1,IF(X91&gt;X92,X92,0),0)</f>
        <v>0</v>
      </c>
      <c r="Y98" s="141">
        <f t="shared" si="92"/>
        <v>0</v>
      </c>
      <c r="Z98" s="141">
        <f t="shared" si="92"/>
        <v>0</v>
      </c>
      <c r="AA98" s="141">
        <f t="shared" si="92"/>
        <v>0</v>
      </c>
      <c r="AB98" s="141">
        <f t="shared" si="92"/>
        <v>0</v>
      </c>
      <c r="AC98" s="141">
        <f t="shared" si="92"/>
        <v>0</v>
      </c>
      <c r="AD98" s="141">
        <f t="shared" si="92"/>
        <v>0</v>
      </c>
      <c r="AE98" s="141">
        <f t="shared" si="92"/>
        <v>0</v>
      </c>
      <c r="AF98" s="141">
        <f t="shared" si="92"/>
        <v>0</v>
      </c>
      <c r="AG98" s="141">
        <f t="shared" si="92"/>
        <v>0</v>
      </c>
      <c r="AH98" s="154" t="s">
        <v>12</v>
      </c>
      <c r="AI98" s="133"/>
      <c r="AJ98" s="170"/>
      <c r="AK98" s="133"/>
      <c r="AL98" s="133"/>
    </row>
    <row r="99" spans="1:57" ht="15.95" hidden="1" customHeight="1" x14ac:dyDescent="0.25">
      <c r="A99" s="176"/>
      <c r="B99" s="149" t="s">
        <v>67</v>
      </c>
      <c r="C99" s="178">
        <f t="shared" ref="C99:AG99" si="93">SUM(C96:C98)</f>
        <v>0</v>
      </c>
      <c r="D99" s="178">
        <f t="shared" si="93"/>
        <v>0</v>
      </c>
      <c r="E99" s="178">
        <f t="shared" si="93"/>
        <v>0</v>
      </c>
      <c r="F99" s="178">
        <f t="shared" si="93"/>
        <v>0</v>
      </c>
      <c r="G99" s="178">
        <f t="shared" si="93"/>
        <v>0</v>
      </c>
      <c r="H99" s="178">
        <f t="shared" si="93"/>
        <v>12</v>
      </c>
      <c r="I99" s="178">
        <f t="shared" si="93"/>
        <v>12</v>
      </c>
      <c r="J99" s="178">
        <f t="shared" si="93"/>
        <v>0</v>
      </c>
      <c r="K99" s="178">
        <f t="shared" si="93"/>
        <v>0</v>
      </c>
      <c r="L99" s="178">
        <f t="shared" si="93"/>
        <v>0</v>
      </c>
      <c r="M99" s="178">
        <f t="shared" si="93"/>
        <v>0</v>
      </c>
      <c r="N99" s="178">
        <f t="shared" si="93"/>
        <v>0</v>
      </c>
      <c r="O99" s="178">
        <f t="shared" si="93"/>
        <v>0</v>
      </c>
      <c r="P99" s="178">
        <f t="shared" si="93"/>
        <v>0</v>
      </c>
      <c r="Q99" s="178">
        <f t="shared" si="93"/>
        <v>0</v>
      </c>
      <c r="R99" s="178">
        <f t="shared" si="93"/>
        <v>0</v>
      </c>
      <c r="S99" s="178">
        <f t="shared" si="93"/>
        <v>0</v>
      </c>
      <c r="T99" s="178">
        <f t="shared" si="93"/>
        <v>0</v>
      </c>
      <c r="U99" s="178">
        <f t="shared" si="93"/>
        <v>0</v>
      </c>
      <c r="V99" s="178">
        <f t="shared" si="93"/>
        <v>12</v>
      </c>
      <c r="W99" s="178">
        <f t="shared" si="93"/>
        <v>12</v>
      </c>
      <c r="X99" s="178">
        <f t="shared" si="93"/>
        <v>0</v>
      </c>
      <c r="Y99" s="178">
        <f t="shared" si="93"/>
        <v>0</v>
      </c>
      <c r="Z99" s="178">
        <f t="shared" si="93"/>
        <v>0</v>
      </c>
      <c r="AA99" s="178">
        <f t="shared" si="93"/>
        <v>0</v>
      </c>
      <c r="AB99" s="178">
        <f t="shared" si="93"/>
        <v>0</v>
      </c>
      <c r="AC99" s="178">
        <f t="shared" si="93"/>
        <v>0</v>
      </c>
      <c r="AD99" s="178">
        <f t="shared" si="93"/>
        <v>0</v>
      </c>
      <c r="AE99" s="178">
        <f t="shared" si="93"/>
        <v>0</v>
      </c>
      <c r="AF99" s="178">
        <f t="shared" si="93"/>
        <v>0</v>
      </c>
      <c r="AG99" s="178">
        <f t="shared" si="93"/>
        <v>0</v>
      </c>
      <c r="AH99" s="154" t="s">
        <v>12</v>
      </c>
      <c r="AI99" s="133"/>
      <c r="AJ99" s="170"/>
      <c r="AK99" s="133"/>
      <c r="AL99" s="133"/>
    </row>
    <row r="100" spans="1:57" ht="15.95" hidden="1" customHeight="1" x14ac:dyDescent="0.25">
      <c r="A100" s="177"/>
      <c r="B100" s="160" t="s">
        <v>68</v>
      </c>
      <c r="C100" s="161">
        <f t="shared" ref="C100:AG100" si="94">IF(C13="V",IF(C13="",0,1),0)</f>
        <v>0</v>
      </c>
      <c r="D100" s="161">
        <f t="shared" si="94"/>
        <v>0</v>
      </c>
      <c r="E100" s="161">
        <f t="shared" si="94"/>
        <v>0</v>
      </c>
      <c r="F100" s="161">
        <f t="shared" si="94"/>
        <v>0</v>
      </c>
      <c r="G100" s="161">
        <f t="shared" si="94"/>
        <v>0</v>
      </c>
      <c r="H100" s="161">
        <f t="shared" si="94"/>
        <v>0</v>
      </c>
      <c r="I100" s="161">
        <f t="shared" si="94"/>
        <v>0</v>
      </c>
      <c r="J100" s="161">
        <f t="shared" si="94"/>
        <v>0</v>
      </c>
      <c r="K100" s="161">
        <f t="shared" si="94"/>
        <v>0</v>
      </c>
      <c r="L100" s="161">
        <f t="shared" si="94"/>
        <v>0</v>
      </c>
      <c r="M100" s="161">
        <f t="shared" si="94"/>
        <v>0</v>
      </c>
      <c r="N100" s="161">
        <f t="shared" si="94"/>
        <v>0</v>
      </c>
      <c r="O100" s="161">
        <f t="shared" si="94"/>
        <v>0</v>
      </c>
      <c r="P100" s="161">
        <f t="shared" si="94"/>
        <v>0</v>
      </c>
      <c r="Q100" s="161">
        <f t="shared" si="94"/>
        <v>0</v>
      </c>
      <c r="R100" s="161">
        <f t="shared" si="94"/>
        <v>0</v>
      </c>
      <c r="S100" s="161">
        <f t="shared" si="94"/>
        <v>0</v>
      </c>
      <c r="T100" s="161">
        <f t="shared" si="94"/>
        <v>0</v>
      </c>
      <c r="U100" s="161">
        <f t="shared" si="94"/>
        <v>0</v>
      </c>
      <c r="V100" s="161">
        <f t="shared" si="94"/>
        <v>0</v>
      </c>
      <c r="W100" s="161">
        <f t="shared" si="94"/>
        <v>0</v>
      </c>
      <c r="X100" s="161">
        <f t="shared" si="94"/>
        <v>0</v>
      </c>
      <c r="Y100" s="161">
        <f t="shared" si="94"/>
        <v>0</v>
      </c>
      <c r="Z100" s="161">
        <f t="shared" si="94"/>
        <v>0</v>
      </c>
      <c r="AA100" s="161">
        <f t="shared" si="94"/>
        <v>0</v>
      </c>
      <c r="AB100" s="161">
        <f t="shared" si="94"/>
        <v>0</v>
      </c>
      <c r="AC100" s="161">
        <f t="shared" si="94"/>
        <v>0</v>
      </c>
      <c r="AD100" s="161">
        <f t="shared" si="94"/>
        <v>0</v>
      </c>
      <c r="AE100" s="161">
        <f t="shared" si="94"/>
        <v>0</v>
      </c>
      <c r="AF100" s="161">
        <f t="shared" si="94"/>
        <v>0</v>
      </c>
      <c r="AG100" s="161">
        <f t="shared" si="94"/>
        <v>0</v>
      </c>
      <c r="AH100" s="154" t="s">
        <v>12</v>
      </c>
      <c r="AI100" s="133"/>
      <c r="AJ100" s="170"/>
      <c r="AK100" s="133"/>
      <c r="AL100" s="133"/>
    </row>
    <row r="101" spans="1:57" ht="15.95" hidden="1" customHeight="1" x14ac:dyDescent="0.25">
      <c r="A101" s="173"/>
      <c r="B101" s="130" t="s">
        <v>16</v>
      </c>
      <c r="C101" s="179">
        <f t="shared" ref="C101:AG101" si="95">IF(C13="PR",IF(C13="",0,1),0)</f>
        <v>0</v>
      </c>
      <c r="D101" s="179">
        <f t="shared" si="95"/>
        <v>0</v>
      </c>
      <c r="E101" s="179">
        <f t="shared" si="95"/>
        <v>0</v>
      </c>
      <c r="F101" s="179">
        <f t="shared" si="95"/>
        <v>0</v>
      </c>
      <c r="G101" s="179">
        <f t="shared" si="95"/>
        <v>0</v>
      </c>
      <c r="H101" s="179">
        <f t="shared" si="95"/>
        <v>0</v>
      </c>
      <c r="I101" s="179">
        <f t="shared" si="95"/>
        <v>0</v>
      </c>
      <c r="J101" s="179">
        <f t="shared" si="95"/>
        <v>0</v>
      </c>
      <c r="K101" s="179">
        <f t="shared" si="95"/>
        <v>0</v>
      </c>
      <c r="L101" s="179">
        <f t="shared" si="95"/>
        <v>0</v>
      </c>
      <c r="M101" s="179">
        <f t="shared" si="95"/>
        <v>0</v>
      </c>
      <c r="N101" s="179">
        <f t="shared" si="95"/>
        <v>0</v>
      </c>
      <c r="O101" s="179">
        <f t="shared" si="95"/>
        <v>0</v>
      </c>
      <c r="P101" s="179">
        <f t="shared" si="95"/>
        <v>0</v>
      </c>
      <c r="Q101" s="179">
        <f t="shared" si="95"/>
        <v>0</v>
      </c>
      <c r="R101" s="179">
        <f t="shared" si="95"/>
        <v>0</v>
      </c>
      <c r="S101" s="179">
        <f t="shared" si="95"/>
        <v>0</v>
      </c>
      <c r="T101" s="179">
        <f t="shared" si="95"/>
        <v>0</v>
      </c>
      <c r="U101" s="179">
        <f t="shared" si="95"/>
        <v>0</v>
      </c>
      <c r="V101" s="179">
        <f t="shared" si="95"/>
        <v>0</v>
      </c>
      <c r="W101" s="179">
        <f t="shared" si="95"/>
        <v>0</v>
      </c>
      <c r="X101" s="179">
        <f t="shared" si="95"/>
        <v>0</v>
      </c>
      <c r="Y101" s="179">
        <f t="shared" si="95"/>
        <v>0</v>
      </c>
      <c r="Z101" s="179">
        <f t="shared" si="95"/>
        <v>0</v>
      </c>
      <c r="AA101" s="179">
        <f t="shared" si="95"/>
        <v>0</v>
      </c>
      <c r="AB101" s="179">
        <f t="shared" si="95"/>
        <v>0</v>
      </c>
      <c r="AC101" s="179">
        <f t="shared" si="95"/>
        <v>0</v>
      </c>
      <c r="AD101" s="179">
        <f t="shared" si="95"/>
        <v>0</v>
      </c>
      <c r="AE101" s="179">
        <f t="shared" si="95"/>
        <v>0</v>
      </c>
      <c r="AF101" s="179">
        <f t="shared" si="95"/>
        <v>0</v>
      </c>
      <c r="AG101" s="179">
        <f t="shared" si="95"/>
        <v>0</v>
      </c>
      <c r="AH101" s="229">
        <f>SUM(C101:AG101)</f>
        <v>0</v>
      </c>
      <c r="AI101" s="229"/>
      <c r="AJ101" s="174" t="s">
        <v>69</v>
      </c>
      <c r="AK101" s="133"/>
      <c r="AL101" s="133"/>
    </row>
    <row r="102" spans="1:57" ht="15.95" hidden="1" customHeight="1" x14ac:dyDescent="0.25">
      <c r="A102" s="164" t="s">
        <v>79</v>
      </c>
      <c r="B102" s="165" t="s">
        <v>29</v>
      </c>
      <c r="C102" s="141" t="str">
        <f t="shared" ref="C102:AG102" si="96">IF(C14=$R32,$S32*24,IF(C14=$R33,$S33*24,IF(C14=$R34,$S34*24,IF(C14=$R35,$S35*24,IF(C14=$R36,$S36*24,IF(C14=$R37,$S37*24,IF(C14=$R38,$S38*24,IF(C14=$R39,$S39*24,IF(C14=$R40,$S40*24,"")))))))))</f>
        <v/>
      </c>
      <c r="D102" s="141" t="str">
        <f t="shared" si="96"/>
        <v/>
      </c>
      <c r="E102" s="141">
        <f t="shared" si="96"/>
        <v>18</v>
      </c>
      <c r="F102" s="141">
        <f t="shared" si="96"/>
        <v>18</v>
      </c>
      <c r="G102" s="141" t="str">
        <f t="shared" si="96"/>
        <v/>
      </c>
      <c r="H102" s="141" t="str">
        <f t="shared" si="96"/>
        <v/>
      </c>
      <c r="I102" s="141" t="str">
        <f t="shared" si="96"/>
        <v/>
      </c>
      <c r="J102" s="141">
        <f t="shared" si="96"/>
        <v>7</v>
      </c>
      <c r="K102" s="141">
        <f t="shared" si="96"/>
        <v>19</v>
      </c>
      <c r="L102" s="141" t="str">
        <f t="shared" si="96"/>
        <v/>
      </c>
      <c r="M102" s="141" t="str">
        <f t="shared" si="96"/>
        <v/>
      </c>
      <c r="N102" s="141">
        <f t="shared" si="96"/>
        <v>19</v>
      </c>
      <c r="O102" s="141">
        <f t="shared" si="96"/>
        <v>19</v>
      </c>
      <c r="P102" s="141">
        <f t="shared" si="96"/>
        <v>19</v>
      </c>
      <c r="Q102" s="141" t="str">
        <f t="shared" si="96"/>
        <v/>
      </c>
      <c r="R102" s="141">
        <f t="shared" si="96"/>
        <v>18</v>
      </c>
      <c r="S102" s="141">
        <f t="shared" si="96"/>
        <v>18</v>
      </c>
      <c r="T102" s="141">
        <f t="shared" si="96"/>
        <v>18</v>
      </c>
      <c r="U102" s="141" t="str">
        <f t="shared" si="96"/>
        <v/>
      </c>
      <c r="V102" s="141" t="str">
        <f t="shared" si="96"/>
        <v/>
      </c>
      <c r="W102" s="141" t="str">
        <f t="shared" si="96"/>
        <v/>
      </c>
      <c r="X102" s="141">
        <f t="shared" si="96"/>
        <v>18</v>
      </c>
      <c r="Y102" s="141">
        <f t="shared" si="96"/>
        <v>18</v>
      </c>
      <c r="Z102" s="141">
        <f t="shared" si="96"/>
        <v>19</v>
      </c>
      <c r="AA102" s="141">
        <f t="shared" si="96"/>
        <v>19</v>
      </c>
      <c r="AB102" s="141">
        <f t="shared" si="96"/>
        <v>19</v>
      </c>
      <c r="AC102" s="141" t="str">
        <f t="shared" si="96"/>
        <v/>
      </c>
      <c r="AD102" s="141" t="str">
        <f t="shared" si="96"/>
        <v/>
      </c>
      <c r="AE102" s="141">
        <f t="shared" si="96"/>
        <v>18</v>
      </c>
      <c r="AF102" s="141">
        <f t="shared" si="96"/>
        <v>18</v>
      </c>
      <c r="AG102" s="141" t="str">
        <f t="shared" si="96"/>
        <v/>
      </c>
      <c r="AH102" s="154" t="s">
        <v>12</v>
      </c>
      <c r="AI102" s="133"/>
      <c r="AJ102" s="170"/>
      <c r="AK102" s="133"/>
      <c r="AL102" s="133"/>
    </row>
    <row r="103" spans="1:57" ht="15.95" hidden="1" customHeight="1" x14ac:dyDescent="0.25">
      <c r="A103" s="166" t="s">
        <v>80</v>
      </c>
      <c r="B103" s="167" t="s">
        <v>30</v>
      </c>
      <c r="C103" s="141" t="str">
        <f t="shared" ref="C103:AG103" si="97">IF(C14=$R32,$V32*24,IF(C14=$R33,$V33*24,IF(C14=$R34,$V34*24,IF(C14=$R35,$V35*24,IF(C14=$R36,$V36*24,IF(C14=$R37,$V37*24,IF(C14=$R38,$V38*24,IF(C14=$R39,$V39*24,IF(C14=$R40,$V40*24,"")))))))))</f>
        <v/>
      </c>
      <c r="D103" s="141" t="str">
        <f t="shared" si="97"/>
        <v/>
      </c>
      <c r="E103" s="141">
        <f t="shared" si="97"/>
        <v>6</v>
      </c>
      <c r="F103" s="141">
        <f t="shared" si="97"/>
        <v>6</v>
      </c>
      <c r="G103" s="141" t="str">
        <f t="shared" si="97"/>
        <v/>
      </c>
      <c r="H103" s="141" t="str">
        <f t="shared" si="97"/>
        <v/>
      </c>
      <c r="I103" s="141" t="str">
        <f t="shared" si="97"/>
        <v/>
      </c>
      <c r="J103" s="141">
        <f t="shared" si="97"/>
        <v>19</v>
      </c>
      <c r="K103" s="141">
        <f t="shared" si="97"/>
        <v>7</v>
      </c>
      <c r="L103" s="141" t="str">
        <f t="shared" si="97"/>
        <v/>
      </c>
      <c r="M103" s="141" t="str">
        <f t="shared" si="97"/>
        <v/>
      </c>
      <c r="N103" s="141">
        <f t="shared" si="97"/>
        <v>7</v>
      </c>
      <c r="O103" s="141">
        <f t="shared" si="97"/>
        <v>7</v>
      </c>
      <c r="P103" s="141">
        <f t="shared" si="97"/>
        <v>7</v>
      </c>
      <c r="Q103" s="141" t="str">
        <f t="shared" si="97"/>
        <v/>
      </c>
      <c r="R103" s="141">
        <f t="shared" si="97"/>
        <v>6</v>
      </c>
      <c r="S103" s="141">
        <f t="shared" si="97"/>
        <v>6</v>
      </c>
      <c r="T103" s="141">
        <f t="shared" si="97"/>
        <v>6</v>
      </c>
      <c r="U103" s="141" t="str">
        <f t="shared" si="97"/>
        <v/>
      </c>
      <c r="V103" s="141" t="str">
        <f t="shared" si="97"/>
        <v/>
      </c>
      <c r="W103" s="141" t="str">
        <f t="shared" si="97"/>
        <v/>
      </c>
      <c r="X103" s="141">
        <f t="shared" si="97"/>
        <v>6</v>
      </c>
      <c r="Y103" s="141">
        <f t="shared" si="97"/>
        <v>6</v>
      </c>
      <c r="Z103" s="141">
        <f t="shared" si="97"/>
        <v>7</v>
      </c>
      <c r="AA103" s="141">
        <f t="shared" si="97"/>
        <v>7</v>
      </c>
      <c r="AB103" s="141">
        <f t="shared" si="97"/>
        <v>7</v>
      </c>
      <c r="AC103" s="141" t="str">
        <f t="shared" si="97"/>
        <v/>
      </c>
      <c r="AD103" s="141" t="str">
        <f t="shared" si="97"/>
        <v/>
      </c>
      <c r="AE103" s="141">
        <f t="shared" si="97"/>
        <v>6</v>
      </c>
      <c r="AF103" s="141">
        <f t="shared" si="97"/>
        <v>6</v>
      </c>
      <c r="AG103" s="141" t="str">
        <f t="shared" si="97"/>
        <v/>
      </c>
      <c r="AH103" s="154" t="s">
        <v>12</v>
      </c>
      <c r="AI103" s="133"/>
      <c r="AJ103" s="170"/>
      <c r="AK103" s="133"/>
      <c r="AL103" s="133"/>
    </row>
    <row r="104" spans="1:57" ht="15.95" hidden="1" customHeight="1" x14ac:dyDescent="0.25">
      <c r="A104" s="153"/>
      <c r="B104" s="168" t="s">
        <v>34</v>
      </c>
      <c r="C104" s="169" t="str">
        <f t="shared" ref="C104:AD104" si="98">IF(C14=$R32,$BD32*24,IF(C14=$R33,$BD33*24,IF(C14=$R34,$BD34*24,IF(C14=$R35,$BD35*24,IF(C14=$R36,$BD36*24,IF(C14=$R37,$BD37*24,IF(C14=$R38,$BD38*24,IF(C14=$R39,$BD39*24,IF(C14=$R40,$BD40*24,"")))))))))</f>
        <v/>
      </c>
      <c r="D104" s="169" t="str">
        <f t="shared" si="98"/>
        <v/>
      </c>
      <c r="E104" s="169">
        <f t="shared" si="98"/>
        <v>8</v>
      </c>
      <c r="F104" s="169">
        <f t="shared" si="98"/>
        <v>8</v>
      </c>
      <c r="G104" s="169" t="str">
        <f t="shared" si="98"/>
        <v/>
      </c>
      <c r="H104" s="169" t="str">
        <f t="shared" si="98"/>
        <v/>
      </c>
      <c r="I104" s="169" t="str">
        <f t="shared" si="98"/>
        <v/>
      </c>
      <c r="J104" s="169">
        <f t="shared" si="98"/>
        <v>0</v>
      </c>
      <c r="K104" s="169">
        <f t="shared" si="98"/>
        <v>8</v>
      </c>
      <c r="L104" s="169" t="str">
        <f t="shared" si="98"/>
        <v/>
      </c>
      <c r="M104" s="169" t="str">
        <f t="shared" si="98"/>
        <v/>
      </c>
      <c r="N104" s="169">
        <f t="shared" si="98"/>
        <v>8</v>
      </c>
      <c r="O104" s="169">
        <f t="shared" si="98"/>
        <v>8</v>
      </c>
      <c r="P104" s="169">
        <f t="shared" si="98"/>
        <v>8</v>
      </c>
      <c r="Q104" s="169" t="str">
        <f t="shared" si="98"/>
        <v/>
      </c>
      <c r="R104" s="169">
        <f t="shared" si="98"/>
        <v>8</v>
      </c>
      <c r="S104" s="169">
        <f t="shared" si="98"/>
        <v>8</v>
      </c>
      <c r="T104" s="169">
        <f t="shared" si="98"/>
        <v>8</v>
      </c>
      <c r="U104" s="169" t="str">
        <f t="shared" si="98"/>
        <v/>
      </c>
      <c r="V104" s="169" t="str">
        <f t="shared" si="98"/>
        <v/>
      </c>
      <c r="W104" s="169" t="str">
        <f t="shared" si="98"/>
        <v/>
      </c>
      <c r="X104" s="169">
        <f t="shared" si="98"/>
        <v>8</v>
      </c>
      <c r="Y104" s="169">
        <f t="shared" si="98"/>
        <v>8</v>
      </c>
      <c r="Z104" s="169">
        <f t="shared" si="98"/>
        <v>8</v>
      </c>
      <c r="AA104" s="169">
        <f t="shared" si="98"/>
        <v>8</v>
      </c>
      <c r="AB104" s="169">
        <f t="shared" si="98"/>
        <v>8</v>
      </c>
      <c r="AC104" s="169" t="str">
        <f t="shared" si="98"/>
        <v/>
      </c>
      <c r="AD104" s="169" t="str">
        <f t="shared" si="98"/>
        <v/>
      </c>
      <c r="AE104" s="169">
        <f>IF(AE14=$R32,$BD32*24,IF(AE14=$R33,$BD33*24,IF(AE14=$R34,$BD34*24,IF(AE14=$R35,$BD35*24,IF(AE14=$R36,$BD36*24,IF(AE14=$R37,$BD37*24,IF(AE14=$R38,$BD38*24,IF(AE14=$R39,$BD39*24,IF(AE14=$R40,$BD40*24,"")))))))))</f>
        <v>8</v>
      </c>
      <c r="AF104" s="169">
        <f>IF(AF14=$R32,$BD32*24,IF(AF14=$R33,$BD33*24,IF(AF14=$R34,$BD34*24,IF(AF14=$R35,$BD35*24,IF(AF14=$R36,$BD36*24,IF(AF14=$R37,$BD37*24,IF(AF14=$R38,$BD38*24,IF(AF14=$R39,$BD39*24,IF(AF14=$R40,$BD40*24,"")))))))))</f>
        <v>8</v>
      </c>
      <c r="AG104" s="169" t="str">
        <f>IF(AG14=$R32,$BD32*24,IF(AG14=$R33,$BD33*24,IF(AG14=$R34,$BD34*24,IF(AG14=$R35,$BD35*24,IF(AG14=$R36,$BD36*24,IF(AG14=$R37,$BD37*24,IF(AG14=$R38,$BD38*24,IF(AG14=$R39,$BD39*24,IF(AG14=$R40,$BD40*24,"")))))))))</f>
        <v/>
      </c>
      <c r="AH104" s="148">
        <f>SUM(C104:AG104)</f>
        <v>128</v>
      </c>
      <c r="AI104" s="133"/>
      <c r="AJ104" s="170"/>
      <c r="AK104" s="133"/>
      <c r="AL104" s="133"/>
    </row>
    <row r="105" spans="1:57" ht="15.95" hidden="1" customHeight="1" x14ac:dyDescent="0.25">
      <c r="A105" s="153"/>
      <c r="B105" s="167" t="s">
        <v>59</v>
      </c>
      <c r="C105" s="141">
        <f t="shared" ref="C105:AG105" si="99">IF(C14="V",$C36,IF(C14="PR",$C38,0))</f>
        <v>0</v>
      </c>
      <c r="D105" s="141">
        <f t="shared" si="99"/>
        <v>0</v>
      </c>
      <c r="E105" s="141">
        <f t="shared" si="99"/>
        <v>0</v>
      </c>
      <c r="F105" s="141">
        <f t="shared" si="99"/>
        <v>0</v>
      </c>
      <c r="G105" s="141">
        <f t="shared" si="99"/>
        <v>0</v>
      </c>
      <c r="H105" s="141">
        <f t="shared" si="99"/>
        <v>0</v>
      </c>
      <c r="I105" s="141">
        <f t="shared" si="99"/>
        <v>0</v>
      </c>
      <c r="J105" s="141">
        <f t="shared" si="99"/>
        <v>0</v>
      </c>
      <c r="K105" s="141">
        <f t="shared" si="99"/>
        <v>0</v>
      </c>
      <c r="L105" s="141">
        <f t="shared" si="99"/>
        <v>0</v>
      </c>
      <c r="M105" s="141">
        <f t="shared" si="99"/>
        <v>0</v>
      </c>
      <c r="N105" s="141">
        <f t="shared" si="99"/>
        <v>0</v>
      </c>
      <c r="O105" s="141">
        <f t="shared" si="99"/>
        <v>0</v>
      </c>
      <c r="P105" s="141">
        <f t="shared" si="99"/>
        <v>0</v>
      </c>
      <c r="Q105" s="141">
        <f t="shared" si="99"/>
        <v>0</v>
      </c>
      <c r="R105" s="141">
        <f t="shared" si="99"/>
        <v>0</v>
      </c>
      <c r="S105" s="141">
        <f t="shared" si="99"/>
        <v>0</v>
      </c>
      <c r="T105" s="141">
        <f t="shared" si="99"/>
        <v>0</v>
      </c>
      <c r="U105" s="141">
        <f t="shared" si="99"/>
        <v>0</v>
      </c>
      <c r="V105" s="141">
        <f t="shared" si="99"/>
        <v>0</v>
      </c>
      <c r="W105" s="141">
        <f t="shared" si="99"/>
        <v>0</v>
      </c>
      <c r="X105" s="141">
        <f t="shared" si="99"/>
        <v>0</v>
      </c>
      <c r="Y105" s="141">
        <f t="shared" si="99"/>
        <v>0</v>
      </c>
      <c r="Z105" s="141">
        <f t="shared" si="99"/>
        <v>0</v>
      </c>
      <c r="AA105" s="141">
        <f t="shared" si="99"/>
        <v>0</v>
      </c>
      <c r="AB105" s="141">
        <f t="shared" si="99"/>
        <v>0</v>
      </c>
      <c r="AC105" s="141">
        <f t="shared" si="99"/>
        <v>0</v>
      </c>
      <c r="AD105" s="141">
        <f t="shared" si="99"/>
        <v>0</v>
      </c>
      <c r="AE105" s="141">
        <f t="shared" si="99"/>
        <v>0</v>
      </c>
      <c r="AF105" s="141">
        <f t="shared" si="99"/>
        <v>0</v>
      </c>
      <c r="AG105" s="141">
        <f t="shared" si="99"/>
        <v>0</v>
      </c>
      <c r="AH105" s="226">
        <f>SUM(C105:AG105)</f>
        <v>0</v>
      </c>
      <c r="AI105" s="226"/>
      <c r="AJ105" s="230">
        <f>SUM(AH50+AH61+AH72+AH83+AH94+AH105)</f>
        <v>0</v>
      </c>
      <c r="AK105" s="230"/>
      <c r="AL105" s="133" t="s">
        <v>56</v>
      </c>
      <c r="AM105" s="1" t="s">
        <v>12</v>
      </c>
    </row>
    <row r="106" spans="1:57" ht="15.95" hidden="1" customHeight="1" x14ac:dyDescent="0.25">
      <c r="A106" s="150" t="s">
        <v>60</v>
      </c>
      <c r="B106" s="167" t="s">
        <v>61</v>
      </c>
      <c r="C106" s="151">
        <f t="shared" ref="C106:AD106" si="100">IF(C14=$R32,$BC32,IF(C14=$R33,$BC33,IF(C14=$R34,$BC34,IF(C14=$R35,$BC35,IF(C14=$R36,$BC36,IF(C14=$R37,$BC37,IF(C14=$R38,$BC38,IF(C14=$R39,$BC39,IF(C14=$R40,$BC40,0)))))))))</f>
        <v>0</v>
      </c>
      <c r="D106" s="151">
        <f t="shared" si="100"/>
        <v>0</v>
      </c>
      <c r="E106" s="151">
        <f t="shared" si="100"/>
        <v>12</v>
      </c>
      <c r="F106" s="151">
        <f t="shared" si="100"/>
        <v>12</v>
      </c>
      <c r="G106" s="151">
        <f t="shared" si="100"/>
        <v>0</v>
      </c>
      <c r="H106" s="151">
        <f t="shared" si="100"/>
        <v>0</v>
      </c>
      <c r="I106" s="151">
        <f t="shared" si="100"/>
        <v>0</v>
      </c>
      <c r="J106" s="151">
        <f t="shared" si="100"/>
        <v>11.999999999999998</v>
      </c>
      <c r="K106" s="151">
        <f t="shared" si="100"/>
        <v>12</v>
      </c>
      <c r="L106" s="151">
        <f t="shared" si="100"/>
        <v>0</v>
      </c>
      <c r="M106" s="151">
        <f t="shared" si="100"/>
        <v>0</v>
      </c>
      <c r="N106" s="151">
        <f t="shared" si="100"/>
        <v>12</v>
      </c>
      <c r="O106" s="151">
        <f t="shared" si="100"/>
        <v>12</v>
      </c>
      <c r="P106" s="151">
        <f t="shared" si="100"/>
        <v>12</v>
      </c>
      <c r="Q106" s="151">
        <f t="shared" si="100"/>
        <v>0</v>
      </c>
      <c r="R106" s="151">
        <f t="shared" si="100"/>
        <v>12</v>
      </c>
      <c r="S106" s="151">
        <f t="shared" si="100"/>
        <v>12</v>
      </c>
      <c r="T106" s="151">
        <f t="shared" si="100"/>
        <v>12</v>
      </c>
      <c r="U106" s="151">
        <f t="shared" si="100"/>
        <v>0</v>
      </c>
      <c r="V106" s="151">
        <f t="shared" si="100"/>
        <v>0</v>
      </c>
      <c r="W106" s="151">
        <f t="shared" si="100"/>
        <v>0</v>
      </c>
      <c r="X106" s="151">
        <f t="shared" si="100"/>
        <v>12</v>
      </c>
      <c r="Y106" s="151">
        <f t="shared" si="100"/>
        <v>12</v>
      </c>
      <c r="Z106" s="151">
        <f t="shared" si="100"/>
        <v>12</v>
      </c>
      <c r="AA106" s="151">
        <f t="shared" si="100"/>
        <v>12</v>
      </c>
      <c r="AB106" s="151">
        <f t="shared" si="100"/>
        <v>12</v>
      </c>
      <c r="AC106" s="151">
        <f t="shared" si="100"/>
        <v>0</v>
      </c>
      <c r="AD106" s="151">
        <f t="shared" si="100"/>
        <v>0</v>
      </c>
      <c r="AE106" s="151">
        <f>IF(AE14=$R32,$BC32,IF(AE14=$R33,$BC33,IF(AE14=$R34,$BC34,IF(AE14=$R35,$BC35,IF(AE14=$R36,$BC36,IF(AE14=$R37,$BC37,IF(AE14=$R38,$BC38,IF(AE14=$R39,$BC39,IF(AE14=$R40,$BC40,0)))))))))</f>
        <v>12</v>
      </c>
      <c r="AF106" s="151">
        <f>IF(AF14=$R32,$BC32,IF(AF14=$R33,$BC33,IF(AF14=$R34,$BC34,IF(AF14=$R35,$BC35,IF(AF14=$R36,$BC36,IF(AF14=$R37,$BC37,IF(AF14=$R38,$BC38,IF(AF14=$R39,$BC39,IF(AF14=$R40,$BC40,0)))))))))</f>
        <v>12</v>
      </c>
      <c r="AG106" s="151">
        <f>IF(AG14=$R32,$BC32,IF(AG14=$R33,$BC33,IF(AG14=$R34,$BC34,IF(AG14=$R35,$BC35,IF(AG14=$R36,$BC36,IF(AG14=$R37,$BC37,IF(AG14=$R38,$BC38,IF(AG14=$R39,$BC39,IF(AG14=$R40,$BC40,0)))))))))</f>
        <v>0</v>
      </c>
      <c r="AH106" s="226">
        <f>SUM(C106:AG106)</f>
        <v>204</v>
      </c>
      <c r="AI106" s="226"/>
      <c r="AJ106" s="174" t="s">
        <v>62</v>
      </c>
      <c r="AK106" s="133" t="s">
        <v>12</v>
      </c>
      <c r="AL106" s="133"/>
    </row>
    <row r="107" spans="1:57" ht="15.95" hidden="1" customHeight="1" x14ac:dyDescent="0.25">
      <c r="A107" s="153" t="s">
        <v>48</v>
      </c>
      <c r="B107" s="149" t="s">
        <v>63</v>
      </c>
      <c r="C107" s="141" t="b">
        <f t="shared" ref="C107:AG107" si="101">IF(C46=1,IF(C102&lt;C103,C106,0))</f>
        <v>0</v>
      </c>
      <c r="D107" s="141" t="b">
        <f t="shared" si="101"/>
        <v>0</v>
      </c>
      <c r="E107" s="141" t="b">
        <f t="shared" si="101"/>
        <v>0</v>
      </c>
      <c r="F107" s="141" t="b">
        <f t="shared" si="101"/>
        <v>0</v>
      </c>
      <c r="G107" s="141" t="b">
        <f t="shared" si="101"/>
        <v>0</v>
      </c>
      <c r="H107" s="141">
        <f t="shared" si="101"/>
        <v>0</v>
      </c>
      <c r="I107" s="141">
        <f t="shared" si="101"/>
        <v>0</v>
      </c>
      <c r="J107" s="141" t="b">
        <f t="shared" si="101"/>
        <v>0</v>
      </c>
      <c r="K107" s="141" t="b">
        <f t="shared" si="101"/>
        <v>0</v>
      </c>
      <c r="L107" s="141" t="b">
        <f t="shared" si="101"/>
        <v>0</v>
      </c>
      <c r="M107" s="141" t="b">
        <f t="shared" si="101"/>
        <v>0</v>
      </c>
      <c r="N107" s="141" t="b">
        <f t="shared" si="101"/>
        <v>0</v>
      </c>
      <c r="O107" s="141">
        <f t="shared" si="101"/>
        <v>0</v>
      </c>
      <c r="P107" s="141">
        <f t="shared" si="101"/>
        <v>0</v>
      </c>
      <c r="Q107" s="141" t="b">
        <f t="shared" si="101"/>
        <v>0</v>
      </c>
      <c r="R107" s="141" t="b">
        <f t="shared" si="101"/>
        <v>0</v>
      </c>
      <c r="S107" s="141" t="b">
        <f t="shared" si="101"/>
        <v>0</v>
      </c>
      <c r="T107" s="141" t="b">
        <f t="shared" si="101"/>
        <v>0</v>
      </c>
      <c r="U107" s="141" t="b">
        <f t="shared" si="101"/>
        <v>0</v>
      </c>
      <c r="V107" s="141">
        <f t="shared" si="101"/>
        <v>0</v>
      </c>
      <c r="W107" s="141">
        <f t="shared" si="101"/>
        <v>0</v>
      </c>
      <c r="X107" s="141" t="b">
        <f t="shared" si="101"/>
        <v>0</v>
      </c>
      <c r="Y107" s="141" t="b">
        <f t="shared" si="101"/>
        <v>0</v>
      </c>
      <c r="Z107" s="141" t="b">
        <f t="shared" si="101"/>
        <v>0</v>
      </c>
      <c r="AA107" s="141" t="b">
        <f t="shared" si="101"/>
        <v>0</v>
      </c>
      <c r="AB107" s="141" t="b">
        <f t="shared" si="101"/>
        <v>0</v>
      </c>
      <c r="AC107" s="141">
        <f t="shared" si="101"/>
        <v>0</v>
      </c>
      <c r="AD107" s="141">
        <f t="shared" si="101"/>
        <v>0</v>
      </c>
      <c r="AE107" s="141" t="b">
        <f t="shared" si="101"/>
        <v>0</v>
      </c>
      <c r="AF107" s="141" t="b">
        <f t="shared" si="101"/>
        <v>0</v>
      </c>
      <c r="AG107" s="141" t="b">
        <f t="shared" si="101"/>
        <v>0</v>
      </c>
      <c r="AH107" s="154" t="s">
        <v>12</v>
      </c>
      <c r="AI107" s="133"/>
      <c r="AJ107" s="170"/>
      <c r="AK107" s="133"/>
      <c r="AL107" s="133"/>
      <c r="BE107" s="31"/>
    </row>
    <row r="108" spans="1:57" ht="15.95" hidden="1" customHeight="1" x14ac:dyDescent="0.25">
      <c r="A108" s="176"/>
      <c r="B108" s="149" t="s">
        <v>64</v>
      </c>
      <c r="C108" s="141">
        <f>IF(C46=1,IF(C113&gt;C114,24-C113,0),0)</f>
        <v>0</v>
      </c>
      <c r="D108" s="141">
        <f t="shared" ref="D108:AG108" si="102">IF(D46=1,IF(D102&gt;D103,24-D102,0),0)</f>
        <v>0</v>
      </c>
      <c r="E108" s="141">
        <f t="shared" si="102"/>
        <v>0</v>
      </c>
      <c r="F108" s="141">
        <f t="shared" si="102"/>
        <v>0</v>
      </c>
      <c r="G108" s="141">
        <f t="shared" si="102"/>
        <v>0</v>
      </c>
      <c r="H108" s="141">
        <f t="shared" si="102"/>
        <v>0</v>
      </c>
      <c r="I108" s="141">
        <f t="shared" si="102"/>
        <v>0</v>
      </c>
      <c r="J108" s="141">
        <f t="shared" si="102"/>
        <v>0</v>
      </c>
      <c r="K108" s="141">
        <f t="shared" si="102"/>
        <v>0</v>
      </c>
      <c r="L108" s="141">
        <f t="shared" si="102"/>
        <v>0</v>
      </c>
      <c r="M108" s="141">
        <f t="shared" si="102"/>
        <v>0</v>
      </c>
      <c r="N108" s="141">
        <f t="shared" si="102"/>
        <v>0</v>
      </c>
      <c r="O108" s="141">
        <f t="shared" si="102"/>
        <v>5</v>
      </c>
      <c r="P108" s="141">
        <f t="shared" si="102"/>
        <v>5</v>
      </c>
      <c r="Q108" s="141">
        <f t="shared" si="102"/>
        <v>0</v>
      </c>
      <c r="R108" s="141">
        <f t="shared" si="102"/>
        <v>0</v>
      </c>
      <c r="S108" s="141">
        <f t="shared" si="102"/>
        <v>0</v>
      </c>
      <c r="T108" s="141">
        <f t="shared" si="102"/>
        <v>0</v>
      </c>
      <c r="U108" s="141">
        <f t="shared" si="102"/>
        <v>0</v>
      </c>
      <c r="V108" s="141">
        <f t="shared" si="102"/>
        <v>0</v>
      </c>
      <c r="W108" s="141">
        <f t="shared" si="102"/>
        <v>0</v>
      </c>
      <c r="X108" s="141">
        <f t="shared" si="102"/>
        <v>0</v>
      </c>
      <c r="Y108" s="141">
        <f t="shared" si="102"/>
        <v>0</v>
      </c>
      <c r="Z108" s="141">
        <f t="shared" si="102"/>
        <v>0</v>
      </c>
      <c r="AA108" s="141">
        <f t="shared" si="102"/>
        <v>0</v>
      </c>
      <c r="AB108" s="141">
        <f t="shared" si="102"/>
        <v>0</v>
      </c>
      <c r="AC108" s="141">
        <f t="shared" si="102"/>
        <v>0</v>
      </c>
      <c r="AD108" s="141">
        <f t="shared" si="102"/>
        <v>0</v>
      </c>
      <c r="AE108" s="141">
        <f t="shared" si="102"/>
        <v>0</v>
      </c>
      <c r="AF108" s="141">
        <f t="shared" si="102"/>
        <v>0</v>
      </c>
      <c r="AG108" s="141">
        <f t="shared" si="102"/>
        <v>0</v>
      </c>
      <c r="AH108" s="154" t="s">
        <v>12</v>
      </c>
      <c r="AI108" s="133"/>
      <c r="AJ108" s="170"/>
      <c r="AK108" s="133"/>
      <c r="AL108" s="133"/>
    </row>
    <row r="109" spans="1:57" ht="15.95" hidden="1" customHeight="1" x14ac:dyDescent="0.25">
      <c r="A109" s="176"/>
      <c r="B109" s="149" t="s">
        <v>65</v>
      </c>
      <c r="C109" s="141">
        <f t="shared" ref="C109:AG109" si="103">IF(D46=1,IF(C102&gt;C103,C103,0),0)</f>
        <v>0</v>
      </c>
      <c r="D109" s="141">
        <f t="shared" si="103"/>
        <v>0</v>
      </c>
      <c r="E109" s="141">
        <f t="shared" si="103"/>
        <v>0</v>
      </c>
      <c r="F109" s="141">
        <f t="shared" si="103"/>
        <v>0</v>
      </c>
      <c r="G109" s="141">
        <f t="shared" si="103"/>
        <v>0</v>
      </c>
      <c r="H109" s="141">
        <f t="shared" si="103"/>
        <v>0</v>
      </c>
      <c r="I109" s="141">
        <f t="shared" si="103"/>
        <v>0</v>
      </c>
      <c r="J109" s="141">
        <f t="shared" si="103"/>
        <v>0</v>
      </c>
      <c r="K109" s="141">
        <f t="shared" si="103"/>
        <v>0</v>
      </c>
      <c r="L109" s="141">
        <f t="shared" si="103"/>
        <v>0</v>
      </c>
      <c r="M109" s="141">
        <f t="shared" si="103"/>
        <v>0</v>
      </c>
      <c r="N109" s="141">
        <f t="shared" si="103"/>
        <v>7</v>
      </c>
      <c r="O109" s="141">
        <f t="shared" si="103"/>
        <v>7</v>
      </c>
      <c r="P109" s="141">
        <f t="shared" si="103"/>
        <v>0</v>
      </c>
      <c r="Q109" s="141">
        <f t="shared" si="103"/>
        <v>0</v>
      </c>
      <c r="R109" s="141">
        <f t="shared" si="103"/>
        <v>0</v>
      </c>
      <c r="S109" s="141">
        <f t="shared" si="103"/>
        <v>0</v>
      </c>
      <c r="T109" s="141">
        <f t="shared" si="103"/>
        <v>0</v>
      </c>
      <c r="U109" s="141">
        <f t="shared" si="103"/>
        <v>0</v>
      </c>
      <c r="V109" s="141">
        <f t="shared" si="103"/>
        <v>0</v>
      </c>
      <c r="W109" s="141">
        <f t="shared" si="103"/>
        <v>0</v>
      </c>
      <c r="X109" s="141">
        <f>IF(Y46=1,IF(X102&gt;X103,X103,0),0)</f>
        <v>0</v>
      </c>
      <c r="Y109" s="141">
        <f t="shared" si="103"/>
        <v>0</v>
      </c>
      <c r="Z109" s="141">
        <f t="shared" si="103"/>
        <v>0</v>
      </c>
      <c r="AA109" s="141">
        <f t="shared" si="103"/>
        <v>0</v>
      </c>
      <c r="AB109" s="141">
        <f t="shared" si="103"/>
        <v>7</v>
      </c>
      <c r="AC109" s="141">
        <f t="shared" si="103"/>
        <v>0</v>
      </c>
      <c r="AD109" s="141">
        <f t="shared" si="103"/>
        <v>0</v>
      </c>
      <c r="AE109" s="141">
        <f t="shared" si="103"/>
        <v>0</v>
      </c>
      <c r="AF109" s="141">
        <f t="shared" si="103"/>
        <v>0</v>
      </c>
      <c r="AG109" s="141">
        <f t="shared" si="103"/>
        <v>0</v>
      </c>
      <c r="AH109" s="154" t="s">
        <v>12</v>
      </c>
      <c r="AI109" s="133"/>
      <c r="AJ109" s="170"/>
      <c r="AK109" s="133"/>
      <c r="AL109" s="133"/>
    </row>
    <row r="110" spans="1:57" ht="15.95" hidden="1" customHeight="1" x14ac:dyDescent="0.25">
      <c r="A110" s="176"/>
      <c r="B110" s="149" t="s">
        <v>67</v>
      </c>
      <c r="C110" s="171">
        <f t="shared" ref="C110:AG110" si="104">SUM(C107:C109)</f>
        <v>0</v>
      </c>
      <c r="D110" s="171">
        <f t="shared" si="104"/>
        <v>0</v>
      </c>
      <c r="E110" s="171">
        <f t="shared" si="104"/>
        <v>0</v>
      </c>
      <c r="F110" s="171">
        <f t="shared" si="104"/>
        <v>0</v>
      </c>
      <c r="G110" s="171">
        <f t="shared" si="104"/>
        <v>0</v>
      </c>
      <c r="H110" s="171">
        <f t="shared" si="104"/>
        <v>0</v>
      </c>
      <c r="I110" s="171">
        <f t="shared" si="104"/>
        <v>0</v>
      </c>
      <c r="J110" s="171">
        <f t="shared" si="104"/>
        <v>0</v>
      </c>
      <c r="K110" s="171">
        <f t="shared" si="104"/>
        <v>0</v>
      </c>
      <c r="L110" s="171">
        <f t="shared" si="104"/>
        <v>0</v>
      </c>
      <c r="M110" s="171">
        <f t="shared" si="104"/>
        <v>0</v>
      </c>
      <c r="N110" s="171">
        <f t="shared" si="104"/>
        <v>7</v>
      </c>
      <c r="O110" s="171">
        <f t="shared" si="104"/>
        <v>12</v>
      </c>
      <c r="P110" s="171">
        <f t="shared" si="104"/>
        <v>5</v>
      </c>
      <c r="Q110" s="171">
        <f t="shared" si="104"/>
        <v>0</v>
      </c>
      <c r="R110" s="171">
        <f t="shared" si="104"/>
        <v>0</v>
      </c>
      <c r="S110" s="171">
        <f t="shared" si="104"/>
        <v>0</v>
      </c>
      <c r="T110" s="171">
        <f t="shared" si="104"/>
        <v>0</v>
      </c>
      <c r="U110" s="171">
        <f t="shared" si="104"/>
        <v>0</v>
      </c>
      <c r="V110" s="171">
        <f t="shared" si="104"/>
        <v>0</v>
      </c>
      <c r="W110" s="171">
        <f t="shared" si="104"/>
        <v>0</v>
      </c>
      <c r="X110" s="171">
        <f t="shared" si="104"/>
        <v>0</v>
      </c>
      <c r="Y110" s="171">
        <f t="shared" si="104"/>
        <v>0</v>
      </c>
      <c r="Z110" s="171">
        <f t="shared" si="104"/>
        <v>0</v>
      </c>
      <c r="AA110" s="171">
        <f t="shared" si="104"/>
        <v>0</v>
      </c>
      <c r="AB110" s="171">
        <f t="shared" si="104"/>
        <v>7</v>
      </c>
      <c r="AC110" s="171">
        <f t="shared" si="104"/>
        <v>0</v>
      </c>
      <c r="AD110" s="171">
        <f t="shared" si="104"/>
        <v>0</v>
      </c>
      <c r="AE110" s="171">
        <f t="shared" si="104"/>
        <v>0</v>
      </c>
      <c r="AF110" s="171">
        <f t="shared" si="104"/>
        <v>0</v>
      </c>
      <c r="AG110" s="171">
        <f t="shared" si="104"/>
        <v>0</v>
      </c>
      <c r="AH110" s="154" t="s">
        <v>12</v>
      </c>
      <c r="AI110" s="133"/>
      <c r="AJ110" s="170"/>
      <c r="AK110" s="133"/>
      <c r="AL110" s="133"/>
    </row>
    <row r="111" spans="1:57" ht="15.95" hidden="1" customHeight="1" x14ac:dyDescent="0.25">
      <c r="A111" s="177"/>
      <c r="B111" s="160" t="s">
        <v>68</v>
      </c>
      <c r="C111" s="161">
        <f t="shared" ref="C111:AG111" si="105">IF(C14="V",IF(C14="",0,1),0)</f>
        <v>0</v>
      </c>
      <c r="D111" s="161">
        <f t="shared" si="105"/>
        <v>0</v>
      </c>
      <c r="E111" s="161">
        <f t="shared" si="105"/>
        <v>0</v>
      </c>
      <c r="F111" s="161">
        <f t="shared" si="105"/>
        <v>0</v>
      </c>
      <c r="G111" s="161">
        <f t="shared" si="105"/>
        <v>0</v>
      </c>
      <c r="H111" s="161">
        <f t="shared" si="105"/>
        <v>0</v>
      </c>
      <c r="I111" s="161">
        <f t="shared" si="105"/>
        <v>0</v>
      </c>
      <c r="J111" s="161">
        <f t="shared" si="105"/>
        <v>0</v>
      </c>
      <c r="K111" s="161">
        <f t="shared" si="105"/>
        <v>0</v>
      </c>
      <c r="L111" s="161">
        <f t="shared" si="105"/>
        <v>0</v>
      </c>
      <c r="M111" s="161">
        <f t="shared" si="105"/>
        <v>0</v>
      </c>
      <c r="N111" s="161">
        <f t="shared" si="105"/>
        <v>0</v>
      </c>
      <c r="O111" s="161">
        <f t="shared" si="105"/>
        <v>0</v>
      </c>
      <c r="P111" s="161">
        <f t="shared" si="105"/>
        <v>0</v>
      </c>
      <c r="Q111" s="161">
        <f t="shared" si="105"/>
        <v>0</v>
      </c>
      <c r="R111" s="161">
        <f t="shared" si="105"/>
        <v>0</v>
      </c>
      <c r="S111" s="161">
        <f t="shared" si="105"/>
        <v>0</v>
      </c>
      <c r="T111" s="161">
        <f t="shared" si="105"/>
        <v>0</v>
      </c>
      <c r="U111" s="161">
        <f t="shared" si="105"/>
        <v>0</v>
      </c>
      <c r="V111" s="161">
        <f t="shared" si="105"/>
        <v>0</v>
      </c>
      <c r="W111" s="161">
        <f t="shared" si="105"/>
        <v>0</v>
      </c>
      <c r="X111" s="161">
        <f t="shared" si="105"/>
        <v>0</v>
      </c>
      <c r="Y111" s="161">
        <f t="shared" si="105"/>
        <v>0</v>
      </c>
      <c r="Z111" s="161">
        <f t="shared" si="105"/>
        <v>0</v>
      </c>
      <c r="AA111" s="161">
        <f t="shared" si="105"/>
        <v>0</v>
      </c>
      <c r="AB111" s="161">
        <f t="shared" si="105"/>
        <v>0</v>
      </c>
      <c r="AC111" s="161">
        <f t="shared" si="105"/>
        <v>0</v>
      </c>
      <c r="AD111" s="161">
        <f t="shared" si="105"/>
        <v>0</v>
      </c>
      <c r="AE111" s="161">
        <f t="shared" si="105"/>
        <v>0</v>
      </c>
      <c r="AF111" s="161">
        <f t="shared" si="105"/>
        <v>0</v>
      </c>
      <c r="AG111" s="161">
        <f t="shared" si="105"/>
        <v>0</v>
      </c>
      <c r="AH111" s="154" t="s">
        <v>12</v>
      </c>
      <c r="AI111" s="133"/>
      <c r="AJ111" s="170"/>
      <c r="AK111" s="133"/>
      <c r="AL111" s="133"/>
    </row>
    <row r="112" spans="1:57" ht="15.95" hidden="1" customHeight="1" x14ac:dyDescent="0.25">
      <c r="A112" s="180"/>
      <c r="B112" s="181" t="s">
        <v>16</v>
      </c>
      <c r="C112" s="182">
        <f t="shared" ref="C112:AG112" si="106">IF(C14="PR",IF(C14="",0,1),0)</f>
        <v>0</v>
      </c>
      <c r="D112" s="182">
        <f t="shared" si="106"/>
        <v>0</v>
      </c>
      <c r="E112" s="182">
        <f t="shared" si="106"/>
        <v>0</v>
      </c>
      <c r="F112" s="182">
        <f t="shared" si="106"/>
        <v>0</v>
      </c>
      <c r="G112" s="182">
        <f t="shared" si="106"/>
        <v>0</v>
      </c>
      <c r="H112" s="182">
        <f t="shared" si="106"/>
        <v>0</v>
      </c>
      <c r="I112" s="182">
        <f t="shared" si="106"/>
        <v>0</v>
      </c>
      <c r="J112" s="182">
        <f t="shared" si="106"/>
        <v>0</v>
      </c>
      <c r="K112" s="182">
        <f t="shared" si="106"/>
        <v>0</v>
      </c>
      <c r="L112" s="182">
        <f t="shared" si="106"/>
        <v>0</v>
      </c>
      <c r="M112" s="182">
        <f t="shared" si="106"/>
        <v>0</v>
      </c>
      <c r="N112" s="182">
        <f t="shared" si="106"/>
        <v>0</v>
      </c>
      <c r="O112" s="182">
        <f t="shared" si="106"/>
        <v>0</v>
      </c>
      <c r="P112" s="182">
        <f t="shared" si="106"/>
        <v>0</v>
      </c>
      <c r="Q112" s="182">
        <f t="shared" si="106"/>
        <v>0</v>
      </c>
      <c r="R112" s="182">
        <f t="shared" si="106"/>
        <v>0</v>
      </c>
      <c r="S112" s="182">
        <f t="shared" si="106"/>
        <v>0</v>
      </c>
      <c r="T112" s="182">
        <f t="shared" si="106"/>
        <v>0</v>
      </c>
      <c r="U112" s="182">
        <f t="shared" si="106"/>
        <v>0</v>
      </c>
      <c r="V112" s="182">
        <f t="shared" si="106"/>
        <v>0</v>
      </c>
      <c r="W112" s="182">
        <f t="shared" si="106"/>
        <v>0</v>
      </c>
      <c r="X112" s="182">
        <f t="shared" si="106"/>
        <v>0</v>
      </c>
      <c r="Y112" s="182">
        <f t="shared" si="106"/>
        <v>0</v>
      </c>
      <c r="Z112" s="182">
        <f t="shared" si="106"/>
        <v>0</v>
      </c>
      <c r="AA112" s="182">
        <f t="shared" si="106"/>
        <v>0</v>
      </c>
      <c r="AB112" s="182">
        <f t="shared" si="106"/>
        <v>0</v>
      </c>
      <c r="AC112" s="182">
        <f t="shared" si="106"/>
        <v>0</v>
      </c>
      <c r="AD112" s="182">
        <f t="shared" si="106"/>
        <v>0</v>
      </c>
      <c r="AE112" s="182">
        <f t="shared" si="106"/>
        <v>0</v>
      </c>
      <c r="AF112" s="182">
        <f t="shared" si="106"/>
        <v>0</v>
      </c>
      <c r="AG112" s="182">
        <f t="shared" si="106"/>
        <v>0</v>
      </c>
      <c r="AH112" s="227">
        <f>SUM(C112:AG112)</f>
        <v>0</v>
      </c>
      <c r="AI112" s="227"/>
      <c r="AJ112" s="174" t="s">
        <v>69</v>
      </c>
      <c r="AK112" s="133"/>
      <c r="AL112" s="133"/>
    </row>
    <row r="113" spans="1:57" s="31" customFormat="1" ht="15.95" hidden="1" customHeight="1" x14ac:dyDescent="0.25">
      <c r="A113" s="164" t="s">
        <v>81</v>
      </c>
      <c r="B113" s="165" t="s">
        <v>29</v>
      </c>
      <c r="C113" s="141" t="str">
        <f t="shared" ref="C113:AG113" si="107">IF(C15=$R32,$S32*24,IF(C15=$R33,$S33*24,IF(C15=$R34,$S34*24,IF(C15=$R35,$S35*24,IF(C15=$R36,$S36*24,IF(C15=$R37,$S37*24,IF(C15=$R38,$S38*24,IF(C15=$R39,$S39*24,IF(C15=$R40,$S40*24,"")))))))))</f>
        <v/>
      </c>
      <c r="D113" s="141" t="str">
        <f t="shared" si="107"/>
        <v/>
      </c>
      <c r="E113" s="141">
        <f t="shared" si="107"/>
        <v>6</v>
      </c>
      <c r="F113" s="141">
        <f t="shared" si="107"/>
        <v>6</v>
      </c>
      <c r="G113" s="141" t="str">
        <f t="shared" si="107"/>
        <v/>
      </c>
      <c r="H113" s="141" t="str">
        <f t="shared" si="107"/>
        <v/>
      </c>
      <c r="I113" s="141" t="str">
        <f t="shared" si="107"/>
        <v/>
      </c>
      <c r="J113" s="141">
        <f t="shared" si="107"/>
        <v>6</v>
      </c>
      <c r="K113" s="141">
        <f t="shared" si="107"/>
        <v>18</v>
      </c>
      <c r="L113" s="141">
        <f t="shared" si="107"/>
        <v>18</v>
      </c>
      <c r="M113" s="141" t="str">
        <f t="shared" si="107"/>
        <v/>
      </c>
      <c r="N113" s="141">
        <f t="shared" si="107"/>
        <v>6</v>
      </c>
      <c r="O113" s="141">
        <f t="shared" si="107"/>
        <v>6</v>
      </c>
      <c r="P113" s="141">
        <f t="shared" si="107"/>
        <v>6</v>
      </c>
      <c r="Q113" s="141" t="str">
        <f t="shared" si="107"/>
        <v/>
      </c>
      <c r="R113" s="141" t="str">
        <f t="shared" si="107"/>
        <v/>
      </c>
      <c r="S113" s="141">
        <f t="shared" si="107"/>
        <v>6</v>
      </c>
      <c r="T113" s="141">
        <f t="shared" si="107"/>
        <v>6</v>
      </c>
      <c r="U113" s="141" t="str">
        <f t="shared" si="107"/>
        <v/>
      </c>
      <c r="V113" s="141" t="str">
        <f t="shared" si="107"/>
        <v/>
      </c>
      <c r="W113" s="141" t="str">
        <f t="shared" si="107"/>
        <v/>
      </c>
      <c r="X113" s="141">
        <f t="shared" si="107"/>
        <v>6</v>
      </c>
      <c r="Y113" s="141">
        <f t="shared" si="107"/>
        <v>6</v>
      </c>
      <c r="Z113" s="141">
        <f t="shared" si="107"/>
        <v>18</v>
      </c>
      <c r="AA113" s="141">
        <f t="shared" si="107"/>
        <v>18</v>
      </c>
      <c r="AB113" s="141">
        <f t="shared" si="107"/>
        <v>18</v>
      </c>
      <c r="AC113" s="141" t="str">
        <f t="shared" si="107"/>
        <v/>
      </c>
      <c r="AD113" s="141" t="str">
        <f t="shared" si="107"/>
        <v/>
      </c>
      <c r="AE113" s="141" t="str">
        <f t="shared" si="107"/>
        <v/>
      </c>
      <c r="AF113" s="141">
        <f t="shared" si="107"/>
        <v>6</v>
      </c>
      <c r="AG113" s="141">
        <f t="shared" si="107"/>
        <v>6</v>
      </c>
      <c r="AH113" s="154" t="s">
        <v>12</v>
      </c>
      <c r="AI113" s="133"/>
      <c r="AJ113" s="170"/>
      <c r="AK113" s="133"/>
      <c r="AL113" s="133"/>
      <c r="BE113" s="1"/>
    </row>
    <row r="114" spans="1:57" ht="15.95" hidden="1" customHeight="1" x14ac:dyDescent="0.25">
      <c r="A114" s="166" t="s">
        <v>82</v>
      </c>
      <c r="B114" s="167" t="s">
        <v>30</v>
      </c>
      <c r="C114" s="141" t="str">
        <f t="shared" ref="C114:AG114" si="108">IF(C15=$R32,$V32*24,IF(C15=$R33,$V33*24,IF(C15=$R34,$V34*24,IF(C15=$R35,$V35*24,IF(C15=$R36,$V36*24,IF(C15=$R37,$V37*24,IF(C15=$R38,$V38*24,IF(C15=$R39,$V39*24,IF(C15=$R40,$V40*24,"")))))))))</f>
        <v/>
      </c>
      <c r="D114" s="141" t="str">
        <f t="shared" si="108"/>
        <v/>
      </c>
      <c r="E114" s="141">
        <f t="shared" si="108"/>
        <v>18</v>
      </c>
      <c r="F114" s="141">
        <f t="shared" si="108"/>
        <v>18</v>
      </c>
      <c r="G114" s="141" t="str">
        <f t="shared" si="108"/>
        <v/>
      </c>
      <c r="H114" s="141" t="str">
        <f t="shared" si="108"/>
        <v/>
      </c>
      <c r="I114" s="141" t="str">
        <f t="shared" si="108"/>
        <v/>
      </c>
      <c r="J114" s="141">
        <f t="shared" si="108"/>
        <v>18</v>
      </c>
      <c r="K114" s="141">
        <f t="shared" si="108"/>
        <v>6</v>
      </c>
      <c r="L114" s="141">
        <f t="shared" si="108"/>
        <v>6</v>
      </c>
      <c r="M114" s="141" t="str">
        <f t="shared" si="108"/>
        <v/>
      </c>
      <c r="N114" s="141">
        <f t="shared" si="108"/>
        <v>18</v>
      </c>
      <c r="O114" s="141">
        <f t="shared" si="108"/>
        <v>18</v>
      </c>
      <c r="P114" s="141">
        <f t="shared" si="108"/>
        <v>18</v>
      </c>
      <c r="Q114" s="141" t="str">
        <f t="shared" si="108"/>
        <v/>
      </c>
      <c r="R114" s="141" t="str">
        <f t="shared" si="108"/>
        <v/>
      </c>
      <c r="S114" s="141">
        <f t="shared" si="108"/>
        <v>18</v>
      </c>
      <c r="T114" s="141">
        <f t="shared" si="108"/>
        <v>18</v>
      </c>
      <c r="U114" s="141" t="str">
        <f t="shared" si="108"/>
        <v/>
      </c>
      <c r="V114" s="141" t="str">
        <f t="shared" si="108"/>
        <v/>
      </c>
      <c r="W114" s="141" t="str">
        <f t="shared" si="108"/>
        <v/>
      </c>
      <c r="X114" s="141">
        <f t="shared" si="108"/>
        <v>18</v>
      </c>
      <c r="Y114" s="141">
        <f t="shared" si="108"/>
        <v>18</v>
      </c>
      <c r="Z114" s="141">
        <f t="shared" si="108"/>
        <v>6</v>
      </c>
      <c r="AA114" s="141">
        <f t="shared" si="108"/>
        <v>6</v>
      </c>
      <c r="AB114" s="141">
        <f t="shared" si="108"/>
        <v>6</v>
      </c>
      <c r="AC114" s="141" t="str">
        <f t="shared" si="108"/>
        <v/>
      </c>
      <c r="AD114" s="141" t="str">
        <f t="shared" si="108"/>
        <v/>
      </c>
      <c r="AE114" s="141" t="str">
        <f t="shared" si="108"/>
        <v/>
      </c>
      <c r="AF114" s="141">
        <f t="shared" si="108"/>
        <v>18</v>
      </c>
      <c r="AG114" s="141">
        <f t="shared" si="108"/>
        <v>18</v>
      </c>
      <c r="AH114" s="154" t="s">
        <v>12</v>
      </c>
      <c r="AI114" s="133"/>
      <c r="AJ114" s="170"/>
      <c r="AK114" s="133"/>
      <c r="AL114" s="133"/>
    </row>
    <row r="115" spans="1:57" ht="15.95" hidden="1" customHeight="1" x14ac:dyDescent="0.25">
      <c r="A115" s="153"/>
      <c r="B115" s="168" t="s">
        <v>34</v>
      </c>
      <c r="C115" s="169" t="str">
        <f t="shared" ref="C115:AD115" si="109">IF(C15=$R32,$BD32*24,IF(C15=$R33,$BD33*24,IF(C15=$R34,$BD34*24,IF(C15=$R35,$BD35*24,IF(C15=$R36,$BD36*24,IF(C15=$R37,$BD37*24,IF(C15=$R38,$BD38*24,IF(C15=$R39,$BD39*24,IF(C15=$R40,$BD40*24,"")))))))))</f>
        <v/>
      </c>
      <c r="D115" s="169" t="str">
        <f t="shared" si="109"/>
        <v/>
      </c>
      <c r="E115" s="169">
        <f t="shared" si="109"/>
        <v>0</v>
      </c>
      <c r="F115" s="169">
        <f t="shared" si="109"/>
        <v>0</v>
      </c>
      <c r="G115" s="169" t="str">
        <f t="shared" si="109"/>
        <v/>
      </c>
      <c r="H115" s="169" t="str">
        <f t="shared" si="109"/>
        <v/>
      </c>
      <c r="I115" s="169" t="str">
        <f t="shared" si="109"/>
        <v/>
      </c>
      <c r="J115" s="169">
        <f t="shared" si="109"/>
        <v>0</v>
      </c>
      <c r="K115" s="169">
        <f t="shared" si="109"/>
        <v>8</v>
      </c>
      <c r="L115" s="169">
        <f t="shared" si="109"/>
        <v>8</v>
      </c>
      <c r="M115" s="169" t="str">
        <f t="shared" si="109"/>
        <v/>
      </c>
      <c r="N115" s="169">
        <f t="shared" si="109"/>
        <v>0</v>
      </c>
      <c r="O115" s="169">
        <f t="shared" si="109"/>
        <v>0</v>
      </c>
      <c r="P115" s="169">
        <f t="shared" si="109"/>
        <v>0</v>
      </c>
      <c r="Q115" s="169" t="str">
        <f t="shared" si="109"/>
        <v/>
      </c>
      <c r="R115" s="169" t="str">
        <f t="shared" si="109"/>
        <v/>
      </c>
      <c r="S115" s="169">
        <f t="shared" si="109"/>
        <v>0</v>
      </c>
      <c r="T115" s="169">
        <f t="shared" si="109"/>
        <v>0</v>
      </c>
      <c r="U115" s="169" t="str">
        <f t="shared" si="109"/>
        <v/>
      </c>
      <c r="V115" s="169" t="str">
        <f t="shared" si="109"/>
        <v/>
      </c>
      <c r="W115" s="169" t="str">
        <f t="shared" si="109"/>
        <v/>
      </c>
      <c r="X115" s="169">
        <f t="shared" si="109"/>
        <v>0</v>
      </c>
      <c r="Y115" s="169">
        <f t="shared" si="109"/>
        <v>0</v>
      </c>
      <c r="Z115" s="169">
        <f t="shared" si="109"/>
        <v>8</v>
      </c>
      <c r="AA115" s="169">
        <f t="shared" si="109"/>
        <v>8</v>
      </c>
      <c r="AB115" s="169">
        <f t="shared" si="109"/>
        <v>8</v>
      </c>
      <c r="AC115" s="169" t="str">
        <f t="shared" si="109"/>
        <v/>
      </c>
      <c r="AD115" s="169" t="str">
        <f t="shared" si="109"/>
        <v/>
      </c>
      <c r="AE115" s="169" t="str">
        <f>IF(AE15=$R32,$BD32*24,IF(AE15=$R33,$BD33*24,IF(AE15=$R34,$BD34*24,IF(AE15=$R35,$BD35*24,IF(AE15=$R36,$BD36*24,IF(AE15=$R37,$BD37*24,IF(AE15=$R38,$BD38*24,IF(AE15=$R39,$BD39*24,IF(AE15=$R40,$BD40*24,"")))))))))</f>
        <v/>
      </c>
      <c r="AF115" s="169">
        <f>IF(AF15=$R32,$BD32*24,IF(AF15=$R33,$BD33*24,IF(AF15=$R34,$BD34*24,IF(AF15=$R35,$BD35*24,IF(AF15=$R36,$BD36*24,IF(AF15=$R37,$BD37*24,IF(AF15=$R38,$BD38*24,IF(AF15=$R39,$BD39*24,IF(AF15=$R40,$BD40*24,"")))))))))</f>
        <v>0</v>
      </c>
      <c r="AG115" s="169">
        <f>IF(AG15=$R32,$BD32*24,IF(AG15=$R33,$BD33*24,IF(AG15=$R34,$BD34*24,IF(AG15=$R35,$BD35*24,IF(AG15=$R36,$BD36*24,IF(AG15=$R37,$BD37*24,IF(AG15=$R38,$BD38*24,IF(AG15=$R39,$BD39*24,IF(AG15=$R40,$BD40*24,"")))))))))</f>
        <v>0</v>
      </c>
      <c r="AH115" s="148">
        <f>SUM(C115:AG115)</f>
        <v>40</v>
      </c>
      <c r="AI115" s="133"/>
      <c r="AJ115" s="170"/>
      <c r="AK115" s="133"/>
      <c r="AL115" s="133"/>
    </row>
    <row r="116" spans="1:57" ht="15.95" hidden="1" customHeight="1" x14ac:dyDescent="0.25">
      <c r="A116" s="153"/>
      <c r="B116" s="167" t="s">
        <v>59</v>
      </c>
      <c r="C116" s="141">
        <f t="shared" ref="C116:AG116" si="110">IF(C15="V",$C36,IF(C15="PR",$C38,0))</f>
        <v>0</v>
      </c>
      <c r="D116" s="141">
        <f t="shared" si="110"/>
        <v>0</v>
      </c>
      <c r="E116" s="141">
        <f t="shared" si="110"/>
        <v>0</v>
      </c>
      <c r="F116" s="141">
        <f t="shared" si="110"/>
        <v>0</v>
      </c>
      <c r="G116" s="141">
        <f t="shared" si="110"/>
        <v>0</v>
      </c>
      <c r="H116" s="141">
        <f t="shared" si="110"/>
        <v>0</v>
      </c>
      <c r="I116" s="141">
        <f t="shared" si="110"/>
        <v>0</v>
      </c>
      <c r="J116" s="141">
        <f t="shared" si="110"/>
        <v>0</v>
      </c>
      <c r="K116" s="141">
        <f t="shared" si="110"/>
        <v>0</v>
      </c>
      <c r="L116" s="141">
        <f t="shared" si="110"/>
        <v>0</v>
      </c>
      <c r="M116" s="141">
        <f t="shared" si="110"/>
        <v>0</v>
      </c>
      <c r="N116" s="141">
        <f t="shared" si="110"/>
        <v>0</v>
      </c>
      <c r="O116" s="141">
        <f t="shared" si="110"/>
        <v>0</v>
      </c>
      <c r="P116" s="141">
        <f t="shared" si="110"/>
        <v>0</v>
      </c>
      <c r="Q116" s="141">
        <f t="shared" si="110"/>
        <v>0</v>
      </c>
      <c r="R116" s="141">
        <f t="shared" si="110"/>
        <v>0</v>
      </c>
      <c r="S116" s="141">
        <f t="shared" si="110"/>
        <v>0</v>
      </c>
      <c r="T116" s="141">
        <f t="shared" si="110"/>
        <v>0</v>
      </c>
      <c r="U116" s="141">
        <f t="shared" si="110"/>
        <v>0</v>
      </c>
      <c r="V116" s="141">
        <f t="shared" si="110"/>
        <v>0</v>
      </c>
      <c r="W116" s="141">
        <f t="shared" si="110"/>
        <v>0</v>
      </c>
      <c r="X116" s="141">
        <f t="shared" si="110"/>
        <v>0</v>
      </c>
      <c r="Y116" s="141">
        <f t="shared" si="110"/>
        <v>0</v>
      </c>
      <c r="Z116" s="141">
        <f t="shared" si="110"/>
        <v>0</v>
      </c>
      <c r="AA116" s="141">
        <f t="shared" si="110"/>
        <v>0</v>
      </c>
      <c r="AB116" s="141">
        <f t="shared" si="110"/>
        <v>0</v>
      </c>
      <c r="AC116" s="141">
        <f t="shared" si="110"/>
        <v>0</v>
      </c>
      <c r="AD116" s="141">
        <f t="shared" si="110"/>
        <v>0</v>
      </c>
      <c r="AE116" s="141">
        <f t="shared" si="110"/>
        <v>0</v>
      </c>
      <c r="AF116" s="141">
        <f t="shared" si="110"/>
        <v>0</v>
      </c>
      <c r="AG116" s="141">
        <f t="shared" si="110"/>
        <v>0</v>
      </c>
      <c r="AH116" s="226">
        <f>SUM(C116:AG116)</f>
        <v>0</v>
      </c>
      <c r="AI116" s="226"/>
      <c r="AJ116" s="230">
        <f>SUM(AH61+AH72+AH83+AH94+AH105+AH116)</f>
        <v>0</v>
      </c>
      <c r="AK116" s="230"/>
      <c r="AL116" s="133" t="s">
        <v>56</v>
      </c>
    </row>
    <row r="117" spans="1:57" ht="15.95" hidden="1" customHeight="1" x14ac:dyDescent="0.25">
      <c r="A117" s="150" t="s">
        <v>60</v>
      </c>
      <c r="B117" s="167" t="s">
        <v>61</v>
      </c>
      <c r="C117" s="151">
        <f t="shared" ref="C117:AD117" si="111">IF(C15=$R32,$BC32,IF(C15=$R33,$BC33,IF(C15=$R34,$BC34,IF(C15=$R35,$BC35,IF(C15=$R36,$BC36,IF(C15=$R37,$BC37,IF(C15=$R38,$BC38,IF(C15=$R39,$BC39,IF(C15=$R40,$BC40,0)))))))))</f>
        <v>0</v>
      </c>
      <c r="D117" s="151">
        <f t="shared" si="111"/>
        <v>0</v>
      </c>
      <c r="E117" s="151">
        <f t="shared" si="111"/>
        <v>12</v>
      </c>
      <c r="F117" s="151">
        <f t="shared" si="111"/>
        <v>12</v>
      </c>
      <c r="G117" s="151">
        <f t="shared" si="111"/>
        <v>0</v>
      </c>
      <c r="H117" s="151">
        <f t="shared" si="111"/>
        <v>0</v>
      </c>
      <c r="I117" s="151">
        <f t="shared" si="111"/>
        <v>0</v>
      </c>
      <c r="J117" s="151">
        <f t="shared" si="111"/>
        <v>12</v>
      </c>
      <c r="K117" s="151">
        <f t="shared" si="111"/>
        <v>12</v>
      </c>
      <c r="L117" s="151">
        <f t="shared" si="111"/>
        <v>12</v>
      </c>
      <c r="M117" s="151">
        <f t="shared" si="111"/>
        <v>0</v>
      </c>
      <c r="N117" s="151">
        <f t="shared" si="111"/>
        <v>12</v>
      </c>
      <c r="O117" s="151">
        <f t="shared" si="111"/>
        <v>12</v>
      </c>
      <c r="P117" s="151">
        <f t="shared" si="111"/>
        <v>12</v>
      </c>
      <c r="Q117" s="151">
        <f t="shared" si="111"/>
        <v>0</v>
      </c>
      <c r="R117" s="151">
        <f t="shared" si="111"/>
        <v>0</v>
      </c>
      <c r="S117" s="151">
        <f t="shared" si="111"/>
        <v>12</v>
      </c>
      <c r="T117" s="151">
        <f t="shared" si="111"/>
        <v>12</v>
      </c>
      <c r="U117" s="151">
        <f t="shared" si="111"/>
        <v>0</v>
      </c>
      <c r="V117" s="151">
        <f t="shared" si="111"/>
        <v>0</v>
      </c>
      <c r="W117" s="151">
        <f t="shared" si="111"/>
        <v>0</v>
      </c>
      <c r="X117" s="151">
        <f t="shared" si="111"/>
        <v>12</v>
      </c>
      <c r="Y117" s="151">
        <f t="shared" si="111"/>
        <v>12</v>
      </c>
      <c r="Z117" s="151">
        <f t="shared" si="111"/>
        <v>12</v>
      </c>
      <c r="AA117" s="151">
        <f t="shared" si="111"/>
        <v>12</v>
      </c>
      <c r="AB117" s="151">
        <f t="shared" si="111"/>
        <v>12</v>
      </c>
      <c r="AC117" s="151">
        <f t="shared" si="111"/>
        <v>0</v>
      </c>
      <c r="AD117" s="151">
        <f t="shared" si="111"/>
        <v>0</v>
      </c>
      <c r="AE117" s="151">
        <f>IF(AE15=$R32,$BC32,IF(AE15=$R33,$BC33,IF(AE15=$R34,$BC34,IF(AE15=$R35,$BC35,IF(AE15=$R36,$BC36,IF(AE15=$R37,$BC37,IF(AE15=$R38,$BC38,IF(AE15=$R39,$BC39,IF(AE15=$R40,$BC40,0)))))))))</f>
        <v>0</v>
      </c>
      <c r="AF117" s="151">
        <f>IF(AF15=$R32,$BC32,IF(AF15=$R33,$BC33,IF(AF15=$R34,$BC34,IF(AF15=$R35,$BC35,IF(AF15=$R36,$BC36,IF(AF15=$R37,$BC37,IF(AF15=$R38,$BC38,IF(AF15=$R39,$BC39,IF(AF15=$R40,$BC40,0)))))))))</f>
        <v>12</v>
      </c>
      <c r="AG117" s="151">
        <f>IF(AG15=$R32,$BC32,IF(AG15=$R33,$BC33,IF(AG15=$R34,$BC34,IF(AG15=$R35,$BC35,IF(AG15=$R36,$BC36,IF(AG15=$R37,$BC37,IF(AG15=$R38,$BC38,IF(AG15=$R39,$BC39,IF(AG15=$R40,$BC40,0)))))))))</f>
        <v>12</v>
      </c>
      <c r="AH117" s="226">
        <f>SUM(C117:AG117)</f>
        <v>204</v>
      </c>
      <c r="AI117" s="226"/>
      <c r="AJ117" s="174" t="s">
        <v>62</v>
      </c>
      <c r="AK117" s="133" t="s">
        <v>12</v>
      </c>
      <c r="AL117" s="133"/>
    </row>
    <row r="118" spans="1:57" ht="15.95" hidden="1" customHeight="1" x14ac:dyDescent="0.25">
      <c r="A118" s="153" t="s">
        <v>48</v>
      </c>
      <c r="B118" s="149" t="s">
        <v>63</v>
      </c>
      <c r="C118" s="141" t="b">
        <f t="shared" ref="C118:AG118" si="112">IF(C46=1,IF(C113&lt;C114,C117,0))</f>
        <v>0</v>
      </c>
      <c r="D118" s="141" t="b">
        <f t="shared" si="112"/>
        <v>0</v>
      </c>
      <c r="E118" s="141" t="b">
        <f t="shared" si="112"/>
        <v>0</v>
      </c>
      <c r="F118" s="141" t="b">
        <f t="shared" si="112"/>
        <v>0</v>
      </c>
      <c r="G118" s="141" t="b">
        <f t="shared" si="112"/>
        <v>0</v>
      </c>
      <c r="H118" s="141">
        <f t="shared" si="112"/>
        <v>0</v>
      </c>
      <c r="I118" s="141">
        <f t="shared" si="112"/>
        <v>0</v>
      </c>
      <c r="J118" s="141" t="b">
        <f t="shared" si="112"/>
        <v>0</v>
      </c>
      <c r="K118" s="141" t="b">
        <f t="shared" si="112"/>
        <v>0</v>
      </c>
      <c r="L118" s="141" t="b">
        <f t="shared" si="112"/>
        <v>0</v>
      </c>
      <c r="M118" s="141" t="b">
        <f t="shared" si="112"/>
        <v>0</v>
      </c>
      <c r="N118" s="141" t="b">
        <f t="shared" si="112"/>
        <v>0</v>
      </c>
      <c r="O118" s="141">
        <f t="shared" si="112"/>
        <v>12</v>
      </c>
      <c r="P118" s="141">
        <f t="shared" si="112"/>
        <v>12</v>
      </c>
      <c r="Q118" s="141" t="b">
        <f t="shared" si="112"/>
        <v>0</v>
      </c>
      <c r="R118" s="141" t="b">
        <f t="shared" si="112"/>
        <v>0</v>
      </c>
      <c r="S118" s="141" t="b">
        <f t="shared" si="112"/>
        <v>0</v>
      </c>
      <c r="T118" s="141" t="b">
        <f t="shared" si="112"/>
        <v>0</v>
      </c>
      <c r="U118" s="141" t="b">
        <f t="shared" si="112"/>
        <v>0</v>
      </c>
      <c r="V118" s="141">
        <f t="shared" si="112"/>
        <v>0</v>
      </c>
      <c r="W118" s="141">
        <f t="shared" si="112"/>
        <v>0</v>
      </c>
      <c r="X118" s="141" t="b">
        <f t="shared" si="112"/>
        <v>0</v>
      </c>
      <c r="Y118" s="141" t="b">
        <f t="shared" si="112"/>
        <v>0</v>
      </c>
      <c r="Z118" s="141" t="b">
        <f t="shared" si="112"/>
        <v>0</v>
      </c>
      <c r="AA118" s="141" t="b">
        <f t="shared" si="112"/>
        <v>0</v>
      </c>
      <c r="AB118" s="141" t="b">
        <f t="shared" si="112"/>
        <v>0</v>
      </c>
      <c r="AC118" s="141">
        <f t="shared" si="112"/>
        <v>0</v>
      </c>
      <c r="AD118" s="141">
        <f t="shared" si="112"/>
        <v>0</v>
      </c>
      <c r="AE118" s="141" t="b">
        <f t="shared" si="112"/>
        <v>0</v>
      </c>
      <c r="AF118" s="141" t="b">
        <f t="shared" si="112"/>
        <v>0</v>
      </c>
      <c r="AG118" s="141" t="b">
        <f t="shared" si="112"/>
        <v>0</v>
      </c>
      <c r="AH118" s="154" t="s">
        <v>12</v>
      </c>
      <c r="AI118" s="133"/>
      <c r="AJ118" s="170"/>
      <c r="AK118" s="133"/>
      <c r="AL118" s="133"/>
    </row>
    <row r="119" spans="1:57" ht="15.95" hidden="1" customHeight="1" x14ac:dyDescent="0.25">
      <c r="A119" s="176"/>
      <c r="B119" s="149" t="s">
        <v>64</v>
      </c>
      <c r="C119" s="141">
        <f t="shared" ref="C119:AG119" si="113">IF(C46=1,IF(C113&gt;C114,24-C113,0),0)</f>
        <v>0</v>
      </c>
      <c r="D119" s="141">
        <f t="shared" si="113"/>
        <v>0</v>
      </c>
      <c r="E119" s="141">
        <f t="shared" si="113"/>
        <v>0</v>
      </c>
      <c r="F119" s="141">
        <f t="shared" si="113"/>
        <v>0</v>
      </c>
      <c r="G119" s="141">
        <f t="shared" si="113"/>
        <v>0</v>
      </c>
      <c r="H119" s="141">
        <f t="shared" si="113"/>
        <v>0</v>
      </c>
      <c r="I119" s="141">
        <f t="shared" si="113"/>
        <v>0</v>
      </c>
      <c r="J119" s="141">
        <f t="shared" si="113"/>
        <v>0</v>
      </c>
      <c r="K119" s="141">
        <f t="shared" si="113"/>
        <v>0</v>
      </c>
      <c r="L119" s="141">
        <f t="shared" si="113"/>
        <v>0</v>
      </c>
      <c r="M119" s="141">
        <f t="shared" si="113"/>
        <v>0</v>
      </c>
      <c r="N119" s="141">
        <f t="shared" si="113"/>
        <v>0</v>
      </c>
      <c r="O119" s="141">
        <f t="shared" si="113"/>
        <v>0</v>
      </c>
      <c r="P119" s="141">
        <f t="shared" si="113"/>
        <v>0</v>
      </c>
      <c r="Q119" s="141">
        <f t="shared" si="113"/>
        <v>0</v>
      </c>
      <c r="R119" s="141">
        <f t="shared" si="113"/>
        <v>0</v>
      </c>
      <c r="S119" s="141">
        <f t="shared" si="113"/>
        <v>0</v>
      </c>
      <c r="T119" s="141">
        <f t="shared" si="113"/>
        <v>0</v>
      </c>
      <c r="U119" s="141">
        <f t="shared" si="113"/>
        <v>0</v>
      </c>
      <c r="V119" s="141">
        <f t="shared" si="113"/>
        <v>0</v>
      </c>
      <c r="W119" s="141">
        <f t="shared" si="113"/>
        <v>0</v>
      </c>
      <c r="X119" s="141">
        <f t="shared" si="113"/>
        <v>0</v>
      </c>
      <c r="Y119" s="141">
        <f t="shared" si="113"/>
        <v>0</v>
      </c>
      <c r="Z119" s="141">
        <f t="shared" si="113"/>
        <v>0</v>
      </c>
      <c r="AA119" s="141">
        <f t="shared" si="113"/>
        <v>0</v>
      </c>
      <c r="AB119" s="141">
        <f t="shared" si="113"/>
        <v>0</v>
      </c>
      <c r="AC119" s="141">
        <f t="shared" si="113"/>
        <v>0</v>
      </c>
      <c r="AD119" s="141">
        <f t="shared" si="113"/>
        <v>0</v>
      </c>
      <c r="AE119" s="141">
        <f t="shared" si="113"/>
        <v>0</v>
      </c>
      <c r="AF119" s="141">
        <f t="shared" si="113"/>
        <v>0</v>
      </c>
      <c r="AG119" s="141">
        <f t="shared" si="113"/>
        <v>0</v>
      </c>
      <c r="AH119" s="154" t="s">
        <v>12</v>
      </c>
      <c r="AI119" s="133"/>
      <c r="AJ119" s="170"/>
      <c r="AK119" s="133"/>
      <c r="AL119" s="133"/>
    </row>
    <row r="120" spans="1:57" ht="15.95" hidden="1" customHeight="1" x14ac:dyDescent="0.25">
      <c r="A120" s="176"/>
      <c r="B120" s="149" t="s">
        <v>65</v>
      </c>
      <c r="C120" s="141">
        <f t="shared" ref="C120:AG120" si="114">IF(D46=1,IF(C113&gt;C114,C114,0),0)</f>
        <v>0</v>
      </c>
      <c r="D120" s="141">
        <f t="shared" si="114"/>
        <v>0</v>
      </c>
      <c r="E120" s="141">
        <f t="shared" si="114"/>
        <v>0</v>
      </c>
      <c r="F120" s="141">
        <f t="shared" si="114"/>
        <v>0</v>
      </c>
      <c r="G120" s="141">
        <f t="shared" si="114"/>
        <v>0</v>
      </c>
      <c r="H120" s="141">
        <f t="shared" si="114"/>
        <v>0</v>
      </c>
      <c r="I120" s="141">
        <f t="shared" si="114"/>
        <v>0</v>
      </c>
      <c r="J120" s="141">
        <f t="shared" si="114"/>
        <v>0</v>
      </c>
      <c r="K120" s="141">
        <f t="shared" si="114"/>
        <v>0</v>
      </c>
      <c r="L120" s="141">
        <f t="shared" si="114"/>
        <v>0</v>
      </c>
      <c r="M120" s="141">
        <f t="shared" si="114"/>
        <v>0</v>
      </c>
      <c r="N120" s="141">
        <f t="shared" si="114"/>
        <v>0</v>
      </c>
      <c r="O120" s="141">
        <f t="shared" si="114"/>
        <v>0</v>
      </c>
      <c r="P120" s="141">
        <f t="shared" si="114"/>
        <v>0</v>
      </c>
      <c r="Q120" s="141">
        <f t="shared" si="114"/>
        <v>0</v>
      </c>
      <c r="R120" s="141">
        <f t="shared" si="114"/>
        <v>0</v>
      </c>
      <c r="S120" s="141">
        <f t="shared" si="114"/>
        <v>0</v>
      </c>
      <c r="T120" s="141">
        <f t="shared" si="114"/>
        <v>0</v>
      </c>
      <c r="U120" s="141">
        <f t="shared" si="114"/>
        <v>0</v>
      </c>
      <c r="V120" s="141">
        <f t="shared" si="114"/>
        <v>0</v>
      </c>
      <c r="W120" s="141">
        <f t="shared" si="114"/>
        <v>0</v>
      </c>
      <c r="X120" s="141">
        <f>IF(Y46=1,IF(X113&gt;X114,X114,0),0)</f>
        <v>0</v>
      </c>
      <c r="Y120" s="141">
        <f t="shared" si="114"/>
        <v>0</v>
      </c>
      <c r="Z120" s="141">
        <f t="shared" si="114"/>
        <v>0</v>
      </c>
      <c r="AA120" s="141">
        <f t="shared" si="114"/>
        <v>0</v>
      </c>
      <c r="AB120" s="141">
        <f t="shared" si="114"/>
        <v>6</v>
      </c>
      <c r="AC120" s="141">
        <f t="shared" si="114"/>
        <v>0</v>
      </c>
      <c r="AD120" s="141">
        <f t="shared" si="114"/>
        <v>0</v>
      </c>
      <c r="AE120" s="141">
        <f t="shared" si="114"/>
        <v>0</v>
      </c>
      <c r="AF120" s="141">
        <f t="shared" si="114"/>
        <v>0</v>
      </c>
      <c r="AG120" s="141">
        <f t="shared" si="114"/>
        <v>0</v>
      </c>
      <c r="AH120" s="154" t="s">
        <v>12</v>
      </c>
      <c r="AI120" s="133"/>
      <c r="AJ120" s="170"/>
      <c r="AK120" s="133"/>
      <c r="AL120" s="133"/>
    </row>
    <row r="121" spans="1:57" ht="15.95" hidden="1" customHeight="1" x14ac:dyDescent="0.25">
      <c r="A121" s="176"/>
      <c r="B121" s="149" t="s">
        <v>67</v>
      </c>
      <c r="C121" s="171">
        <f t="shared" ref="C121:AG121" si="115">SUM(C118:C120)</f>
        <v>0</v>
      </c>
      <c r="D121" s="171">
        <f t="shared" si="115"/>
        <v>0</v>
      </c>
      <c r="E121" s="171">
        <f t="shared" si="115"/>
        <v>0</v>
      </c>
      <c r="F121" s="171">
        <f t="shared" si="115"/>
        <v>0</v>
      </c>
      <c r="G121" s="171">
        <f t="shared" si="115"/>
        <v>0</v>
      </c>
      <c r="H121" s="171">
        <f t="shared" si="115"/>
        <v>0</v>
      </c>
      <c r="I121" s="171">
        <f t="shared" si="115"/>
        <v>0</v>
      </c>
      <c r="J121" s="171">
        <f t="shared" si="115"/>
        <v>0</v>
      </c>
      <c r="K121" s="171">
        <f t="shared" si="115"/>
        <v>0</v>
      </c>
      <c r="L121" s="171">
        <f t="shared" si="115"/>
        <v>0</v>
      </c>
      <c r="M121" s="171">
        <f t="shared" si="115"/>
        <v>0</v>
      </c>
      <c r="N121" s="171">
        <f t="shared" si="115"/>
        <v>0</v>
      </c>
      <c r="O121" s="171">
        <f t="shared" si="115"/>
        <v>12</v>
      </c>
      <c r="P121" s="171">
        <f t="shared" si="115"/>
        <v>12</v>
      </c>
      <c r="Q121" s="171">
        <f t="shared" si="115"/>
        <v>0</v>
      </c>
      <c r="R121" s="171">
        <f t="shared" si="115"/>
        <v>0</v>
      </c>
      <c r="S121" s="171">
        <f t="shared" si="115"/>
        <v>0</v>
      </c>
      <c r="T121" s="171">
        <f t="shared" si="115"/>
        <v>0</v>
      </c>
      <c r="U121" s="171">
        <f t="shared" si="115"/>
        <v>0</v>
      </c>
      <c r="V121" s="171">
        <f t="shared" si="115"/>
        <v>0</v>
      </c>
      <c r="W121" s="171">
        <f t="shared" si="115"/>
        <v>0</v>
      </c>
      <c r="X121" s="171">
        <f t="shared" si="115"/>
        <v>0</v>
      </c>
      <c r="Y121" s="171">
        <f t="shared" si="115"/>
        <v>0</v>
      </c>
      <c r="Z121" s="171">
        <f t="shared" si="115"/>
        <v>0</v>
      </c>
      <c r="AA121" s="171">
        <f t="shared" si="115"/>
        <v>0</v>
      </c>
      <c r="AB121" s="171">
        <f t="shared" si="115"/>
        <v>6</v>
      </c>
      <c r="AC121" s="171">
        <f t="shared" si="115"/>
        <v>0</v>
      </c>
      <c r="AD121" s="171">
        <f t="shared" si="115"/>
        <v>0</v>
      </c>
      <c r="AE121" s="171">
        <f t="shared" si="115"/>
        <v>0</v>
      </c>
      <c r="AF121" s="171">
        <f t="shared" si="115"/>
        <v>0</v>
      </c>
      <c r="AG121" s="171">
        <f t="shared" si="115"/>
        <v>0</v>
      </c>
      <c r="AH121" s="154" t="s">
        <v>12</v>
      </c>
      <c r="AI121" s="133"/>
      <c r="AJ121" s="170"/>
      <c r="AK121" s="133"/>
      <c r="AL121" s="133"/>
    </row>
    <row r="122" spans="1:57" ht="15.95" hidden="1" customHeight="1" x14ac:dyDescent="0.25">
      <c r="A122" s="177"/>
      <c r="B122" s="160" t="s">
        <v>68</v>
      </c>
      <c r="C122" s="182">
        <f t="shared" ref="C122:AG122" si="116">IF(C15="V",IF(C15="",0,1),0)</f>
        <v>0</v>
      </c>
      <c r="D122" s="182">
        <f t="shared" si="116"/>
        <v>0</v>
      </c>
      <c r="E122" s="182">
        <f t="shared" si="116"/>
        <v>0</v>
      </c>
      <c r="F122" s="182">
        <f t="shared" si="116"/>
        <v>0</v>
      </c>
      <c r="G122" s="182">
        <f t="shared" si="116"/>
        <v>0</v>
      </c>
      <c r="H122" s="182">
        <f t="shared" si="116"/>
        <v>0</v>
      </c>
      <c r="I122" s="182">
        <f t="shared" si="116"/>
        <v>0</v>
      </c>
      <c r="J122" s="182">
        <f t="shared" si="116"/>
        <v>0</v>
      </c>
      <c r="K122" s="182">
        <f t="shared" si="116"/>
        <v>0</v>
      </c>
      <c r="L122" s="182">
        <f t="shared" si="116"/>
        <v>0</v>
      </c>
      <c r="M122" s="182">
        <f t="shared" si="116"/>
        <v>0</v>
      </c>
      <c r="N122" s="182">
        <f t="shared" si="116"/>
        <v>0</v>
      </c>
      <c r="O122" s="182">
        <f t="shared" si="116"/>
        <v>0</v>
      </c>
      <c r="P122" s="182">
        <f t="shared" si="116"/>
        <v>0</v>
      </c>
      <c r="Q122" s="182">
        <f t="shared" si="116"/>
        <v>0</v>
      </c>
      <c r="R122" s="182">
        <f t="shared" si="116"/>
        <v>0</v>
      </c>
      <c r="S122" s="182">
        <f t="shared" si="116"/>
        <v>0</v>
      </c>
      <c r="T122" s="182">
        <f t="shared" si="116"/>
        <v>0</v>
      </c>
      <c r="U122" s="182">
        <f t="shared" si="116"/>
        <v>0</v>
      </c>
      <c r="V122" s="182">
        <f t="shared" si="116"/>
        <v>0</v>
      </c>
      <c r="W122" s="182">
        <f t="shared" si="116"/>
        <v>0</v>
      </c>
      <c r="X122" s="182">
        <f t="shared" si="116"/>
        <v>0</v>
      </c>
      <c r="Y122" s="182">
        <f t="shared" si="116"/>
        <v>0</v>
      </c>
      <c r="Z122" s="182">
        <f t="shared" si="116"/>
        <v>0</v>
      </c>
      <c r="AA122" s="182">
        <f t="shared" si="116"/>
        <v>0</v>
      </c>
      <c r="AB122" s="182">
        <f t="shared" si="116"/>
        <v>0</v>
      </c>
      <c r="AC122" s="182">
        <f t="shared" si="116"/>
        <v>0</v>
      </c>
      <c r="AD122" s="182">
        <f t="shared" si="116"/>
        <v>0</v>
      </c>
      <c r="AE122" s="182">
        <f t="shared" si="116"/>
        <v>0</v>
      </c>
      <c r="AF122" s="182">
        <f t="shared" si="116"/>
        <v>0</v>
      </c>
      <c r="AG122" s="182">
        <f t="shared" si="116"/>
        <v>0</v>
      </c>
      <c r="AH122" s="154" t="s">
        <v>12</v>
      </c>
      <c r="AI122" s="133"/>
      <c r="AJ122" s="170"/>
      <c r="AK122" s="133"/>
      <c r="AL122" s="133"/>
    </row>
    <row r="123" spans="1:57" ht="15.95" hidden="1" customHeight="1" x14ac:dyDescent="0.25">
      <c r="A123" s="180"/>
      <c r="B123" s="181" t="s">
        <v>16</v>
      </c>
      <c r="C123" s="182">
        <f t="shared" ref="C123:AG123" si="117">IF(C15="PR",IF(C15="",0,1),0)</f>
        <v>0</v>
      </c>
      <c r="D123" s="182">
        <f t="shared" si="117"/>
        <v>0</v>
      </c>
      <c r="E123" s="182">
        <f t="shared" si="117"/>
        <v>0</v>
      </c>
      <c r="F123" s="182">
        <f t="shared" si="117"/>
        <v>0</v>
      </c>
      <c r="G123" s="182">
        <f t="shared" si="117"/>
        <v>0</v>
      </c>
      <c r="H123" s="182">
        <f t="shared" si="117"/>
        <v>0</v>
      </c>
      <c r="I123" s="182">
        <f t="shared" si="117"/>
        <v>0</v>
      </c>
      <c r="J123" s="182">
        <f t="shared" si="117"/>
        <v>0</v>
      </c>
      <c r="K123" s="182">
        <f t="shared" si="117"/>
        <v>0</v>
      </c>
      <c r="L123" s="182">
        <f t="shared" si="117"/>
        <v>0</v>
      </c>
      <c r="M123" s="182">
        <f t="shared" si="117"/>
        <v>0</v>
      </c>
      <c r="N123" s="182">
        <f t="shared" si="117"/>
        <v>0</v>
      </c>
      <c r="O123" s="182">
        <f t="shared" si="117"/>
        <v>0</v>
      </c>
      <c r="P123" s="182">
        <f t="shared" si="117"/>
        <v>0</v>
      </c>
      <c r="Q123" s="182">
        <f t="shared" si="117"/>
        <v>0</v>
      </c>
      <c r="R123" s="182">
        <f t="shared" si="117"/>
        <v>0</v>
      </c>
      <c r="S123" s="182">
        <f t="shared" si="117"/>
        <v>0</v>
      </c>
      <c r="T123" s="182">
        <f t="shared" si="117"/>
        <v>0</v>
      </c>
      <c r="U123" s="182">
        <f t="shared" si="117"/>
        <v>0</v>
      </c>
      <c r="V123" s="182">
        <f t="shared" si="117"/>
        <v>0</v>
      </c>
      <c r="W123" s="182">
        <f t="shared" si="117"/>
        <v>0</v>
      </c>
      <c r="X123" s="182">
        <f t="shared" si="117"/>
        <v>0</v>
      </c>
      <c r="Y123" s="182">
        <f t="shared" si="117"/>
        <v>0</v>
      </c>
      <c r="Z123" s="182">
        <f t="shared" si="117"/>
        <v>0</v>
      </c>
      <c r="AA123" s="182">
        <f t="shared" si="117"/>
        <v>0</v>
      </c>
      <c r="AB123" s="182">
        <f t="shared" si="117"/>
        <v>0</v>
      </c>
      <c r="AC123" s="182">
        <f t="shared" si="117"/>
        <v>0</v>
      </c>
      <c r="AD123" s="182">
        <f t="shared" si="117"/>
        <v>0</v>
      </c>
      <c r="AE123" s="182">
        <f t="shared" si="117"/>
        <v>0</v>
      </c>
      <c r="AF123" s="182">
        <f t="shared" si="117"/>
        <v>0</v>
      </c>
      <c r="AG123" s="182">
        <f t="shared" si="117"/>
        <v>0</v>
      </c>
      <c r="AH123" s="227">
        <f>SUM(C123:AG123)</f>
        <v>0</v>
      </c>
      <c r="AI123" s="227"/>
      <c r="AJ123" s="174" t="s">
        <v>69</v>
      </c>
      <c r="AK123" s="133"/>
      <c r="AL123" s="133"/>
    </row>
    <row r="124" spans="1:57" ht="15.95" hidden="1" customHeight="1" x14ac:dyDescent="0.25">
      <c r="A124" s="164" t="s">
        <v>83</v>
      </c>
      <c r="B124" s="165" t="s">
        <v>29</v>
      </c>
      <c r="C124" s="141">
        <f t="shared" ref="C124:AG124" si="118">IF(C16=$R32,$S32*24,IF(C16=$R33,$S33*24,IF(C16=$R34,$S34*24,IF(C16=$R35,$S35*24,IF(C16=$R36,$S36*24,IF(C16=$R37,$S37*24,IF(C16=$R38,$S38*24,IF(C16=$R39,$S39*24,IF(C16=$R40,$S40*24,"")))))))))</f>
        <v>18</v>
      </c>
      <c r="D124" s="141">
        <f t="shared" si="118"/>
        <v>18</v>
      </c>
      <c r="E124" s="141" t="str">
        <f t="shared" si="118"/>
        <v/>
      </c>
      <c r="F124" s="141" t="str">
        <f t="shared" si="118"/>
        <v/>
      </c>
      <c r="G124" s="141">
        <f t="shared" si="118"/>
        <v>18</v>
      </c>
      <c r="H124" s="141">
        <f t="shared" si="118"/>
        <v>18</v>
      </c>
      <c r="I124" s="141">
        <f t="shared" si="118"/>
        <v>18</v>
      </c>
      <c r="J124" s="141" t="str">
        <f t="shared" si="118"/>
        <v/>
      </c>
      <c r="K124" s="141" t="str">
        <f t="shared" si="118"/>
        <v/>
      </c>
      <c r="L124" s="141" t="str">
        <f t="shared" si="118"/>
        <v/>
      </c>
      <c r="M124" s="141">
        <f t="shared" si="118"/>
        <v>18</v>
      </c>
      <c r="N124" s="141" t="str">
        <f t="shared" si="118"/>
        <v/>
      </c>
      <c r="O124" s="141" t="str">
        <f t="shared" si="118"/>
        <v/>
      </c>
      <c r="P124" s="141" t="str">
        <f t="shared" si="118"/>
        <v/>
      </c>
      <c r="Q124" s="141" t="str">
        <f t="shared" si="118"/>
        <v/>
      </c>
      <c r="R124" s="141" t="str">
        <f t="shared" si="118"/>
        <v/>
      </c>
      <c r="S124" s="141" t="str">
        <f t="shared" si="118"/>
        <v/>
      </c>
      <c r="T124" s="141" t="str">
        <f t="shared" si="118"/>
        <v/>
      </c>
      <c r="U124" s="141">
        <f t="shared" si="118"/>
        <v>18</v>
      </c>
      <c r="V124" s="141">
        <f t="shared" si="118"/>
        <v>18</v>
      </c>
      <c r="W124" s="141">
        <f t="shared" si="118"/>
        <v>18</v>
      </c>
      <c r="X124" s="141" t="str">
        <f t="shared" si="118"/>
        <v/>
      </c>
      <c r="Y124" s="141" t="str">
        <f t="shared" si="118"/>
        <v/>
      </c>
      <c r="Z124" s="141">
        <f t="shared" si="118"/>
        <v>6</v>
      </c>
      <c r="AA124" s="141">
        <f t="shared" si="118"/>
        <v>6</v>
      </c>
      <c r="AB124" s="141">
        <f t="shared" si="118"/>
        <v>6</v>
      </c>
      <c r="AC124" s="141">
        <f t="shared" si="118"/>
        <v>19</v>
      </c>
      <c r="AD124" s="141">
        <f t="shared" si="118"/>
        <v>19</v>
      </c>
      <c r="AE124" s="141" t="str">
        <f t="shared" si="118"/>
        <v/>
      </c>
      <c r="AF124" s="141" t="str">
        <f t="shared" si="118"/>
        <v/>
      </c>
      <c r="AG124" s="141" t="str">
        <f t="shared" si="118"/>
        <v/>
      </c>
      <c r="AH124" s="154" t="s">
        <v>12</v>
      </c>
      <c r="AI124" s="133"/>
      <c r="AJ124" s="170"/>
      <c r="AK124" s="133"/>
      <c r="AL124" s="133"/>
    </row>
    <row r="125" spans="1:57" ht="15.95" hidden="1" customHeight="1" x14ac:dyDescent="0.25">
      <c r="A125" s="166" t="s">
        <v>84</v>
      </c>
      <c r="B125" s="167" t="s">
        <v>30</v>
      </c>
      <c r="C125" s="141">
        <f t="shared" ref="C125:AG125" si="119">IF(C16=$R32,$V32*24,IF(C16=$R33,$V33*24,IF(C16=$R34,$V34*24,IF(C16=$R35,$V35*24,IF(C16=$R36,$V36*24,IF(C16=$R37,$V37*24,IF(C16=$R38,$V38*24,IF(C16=$R39,$V39*24,IF(C16=$R40,$V40*24,"")))))))))</f>
        <v>6</v>
      </c>
      <c r="D125" s="141">
        <f t="shared" si="119"/>
        <v>6</v>
      </c>
      <c r="E125" s="141" t="str">
        <f t="shared" si="119"/>
        <v/>
      </c>
      <c r="F125" s="141" t="str">
        <f t="shared" si="119"/>
        <v/>
      </c>
      <c r="G125" s="141">
        <f t="shared" si="119"/>
        <v>6</v>
      </c>
      <c r="H125" s="141">
        <f t="shared" si="119"/>
        <v>6</v>
      </c>
      <c r="I125" s="141">
        <f t="shared" si="119"/>
        <v>6</v>
      </c>
      <c r="J125" s="141" t="str">
        <f t="shared" si="119"/>
        <v/>
      </c>
      <c r="K125" s="141" t="str">
        <f t="shared" si="119"/>
        <v/>
      </c>
      <c r="L125" s="141" t="str">
        <f t="shared" si="119"/>
        <v/>
      </c>
      <c r="M125" s="141">
        <f t="shared" si="119"/>
        <v>6</v>
      </c>
      <c r="N125" s="141" t="str">
        <f t="shared" si="119"/>
        <v/>
      </c>
      <c r="O125" s="141" t="str">
        <f t="shared" si="119"/>
        <v/>
      </c>
      <c r="P125" s="141" t="str">
        <f t="shared" si="119"/>
        <v/>
      </c>
      <c r="Q125" s="141" t="str">
        <f t="shared" si="119"/>
        <v/>
      </c>
      <c r="R125" s="141" t="str">
        <f t="shared" si="119"/>
        <v/>
      </c>
      <c r="S125" s="141" t="str">
        <f t="shared" si="119"/>
        <v/>
      </c>
      <c r="T125" s="141" t="str">
        <f t="shared" si="119"/>
        <v/>
      </c>
      <c r="U125" s="141">
        <f t="shared" si="119"/>
        <v>6</v>
      </c>
      <c r="V125" s="141">
        <f t="shared" si="119"/>
        <v>6</v>
      </c>
      <c r="W125" s="141">
        <f t="shared" si="119"/>
        <v>6</v>
      </c>
      <c r="X125" s="141" t="str">
        <f t="shared" si="119"/>
        <v/>
      </c>
      <c r="Y125" s="141" t="str">
        <f t="shared" si="119"/>
        <v/>
      </c>
      <c r="Z125" s="141">
        <f t="shared" si="119"/>
        <v>18</v>
      </c>
      <c r="AA125" s="141">
        <f t="shared" si="119"/>
        <v>18</v>
      </c>
      <c r="AB125" s="141">
        <f t="shared" si="119"/>
        <v>18</v>
      </c>
      <c r="AC125" s="141">
        <f t="shared" si="119"/>
        <v>7</v>
      </c>
      <c r="AD125" s="141">
        <f t="shared" si="119"/>
        <v>7</v>
      </c>
      <c r="AE125" s="141" t="str">
        <f t="shared" si="119"/>
        <v/>
      </c>
      <c r="AF125" s="141" t="str">
        <f t="shared" si="119"/>
        <v/>
      </c>
      <c r="AG125" s="141" t="str">
        <f t="shared" si="119"/>
        <v/>
      </c>
      <c r="AH125" s="154" t="s">
        <v>12</v>
      </c>
      <c r="AI125" s="133"/>
      <c r="AJ125" s="170"/>
      <c r="AK125" s="133"/>
      <c r="AL125" s="133"/>
    </row>
    <row r="126" spans="1:57" ht="15.95" hidden="1" customHeight="1" x14ac:dyDescent="0.25">
      <c r="A126" s="153"/>
      <c r="B126" s="168" t="s">
        <v>34</v>
      </c>
      <c r="C126" s="169">
        <f t="shared" ref="C126:AD126" si="120">IF(C16=$R32,$BD32*24,IF(C16=$R33,$BD33*24,IF(C16=$R34,$BD34*24,IF(C16=$R35,$BD35*24,IF(C16=$R36,$BD36*24,IF(C16=$R37,$BD37*24,IF(C16=$R38,$BD38*24,IF(C16=$R39,$BD39*24,IF(C16=$R40,$BD40*24,"")))))))))</f>
        <v>8</v>
      </c>
      <c r="D126" s="169">
        <f t="shared" si="120"/>
        <v>8</v>
      </c>
      <c r="E126" s="169" t="str">
        <f t="shared" si="120"/>
        <v/>
      </c>
      <c r="F126" s="169" t="str">
        <f t="shared" si="120"/>
        <v/>
      </c>
      <c r="G126" s="169">
        <f t="shared" si="120"/>
        <v>8</v>
      </c>
      <c r="H126" s="169">
        <f t="shared" si="120"/>
        <v>8</v>
      </c>
      <c r="I126" s="169">
        <f t="shared" si="120"/>
        <v>8</v>
      </c>
      <c r="J126" s="169" t="str">
        <f t="shared" si="120"/>
        <v/>
      </c>
      <c r="K126" s="169" t="str">
        <f t="shared" si="120"/>
        <v/>
      </c>
      <c r="L126" s="169" t="str">
        <f t="shared" si="120"/>
        <v/>
      </c>
      <c r="M126" s="169">
        <f t="shared" si="120"/>
        <v>8</v>
      </c>
      <c r="N126" s="169" t="str">
        <f t="shared" si="120"/>
        <v/>
      </c>
      <c r="O126" s="169" t="str">
        <f t="shared" si="120"/>
        <v/>
      </c>
      <c r="P126" s="169" t="str">
        <f t="shared" si="120"/>
        <v/>
      </c>
      <c r="Q126" s="169" t="str">
        <f t="shared" si="120"/>
        <v/>
      </c>
      <c r="R126" s="169" t="str">
        <f t="shared" si="120"/>
        <v/>
      </c>
      <c r="S126" s="169" t="str">
        <f t="shared" si="120"/>
        <v/>
      </c>
      <c r="T126" s="169" t="str">
        <f t="shared" si="120"/>
        <v/>
      </c>
      <c r="U126" s="169">
        <f t="shared" si="120"/>
        <v>8</v>
      </c>
      <c r="V126" s="169">
        <f t="shared" si="120"/>
        <v>8</v>
      </c>
      <c r="W126" s="169">
        <f t="shared" si="120"/>
        <v>8</v>
      </c>
      <c r="X126" s="169" t="str">
        <f t="shared" si="120"/>
        <v/>
      </c>
      <c r="Y126" s="169" t="str">
        <f t="shared" si="120"/>
        <v/>
      </c>
      <c r="Z126" s="169">
        <f t="shared" si="120"/>
        <v>0</v>
      </c>
      <c r="AA126" s="169">
        <f t="shared" si="120"/>
        <v>0</v>
      </c>
      <c r="AB126" s="169">
        <f t="shared" si="120"/>
        <v>0</v>
      </c>
      <c r="AC126" s="169">
        <f t="shared" si="120"/>
        <v>8</v>
      </c>
      <c r="AD126" s="169">
        <f t="shared" si="120"/>
        <v>8</v>
      </c>
      <c r="AE126" s="169" t="str">
        <f>IF(AE16=$R32,$BD32*24,IF(AE16=$R33,$BD33*24,IF(AE16=$R34,$BD34*24,IF(AE16=$R35,$BD35*24,IF(AE16=$R36,$BD36*24,IF(AE16=$R37,$BD37*24,IF(AE16=$R38,$BD38*24,IF(AE16=$R39,$BD39*24,IF(AE16=$R40,$BD40*24,"")))))))))</f>
        <v/>
      </c>
      <c r="AF126" s="169" t="str">
        <f>IF(AF16=$R32,$BD32*24,IF(AF16=$R33,$BD33*24,IF(AF16=$R34,$BD34*24,IF(AF16=$R35,$BD35*24,IF(AF16=$R36,$BD36*24,IF(AF16=$R37,$BD37*24,IF(AF16=$R38,$BD38*24,IF(AF16=$R39,$BD39*24,IF(AF16=$R40,$BD40*24,"")))))))))</f>
        <v/>
      </c>
      <c r="AG126" s="169" t="str">
        <f>IF(AG16=$R32,$BD32*24,IF(AG16=$R33,$BD33*24,IF(AG16=$R34,$BD34*24,IF(AG16=$R35,$BD35*24,IF(AG16=$R36,$BD36*24,IF(AG16=$R37,$BD37*24,IF(AG16=$R38,$BD38*24,IF(AG16=$R39,$BD39*24,IF(AG16=$R40,$BD40*24,"")))))))))</f>
        <v/>
      </c>
      <c r="AH126" s="148">
        <f>SUM(C126:AG126)</f>
        <v>88</v>
      </c>
      <c r="AI126" s="133"/>
      <c r="AJ126" s="170"/>
      <c r="AK126" s="133"/>
      <c r="AL126" s="133"/>
    </row>
    <row r="127" spans="1:57" ht="15.95" hidden="1" customHeight="1" x14ac:dyDescent="0.25">
      <c r="A127" s="153"/>
      <c r="B127" s="167" t="s">
        <v>59</v>
      </c>
      <c r="C127" s="141">
        <f t="shared" ref="C127:AG127" si="121">IF(C16="V",$C36,IF(C16="PR",$C38,0))</f>
        <v>0</v>
      </c>
      <c r="D127" s="141">
        <f t="shared" si="121"/>
        <v>0</v>
      </c>
      <c r="E127" s="141">
        <f t="shared" si="121"/>
        <v>0</v>
      </c>
      <c r="F127" s="141">
        <f t="shared" si="121"/>
        <v>0</v>
      </c>
      <c r="G127" s="141">
        <f t="shared" si="121"/>
        <v>0</v>
      </c>
      <c r="H127" s="141">
        <f t="shared" si="121"/>
        <v>0</v>
      </c>
      <c r="I127" s="141">
        <f t="shared" si="121"/>
        <v>0</v>
      </c>
      <c r="J127" s="141">
        <f t="shared" si="121"/>
        <v>0</v>
      </c>
      <c r="K127" s="141">
        <f t="shared" si="121"/>
        <v>0</v>
      </c>
      <c r="L127" s="141">
        <f t="shared" si="121"/>
        <v>0</v>
      </c>
      <c r="M127" s="141">
        <f t="shared" si="121"/>
        <v>0</v>
      </c>
      <c r="N127" s="141">
        <f t="shared" si="121"/>
        <v>0</v>
      </c>
      <c r="O127" s="141">
        <f t="shared" si="121"/>
        <v>0</v>
      </c>
      <c r="P127" s="141">
        <f t="shared" si="121"/>
        <v>0</v>
      </c>
      <c r="Q127" s="141">
        <f t="shared" si="121"/>
        <v>0</v>
      </c>
      <c r="R127" s="141">
        <f t="shared" si="121"/>
        <v>0</v>
      </c>
      <c r="S127" s="141">
        <f t="shared" si="121"/>
        <v>0</v>
      </c>
      <c r="T127" s="141">
        <f t="shared" si="121"/>
        <v>0</v>
      </c>
      <c r="U127" s="141">
        <f t="shared" si="121"/>
        <v>0</v>
      </c>
      <c r="V127" s="141">
        <f t="shared" si="121"/>
        <v>0</v>
      </c>
      <c r="W127" s="141">
        <f t="shared" si="121"/>
        <v>0</v>
      </c>
      <c r="X127" s="141">
        <f t="shared" si="121"/>
        <v>0</v>
      </c>
      <c r="Y127" s="141">
        <f t="shared" si="121"/>
        <v>0</v>
      </c>
      <c r="Z127" s="141">
        <f t="shared" si="121"/>
        <v>0</v>
      </c>
      <c r="AA127" s="141">
        <f t="shared" si="121"/>
        <v>0</v>
      </c>
      <c r="AB127" s="141">
        <f t="shared" si="121"/>
        <v>0</v>
      </c>
      <c r="AC127" s="141">
        <f t="shared" si="121"/>
        <v>0</v>
      </c>
      <c r="AD127" s="141">
        <f t="shared" si="121"/>
        <v>0</v>
      </c>
      <c r="AE127" s="141">
        <f t="shared" si="121"/>
        <v>0</v>
      </c>
      <c r="AF127" s="141">
        <f t="shared" si="121"/>
        <v>0</v>
      </c>
      <c r="AG127" s="141">
        <f t="shared" si="121"/>
        <v>0</v>
      </c>
      <c r="AH127" s="226">
        <f>SUM(C127:AG127)</f>
        <v>0</v>
      </c>
      <c r="AI127" s="226"/>
      <c r="AJ127" s="230">
        <f>SUM(AH72+AH83+AH94+AH105+AH116+AH127)</f>
        <v>0</v>
      </c>
      <c r="AK127" s="230"/>
      <c r="AL127" s="133" t="s">
        <v>56</v>
      </c>
    </row>
    <row r="128" spans="1:57" ht="15.95" hidden="1" customHeight="1" x14ac:dyDescent="0.25">
      <c r="A128" s="150" t="s">
        <v>60</v>
      </c>
      <c r="B128" s="167" t="s">
        <v>61</v>
      </c>
      <c r="C128" s="151">
        <f t="shared" ref="C128:AD128" si="122">IF(C16=$R32,$BC32,IF(C16=$R33,$BC33,IF(C16=$R34,$BC34,IF(C16=$R35,$BC35,IF(C16=$R36,$BC36,IF(C16=$R37,$BC37,IF(C16=$R38,$BC38,IF(C16=$R39,$BC39,IF(C16=$R40,$BC40,0)))))))))</f>
        <v>12</v>
      </c>
      <c r="D128" s="151">
        <f t="shared" si="122"/>
        <v>12</v>
      </c>
      <c r="E128" s="151">
        <f t="shared" si="122"/>
        <v>0</v>
      </c>
      <c r="F128" s="151">
        <f t="shared" si="122"/>
        <v>0</v>
      </c>
      <c r="G128" s="151">
        <f t="shared" si="122"/>
        <v>12</v>
      </c>
      <c r="H128" s="151">
        <f t="shared" si="122"/>
        <v>12</v>
      </c>
      <c r="I128" s="151">
        <f t="shared" si="122"/>
        <v>12</v>
      </c>
      <c r="J128" s="151">
        <f t="shared" si="122"/>
        <v>0</v>
      </c>
      <c r="K128" s="151">
        <f t="shared" si="122"/>
        <v>0</v>
      </c>
      <c r="L128" s="151">
        <f t="shared" si="122"/>
        <v>0</v>
      </c>
      <c r="M128" s="151">
        <f t="shared" si="122"/>
        <v>12</v>
      </c>
      <c r="N128" s="151">
        <f t="shared" si="122"/>
        <v>0</v>
      </c>
      <c r="O128" s="151">
        <f t="shared" si="122"/>
        <v>0</v>
      </c>
      <c r="P128" s="151">
        <f t="shared" si="122"/>
        <v>0</v>
      </c>
      <c r="Q128" s="151">
        <f t="shared" si="122"/>
        <v>0</v>
      </c>
      <c r="R128" s="151">
        <f t="shared" si="122"/>
        <v>0</v>
      </c>
      <c r="S128" s="151">
        <f t="shared" si="122"/>
        <v>0</v>
      </c>
      <c r="T128" s="151">
        <f t="shared" si="122"/>
        <v>0</v>
      </c>
      <c r="U128" s="151">
        <f t="shared" si="122"/>
        <v>12</v>
      </c>
      <c r="V128" s="151">
        <f t="shared" si="122"/>
        <v>12</v>
      </c>
      <c r="W128" s="151">
        <f t="shared" si="122"/>
        <v>12</v>
      </c>
      <c r="X128" s="151">
        <f t="shared" si="122"/>
        <v>0</v>
      </c>
      <c r="Y128" s="151">
        <f t="shared" si="122"/>
        <v>0</v>
      </c>
      <c r="Z128" s="151">
        <f t="shared" si="122"/>
        <v>12</v>
      </c>
      <c r="AA128" s="151">
        <f t="shared" si="122"/>
        <v>12</v>
      </c>
      <c r="AB128" s="151">
        <f t="shared" si="122"/>
        <v>12</v>
      </c>
      <c r="AC128" s="151">
        <f t="shared" si="122"/>
        <v>12</v>
      </c>
      <c r="AD128" s="151">
        <f t="shared" si="122"/>
        <v>12</v>
      </c>
      <c r="AE128" s="151">
        <f>IF(AE16=$R32,$BC32,IF(AE16=$R33,$BC33,IF(AE16=$R34,$BC34,IF(AE16=$R35,$BC35,IF(AE16=$R36,$BC36,IF(AE16=$R37,$BC37,IF(AE16=$R38,$BC38,IF(AE16=$R39,$BC39,IF(AE16=$R40,$BC40,0)))))))))</f>
        <v>0</v>
      </c>
      <c r="AF128" s="151">
        <f>IF(AF16=$R32,$BC32,IF(AF16=$R33,$BC33,IF(AF16=$R34,$BC34,IF(AF16=$R35,$BC35,IF(AF16=$R36,$BC36,IF(AF16=$R37,$BC37,IF(AF16=$R38,$BC38,IF(AF16=$R39,$BC39,IF(AF16=$R40,$BC40,0)))))))))</f>
        <v>0</v>
      </c>
      <c r="AG128" s="151">
        <f>IF(AG16=$R32,$BC32,IF(AG16=$R33,$BC33,IF(AG16=$R34,$BC34,IF(AG16=$R35,$BC35,IF(AG16=$R36,$BC36,IF(AG16=$R37,$BC37,IF(AG16=$R38,$BC38,IF(AG16=$R39,$BC39,IF(AG16=$R40,$BC40,0)))))))))</f>
        <v>0</v>
      </c>
      <c r="AH128" s="226">
        <f>SUM(C128:AG128)</f>
        <v>168</v>
      </c>
      <c r="AI128" s="226"/>
      <c r="AJ128" s="174" t="s">
        <v>62</v>
      </c>
      <c r="AK128" s="133" t="s">
        <v>12</v>
      </c>
      <c r="AL128" s="133"/>
    </row>
    <row r="129" spans="1:38" ht="15.95" hidden="1" customHeight="1" x14ac:dyDescent="0.25">
      <c r="A129" s="153" t="s">
        <v>48</v>
      </c>
      <c r="B129" s="149" t="s">
        <v>63</v>
      </c>
      <c r="C129" s="141" t="b">
        <f t="shared" ref="C129:AG129" si="123">IF(C46=1,IF(C124&lt;C125,C128,0))</f>
        <v>0</v>
      </c>
      <c r="D129" s="141" t="b">
        <f t="shared" si="123"/>
        <v>0</v>
      </c>
      <c r="E129" s="141" t="b">
        <f t="shared" si="123"/>
        <v>0</v>
      </c>
      <c r="F129" s="141" t="b">
        <f t="shared" si="123"/>
        <v>0</v>
      </c>
      <c r="G129" s="141" t="b">
        <f t="shared" si="123"/>
        <v>0</v>
      </c>
      <c r="H129" s="141">
        <f t="shared" si="123"/>
        <v>0</v>
      </c>
      <c r="I129" s="141">
        <f t="shared" si="123"/>
        <v>0</v>
      </c>
      <c r="J129" s="141" t="b">
        <f t="shared" si="123"/>
        <v>0</v>
      </c>
      <c r="K129" s="141" t="b">
        <f t="shared" si="123"/>
        <v>0</v>
      </c>
      <c r="L129" s="141" t="b">
        <f t="shared" si="123"/>
        <v>0</v>
      </c>
      <c r="M129" s="141" t="b">
        <f t="shared" si="123"/>
        <v>0</v>
      </c>
      <c r="N129" s="141" t="b">
        <f t="shared" si="123"/>
        <v>0</v>
      </c>
      <c r="O129" s="141">
        <f t="shared" si="123"/>
        <v>0</v>
      </c>
      <c r="P129" s="141">
        <f t="shared" si="123"/>
        <v>0</v>
      </c>
      <c r="Q129" s="141" t="b">
        <f t="shared" si="123"/>
        <v>0</v>
      </c>
      <c r="R129" s="141" t="b">
        <f t="shared" si="123"/>
        <v>0</v>
      </c>
      <c r="S129" s="141" t="b">
        <f t="shared" si="123"/>
        <v>0</v>
      </c>
      <c r="T129" s="141" t="b">
        <f t="shared" si="123"/>
        <v>0</v>
      </c>
      <c r="U129" s="141" t="b">
        <f t="shared" si="123"/>
        <v>0</v>
      </c>
      <c r="V129" s="141">
        <f t="shared" si="123"/>
        <v>0</v>
      </c>
      <c r="W129" s="141">
        <f t="shared" si="123"/>
        <v>0</v>
      </c>
      <c r="X129" s="141" t="b">
        <f t="shared" si="123"/>
        <v>0</v>
      </c>
      <c r="Y129" s="141" t="b">
        <f t="shared" si="123"/>
        <v>0</v>
      </c>
      <c r="Z129" s="141" t="b">
        <f t="shared" si="123"/>
        <v>0</v>
      </c>
      <c r="AA129" s="141" t="b">
        <f t="shared" si="123"/>
        <v>0</v>
      </c>
      <c r="AB129" s="141" t="b">
        <f t="shared" si="123"/>
        <v>0</v>
      </c>
      <c r="AC129" s="141">
        <f t="shared" si="123"/>
        <v>0</v>
      </c>
      <c r="AD129" s="141">
        <f t="shared" si="123"/>
        <v>0</v>
      </c>
      <c r="AE129" s="141" t="b">
        <f t="shared" si="123"/>
        <v>0</v>
      </c>
      <c r="AF129" s="141" t="b">
        <f t="shared" si="123"/>
        <v>0</v>
      </c>
      <c r="AG129" s="141" t="b">
        <f t="shared" si="123"/>
        <v>0</v>
      </c>
      <c r="AH129" s="154" t="s">
        <v>12</v>
      </c>
      <c r="AI129" s="133"/>
      <c r="AJ129" s="170"/>
      <c r="AK129" s="133"/>
      <c r="AL129" s="133"/>
    </row>
    <row r="130" spans="1:38" ht="15.95" hidden="1" customHeight="1" x14ac:dyDescent="0.25">
      <c r="A130" s="176"/>
      <c r="B130" s="149" t="s">
        <v>64</v>
      </c>
      <c r="C130" s="141">
        <f t="shared" ref="C130:AG130" si="124">IF(C46=1,IF(C124&gt;C125,24-C124,0),0)</f>
        <v>0</v>
      </c>
      <c r="D130" s="141">
        <f t="shared" si="124"/>
        <v>0</v>
      </c>
      <c r="E130" s="141">
        <f t="shared" si="124"/>
        <v>0</v>
      </c>
      <c r="F130" s="141">
        <f t="shared" si="124"/>
        <v>0</v>
      </c>
      <c r="G130" s="141">
        <f t="shared" si="124"/>
        <v>0</v>
      </c>
      <c r="H130" s="141">
        <f t="shared" si="124"/>
        <v>6</v>
      </c>
      <c r="I130" s="141">
        <f t="shared" si="124"/>
        <v>6</v>
      </c>
      <c r="J130" s="141">
        <f t="shared" si="124"/>
        <v>0</v>
      </c>
      <c r="K130" s="141">
        <f t="shared" si="124"/>
        <v>0</v>
      </c>
      <c r="L130" s="141">
        <f t="shared" si="124"/>
        <v>0</v>
      </c>
      <c r="M130" s="141">
        <f t="shared" si="124"/>
        <v>0</v>
      </c>
      <c r="N130" s="141">
        <f t="shared" si="124"/>
        <v>0</v>
      </c>
      <c r="O130" s="141">
        <f t="shared" si="124"/>
        <v>0</v>
      </c>
      <c r="P130" s="141">
        <f t="shared" si="124"/>
        <v>0</v>
      </c>
      <c r="Q130" s="141">
        <f t="shared" si="124"/>
        <v>0</v>
      </c>
      <c r="R130" s="141">
        <f t="shared" si="124"/>
        <v>0</v>
      </c>
      <c r="S130" s="141">
        <f t="shared" si="124"/>
        <v>0</v>
      </c>
      <c r="T130" s="141">
        <f t="shared" si="124"/>
        <v>0</v>
      </c>
      <c r="U130" s="141">
        <f t="shared" si="124"/>
        <v>0</v>
      </c>
      <c r="V130" s="141">
        <f t="shared" si="124"/>
        <v>6</v>
      </c>
      <c r="W130" s="141">
        <f t="shared" si="124"/>
        <v>6</v>
      </c>
      <c r="X130" s="141">
        <f t="shared" si="124"/>
        <v>0</v>
      </c>
      <c r="Y130" s="141">
        <f t="shared" si="124"/>
        <v>0</v>
      </c>
      <c r="Z130" s="141">
        <f t="shared" si="124"/>
        <v>0</v>
      </c>
      <c r="AA130" s="141">
        <f t="shared" si="124"/>
        <v>0</v>
      </c>
      <c r="AB130" s="141">
        <f t="shared" si="124"/>
        <v>0</v>
      </c>
      <c r="AC130" s="141">
        <f t="shared" si="124"/>
        <v>5</v>
      </c>
      <c r="AD130" s="141">
        <f t="shared" si="124"/>
        <v>5</v>
      </c>
      <c r="AE130" s="141">
        <f t="shared" si="124"/>
        <v>0</v>
      </c>
      <c r="AF130" s="141">
        <f t="shared" si="124"/>
        <v>0</v>
      </c>
      <c r="AG130" s="141">
        <f t="shared" si="124"/>
        <v>0</v>
      </c>
      <c r="AH130" s="154" t="s">
        <v>12</v>
      </c>
      <c r="AI130" s="133"/>
      <c r="AJ130" s="170"/>
      <c r="AK130" s="133"/>
      <c r="AL130" s="133"/>
    </row>
    <row r="131" spans="1:38" ht="15.95" hidden="1" customHeight="1" x14ac:dyDescent="0.25">
      <c r="A131" s="176"/>
      <c r="B131" s="149" t="s">
        <v>65</v>
      </c>
      <c r="C131" s="141">
        <f t="shared" ref="C131:AG131" si="125">IF(D46=1,IF(C124&gt;C125,C125,0),0)</f>
        <v>0</v>
      </c>
      <c r="D131" s="141">
        <f t="shared" si="125"/>
        <v>0</v>
      </c>
      <c r="E131" s="141">
        <f t="shared" si="125"/>
        <v>0</v>
      </c>
      <c r="F131" s="141">
        <f t="shared" si="125"/>
        <v>0</v>
      </c>
      <c r="G131" s="141">
        <f t="shared" si="125"/>
        <v>6</v>
      </c>
      <c r="H131" s="141">
        <f t="shared" si="125"/>
        <v>6</v>
      </c>
      <c r="I131" s="141">
        <f t="shared" si="125"/>
        <v>0</v>
      </c>
      <c r="J131" s="141">
        <f t="shared" si="125"/>
        <v>0</v>
      </c>
      <c r="K131" s="141">
        <f t="shared" si="125"/>
        <v>0</v>
      </c>
      <c r="L131" s="141">
        <f t="shared" si="125"/>
        <v>0</v>
      </c>
      <c r="M131" s="141">
        <f t="shared" si="125"/>
        <v>0</v>
      </c>
      <c r="N131" s="141">
        <f t="shared" si="125"/>
        <v>0</v>
      </c>
      <c r="O131" s="141">
        <f t="shared" si="125"/>
        <v>0</v>
      </c>
      <c r="P131" s="141">
        <f t="shared" si="125"/>
        <v>0</v>
      </c>
      <c r="Q131" s="141">
        <f t="shared" si="125"/>
        <v>0</v>
      </c>
      <c r="R131" s="141">
        <f t="shared" si="125"/>
        <v>0</v>
      </c>
      <c r="S131" s="141">
        <f t="shared" si="125"/>
        <v>0</v>
      </c>
      <c r="T131" s="141">
        <f t="shared" si="125"/>
        <v>0</v>
      </c>
      <c r="U131" s="141">
        <f t="shared" si="125"/>
        <v>6</v>
      </c>
      <c r="V131" s="141">
        <f t="shared" si="125"/>
        <v>6</v>
      </c>
      <c r="W131" s="141">
        <f t="shared" si="125"/>
        <v>0</v>
      </c>
      <c r="X131" s="141">
        <f>IF(Y46=1,IF(X124&gt;X125,X125,0),0)</f>
        <v>0</v>
      </c>
      <c r="Y131" s="141">
        <f t="shared" si="125"/>
        <v>0</v>
      </c>
      <c r="Z131" s="141">
        <f t="shared" si="125"/>
        <v>0</v>
      </c>
      <c r="AA131" s="141">
        <f t="shared" si="125"/>
        <v>0</v>
      </c>
      <c r="AB131" s="141">
        <f t="shared" si="125"/>
        <v>0</v>
      </c>
      <c r="AC131" s="141">
        <f t="shared" si="125"/>
        <v>7</v>
      </c>
      <c r="AD131" s="141">
        <f t="shared" si="125"/>
        <v>0</v>
      </c>
      <c r="AE131" s="141">
        <f t="shared" si="125"/>
        <v>0</v>
      </c>
      <c r="AF131" s="141">
        <f t="shared" si="125"/>
        <v>0</v>
      </c>
      <c r="AG131" s="141">
        <f t="shared" si="125"/>
        <v>0</v>
      </c>
      <c r="AH131" s="154" t="s">
        <v>12</v>
      </c>
      <c r="AI131" s="133"/>
      <c r="AJ131" s="170"/>
      <c r="AK131" s="133"/>
      <c r="AL131" s="133"/>
    </row>
    <row r="132" spans="1:38" ht="15.95" hidden="1" customHeight="1" x14ac:dyDescent="0.25">
      <c r="A132" s="176"/>
      <c r="B132" s="149" t="s">
        <v>67</v>
      </c>
      <c r="C132" s="171">
        <f t="shared" ref="C132:AG132" si="126">SUM(C129:C131)</f>
        <v>0</v>
      </c>
      <c r="D132" s="171">
        <f t="shared" si="126"/>
        <v>0</v>
      </c>
      <c r="E132" s="171">
        <f t="shared" si="126"/>
        <v>0</v>
      </c>
      <c r="F132" s="171">
        <f t="shared" si="126"/>
        <v>0</v>
      </c>
      <c r="G132" s="171">
        <f t="shared" si="126"/>
        <v>6</v>
      </c>
      <c r="H132" s="171">
        <f t="shared" si="126"/>
        <v>12</v>
      </c>
      <c r="I132" s="171">
        <f t="shared" si="126"/>
        <v>6</v>
      </c>
      <c r="J132" s="171">
        <f t="shared" si="126"/>
        <v>0</v>
      </c>
      <c r="K132" s="171">
        <f t="shared" si="126"/>
        <v>0</v>
      </c>
      <c r="L132" s="171">
        <f t="shared" si="126"/>
        <v>0</v>
      </c>
      <c r="M132" s="171">
        <f t="shared" si="126"/>
        <v>0</v>
      </c>
      <c r="N132" s="171">
        <f t="shared" si="126"/>
        <v>0</v>
      </c>
      <c r="O132" s="171">
        <f t="shared" si="126"/>
        <v>0</v>
      </c>
      <c r="P132" s="171">
        <f t="shared" si="126"/>
        <v>0</v>
      </c>
      <c r="Q132" s="171">
        <f t="shared" si="126"/>
        <v>0</v>
      </c>
      <c r="R132" s="171">
        <f t="shared" si="126"/>
        <v>0</v>
      </c>
      <c r="S132" s="171">
        <f t="shared" si="126"/>
        <v>0</v>
      </c>
      <c r="T132" s="171">
        <f t="shared" si="126"/>
        <v>0</v>
      </c>
      <c r="U132" s="171">
        <f t="shared" si="126"/>
        <v>6</v>
      </c>
      <c r="V132" s="171">
        <f t="shared" si="126"/>
        <v>12</v>
      </c>
      <c r="W132" s="171">
        <f t="shared" si="126"/>
        <v>6</v>
      </c>
      <c r="X132" s="171">
        <f t="shared" si="126"/>
        <v>0</v>
      </c>
      <c r="Y132" s="171">
        <f t="shared" si="126"/>
        <v>0</v>
      </c>
      <c r="Z132" s="171">
        <f t="shared" si="126"/>
        <v>0</v>
      </c>
      <c r="AA132" s="171">
        <f t="shared" si="126"/>
        <v>0</v>
      </c>
      <c r="AB132" s="171">
        <f t="shared" si="126"/>
        <v>0</v>
      </c>
      <c r="AC132" s="171">
        <f t="shared" si="126"/>
        <v>12</v>
      </c>
      <c r="AD132" s="171">
        <f t="shared" si="126"/>
        <v>5</v>
      </c>
      <c r="AE132" s="171">
        <f t="shared" si="126"/>
        <v>0</v>
      </c>
      <c r="AF132" s="171">
        <f t="shared" si="126"/>
        <v>0</v>
      </c>
      <c r="AG132" s="171">
        <f t="shared" si="126"/>
        <v>0</v>
      </c>
      <c r="AH132" s="154" t="s">
        <v>12</v>
      </c>
      <c r="AI132" s="133"/>
      <c r="AJ132" s="170"/>
      <c r="AK132" s="133"/>
      <c r="AL132" s="133"/>
    </row>
    <row r="133" spans="1:38" ht="15.95" hidden="1" customHeight="1" x14ac:dyDescent="0.25">
      <c r="A133" s="177"/>
      <c r="B133" s="160" t="s">
        <v>68</v>
      </c>
      <c r="C133" s="161">
        <f t="shared" ref="C133:AG133" si="127">IF(C16="V",IF(C16="",0,1),0)</f>
        <v>0</v>
      </c>
      <c r="D133" s="161">
        <f t="shared" si="127"/>
        <v>0</v>
      </c>
      <c r="E133" s="161">
        <f t="shared" si="127"/>
        <v>0</v>
      </c>
      <c r="F133" s="161">
        <f t="shared" si="127"/>
        <v>0</v>
      </c>
      <c r="G133" s="161">
        <f t="shared" si="127"/>
        <v>0</v>
      </c>
      <c r="H133" s="161">
        <f t="shared" si="127"/>
        <v>0</v>
      </c>
      <c r="I133" s="161">
        <f t="shared" si="127"/>
        <v>0</v>
      </c>
      <c r="J133" s="161">
        <f t="shared" si="127"/>
        <v>0</v>
      </c>
      <c r="K133" s="161">
        <f t="shared" si="127"/>
        <v>0</v>
      </c>
      <c r="L133" s="161">
        <f t="shared" si="127"/>
        <v>0</v>
      </c>
      <c r="M133" s="161">
        <f t="shared" si="127"/>
        <v>0</v>
      </c>
      <c r="N133" s="161">
        <f t="shared" si="127"/>
        <v>0</v>
      </c>
      <c r="O133" s="161">
        <f t="shared" si="127"/>
        <v>0</v>
      </c>
      <c r="P133" s="161">
        <f t="shared" si="127"/>
        <v>0</v>
      </c>
      <c r="Q133" s="161">
        <f t="shared" si="127"/>
        <v>0</v>
      </c>
      <c r="R133" s="161">
        <f t="shared" si="127"/>
        <v>0</v>
      </c>
      <c r="S133" s="161">
        <f t="shared" si="127"/>
        <v>0</v>
      </c>
      <c r="T133" s="161">
        <f t="shared" si="127"/>
        <v>0</v>
      </c>
      <c r="U133" s="161">
        <f t="shared" si="127"/>
        <v>0</v>
      </c>
      <c r="V133" s="161">
        <f t="shared" si="127"/>
        <v>0</v>
      </c>
      <c r="W133" s="161">
        <f t="shared" si="127"/>
        <v>0</v>
      </c>
      <c r="X133" s="161">
        <f t="shared" si="127"/>
        <v>0</v>
      </c>
      <c r="Y133" s="161">
        <f t="shared" si="127"/>
        <v>0</v>
      </c>
      <c r="Z133" s="161">
        <f t="shared" si="127"/>
        <v>0</v>
      </c>
      <c r="AA133" s="161">
        <f t="shared" si="127"/>
        <v>0</v>
      </c>
      <c r="AB133" s="161">
        <f t="shared" si="127"/>
        <v>0</v>
      </c>
      <c r="AC133" s="161">
        <f t="shared" si="127"/>
        <v>0</v>
      </c>
      <c r="AD133" s="161">
        <f t="shared" si="127"/>
        <v>0</v>
      </c>
      <c r="AE133" s="161">
        <f t="shared" si="127"/>
        <v>0</v>
      </c>
      <c r="AF133" s="161">
        <f t="shared" si="127"/>
        <v>0</v>
      </c>
      <c r="AG133" s="161">
        <f t="shared" si="127"/>
        <v>0</v>
      </c>
      <c r="AH133" s="154" t="s">
        <v>12</v>
      </c>
      <c r="AI133" s="133"/>
      <c r="AJ133" s="170"/>
      <c r="AK133" s="133"/>
      <c r="AL133" s="133"/>
    </row>
    <row r="134" spans="1:38" ht="15.95" hidden="1" customHeight="1" x14ac:dyDescent="0.25">
      <c r="A134" s="180"/>
      <c r="B134" s="181" t="s">
        <v>16</v>
      </c>
      <c r="C134" s="182">
        <f t="shared" ref="C134:AG134" si="128">IF(C16="PR",IF(C16="",0,1),0)</f>
        <v>0</v>
      </c>
      <c r="D134" s="182">
        <f t="shared" si="128"/>
        <v>0</v>
      </c>
      <c r="E134" s="182">
        <f t="shared" si="128"/>
        <v>0</v>
      </c>
      <c r="F134" s="182">
        <f t="shared" si="128"/>
        <v>0</v>
      </c>
      <c r="G134" s="182">
        <f t="shared" si="128"/>
        <v>0</v>
      </c>
      <c r="H134" s="182">
        <f t="shared" si="128"/>
        <v>0</v>
      </c>
      <c r="I134" s="182">
        <f t="shared" si="128"/>
        <v>0</v>
      </c>
      <c r="J134" s="182">
        <f t="shared" si="128"/>
        <v>0</v>
      </c>
      <c r="K134" s="182">
        <f t="shared" si="128"/>
        <v>0</v>
      </c>
      <c r="L134" s="182">
        <f t="shared" si="128"/>
        <v>0</v>
      </c>
      <c r="M134" s="182">
        <f t="shared" si="128"/>
        <v>0</v>
      </c>
      <c r="N134" s="182">
        <f t="shared" si="128"/>
        <v>0</v>
      </c>
      <c r="O134" s="182">
        <f t="shared" si="128"/>
        <v>0</v>
      </c>
      <c r="P134" s="182">
        <f t="shared" si="128"/>
        <v>0</v>
      </c>
      <c r="Q134" s="182">
        <f t="shared" si="128"/>
        <v>0</v>
      </c>
      <c r="R134" s="182">
        <f t="shared" si="128"/>
        <v>0</v>
      </c>
      <c r="S134" s="182">
        <f t="shared" si="128"/>
        <v>0</v>
      </c>
      <c r="T134" s="182">
        <f t="shared" si="128"/>
        <v>0</v>
      </c>
      <c r="U134" s="182">
        <f t="shared" si="128"/>
        <v>0</v>
      </c>
      <c r="V134" s="182">
        <f t="shared" si="128"/>
        <v>0</v>
      </c>
      <c r="W134" s="182">
        <f t="shared" si="128"/>
        <v>0</v>
      </c>
      <c r="X134" s="182">
        <f t="shared" si="128"/>
        <v>0</v>
      </c>
      <c r="Y134" s="182">
        <f t="shared" si="128"/>
        <v>0</v>
      </c>
      <c r="Z134" s="182">
        <f t="shared" si="128"/>
        <v>0</v>
      </c>
      <c r="AA134" s="182">
        <f t="shared" si="128"/>
        <v>0</v>
      </c>
      <c r="AB134" s="182">
        <f t="shared" si="128"/>
        <v>0</v>
      </c>
      <c r="AC134" s="182">
        <f t="shared" si="128"/>
        <v>0</v>
      </c>
      <c r="AD134" s="182">
        <f t="shared" si="128"/>
        <v>0</v>
      </c>
      <c r="AE134" s="182">
        <f t="shared" si="128"/>
        <v>0</v>
      </c>
      <c r="AF134" s="182">
        <f t="shared" si="128"/>
        <v>0</v>
      </c>
      <c r="AG134" s="182">
        <f t="shared" si="128"/>
        <v>0</v>
      </c>
      <c r="AH134" s="227">
        <f>SUM(C134:AG134)</f>
        <v>0</v>
      </c>
      <c r="AI134" s="227"/>
      <c r="AJ134" s="174" t="s">
        <v>69</v>
      </c>
      <c r="AK134" s="133"/>
      <c r="AL134" s="133"/>
    </row>
    <row r="135" spans="1:38" ht="15.95" hidden="1" customHeight="1" x14ac:dyDescent="0.25">
      <c r="A135" s="164" t="s">
        <v>85</v>
      </c>
      <c r="B135" s="165" t="s">
        <v>29</v>
      </c>
      <c r="C135" s="141" t="str">
        <f t="shared" ref="C135:AG135" si="129">IF(C17=$R32,$S32*24,IF(C17=$R33,$S33*24,IF(C17=$R34,$S34*24,IF(C17=$R35,$S35*24,IF(C17=$R36,$S36*24,IF(C17=$R37,$S37*24,IF(C17=$R38,$S38*24,IF(C17=$R39,$S39*24,IF(C17=$R40,$S40*24,"")))))))))</f>
        <v/>
      </c>
      <c r="D135" s="141" t="str">
        <f t="shared" si="129"/>
        <v/>
      </c>
      <c r="E135" s="141">
        <f t="shared" si="129"/>
        <v>22</v>
      </c>
      <c r="F135" s="141">
        <f t="shared" si="129"/>
        <v>22</v>
      </c>
      <c r="G135" s="141" t="str">
        <f t="shared" si="129"/>
        <v/>
      </c>
      <c r="H135" s="141" t="str">
        <f t="shared" si="129"/>
        <v/>
      </c>
      <c r="I135" s="141" t="str">
        <f t="shared" si="129"/>
        <v/>
      </c>
      <c r="J135" s="141">
        <f t="shared" si="129"/>
        <v>22</v>
      </c>
      <c r="K135" s="141">
        <f t="shared" si="129"/>
        <v>22</v>
      </c>
      <c r="L135" s="141" t="str">
        <f t="shared" si="129"/>
        <v/>
      </c>
      <c r="M135" s="141" t="str">
        <f t="shared" si="129"/>
        <v/>
      </c>
      <c r="N135" s="141">
        <f t="shared" si="129"/>
        <v>18</v>
      </c>
      <c r="O135" s="141">
        <f t="shared" si="129"/>
        <v>18</v>
      </c>
      <c r="P135" s="141">
        <f t="shared" si="129"/>
        <v>18</v>
      </c>
      <c r="Q135" s="141">
        <f t="shared" si="129"/>
        <v>18</v>
      </c>
      <c r="R135" s="141" t="str">
        <f t="shared" si="129"/>
        <v/>
      </c>
      <c r="S135" s="141">
        <f t="shared" si="129"/>
        <v>22</v>
      </c>
      <c r="T135" s="141">
        <f t="shared" si="129"/>
        <v>22</v>
      </c>
      <c r="U135" s="141" t="str">
        <f t="shared" si="129"/>
        <v/>
      </c>
      <c r="V135" s="141" t="str">
        <f t="shared" si="129"/>
        <v/>
      </c>
      <c r="W135" s="141" t="str">
        <f t="shared" si="129"/>
        <v/>
      </c>
      <c r="X135" s="141" t="str">
        <f>IF(X17=$R32,$S32*24,IF(X17=$R33,$S33*24,IF(X17=$R34,$S34*24,IF(X17=$R35,$S35*24,IF(X17=$R36,$S36*24,IF(X17=$R37,$S37*24,IF(X17=$R38,$S38*24,IF(X17=$R39,$S39*24,IF(X17=$R40,$S40*24,"")))))))))</f>
        <v/>
      </c>
      <c r="Y135" s="141" t="str">
        <f t="shared" si="129"/>
        <v/>
      </c>
      <c r="Z135" s="141">
        <f t="shared" si="129"/>
        <v>22</v>
      </c>
      <c r="AA135" s="141">
        <f t="shared" si="129"/>
        <v>22</v>
      </c>
      <c r="AB135" s="141">
        <f t="shared" si="129"/>
        <v>22</v>
      </c>
      <c r="AC135" s="141">
        <f t="shared" si="129"/>
        <v>18</v>
      </c>
      <c r="AD135" s="141">
        <f t="shared" si="129"/>
        <v>18</v>
      </c>
      <c r="AE135" s="141" t="str">
        <f t="shared" si="129"/>
        <v/>
      </c>
      <c r="AF135" s="141" t="str">
        <f t="shared" si="129"/>
        <v/>
      </c>
      <c r="AG135" s="141" t="str">
        <f t="shared" si="129"/>
        <v/>
      </c>
      <c r="AH135" s="154" t="s">
        <v>12</v>
      </c>
      <c r="AI135" s="133"/>
      <c r="AJ135" s="170"/>
      <c r="AK135" s="133"/>
      <c r="AL135" s="133"/>
    </row>
    <row r="136" spans="1:38" ht="15.95" hidden="1" customHeight="1" x14ac:dyDescent="0.25">
      <c r="A136" s="166" t="s">
        <v>86</v>
      </c>
      <c r="B136" s="167" t="s">
        <v>30</v>
      </c>
      <c r="C136" s="141" t="str">
        <f t="shared" ref="C136:AG136" si="130">IF(C17=$R32,$V32*24,IF(C17=$R33,$V33*24,IF(C17=$R34,$V34*24,IF(C17=$R35,$V35*24,IF(C17=$R36,$V36*24,IF(C17=$R37,$V37*24,IF(C17=$R38,$V38*24,IF(C17=$R39,$V39*24,IF(C17=$R40,$V40*24,"")))))))))</f>
        <v/>
      </c>
      <c r="D136" s="141" t="str">
        <f t="shared" si="130"/>
        <v/>
      </c>
      <c r="E136" s="141">
        <f t="shared" si="130"/>
        <v>6</v>
      </c>
      <c r="F136" s="141">
        <f t="shared" si="130"/>
        <v>6</v>
      </c>
      <c r="G136" s="141" t="str">
        <f t="shared" si="130"/>
        <v/>
      </c>
      <c r="H136" s="141" t="str">
        <f t="shared" si="130"/>
        <v/>
      </c>
      <c r="I136" s="141" t="str">
        <f t="shared" si="130"/>
        <v/>
      </c>
      <c r="J136" s="141">
        <f t="shared" si="130"/>
        <v>6</v>
      </c>
      <c r="K136" s="141">
        <f t="shared" si="130"/>
        <v>6</v>
      </c>
      <c r="L136" s="141" t="str">
        <f t="shared" si="130"/>
        <v/>
      </c>
      <c r="M136" s="141" t="str">
        <f t="shared" si="130"/>
        <v/>
      </c>
      <c r="N136" s="141">
        <f t="shared" si="130"/>
        <v>6</v>
      </c>
      <c r="O136" s="141">
        <f t="shared" si="130"/>
        <v>6</v>
      </c>
      <c r="P136" s="141">
        <f t="shared" si="130"/>
        <v>6</v>
      </c>
      <c r="Q136" s="141">
        <f t="shared" si="130"/>
        <v>6</v>
      </c>
      <c r="R136" s="141" t="str">
        <f t="shared" si="130"/>
        <v/>
      </c>
      <c r="S136" s="141">
        <f t="shared" si="130"/>
        <v>6</v>
      </c>
      <c r="T136" s="141">
        <f t="shared" si="130"/>
        <v>6</v>
      </c>
      <c r="U136" s="141" t="str">
        <f t="shared" si="130"/>
        <v/>
      </c>
      <c r="V136" s="141" t="str">
        <f t="shared" si="130"/>
        <v/>
      </c>
      <c r="W136" s="141" t="str">
        <f t="shared" si="130"/>
        <v/>
      </c>
      <c r="X136" s="141" t="str">
        <f>IF(X17=$R32,$V32*24,IF(X17=$R33,$V33*24,IF(X17=$R34,$V34*24,IF(X17=$R35,$V35*24,IF(X17=$R36,$V36*24,IF(X17=$R37,$V37*24,IF(X17=$R38,$V38*24,IF(X17=$R39,$V39*24,IF(X17=$R40,$V40*24,"")))))))))</f>
        <v/>
      </c>
      <c r="Y136" s="141" t="str">
        <f t="shared" si="130"/>
        <v/>
      </c>
      <c r="Z136" s="141">
        <f t="shared" si="130"/>
        <v>6</v>
      </c>
      <c r="AA136" s="141">
        <f t="shared" si="130"/>
        <v>6</v>
      </c>
      <c r="AB136" s="141">
        <f t="shared" si="130"/>
        <v>6</v>
      </c>
      <c r="AC136" s="141">
        <f t="shared" si="130"/>
        <v>6</v>
      </c>
      <c r="AD136" s="141">
        <f t="shared" si="130"/>
        <v>6</v>
      </c>
      <c r="AE136" s="141" t="str">
        <f t="shared" si="130"/>
        <v/>
      </c>
      <c r="AF136" s="141" t="str">
        <f t="shared" si="130"/>
        <v/>
      </c>
      <c r="AG136" s="141" t="str">
        <f t="shared" si="130"/>
        <v/>
      </c>
      <c r="AH136" s="154" t="s">
        <v>12</v>
      </c>
      <c r="AI136" s="133"/>
      <c r="AJ136" s="170"/>
      <c r="AK136" s="133"/>
      <c r="AL136" s="133"/>
    </row>
    <row r="137" spans="1:38" ht="15.95" hidden="1" customHeight="1" x14ac:dyDescent="0.25">
      <c r="A137" s="153"/>
      <c r="B137" s="168" t="s">
        <v>34</v>
      </c>
      <c r="C137" s="169" t="str">
        <f t="shared" ref="C137:AD137" si="131">IF(C17=$R32,$BD32*24,IF(C17=$R33,$BD33*24,IF(C17=$R34,$BD34*24,IF(C17=$R35,$BD35*24,IF(C17=$R36,$BD36*24,IF(C17=$R37,$BD37*24,IF(C17=$R38,$BD38*24,IF(C17=$R39,$BD39*24,IF(C17=$R40,$BD40*24,"")))))))))</f>
        <v/>
      </c>
      <c r="D137" s="169" t="str">
        <f t="shared" si="131"/>
        <v/>
      </c>
      <c r="E137" s="169">
        <f t="shared" si="131"/>
        <v>8</v>
      </c>
      <c r="F137" s="169">
        <f t="shared" si="131"/>
        <v>8</v>
      </c>
      <c r="G137" s="169" t="str">
        <f t="shared" si="131"/>
        <v/>
      </c>
      <c r="H137" s="169" t="str">
        <f t="shared" si="131"/>
        <v/>
      </c>
      <c r="I137" s="169" t="str">
        <f t="shared" si="131"/>
        <v/>
      </c>
      <c r="J137" s="169">
        <f t="shared" si="131"/>
        <v>8</v>
      </c>
      <c r="K137" s="169">
        <f t="shared" si="131"/>
        <v>8</v>
      </c>
      <c r="L137" s="169" t="str">
        <f t="shared" si="131"/>
        <v/>
      </c>
      <c r="M137" s="169" t="str">
        <f t="shared" si="131"/>
        <v/>
      </c>
      <c r="N137" s="169">
        <f t="shared" si="131"/>
        <v>8</v>
      </c>
      <c r="O137" s="169">
        <f t="shared" si="131"/>
        <v>8</v>
      </c>
      <c r="P137" s="169">
        <f t="shared" si="131"/>
        <v>8</v>
      </c>
      <c r="Q137" s="169">
        <f t="shared" si="131"/>
        <v>8</v>
      </c>
      <c r="R137" s="169" t="str">
        <f t="shared" si="131"/>
        <v/>
      </c>
      <c r="S137" s="169">
        <f t="shared" si="131"/>
        <v>8</v>
      </c>
      <c r="T137" s="169">
        <f t="shared" si="131"/>
        <v>8</v>
      </c>
      <c r="U137" s="169" t="str">
        <f t="shared" si="131"/>
        <v/>
      </c>
      <c r="V137" s="169" t="str">
        <f t="shared" si="131"/>
        <v/>
      </c>
      <c r="W137" s="169" t="str">
        <f t="shared" si="131"/>
        <v/>
      </c>
      <c r="X137" s="169" t="str">
        <f>IF(X17=$R32,$BD32*24,IF(X17=$R33,$BD33*24,IF(X17=$R34,$BD34*24,IF(X17=$R35,$BD35*24,IF(X17=$R36,$BD36*24,IF(X17=$R37,$BD37*24,IF(X17=$R38,$BD38*24,IF(X17=$R39,$BD39*24,IF(X17=$R40,$BD40*24,"")))))))))</f>
        <v/>
      </c>
      <c r="Y137" s="169" t="str">
        <f t="shared" si="131"/>
        <v/>
      </c>
      <c r="Z137" s="169">
        <f t="shared" si="131"/>
        <v>8</v>
      </c>
      <c r="AA137" s="169">
        <f t="shared" si="131"/>
        <v>8</v>
      </c>
      <c r="AB137" s="169">
        <f t="shared" si="131"/>
        <v>8</v>
      </c>
      <c r="AC137" s="169">
        <f t="shared" si="131"/>
        <v>8</v>
      </c>
      <c r="AD137" s="169">
        <f t="shared" si="131"/>
        <v>8</v>
      </c>
      <c r="AE137" s="169" t="str">
        <f>IF(AE17=$R32,$BD32*24,IF(AE17=$R33,$BD33*24,IF(AE17=$R34,$BD34*24,IF(AE17=$R35,$BD35*24,IF(AE17=$R36,$BD36*24,IF(AE17=$R37,$BD37*24,IF(AE17=$R38,$BD38*24,IF(AE17=$R39,$BD39*24,IF(AE17=$R40,$BD40*24,"")))))))))</f>
        <v/>
      </c>
      <c r="AF137" s="169" t="str">
        <f>IF(AF17=$R32,$BD32*24,IF(AF17=$R33,$BD33*24,IF(AF17=$R34,$BD34*24,IF(AF17=$R35,$BD35*24,IF(AF17=$R36,$BD36*24,IF(AF17=$R37,$BD37*24,IF(AF17=$R38,$BD38*24,IF(AF17=$R39,$BD39*24,IF(AF17=$R40,$BD40*24,"")))))))))</f>
        <v/>
      </c>
      <c r="AG137" s="169" t="str">
        <f>IF(AG17=$R32,$BD32*24,IF(AG17=$R33,$BD33*24,IF(AG17=$R34,$BD34*24,IF(AG17=$R35,$BD35*24,IF(AG17=$R36,$BD36*24,IF(AG17=$R37,$BD37*24,IF(AG17=$R38,$BD38*24,IF(AG17=$R39,$BD39*24,IF(AG17=$R40,$BD40*24,"")))))))))</f>
        <v/>
      </c>
      <c r="AH137" s="148">
        <f>SUM(C137:AG137)</f>
        <v>120</v>
      </c>
      <c r="AI137" s="133"/>
      <c r="AJ137" s="170"/>
      <c r="AK137" s="133"/>
      <c r="AL137" s="133"/>
    </row>
    <row r="138" spans="1:38" ht="15.95" hidden="1" customHeight="1" x14ac:dyDescent="0.25">
      <c r="A138" s="153"/>
      <c r="B138" s="167" t="s">
        <v>59</v>
      </c>
      <c r="C138" s="141">
        <f t="shared" ref="C138:AG138" si="132">IF(C17="V",$C36,IF(C17="PR",$C38,0))</f>
        <v>0</v>
      </c>
      <c r="D138" s="141">
        <f t="shared" si="132"/>
        <v>0</v>
      </c>
      <c r="E138" s="141">
        <f t="shared" si="132"/>
        <v>0</v>
      </c>
      <c r="F138" s="141">
        <f t="shared" si="132"/>
        <v>0</v>
      </c>
      <c r="G138" s="141">
        <f t="shared" si="132"/>
        <v>0</v>
      </c>
      <c r="H138" s="141">
        <f t="shared" si="132"/>
        <v>0</v>
      </c>
      <c r="I138" s="141">
        <f t="shared" si="132"/>
        <v>0</v>
      </c>
      <c r="J138" s="141">
        <f t="shared" si="132"/>
        <v>0</v>
      </c>
      <c r="K138" s="141">
        <f t="shared" si="132"/>
        <v>0</v>
      </c>
      <c r="L138" s="141">
        <f t="shared" si="132"/>
        <v>0</v>
      </c>
      <c r="M138" s="141">
        <f t="shared" si="132"/>
        <v>0</v>
      </c>
      <c r="N138" s="141">
        <f t="shared" si="132"/>
        <v>0</v>
      </c>
      <c r="O138" s="141">
        <f t="shared" si="132"/>
        <v>0</v>
      </c>
      <c r="P138" s="141">
        <f t="shared" si="132"/>
        <v>0</v>
      </c>
      <c r="Q138" s="141">
        <f t="shared" si="132"/>
        <v>0</v>
      </c>
      <c r="R138" s="141">
        <f t="shared" si="132"/>
        <v>0</v>
      </c>
      <c r="S138" s="141">
        <f t="shared" si="132"/>
        <v>0</v>
      </c>
      <c r="T138" s="141">
        <f t="shared" si="132"/>
        <v>0</v>
      </c>
      <c r="U138" s="141">
        <f t="shared" si="132"/>
        <v>0</v>
      </c>
      <c r="V138" s="141">
        <f t="shared" si="132"/>
        <v>0</v>
      </c>
      <c r="W138" s="141">
        <f t="shared" si="132"/>
        <v>0</v>
      </c>
      <c r="X138" s="141">
        <f>IF(X17="V",$C36,IF(X17="PR",$C38,0))</f>
        <v>0</v>
      </c>
      <c r="Y138" s="141">
        <f t="shared" si="132"/>
        <v>0</v>
      </c>
      <c r="Z138" s="141">
        <f t="shared" si="132"/>
        <v>0</v>
      </c>
      <c r="AA138" s="141">
        <f t="shared" si="132"/>
        <v>0</v>
      </c>
      <c r="AB138" s="141">
        <f t="shared" si="132"/>
        <v>0</v>
      </c>
      <c r="AC138" s="141">
        <f t="shared" si="132"/>
        <v>0</v>
      </c>
      <c r="AD138" s="141">
        <f t="shared" si="132"/>
        <v>0</v>
      </c>
      <c r="AE138" s="141">
        <f t="shared" si="132"/>
        <v>0</v>
      </c>
      <c r="AF138" s="141">
        <f t="shared" si="132"/>
        <v>0</v>
      </c>
      <c r="AG138" s="141">
        <f t="shared" si="132"/>
        <v>0</v>
      </c>
      <c r="AH138" s="226">
        <f>SUM(C138:AG138)</f>
        <v>0</v>
      </c>
      <c r="AI138" s="226"/>
      <c r="AJ138" s="230">
        <f>SUM(AH83+AH94+AH105+AH116+AH127+AH138)</f>
        <v>0</v>
      </c>
      <c r="AK138" s="230"/>
      <c r="AL138" s="133" t="s">
        <v>56</v>
      </c>
    </row>
    <row r="139" spans="1:38" ht="15.95" hidden="1" customHeight="1" x14ac:dyDescent="0.25">
      <c r="A139" s="150" t="s">
        <v>60</v>
      </c>
      <c r="B139" s="167" t="s">
        <v>61</v>
      </c>
      <c r="C139" s="151">
        <f t="shared" ref="C139:AD139" si="133">IF(C17=$R32,$BC32,IF(C17=$R33,$BC33,IF(C17=$R34,$BC34,IF(C17=$R35,$BC35,IF(C17=$R36,$BC36,IF(C17=$R37,$BC37,IF(C17=$R38,$BC38,IF(C17=$R39,$BC39,IF(C17=$R40,$BC40,0)))))))))</f>
        <v>0</v>
      </c>
      <c r="D139" s="151">
        <f t="shared" si="133"/>
        <v>0</v>
      </c>
      <c r="E139" s="151">
        <f t="shared" si="133"/>
        <v>7.9999999999999716</v>
      </c>
      <c r="F139" s="151">
        <f t="shared" si="133"/>
        <v>7.9999999999999716</v>
      </c>
      <c r="G139" s="151">
        <f t="shared" si="133"/>
        <v>0</v>
      </c>
      <c r="H139" s="151">
        <f t="shared" si="133"/>
        <v>0</v>
      </c>
      <c r="I139" s="151">
        <f t="shared" si="133"/>
        <v>0</v>
      </c>
      <c r="J139" s="151">
        <f t="shared" si="133"/>
        <v>7.9999999999999716</v>
      </c>
      <c r="K139" s="151">
        <f t="shared" si="133"/>
        <v>7.9999999999999716</v>
      </c>
      <c r="L139" s="151">
        <f t="shared" si="133"/>
        <v>0</v>
      </c>
      <c r="M139" s="151">
        <f t="shared" si="133"/>
        <v>0</v>
      </c>
      <c r="N139" s="151">
        <f t="shared" si="133"/>
        <v>12</v>
      </c>
      <c r="O139" s="151">
        <f t="shared" si="133"/>
        <v>12</v>
      </c>
      <c r="P139" s="151">
        <f t="shared" si="133"/>
        <v>12</v>
      </c>
      <c r="Q139" s="151">
        <f t="shared" si="133"/>
        <v>12</v>
      </c>
      <c r="R139" s="151">
        <f t="shared" si="133"/>
        <v>0</v>
      </c>
      <c r="S139" s="151">
        <f t="shared" si="133"/>
        <v>7.9999999999999716</v>
      </c>
      <c r="T139" s="151">
        <f t="shared" si="133"/>
        <v>7.9999999999999716</v>
      </c>
      <c r="U139" s="151">
        <f t="shared" si="133"/>
        <v>0</v>
      </c>
      <c r="V139" s="151">
        <f t="shared" si="133"/>
        <v>0</v>
      </c>
      <c r="W139" s="151">
        <f t="shared" si="133"/>
        <v>0</v>
      </c>
      <c r="X139" s="151">
        <f>IF(X17=$R32,$BC32,IF(X17=$R33,$BC33,IF(X17=$R34,$BC34,IF(X17=$R35,$BC35,IF(X17=$R36,$BC36,IF(X17=$R37,$BC37,IF(X17=$R38,$BC38,IF(X17=$R39,$BC39,IF(X17=$R40,$BC40,0)))))))))</f>
        <v>0</v>
      </c>
      <c r="Y139" s="151">
        <f t="shared" si="133"/>
        <v>0</v>
      </c>
      <c r="Z139" s="151">
        <f t="shared" si="133"/>
        <v>7.9999999999999716</v>
      </c>
      <c r="AA139" s="151">
        <f t="shared" si="133"/>
        <v>7.9999999999999716</v>
      </c>
      <c r="AB139" s="151">
        <f t="shared" si="133"/>
        <v>7.9999999999999716</v>
      </c>
      <c r="AC139" s="151">
        <f t="shared" si="133"/>
        <v>12</v>
      </c>
      <c r="AD139" s="151">
        <f t="shared" si="133"/>
        <v>12</v>
      </c>
      <c r="AE139" s="151">
        <f>IF(AE17=$R32,$BC32,IF(AE17=$R33,$BC33,IF(AE17=$R34,$BC34,IF(AE17=$R35,$BC35,IF(AE17=$R36,$BC36,IF(AE17=$R37,$BC37,IF(AE17=$R38,$BC38,IF(AE17=$R39,$BC39,IF(AE17=$R40,$BC40,0)))))))))</f>
        <v>0</v>
      </c>
      <c r="AF139" s="151">
        <f>IF(AF17=$R32,$BC32,IF(AF17=$R33,$BC33,IF(AF17=$R34,$BC34,IF(AF17=$R35,$BC35,IF(AF17=$R36,$BC36,IF(AF17=$R37,$BC37,IF(AF17=$R38,$BC38,IF(AF17=$R39,$BC39,IF(AF17=$R40,$BC40,0)))))))))</f>
        <v>0</v>
      </c>
      <c r="AG139" s="151">
        <f>IF(AG17=$R32,$BC32,IF(AG17=$R33,$BC33,IF(AG17=$R34,$BC34,IF(AG17=$R35,$BC35,IF(AG17=$R36,$BC36,IF(AG17=$R37,$BC37,IF(AG17=$R38,$BC38,IF(AG17=$R39,$BC39,IF(AG17=$R40,$BC40,0)))))))))</f>
        <v>0</v>
      </c>
      <c r="AH139" s="226">
        <f>SUM(C139:AG139)</f>
        <v>143.99999999999974</v>
      </c>
      <c r="AI139" s="226"/>
      <c r="AJ139" s="174" t="s">
        <v>62</v>
      </c>
      <c r="AK139" s="133" t="s">
        <v>12</v>
      </c>
      <c r="AL139" s="133"/>
    </row>
    <row r="140" spans="1:38" ht="15.95" hidden="1" customHeight="1" x14ac:dyDescent="0.25">
      <c r="A140" s="153" t="s">
        <v>48</v>
      </c>
      <c r="B140" s="149" t="s">
        <v>63</v>
      </c>
      <c r="C140" s="141" t="b">
        <f t="shared" ref="C140:AG140" si="134">IF(C46=1,IF(C135&lt;C136,C139,0))</f>
        <v>0</v>
      </c>
      <c r="D140" s="141" t="b">
        <f t="shared" si="134"/>
        <v>0</v>
      </c>
      <c r="E140" s="141" t="b">
        <f t="shared" si="134"/>
        <v>0</v>
      </c>
      <c r="F140" s="141" t="b">
        <f t="shared" si="134"/>
        <v>0</v>
      </c>
      <c r="G140" s="141" t="b">
        <f t="shared" si="134"/>
        <v>0</v>
      </c>
      <c r="H140" s="141">
        <f t="shared" si="134"/>
        <v>0</v>
      </c>
      <c r="I140" s="141">
        <f t="shared" si="134"/>
        <v>0</v>
      </c>
      <c r="J140" s="141" t="b">
        <f t="shared" si="134"/>
        <v>0</v>
      </c>
      <c r="K140" s="141" t="b">
        <f t="shared" si="134"/>
        <v>0</v>
      </c>
      <c r="L140" s="141" t="b">
        <f t="shared" si="134"/>
        <v>0</v>
      </c>
      <c r="M140" s="141" t="b">
        <f t="shared" si="134"/>
        <v>0</v>
      </c>
      <c r="N140" s="141" t="b">
        <f t="shared" si="134"/>
        <v>0</v>
      </c>
      <c r="O140" s="141">
        <f t="shared" si="134"/>
        <v>0</v>
      </c>
      <c r="P140" s="141">
        <f t="shared" si="134"/>
        <v>0</v>
      </c>
      <c r="Q140" s="141" t="b">
        <f t="shared" si="134"/>
        <v>0</v>
      </c>
      <c r="R140" s="141" t="b">
        <f t="shared" si="134"/>
        <v>0</v>
      </c>
      <c r="S140" s="141" t="b">
        <f t="shared" si="134"/>
        <v>0</v>
      </c>
      <c r="T140" s="141" t="b">
        <f t="shared" si="134"/>
        <v>0</v>
      </c>
      <c r="U140" s="141" t="b">
        <f t="shared" si="134"/>
        <v>0</v>
      </c>
      <c r="V140" s="141">
        <f t="shared" si="134"/>
        <v>0</v>
      </c>
      <c r="W140" s="141">
        <f t="shared" si="134"/>
        <v>0</v>
      </c>
      <c r="X140" s="141" t="b">
        <f t="shared" si="134"/>
        <v>0</v>
      </c>
      <c r="Y140" s="141" t="b">
        <f t="shared" si="134"/>
        <v>0</v>
      </c>
      <c r="Z140" s="141" t="b">
        <f t="shared" si="134"/>
        <v>0</v>
      </c>
      <c r="AA140" s="141" t="b">
        <f t="shared" si="134"/>
        <v>0</v>
      </c>
      <c r="AB140" s="141" t="b">
        <f t="shared" si="134"/>
        <v>0</v>
      </c>
      <c r="AC140" s="141">
        <f t="shared" si="134"/>
        <v>0</v>
      </c>
      <c r="AD140" s="141">
        <f t="shared" si="134"/>
        <v>0</v>
      </c>
      <c r="AE140" s="141" t="b">
        <f t="shared" si="134"/>
        <v>0</v>
      </c>
      <c r="AF140" s="141" t="b">
        <f t="shared" si="134"/>
        <v>0</v>
      </c>
      <c r="AG140" s="141" t="b">
        <f t="shared" si="134"/>
        <v>0</v>
      </c>
      <c r="AH140" s="154" t="s">
        <v>12</v>
      </c>
      <c r="AI140" s="133"/>
      <c r="AJ140" s="170"/>
      <c r="AK140" s="133"/>
      <c r="AL140" s="133"/>
    </row>
    <row r="141" spans="1:38" ht="15.95" hidden="1" customHeight="1" x14ac:dyDescent="0.25">
      <c r="A141" s="176"/>
      <c r="B141" s="149" t="s">
        <v>64</v>
      </c>
      <c r="C141" s="141">
        <f t="shared" ref="C141:AG141" si="135">IF(C46=1,IF(C135&gt;C136,24-C135,0),0)</f>
        <v>0</v>
      </c>
      <c r="D141" s="141">
        <f t="shared" si="135"/>
        <v>0</v>
      </c>
      <c r="E141" s="141">
        <f t="shared" si="135"/>
        <v>0</v>
      </c>
      <c r="F141" s="141">
        <f t="shared" si="135"/>
        <v>0</v>
      </c>
      <c r="G141" s="141">
        <f t="shared" si="135"/>
        <v>0</v>
      </c>
      <c r="H141" s="141">
        <f t="shared" si="135"/>
        <v>0</v>
      </c>
      <c r="I141" s="141">
        <f t="shared" si="135"/>
        <v>0</v>
      </c>
      <c r="J141" s="141">
        <f t="shared" si="135"/>
        <v>0</v>
      </c>
      <c r="K141" s="141">
        <f t="shared" si="135"/>
        <v>0</v>
      </c>
      <c r="L141" s="141">
        <f t="shared" si="135"/>
        <v>0</v>
      </c>
      <c r="M141" s="141">
        <f t="shared" si="135"/>
        <v>0</v>
      </c>
      <c r="N141" s="141">
        <f t="shared" si="135"/>
        <v>0</v>
      </c>
      <c r="O141" s="141">
        <f t="shared" si="135"/>
        <v>6</v>
      </c>
      <c r="P141" s="141">
        <f t="shared" si="135"/>
        <v>6</v>
      </c>
      <c r="Q141" s="141">
        <f t="shared" si="135"/>
        <v>0</v>
      </c>
      <c r="R141" s="141">
        <f t="shared" si="135"/>
        <v>0</v>
      </c>
      <c r="S141" s="141">
        <f t="shared" si="135"/>
        <v>0</v>
      </c>
      <c r="T141" s="141">
        <f t="shared" si="135"/>
        <v>0</v>
      </c>
      <c r="U141" s="141">
        <f t="shared" si="135"/>
        <v>0</v>
      </c>
      <c r="V141" s="141">
        <f t="shared" si="135"/>
        <v>0</v>
      </c>
      <c r="W141" s="141">
        <f t="shared" si="135"/>
        <v>0</v>
      </c>
      <c r="X141" s="141">
        <f t="shared" si="135"/>
        <v>0</v>
      </c>
      <c r="Y141" s="141">
        <f t="shared" si="135"/>
        <v>0</v>
      </c>
      <c r="Z141" s="141">
        <f t="shared" si="135"/>
        <v>0</v>
      </c>
      <c r="AA141" s="141">
        <f t="shared" si="135"/>
        <v>0</v>
      </c>
      <c r="AB141" s="141">
        <f t="shared" si="135"/>
        <v>0</v>
      </c>
      <c r="AC141" s="141">
        <f t="shared" si="135"/>
        <v>6</v>
      </c>
      <c r="AD141" s="141">
        <f t="shared" si="135"/>
        <v>6</v>
      </c>
      <c r="AE141" s="141">
        <f t="shared" si="135"/>
        <v>0</v>
      </c>
      <c r="AF141" s="141">
        <f t="shared" si="135"/>
        <v>0</v>
      </c>
      <c r="AG141" s="141">
        <f t="shared" si="135"/>
        <v>0</v>
      </c>
      <c r="AH141" s="154" t="s">
        <v>12</v>
      </c>
      <c r="AI141" s="133"/>
      <c r="AJ141" s="170"/>
      <c r="AK141" s="133"/>
      <c r="AL141" s="133"/>
    </row>
    <row r="142" spans="1:38" ht="15.95" hidden="1" customHeight="1" x14ac:dyDescent="0.25">
      <c r="A142" s="176"/>
      <c r="B142" s="149" t="s">
        <v>65</v>
      </c>
      <c r="C142" s="141">
        <f t="shared" ref="C142:AG142" si="136">IF(D46=1,IF(C135&gt;C136,C136,0),0)</f>
        <v>0</v>
      </c>
      <c r="D142" s="141">
        <f t="shared" si="136"/>
        <v>0</v>
      </c>
      <c r="E142" s="141">
        <f t="shared" si="136"/>
        <v>0</v>
      </c>
      <c r="F142" s="141">
        <f t="shared" si="136"/>
        <v>0</v>
      </c>
      <c r="G142" s="141">
        <f t="shared" si="136"/>
        <v>0</v>
      </c>
      <c r="H142" s="141">
        <f t="shared" si="136"/>
        <v>0</v>
      </c>
      <c r="I142" s="141">
        <f t="shared" si="136"/>
        <v>0</v>
      </c>
      <c r="J142" s="141">
        <f t="shared" si="136"/>
        <v>0</v>
      </c>
      <c r="K142" s="141">
        <f t="shared" si="136"/>
        <v>0</v>
      </c>
      <c r="L142" s="141">
        <f t="shared" si="136"/>
        <v>0</v>
      </c>
      <c r="M142" s="141">
        <f t="shared" si="136"/>
        <v>0</v>
      </c>
      <c r="N142" s="141">
        <f t="shared" si="136"/>
        <v>6</v>
      </c>
      <c r="O142" s="141">
        <f t="shared" si="136"/>
        <v>6</v>
      </c>
      <c r="P142" s="141">
        <f t="shared" si="136"/>
        <v>0</v>
      </c>
      <c r="Q142" s="141">
        <f t="shared" si="136"/>
        <v>0</v>
      </c>
      <c r="R142" s="141">
        <f t="shared" si="136"/>
        <v>0</v>
      </c>
      <c r="S142" s="141">
        <f t="shared" si="136"/>
        <v>0</v>
      </c>
      <c r="T142" s="141">
        <f t="shared" si="136"/>
        <v>0</v>
      </c>
      <c r="U142" s="141">
        <f t="shared" si="136"/>
        <v>0</v>
      </c>
      <c r="V142" s="141">
        <f t="shared" si="136"/>
        <v>0</v>
      </c>
      <c r="W142" s="141">
        <f t="shared" si="136"/>
        <v>0</v>
      </c>
      <c r="X142" s="141">
        <f>IF(Y46=1,IF(X135&gt;X136,X136,0),0)</f>
        <v>0</v>
      </c>
      <c r="Y142" s="141">
        <f t="shared" si="136"/>
        <v>0</v>
      </c>
      <c r="Z142" s="141">
        <f t="shared" si="136"/>
        <v>0</v>
      </c>
      <c r="AA142" s="141">
        <f t="shared" si="136"/>
        <v>0</v>
      </c>
      <c r="AB142" s="141">
        <f t="shared" si="136"/>
        <v>6</v>
      </c>
      <c r="AC142" s="141">
        <f t="shared" si="136"/>
        <v>6</v>
      </c>
      <c r="AD142" s="141">
        <f t="shared" si="136"/>
        <v>0</v>
      </c>
      <c r="AE142" s="141">
        <f t="shared" si="136"/>
        <v>0</v>
      </c>
      <c r="AF142" s="141">
        <f t="shared" si="136"/>
        <v>0</v>
      </c>
      <c r="AG142" s="141">
        <f t="shared" si="136"/>
        <v>0</v>
      </c>
      <c r="AH142" s="154" t="s">
        <v>12</v>
      </c>
      <c r="AI142" s="133"/>
      <c r="AJ142" s="170"/>
      <c r="AK142" s="133"/>
      <c r="AL142" s="133"/>
    </row>
    <row r="143" spans="1:38" ht="15.95" hidden="1" customHeight="1" x14ac:dyDescent="0.25">
      <c r="A143" s="176"/>
      <c r="B143" s="149" t="s">
        <v>67</v>
      </c>
      <c r="C143" s="171">
        <f>SUM(C140:C142)</f>
        <v>0</v>
      </c>
      <c r="D143" s="171">
        <f t="shared" ref="D143:AG143" si="137">SUM(D140:D142)</f>
        <v>0</v>
      </c>
      <c r="E143" s="171">
        <f t="shared" si="137"/>
        <v>0</v>
      </c>
      <c r="F143" s="171">
        <f t="shared" si="137"/>
        <v>0</v>
      </c>
      <c r="G143" s="171">
        <f t="shared" si="137"/>
        <v>0</v>
      </c>
      <c r="H143" s="171">
        <f t="shared" si="137"/>
        <v>0</v>
      </c>
      <c r="I143" s="171">
        <f t="shared" si="137"/>
        <v>0</v>
      </c>
      <c r="J143" s="171">
        <f t="shared" si="137"/>
        <v>0</v>
      </c>
      <c r="K143" s="171">
        <f t="shared" si="137"/>
        <v>0</v>
      </c>
      <c r="L143" s="171">
        <f t="shared" si="137"/>
        <v>0</v>
      </c>
      <c r="M143" s="171">
        <f t="shared" si="137"/>
        <v>0</v>
      </c>
      <c r="N143" s="171">
        <f t="shared" si="137"/>
        <v>6</v>
      </c>
      <c r="O143" s="171">
        <f t="shared" si="137"/>
        <v>12</v>
      </c>
      <c r="P143" s="171">
        <f t="shared" si="137"/>
        <v>6</v>
      </c>
      <c r="Q143" s="171">
        <f t="shared" si="137"/>
        <v>0</v>
      </c>
      <c r="R143" s="171">
        <f t="shared" si="137"/>
        <v>0</v>
      </c>
      <c r="S143" s="171">
        <f t="shared" si="137"/>
        <v>0</v>
      </c>
      <c r="T143" s="171">
        <f t="shared" si="137"/>
        <v>0</v>
      </c>
      <c r="U143" s="171">
        <f t="shared" si="137"/>
        <v>0</v>
      </c>
      <c r="V143" s="171">
        <f t="shared" si="137"/>
        <v>0</v>
      </c>
      <c r="W143" s="171">
        <f t="shared" si="137"/>
        <v>0</v>
      </c>
      <c r="X143" s="171">
        <f t="shared" si="137"/>
        <v>0</v>
      </c>
      <c r="Y143" s="171">
        <f t="shared" si="137"/>
        <v>0</v>
      </c>
      <c r="Z143" s="171">
        <f t="shared" si="137"/>
        <v>0</v>
      </c>
      <c r="AA143" s="171">
        <f t="shared" si="137"/>
        <v>0</v>
      </c>
      <c r="AB143" s="171">
        <f t="shared" si="137"/>
        <v>6</v>
      </c>
      <c r="AC143" s="171">
        <f t="shared" si="137"/>
        <v>12</v>
      </c>
      <c r="AD143" s="171">
        <f t="shared" si="137"/>
        <v>6</v>
      </c>
      <c r="AE143" s="171">
        <f t="shared" si="137"/>
        <v>0</v>
      </c>
      <c r="AF143" s="171">
        <f t="shared" si="137"/>
        <v>0</v>
      </c>
      <c r="AG143" s="171">
        <f t="shared" si="137"/>
        <v>0</v>
      </c>
      <c r="AH143" s="154" t="s">
        <v>12</v>
      </c>
      <c r="AI143" s="133"/>
      <c r="AJ143" s="170"/>
      <c r="AK143" s="133"/>
      <c r="AL143" s="133"/>
    </row>
    <row r="144" spans="1:38" ht="15.95" hidden="1" customHeight="1" x14ac:dyDescent="0.25">
      <c r="A144" s="177"/>
      <c r="B144" s="160" t="s">
        <v>68</v>
      </c>
      <c r="C144" s="161">
        <f t="shared" ref="C144:AG144" si="138">IF(C17="V",IF(C17="",0,1),0)</f>
        <v>0</v>
      </c>
      <c r="D144" s="161">
        <f t="shared" si="138"/>
        <v>0</v>
      </c>
      <c r="E144" s="161">
        <f t="shared" si="138"/>
        <v>0</v>
      </c>
      <c r="F144" s="161">
        <f t="shared" si="138"/>
        <v>0</v>
      </c>
      <c r="G144" s="161">
        <f t="shared" si="138"/>
        <v>0</v>
      </c>
      <c r="H144" s="161">
        <f t="shared" si="138"/>
        <v>0</v>
      </c>
      <c r="I144" s="161">
        <f t="shared" si="138"/>
        <v>0</v>
      </c>
      <c r="J144" s="161">
        <f t="shared" si="138"/>
        <v>0</v>
      </c>
      <c r="K144" s="161">
        <f t="shared" si="138"/>
        <v>0</v>
      </c>
      <c r="L144" s="161">
        <f t="shared" si="138"/>
        <v>0</v>
      </c>
      <c r="M144" s="161">
        <f t="shared" si="138"/>
        <v>0</v>
      </c>
      <c r="N144" s="161">
        <f t="shared" si="138"/>
        <v>0</v>
      </c>
      <c r="O144" s="161">
        <f t="shared" si="138"/>
        <v>0</v>
      </c>
      <c r="P144" s="161">
        <f t="shared" si="138"/>
        <v>0</v>
      </c>
      <c r="Q144" s="161">
        <f t="shared" si="138"/>
        <v>0</v>
      </c>
      <c r="R144" s="161">
        <f t="shared" si="138"/>
        <v>0</v>
      </c>
      <c r="S144" s="161">
        <f t="shared" si="138"/>
        <v>0</v>
      </c>
      <c r="T144" s="161">
        <f t="shared" si="138"/>
        <v>0</v>
      </c>
      <c r="U144" s="161">
        <f t="shared" si="138"/>
        <v>0</v>
      </c>
      <c r="V144" s="161">
        <f t="shared" si="138"/>
        <v>0</v>
      </c>
      <c r="W144" s="161">
        <f t="shared" si="138"/>
        <v>0</v>
      </c>
      <c r="X144" s="161">
        <f>IF(X17="V",IF(X17="",0,1),0)</f>
        <v>0</v>
      </c>
      <c r="Y144" s="161">
        <f t="shared" si="138"/>
        <v>0</v>
      </c>
      <c r="Z144" s="161">
        <f t="shared" si="138"/>
        <v>0</v>
      </c>
      <c r="AA144" s="161">
        <f t="shared" si="138"/>
        <v>0</v>
      </c>
      <c r="AB144" s="161">
        <f t="shared" si="138"/>
        <v>0</v>
      </c>
      <c r="AC144" s="161">
        <f t="shared" si="138"/>
        <v>0</v>
      </c>
      <c r="AD144" s="161">
        <f t="shared" si="138"/>
        <v>0</v>
      </c>
      <c r="AE144" s="161">
        <f t="shared" si="138"/>
        <v>0</v>
      </c>
      <c r="AF144" s="161">
        <f t="shared" si="138"/>
        <v>0</v>
      </c>
      <c r="AG144" s="161">
        <f t="shared" si="138"/>
        <v>0</v>
      </c>
      <c r="AH144" s="154" t="s">
        <v>12</v>
      </c>
      <c r="AI144" s="133"/>
      <c r="AJ144" s="170"/>
      <c r="AK144" s="133"/>
      <c r="AL144" s="133"/>
    </row>
    <row r="145" spans="1:38" ht="15.95" hidden="1" customHeight="1" x14ac:dyDescent="0.25">
      <c r="A145" s="180"/>
      <c r="B145" s="181" t="s">
        <v>16</v>
      </c>
      <c r="C145" s="182">
        <f t="shared" ref="C145:AG145" si="139">IF(C17="PR",IF(C17="",0,1),0)</f>
        <v>0</v>
      </c>
      <c r="D145" s="182">
        <f t="shared" si="139"/>
        <v>0</v>
      </c>
      <c r="E145" s="182">
        <f t="shared" si="139"/>
        <v>0</v>
      </c>
      <c r="F145" s="182">
        <f t="shared" si="139"/>
        <v>0</v>
      </c>
      <c r="G145" s="182">
        <f t="shared" si="139"/>
        <v>0</v>
      </c>
      <c r="H145" s="182">
        <f t="shared" si="139"/>
        <v>0</v>
      </c>
      <c r="I145" s="182">
        <f t="shared" si="139"/>
        <v>0</v>
      </c>
      <c r="J145" s="182">
        <f t="shared" si="139"/>
        <v>0</v>
      </c>
      <c r="K145" s="182">
        <f t="shared" si="139"/>
        <v>0</v>
      </c>
      <c r="L145" s="182">
        <f t="shared" si="139"/>
        <v>0</v>
      </c>
      <c r="M145" s="182">
        <f t="shared" si="139"/>
        <v>0</v>
      </c>
      <c r="N145" s="182">
        <f t="shared" si="139"/>
        <v>0</v>
      </c>
      <c r="O145" s="182">
        <f t="shared" si="139"/>
        <v>0</v>
      </c>
      <c r="P145" s="182">
        <f t="shared" si="139"/>
        <v>0</v>
      </c>
      <c r="Q145" s="182">
        <f t="shared" si="139"/>
        <v>0</v>
      </c>
      <c r="R145" s="182">
        <f t="shared" si="139"/>
        <v>0</v>
      </c>
      <c r="S145" s="182">
        <f t="shared" si="139"/>
        <v>0</v>
      </c>
      <c r="T145" s="182">
        <f t="shared" si="139"/>
        <v>0</v>
      </c>
      <c r="U145" s="182">
        <f t="shared" si="139"/>
        <v>0</v>
      </c>
      <c r="V145" s="182">
        <f t="shared" si="139"/>
        <v>0</v>
      </c>
      <c r="W145" s="182">
        <f t="shared" si="139"/>
        <v>0</v>
      </c>
      <c r="X145" s="182">
        <f>IF(X17="PR",IF(X17="",0,1),0)</f>
        <v>0</v>
      </c>
      <c r="Y145" s="182">
        <f t="shared" si="139"/>
        <v>0</v>
      </c>
      <c r="Z145" s="182">
        <f t="shared" si="139"/>
        <v>0</v>
      </c>
      <c r="AA145" s="182">
        <f t="shared" si="139"/>
        <v>0</v>
      </c>
      <c r="AB145" s="182">
        <f t="shared" si="139"/>
        <v>0</v>
      </c>
      <c r="AC145" s="182">
        <f t="shared" si="139"/>
        <v>0</v>
      </c>
      <c r="AD145" s="182">
        <f t="shared" si="139"/>
        <v>0</v>
      </c>
      <c r="AE145" s="182">
        <f t="shared" si="139"/>
        <v>0</v>
      </c>
      <c r="AF145" s="182">
        <f t="shared" si="139"/>
        <v>0</v>
      </c>
      <c r="AG145" s="182">
        <f t="shared" si="139"/>
        <v>0</v>
      </c>
      <c r="AH145" s="227">
        <f>SUM(C145:AG145)</f>
        <v>0</v>
      </c>
      <c r="AI145" s="227"/>
      <c r="AJ145" s="174" t="s">
        <v>69</v>
      </c>
      <c r="AK145" s="133"/>
      <c r="AL145" s="133"/>
    </row>
    <row r="146" spans="1:38" ht="15.95" hidden="1" customHeight="1" x14ac:dyDescent="0.25">
      <c r="A146" s="164" t="s">
        <v>87</v>
      </c>
      <c r="B146" s="165" t="s">
        <v>29</v>
      </c>
      <c r="C146" s="141">
        <f t="shared" ref="C146:AG146" si="140">IF(C18=$R32,$S32*24,IF(C18=$R33,$S33*24,IF(C18=$R34,$S34*24,IF(C18=$R35,$S35*24,IF(C18=$R36,$S36*24,IF(C18=$R37,$S37*24,IF(C18=$R38,$S38*24,IF(C18=$R39,$S39*24,IF(C18=$R40,$S40*24,"")))))))))</f>
        <v>22</v>
      </c>
      <c r="D146" s="141">
        <f t="shared" si="140"/>
        <v>22</v>
      </c>
      <c r="E146" s="141" t="str">
        <f t="shared" si="140"/>
        <v/>
      </c>
      <c r="F146" s="141" t="str">
        <f t="shared" si="140"/>
        <v/>
      </c>
      <c r="G146" s="141">
        <f t="shared" si="140"/>
        <v>22</v>
      </c>
      <c r="H146" s="141">
        <f t="shared" si="140"/>
        <v>22</v>
      </c>
      <c r="I146" s="141">
        <f t="shared" si="140"/>
        <v>22</v>
      </c>
      <c r="J146" s="141">
        <f t="shared" si="140"/>
        <v>18</v>
      </c>
      <c r="K146" s="141" t="str">
        <f t="shared" si="140"/>
        <v/>
      </c>
      <c r="L146" s="141">
        <f t="shared" si="140"/>
        <v>22</v>
      </c>
      <c r="M146" s="141">
        <f t="shared" si="140"/>
        <v>22</v>
      </c>
      <c r="N146" s="141" t="str">
        <f t="shared" si="140"/>
        <v/>
      </c>
      <c r="O146" s="141" t="str">
        <f t="shared" si="140"/>
        <v/>
      </c>
      <c r="P146" s="141" t="str">
        <f t="shared" si="140"/>
        <v/>
      </c>
      <c r="Q146" s="141">
        <f t="shared" si="140"/>
        <v>22</v>
      </c>
      <c r="R146" s="141">
        <f t="shared" si="140"/>
        <v>22</v>
      </c>
      <c r="S146" s="141" t="str">
        <f t="shared" si="140"/>
        <v/>
      </c>
      <c r="T146" s="141" t="str">
        <f t="shared" si="140"/>
        <v/>
      </c>
      <c r="U146" s="141">
        <f t="shared" si="140"/>
        <v>22</v>
      </c>
      <c r="V146" s="141">
        <f t="shared" si="140"/>
        <v>22</v>
      </c>
      <c r="W146" s="141">
        <f t="shared" si="140"/>
        <v>22</v>
      </c>
      <c r="X146" s="141">
        <f t="shared" si="140"/>
        <v>22</v>
      </c>
      <c r="Y146" s="141">
        <f t="shared" si="140"/>
        <v>22</v>
      </c>
      <c r="Z146" s="141" t="str">
        <f t="shared" si="140"/>
        <v/>
      </c>
      <c r="AA146" s="141" t="str">
        <f t="shared" si="140"/>
        <v/>
      </c>
      <c r="AB146" s="141" t="str">
        <f t="shared" si="140"/>
        <v/>
      </c>
      <c r="AC146" s="141">
        <f t="shared" si="140"/>
        <v>6</v>
      </c>
      <c r="AD146" s="141">
        <f t="shared" si="140"/>
        <v>6</v>
      </c>
      <c r="AE146" s="141">
        <f t="shared" si="140"/>
        <v>22</v>
      </c>
      <c r="AF146" s="141">
        <f t="shared" si="140"/>
        <v>22</v>
      </c>
      <c r="AG146" s="141">
        <f t="shared" si="140"/>
        <v>22</v>
      </c>
      <c r="AH146" s="154" t="s">
        <v>12</v>
      </c>
      <c r="AI146" s="133"/>
      <c r="AJ146" s="170"/>
      <c r="AK146" s="133"/>
      <c r="AL146" s="133"/>
    </row>
    <row r="147" spans="1:38" ht="15.95" hidden="1" customHeight="1" x14ac:dyDescent="0.25">
      <c r="A147" s="166" t="s">
        <v>88</v>
      </c>
      <c r="B147" s="167" t="s">
        <v>30</v>
      </c>
      <c r="C147" s="141">
        <f t="shared" ref="C147:AG147" si="141">IF(C18=$R32,$V32*24,IF(C18=$R33,$V33*24,IF(C18=$R34,$V34*24,IF(C18=$R35,$V35*24,IF(C18=$R36,$V36*24,IF(C18=$R37,$V37*24,IF(C18=$R38,$V38*24,IF(C18=$R39,$V39*24,IF(C18=$R40,$V40*24,"")))))))))</f>
        <v>6</v>
      </c>
      <c r="D147" s="141">
        <f t="shared" si="141"/>
        <v>6</v>
      </c>
      <c r="E147" s="141" t="str">
        <f t="shared" si="141"/>
        <v/>
      </c>
      <c r="F147" s="141" t="str">
        <f t="shared" si="141"/>
        <v/>
      </c>
      <c r="G147" s="141">
        <f t="shared" si="141"/>
        <v>6</v>
      </c>
      <c r="H147" s="141">
        <f t="shared" si="141"/>
        <v>6</v>
      </c>
      <c r="I147" s="141">
        <f t="shared" si="141"/>
        <v>6</v>
      </c>
      <c r="J147" s="141">
        <f t="shared" si="141"/>
        <v>6</v>
      </c>
      <c r="K147" s="141" t="str">
        <f t="shared" si="141"/>
        <v/>
      </c>
      <c r="L147" s="141">
        <f t="shared" si="141"/>
        <v>6</v>
      </c>
      <c r="M147" s="141">
        <f t="shared" si="141"/>
        <v>6</v>
      </c>
      <c r="N147" s="141" t="str">
        <f t="shared" si="141"/>
        <v/>
      </c>
      <c r="O147" s="141" t="str">
        <f t="shared" si="141"/>
        <v/>
      </c>
      <c r="P147" s="141" t="str">
        <f t="shared" si="141"/>
        <v/>
      </c>
      <c r="Q147" s="141">
        <f t="shared" si="141"/>
        <v>6</v>
      </c>
      <c r="R147" s="141">
        <f t="shared" si="141"/>
        <v>6</v>
      </c>
      <c r="S147" s="141" t="str">
        <f t="shared" si="141"/>
        <v/>
      </c>
      <c r="T147" s="141" t="str">
        <f t="shared" si="141"/>
        <v/>
      </c>
      <c r="U147" s="141">
        <f t="shared" si="141"/>
        <v>6</v>
      </c>
      <c r="V147" s="141">
        <f t="shared" si="141"/>
        <v>6</v>
      </c>
      <c r="W147" s="141">
        <f t="shared" si="141"/>
        <v>6</v>
      </c>
      <c r="X147" s="141">
        <f t="shared" si="141"/>
        <v>6</v>
      </c>
      <c r="Y147" s="141">
        <f t="shared" si="141"/>
        <v>6</v>
      </c>
      <c r="Z147" s="141" t="str">
        <f t="shared" si="141"/>
        <v/>
      </c>
      <c r="AA147" s="141" t="str">
        <f t="shared" si="141"/>
        <v/>
      </c>
      <c r="AB147" s="141" t="str">
        <f t="shared" si="141"/>
        <v/>
      </c>
      <c r="AC147" s="141">
        <f t="shared" si="141"/>
        <v>18</v>
      </c>
      <c r="AD147" s="141">
        <f t="shared" si="141"/>
        <v>18</v>
      </c>
      <c r="AE147" s="141">
        <f t="shared" si="141"/>
        <v>6</v>
      </c>
      <c r="AF147" s="141">
        <f t="shared" si="141"/>
        <v>6</v>
      </c>
      <c r="AG147" s="141">
        <f t="shared" si="141"/>
        <v>6</v>
      </c>
      <c r="AH147" s="154" t="s">
        <v>12</v>
      </c>
      <c r="AI147" s="133"/>
      <c r="AJ147" s="170"/>
      <c r="AK147" s="133"/>
      <c r="AL147" s="133"/>
    </row>
    <row r="148" spans="1:38" ht="15.95" hidden="1" customHeight="1" x14ac:dyDescent="0.25">
      <c r="A148" s="153"/>
      <c r="B148" s="168" t="s">
        <v>34</v>
      </c>
      <c r="C148" s="169">
        <f t="shared" ref="C148:AD148" si="142">IF(C18=$R32,$BD32*24,IF(C18=$R33,$BD33*24,IF(C18=$R34,$BD34*24,IF(C18=$R35,$BD35*24,IF(C18=$R36,$BD36*24,IF(C18=$R37,$BD37*24,IF(C18=$R38,$BD38*24,IF(C18=$R39,$BD39*24,IF(C18=$R40,$BD40*24,"")))))))))</f>
        <v>8</v>
      </c>
      <c r="D148" s="169">
        <f t="shared" si="142"/>
        <v>8</v>
      </c>
      <c r="E148" s="169" t="str">
        <f t="shared" si="142"/>
        <v/>
      </c>
      <c r="F148" s="169" t="str">
        <f t="shared" si="142"/>
        <v/>
      </c>
      <c r="G148" s="169">
        <f t="shared" si="142"/>
        <v>8</v>
      </c>
      <c r="H148" s="169">
        <f t="shared" si="142"/>
        <v>8</v>
      </c>
      <c r="I148" s="169">
        <f t="shared" si="142"/>
        <v>8</v>
      </c>
      <c r="J148" s="169">
        <f t="shared" si="142"/>
        <v>8</v>
      </c>
      <c r="K148" s="169" t="str">
        <f t="shared" si="142"/>
        <v/>
      </c>
      <c r="L148" s="169">
        <f t="shared" si="142"/>
        <v>8</v>
      </c>
      <c r="M148" s="169">
        <f t="shared" si="142"/>
        <v>8</v>
      </c>
      <c r="N148" s="169" t="str">
        <f t="shared" si="142"/>
        <v/>
      </c>
      <c r="O148" s="169" t="str">
        <f t="shared" si="142"/>
        <v/>
      </c>
      <c r="P148" s="169" t="str">
        <f t="shared" si="142"/>
        <v/>
      </c>
      <c r="Q148" s="169">
        <f t="shared" si="142"/>
        <v>8</v>
      </c>
      <c r="R148" s="169">
        <f t="shared" si="142"/>
        <v>8</v>
      </c>
      <c r="S148" s="169" t="str">
        <f t="shared" si="142"/>
        <v/>
      </c>
      <c r="T148" s="169" t="str">
        <f t="shared" si="142"/>
        <v/>
      </c>
      <c r="U148" s="169">
        <f t="shared" si="142"/>
        <v>8</v>
      </c>
      <c r="V148" s="169">
        <f t="shared" si="142"/>
        <v>8</v>
      </c>
      <c r="W148" s="169">
        <f t="shared" si="142"/>
        <v>8</v>
      </c>
      <c r="X148" s="169">
        <f t="shared" si="142"/>
        <v>8</v>
      </c>
      <c r="Y148" s="169">
        <f t="shared" si="142"/>
        <v>8</v>
      </c>
      <c r="Z148" s="169" t="str">
        <f t="shared" si="142"/>
        <v/>
      </c>
      <c r="AA148" s="169" t="str">
        <f t="shared" si="142"/>
        <v/>
      </c>
      <c r="AB148" s="169" t="str">
        <f t="shared" si="142"/>
        <v/>
      </c>
      <c r="AC148" s="169">
        <f t="shared" si="142"/>
        <v>0</v>
      </c>
      <c r="AD148" s="169">
        <f t="shared" si="142"/>
        <v>0</v>
      </c>
      <c r="AE148" s="169">
        <f>IF(AE18=$R32,$BD32*24,IF(AE18=$R33,$BD33*24,IF(AE18=$R34,$BD34*24,IF(AE18=$R35,$BD35*24,IF(AE18=$R36,$BD36*24,IF(AE18=$R37,$BD37*24,IF(AE18=$R38,$BD38*24,IF(AE18=$R39,$BD39*24,IF(AE18=$R40,$BD40*24,"")))))))))</f>
        <v>8</v>
      </c>
      <c r="AF148" s="169">
        <f>IF(AF18=$R32,$BD32*24,IF(AF18=$R33,$BD33*24,IF(AF18=$R34,$BD34*24,IF(AF18=$R35,$BD35*24,IF(AF18=$R36,$BD36*24,IF(AF18=$R37,$BD37*24,IF(AF18=$R38,$BD38*24,IF(AF18=$R39,$BD39*24,IF(AF18=$R40,$BD40*24,"")))))))))</f>
        <v>8</v>
      </c>
      <c r="AG148" s="169">
        <f>IF(AG18=$R32,$BD32*24,IF(AG18=$R33,$BD33*24,IF(AG18=$R34,$BD34*24,IF(AG18=$R35,$BD35*24,IF(AG18=$R36,$BD36*24,IF(AG18=$R37,$BD37*24,IF(AG18=$R38,$BD38*24,IF(AG18=$R39,$BD39*24,IF(AG18=$R40,$BD40*24,"")))))))))</f>
        <v>8</v>
      </c>
      <c r="AH148" s="148">
        <f>SUM(C148:AG148)</f>
        <v>144</v>
      </c>
      <c r="AI148" s="133"/>
      <c r="AJ148" s="170"/>
      <c r="AK148" s="133"/>
      <c r="AL148" s="133"/>
    </row>
    <row r="149" spans="1:38" ht="15.95" hidden="1" customHeight="1" x14ac:dyDescent="0.25">
      <c r="A149" s="153"/>
      <c r="B149" s="167" t="s">
        <v>59</v>
      </c>
      <c r="C149" s="141">
        <f t="shared" ref="C149:AG149" si="143">IF(C18="V",$C36,IF(C18="PR",$C38,0))</f>
        <v>0</v>
      </c>
      <c r="D149" s="141">
        <f t="shared" si="143"/>
        <v>0</v>
      </c>
      <c r="E149" s="141">
        <f t="shared" si="143"/>
        <v>0</v>
      </c>
      <c r="F149" s="141">
        <f t="shared" si="143"/>
        <v>0</v>
      </c>
      <c r="G149" s="141">
        <f t="shared" si="143"/>
        <v>0</v>
      </c>
      <c r="H149" s="141">
        <f t="shared" si="143"/>
        <v>0</v>
      </c>
      <c r="I149" s="141">
        <f t="shared" si="143"/>
        <v>0</v>
      </c>
      <c r="J149" s="141">
        <f t="shared" si="143"/>
        <v>0</v>
      </c>
      <c r="K149" s="141">
        <f t="shared" si="143"/>
        <v>0</v>
      </c>
      <c r="L149" s="141">
        <f t="shared" si="143"/>
        <v>0</v>
      </c>
      <c r="M149" s="141">
        <f t="shared" si="143"/>
        <v>0</v>
      </c>
      <c r="N149" s="141">
        <f t="shared" si="143"/>
        <v>0</v>
      </c>
      <c r="O149" s="141">
        <f t="shared" si="143"/>
        <v>0</v>
      </c>
      <c r="P149" s="141">
        <f t="shared" si="143"/>
        <v>0</v>
      </c>
      <c r="Q149" s="141">
        <f t="shared" si="143"/>
        <v>0</v>
      </c>
      <c r="R149" s="141">
        <f t="shared" si="143"/>
        <v>0</v>
      </c>
      <c r="S149" s="141">
        <f t="shared" si="143"/>
        <v>0</v>
      </c>
      <c r="T149" s="141">
        <f t="shared" si="143"/>
        <v>0</v>
      </c>
      <c r="U149" s="141">
        <f t="shared" si="143"/>
        <v>0</v>
      </c>
      <c r="V149" s="141">
        <f t="shared" si="143"/>
        <v>0</v>
      </c>
      <c r="W149" s="141">
        <f t="shared" si="143"/>
        <v>0</v>
      </c>
      <c r="X149" s="141">
        <f t="shared" si="143"/>
        <v>0</v>
      </c>
      <c r="Y149" s="141">
        <f t="shared" si="143"/>
        <v>0</v>
      </c>
      <c r="Z149" s="141">
        <f t="shared" si="143"/>
        <v>0</v>
      </c>
      <c r="AA149" s="141">
        <f t="shared" si="143"/>
        <v>0</v>
      </c>
      <c r="AB149" s="141">
        <f t="shared" si="143"/>
        <v>0</v>
      </c>
      <c r="AC149" s="141">
        <f t="shared" si="143"/>
        <v>0</v>
      </c>
      <c r="AD149" s="141">
        <f t="shared" si="143"/>
        <v>0</v>
      </c>
      <c r="AE149" s="141">
        <f t="shared" si="143"/>
        <v>0</v>
      </c>
      <c r="AF149" s="141">
        <f t="shared" si="143"/>
        <v>0</v>
      </c>
      <c r="AG149" s="141">
        <f t="shared" si="143"/>
        <v>0</v>
      </c>
      <c r="AH149" s="226">
        <f>SUM(C149:AG149)</f>
        <v>0</v>
      </c>
      <c r="AI149" s="226"/>
      <c r="AJ149" s="230">
        <f>SUM(AH94+AH105+AH116+AH127+AH138+AH149)</f>
        <v>0</v>
      </c>
      <c r="AK149" s="230"/>
      <c r="AL149" s="133" t="s">
        <v>56</v>
      </c>
    </row>
    <row r="150" spans="1:38" ht="15.95" hidden="1" customHeight="1" x14ac:dyDescent="0.25">
      <c r="A150" s="150" t="s">
        <v>60</v>
      </c>
      <c r="B150" s="167" t="s">
        <v>61</v>
      </c>
      <c r="C150" s="151">
        <f t="shared" ref="C150:AD150" si="144">IF(C18=$R32,$BC32,IF(C18=$R33,$BC33,IF(C18=$R34,$BC34,IF(C18=$R35,$BC35,IF(C18=$R36,$BC36,IF(C18=$R37,$BC37,IF(C18=$R38,$BC38,IF(C18=$R39,$BC39,IF(C18=$R40,$BC40,0)))))))))</f>
        <v>7.9999999999999716</v>
      </c>
      <c r="D150" s="151">
        <f t="shared" si="144"/>
        <v>7.9999999999999716</v>
      </c>
      <c r="E150" s="151">
        <f t="shared" si="144"/>
        <v>0</v>
      </c>
      <c r="F150" s="151">
        <f t="shared" si="144"/>
        <v>0</v>
      </c>
      <c r="G150" s="151">
        <f t="shared" si="144"/>
        <v>7.9999999999999716</v>
      </c>
      <c r="H150" s="151">
        <f t="shared" si="144"/>
        <v>7.9999999999999716</v>
      </c>
      <c r="I150" s="151">
        <f t="shared" si="144"/>
        <v>7.9999999999999716</v>
      </c>
      <c r="J150" s="151">
        <f t="shared" si="144"/>
        <v>12</v>
      </c>
      <c r="K150" s="151">
        <f t="shared" si="144"/>
        <v>0</v>
      </c>
      <c r="L150" s="151">
        <f t="shared" si="144"/>
        <v>7.9999999999999716</v>
      </c>
      <c r="M150" s="151">
        <f t="shared" si="144"/>
        <v>7.9999999999999716</v>
      </c>
      <c r="N150" s="151">
        <f t="shared" si="144"/>
        <v>0</v>
      </c>
      <c r="O150" s="151">
        <f t="shared" si="144"/>
        <v>0</v>
      </c>
      <c r="P150" s="151">
        <f t="shared" si="144"/>
        <v>0</v>
      </c>
      <c r="Q150" s="151">
        <f t="shared" si="144"/>
        <v>7.9999999999999716</v>
      </c>
      <c r="R150" s="151">
        <f t="shared" si="144"/>
        <v>7.9999999999999716</v>
      </c>
      <c r="S150" s="151">
        <f t="shared" si="144"/>
        <v>0</v>
      </c>
      <c r="T150" s="151">
        <f t="shared" si="144"/>
        <v>0</v>
      </c>
      <c r="U150" s="151">
        <f t="shared" si="144"/>
        <v>7.9999999999999716</v>
      </c>
      <c r="V150" s="151">
        <f t="shared" si="144"/>
        <v>7.9999999999999716</v>
      </c>
      <c r="W150" s="151">
        <f t="shared" si="144"/>
        <v>7.9999999999999716</v>
      </c>
      <c r="X150" s="151">
        <f t="shared" si="144"/>
        <v>7.9999999999999716</v>
      </c>
      <c r="Y150" s="151">
        <f t="shared" si="144"/>
        <v>7.9999999999999716</v>
      </c>
      <c r="Z150" s="151">
        <f t="shared" si="144"/>
        <v>0</v>
      </c>
      <c r="AA150" s="151">
        <f t="shared" si="144"/>
        <v>0</v>
      </c>
      <c r="AB150" s="151">
        <f t="shared" si="144"/>
        <v>0</v>
      </c>
      <c r="AC150" s="151">
        <f t="shared" si="144"/>
        <v>12</v>
      </c>
      <c r="AD150" s="151">
        <f t="shared" si="144"/>
        <v>12</v>
      </c>
      <c r="AE150" s="151">
        <f>IF(AE18=$R32,$BC32,IF(AE18=$R33,$BC33,IF(AE18=$R34,$BC34,IF(AE18=$R35,$BC35,IF(AE18=$R36,$BC36,IF(AE18=$R37,$BC37,IF(AE18=$R38,$BC38,IF(AE18=$R39,$BC39,IF(AE18=$R40,$BC40,0)))))))))</f>
        <v>7.9999999999999716</v>
      </c>
      <c r="AF150" s="151">
        <f>IF(AF18=$R32,$BC32,IF(AF18=$R33,$BC33,IF(AF18=$R34,$BC34,IF(AF18=$R35,$BC35,IF(AF18=$R36,$BC36,IF(AF18=$R37,$BC37,IF(AF18=$R38,$BC38,IF(AF18=$R39,$BC39,IF(AF18=$R40,$BC40,0)))))))))</f>
        <v>7.9999999999999716</v>
      </c>
      <c r="AG150" s="151">
        <f>IF(AG18=$R32,$BC32,IF(AG18=$R33,$BC33,IF(AG18=$R34,$BC34,IF(AG18=$R35,$BC35,IF(AG18=$R36,$BC36,IF(AG18=$R37,$BC37,IF(AG18=$R38,$BC38,IF(AG18=$R39,$BC39,IF(AG18=$R40,$BC40,0)))))))))</f>
        <v>7.9999999999999716</v>
      </c>
      <c r="AH150" s="226">
        <f>SUM(C150:AG150)</f>
        <v>171.99999999999952</v>
      </c>
      <c r="AI150" s="226"/>
      <c r="AJ150" s="174" t="s">
        <v>62</v>
      </c>
      <c r="AK150" s="133" t="s">
        <v>12</v>
      </c>
      <c r="AL150" s="133"/>
    </row>
    <row r="151" spans="1:38" ht="15.95" hidden="1" customHeight="1" x14ac:dyDescent="0.25">
      <c r="A151" s="153" t="s">
        <v>48</v>
      </c>
      <c r="B151" s="149" t="s">
        <v>63</v>
      </c>
      <c r="C151" s="141" t="b">
        <f>IF(C46=1,IF(C146&lt;C147,C150,0))</f>
        <v>0</v>
      </c>
      <c r="D151" s="141" t="b">
        <f t="shared" ref="D151:AG151" si="145">IF(D46=1,IF(D146&lt;D147,D150,0))</f>
        <v>0</v>
      </c>
      <c r="E151" s="141" t="b">
        <f t="shared" si="145"/>
        <v>0</v>
      </c>
      <c r="F151" s="141" t="b">
        <f t="shared" si="145"/>
        <v>0</v>
      </c>
      <c r="G151" s="141" t="b">
        <f t="shared" si="145"/>
        <v>0</v>
      </c>
      <c r="H151" s="141">
        <f t="shared" si="145"/>
        <v>0</v>
      </c>
      <c r="I151" s="141">
        <f t="shared" si="145"/>
        <v>0</v>
      </c>
      <c r="J151" s="141" t="b">
        <f t="shared" si="145"/>
        <v>0</v>
      </c>
      <c r="K151" s="141" t="b">
        <f t="shared" si="145"/>
        <v>0</v>
      </c>
      <c r="L151" s="141" t="b">
        <f t="shared" si="145"/>
        <v>0</v>
      </c>
      <c r="M151" s="141" t="b">
        <f t="shared" si="145"/>
        <v>0</v>
      </c>
      <c r="N151" s="141" t="b">
        <f t="shared" si="145"/>
        <v>0</v>
      </c>
      <c r="O151" s="141">
        <f t="shared" si="145"/>
        <v>0</v>
      </c>
      <c r="P151" s="141">
        <f t="shared" si="145"/>
        <v>0</v>
      </c>
      <c r="Q151" s="141" t="b">
        <f t="shared" si="145"/>
        <v>0</v>
      </c>
      <c r="R151" s="141" t="b">
        <f t="shared" si="145"/>
        <v>0</v>
      </c>
      <c r="S151" s="141" t="b">
        <f t="shared" si="145"/>
        <v>0</v>
      </c>
      <c r="T151" s="141" t="b">
        <f t="shared" si="145"/>
        <v>0</v>
      </c>
      <c r="U151" s="141" t="b">
        <f t="shared" si="145"/>
        <v>0</v>
      </c>
      <c r="V151" s="141">
        <f t="shared" si="145"/>
        <v>0</v>
      </c>
      <c r="W151" s="141">
        <f t="shared" si="145"/>
        <v>0</v>
      </c>
      <c r="X151" s="141" t="b">
        <f t="shared" si="145"/>
        <v>0</v>
      </c>
      <c r="Y151" s="141" t="b">
        <f t="shared" si="145"/>
        <v>0</v>
      </c>
      <c r="Z151" s="141" t="b">
        <f t="shared" si="145"/>
        <v>0</v>
      </c>
      <c r="AA151" s="141" t="b">
        <f t="shared" si="145"/>
        <v>0</v>
      </c>
      <c r="AB151" s="141" t="b">
        <f t="shared" si="145"/>
        <v>0</v>
      </c>
      <c r="AC151" s="141">
        <f t="shared" si="145"/>
        <v>12</v>
      </c>
      <c r="AD151" s="141">
        <f t="shared" si="145"/>
        <v>12</v>
      </c>
      <c r="AE151" s="141" t="b">
        <f t="shared" si="145"/>
        <v>0</v>
      </c>
      <c r="AF151" s="141" t="b">
        <f t="shared" si="145"/>
        <v>0</v>
      </c>
      <c r="AG151" s="141" t="b">
        <f t="shared" si="145"/>
        <v>0</v>
      </c>
      <c r="AH151" s="154" t="s">
        <v>12</v>
      </c>
      <c r="AI151" s="133"/>
      <c r="AJ151" s="170"/>
      <c r="AK151" s="133"/>
      <c r="AL151" s="133"/>
    </row>
    <row r="152" spans="1:38" ht="15.95" hidden="1" customHeight="1" x14ac:dyDescent="0.25">
      <c r="A152" s="176"/>
      <c r="B152" s="149" t="s">
        <v>64</v>
      </c>
      <c r="C152" s="141">
        <f t="shared" ref="C152:AG152" si="146">IF(C46=1,IF(C146&gt;C147,24-C146,0),0)</f>
        <v>0</v>
      </c>
      <c r="D152" s="141">
        <f t="shared" si="146"/>
        <v>0</v>
      </c>
      <c r="E152" s="141">
        <f t="shared" si="146"/>
        <v>0</v>
      </c>
      <c r="F152" s="141">
        <f t="shared" si="146"/>
        <v>0</v>
      </c>
      <c r="G152" s="141">
        <f t="shared" si="146"/>
        <v>0</v>
      </c>
      <c r="H152" s="141">
        <f t="shared" si="146"/>
        <v>2</v>
      </c>
      <c r="I152" s="141">
        <f t="shared" si="146"/>
        <v>2</v>
      </c>
      <c r="J152" s="141">
        <f t="shared" si="146"/>
        <v>0</v>
      </c>
      <c r="K152" s="141">
        <f t="shared" si="146"/>
        <v>0</v>
      </c>
      <c r="L152" s="141">
        <f t="shared" si="146"/>
        <v>0</v>
      </c>
      <c r="M152" s="141">
        <f t="shared" si="146"/>
        <v>0</v>
      </c>
      <c r="N152" s="141">
        <f t="shared" si="146"/>
        <v>0</v>
      </c>
      <c r="O152" s="141">
        <f t="shared" si="146"/>
        <v>0</v>
      </c>
      <c r="P152" s="141">
        <f t="shared" si="146"/>
        <v>0</v>
      </c>
      <c r="Q152" s="141">
        <f t="shared" si="146"/>
        <v>0</v>
      </c>
      <c r="R152" s="141">
        <f t="shared" si="146"/>
        <v>0</v>
      </c>
      <c r="S152" s="141">
        <f t="shared" si="146"/>
        <v>0</v>
      </c>
      <c r="T152" s="141">
        <f t="shared" si="146"/>
        <v>0</v>
      </c>
      <c r="U152" s="141">
        <f t="shared" si="146"/>
        <v>0</v>
      </c>
      <c r="V152" s="141">
        <f t="shared" si="146"/>
        <v>2</v>
      </c>
      <c r="W152" s="141">
        <f t="shared" si="146"/>
        <v>2</v>
      </c>
      <c r="X152" s="141">
        <f t="shared" si="146"/>
        <v>0</v>
      </c>
      <c r="Y152" s="141">
        <f t="shared" si="146"/>
        <v>0</v>
      </c>
      <c r="Z152" s="141">
        <f t="shared" si="146"/>
        <v>0</v>
      </c>
      <c r="AA152" s="141">
        <f t="shared" si="146"/>
        <v>0</v>
      </c>
      <c r="AB152" s="141">
        <f t="shared" si="146"/>
        <v>0</v>
      </c>
      <c r="AC152" s="141">
        <f t="shared" si="146"/>
        <v>0</v>
      </c>
      <c r="AD152" s="141">
        <f t="shared" si="146"/>
        <v>0</v>
      </c>
      <c r="AE152" s="141">
        <f t="shared" si="146"/>
        <v>0</v>
      </c>
      <c r="AF152" s="141">
        <f t="shared" si="146"/>
        <v>0</v>
      </c>
      <c r="AG152" s="141">
        <f t="shared" si="146"/>
        <v>0</v>
      </c>
      <c r="AH152" s="154" t="s">
        <v>12</v>
      </c>
      <c r="AI152" s="133"/>
      <c r="AJ152" s="170"/>
      <c r="AK152" s="133"/>
      <c r="AL152" s="133"/>
    </row>
    <row r="153" spans="1:38" ht="15.95" hidden="1" customHeight="1" x14ac:dyDescent="0.25">
      <c r="A153" s="176"/>
      <c r="B153" s="149" t="s">
        <v>65</v>
      </c>
      <c r="C153" s="141">
        <f t="shared" ref="C153:AG153" si="147">IF(D46=1,IF(C146&gt;C147,C147,0),0)</f>
        <v>0</v>
      </c>
      <c r="D153" s="141">
        <f t="shared" si="147"/>
        <v>0</v>
      </c>
      <c r="E153" s="141">
        <f t="shared" si="147"/>
        <v>0</v>
      </c>
      <c r="F153" s="141">
        <f t="shared" si="147"/>
        <v>0</v>
      </c>
      <c r="G153" s="141">
        <f t="shared" si="147"/>
        <v>6</v>
      </c>
      <c r="H153" s="141">
        <f t="shared" si="147"/>
        <v>6</v>
      </c>
      <c r="I153" s="141">
        <f t="shared" si="147"/>
        <v>0</v>
      </c>
      <c r="J153" s="141">
        <f t="shared" si="147"/>
        <v>0</v>
      </c>
      <c r="K153" s="141">
        <f t="shared" si="147"/>
        <v>0</v>
      </c>
      <c r="L153" s="141">
        <f t="shared" si="147"/>
        <v>0</v>
      </c>
      <c r="M153" s="141">
        <f t="shared" si="147"/>
        <v>0</v>
      </c>
      <c r="N153" s="141">
        <f t="shared" si="147"/>
        <v>0</v>
      </c>
      <c r="O153" s="141">
        <f t="shared" si="147"/>
        <v>0</v>
      </c>
      <c r="P153" s="141">
        <f t="shared" si="147"/>
        <v>0</v>
      </c>
      <c r="Q153" s="141">
        <f t="shared" si="147"/>
        <v>0</v>
      </c>
      <c r="R153" s="141">
        <f t="shared" si="147"/>
        <v>0</v>
      </c>
      <c r="S153" s="141">
        <f t="shared" si="147"/>
        <v>0</v>
      </c>
      <c r="T153" s="141">
        <f t="shared" si="147"/>
        <v>0</v>
      </c>
      <c r="U153" s="141">
        <f t="shared" si="147"/>
        <v>6</v>
      </c>
      <c r="V153" s="141">
        <f t="shared" si="147"/>
        <v>6</v>
      </c>
      <c r="W153" s="141">
        <f t="shared" si="147"/>
        <v>0</v>
      </c>
      <c r="X153" s="141">
        <f>IF(Y46=1,IF(X146&gt;X147,X147,0),0)</f>
        <v>0</v>
      </c>
      <c r="Y153" s="141">
        <f t="shared" si="147"/>
        <v>0</v>
      </c>
      <c r="Z153" s="141">
        <f t="shared" si="147"/>
        <v>0</v>
      </c>
      <c r="AA153" s="141">
        <f t="shared" si="147"/>
        <v>0</v>
      </c>
      <c r="AB153" s="141">
        <f t="shared" si="147"/>
        <v>0</v>
      </c>
      <c r="AC153" s="141">
        <f t="shared" si="147"/>
        <v>0</v>
      </c>
      <c r="AD153" s="141">
        <f t="shared" si="147"/>
        <v>0</v>
      </c>
      <c r="AE153" s="141">
        <f t="shared" si="147"/>
        <v>0</v>
      </c>
      <c r="AF153" s="141">
        <f t="shared" si="147"/>
        <v>0</v>
      </c>
      <c r="AG153" s="141">
        <f t="shared" si="147"/>
        <v>0</v>
      </c>
      <c r="AH153" s="154" t="s">
        <v>12</v>
      </c>
      <c r="AI153" s="133"/>
      <c r="AJ153" s="170"/>
      <c r="AK153" s="133"/>
      <c r="AL153" s="133"/>
    </row>
    <row r="154" spans="1:38" ht="15.95" hidden="1" customHeight="1" x14ac:dyDescent="0.25">
      <c r="A154" s="176"/>
      <c r="B154" s="149" t="s">
        <v>67</v>
      </c>
      <c r="C154" s="171">
        <f>SUM(C151:C153)</f>
        <v>0</v>
      </c>
      <c r="D154" s="171">
        <f t="shared" ref="D154:AG154" si="148">SUM(D151:D153)</f>
        <v>0</v>
      </c>
      <c r="E154" s="171">
        <f t="shared" si="148"/>
        <v>0</v>
      </c>
      <c r="F154" s="171">
        <f t="shared" si="148"/>
        <v>0</v>
      </c>
      <c r="G154" s="171">
        <f t="shared" si="148"/>
        <v>6</v>
      </c>
      <c r="H154" s="171">
        <f t="shared" si="148"/>
        <v>8</v>
      </c>
      <c r="I154" s="171">
        <f t="shared" si="148"/>
        <v>2</v>
      </c>
      <c r="J154" s="171">
        <f t="shared" si="148"/>
        <v>0</v>
      </c>
      <c r="K154" s="171">
        <f t="shared" si="148"/>
        <v>0</v>
      </c>
      <c r="L154" s="171">
        <f t="shared" si="148"/>
        <v>0</v>
      </c>
      <c r="M154" s="171">
        <f t="shared" si="148"/>
        <v>0</v>
      </c>
      <c r="N154" s="171">
        <f t="shared" si="148"/>
        <v>0</v>
      </c>
      <c r="O154" s="171">
        <f t="shared" si="148"/>
        <v>0</v>
      </c>
      <c r="P154" s="171">
        <f t="shared" si="148"/>
        <v>0</v>
      </c>
      <c r="Q154" s="171">
        <f t="shared" si="148"/>
        <v>0</v>
      </c>
      <c r="R154" s="171">
        <f t="shared" si="148"/>
        <v>0</v>
      </c>
      <c r="S154" s="171">
        <f t="shared" si="148"/>
        <v>0</v>
      </c>
      <c r="T154" s="171">
        <f t="shared" si="148"/>
        <v>0</v>
      </c>
      <c r="U154" s="171">
        <f t="shared" si="148"/>
        <v>6</v>
      </c>
      <c r="V154" s="171">
        <f t="shared" si="148"/>
        <v>8</v>
      </c>
      <c r="W154" s="171">
        <f t="shared" si="148"/>
        <v>2</v>
      </c>
      <c r="X154" s="171">
        <f t="shared" si="148"/>
        <v>0</v>
      </c>
      <c r="Y154" s="171">
        <f t="shared" si="148"/>
        <v>0</v>
      </c>
      <c r="Z154" s="171">
        <f t="shared" si="148"/>
        <v>0</v>
      </c>
      <c r="AA154" s="171">
        <f t="shared" si="148"/>
        <v>0</v>
      </c>
      <c r="AB154" s="171">
        <f t="shared" si="148"/>
        <v>0</v>
      </c>
      <c r="AC154" s="171">
        <f t="shared" si="148"/>
        <v>12</v>
      </c>
      <c r="AD154" s="171">
        <f t="shared" si="148"/>
        <v>12</v>
      </c>
      <c r="AE154" s="171">
        <f t="shared" si="148"/>
        <v>0</v>
      </c>
      <c r="AF154" s="171">
        <f t="shared" si="148"/>
        <v>0</v>
      </c>
      <c r="AG154" s="171">
        <f t="shared" si="148"/>
        <v>0</v>
      </c>
      <c r="AH154" s="154" t="s">
        <v>12</v>
      </c>
      <c r="AI154" s="133"/>
      <c r="AJ154" s="170"/>
      <c r="AK154" s="133"/>
      <c r="AL154" s="133"/>
    </row>
    <row r="155" spans="1:38" ht="15.95" hidden="1" customHeight="1" x14ac:dyDescent="0.25">
      <c r="A155" s="177"/>
      <c r="B155" s="160" t="s">
        <v>68</v>
      </c>
      <c r="C155" s="161">
        <f t="shared" ref="C155:AG155" si="149">IF(C18="V",IF(C18="",0,1),0)</f>
        <v>0</v>
      </c>
      <c r="D155" s="161">
        <f t="shared" si="149"/>
        <v>0</v>
      </c>
      <c r="E155" s="161">
        <f t="shared" si="149"/>
        <v>0</v>
      </c>
      <c r="F155" s="161">
        <f t="shared" si="149"/>
        <v>0</v>
      </c>
      <c r="G155" s="161">
        <f t="shared" si="149"/>
        <v>0</v>
      </c>
      <c r="H155" s="161">
        <f t="shared" si="149"/>
        <v>0</v>
      </c>
      <c r="I155" s="161">
        <f t="shared" si="149"/>
        <v>0</v>
      </c>
      <c r="J155" s="161">
        <f t="shared" si="149"/>
        <v>0</v>
      </c>
      <c r="K155" s="161">
        <f t="shared" si="149"/>
        <v>0</v>
      </c>
      <c r="L155" s="161">
        <f t="shared" si="149"/>
        <v>0</v>
      </c>
      <c r="M155" s="161">
        <f t="shared" si="149"/>
        <v>0</v>
      </c>
      <c r="N155" s="161">
        <f t="shared" si="149"/>
        <v>0</v>
      </c>
      <c r="O155" s="161">
        <f t="shared" si="149"/>
        <v>0</v>
      </c>
      <c r="P155" s="161">
        <f t="shared" si="149"/>
        <v>0</v>
      </c>
      <c r="Q155" s="161">
        <f t="shared" si="149"/>
        <v>0</v>
      </c>
      <c r="R155" s="161">
        <f t="shared" si="149"/>
        <v>0</v>
      </c>
      <c r="S155" s="161">
        <f t="shared" si="149"/>
        <v>0</v>
      </c>
      <c r="T155" s="161">
        <f t="shared" si="149"/>
        <v>0</v>
      </c>
      <c r="U155" s="161">
        <f t="shared" si="149"/>
        <v>0</v>
      </c>
      <c r="V155" s="161">
        <f t="shared" si="149"/>
        <v>0</v>
      </c>
      <c r="W155" s="161">
        <f t="shared" si="149"/>
        <v>0</v>
      </c>
      <c r="X155" s="161">
        <f t="shared" si="149"/>
        <v>0</v>
      </c>
      <c r="Y155" s="161">
        <f t="shared" si="149"/>
        <v>0</v>
      </c>
      <c r="Z155" s="161">
        <f t="shared" si="149"/>
        <v>0</v>
      </c>
      <c r="AA155" s="161">
        <f t="shared" si="149"/>
        <v>0</v>
      </c>
      <c r="AB155" s="161">
        <f t="shared" si="149"/>
        <v>0</v>
      </c>
      <c r="AC155" s="161">
        <f t="shared" si="149"/>
        <v>0</v>
      </c>
      <c r="AD155" s="161">
        <f t="shared" si="149"/>
        <v>0</v>
      </c>
      <c r="AE155" s="161">
        <f t="shared" si="149"/>
        <v>0</v>
      </c>
      <c r="AF155" s="161">
        <f t="shared" si="149"/>
        <v>0</v>
      </c>
      <c r="AG155" s="161">
        <f t="shared" si="149"/>
        <v>0</v>
      </c>
      <c r="AH155" s="154" t="s">
        <v>12</v>
      </c>
      <c r="AI155" s="133"/>
      <c r="AJ155" s="170"/>
      <c r="AK155" s="133"/>
      <c r="AL155" s="133"/>
    </row>
    <row r="156" spans="1:38" ht="15.95" hidden="1" customHeight="1" x14ac:dyDescent="0.25">
      <c r="A156" s="180"/>
      <c r="B156" s="181" t="s">
        <v>16</v>
      </c>
      <c r="C156" s="182">
        <f t="shared" ref="C156:AG156" si="150">IF(C18="PR",IF(C18="",0,1),0)</f>
        <v>0</v>
      </c>
      <c r="D156" s="182">
        <f t="shared" si="150"/>
        <v>0</v>
      </c>
      <c r="E156" s="182">
        <f t="shared" si="150"/>
        <v>0</v>
      </c>
      <c r="F156" s="182">
        <f t="shared" si="150"/>
        <v>0</v>
      </c>
      <c r="G156" s="182">
        <f t="shared" si="150"/>
        <v>0</v>
      </c>
      <c r="H156" s="182">
        <f t="shared" si="150"/>
        <v>0</v>
      </c>
      <c r="I156" s="182">
        <f t="shared" si="150"/>
        <v>0</v>
      </c>
      <c r="J156" s="182">
        <f t="shared" si="150"/>
        <v>0</v>
      </c>
      <c r="K156" s="182">
        <f t="shared" si="150"/>
        <v>0</v>
      </c>
      <c r="L156" s="182">
        <f t="shared" si="150"/>
        <v>0</v>
      </c>
      <c r="M156" s="182">
        <f t="shared" si="150"/>
        <v>0</v>
      </c>
      <c r="N156" s="182">
        <f t="shared" si="150"/>
        <v>0</v>
      </c>
      <c r="O156" s="182">
        <f t="shared" si="150"/>
        <v>0</v>
      </c>
      <c r="P156" s="182">
        <f t="shared" si="150"/>
        <v>0</v>
      </c>
      <c r="Q156" s="182">
        <f t="shared" si="150"/>
        <v>0</v>
      </c>
      <c r="R156" s="182">
        <f t="shared" si="150"/>
        <v>0</v>
      </c>
      <c r="S156" s="182">
        <f t="shared" si="150"/>
        <v>0</v>
      </c>
      <c r="T156" s="182">
        <f t="shared" si="150"/>
        <v>0</v>
      </c>
      <c r="U156" s="182">
        <f t="shared" si="150"/>
        <v>0</v>
      </c>
      <c r="V156" s="182">
        <f t="shared" si="150"/>
        <v>0</v>
      </c>
      <c r="W156" s="182">
        <f t="shared" si="150"/>
        <v>0</v>
      </c>
      <c r="X156" s="182">
        <f t="shared" si="150"/>
        <v>0</v>
      </c>
      <c r="Y156" s="182">
        <f t="shared" si="150"/>
        <v>0</v>
      </c>
      <c r="Z156" s="182">
        <f t="shared" si="150"/>
        <v>0</v>
      </c>
      <c r="AA156" s="182">
        <f t="shared" si="150"/>
        <v>0</v>
      </c>
      <c r="AB156" s="182">
        <f t="shared" si="150"/>
        <v>0</v>
      </c>
      <c r="AC156" s="182">
        <f t="shared" si="150"/>
        <v>0</v>
      </c>
      <c r="AD156" s="182">
        <f t="shared" si="150"/>
        <v>0</v>
      </c>
      <c r="AE156" s="182">
        <f t="shared" si="150"/>
        <v>0</v>
      </c>
      <c r="AF156" s="182">
        <f t="shared" si="150"/>
        <v>0</v>
      </c>
      <c r="AG156" s="182">
        <f t="shared" si="150"/>
        <v>0</v>
      </c>
      <c r="AH156" s="227">
        <f>SUM(C156:AG156)</f>
        <v>0</v>
      </c>
      <c r="AI156" s="227"/>
      <c r="AJ156" s="174" t="s">
        <v>69</v>
      </c>
      <c r="AK156" s="133"/>
      <c r="AL156" s="133"/>
    </row>
    <row r="157" spans="1:38" ht="15.95" hidden="1" customHeight="1" x14ac:dyDescent="0.25">
      <c r="A157" s="164" t="s">
        <v>126</v>
      </c>
      <c r="B157" s="165" t="s">
        <v>29</v>
      </c>
      <c r="C157" s="141" t="str">
        <f>IF(C19=$R32,$S32*24,IF(C19=$R33,$S33*24,IF(C19=$R34,$S34*24,IF(C19=$R35,$S35*24,IF(C19=$R36,$S36*24,IF(C19=$R37,$S37*24,IF(C19=$R38,$S38*24,IF(C19=$R39,$S39*24,IF(C19=$R40,$S40*24,"")))))))))</f>
        <v/>
      </c>
      <c r="D157" s="141" t="str">
        <f t="shared" ref="D157:AG157" si="151">IF(D19=$R32,$S32*24,IF(D19=$R33,$S33*24,IF(D19=$R34,$S34*24,IF(D19=$R35,$S35*24,IF(D19=$R36,$S36*24,IF(D19=$R37,$S37*24,IF(D19=$R38,$S38*24,IF(D19=$R39,$S39*24,IF(D19=$R40,$S40*24,"")))))))))</f>
        <v/>
      </c>
      <c r="E157" s="141" t="str">
        <f t="shared" si="151"/>
        <v/>
      </c>
      <c r="F157" s="141" t="str">
        <f t="shared" si="151"/>
        <v/>
      </c>
      <c r="G157" s="141" t="str">
        <f t="shared" si="151"/>
        <v/>
      </c>
      <c r="H157" s="141" t="str">
        <f t="shared" si="151"/>
        <v/>
      </c>
      <c r="I157" s="141" t="str">
        <f t="shared" si="151"/>
        <v/>
      </c>
      <c r="J157" s="141" t="str">
        <f t="shared" si="151"/>
        <v/>
      </c>
      <c r="K157" s="141" t="str">
        <f t="shared" si="151"/>
        <v/>
      </c>
      <c r="L157" s="141" t="str">
        <f t="shared" si="151"/>
        <v/>
      </c>
      <c r="M157" s="141" t="str">
        <f t="shared" si="151"/>
        <v/>
      </c>
      <c r="N157" s="141">
        <f t="shared" si="151"/>
        <v>22</v>
      </c>
      <c r="O157" s="141">
        <f t="shared" si="151"/>
        <v>22</v>
      </c>
      <c r="P157" s="141">
        <f t="shared" si="151"/>
        <v>22</v>
      </c>
      <c r="Q157" s="141" t="str">
        <f t="shared" si="151"/>
        <v/>
      </c>
      <c r="R157" s="141" t="str">
        <f t="shared" si="151"/>
        <v/>
      </c>
      <c r="S157" s="141" t="str">
        <f t="shared" si="151"/>
        <v/>
      </c>
      <c r="T157" s="141" t="str">
        <f t="shared" si="151"/>
        <v/>
      </c>
      <c r="U157" s="141" t="str">
        <f t="shared" si="151"/>
        <v/>
      </c>
      <c r="V157" s="141" t="str">
        <f t="shared" si="151"/>
        <v/>
      </c>
      <c r="W157" s="141" t="str">
        <f t="shared" si="151"/>
        <v/>
      </c>
      <c r="X157" s="141" t="str">
        <f t="shared" si="151"/>
        <v/>
      </c>
      <c r="Y157" s="141" t="str">
        <f t="shared" si="151"/>
        <v/>
      </c>
      <c r="Z157" s="141" t="str">
        <f t="shared" si="151"/>
        <v/>
      </c>
      <c r="AA157" s="141" t="str">
        <f t="shared" si="151"/>
        <v/>
      </c>
      <c r="AB157" s="141" t="str">
        <f t="shared" si="151"/>
        <v/>
      </c>
      <c r="AC157" s="141">
        <f t="shared" si="151"/>
        <v>22</v>
      </c>
      <c r="AD157" s="141">
        <f t="shared" si="151"/>
        <v>22</v>
      </c>
      <c r="AE157" s="141" t="str">
        <f t="shared" si="151"/>
        <v/>
      </c>
      <c r="AF157" s="141" t="str">
        <f t="shared" si="151"/>
        <v/>
      </c>
      <c r="AG157" s="141" t="str">
        <f t="shared" si="151"/>
        <v/>
      </c>
      <c r="AH157" s="154" t="s">
        <v>12</v>
      </c>
      <c r="AI157" s="133"/>
      <c r="AJ157" s="170"/>
      <c r="AK157" s="133"/>
      <c r="AL157" s="133"/>
    </row>
    <row r="158" spans="1:38" ht="15.95" hidden="1" customHeight="1" x14ac:dyDescent="0.25">
      <c r="A158" s="166" t="s">
        <v>128</v>
      </c>
      <c r="B158" s="167" t="s">
        <v>30</v>
      </c>
      <c r="C158" s="141" t="str">
        <f>IF(C19=$R32,$V32*24,IF(C19=$R33,$V33*24,IF(C19=$R34,$V34*24,IF(C19=$R35,$V35*24,IF(C19=$R36,$V36*24,IF(C19=$R37,$V37*24,IF(C19=$R38,$V38*24,IF(C19=$R39,$V39*24,IF(C19=$R40,$V40*24,"")))))))))</f>
        <v/>
      </c>
      <c r="D158" s="141" t="str">
        <f t="shared" ref="D158:AG158" si="152">IF(D19=$R32,$V32*24,IF(D19=$R33,$V33*24,IF(D19=$R34,$V34*24,IF(D19=$R35,$V35*24,IF(D19=$R36,$V36*24,IF(D19=$R37,$V37*24,IF(D19=$R38,$V38*24,IF(D19=$R39,$V39*24,IF(D19=$R40,$V40*24,"")))))))))</f>
        <v/>
      </c>
      <c r="E158" s="141" t="str">
        <f t="shared" si="152"/>
        <v/>
      </c>
      <c r="F158" s="141" t="str">
        <f t="shared" si="152"/>
        <v/>
      </c>
      <c r="G158" s="141" t="str">
        <f t="shared" si="152"/>
        <v/>
      </c>
      <c r="H158" s="141" t="str">
        <f t="shared" si="152"/>
        <v/>
      </c>
      <c r="I158" s="141" t="str">
        <f t="shared" si="152"/>
        <v/>
      </c>
      <c r="J158" s="141" t="str">
        <f t="shared" si="152"/>
        <v/>
      </c>
      <c r="K158" s="141" t="str">
        <f t="shared" si="152"/>
        <v/>
      </c>
      <c r="L158" s="141" t="str">
        <f t="shared" si="152"/>
        <v/>
      </c>
      <c r="M158" s="141" t="str">
        <f t="shared" si="152"/>
        <v/>
      </c>
      <c r="N158" s="141">
        <f t="shared" si="152"/>
        <v>6</v>
      </c>
      <c r="O158" s="141">
        <f t="shared" si="152"/>
        <v>6</v>
      </c>
      <c r="P158" s="141">
        <f t="shared" si="152"/>
        <v>6</v>
      </c>
      <c r="Q158" s="141" t="str">
        <f t="shared" si="152"/>
        <v/>
      </c>
      <c r="R158" s="141" t="str">
        <f t="shared" si="152"/>
        <v/>
      </c>
      <c r="S158" s="141" t="str">
        <f t="shared" si="152"/>
        <v/>
      </c>
      <c r="T158" s="141" t="str">
        <f t="shared" si="152"/>
        <v/>
      </c>
      <c r="U158" s="141" t="str">
        <f t="shared" si="152"/>
        <v/>
      </c>
      <c r="V158" s="141" t="str">
        <f t="shared" si="152"/>
        <v/>
      </c>
      <c r="W158" s="141" t="str">
        <f t="shared" si="152"/>
        <v/>
      </c>
      <c r="X158" s="141" t="str">
        <f t="shared" si="152"/>
        <v/>
      </c>
      <c r="Y158" s="141" t="str">
        <f t="shared" si="152"/>
        <v/>
      </c>
      <c r="Z158" s="141" t="str">
        <f t="shared" si="152"/>
        <v/>
      </c>
      <c r="AA158" s="141" t="str">
        <f t="shared" si="152"/>
        <v/>
      </c>
      <c r="AB158" s="141" t="str">
        <f t="shared" si="152"/>
        <v/>
      </c>
      <c r="AC158" s="141">
        <f t="shared" si="152"/>
        <v>6</v>
      </c>
      <c r="AD158" s="141">
        <f t="shared" si="152"/>
        <v>6</v>
      </c>
      <c r="AE158" s="141" t="str">
        <f t="shared" si="152"/>
        <v/>
      </c>
      <c r="AF158" s="141" t="str">
        <f t="shared" si="152"/>
        <v/>
      </c>
      <c r="AG158" s="141" t="str">
        <f t="shared" si="152"/>
        <v/>
      </c>
      <c r="AH158" s="154" t="s">
        <v>12</v>
      </c>
      <c r="AI158" s="133"/>
      <c r="AJ158" s="170"/>
      <c r="AK158" s="133"/>
      <c r="AL158" s="133"/>
    </row>
    <row r="159" spans="1:38" ht="15.95" hidden="1" customHeight="1" x14ac:dyDescent="0.25">
      <c r="A159" s="153"/>
      <c r="B159" s="183" t="s">
        <v>34</v>
      </c>
      <c r="C159" s="169" t="str">
        <f t="shared" ref="C159:AD159" si="153">IF(C19=$R32,$BD32*24,IF(C19=$R33,$BD33*24,IF(C19=$R34,$BD34*24,IF(C19=$R35,$BD35*24,IF(C19=$R36,$BD36*24,IF(C19=$R37,$BD37*24,IF(C19=$R38,$BD38*24,IF(C19=$R39,$BD39*24,IF(C19=$R40,$BD40*24,"")))))))))</f>
        <v/>
      </c>
      <c r="D159" s="169" t="str">
        <f t="shared" si="153"/>
        <v/>
      </c>
      <c r="E159" s="169" t="str">
        <f t="shared" si="153"/>
        <v/>
      </c>
      <c r="F159" s="169" t="str">
        <f t="shared" si="153"/>
        <v/>
      </c>
      <c r="G159" s="169" t="str">
        <f t="shared" si="153"/>
        <v/>
      </c>
      <c r="H159" s="169" t="str">
        <f t="shared" si="153"/>
        <v/>
      </c>
      <c r="I159" s="169" t="str">
        <f t="shared" si="153"/>
        <v/>
      </c>
      <c r="J159" s="169" t="str">
        <f t="shared" si="153"/>
        <v/>
      </c>
      <c r="K159" s="169" t="str">
        <f t="shared" si="153"/>
        <v/>
      </c>
      <c r="L159" s="169" t="str">
        <f t="shared" si="153"/>
        <v/>
      </c>
      <c r="M159" s="169" t="str">
        <f t="shared" si="153"/>
        <v/>
      </c>
      <c r="N159" s="169">
        <f t="shared" si="153"/>
        <v>8</v>
      </c>
      <c r="O159" s="169">
        <f t="shared" si="153"/>
        <v>8</v>
      </c>
      <c r="P159" s="169">
        <f t="shared" si="153"/>
        <v>8</v>
      </c>
      <c r="Q159" s="169" t="str">
        <f t="shared" si="153"/>
        <v/>
      </c>
      <c r="R159" s="169" t="str">
        <f t="shared" si="153"/>
        <v/>
      </c>
      <c r="S159" s="169" t="str">
        <f t="shared" si="153"/>
        <v/>
      </c>
      <c r="T159" s="169" t="str">
        <f t="shared" si="153"/>
        <v/>
      </c>
      <c r="U159" s="169" t="str">
        <f t="shared" si="153"/>
        <v/>
      </c>
      <c r="V159" s="169" t="str">
        <f t="shared" si="153"/>
        <v/>
      </c>
      <c r="W159" s="169" t="str">
        <f t="shared" si="153"/>
        <v/>
      </c>
      <c r="X159" s="169" t="str">
        <f t="shared" si="153"/>
        <v/>
      </c>
      <c r="Y159" s="169" t="str">
        <f t="shared" si="153"/>
        <v/>
      </c>
      <c r="Z159" s="169" t="str">
        <f t="shared" si="153"/>
        <v/>
      </c>
      <c r="AA159" s="169" t="str">
        <f t="shared" si="153"/>
        <v/>
      </c>
      <c r="AB159" s="169" t="str">
        <f t="shared" si="153"/>
        <v/>
      </c>
      <c r="AC159" s="169">
        <f t="shared" si="153"/>
        <v>8</v>
      </c>
      <c r="AD159" s="169">
        <f t="shared" si="153"/>
        <v>8</v>
      </c>
      <c r="AE159" s="169" t="str">
        <f>IF(AE19=$R32,$BD32*24,IF(AE19=$R33,$BD33*24,IF(AE19=$R34,$BD34*24,IF(AE19=$R35,$BD35*24,IF(AE19=$R36,$BD36*24,IF(AE19=$R37,$BD37*24,IF(AE19=$R38,$BD38*24,IF(AE19=$R39,$BD39*24,IF(AE19=$R40,$BD40*24,"")))))))))</f>
        <v/>
      </c>
      <c r="AF159" s="169" t="str">
        <f>IF(AF19=$R32,$BD32*24,IF(AF19=$R33,$BD33*24,IF(AF19=$R34,$BD34*24,IF(AF19=$R35,$BD35*24,IF(AF19=$R36,$BD36*24,IF(AF19=$R37,$BD37*24,IF(AF19=$R38,$BD38*24,IF(AF19=$R39,$BD39*24,IF(AF19=$R40,$BD40*24,"")))))))))</f>
        <v/>
      </c>
      <c r="AG159" s="169" t="str">
        <f>IF(AG19=$R32,$BD32*24,IF(AG19=$R33,$BD33*24,IF(AG19=$R34,$BD34*24,IF(AG19=$R35,$BD35*24,IF(AG19=$R36,$BD36*24,IF(AG19=$R37,$BD37*24,IF(AG19=$R38,$BD38*24,IF(AG19=$R39,$BD39*24,IF(AG19=$R40,$BD40*24,"")))))))))</f>
        <v/>
      </c>
      <c r="AH159" s="148">
        <f>SUM(C159:AG159)</f>
        <v>40</v>
      </c>
      <c r="AI159" s="133"/>
      <c r="AJ159" s="170"/>
      <c r="AK159" s="133"/>
      <c r="AL159" s="133"/>
    </row>
    <row r="160" spans="1:38" ht="15.95" hidden="1" customHeight="1" x14ac:dyDescent="0.25">
      <c r="A160" s="153"/>
      <c r="B160" s="167" t="s">
        <v>59</v>
      </c>
      <c r="C160" s="141">
        <f>IF(C19="V",$C36,IF(C19="PR",$C38,0))</f>
        <v>0</v>
      </c>
      <c r="D160" s="141">
        <f t="shared" ref="D160:AG160" si="154">IF(D19="V",$C36,IF(D19="PR",$C38,0))</f>
        <v>0</v>
      </c>
      <c r="E160" s="141">
        <f t="shared" si="154"/>
        <v>0</v>
      </c>
      <c r="F160" s="141">
        <f t="shared" si="154"/>
        <v>0</v>
      </c>
      <c r="G160" s="141">
        <f t="shared" si="154"/>
        <v>0</v>
      </c>
      <c r="H160" s="141">
        <f t="shared" si="154"/>
        <v>0</v>
      </c>
      <c r="I160" s="141">
        <f t="shared" si="154"/>
        <v>0</v>
      </c>
      <c r="J160" s="141">
        <f t="shared" si="154"/>
        <v>0</v>
      </c>
      <c r="K160" s="141">
        <f t="shared" si="154"/>
        <v>0</v>
      </c>
      <c r="L160" s="141">
        <f t="shared" si="154"/>
        <v>0</v>
      </c>
      <c r="M160" s="141">
        <f t="shared" si="154"/>
        <v>0</v>
      </c>
      <c r="N160" s="141">
        <f t="shared" si="154"/>
        <v>0</v>
      </c>
      <c r="O160" s="141">
        <f t="shared" si="154"/>
        <v>0</v>
      </c>
      <c r="P160" s="141">
        <f t="shared" si="154"/>
        <v>0</v>
      </c>
      <c r="Q160" s="141">
        <f t="shared" si="154"/>
        <v>0</v>
      </c>
      <c r="R160" s="141">
        <f t="shared" si="154"/>
        <v>0</v>
      </c>
      <c r="S160" s="141">
        <f t="shared" si="154"/>
        <v>0</v>
      </c>
      <c r="T160" s="141">
        <f t="shared" si="154"/>
        <v>0</v>
      </c>
      <c r="U160" s="141">
        <f t="shared" si="154"/>
        <v>0</v>
      </c>
      <c r="V160" s="141">
        <f t="shared" si="154"/>
        <v>0</v>
      </c>
      <c r="W160" s="141">
        <f t="shared" si="154"/>
        <v>0</v>
      </c>
      <c r="X160" s="141">
        <f t="shared" si="154"/>
        <v>0</v>
      </c>
      <c r="Y160" s="141">
        <f t="shared" si="154"/>
        <v>0</v>
      </c>
      <c r="Z160" s="141">
        <f t="shared" si="154"/>
        <v>0</v>
      </c>
      <c r="AA160" s="141">
        <f t="shared" si="154"/>
        <v>0</v>
      </c>
      <c r="AB160" s="141">
        <f t="shared" si="154"/>
        <v>0</v>
      </c>
      <c r="AC160" s="141">
        <f t="shared" si="154"/>
        <v>0</v>
      </c>
      <c r="AD160" s="141">
        <f t="shared" si="154"/>
        <v>0</v>
      </c>
      <c r="AE160" s="141">
        <f t="shared" si="154"/>
        <v>0</v>
      </c>
      <c r="AF160" s="141">
        <f t="shared" si="154"/>
        <v>0</v>
      </c>
      <c r="AG160" s="141">
        <f t="shared" si="154"/>
        <v>0</v>
      </c>
      <c r="AH160" s="226">
        <f>SUM(C160:AG160)</f>
        <v>0</v>
      </c>
      <c r="AI160" s="226"/>
      <c r="AJ160" s="230">
        <f>SUM(AH105+AH116+AH127+AH138+AH149+AH160)</f>
        <v>0</v>
      </c>
      <c r="AK160" s="230"/>
      <c r="AL160" s="133" t="s">
        <v>56</v>
      </c>
    </row>
    <row r="161" spans="1:38" ht="15.95" hidden="1" customHeight="1" x14ac:dyDescent="0.25">
      <c r="A161" s="150" t="s">
        <v>60</v>
      </c>
      <c r="B161" s="167" t="s">
        <v>61</v>
      </c>
      <c r="C161" s="151">
        <f t="shared" ref="C161:AD161" si="155">IF(C19=$R32,$BC32,IF(C19=$R33,$BC33,IF(C19=$R34,$BC34,IF(C19=$R35,$BC35,IF(C19=$R36,$BC36,IF(C19=$R37,$BC37,IF(C19=$R38,$BC38,IF(C19=$R39,$BC39,IF(C19=$R40,$BC40,0)))))))))</f>
        <v>0</v>
      </c>
      <c r="D161" s="151">
        <f t="shared" si="155"/>
        <v>0</v>
      </c>
      <c r="E161" s="151">
        <f t="shared" si="155"/>
        <v>0</v>
      </c>
      <c r="F161" s="151">
        <f t="shared" si="155"/>
        <v>0</v>
      </c>
      <c r="G161" s="151">
        <f t="shared" si="155"/>
        <v>0</v>
      </c>
      <c r="H161" s="151">
        <f t="shared" si="155"/>
        <v>0</v>
      </c>
      <c r="I161" s="151">
        <f t="shared" si="155"/>
        <v>0</v>
      </c>
      <c r="J161" s="151">
        <f t="shared" si="155"/>
        <v>0</v>
      </c>
      <c r="K161" s="151">
        <f t="shared" si="155"/>
        <v>0</v>
      </c>
      <c r="L161" s="151">
        <f t="shared" si="155"/>
        <v>0</v>
      </c>
      <c r="M161" s="151">
        <f t="shared" si="155"/>
        <v>0</v>
      </c>
      <c r="N161" s="151">
        <f t="shared" si="155"/>
        <v>7.9999999999999716</v>
      </c>
      <c r="O161" s="151">
        <f t="shared" si="155"/>
        <v>7.9999999999999716</v>
      </c>
      <c r="P161" s="151">
        <f t="shared" si="155"/>
        <v>7.9999999999999716</v>
      </c>
      <c r="Q161" s="151">
        <f t="shared" si="155"/>
        <v>0</v>
      </c>
      <c r="R161" s="151">
        <f t="shared" si="155"/>
        <v>0</v>
      </c>
      <c r="S161" s="151">
        <f t="shared" si="155"/>
        <v>0</v>
      </c>
      <c r="T161" s="151">
        <f t="shared" si="155"/>
        <v>0</v>
      </c>
      <c r="U161" s="151">
        <f t="shared" si="155"/>
        <v>0</v>
      </c>
      <c r="V161" s="151">
        <f t="shared" si="155"/>
        <v>0</v>
      </c>
      <c r="W161" s="151">
        <f t="shared" si="155"/>
        <v>0</v>
      </c>
      <c r="X161" s="151">
        <f t="shared" si="155"/>
        <v>0</v>
      </c>
      <c r="Y161" s="151">
        <f t="shared" si="155"/>
        <v>0</v>
      </c>
      <c r="Z161" s="151">
        <f t="shared" si="155"/>
        <v>0</v>
      </c>
      <c r="AA161" s="151">
        <f t="shared" si="155"/>
        <v>0</v>
      </c>
      <c r="AB161" s="151">
        <f t="shared" si="155"/>
        <v>0</v>
      </c>
      <c r="AC161" s="151">
        <f t="shared" si="155"/>
        <v>7.9999999999999716</v>
      </c>
      <c r="AD161" s="151">
        <f t="shared" si="155"/>
        <v>7.9999999999999716</v>
      </c>
      <c r="AE161" s="151">
        <f>IF(AE19=$R32,$BC32,IF(AE19=$R33,$BC33,IF(AE19=$R34,$BC34,IF(AE19=$R35,$BC35,IF(AE19=$R36,$BC36,IF(AE19=$R37,$BC37,IF(AE19=$R38,$BC38,IF(AE19=$R39,$BC39,IF(AE19=$R40,$BC40,0)))))))))</f>
        <v>0</v>
      </c>
      <c r="AF161" s="151">
        <f>IF(AF19=$R32,$BC32,IF(AF19=$R33,$BC33,IF(AF19=$R34,$BC34,IF(AF19=$R35,$BC35,IF(AF19=$R36,$BC36,IF(AF19=$R37,$BC37,IF(AF19=$R38,$BC38,IF(AF19=$R39,$BC39,IF(AF19=$R40,$BC40,0)))))))))</f>
        <v>0</v>
      </c>
      <c r="AG161" s="151">
        <f>IF(AG19=$R32,$BC32,IF(AG19=$R33,$BC33,IF(AG19=$R34,$BC34,IF(AG19=$R35,$BC35,IF(AG19=$R36,$BC36,IF(AG19=$R37,$BC37,IF(AG19=$R38,$BC38,IF(AG19=$R39,$BC39,IF(AG19=$R40,$BC40,0)))))))))</f>
        <v>0</v>
      </c>
      <c r="AH161" s="226">
        <f>SUM(C161:AG161)</f>
        <v>39.999999999999858</v>
      </c>
      <c r="AI161" s="226"/>
      <c r="AJ161" s="174" t="s">
        <v>62</v>
      </c>
      <c r="AK161" s="133" t="s">
        <v>12</v>
      </c>
      <c r="AL161" s="133"/>
    </row>
    <row r="162" spans="1:38" ht="15.95" hidden="1" customHeight="1" x14ac:dyDescent="0.25">
      <c r="A162" s="153" t="s">
        <v>48</v>
      </c>
      <c r="B162" s="149" t="s">
        <v>63</v>
      </c>
      <c r="C162" s="141" t="b">
        <f>IF(C46=1,IF(C157&lt;C158,C161,0))</f>
        <v>0</v>
      </c>
      <c r="D162" s="141" t="b">
        <f t="shared" ref="D162:AG162" si="156">IF(D46=1,IF(D157&lt;D158,D161,0))</f>
        <v>0</v>
      </c>
      <c r="E162" s="141" t="b">
        <f t="shared" si="156"/>
        <v>0</v>
      </c>
      <c r="F162" s="141" t="b">
        <f t="shared" si="156"/>
        <v>0</v>
      </c>
      <c r="G162" s="141" t="b">
        <f t="shared" si="156"/>
        <v>0</v>
      </c>
      <c r="H162" s="141">
        <f t="shared" si="156"/>
        <v>0</v>
      </c>
      <c r="I162" s="141">
        <f t="shared" si="156"/>
        <v>0</v>
      </c>
      <c r="J162" s="141" t="b">
        <f t="shared" si="156"/>
        <v>0</v>
      </c>
      <c r="K162" s="141" t="b">
        <f t="shared" si="156"/>
        <v>0</v>
      </c>
      <c r="L162" s="141" t="b">
        <f t="shared" si="156"/>
        <v>0</v>
      </c>
      <c r="M162" s="141" t="b">
        <f t="shared" si="156"/>
        <v>0</v>
      </c>
      <c r="N162" s="141" t="b">
        <f t="shared" si="156"/>
        <v>0</v>
      </c>
      <c r="O162" s="141">
        <f t="shared" si="156"/>
        <v>0</v>
      </c>
      <c r="P162" s="141">
        <f t="shared" si="156"/>
        <v>0</v>
      </c>
      <c r="Q162" s="141" t="b">
        <f t="shared" si="156"/>
        <v>0</v>
      </c>
      <c r="R162" s="141" t="b">
        <f t="shared" si="156"/>
        <v>0</v>
      </c>
      <c r="S162" s="141" t="b">
        <f t="shared" si="156"/>
        <v>0</v>
      </c>
      <c r="T162" s="141" t="b">
        <f t="shared" si="156"/>
        <v>0</v>
      </c>
      <c r="U162" s="141" t="b">
        <f t="shared" si="156"/>
        <v>0</v>
      </c>
      <c r="V162" s="141">
        <f t="shared" si="156"/>
        <v>0</v>
      </c>
      <c r="W162" s="141">
        <f t="shared" si="156"/>
        <v>0</v>
      </c>
      <c r="X162" s="141" t="b">
        <f t="shared" si="156"/>
        <v>0</v>
      </c>
      <c r="Y162" s="141" t="b">
        <f t="shared" si="156"/>
        <v>0</v>
      </c>
      <c r="Z162" s="141" t="b">
        <f t="shared" si="156"/>
        <v>0</v>
      </c>
      <c r="AA162" s="141" t="b">
        <f t="shared" si="156"/>
        <v>0</v>
      </c>
      <c r="AB162" s="141" t="b">
        <f t="shared" si="156"/>
        <v>0</v>
      </c>
      <c r="AC162" s="141">
        <f t="shared" si="156"/>
        <v>0</v>
      </c>
      <c r="AD162" s="141">
        <f t="shared" si="156"/>
        <v>0</v>
      </c>
      <c r="AE162" s="141" t="b">
        <f t="shared" si="156"/>
        <v>0</v>
      </c>
      <c r="AF162" s="141" t="b">
        <f t="shared" si="156"/>
        <v>0</v>
      </c>
      <c r="AG162" s="141" t="b">
        <f t="shared" si="156"/>
        <v>0</v>
      </c>
      <c r="AH162" s="154" t="s">
        <v>12</v>
      </c>
      <c r="AI162" s="133"/>
      <c r="AJ162" s="170"/>
      <c r="AK162" s="133"/>
      <c r="AL162" s="133"/>
    </row>
    <row r="163" spans="1:38" ht="15.95" hidden="1" customHeight="1" x14ac:dyDescent="0.25">
      <c r="A163" s="176"/>
      <c r="B163" s="149" t="s">
        <v>64</v>
      </c>
      <c r="C163" s="141">
        <f>IF(C46=1,IF(C157&gt;C158,24-C157,0),0)</f>
        <v>0</v>
      </c>
      <c r="D163" s="141">
        <f t="shared" ref="D163:AG163" si="157">IF(D46=1,IF(D157&gt;D158,24-D157,0),0)</f>
        <v>0</v>
      </c>
      <c r="E163" s="141">
        <f t="shared" si="157"/>
        <v>0</v>
      </c>
      <c r="F163" s="141">
        <f t="shared" si="157"/>
        <v>0</v>
      </c>
      <c r="G163" s="141">
        <f t="shared" si="157"/>
        <v>0</v>
      </c>
      <c r="H163" s="141">
        <f t="shared" si="157"/>
        <v>0</v>
      </c>
      <c r="I163" s="141">
        <f t="shared" si="157"/>
        <v>0</v>
      </c>
      <c r="J163" s="141">
        <f t="shared" si="157"/>
        <v>0</v>
      </c>
      <c r="K163" s="141">
        <f t="shared" si="157"/>
        <v>0</v>
      </c>
      <c r="L163" s="141">
        <f t="shared" si="157"/>
        <v>0</v>
      </c>
      <c r="M163" s="141">
        <f t="shared" si="157"/>
        <v>0</v>
      </c>
      <c r="N163" s="141">
        <f t="shared" si="157"/>
        <v>0</v>
      </c>
      <c r="O163" s="141">
        <f t="shared" si="157"/>
        <v>2</v>
      </c>
      <c r="P163" s="141">
        <f t="shared" si="157"/>
        <v>2</v>
      </c>
      <c r="Q163" s="141">
        <f t="shared" si="157"/>
        <v>0</v>
      </c>
      <c r="R163" s="141">
        <f t="shared" si="157"/>
        <v>0</v>
      </c>
      <c r="S163" s="141">
        <f t="shared" si="157"/>
        <v>0</v>
      </c>
      <c r="T163" s="141">
        <f t="shared" si="157"/>
        <v>0</v>
      </c>
      <c r="U163" s="141">
        <f t="shared" si="157"/>
        <v>0</v>
      </c>
      <c r="V163" s="141">
        <f t="shared" si="157"/>
        <v>0</v>
      </c>
      <c r="W163" s="141">
        <f t="shared" si="157"/>
        <v>0</v>
      </c>
      <c r="X163" s="141">
        <f t="shared" si="157"/>
        <v>0</v>
      </c>
      <c r="Y163" s="141">
        <f t="shared" si="157"/>
        <v>0</v>
      </c>
      <c r="Z163" s="141">
        <f t="shared" si="157"/>
        <v>0</v>
      </c>
      <c r="AA163" s="141">
        <f t="shared" si="157"/>
        <v>0</v>
      </c>
      <c r="AB163" s="141">
        <f t="shared" si="157"/>
        <v>0</v>
      </c>
      <c r="AC163" s="141">
        <f t="shared" si="157"/>
        <v>2</v>
      </c>
      <c r="AD163" s="141">
        <f t="shared" si="157"/>
        <v>2</v>
      </c>
      <c r="AE163" s="141">
        <f t="shared" si="157"/>
        <v>0</v>
      </c>
      <c r="AF163" s="141">
        <f t="shared" si="157"/>
        <v>0</v>
      </c>
      <c r="AG163" s="141">
        <f t="shared" si="157"/>
        <v>0</v>
      </c>
      <c r="AH163" s="154" t="s">
        <v>12</v>
      </c>
      <c r="AI163" s="133"/>
      <c r="AJ163" s="170"/>
      <c r="AK163" s="133"/>
      <c r="AL163" s="133"/>
    </row>
    <row r="164" spans="1:38" ht="15.95" hidden="1" customHeight="1" x14ac:dyDescent="0.25">
      <c r="A164" s="176"/>
      <c r="B164" s="149" t="s">
        <v>65</v>
      </c>
      <c r="C164" s="141">
        <f>IF(C46=1,IF(C157&gt;C158,C158,0),0)</f>
        <v>0</v>
      </c>
      <c r="D164" s="141">
        <f t="shared" ref="D164:AG164" si="158">IF(D46=1,IF(D157&gt;D158,D158,0),0)</f>
        <v>0</v>
      </c>
      <c r="E164" s="141">
        <f t="shared" si="158"/>
        <v>0</v>
      </c>
      <c r="F164" s="141">
        <f t="shared" si="158"/>
        <v>0</v>
      </c>
      <c r="G164" s="141">
        <f t="shared" si="158"/>
        <v>0</v>
      </c>
      <c r="H164" s="141">
        <f t="shared" si="158"/>
        <v>0</v>
      </c>
      <c r="I164" s="141">
        <f t="shared" si="158"/>
        <v>0</v>
      </c>
      <c r="J164" s="141">
        <f t="shared" si="158"/>
        <v>0</v>
      </c>
      <c r="K164" s="141">
        <f t="shared" si="158"/>
        <v>0</v>
      </c>
      <c r="L164" s="141">
        <f t="shared" si="158"/>
        <v>0</v>
      </c>
      <c r="M164" s="141">
        <f t="shared" si="158"/>
        <v>0</v>
      </c>
      <c r="N164" s="141">
        <f t="shared" si="158"/>
        <v>0</v>
      </c>
      <c r="O164" s="141">
        <f t="shared" si="158"/>
        <v>6</v>
      </c>
      <c r="P164" s="141">
        <f t="shared" si="158"/>
        <v>6</v>
      </c>
      <c r="Q164" s="141">
        <f t="shared" si="158"/>
        <v>0</v>
      </c>
      <c r="R164" s="141">
        <f t="shared" si="158"/>
        <v>0</v>
      </c>
      <c r="S164" s="141">
        <f t="shared" si="158"/>
        <v>0</v>
      </c>
      <c r="T164" s="141">
        <f t="shared" si="158"/>
        <v>0</v>
      </c>
      <c r="U164" s="141">
        <f t="shared" si="158"/>
        <v>0</v>
      </c>
      <c r="V164" s="141">
        <f t="shared" si="158"/>
        <v>0</v>
      </c>
      <c r="W164" s="141">
        <f t="shared" si="158"/>
        <v>0</v>
      </c>
      <c r="X164" s="141">
        <f t="shared" si="158"/>
        <v>0</v>
      </c>
      <c r="Y164" s="141">
        <f t="shared" si="158"/>
        <v>0</v>
      </c>
      <c r="Z164" s="141">
        <f t="shared" si="158"/>
        <v>0</v>
      </c>
      <c r="AA164" s="141">
        <f t="shared" si="158"/>
        <v>0</v>
      </c>
      <c r="AB164" s="141">
        <f t="shared" si="158"/>
        <v>0</v>
      </c>
      <c r="AC164" s="141">
        <f t="shared" si="158"/>
        <v>6</v>
      </c>
      <c r="AD164" s="141">
        <f t="shared" si="158"/>
        <v>6</v>
      </c>
      <c r="AE164" s="141">
        <f t="shared" si="158"/>
        <v>0</v>
      </c>
      <c r="AF164" s="141">
        <f t="shared" si="158"/>
        <v>0</v>
      </c>
      <c r="AG164" s="141">
        <f t="shared" si="158"/>
        <v>0</v>
      </c>
      <c r="AH164" s="154" t="s">
        <v>12</v>
      </c>
      <c r="AI164" s="133"/>
      <c r="AJ164" s="170"/>
      <c r="AK164" s="133"/>
      <c r="AL164" s="133"/>
    </row>
    <row r="165" spans="1:38" ht="15.95" hidden="1" customHeight="1" x14ac:dyDescent="0.25">
      <c r="A165" s="176"/>
      <c r="B165" s="149" t="s">
        <v>67</v>
      </c>
      <c r="C165" s="171">
        <f t="shared" ref="C165:AG165" si="159">SUM(C162:C164)</f>
        <v>0</v>
      </c>
      <c r="D165" s="171">
        <f t="shared" si="159"/>
        <v>0</v>
      </c>
      <c r="E165" s="171">
        <f t="shared" si="159"/>
        <v>0</v>
      </c>
      <c r="F165" s="171">
        <f t="shared" si="159"/>
        <v>0</v>
      </c>
      <c r="G165" s="171">
        <f t="shared" si="159"/>
        <v>0</v>
      </c>
      <c r="H165" s="171">
        <f t="shared" si="159"/>
        <v>0</v>
      </c>
      <c r="I165" s="171">
        <f t="shared" si="159"/>
        <v>0</v>
      </c>
      <c r="J165" s="171">
        <f t="shared" si="159"/>
        <v>0</v>
      </c>
      <c r="K165" s="171">
        <f t="shared" si="159"/>
        <v>0</v>
      </c>
      <c r="L165" s="171">
        <f t="shared" si="159"/>
        <v>0</v>
      </c>
      <c r="M165" s="171">
        <f t="shared" si="159"/>
        <v>0</v>
      </c>
      <c r="N165" s="171">
        <f t="shared" si="159"/>
        <v>0</v>
      </c>
      <c r="O165" s="171">
        <f t="shared" si="159"/>
        <v>8</v>
      </c>
      <c r="P165" s="171">
        <f t="shared" si="159"/>
        <v>8</v>
      </c>
      <c r="Q165" s="171">
        <f t="shared" si="159"/>
        <v>0</v>
      </c>
      <c r="R165" s="171">
        <f t="shared" si="159"/>
        <v>0</v>
      </c>
      <c r="S165" s="171">
        <f t="shared" si="159"/>
        <v>0</v>
      </c>
      <c r="T165" s="171">
        <f t="shared" si="159"/>
        <v>0</v>
      </c>
      <c r="U165" s="171">
        <f t="shared" si="159"/>
        <v>0</v>
      </c>
      <c r="V165" s="171">
        <f t="shared" si="159"/>
        <v>0</v>
      </c>
      <c r="W165" s="171">
        <f t="shared" si="159"/>
        <v>0</v>
      </c>
      <c r="X165" s="171">
        <f t="shared" si="159"/>
        <v>0</v>
      </c>
      <c r="Y165" s="171">
        <f t="shared" si="159"/>
        <v>0</v>
      </c>
      <c r="Z165" s="171">
        <f t="shared" si="159"/>
        <v>0</v>
      </c>
      <c r="AA165" s="171">
        <f t="shared" si="159"/>
        <v>0</v>
      </c>
      <c r="AB165" s="171">
        <f t="shared" si="159"/>
        <v>0</v>
      </c>
      <c r="AC165" s="171">
        <f t="shared" si="159"/>
        <v>8</v>
      </c>
      <c r="AD165" s="171">
        <f t="shared" si="159"/>
        <v>8</v>
      </c>
      <c r="AE165" s="171">
        <f t="shared" si="159"/>
        <v>0</v>
      </c>
      <c r="AF165" s="171">
        <f t="shared" si="159"/>
        <v>0</v>
      </c>
      <c r="AG165" s="171">
        <f t="shared" si="159"/>
        <v>0</v>
      </c>
      <c r="AH165" s="154" t="s">
        <v>12</v>
      </c>
      <c r="AI165" s="133"/>
      <c r="AJ165" s="170"/>
      <c r="AK165" s="133"/>
      <c r="AL165" s="133"/>
    </row>
    <row r="166" spans="1:38" ht="15.95" hidden="1" customHeight="1" x14ac:dyDescent="0.25">
      <c r="A166" s="177"/>
      <c r="B166" s="160" t="s">
        <v>68</v>
      </c>
      <c r="C166" s="161">
        <f>IF(C19="V",IF(C19="",0,1),0)</f>
        <v>0</v>
      </c>
      <c r="D166" s="161">
        <f t="shared" ref="D166:AG166" si="160">IF(D19="V",IF(D19="",0,1),0)</f>
        <v>0</v>
      </c>
      <c r="E166" s="161">
        <f t="shared" si="160"/>
        <v>0</v>
      </c>
      <c r="F166" s="161">
        <f t="shared" si="160"/>
        <v>0</v>
      </c>
      <c r="G166" s="161">
        <f t="shared" si="160"/>
        <v>0</v>
      </c>
      <c r="H166" s="161">
        <f t="shared" si="160"/>
        <v>0</v>
      </c>
      <c r="I166" s="161">
        <f t="shared" si="160"/>
        <v>0</v>
      </c>
      <c r="J166" s="161">
        <f t="shared" si="160"/>
        <v>0</v>
      </c>
      <c r="K166" s="161">
        <f t="shared" si="160"/>
        <v>0</v>
      </c>
      <c r="L166" s="161">
        <f t="shared" si="160"/>
        <v>0</v>
      </c>
      <c r="M166" s="161">
        <f t="shared" si="160"/>
        <v>0</v>
      </c>
      <c r="N166" s="161">
        <f t="shared" si="160"/>
        <v>0</v>
      </c>
      <c r="O166" s="161">
        <f t="shared" si="160"/>
        <v>0</v>
      </c>
      <c r="P166" s="161">
        <f t="shared" si="160"/>
        <v>0</v>
      </c>
      <c r="Q166" s="161">
        <f t="shared" si="160"/>
        <v>0</v>
      </c>
      <c r="R166" s="161">
        <f t="shared" si="160"/>
        <v>0</v>
      </c>
      <c r="S166" s="161">
        <f t="shared" si="160"/>
        <v>0</v>
      </c>
      <c r="T166" s="161">
        <f t="shared" si="160"/>
        <v>0</v>
      </c>
      <c r="U166" s="161">
        <f t="shared" si="160"/>
        <v>0</v>
      </c>
      <c r="V166" s="161">
        <f t="shared" si="160"/>
        <v>0</v>
      </c>
      <c r="W166" s="161">
        <f t="shared" si="160"/>
        <v>0</v>
      </c>
      <c r="X166" s="161">
        <f t="shared" si="160"/>
        <v>0</v>
      </c>
      <c r="Y166" s="161">
        <f t="shared" si="160"/>
        <v>0</v>
      </c>
      <c r="Z166" s="161">
        <f t="shared" si="160"/>
        <v>0</v>
      </c>
      <c r="AA166" s="161">
        <f t="shared" si="160"/>
        <v>0</v>
      </c>
      <c r="AB166" s="161">
        <f t="shared" si="160"/>
        <v>0</v>
      </c>
      <c r="AC166" s="161">
        <f t="shared" si="160"/>
        <v>0</v>
      </c>
      <c r="AD166" s="161">
        <f t="shared" si="160"/>
        <v>0</v>
      </c>
      <c r="AE166" s="161">
        <f t="shared" si="160"/>
        <v>0</v>
      </c>
      <c r="AF166" s="161">
        <f t="shared" si="160"/>
        <v>0</v>
      </c>
      <c r="AG166" s="161">
        <f t="shared" si="160"/>
        <v>0</v>
      </c>
      <c r="AH166" s="154" t="s">
        <v>12</v>
      </c>
      <c r="AI166" s="133"/>
      <c r="AJ166" s="170"/>
      <c r="AK166" s="133"/>
      <c r="AL166" s="133"/>
    </row>
    <row r="167" spans="1:38" ht="15.95" hidden="1" customHeight="1" x14ac:dyDescent="0.25">
      <c r="A167" s="180"/>
      <c r="B167" s="181" t="s">
        <v>16</v>
      </c>
      <c r="C167" s="182">
        <f>IF(C19="PR",IF(C19="",0,1),0)</f>
        <v>0</v>
      </c>
      <c r="D167" s="182">
        <f t="shared" ref="D167:AG167" si="161">IF(D19="PR",IF(D19="",0,1),0)</f>
        <v>0</v>
      </c>
      <c r="E167" s="182">
        <f t="shared" si="161"/>
        <v>0</v>
      </c>
      <c r="F167" s="182">
        <f t="shared" si="161"/>
        <v>0</v>
      </c>
      <c r="G167" s="182">
        <f t="shared" si="161"/>
        <v>0</v>
      </c>
      <c r="H167" s="182">
        <f t="shared" si="161"/>
        <v>0</v>
      </c>
      <c r="I167" s="182">
        <f t="shared" si="161"/>
        <v>0</v>
      </c>
      <c r="J167" s="182">
        <f t="shared" si="161"/>
        <v>0</v>
      </c>
      <c r="K167" s="182">
        <f t="shared" si="161"/>
        <v>0</v>
      </c>
      <c r="L167" s="182">
        <f t="shared" si="161"/>
        <v>0</v>
      </c>
      <c r="M167" s="182">
        <f t="shared" si="161"/>
        <v>0</v>
      </c>
      <c r="N167" s="182">
        <f t="shared" si="161"/>
        <v>0</v>
      </c>
      <c r="O167" s="182">
        <f t="shared" si="161"/>
        <v>0</v>
      </c>
      <c r="P167" s="182">
        <f t="shared" si="161"/>
        <v>0</v>
      </c>
      <c r="Q167" s="182">
        <f t="shared" si="161"/>
        <v>0</v>
      </c>
      <c r="R167" s="182">
        <f t="shared" si="161"/>
        <v>0</v>
      </c>
      <c r="S167" s="182">
        <f t="shared" si="161"/>
        <v>0</v>
      </c>
      <c r="T167" s="182">
        <f t="shared" si="161"/>
        <v>0</v>
      </c>
      <c r="U167" s="182">
        <f t="shared" si="161"/>
        <v>0</v>
      </c>
      <c r="V167" s="182">
        <f t="shared" si="161"/>
        <v>0</v>
      </c>
      <c r="W167" s="182">
        <f t="shared" si="161"/>
        <v>0</v>
      </c>
      <c r="X167" s="182">
        <f t="shared" si="161"/>
        <v>0</v>
      </c>
      <c r="Y167" s="182">
        <f t="shared" si="161"/>
        <v>0</v>
      </c>
      <c r="Z167" s="182">
        <f t="shared" si="161"/>
        <v>0</v>
      </c>
      <c r="AA167" s="182">
        <f t="shared" si="161"/>
        <v>0</v>
      </c>
      <c r="AB167" s="182">
        <f t="shared" si="161"/>
        <v>0</v>
      </c>
      <c r="AC167" s="182">
        <f t="shared" si="161"/>
        <v>0</v>
      </c>
      <c r="AD167" s="182">
        <f t="shared" si="161"/>
        <v>0</v>
      </c>
      <c r="AE167" s="182">
        <f t="shared" si="161"/>
        <v>0</v>
      </c>
      <c r="AF167" s="182">
        <f t="shared" si="161"/>
        <v>0</v>
      </c>
      <c r="AG167" s="182">
        <f t="shared" si="161"/>
        <v>0</v>
      </c>
      <c r="AH167" s="227">
        <f>SUM(C167:AG167)</f>
        <v>0</v>
      </c>
      <c r="AI167" s="227"/>
      <c r="AJ167" s="174" t="s">
        <v>69</v>
      </c>
      <c r="AK167" s="133"/>
      <c r="AL167" s="133"/>
    </row>
    <row r="168" spans="1:38" ht="15.95" hidden="1" customHeight="1" x14ac:dyDescent="0.25">
      <c r="A168" s="164" t="s">
        <v>127</v>
      </c>
      <c r="B168" s="165" t="s">
        <v>29</v>
      </c>
      <c r="C168" s="141" t="str">
        <f>IF(C20=$R32,$S32*24,IF(C20=$R33,$S33*24,IF(C20=$R34,$S34*24,IF(C20=$R35,$S35*24,IF(C20=$R36,$S36*24,IF(C20=$R37,$S37*24,IF(C20=$R38,$S38*24,IF(C20=$R39,$S39*24,IF(C20=$R40,$S40*24,"")))))))))</f>
        <v/>
      </c>
      <c r="D168" s="141" t="str">
        <f t="shared" ref="D168:AG168" si="162">IF(D20=$R32,$S32*24,IF(D20=$R33,$S33*24,IF(D20=$R34,$S34*24,IF(D20=$R35,$S35*24,IF(D20=$R36,$S36*24,IF(D20=$R37,$S37*24,IF(D20=$R38,$S38*24,IF(D20=$R39,$S39*24,IF(D20=$R40,$S40*24,"")))))))))</f>
        <v/>
      </c>
      <c r="E168" s="141" t="str">
        <f t="shared" si="162"/>
        <v/>
      </c>
      <c r="F168" s="141" t="str">
        <f t="shared" si="162"/>
        <v/>
      </c>
      <c r="G168" s="141" t="str">
        <f t="shared" si="162"/>
        <v/>
      </c>
      <c r="H168" s="141" t="str">
        <f t="shared" si="162"/>
        <v/>
      </c>
      <c r="I168" s="141" t="str">
        <f t="shared" si="162"/>
        <v/>
      </c>
      <c r="J168" s="141" t="str">
        <f t="shared" si="162"/>
        <v/>
      </c>
      <c r="K168" s="141" t="str">
        <f t="shared" si="162"/>
        <v/>
      </c>
      <c r="L168" s="141" t="str">
        <f t="shared" si="162"/>
        <v/>
      </c>
      <c r="M168" s="141" t="str">
        <f t="shared" si="162"/>
        <v/>
      </c>
      <c r="N168" s="141" t="str">
        <f t="shared" si="162"/>
        <v/>
      </c>
      <c r="O168" s="141" t="str">
        <f t="shared" si="162"/>
        <v/>
      </c>
      <c r="P168" s="141" t="str">
        <f t="shared" si="162"/>
        <v/>
      </c>
      <c r="Q168" s="141" t="str">
        <f t="shared" si="162"/>
        <v/>
      </c>
      <c r="R168" s="141" t="str">
        <f t="shared" si="162"/>
        <v/>
      </c>
      <c r="S168" s="141" t="str">
        <f t="shared" si="162"/>
        <v/>
      </c>
      <c r="T168" s="141" t="str">
        <f t="shared" si="162"/>
        <v/>
      </c>
      <c r="U168" s="141" t="str">
        <f t="shared" si="162"/>
        <v/>
      </c>
      <c r="V168" s="141" t="str">
        <f t="shared" si="162"/>
        <v/>
      </c>
      <c r="W168" s="141" t="str">
        <f t="shared" si="162"/>
        <v/>
      </c>
      <c r="X168" s="141" t="str">
        <f t="shared" si="162"/>
        <v/>
      </c>
      <c r="Y168" s="141" t="str">
        <f t="shared" si="162"/>
        <v/>
      </c>
      <c r="Z168" s="141" t="str">
        <f t="shared" si="162"/>
        <v/>
      </c>
      <c r="AA168" s="141" t="str">
        <f t="shared" si="162"/>
        <v/>
      </c>
      <c r="AB168" s="141" t="str">
        <f t="shared" si="162"/>
        <v/>
      </c>
      <c r="AC168" s="141" t="str">
        <f t="shared" si="162"/>
        <v/>
      </c>
      <c r="AD168" s="141" t="str">
        <f t="shared" si="162"/>
        <v/>
      </c>
      <c r="AE168" s="141" t="str">
        <f t="shared" si="162"/>
        <v/>
      </c>
      <c r="AF168" s="141" t="str">
        <f t="shared" si="162"/>
        <v/>
      </c>
      <c r="AG168" s="141" t="str">
        <f t="shared" si="162"/>
        <v/>
      </c>
      <c r="AH168" s="154" t="s">
        <v>12</v>
      </c>
      <c r="AI168" s="133"/>
      <c r="AJ168" s="170"/>
      <c r="AK168" s="133"/>
      <c r="AL168" s="133"/>
    </row>
    <row r="169" spans="1:38" ht="15.95" hidden="1" customHeight="1" x14ac:dyDescent="0.25">
      <c r="A169" s="166" t="s">
        <v>129</v>
      </c>
      <c r="B169" s="167" t="s">
        <v>30</v>
      </c>
      <c r="C169" s="141" t="str">
        <f>IF(C20=$R32,$V32*24,IF(C20=$R33,$V33*24,IF(C20=$R34,$V34*24,IF(C20=$R35,$V35*24,IF(C20=$R36,$V36*24,IF(C20=$R37,$V37*24,IF(C20=$R38,$V38*24,IF(C20=$R39,$V39*24,IF(C20=$R40,$V40*24,"")))))))))</f>
        <v/>
      </c>
      <c r="D169" s="141" t="str">
        <f t="shared" ref="D169:AG169" si="163">IF(D20=$R32,$V32*24,IF(D20=$R33,$V33*24,IF(D20=$R34,$V34*24,IF(D20=$R35,$V35*24,IF(D20=$R36,$V36*24,IF(D20=$R37,$V37*24,IF(D20=$R38,$V38*24,IF(D20=$R39,$V39*24,IF(D20=$R40,$V40*24,"")))))))))</f>
        <v/>
      </c>
      <c r="E169" s="141" t="str">
        <f t="shared" si="163"/>
        <v/>
      </c>
      <c r="F169" s="141" t="str">
        <f t="shared" si="163"/>
        <v/>
      </c>
      <c r="G169" s="141" t="str">
        <f t="shared" si="163"/>
        <v/>
      </c>
      <c r="H169" s="141" t="str">
        <f t="shared" si="163"/>
        <v/>
      </c>
      <c r="I169" s="141" t="str">
        <f t="shared" si="163"/>
        <v/>
      </c>
      <c r="J169" s="141" t="str">
        <f t="shared" si="163"/>
        <v/>
      </c>
      <c r="K169" s="141" t="str">
        <f t="shared" si="163"/>
        <v/>
      </c>
      <c r="L169" s="141" t="str">
        <f t="shared" si="163"/>
        <v/>
      </c>
      <c r="M169" s="141" t="str">
        <f t="shared" si="163"/>
        <v/>
      </c>
      <c r="N169" s="141" t="str">
        <f t="shared" si="163"/>
        <v/>
      </c>
      <c r="O169" s="141" t="str">
        <f t="shared" si="163"/>
        <v/>
      </c>
      <c r="P169" s="141" t="str">
        <f t="shared" si="163"/>
        <v/>
      </c>
      <c r="Q169" s="141" t="str">
        <f t="shared" si="163"/>
        <v/>
      </c>
      <c r="R169" s="141" t="str">
        <f t="shared" si="163"/>
        <v/>
      </c>
      <c r="S169" s="141" t="str">
        <f t="shared" si="163"/>
        <v/>
      </c>
      <c r="T169" s="141" t="str">
        <f t="shared" si="163"/>
        <v/>
      </c>
      <c r="U169" s="141" t="str">
        <f t="shared" si="163"/>
        <v/>
      </c>
      <c r="V169" s="141" t="str">
        <f t="shared" si="163"/>
        <v/>
      </c>
      <c r="W169" s="141" t="str">
        <f t="shared" si="163"/>
        <v/>
      </c>
      <c r="X169" s="141" t="str">
        <f t="shared" si="163"/>
        <v/>
      </c>
      <c r="Y169" s="141" t="str">
        <f t="shared" si="163"/>
        <v/>
      </c>
      <c r="Z169" s="141" t="str">
        <f t="shared" si="163"/>
        <v/>
      </c>
      <c r="AA169" s="141" t="str">
        <f t="shared" si="163"/>
        <v/>
      </c>
      <c r="AB169" s="141" t="str">
        <f t="shared" si="163"/>
        <v/>
      </c>
      <c r="AC169" s="141" t="str">
        <f t="shared" si="163"/>
        <v/>
      </c>
      <c r="AD169" s="141" t="str">
        <f t="shared" si="163"/>
        <v/>
      </c>
      <c r="AE169" s="141" t="str">
        <f t="shared" si="163"/>
        <v/>
      </c>
      <c r="AF169" s="141" t="str">
        <f t="shared" si="163"/>
        <v/>
      </c>
      <c r="AG169" s="141" t="str">
        <f t="shared" si="163"/>
        <v/>
      </c>
      <c r="AH169" s="154" t="s">
        <v>12</v>
      </c>
      <c r="AI169" s="133"/>
      <c r="AJ169" s="170"/>
      <c r="AK169" s="133"/>
      <c r="AL169" s="133"/>
    </row>
    <row r="170" spans="1:38" ht="15.95" hidden="1" customHeight="1" x14ac:dyDescent="0.25">
      <c r="A170" s="153"/>
      <c r="B170" s="183" t="s">
        <v>34</v>
      </c>
      <c r="C170" s="169" t="str">
        <f t="shared" ref="C170:AD170" si="164">IF(C20=$R32,$BD32*24,IF(C20=$R33,$BD33*24,IF(C20=$R34,$BD34*24,IF(C20=$R35,$BD35*24,IF(C20=$R36,$BD36*24,IF(C20=$R37,$BD37*24,IF(C20=$R38,$BD38*24,IF(C20=$R39,$BD39*24,IF(C20=$R40,$BD40*24,"")))))))))</f>
        <v/>
      </c>
      <c r="D170" s="169" t="str">
        <f t="shared" si="164"/>
        <v/>
      </c>
      <c r="E170" s="169" t="str">
        <f t="shared" si="164"/>
        <v/>
      </c>
      <c r="F170" s="169" t="str">
        <f t="shared" si="164"/>
        <v/>
      </c>
      <c r="G170" s="169" t="str">
        <f t="shared" si="164"/>
        <v/>
      </c>
      <c r="H170" s="169" t="str">
        <f t="shared" si="164"/>
        <v/>
      </c>
      <c r="I170" s="169" t="str">
        <f t="shared" si="164"/>
        <v/>
      </c>
      <c r="J170" s="169" t="str">
        <f t="shared" si="164"/>
        <v/>
      </c>
      <c r="K170" s="169" t="str">
        <f t="shared" si="164"/>
        <v/>
      </c>
      <c r="L170" s="169" t="str">
        <f t="shared" si="164"/>
        <v/>
      </c>
      <c r="M170" s="169" t="str">
        <f t="shared" si="164"/>
        <v/>
      </c>
      <c r="N170" s="169" t="str">
        <f t="shared" si="164"/>
        <v/>
      </c>
      <c r="O170" s="169" t="str">
        <f t="shared" si="164"/>
        <v/>
      </c>
      <c r="P170" s="169" t="str">
        <f t="shared" si="164"/>
        <v/>
      </c>
      <c r="Q170" s="169" t="str">
        <f t="shared" si="164"/>
        <v/>
      </c>
      <c r="R170" s="169" t="str">
        <f t="shared" si="164"/>
        <v/>
      </c>
      <c r="S170" s="169" t="str">
        <f t="shared" si="164"/>
        <v/>
      </c>
      <c r="T170" s="169" t="str">
        <f t="shared" si="164"/>
        <v/>
      </c>
      <c r="U170" s="169" t="str">
        <f t="shared" si="164"/>
        <v/>
      </c>
      <c r="V170" s="169" t="str">
        <f t="shared" si="164"/>
        <v/>
      </c>
      <c r="W170" s="169" t="str">
        <f t="shared" si="164"/>
        <v/>
      </c>
      <c r="X170" s="169" t="str">
        <f t="shared" si="164"/>
        <v/>
      </c>
      <c r="Y170" s="169" t="str">
        <f t="shared" si="164"/>
        <v/>
      </c>
      <c r="Z170" s="169" t="str">
        <f t="shared" si="164"/>
        <v/>
      </c>
      <c r="AA170" s="169" t="str">
        <f t="shared" si="164"/>
        <v/>
      </c>
      <c r="AB170" s="169" t="str">
        <f t="shared" si="164"/>
        <v/>
      </c>
      <c r="AC170" s="169" t="str">
        <f t="shared" si="164"/>
        <v/>
      </c>
      <c r="AD170" s="169" t="str">
        <f t="shared" si="164"/>
        <v/>
      </c>
      <c r="AE170" s="169" t="str">
        <f>IF(AE20=$R32,$BD32*24,IF(AE20=$R33,$BD33*24,IF(AE20=$R34,$BD34*24,IF(AE20=$R35,$BD35*24,IF(AE20=$R36,$BD36*24,IF(AE20=$R37,$BD37*24,IF(AE20=$R38,$BD38*24,IF(AE20=$R39,$BD39*24,IF(AE20=$R40,$BD40*24,"")))))))))</f>
        <v/>
      </c>
      <c r="AF170" s="169" t="str">
        <f>IF(AF20=$R32,$BD32*24,IF(AF20=$R33,$BD33*24,IF(AF20=$R34,$BD34*24,IF(AF20=$R35,$BD35*24,IF(AF20=$R36,$BD36*24,IF(AF20=$R37,$BD37*24,IF(AF20=$R38,$BD38*24,IF(AF20=$R39,$BD39*24,IF(AF20=$R40,$BD40*24,"")))))))))</f>
        <v/>
      </c>
      <c r="AG170" s="169" t="str">
        <f>IF(AG20=$R32,$BD32*24,IF(AG20=$R33,$BD33*24,IF(AG20=$R34,$BD34*24,IF(AG20=$R35,$BD35*24,IF(AG20=$R36,$BD36*24,IF(AG20=$R37,$BD37*24,IF(AG20=$R38,$BD38*24,IF(AG20=$R39,$BD39*24,IF(AG20=$R40,$BD40*24,"")))))))))</f>
        <v/>
      </c>
      <c r="AH170" s="148">
        <f>SUM(C170:AG170)</f>
        <v>0</v>
      </c>
      <c r="AI170" s="133"/>
      <c r="AJ170" s="170"/>
      <c r="AK170" s="133"/>
      <c r="AL170" s="133"/>
    </row>
    <row r="171" spans="1:38" ht="15.95" hidden="1" customHeight="1" x14ac:dyDescent="0.25">
      <c r="A171" s="153"/>
      <c r="B171" s="167" t="s">
        <v>59</v>
      </c>
      <c r="C171" s="141">
        <f>IF(C20="V",$C36,IF(C20="PR",$C38,0))</f>
        <v>0</v>
      </c>
      <c r="D171" s="141">
        <f t="shared" ref="D171:AG171" si="165">IF(D20="V",$C36,IF(D20="PR",$C38,0))</f>
        <v>0</v>
      </c>
      <c r="E171" s="141">
        <f t="shared" si="165"/>
        <v>0</v>
      </c>
      <c r="F171" s="141">
        <f t="shared" si="165"/>
        <v>0</v>
      </c>
      <c r="G171" s="141">
        <f t="shared" si="165"/>
        <v>0</v>
      </c>
      <c r="H171" s="141">
        <f t="shared" si="165"/>
        <v>0</v>
      </c>
      <c r="I171" s="141">
        <f t="shared" si="165"/>
        <v>0</v>
      </c>
      <c r="J171" s="141">
        <f t="shared" si="165"/>
        <v>0</v>
      </c>
      <c r="K171" s="141">
        <f t="shared" si="165"/>
        <v>0</v>
      </c>
      <c r="L171" s="141">
        <f t="shared" si="165"/>
        <v>0</v>
      </c>
      <c r="M171" s="141">
        <f t="shared" si="165"/>
        <v>0</v>
      </c>
      <c r="N171" s="141">
        <f t="shared" si="165"/>
        <v>0</v>
      </c>
      <c r="O171" s="141">
        <f t="shared" si="165"/>
        <v>0</v>
      </c>
      <c r="P171" s="141">
        <f t="shared" si="165"/>
        <v>0</v>
      </c>
      <c r="Q171" s="141">
        <f t="shared" si="165"/>
        <v>0</v>
      </c>
      <c r="R171" s="141">
        <f t="shared" si="165"/>
        <v>0</v>
      </c>
      <c r="S171" s="141">
        <f t="shared" si="165"/>
        <v>0</v>
      </c>
      <c r="T171" s="141">
        <f t="shared" si="165"/>
        <v>0</v>
      </c>
      <c r="U171" s="141">
        <f t="shared" si="165"/>
        <v>0</v>
      </c>
      <c r="V171" s="141">
        <f t="shared" si="165"/>
        <v>0</v>
      </c>
      <c r="W171" s="141">
        <f t="shared" si="165"/>
        <v>0</v>
      </c>
      <c r="X171" s="141">
        <f t="shared" si="165"/>
        <v>0</v>
      </c>
      <c r="Y171" s="141">
        <f t="shared" si="165"/>
        <v>0</v>
      </c>
      <c r="Z171" s="141">
        <f t="shared" si="165"/>
        <v>0</v>
      </c>
      <c r="AA171" s="141">
        <f t="shared" si="165"/>
        <v>0</v>
      </c>
      <c r="AB171" s="141">
        <f t="shared" si="165"/>
        <v>0</v>
      </c>
      <c r="AC171" s="141">
        <f t="shared" si="165"/>
        <v>0</v>
      </c>
      <c r="AD171" s="141">
        <f t="shared" si="165"/>
        <v>0</v>
      </c>
      <c r="AE171" s="141">
        <f t="shared" si="165"/>
        <v>0</v>
      </c>
      <c r="AF171" s="141">
        <f t="shared" si="165"/>
        <v>0</v>
      </c>
      <c r="AG171" s="141">
        <f t="shared" si="165"/>
        <v>0</v>
      </c>
      <c r="AH171" s="226">
        <f>SUM(C171:AG171)</f>
        <v>0</v>
      </c>
      <c r="AI171" s="226"/>
      <c r="AJ171" s="230">
        <f>SUM(AH116+AH127+AH138+AH149+AH160+AH171)</f>
        <v>0</v>
      </c>
      <c r="AK171" s="230"/>
      <c r="AL171" s="133" t="s">
        <v>56</v>
      </c>
    </row>
    <row r="172" spans="1:38" ht="15.95" hidden="1" customHeight="1" x14ac:dyDescent="0.25">
      <c r="A172" s="150" t="s">
        <v>60</v>
      </c>
      <c r="B172" s="167" t="s">
        <v>61</v>
      </c>
      <c r="C172" s="151">
        <f t="shared" ref="C172:AD172" si="166">IF(C20=$R32,$BC32,IF(C20=$R33,$BC33,IF(C20=$R34,$BC34,IF(C20=$R35,$BC35,IF(C20=$R36,$BC36,IF(C20=$R37,$BC37,IF(C20=$R38,$BC38,IF(C20=$R39,$BC39,IF(C20=$R40,$BC40,0)))))))))</f>
        <v>0</v>
      </c>
      <c r="D172" s="151">
        <f t="shared" si="166"/>
        <v>0</v>
      </c>
      <c r="E172" s="151">
        <f t="shared" si="166"/>
        <v>0</v>
      </c>
      <c r="F172" s="151">
        <f t="shared" si="166"/>
        <v>0</v>
      </c>
      <c r="G172" s="151">
        <f t="shared" si="166"/>
        <v>0</v>
      </c>
      <c r="H172" s="151">
        <f t="shared" si="166"/>
        <v>0</v>
      </c>
      <c r="I172" s="151">
        <f t="shared" si="166"/>
        <v>0</v>
      </c>
      <c r="J172" s="151">
        <f t="shared" si="166"/>
        <v>0</v>
      </c>
      <c r="K172" s="151">
        <f t="shared" si="166"/>
        <v>0</v>
      </c>
      <c r="L172" s="151">
        <f t="shared" si="166"/>
        <v>0</v>
      </c>
      <c r="M172" s="151">
        <f t="shared" si="166"/>
        <v>0</v>
      </c>
      <c r="N172" s="151">
        <f t="shared" si="166"/>
        <v>0</v>
      </c>
      <c r="O172" s="151">
        <f t="shared" si="166"/>
        <v>0</v>
      </c>
      <c r="P172" s="151">
        <f t="shared" si="166"/>
        <v>0</v>
      </c>
      <c r="Q172" s="151">
        <f t="shared" si="166"/>
        <v>0</v>
      </c>
      <c r="R172" s="151">
        <f t="shared" si="166"/>
        <v>0</v>
      </c>
      <c r="S172" s="151">
        <f t="shared" si="166"/>
        <v>0</v>
      </c>
      <c r="T172" s="151">
        <f t="shared" si="166"/>
        <v>0</v>
      </c>
      <c r="U172" s="151">
        <f t="shared" si="166"/>
        <v>0</v>
      </c>
      <c r="V172" s="151">
        <f t="shared" si="166"/>
        <v>0</v>
      </c>
      <c r="W172" s="151">
        <f t="shared" si="166"/>
        <v>0</v>
      </c>
      <c r="X172" s="151">
        <f t="shared" si="166"/>
        <v>0</v>
      </c>
      <c r="Y172" s="151">
        <f t="shared" si="166"/>
        <v>0</v>
      </c>
      <c r="Z172" s="151">
        <f t="shared" si="166"/>
        <v>0</v>
      </c>
      <c r="AA172" s="151">
        <f t="shared" si="166"/>
        <v>0</v>
      </c>
      <c r="AB172" s="151">
        <f t="shared" si="166"/>
        <v>0</v>
      </c>
      <c r="AC172" s="151">
        <f t="shared" si="166"/>
        <v>0</v>
      </c>
      <c r="AD172" s="151">
        <f t="shared" si="166"/>
        <v>0</v>
      </c>
      <c r="AE172" s="151">
        <f>IF(AE20=$R32,$BC32,IF(AE20=$R33,$BC33,IF(AE20=$R34,$BC34,IF(AE20=$R35,$BC35,IF(AE20=$R36,$BC36,IF(AE20=$R37,$BC37,IF(AE20=$R38,$BC38,IF(AE20=$R39,$BC39,IF(AE20=$R40,$BC40,0)))))))))</f>
        <v>0</v>
      </c>
      <c r="AF172" s="151">
        <f>IF(AF20=$R32,$BC32,IF(AF20=$R33,$BC33,IF(AF20=$R34,$BC34,IF(AF20=$R35,$BC35,IF(AF20=$R36,$BC36,IF(AF20=$R37,$BC37,IF(AF20=$R38,$BC38,IF(AF20=$R39,$BC39,IF(AF20=$R40,$BC40,0)))))))))</f>
        <v>0</v>
      </c>
      <c r="AG172" s="151">
        <f>IF(AG20=$R32,$BC32,IF(AG20=$R33,$BC33,IF(AG20=$R34,$BC34,IF(AG20=$R35,$BC35,IF(AG20=$R36,$BC36,IF(AG20=$R37,$BC37,IF(AG20=$R38,$BC38,IF(AG20=$R39,$BC39,IF(AG20=$R40,$BC40,0)))))))))</f>
        <v>0</v>
      </c>
      <c r="AH172" s="226">
        <f>SUM(C172:AG172)</f>
        <v>0</v>
      </c>
      <c r="AI172" s="226"/>
      <c r="AJ172" s="174" t="s">
        <v>62</v>
      </c>
      <c r="AK172" s="133" t="s">
        <v>12</v>
      </c>
      <c r="AL172" s="133"/>
    </row>
    <row r="173" spans="1:38" ht="15.95" hidden="1" customHeight="1" x14ac:dyDescent="0.25">
      <c r="A173" s="153" t="s">
        <v>48</v>
      </c>
      <c r="B173" s="149" t="s">
        <v>63</v>
      </c>
      <c r="C173" s="141" t="b">
        <f>IF(C46=1,IF(C168&lt;C169,C172,0))</f>
        <v>0</v>
      </c>
      <c r="D173" s="141" t="b">
        <f t="shared" ref="D173:AG173" si="167">IF(D46=1,IF(D168&lt;D169,D172,0))</f>
        <v>0</v>
      </c>
      <c r="E173" s="141" t="b">
        <f t="shared" si="167"/>
        <v>0</v>
      </c>
      <c r="F173" s="141" t="b">
        <f t="shared" si="167"/>
        <v>0</v>
      </c>
      <c r="G173" s="141" t="b">
        <f t="shared" si="167"/>
        <v>0</v>
      </c>
      <c r="H173" s="141">
        <f t="shared" si="167"/>
        <v>0</v>
      </c>
      <c r="I173" s="141">
        <f t="shared" si="167"/>
        <v>0</v>
      </c>
      <c r="J173" s="141" t="b">
        <f t="shared" si="167"/>
        <v>0</v>
      </c>
      <c r="K173" s="141" t="b">
        <f t="shared" si="167"/>
        <v>0</v>
      </c>
      <c r="L173" s="141" t="b">
        <f t="shared" si="167"/>
        <v>0</v>
      </c>
      <c r="M173" s="141" t="b">
        <f t="shared" si="167"/>
        <v>0</v>
      </c>
      <c r="N173" s="141" t="b">
        <f t="shared" si="167"/>
        <v>0</v>
      </c>
      <c r="O173" s="141">
        <f t="shared" si="167"/>
        <v>0</v>
      </c>
      <c r="P173" s="141">
        <f t="shared" si="167"/>
        <v>0</v>
      </c>
      <c r="Q173" s="141" t="b">
        <f t="shared" si="167"/>
        <v>0</v>
      </c>
      <c r="R173" s="141" t="b">
        <f t="shared" si="167"/>
        <v>0</v>
      </c>
      <c r="S173" s="141" t="b">
        <f t="shared" si="167"/>
        <v>0</v>
      </c>
      <c r="T173" s="141" t="b">
        <f t="shared" si="167"/>
        <v>0</v>
      </c>
      <c r="U173" s="141" t="b">
        <f t="shared" si="167"/>
        <v>0</v>
      </c>
      <c r="V173" s="141">
        <f t="shared" si="167"/>
        <v>0</v>
      </c>
      <c r="W173" s="141">
        <f t="shared" si="167"/>
        <v>0</v>
      </c>
      <c r="X173" s="141" t="b">
        <f t="shared" si="167"/>
        <v>0</v>
      </c>
      <c r="Y173" s="141" t="b">
        <f t="shared" si="167"/>
        <v>0</v>
      </c>
      <c r="Z173" s="141" t="b">
        <f t="shared" si="167"/>
        <v>0</v>
      </c>
      <c r="AA173" s="141" t="b">
        <f t="shared" si="167"/>
        <v>0</v>
      </c>
      <c r="AB173" s="141" t="b">
        <f t="shared" si="167"/>
        <v>0</v>
      </c>
      <c r="AC173" s="141">
        <f t="shared" si="167"/>
        <v>0</v>
      </c>
      <c r="AD173" s="141">
        <f t="shared" si="167"/>
        <v>0</v>
      </c>
      <c r="AE173" s="141" t="b">
        <f t="shared" si="167"/>
        <v>0</v>
      </c>
      <c r="AF173" s="141" t="b">
        <f t="shared" si="167"/>
        <v>0</v>
      </c>
      <c r="AG173" s="141" t="b">
        <f t="shared" si="167"/>
        <v>0</v>
      </c>
      <c r="AH173" s="154" t="s">
        <v>12</v>
      </c>
      <c r="AI173" s="133"/>
      <c r="AJ173" s="170"/>
      <c r="AK173" s="133"/>
      <c r="AL173" s="133"/>
    </row>
    <row r="174" spans="1:38" ht="15.95" hidden="1" customHeight="1" x14ac:dyDescent="0.25">
      <c r="A174" s="176"/>
      <c r="B174" s="149" t="s">
        <v>64</v>
      </c>
      <c r="C174" s="141">
        <f>IF(C46=1,IF(C168&gt;C169,24-C168,0),0)</f>
        <v>0</v>
      </c>
      <c r="D174" s="141">
        <f t="shared" ref="D174:AG174" si="168">IF(D46=1,IF(D168&gt;D169,24-D168,0),0)</f>
        <v>0</v>
      </c>
      <c r="E174" s="141">
        <f t="shared" si="168"/>
        <v>0</v>
      </c>
      <c r="F174" s="141">
        <f t="shared" si="168"/>
        <v>0</v>
      </c>
      <c r="G174" s="141">
        <f t="shared" si="168"/>
        <v>0</v>
      </c>
      <c r="H174" s="141">
        <f t="shared" si="168"/>
        <v>0</v>
      </c>
      <c r="I174" s="141">
        <f t="shared" si="168"/>
        <v>0</v>
      </c>
      <c r="J174" s="141">
        <f t="shared" si="168"/>
        <v>0</v>
      </c>
      <c r="K174" s="141">
        <f t="shared" si="168"/>
        <v>0</v>
      </c>
      <c r="L174" s="141">
        <f t="shared" si="168"/>
        <v>0</v>
      </c>
      <c r="M174" s="141">
        <f t="shared" si="168"/>
        <v>0</v>
      </c>
      <c r="N174" s="141">
        <f t="shared" si="168"/>
        <v>0</v>
      </c>
      <c r="O174" s="141">
        <f t="shared" si="168"/>
        <v>0</v>
      </c>
      <c r="P174" s="141">
        <f t="shared" si="168"/>
        <v>0</v>
      </c>
      <c r="Q174" s="141">
        <f t="shared" si="168"/>
        <v>0</v>
      </c>
      <c r="R174" s="141">
        <f t="shared" si="168"/>
        <v>0</v>
      </c>
      <c r="S174" s="141">
        <f t="shared" si="168"/>
        <v>0</v>
      </c>
      <c r="T174" s="141">
        <f t="shared" si="168"/>
        <v>0</v>
      </c>
      <c r="U174" s="141">
        <f t="shared" si="168"/>
        <v>0</v>
      </c>
      <c r="V174" s="141">
        <f t="shared" si="168"/>
        <v>0</v>
      </c>
      <c r="W174" s="141">
        <f t="shared" si="168"/>
        <v>0</v>
      </c>
      <c r="X174" s="141">
        <f t="shared" si="168"/>
        <v>0</v>
      </c>
      <c r="Y174" s="141">
        <f t="shared" si="168"/>
        <v>0</v>
      </c>
      <c r="Z174" s="141">
        <f t="shared" si="168"/>
        <v>0</v>
      </c>
      <c r="AA174" s="141">
        <f t="shared" si="168"/>
        <v>0</v>
      </c>
      <c r="AB174" s="141">
        <f t="shared" si="168"/>
        <v>0</v>
      </c>
      <c r="AC174" s="141">
        <f t="shared" si="168"/>
        <v>0</v>
      </c>
      <c r="AD174" s="141">
        <f t="shared" si="168"/>
        <v>0</v>
      </c>
      <c r="AE174" s="141">
        <f t="shared" si="168"/>
        <v>0</v>
      </c>
      <c r="AF174" s="141">
        <f t="shared" si="168"/>
        <v>0</v>
      </c>
      <c r="AG174" s="141">
        <f t="shared" si="168"/>
        <v>0</v>
      </c>
      <c r="AH174" s="154" t="s">
        <v>12</v>
      </c>
      <c r="AI174" s="133"/>
      <c r="AJ174" s="170"/>
      <c r="AK174" s="133"/>
      <c r="AL174" s="133"/>
    </row>
    <row r="175" spans="1:38" ht="15.95" hidden="1" customHeight="1" x14ac:dyDescent="0.25">
      <c r="A175" s="176"/>
      <c r="B175" s="149" t="s">
        <v>65</v>
      </c>
      <c r="C175" s="141">
        <f>IF(C46=1,IF(C168&gt;C169,C169,0),0)</f>
        <v>0</v>
      </c>
      <c r="D175" s="141">
        <f t="shared" ref="D175:AG175" si="169">IF(D46=1,IF(D168&gt;D169,D169,0),0)</f>
        <v>0</v>
      </c>
      <c r="E175" s="141">
        <f t="shared" si="169"/>
        <v>0</v>
      </c>
      <c r="F175" s="141">
        <f t="shared" si="169"/>
        <v>0</v>
      </c>
      <c r="G175" s="141">
        <f t="shared" si="169"/>
        <v>0</v>
      </c>
      <c r="H175" s="141">
        <f t="shared" si="169"/>
        <v>0</v>
      </c>
      <c r="I175" s="141">
        <f t="shared" si="169"/>
        <v>0</v>
      </c>
      <c r="J175" s="141">
        <f t="shared" si="169"/>
        <v>0</v>
      </c>
      <c r="K175" s="141">
        <f t="shared" si="169"/>
        <v>0</v>
      </c>
      <c r="L175" s="141">
        <f t="shared" si="169"/>
        <v>0</v>
      </c>
      <c r="M175" s="141">
        <f t="shared" si="169"/>
        <v>0</v>
      </c>
      <c r="N175" s="141">
        <f t="shared" si="169"/>
        <v>0</v>
      </c>
      <c r="O175" s="141">
        <f t="shared" si="169"/>
        <v>0</v>
      </c>
      <c r="P175" s="141">
        <f t="shared" si="169"/>
        <v>0</v>
      </c>
      <c r="Q175" s="141">
        <f t="shared" si="169"/>
        <v>0</v>
      </c>
      <c r="R175" s="141">
        <f t="shared" si="169"/>
        <v>0</v>
      </c>
      <c r="S175" s="141">
        <f t="shared" si="169"/>
        <v>0</v>
      </c>
      <c r="T175" s="141">
        <f t="shared" si="169"/>
        <v>0</v>
      </c>
      <c r="U175" s="141">
        <f t="shared" si="169"/>
        <v>0</v>
      </c>
      <c r="V175" s="141">
        <f t="shared" si="169"/>
        <v>0</v>
      </c>
      <c r="W175" s="141">
        <f t="shared" si="169"/>
        <v>0</v>
      </c>
      <c r="X175" s="141">
        <f t="shared" si="169"/>
        <v>0</v>
      </c>
      <c r="Y175" s="141">
        <f t="shared" si="169"/>
        <v>0</v>
      </c>
      <c r="Z175" s="141">
        <f t="shared" si="169"/>
        <v>0</v>
      </c>
      <c r="AA175" s="141">
        <f t="shared" si="169"/>
        <v>0</v>
      </c>
      <c r="AB175" s="141">
        <f t="shared" si="169"/>
        <v>0</v>
      </c>
      <c r="AC175" s="141">
        <f t="shared" si="169"/>
        <v>0</v>
      </c>
      <c r="AD175" s="141">
        <f t="shared" si="169"/>
        <v>0</v>
      </c>
      <c r="AE175" s="141">
        <f t="shared" si="169"/>
        <v>0</v>
      </c>
      <c r="AF175" s="141">
        <f t="shared" si="169"/>
        <v>0</v>
      </c>
      <c r="AG175" s="141">
        <f t="shared" si="169"/>
        <v>0</v>
      </c>
      <c r="AH175" s="154" t="s">
        <v>12</v>
      </c>
      <c r="AI175" s="133"/>
      <c r="AJ175" s="170"/>
      <c r="AK175" s="133"/>
      <c r="AL175" s="133"/>
    </row>
    <row r="176" spans="1:38" ht="15.95" hidden="1" customHeight="1" x14ac:dyDescent="0.25">
      <c r="A176" s="176"/>
      <c r="B176" s="149" t="s">
        <v>67</v>
      </c>
      <c r="C176" s="171">
        <f>SUM(C173:C175)</f>
        <v>0</v>
      </c>
      <c r="D176" s="171">
        <f t="shared" ref="D176:AG176" si="170">SUM(D173:D175)</f>
        <v>0</v>
      </c>
      <c r="E176" s="171">
        <f t="shared" si="170"/>
        <v>0</v>
      </c>
      <c r="F176" s="171">
        <f t="shared" si="170"/>
        <v>0</v>
      </c>
      <c r="G176" s="171">
        <f t="shared" si="170"/>
        <v>0</v>
      </c>
      <c r="H176" s="171">
        <f t="shared" si="170"/>
        <v>0</v>
      </c>
      <c r="I176" s="171">
        <f t="shared" si="170"/>
        <v>0</v>
      </c>
      <c r="J176" s="171">
        <f t="shared" si="170"/>
        <v>0</v>
      </c>
      <c r="K176" s="171">
        <f t="shared" si="170"/>
        <v>0</v>
      </c>
      <c r="L176" s="171">
        <f t="shared" si="170"/>
        <v>0</v>
      </c>
      <c r="M176" s="171">
        <f t="shared" si="170"/>
        <v>0</v>
      </c>
      <c r="N176" s="171">
        <f t="shared" si="170"/>
        <v>0</v>
      </c>
      <c r="O176" s="171">
        <f t="shared" si="170"/>
        <v>0</v>
      </c>
      <c r="P176" s="171">
        <f t="shared" si="170"/>
        <v>0</v>
      </c>
      <c r="Q176" s="171">
        <f t="shared" si="170"/>
        <v>0</v>
      </c>
      <c r="R176" s="171">
        <f t="shared" si="170"/>
        <v>0</v>
      </c>
      <c r="S176" s="171">
        <f t="shared" si="170"/>
        <v>0</v>
      </c>
      <c r="T176" s="171">
        <f t="shared" si="170"/>
        <v>0</v>
      </c>
      <c r="U176" s="171">
        <f t="shared" si="170"/>
        <v>0</v>
      </c>
      <c r="V176" s="171">
        <f t="shared" si="170"/>
        <v>0</v>
      </c>
      <c r="W176" s="171">
        <f t="shared" si="170"/>
        <v>0</v>
      </c>
      <c r="X176" s="171">
        <f t="shared" si="170"/>
        <v>0</v>
      </c>
      <c r="Y176" s="171">
        <f t="shared" si="170"/>
        <v>0</v>
      </c>
      <c r="Z176" s="171">
        <f t="shared" si="170"/>
        <v>0</v>
      </c>
      <c r="AA176" s="171">
        <f t="shared" si="170"/>
        <v>0</v>
      </c>
      <c r="AB176" s="171">
        <f t="shared" si="170"/>
        <v>0</v>
      </c>
      <c r="AC176" s="171">
        <f t="shared" si="170"/>
        <v>0</v>
      </c>
      <c r="AD176" s="171">
        <f t="shared" si="170"/>
        <v>0</v>
      </c>
      <c r="AE176" s="171">
        <f t="shared" si="170"/>
        <v>0</v>
      </c>
      <c r="AF176" s="171">
        <f t="shared" si="170"/>
        <v>0</v>
      </c>
      <c r="AG176" s="171">
        <f t="shared" si="170"/>
        <v>0</v>
      </c>
      <c r="AH176" s="154" t="s">
        <v>12</v>
      </c>
      <c r="AI176" s="133"/>
      <c r="AJ176" s="170"/>
      <c r="AK176" s="133"/>
      <c r="AL176" s="133"/>
    </row>
    <row r="177" spans="1:38" ht="15.95" hidden="1" customHeight="1" x14ac:dyDescent="0.25">
      <c r="A177" s="177"/>
      <c r="B177" s="160" t="s">
        <v>68</v>
      </c>
      <c r="C177" s="161">
        <f>IF(C20="V",IF(C20="",0,1),0)</f>
        <v>0</v>
      </c>
      <c r="D177" s="161">
        <f t="shared" ref="D177:AG177" si="171">IF(D20="V",IF(D20="",0,1),0)</f>
        <v>0</v>
      </c>
      <c r="E177" s="161">
        <f t="shared" si="171"/>
        <v>0</v>
      </c>
      <c r="F177" s="161">
        <f t="shared" si="171"/>
        <v>0</v>
      </c>
      <c r="G177" s="161">
        <f t="shared" si="171"/>
        <v>0</v>
      </c>
      <c r="H177" s="161">
        <f t="shared" si="171"/>
        <v>0</v>
      </c>
      <c r="I177" s="161">
        <f t="shared" si="171"/>
        <v>0</v>
      </c>
      <c r="J177" s="161">
        <f t="shared" si="171"/>
        <v>0</v>
      </c>
      <c r="K177" s="161">
        <f t="shared" si="171"/>
        <v>0</v>
      </c>
      <c r="L177" s="161">
        <f t="shared" si="171"/>
        <v>0</v>
      </c>
      <c r="M177" s="161">
        <f t="shared" si="171"/>
        <v>0</v>
      </c>
      <c r="N177" s="161">
        <f t="shared" si="171"/>
        <v>0</v>
      </c>
      <c r="O177" s="161">
        <f t="shared" si="171"/>
        <v>0</v>
      </c>
      <c r="P177" s="161">
        <f t="shared" si="171"/>
        <v>0</v>
      </c>
      <c r="Q177" s="161">
        <f t="shared" si="171"/>
        <v>0</v>
      </c>
      <c r="R177" s="161">
        <f t="shared" si="171"/>
        <v>0</v>
      </c>
      <c r="S177" s="161">
        <f t="shared" si="171"/>
        <v>0</v>
      </c>
      <c r="T177" s="161">
        <f t="shared" si="171"/>
        <v>0</v>
      </c>
      <c r="U177" s="161">
        <f t="shared" si="171"/>
        <v>0</v>
      </c>
      <c r="V177" s="161">
        <f t="shared" si="171"/>
        <v>0</v>
      </c>
      <c r="W177" s="161">
        <f t="shared" si="171"/>
        <v>0</v>
      </c>
      <c r="X177" s="161">
        <f t="shared" si="171"/>
        <v>0</v>
      </c>
      <c r="Y177" s="161">
        <f t="shared" si="171"/>
        <v>0</v>
      </c>
      <c r="Z177" s="161">
        <f t="shared" si="171"/>
        <v>0</v>
      </c>
      <c r="AA177" s="161">
        <f t="shared" si="171"/>
        <v>0</v>
      </c>
      <c r="AB177" s="161">
        <f t="shared" si="171"/>
        <v>0</v>
      </c>
      <c r="AC177" s="161">
        <f t="shared" si="171"/>
        <v>0</v>
      </c>
      <c r="AD177" s="161">
        <f t="shared" si="171"/>
        <v>0</v>
      </c>
      <c r="AE177" s="161">
        <f t="shared" si="171"/>
        <v>0</v>
      </c>
      <c r="AF177" s="161">
        <f t="shared" si="171"/>
        <v>0</v>
      </c>
      <c r="AG177" s="161">
        <f t="shared" si="171"/>
        <v>0</v>
      </c>
      <c r="AH177" s="154" t="s">
        <v>12</v>
      </c>
      <c r="AI177" s="133"/>
      <c r="AJ177" s="170"/>
      <c r="AK177" s="133"/>
      <c r="AL177" s="133"/>
    </row>
    <row r="178" spans="1:38" ht="15.95" hidden="1" customHeight="1" x14ac:dyDescent="0.25">
      <c r="A178" s="180"/>
      <c r="B178" s="181" t="s">
        <v>16</v>
      </c>
      <c r="C178" s="182">
        <f>IF(C20="PR",IF(C20="",0,1),0)</f>
        <v>0</v>
      </c>
      <c r="D178" s="182">
        <f t="shared" ref="D178:AG178" si="172">IF(D20="PR",IF(D20="",0,1),0)</f>
        <v>0</v>
      </c>
      <c r="E178" s="182">
        <f t="shared" si="172"/>
        <v>0</v>
      </c>
      <c r="F178" s="182">
        <f t="shared" si="172"/>
        <v>0</v>
      </c>
      <c r="G178" s="182">
        <f t="shared" si="172"/>
        <v>0</v>
      </c>
      <c r="H178" s="182">
        <f t="shared" si="172"/>
        <v>0</v>
      </c>
      <c r="I178" s="182">
        <f t="shared" si="172"/>
        <v>0</v>
      </c>
      <c r="J178" s="182">
        <f t="shared" si="172"/>
        <v>0</v>
      </c>
      <c r="K178" s="182">
        <f t="shared" si="172"/>
        <v>0</v>
      </c>
      <c r="L178" s="182">
        <f t="shared" si="172"/>
        <v>0</v>
      </c>
      <c r="M178" s="182">
        <f t="shared" si="172"/>
        <v>0</v>
      </c>
      <c r="N178" s="182">
        <f t="shared" si="172"/>
        <v>0</v>
      </c>
      <c r="O178" s="182">
        <f t="shared" si="172"/>
        <v>0</v>
      </c>
      <c r="P178" s="182">
        <f t="shared" si="172"/>
        <v>0</v>
      </c>
      <c r="Q178" s="182">
        <f t="shared" si="172"/>
        <v>0</v>
      </c>
      <c r="R178" s="182">
        <f t="shared" si="172"/>
        <v>0</v>
      </c>
      <c r="S178" s="182">
        <f t="shared" si="172"/>
        <v>0</v>
      </c>
      <c r="T178" s="182">
        <f t="shared" si="172"/>
        <v>0</v>
      </c>
      <c r="U178" s="182">
        <f t="shared" si="172"/>
        <v>0</v>
      </c>
      <c r="V178" s="182">
        <f t="shared" si="172"/>
        <v>0</v>
      </c>
      <c r="W178" s="182">
        <f t="shared" si="172"/>
        <v>0</v>
      </c>
      <c r="X178" s="182">
        <f t="shared" si="172"/>
        <v>0</v>
      </c>
      <c r="Y178" s="182">
        <f t="shared" si="172"/>
        <v>0</v>
      </c>
      <c r="Z178" s="182">
        <f t="shared" si="172"/>
        <v>0</v>
      </c>
      <c r="AA178" s="182">
        <f t="shared" si="172"/>
        <v>0</v>
      </c>
      <c r="AB178" s="182">
        <f t="shared" si="172"/>
        <v>0</v>
      </c>
      <c r="AC178" s="182">
        <f t="shared" si="172"/>
        <v>0</v>
      </c>
      <c r="AD178" s="182">
        <f t="shared" si="172"/>
        <v>0</v>
      </c>
      <c r="AE178" s="182">
        <f t="shared" si="172"/>
        <v>0</v>
      </c>
      <c r="AF178" s="182">
        <f t="shared" si="172"/>
        <v>0</v>
      </c>
      <c r="AG178" s="182">
        <f t="shared" si="172"/>
        <v>0</v>
      </c>
      <c r="AH178" s="227">
        <f>SUM(C178:AG178)</f>
        <v>0</v>
      </c>
      <c r="AI178" s="227"/>
      <c r="AJ178" s="174" t="s">
        <v>69</v>
      </c>
      <c r="AK178" s="133"/>
      <c r="AL178" s="133"/>
    </row>
    <row r="179" spans="1:38" ht="15.95" hidden="1" customHeight="1" x14ac:dyDescent="0.25">
      <c r="A179" s="116"/>
      <c r="B179" s="184"/>
      <c r="C179" s="185"/>
      <c r="D179" s="185"/>
      <c r="E179" s="185"/>
      <c r="F179" s="185"/>
      <c r="G179" s="186"/>
      <c r="H179" s="185"/>
      <c r="I179" s="185"/>
      <c r="J179" s="185"/>
      <c r="K179" s="185"/>
      <c r="L179" s="185"/>
      <c r="M179" s="185"/>
      <c r="N179" s="186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185"/>
      <c r="AF179" s="185"/>
      <c r="AG179" s="185"/>
      <c r="AH179" s="133"/>
      <c r="AI179" s="133"/>
      <c r="AJ179" s="133"/>
      <c r="AK179" s="133"/>
      <c r="AL179" s="133"/>
    </row>
    <row r="180" spans="1:38" ht="15.95" hidden="1" customHeight="1" x14ac:dyDescent="0.25">
      <c r="A180" s="116"/>
      <c r="B180" s="184"/>
      <c r="C180" s="185"/>
      <c r="D180" s="185"/>
      <c r="E180" s="185"/>
      <c r="F180" s="185"/>
      <c r="G180" s="186"/>
      <c r="H180" s="185"/>
      <c r="I180" s="185"/>
      <c r="J180" s="185"/>
      <c r="K180" s="185"/>
      <c r="L180" s="185"/>
      <c r="M180" s="185"/>
      <c r="N180" s="186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185"/>
      <c r="AF180" s="185"/>
      <c r="AG180" s="185"/>
      <c r="AH180" s="116"/>
      <c r="AI180" s="116"/>
      <c r="AJ180" s="116"/>
      <c r="AK180" s="116"/>
      <c r="AL180" s="116"/>
    </row>
    <row r="181" spans="1:38" ht="15.95" hidden="1" customHeight="1" x14ac:dyDescent="0.25">
      <c r="A181" s="116"/>
      <c r="B181" s="184"/>
      <c r="C181" s="185"/>
      <c r="D181" s="185"/>
      <c r="E181" s="185"/>
      <c r="F181" s="185"/>
      <c r="G181" s="186"/>
      <c r="H181" s="185"/>
      <c r="I181" s="185"/>
      <c r="J181" s="185"/>
      <c r="K181" s="185"/>
      <c r="L181" s="185"/>
      <c r="M181" s="185"/>
      <c r="N181" s="186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/>
      <c r="AH181" s="116"/>
      <c r="AI181" s="116"/>
      <c r="AJ181" s="116"/>
      <c r="AK181" s="116"/>
      <c r="AL181" s="116"/>
    </row>
    <row r="182" spans="1:38" ht="15.95" hidden="1" customHeight="1" x14ac:dyDescent="0.25">
      <c r="A182" s="116"/>
      <c r="B182" s="126"/>
      <c r="C182" s="116"/>
      <c r="D182" s="116"/>
      <c r="E182" s="116"/>
      <c r="F182" s="116"/>
      <c r="G182" s="114"/>
      <c r="H182" s="116"/>
      <c r="I182" s="116"/>
      <c r="J182" s="116"/>
      <c r="K182" s="116"/>
      <c r="L182" s="116"/>
      <c r="M182" s="116"/>
      <c r="N182" s="114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  <c r="AH182" s="116"/>
      <c r="AI182" s="116"/>
      <c r="AJ182" s="116"/>
      <c r="AK182" s="116"/>
      <c r="AL182" s="116"/>
    </row>
    <row r="183" spans="1:38" ht="15.95" hidden="1" customHeight="1" x14ac:dyDescent="0.25">
      <c r="A183" s="116"/>
      <c r="B183" s="126"/>
      <c r="C183" s="116"/>
      <c r="D183" s="116"/>
      <c r="E183" s="116"/>
      <c r="F183" s="116"/>
      <c r="G183" s="114"/>
      <c r="H183" s="116"/>
      <c r="I183" s="116"/>
      <c r="J183" s="116"/>
      <c r="K183" s="116"/>
      <c r="L183" s="116"/>
      <c r="M183" s="116"/>
      <c r="N183" s="114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  <c r="AI183" s="116"/>
      <c r="AJ183" s="116"/>
      <c r="AK183" s="116"/>
      <c r="AL183" s="116"/>
    </row>
    <row r="184" spans="1:38" ht="15.95" hidden="1" customHeight="1" x14ac:dyDescent="0.25">
      <c r="A184" s="116"/>
      <c r="B184" s="126"/>
      <c r="C184" s="116"/>
      <c r="D184" s="116"/>
      <c r="E184" s="116"/>
      <c r="F184" s="116"/>
      <c r="G184" s="114"/>
      <c r="H184" s="116"/>
      <c r="I184" s="116"/>
      <c r="J184" s="116"/>
      <c r="K184" s="116"/>
      <c r="L184" s="116"/>
      <c r="M184" s="116"/>
      <c r="N184" s="114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  <c r="AI184" s="116"/>
      <c r="AJ184" s="116"/>
      <c r="AK184" s="116"/>
      <c r="AL184" s="116"/>
    </row>
    <row r="185" spans="1:38" ht="15.95" hidden="1" customHeight="1" x14ac:dyDescent="0.25">
      <c r="A185" s="116"/>
      <c r="B185" s="116"/>
      <c r="C185" s="116"/>
      <c r="D185" s="116"/>
      <c r="E185" s="116"/>
      <c r="F185" s="116"/>
      <c r="G185" s="114"/>
      <c r="H185" s="116"/>
      <c r="I185" s="116"/>
      <c r="J185" s="116"/>
      <c r="K185" s="116"/>
      <c r="L185" s="116"/>
      <c r="M185" s="116"/>
      <c r="N185" s="114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  <c r="AI185" s="116"/>
      <c r="AJ185" s="116"/>
      <c r="AK185" s="116"/>
      <c r="AL185" s="116"/>
    </row>
    <row r="186" spans="1:38" ht="15.95" hidden="1" customHeight="1" x14ac:dyDescent="0.25">
      <c r="A186" s="116"/>
      <c r="B186" s="116"/>
      <c r="C186" s="228" t="s">
        <v>89</v>
      </c>
      <c r="D186" s="228"/>
      <c r="E186" s="228"/>
      <c r="F186" s="228"/>
      <c r="G186" s="228"/>
      <c r="H186" s="228"/>
      <c r="I186" s="228"/>
      <c r="J186" s="228"/>
      <c r="K186" s="228"/>
      <c r="L186" s="228"/>
      <c r="M186" s="116"/>
      <c r="N186" s="114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  <c r="AH186" s="116"/>
      <c r="AI186" s="116"/>
      <c r="AJ186" s="116"/>
      <c r="AK186" s="116"/>
      <c r="AL186" s="116"/>
    </row>
    <row r="187" spans="1:38" ht="15.95" hidden="1" customHeight="1" x14ac:dyDescent="0.25">
      <c r="A187" s="180"/>
      <c r="B187" s="181" t="s">
        <v>90</v>
      </c>
      <c r="C187" s="187">
        <f t="shared" ref="C187:AG187" si="173">IF(C49&gt;=4,IF(C49="",0,8),IF(C49&gt;=0.1,IF(C49="",0,C49),""))</f>
        <v>0</v>
      </c>
      <c r="D187" s="187">
        <f t="shared" si="173"/>
        <v>0</v>
      </c>
      <c r="E187" s="187">
        <f t="shared" si="173"/>
        <v>0</v>
      </c>
      <c r="F187" s="187">
        <f t="shared" si="173"/>
        <v>0</v>
      </c>
      <c r="G187" s="187">
        <f t="shared" si="173"/>
        <v>0</v>
      </c>
      <c r="H187" s="187">
        <f t="shared" si="173"/>
        <v>0</v>
      </c>
      <c r="I187" s="187">
        <f t="shared" si="173"/>
        <v>0</v>
      </c>
      <c r="J187" s="187">
        <f t="shared" si="173"/>
        <v>0</v>
      </c>
      <c r="K187" s="187">
        <f t="shared" si="173"/>
        <v>0</v>
      </c>
      <c r="L187" s="187">
        <f t="shared" si="173"/>
        <v>0</v>
      </c>
      <c r="M187" s="187">
        <f t="shared" si="173"/>
        <v>0</v>
      </c>
      <c r="N187" s="187">
        <f t="shared" si="173"/>
        <v>0</v>
      </c>
      <c r="O187" s="187">
        <f t="shared" si="173"/>
        <v>0</v>
      </c>
      <c r="P187" s="187">
        <f t="shared" si="173"/>
        <v>0</v>
      </c>
      <c r="Q187" s="187">
        <f t="shared" si="173"/>
        <v>0</v>
      </c>
      <c r="R187" s="187">
        <f t="shared" si="173"/>
        <v>0</v>
      </c>
      <c r="S187" s="187">
        <f t="shared" si="173"/>
        <v>0</v>
      </c>
      <c r="T187" s="187">
        <f t="shared" si="173"/>
        <v>0</v>
      </c>
      <c r="U187" s="187">
        <f t="shared" si="173"/>
        <v>0</v>
      </c>
      <c r="V187" s="187">
        <f t="shared" si="173"/>
        <v>0</v>
      </c>
      <c r="W187" s="187">
        <f t="shared" si="173"/>
        <v>0</v>
      </c>
      <c r="X187" s="187">
        <f t="shared" si="173"/>
        <v>0</v>
      </c>
      <c r="Y187" s="187">
        <f t="shared" si="173"/>
        <v>0</v>
      </c>
      <c r="Z187" s="187">
        <f t="shared" si="173"/>
        <v>0</v>
      </c>
      <c r="AA187" s="187">
        <f t="shared" si="173"/>
        <v>0</v>
      </c>
      <c r="AB187" s="187">
        <f t="shared" si="173"/>
        <v>0</v>
      </c>
      <c r="AC187" s="187">
        <f t="shared" si="173"/>
        <v>0</v>
      </c>
      <c r="AD187" s="187">
        <f t="shared" si="173"/>
        <v>0</v>
      </c>
      <c r="AE187" s="187">
        <f t="shared" si="173"/>
        <v>0</v>
      </c>
      <c r="AF187" s="187">
        <f t="shared" si="173"/>
        <v>0</v>
      </c>
      <c r="AG187" s="187">
        <f t="shared" si="173"/>
        <v>0</v>
      </c>
      <c r="AH187" s="188">
        <f t="shared" ref="AH187" si="174">SUM(C187:AG187)</f>
        <v>0</v>
      </c>
      <c r="AI187" s="116" t="s">
        <v>91</v>
      </c>
      <c r="AJ187" s="116"/>
      <c r="AK187" s="116"/>
      <c r="AL187" s="116"/>
    </row>
    <row r="188" spans="1:38" ht="15.95" hidden="1" customHeight="1" x14ac:dyDescent="0.25">
      <c r="A188" s="116"/>
      <c r="B188" s="181" t="s">
        <v>92</v>
      </c>
      <c r="C188" s="189">
        <v>1</v>
      </c>
      <c r="D188" s="189">
        <v>2</v>
      </c>
      <c r="E188" s="189">
        <v>3</v>
      </c>
      <c r="F188" s="189">
        <v>4</v>
      </c>
      <c r="G188" s="189">
        <v>5</v>
      </c>
      <c r="H188" s="189">
        <v>6</v>
      </c>
      <c r="I188" s="189">
        <v>7</v>
      </c>
      <c r="J188" s="189">
        <v>8</v>
      </c>
      <c r="K188" s="189">
        <v>9</v>
      </c>
      <c r="L188" s="189">
        <v>10</v>
      </c>
      <c r="M188" s="189">
        <v>11</v>
      </c>
      <c r="N188" s="189">
        <v>12</v>
      </c>
      <c r="O188" s="189">
        <v>13</v>
      </c>
      <c r="P188" s="189">
        <v>14</v>
      </c>
      <c r="Q188" s="189">
        <v>15</v>
      </c>
      <c r="R188" s="189">
        <v>16</v>
      </c>
      <c r="S188" s="189">
        <v>17</v>
      </c>
      <c r="T188" s="189">
        <v>18</v>
      </c>
      <c r="U188" s="189">
        <v>19</v>
      </c>
      <c r="V188" s="189">
        <v>20</v>
      </c>
      <c r="W188" s="189">
        <v>21</v>
      </c>
      <c r="X188" s="189">
        <v>22</v>
      </c>
      <c r="Y188" s="189">
        <v>23</v>
      </c>
      <c r="Z188" s="189">
        <v>24</v>
      </c>
      <c r="AA188" s="189">
        <v>25</v>
      </c>
      <c r="AB188" s="189">
        <v>26</v>
      </c>
      <c r="AC188" s="189">
        <v>27</v>
      </c>
      <c r="AD188" s="189">
        <v>28</v>
      </c>
      <c r="AE188" s="189">
        <v>29</v>
      </c>
      <c r="AF188" s="189">
        <v>30</v>
      </c>
      <c r="AG188" s="189">
        <v>31</v>
      </c>
      <c r="AH188" s="116"/>
      <c r="AI188" s="116"/>
      <c r="AJ188" s="116"/>
      <c r="AK188" s="116"/>
      <c r="AL188" s="116"/>
    </row>
    <row r="189" spans="1:38" ht="15.95" hidden="1" customHeight="1" x14ac:dyDescent="0.25">
      <c r="A189" s="116"/>
      <c r="B189" s="116"/>
      <c r="C189" s="116"/>
      <c r="D189" s="116"/>
      <c r="E189" s="116"/>
      <c r="F189" s="116"/>
      <c r="G189" s="114"/>
      <c r="H189" s="116"/>
      <c r="I189" s="116"/>
      <c r="J189" s="116"/>
      <c r="K189" s="116"/>
      <c r="L189" s="116"/>
      <c r="M189" s="116"/>
      <c r="N189" s="114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  <c r="AH189" s="116"/>
      <c r="AI189" s="116"/>
      <c r="AJ189" s="116"/>
      <c r="AK189" s="116"/>
      <c r="AL189" s="116"/>
    </row>
    <row r="190" spans="1:38" ht="15.95" hidden="1" customHeight="1" x14ac:dyDescent="0.25">
      <c r="A190" s="116"/>
      <c r="B190" s="116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  <c r="AB190" s="221"/>
      <c r="AC190" s="221"/>
      <c r="AD190" s="221"/>
      <c r="AE190" s="221"/>
      <c r="AF190" s="221"/>
      <c r="AG190" s="221"/>
      <c r="AH190" s="116"/>
      <c r="AI190" s="116"/>
      <c r="AJ190" s="116"/>
      <c r="AK190" s="116"/>
      <c r="AL190" s="116"/>
    </row>
    <row r="191" spans="1:38" ht="15.95" hidden="1" customHeight="1" x14ac:dyDescent="0.25">
      <c r="A191" s="116"/>
      <c r="B191" s="181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  <c r="AA191" s="190"/>
      <c r="AB191" s="190"/>
      <c r="AC191" s="190"/>
      <c r="AD191" s="190"/>
      <c r="AE191" s="190"/>
      <c r="AF191" s="190"/>
      <c r="AG191" s="190"/>
      <c r="AH191" s="116"/>
      <c r="AI191" s="116"/>
      <c r="AJ191" s="116"/>
      <c r="AK191" s="116"/>
      <c r="AL191" s="116"/>
    </row>
    <row r="192" spans="1:38" ht="15.95" hidden="1" customHeight="1" x14ac:dyDescent="0.25">
      <c r="A192" s="116"/>
      <c r="B192" s="191"/>
      <c r="C192" s="192"/>
      <c r="D192" s="192"/>
      <c r="E192" s="192"/>
      <c r="F192" s="192"/>
      <c r="G192" s="193"/>
      <c r="H192" s="192"/>
      <c r="I192" s="192"/>
      <c r="J192" s="192"/>
      <c r="K192" s="192"/>
      <c r="L192" s="192"/>
      <c r="M192" s="192"/>
      <c r="N192" s="193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  <c r="AA192" s="192"/>
      <c r="AB192" s="192"/>
      <c r="AC192" s="192"/>
      <c r="AD192" s="192"/>
      <c r="AE192" s="192"/>
      <c r="AF192" s="192"/>
      <c r="AG192" s="192"/>
      <c r="AH192" s="116"/>
      <c r="AI192" s="116"/>
      <c r="AJ192" s="116"/>
      <c r="AK192" s="116"/>
      <c r="AL192" s="116"/>
    </row>
    <row r="193" spans="1:38" ht="15.95" hidden="1" customHeight="1" x14ac:dyDescent="0.25">
      <c r="A193" s="116"/>
      <c r="B193" s="116"/>
      <c r="C193" s="116"/>
      <c r="D193" s="116"/>
      <c r="E193" s="116"/>
      <c r="F193" s="116"/>
      <c r="G193" s="114"/>
      <c r="H193" s="116"/>
      <c r="I193" s="116"/>
      <c r="J193" s="116"/>
      <c r="K193" s="116"/>
      <c r="L193" s="116"/>
      <c r="M193" s="116"/>
      <c r="N193" s="114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  <c r="AH193" s="116"/>
      <c r="AI193" s="116"/>
      <c r="AJ193" s="116"/>
      <c r="AK193" s="116"/>
      <c r="AL193" s="116"/>
    </row>
    <row r="194" spans="1:38" ht="15.95" hidden="1" customHeight="1" x14ac:dyDescent="0.25">
      <c r="A194" s="116"/>
      <c r="B194" s="116"/>
      <c r="C194" s="116"/>
      <c r="D194" s="116"/>
      <c r="E194" s="116"/>
      <c r="F194" s="116"/>
      <c r="G194" s="114"/>
      <c r="H194" s="116"/>
      <c r="I194" s="116"/>
      <c r="J194" s="116"/>
      <c r="K194" s="116"/>
      <c r="L194" s="116"/>
      <c r="M194" s="116"/>
      <c r="N194" s="114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  <c r="AK194" s="116"/>
      <c r="AL194" s="116"/>
    </row>
    <row r="195" spans="1:38" ht="15.95" hidden="1" customHeight="1" x14ac:dyDescent="0.25">
      <c r="A195" s="116"/>
      <c r="B195" s="116"/>
      <c r="C195" s="116"/>
      <c r="D195" s="116"/>
      <c r="E195" s="116"/>
      <c r="F195" s="116"/>
      <c r="G195" s="114"/>
      <c r="H195" s="116"/>
      <c r="I195" s="116"/>
      <c r="J195" s="116"/>
      <c r="K195" s="116"/>
      <c r="L195" s="116"/>
      <c r="M195" s="116"/>
      <c r="N195" s="114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  <c r="AJ195" s="116"/>
      <c r="AK195" s="116"/>
      <c r="AL195" s="116"/>
    </row>
    <row r="196" spans="1:38" ht="15.95" hidden="1" customHeight="1" x14ac:dyDescent="0.25">
      <c r="A196" s="116"/>
      <c r="B196" s="116"/>
      <c r="C196" s="116"/>
      <c r="D196" s="116"/>
      <c r="E196" s="116"/>
      <c r="F196" s="116"/>
      <c r="G196" s="114"/>
      <c r="H196" s="116"/>
      <c r="I196" s="116"/>
      <c r="J196" s="116"/>
      <c r="K196" s="116"/>
      <c r="L196" s="116"/>
      <c r="M196" s="116"/>
      <c r="N196" s="114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  <c r="AJ196" s="116"/>
      <c r="AK196" s="116"/>
      <c r="AL196" s="116"/>
    </row>
    <row r="197" spans="1:38" ht="15.95" hidden="1" customHeight="1" x14ac:dyDescent="0.25">
      <c r="A197" s="116"/>
      <c r="B197" s="116"/>
      <c r="C197" s="116"/>
      <c r="D197" s="116"/>
      <c r="E197" s="116"/>
      <c r="F197" s="116"/>
      <c r="G197" s="114"/>
      <c r="H197" s="116"/>
      <c r="I197" s="116"/>
      <c r="J197" s="116"/>
      <c r="K197" s="116"/>
      <c r="L197" s="116"/>
      <c r="M197" s="116"/>
      <c r="N197" s="114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  <c r="AI197" s="116"/>
      <c r="AJ197" s="116"/>
      <c r="AK197" s="116"/>
      <c r="AL197" s="116"/>
    </row>
    <row r="198" spans="1:38" ht="15.95" hidden="1" customHeight="1" x14ac:dyDescent="0.25">
      <c r="A198" s="116"/>
      <c r="B198" s="116"/>
      <c r="C198" s="116"/>
      <c r="D198" s="116"/>
      <c r="E198" s="116"/>
      <c r="F198" s="116"/>
      <c r="G198" s="114"/>
      <c r="H198" s="116"/>
      <c r="I198" s="116"/>
      <c r="J198" s="116"/>
      <c r="K198" s="116"/>
      <c r="L198" s="116"/>
      <c r="M198" s="116"/>
      <c r="N198" s="114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  <c r="AL198" s="116"/>
    </row>
    <row r="199" spans="1:38" ht="15.95" hidden="1" customHeight="1" x14ac:dyDescent="0.25">
      <c r="A199" s="116"/>
      <c r="B199" s="116"/>
      <c r="C199" s="116"/>
      <c r="D199" s="116"/>
      <c r="E199" s="116"/>
      <c r="F199" s="116"/>
      <c r="G199" s="114"/>
      <c r="H199" s="116"/>
      <c r="I199" s="116"/>
      <c r="J199" s="116"/>
      <c r="K199" s="116"/>
      <c r="L199" s="116"/>
      <c r="M199" s="116"/>
      <c r="N199" s="114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  <c r="AJ199" s="116"/>
      <c r="AK199" s="116"/>
      <c r="AL199" s="116"/>
    </row>
    <row r="200" spans="1:38" ht="15.95" hidden="1" customHeight="1" x14ac:dyDescent="0.25">
      <c r="A200" s="116"/>
      <c r="B200" s="116"/>
      <c r="C200" s="116"/>
      <c r="D200" s="116"/>
      <c r="E200" s="116"/>
      <c r="F200" s="116"/>
      <c r="G200" s="114"/>
      <c r="H200" s="116"/>
      <c r="I200" s="116"/>
      <c r="J200" s="116"/>
      <c r="K200" s="116"/>
      <c r="L200" s="116"/>
      <c r="M200" s="116"/>
      <c r="N200" s="114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  <c r="AI200" s="116"/>
      <c r="AJ200" s="116"/>
      <c r="AK200" s="116"/>
      <c r="AL200" s="116"/>
    </row>
    <row r="201" spans="1:38" ht="20.25" customHeight="1" x14ac:dyDescent="0.25">
      <c r="A201" s="116"/>
      <c r="B201" s="116"/>
      <c r="C201" s="116"/>
      <c r="D201" s="116"/>
      <c r="E201" s="116"/>
      <c r="F201" s="116"/>
      <c r="G201" s="114"/>
      <c r="H201" s="116"/>
      <c r="I201" s="116"/>
      <c r="J201" s="116"/>
      <c r="K201" s="116"/>
      <c r="L201" s="116"/>
      <c r="M201" s="116"/>
      <c r="N201" s="114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  <c r="AK201" s="116"/>
      <c r="AL201" s="116"/>
    </row>
  </sheetData>
  <sheetProtection algorithmName="SHA-512" hashValue="RNVq0JPPWC4c8wGvmXv12/6V/1mnQ80wr6GQmOEw4dZDKqRqVR8kGoXHLFByKlYPzhTEviLvNWBHSaJlmnrJgQ==" saltValue="brT0NikWkA86D+9QTCeCyw==" spinCount="100000" sheet="1" objects="1" scenarios="1" formatCells="0"/>
  <mergeCells count="158">
    <mergeCell ref="Y35:Z35"/>
    <mergeCell ref="Y36:Z36"/>
    <mergeCell ref="Y37:Z37"/>
    <mergeCell ref="Y38:Z38"/>
    <mergeCell ref="Y39:Z39"/>
    <mergeCell ref="Y40:Z40"/>
    <mergeCell ref="Y31:Z31"/>
    <mergeCell ref="AH171:AI171"/>
    <mergeCell ref="AJ171:AK171"/>
    <mergeCell ref="AH138:AI138"/>
    <mergeCell ref="AJ138:AK138"/>
    <mergeCell ref="AH139:AI139"/>
    <mergeCell ref="AH145:AI145"/>
    <mergeCell ref="AH149:AI149"/>
    <mergeCell ref="AJ149:AK149"/>
    <mergeCell ref="AH117:AI117"/>
    <mergeCell ref="AH123:AI123"/>
    <mergeCell ref="AH127:AI127"/>
    <mergeCell ref="AJ127:AK127"/>
    <mergeCell ref="AH128:AI128"/>
    <mergeCell ref="AH134:AI134"/>
    <mergeCell ref="AH105:AI105"/>
    <mergeCell ref="AJ105:AK105"/>
    <mergeCell ref="AH106:AI106"/>
    <mergeCell ref="AH172:AI172"/>
    <mergeCell ref="AH178:AI178"/>
    <mergeCell ref="C186:L186"/>
    <mergeCell ref="C190:AG190"/>
    <mergeCell ref="AH150:AI150"/>
    <mergeCell ref="AH156:AI156"/>
    <mergeCell ref="AH160:AI160"/>
    <mergeCell ref="AJ160:AK160"/>
    <mergeCell ref="AH161:AI161"/>
    <mergeCell ref="AH167:AI167"/>
    <mergeCell ref="AH112:AI112"/>
    <mergeCell ref="AH116:AI116"/>
    <mergeCell ref="AJ116:AK116"/>
    <mergeCell ref="AH83:AI83"/>
    <mergeCell ref="AH84:AI84"/>
    <mergeCell ref="AH90:AI90"/>
    <mergeCell ref="AH94:AI94"/>
    <mergeCell ref="AH95:AI95"/>
    <mergeCell ref="AH101:AI101"/>
    <mergeCell ref="AH61:AI61"/>
    <mergeCell ref="AH62:AI62"/>
    <mergeCell ref="AH68:AI68"/>
    <mergeCell ref="AH72:AI72"/>
    <mergeCell ref="AH73:AI73"/>
    <mergeCell ref="AH79:AI79"/>
    <mergeCell ref="AI48:AJ48"/>
    <mergeCell ref="AI49:AJ49"/>
    <mergeCell ref="AN49:AO49"/>
    <mergeCell ref="AH50:AI50"/>
    <mergeCell ref="AH51:AI51"/>
    <mergeCell ref="AH57:AI57"/>
    <mergeCell ref="C43:D43"/>
    <mergeCell ref="E43:AI43"/>
    <mergeCell ref="AI45:AJ45"/>
    <mergeCell ref="AI46:AJ46"/>
    <mergeCell ref="AI47:AJ47"/>
    <mergeCell ref="AN47:AO47"/>
    <mergeCell ref="S39:T39"/>
    <mergeCell ref="V39:W39"/>
    <mergeCell ref="S40:T40"/>
    <mergeCell ref="V40:W40"/>
    <mergeCell ref="C42:V42"/>
    <mergeCell ref="W42:AH42"/>
    <mergeCell ref="A37:B37"/>
    <mergeCell ref="C37:N37"/>
    <mergeCell ref="S37:T37"/>
    <mergeCell ref="V37:W37"/>
    <mergeCell ref="A38:B38"/>
    <mergeCell ref="C38:N38"/>
    <mergeCell ref="S38:T38"/>
    <mergeCell ref="V38:W38"/>
    <mergeCell ref="A35:B35"/>
    <mergeCell ref="C35:N35"/>
    <mergeCell ref="S35:T35"/>
    <mergeCell ref="V35:W35"/>
    <mergeCell ref="A36:B36"/>
    <mergeCell ref="C36:N36"/>
    <mergeCell ref="S36:T36"/>
    <mergeCell ref="V36:W36"/>
    <mergeCell ref="A33:B33"/>
    <mergeCell ref="C33:N33"/>
    <mergeCell ref="S33:T33"/>
    <mergeCell ref="V33:W33"/>
    <mergeCell ref="A34:B34"/>
    <mergeCell ref="C34:N34"/>
    <mergeCell ref="S34:T34"/>
    <mergeCell ref="V34:W34"/>
    <mergeCell ref="AR31:AZ31"/>
    <mergeCell ref="Y32:Z32"/>
    <mergeCell ref="Y33:Z33"/>
    <mergeCell ref="Y34:Z34"/>
    <mergeCell ref="D26:E26"/>
    <mergeCell ref="G26:H26"/>
    <mergeCell ref="K26:L26"/>
    <mergeCell ref="N26:O26"/>
    <mergeCell ref="R26:S26"/>
    <mergeCell ref="U26:V26"/>
    <mergeCell ref="W26:X26"/>
    <mergeCell ref="BB31:BC31"/>
    <mergeCell ref="A32:B32"/>
    <mergeCell ref="C32:N32"/>
    <mergeCell ref="S32:T32"/>
    <mergeCell ref="V32:W32"/>
    <mergeCell ref="AD32:AG32"/>
    <mergeCell ref="AI32:AJ32"/>
    <mergeCell ref="Z26:AA26"/>
    <mergeCell ref="AH26:AI26"/>
    <mergeCell ref="AJ26:AL26"/>
    <mergeCell ref="AE27:AF27"/>
    <mergeCell ref="C29:AJ29"/>
    <mergeCell ref="A31:N31"/>
    <mergeCell ref="R31:W31"/>
    <mergeCell ref="AD31:AI31"/>
    <mergeCell ref="AH24:AI24"/>
    <mergeCell ref="AJ24:AL24"/>
    <mergeCell ref="D25:E25"/>
    <mergeCell ref="G25:H25"/>
    <mergeCell ref="K25:L25"/>
    <mergeCell ref="N25:O25"/>
    <mergeCell ref="R25:S25"/>
    <mergeCell ref="U25:V25"/>
    <mergeCell ref="W25:X25"/>
    <mergeCell ref="Z25:AA25"/>
    <mergeCell ref="AH25:AI25"/>
    <mergeCell ref="AJ25:AL25"/>
    <mergeCell ref="C23:H23"/>
    <mergeCell ref="J23:O23"/>
    <mergeCell ref="Q23:AA23"/>
    <mergeCell ref="D24:E24"/>
    <mergeCell ref="G24:H24"/>
    <mergeCell ref="K24:L24"/>
    <mergeCell ref="N24:O24"/>
    <mergeCell ref="R24:S24"/>
    <mergeCell ref="U24:V24"/>
    <mergeCell ref="W24:X24"/>
    <mergeCell ref="Z24:AA24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B3:J3"/>
    <mergeCell ref="B4:O4"/>
    <mergeCell ref="Q4:X4"/>
    <mergeCell ref="Z4:AB4"/>
    <mergeCell ref="AC4:AH4"/>
    <mergeCell ref="A8:B8"/>
    <mergeCell ref="A15:B15"/>
    <mergeCell ref="A16:B16"/>
    <mergeCell ref="A17:B17"/>
  </mergeCells>
  <conditionalFormatting sqref="C7:AG20">
    <cfRule type="expression" dxfId="0" priority="1" stopIfTrue="1">
      <formula>C$46=1</formula>
    </cfRule>
  </conditionalFormatting>
  <hyperlinks>
    <hyperlink ref="C42" r:id="rId1" xr:uid="{00000000-0004-0000-0B00-000000000000}"/>
  </hyperlinks>
  <printOptions horizontalCentered="1"/>
  <pageMargins left="7.874015748031496E-2" right="7.874015748031496E-2" top="0.31496062992125984" bottom="0" header="0.51181102362204722" footer="0.51181102362204722"/>
  <pageSetup paperSize="9" scale="97" orientation="landscape" useFirstPageNumber="1" r:id="rId2"/>
  <headerFooter alignWithMargins="0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46"/>
  <sheetViews>
    <sheetView showGridLines="0" showRowColHeaders="0" zoomScale="110" zoomScaleNormal="110" zoomScaleSheetLayoutView="75" workbookViewId="0">
      <selection activeCell="A16" sqref="A16"/>
    </sheetView>
  </sheetViews>
  <sheetFormatPr baseColWidth="10" defaultColWidth="11.5703125" defaultRowHeight="17.850000000000001" customHeight="1" x14ac:dyDescent="0.25"/>
  <cols>
    <col min="1" max="1" width="19.42578125" style="1" customWidth="1"/>
    <col min="2" max="13" width="10.140625" style="1" customWidth="1"/>
    <col min="14" max="14" width="11.5703125" style="1"/>
    <col min="15" max="20" width="11.5703125" style="1" hidden="1" customWidth="1"/>
    <col min="21" max="21" width="0" style="1" hidden="1" customWidth="1"/>
    <col min="22" max="16384" width="11.5703125" style="1"/>
  </cols>
  <sheetData>
    <row r="1" spans="1:19" ht="17.850000000000001" customHeight="1" x14ac:dyDescent="0.25">
      <c r="B1" s="308" t="str">
        <f>B34</f>
        <v>EMPRESA</v>
      </c>
      <c r="C1" s="308"/>
      <c r="D1" s="308"/>
    </row>
    <row r="2" spans="1:19" ht="17.850000000000001" customHeight="1" x14ac:dyDescent="0.25">
      <c r="B2" s="272" t="s">
        <v>93</v>
      </c>
      <c r="C2" s="272"/>
      <c r="D2" s="272"/>
      <c r="E2" s="65">
        <f>B36</f>
        <v>2024</v>
      </c>
      <c r="F2" s="65"/>
      <c r="G2" s="309" t="str">
        <f>B35</f>
        <v>CENTRO</v>
      </c>
      <c r="H2" s="309"/>
      <c r="I2" s="309"/>
      <c r="J2" s="309"/>
      <c r="K2" s="309"/>
      <c r="L2" s="309"/>
      <c r="M2" s="309"/>
    </row>
    <row r="3" spans="1:19" ht="17.850000000000001" customHeight="1" x14ac:dyDescent="0.25">
      <c r="A3" s="9"/>
      <c r="B3" s="65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9" ht="17.850000000000001" customHeight="1" x14ac:dyDescent="0.25">
      <c r="A4" s="62"/>
      <c r="B4" s="89" t="s">
        <v>94</v>
      </c>
      <c r="C4" s="89" t="s">
        <v>95</v>
      </c>
      <c r="D4" s="89" t="s">
        <v>96</v>
      </c>
      <c r="E4" s="89" t="s">
        <v>97</v>
      </c>
      <c r="F4" s="89" t="s">
        <v>98</v>
      </c>
      <c r="G4" s="89" t="s">
        <v>99</v>
      </c>
      <c r="H4" s="89" t="s">
        <v>100</v>
      </c>
      <c r="I4" s="89" t="s">
        <v>101</v>
      </c>
      <c r="J4" s="89" t="s">
        <v>102</v>
      </c>
      <c r="K4" s="89" t="s">
        <v>103</v>
      </c>
      <c r="L4" s="89" t="s">
        <v>104</v>
      </c>
      <c r="M4" s="89" t="s">
        <v>105</v>
      </c>
    </row>
    <row r="5" spans="1:19" ht="20.85" customHeight="1" x14ac:dyDescent="0.25">
      <c r="A5" s="210" t="str">
        <f t="shared" ref="A5:A16" si="0">K34</f>
        <v>VS1</v>
      </c>
      <c r="B5" s="95">
        <f>ENERO!AH9</f>
        <v>0</v>
      </c>
      <c r="C5" s="95">
        <f>FEBRERO!AH9</f>
        <v>168</v>
      </c>
      <c r="D5" s="95">
        <f>MARZO!AH9</f>
        <v>203.99999999999991</v>
      </c>
      <c r="E5" s="95">
        <f>ABRIL!AH9</f>
        <v>207.99999999999991</v>
      </c>
      <c r="F5" s="95">
        <f>MAYO!AH9</f>
        <v>234.3</v>
      </c>
      <c r="G5" s="95">
        <f>JUNIO!AH9</f>
        <v>203.99999999999997</v>
      </c>
      <c r="H5" s="95">
        <f>JULIO!AH9</f>
        <v>215.51999999999998</v>
      </c>
      <c r="I5" s="95">
        <f>AGOSTO!AH9</f>
        <v>0</v>
      </c>
      <c r="J5" s="95">
        <f>SEPTIEMBRE!AH9</f>
        <v>0</v>
      </c>
      <c r="K5" s="95">
        <f>OCTUBRE!AH9</f>
        <v>0</v>
      </c>
      <c r="L5" s="95">
        <f>NOVIEMBRE!AH9</f>
        <v>0</v>
      </c>
      <c r="M5" s="95">
        <f>DICIEMBRE!AH9</f>
        <v>0</v>
      </c>
      <c r="S5" s="1">
        <f t="shared" ref="S5:S16" si="1">SUM(B5:M5)</f>
        <v>1233.8199999999997</v>
      </c>
    </row>
    <row r="6" spans="1:19" ht="20.85" customHeight="1" x14ac:dyDescent="0.25">
      <c r="A6" s="210" t="str">
        <f t="shared" si="0"/>
        <v>VS2</v>
      </c>
      <c r="B6" s="95">
        <f>ENERO!AH10</f>
        <v>204</v>
      </c>
      <c r="C6" s="95">
        <f>FEBRERO!AH10</f>
        <v>168</v>
      </c>
      <c r="D6" s="95">
        <f>MARZO!AH10</f>
        <v>180</v>
      </c>
      <c r="E6" s="95">
        <f>ABRIL!AH10</f>
        <v>192</v>
      </c>
      <c r="F6" s="95">
        <f>MAYO!AH10</f>
        <v>192</v>
      </c>
      <c r="G6" s="95">
        <f>JUNIO!AH10</f>
        <v>174.3</v>
      </c>
      <c r="H6" s="95">
        <f>JULIO!AH10</f>
        <v>227.99999999999997</v>
      </c>
      <c r="I6" s="95">
        <f>AGOSTO!AH10</f>
        <v>0</v>
      </c>
      <c r="J6" s="95">
        <f>SEPTIEMBRE!AH10</f>
        <v>0</v>
      </c>
      <c r="K6" s="95">
        <f>OCTUBRE!AH10</f>
        <v>0</v>
      </c>
      <c r="L6" s="95">
        <f>NOVIEMBRE!AH10</f>
        <v>0</v>
      </c>
      <c r="M6" s="95">
        <f>DICIEMBRE!AH10</f>
        <v>192</v>
      </c>
      <c r="S6" s="1">
        <f t="shared" si="1"/>
        <v>1530.3</v>
      </c>
    </row>
    <row r="7" spans="1:19" ht="20.85" customHeight="1" x14ac:dyDescent="0.25">
      <c r="A7" s="210" t="str">
        <f t="shared" si="0"/>
        <v>VS3</v>
      </c>
      <c r="B7" s="95">
        <f>ENERO!AH11</f>
        <v>204</v>
      </c>
      <c r="C7" s="95">
        <f>FEBRERO!AH11</f>
        <v>0</v>
      </c>
      <c r="D7" s="95">
        <f>MARZO!AH11</f>
        <v>0</v>
      </c>
      <c r="E7" s="95">
        <f>ABRIL!AH11</f>
        <v>0</v>
      </c>
      <c r="F7" s="95">
        <f>MAYO!AH11</f>
        <v>215.99999999999997</v>
      </c>
      <c r="G7" s="95">
        <f>JUNIO!AH11</f>
        <v>204</v>
      </c>
      <c r="H7" s="95">
        <f>JULIO!AH11</f>
        <v>192</v>
      </c>
      <c r="I7" s="95">
        <f>AGOSTO!AH11</f>
        <v>0</v>
      </c>
      <c r="J7" s="95">
        <f>SEPTIEMBRE!AH11</f>
        <v>0</v>
      </c>
      <c r="K7" s="95">
        <f>OCTUBRE!AH11</f>
        <v>0</v>
      </c>
      <c r="L7" s="95">
        <f>NOVIEMBRE!AH11</f>
        <v>0</v>
      </c>
      <c r="M7" s="95">
        <f>DICIEMBRE!AH11</f>
        <v>203.99999999999997</v>
      </c>
      <c r="S7" s="1">
        <f t="shared" si="1"/>
        <v>1020</v>
      </c>
    </row>
    <row r="8" spans="1:19" ht="20.85" customHeight="1" x14ac:dyDescent="0.25">
      <c r="A8" s="210" t="str">
        <f t="shared" si="0"/>
        <v>VS4</v>
      </c>
      <c r="B8" s="95">
        <f>ENERO!AH12</f>
        <v>192</v>
      </c>
      <c r="C8" s="95">
        <f>FEBRERO!AH12</f>
        <v>167.99999999999997</v>
      </c>
      <c r="D8" s="95">
        <f>MARZO!AH12</f>
        <v>191.99999999999997</v>
      </c>
      <c r="E8" s="95">
        <f>ABRIL!AH12</f>
        <v>215.99999999999997</v>
      </c>
      <c r="F8" s="95">
        <f>MAYO!AH12</f>
        <v>171.99999999999977</v>
      </c>
      <c r="G8" s="95">
        <f>JUNIO!AH12</f>
        <v>171.99999999999977</v>
      </c>
      <c r="H8" s="95">
        <f>JULIO!AH12</f>
        <v>167.99999999999991</v>
      </c>
      <c r="I8" s="95">
        <f>AGOSTO!AH12</f>
        <v>0</v>
      </c>
      <c r="J8" s="95">
        <f>SEPTIEMBRE!AH12</f>
        <v>0</v>
      </c>
      <c r="K8" s="95">
        <f>OCTUBRE!AH12</f>
        <v>0</v>
      </c>
      <c r="L8" s="95">
        <f>NOVIEMBRE!AH12</f>
        <v>0</v>
      </c>
      <c r="M8" s="95">
        <f>DICIEMBRE!AH12</f>
        <v>204</v>
      </c>
      <c r="S8" s="1">
        <f t="shared" si="1"/>
        <v>1483.9999999999995</v>
      </c>
    </row>
    <row r="9" spans="1:19" ht="20.85" customHeight="1" x14ac:dyDescent="0.25">
      <c r="A9" s="210" t="str">
        <f t="shared" si="0"/>
        <v>VS5</v>
      </c>
      <c r="B9" s="95">
        <f>ENERO!AH13</f>
        <v>180</v>
      </c>
      <c r="C9" s="95">
        <f>FEBRERO!AH13</f>
        <v>0</v>
      </c>
      <c r="D9" s="95">
        <f>MARZO!AH13</f>
        <v>175.99999999999937</v>
      </c>
      <c r="E9" s="95">
        <f>ABRIL!AH13</f>
        <v>192</v>
      </c>
      <c r="F9" s="95">
        <f>MAYO!AH13</f>
        <v>186.3</v>
      </c>
      <c r="G9" s="95">
        <f>JUNIO!AH13</f>
        <v>192</v>
      </c>
      <c r="H9" s="95">
        <f>JULIO!AH13</f>
        <v>216</v>
      </c>
      <c r="I9" s="95">
        <f>AGOSTO!AH13</f>
        <v>0</v>
      </c>
      <c r="J9" s="95">
        <f>SEPTIEMBRE!AH13</f>
        <v>0</v>
      </c>
      <c r="K9" s="95">
        <f>OCTUBRE!AH13</f>
        <v>0</v>
      </c>
      <c r="L9" s="95">
        <f>NOVIEMBRE!AH13</f>
        <v>0</v>
      </c>
      <c r="M9" s="95">
        <f>DICIEMBRE!AH13</f>
        <v>204</v>
      </c>
      <c r="S9" s="1">
        <f t="shared" si="1"/>
        <v>1346.2999999999993</v>
      </c>
    </row>
    <row r="10" spans="1:19" ht="20.85" customHeight="1" x14ac:dyDescent="0.25">
      <c r="A10" s="210" t="str">
        <f t="shared" si="0"/>
        <v>VS6</v>
      </c>
      <c r="B10" s="95">
        <f>ENERO!AH14</f>
        <v>180</v>
      </c>
      <c r="C10" s="95">
        <f>FEBRERO!AH14</f>
        <v>168</v>
      </c>
      <c r="D10" s="95">
        <f>MARZO!AH14</f>
        <v>204</v>
      </c>
      <c r="E10" s="95">
        <f>ABRIL!AH14</f>
        <v>214.29999999999995</v>
      </c>
      <c r="F10" s="95">
        <f>MAYO!AH14</f>
        <v>223.99999999999997</v>
      </c>
      <c r="G10" s="95">
        <f>JUNIO!AH14</f>
        <v>174.3</v>
      </c>
      <c r="H10" s="95">
        <f>JULIO!AH14</f>
        <v>227.51999999999992</v>
      </c>
      <c r="I10" s="95">
        <f>AGOSTO!AH14</f>
        <v>0</v>
      </c>
      <c r="J10" s="95">
        <f>SEPTIEMBRE!AH14</f>
        <v>0</v>
      </c>
      <c r="K10" s="95">
        <f>OCTUBRE!AH14</f>
        <v>0</v>
      </c>
      <c r="L10" s="95">
        <f>NOVIEMBRE!AH14</f>
        <v>0</v>
      </c>
      <c r="M10" s="95">
        <f>DICIEMBRE!AH14</f>
        <v>204</v>
      </c>
      <c r="S10" s="1">
        <f t="shared" si="1"/>
        <v>1596.12</v>
      </c>
    </row>
    <row r="11" spans="1:19" ht="20.85" customHeight="1" x14ac:dyDescent="0.25">
      <c r="A11" s="210" t="str">
        <f t="shared" si="0"/>
        <v>VS7</v>
      </c>
      <c r="B11" s="95">
        <f>ENERO!AH15</f>
        <v>183.99999999999994</v>
      </c>
      <c r="C11" s="95">
        <f>FEBRERO!AH15</f>
        <v>167.99999999999997</v>
      </c>
      <c r="D11" s="95">
        <f>MARZO!AH15</f>
        <v>228</v>
      </c>
      <c r="E11" s="95">
        <f>ABRIL!AH15</f>
        <v>214.29999999999995</v>
      </c>
      <c r="F11" s="95">
        <f>MAYO!AH15</f>
        <v>223.99999999999997</v>
      </c>
      <c r="G11" s="95">
        <f>JUNIO!AH15</f>
        <v>204</v>
      </c>
      <c r="H11" s="95">
        <f>JULIO!AH15</f>
        <v>180</v>
      </c>
      <c r="I11" s="95">
        <f>AGOSTO!AH15</f>
        <v>0</v>
      </c>
      <c r="J11" s="95">
        <f>SEPTIEMBRE!AH15</f>
        <v>0</v>
      </c>
      <c r="K11" s="95">
        <f>OCTUBRE!AH15</f>
        <v>0</v>
      </c>
      <c r="L11" s="95">
        <f>NOVIEMBRE!AH15</f>
        <v>0</v>
      </c>
      <c r="M11" s="95">
        <f>DICIEMBRE!AH15</f>
        <v>204</v>
      </c>
      <c r="S11" s="1">
        <f t="shared" si="1"/>
        <v>1606.2999999999997</v>
      </c>
    </row>
    <row r="12" spans="1:19" ht="20.85" customHeight="1" x14ac:dyDescent="0.25">
      <c r="A12" s="210" t="str">
        <f t="shared" si="0"/>
        <v>VS8</v>
      </c>
      <c r="B12" s="95">
        <f>ENERO!AH16</f>
        <v>168</v>
      </c>
      <c r="C12" s="95">
        <f>FEBRERO!AH16</f>
        <v>0</v>
      </c>
      <c r="D12" s="95">
        <f>MARZO!AH16</f>
        <v>187.99999999999997</v>
      </c>
      <c r="E12" s="95">
        <f>ABRIL!AH16</f>
        <v>211.99999999999997</v>
      </c>
      <c r="F12" s="95">
        <f>MAYO!AH16</f>
        <v>0</v>
      </c>
      <c r="G12" s="95">
        <f>JUNIO!AH16</f>
        <v>180</v>
      </c>
      <c r="H12" s="95">
        <f>JULIO!AH16</f>
        <v>167.51999999999998</v>
      </c>
      <c r="I12" s="95">
        <f>AGOSTO!AH16</f>
        <v>0</v>
      </c>
      <c r="J12" s="95">
        <f>SEPTIEMBRE!AH16</f>
        <v>0</v>
      </c>
      <c r="K12" s="95">
        <f>OCTUBRE!AH16</f>
        <v>0</v>
      </c>
      <c r="L12" s="95">
        <f>NOVIEMBRE!AH16</f>
        <v>0</v>
      </c>
      <c r="M12" s="95">
        <f>DICIEMBRE!AH16</f>
        <v>168</v>
      </c>
      <c r="S12" s="1">
        <f t="shared" si="1"/>
        <v>1083.52</v>
      </c>
    </row>
    <row r="13" spans="1:19" ht="20.85" customHeight="1" x14ac:dyDescent="0.25">
      <c r="A13" s="210" t="str">
        <f t="shared" si="0"/>
        <v>VS9</v>
      </c>
      <c r="B13" s="95">
        <f>ENERO!AH17</f>
        <v>75.999999999999773</v>
      </c>
      <c r="C13" s="95">
        <f>FEBRERO!AH17</f>
        <v>0</v>
      </c>
      <c r="D13" s="95">
        <f>MARZO!AH17</f>
        <v>183.99999999999986</v>
      </c>
      <c r="E13" s="95">
        <f>ABRIL!AH17</f>
        <v>211.99999999999997</v>
      </c>
      <c r="F13" s="95">
        <f>MAYO!AH17</f>
        <v>215.99999999999974</v>
      </c>
      <c r="G13" s="95">
        <f>JUNIO!AH17</f>
        <v>159.99999999999943</v>
      </c>
      <c r="H13" s="95">
        <f>JULIO!AH17</f>
        <v>179.99999999999966</v>
      </c>
      <c r="I13" s="95">
        <f>AGOSTO!AH17</f>
        <v>0</v>
      </c>
      <c r="J13" s="95">
        <f>SEPTIEMBRE!AH17</f>
        <v>0</v>
      </c>
      <c r="K13" s="95">
        <f>OCTUBRE!AH17</f>
        <v>0</v>
      </c>
      <c r="L13" s="95">
        <f>NOVIEMBRE!AH17</f>
        <v>0</v>
      </c>
      <c r="M13" s="95">
        <f>DICIEMBRE!AH17</f>
        <v>143.99999999999974</v>
      </c>
      <c r="S13" s="1">
        <f t="shared" si="1"/>
        <v>1171.9999999999984</v>
      </c>
    </row>
    <row r="14" spans="1:19" ht="20.85" customHeight="1" x14ac:dyDescent="0.25">
      <c r="A14" s="210" t="str">
        <f t="shared" si="0"/>
        <v>VS10</v>
      </c>
      <c r="B14" s="95">
        <f>ENERO!AH18</f>
        <v>180</v>
      </c>
      <c r="C14" s="95">
        <f>FEBRERO!AH18</f>
        <v>168</v>
      </c>
      <c r="D14" s="95">
        <f>MARZO!AH18</f>
        <v>180</v>
      </c>
      <c r="E14" s="95">
        <f>ABRIL!AH18</f>
        <v>175.99999999999937</v>
      </c>
      <c r="F14" s="95">
        <f>MAYO!AH18</f>
        <v>227.99999999999966</v>
      </c>
      <c r="G14" s="95">
        <f>JUNIO!AH18</f>
        <v>171.99999999999994</v>
      </c>
      <c r="H14" s="95">
        <f>JULIO!AH18</f>
        <v>191.51999999999998</v>
      </c>
      <c r="I14" s="95">
        <f>AGOSTO!AH18</f>
        <v>0</v>
      </c>
      <c r="J14" s="95">
        <f>SEPTIEMBRE!AH18</f>
        <v>0</v>
      </c>
      <c r="K14" s="95">
        <f>OCTUBRE!AH18</f>
        <v>0</v>
      </c>
      <c r="L14" s="95">
        <f>NOVIEMBRE!AH18</f>
        <v>0</v>
      </c>
      <c r="M14" s="95">
        <f>DICIEMBRE!AH18</f>
        <v>171.99999999999952</v>
      </c>
      <c r="S14" s="1">
        <f t="shared" si="1"/>
        <v>1467.5199999999984</v>
      </c>
    </row>
    <row r="15" spans="1:19" ht="20.85" customHeight="1" x14ac:dyDescent="0.25">
      <c r="A15" s="210" t="str">
        <f t="shared" si="0"/>
        <v>VS11</v>
      </c>
      <c r="B15" s="95">
        <f>ENERO!AH19</f>
        <v>167.9999999999994</v>
      </c>
      <c r="C15" s="95">
        <f>FEBRERO!AH19</f>
        <v>0</v>
      </c>
      <c r="D15" s="95">
        <f>MARZO!AH19</f>
        <v>0</v>
      </c>
      <c r="E15" s="95">
        <f>ABRIL!AH19</f>
        <v>0</v>
      </c>
      <c r="F15" s="95">
        <f>MAYO!AH19</f>
        <v>0</v>
      </c>
      <c r="G15" s="95">
        <f>JUNIO!AH19</f>
        <v>0</v>
      </c>
      <c r="H15" s="95">
        <f>JULIO!AH19</f>
        <v>103.99999999999963</v>
      </c>
      <c r="I15" s="95">
        <f>AGOSTO!AH19</f>
        <v>0</v>
      </c>
      <c r="J15" s="95">
        <f>SEPTIEMBRE!AH19</f>
        <v>0</v>
      </c>
      <c r="K15" s="95">
        <f>OCTUBRE!AH19</f>
        <v>0</v>
      </c>
      <c r="L15" s="95">
        <f>NOVIEMBRE!AH19</f>
        <v>0</v>
      </c>
      <c r="M15" s="95">
        <f>DICIEMBRE!AH19</f>
        <v>39.999999999999858</v>
      </c>
      <c r="S15" s="1">
        <f t="shared" si="1"/>
        <v>311.99999999999886</v>
      </c>
    </row>
    <row r="16" spans="1:19" ht="20.85" customHeight="1" x14ac:dyDescent="0.25">
      <c r="A16" s="210" t="str">
        <f t="shared" si="0"/>
        <v>VS12</v>
      </c>
      <c r="B16" s="95">
        <f>ENERO!AH20</f>
        <v>0</v>
      </c>
      <c r="C16" s="95">
        <f>FEBRERO!AH20</f>
        <v>0</v>
      </c>
      <c r="D16" s="95">
        <f>MARZO!AH20</f>
        <v>0</v>
      </c>
      <c r="E16" s="95">
        <f>ABRIL!AH20</f>
        <v>0</v>
      </c>
      <c r="F16" s="95">
        <f>MAYO!AH20</f>
        <v>0</v>
      </c>
      <c r="G16" s="95">
        <f>JUNIO!AH20</f>
        <v>0</v>
      </c>
      <c r="H16" s="95">
        <f>JULIO!AH20</f>
        <v>248</v>
      </c>
      <c r="I16" s="95">
        <f>AGOSTO!AH20</f>
        <v>0</v>
      </c>
      <c r="J16" s="95">
        <f>SEPTIEMBRE!AH20</f>
        <v>0</v>
      </c>
      <c r="K16" s="95">
        <f>OCTUBRE!AH20</f>
        <v>0</v>
      </c>
      <c r="L16" s="95">
        <f>NOVIEMBRE!AH20</f>
        <v>0</v>
      </c>
      <c r="M16" s="95">
        <f>DICIEMBRE!AH20</f>
        <v>0</v>
      </c>
      <c r="S16" s="1">
        <f t="shared" si="1"/>
        <v>248</v>
      </c>
    </row>
    <row r="17" spans="1:17" ht="17.850000000000001" customHeight="1" x14ac:dyDescent="0.25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66"/>
    </row>
    <row r="18" spans="1:17" ht="17.850000000000001" customHeight="1" x14ac:dyDescent="0.25">
      <c r="A18"/>
      <c r="B18" s="92"/>
      <c r="C18" s="311" t="s">
        <v>124</v>
      </c>
      <c r="D18" s="311"/>
      <c r="E18" s="63" t="s">
        <v>106</v>
      </c>
      <c r="F18" s="310" t="s">
        <v>107</v>
      </c>
      <c r="G18" s="310"/>
      <c r="H18" s="310"/>
      <c r="I18" s="67" t="s">
        <v>60</v>
      </c>
      <c r="J18" s="68" t="s">
        <v>108</v>
      </c>
      <c r="K18" s="69"/>
      <c r="L18" s="310" t="s">
        <v>109</v>
      </c>
      <c r="M18" s="310"/>
    </row>
    <row r="19" spans="1:17" ht="17.850000000000001" customHeight="1" x14ac:dyDescent="0.3">
      <c r="A19"/>
      <c r="B19" s="91"/>
      <c r="C19" s="314">
        <f t="shared" ref="C19:C26" si="2">M34</f>
        <v>1782</v>
      </c>
      <c r="D19" s="315"/>
      <c r="E19" s="90">
        <f t="shared" ref="E19:F30" si="3">J34</f>
        <v>0</v>
      </c>
      <c r="F19" s="312" t="str">
        <f>K34</f>
        <v>VS1</v>
      </c>
      <c r="G19" s="312"/>
      <c r="H19" s="70">
        <f t="shared" ref="H19:H30" si="4">SUM(B5:M5)-M34</f>
        <v>-548.18000000000029</v>
      </c>
      <c r="I19" s="71">
        <f t="shared" ref="I19:I30" si="5">ROUNDDOWN(H19,0)</f>
        <v>-548</v>
      </c>
      <c r="J19" s="72">
        <f t="shared" ref="J19:J30" si="6">P19</f>
        <v>3.4166666666654542E-2</v>
      </c>
      <c r="K19" s="73"/>
      <c r="L19" s="313">
        <f>SUM(S5:S16)</f>
        <v>14099.879999999992</v>
      </c>
      <c r="M19" s="313"/>
      <c r="O19" s="74">
        <f t="shared" ref="O19:O30" si="7">H19-INT(H19)</f>
        <v>0.81999999999970896</v>
      </c>
      <c r="P19" s="75">
        <f t="shared" ref="P19:P30" si="8">O19/24</f>
        <v>3.4166666666654542E-2</v>
      </c>
      <c r="Q19"/>
    </row>
    <row r="20" spans="1:17" ht="17.850000000000001" customHeight="1" x14ac:dyDescent="0.3">
      <c r="A20"/>
      <c r="B20"/>
      <c r="C20" s="319">
        <f t="shared" si="2"/>
        <v>1782</v>
      </c>
      <c r="D20" s="318"/>
      <c r="E20" s="90">
        <f t="shared" si="3"/>
        <v>0</v>
      </c>
      <c r="F20" s="312" t="str">
        <f>K35</f>
        <v>VS2</v>
      </c>
      <c r="G20" s="312"/>
      <c r="H20" s="70">
        <f t="shared" si="4"/>
        <v>-251.70000000000005</v>
      </c>
      <c r="I20" s="71">
        <f t="shared" si="5"/>
        <v>-251</v>
      </c>
      <c r="J20" s="72">
        <f t="shared" si="6"/>
        <v>1.2499999999998105E-2</v>
      </c>
      <c r="K20" s="76"/>
      <c r="L20" s="77"/>
      <c r="M20" s="77"/>
      <c r="O20" s="74">
        <f t="shared" si="7"/>
        <v>0.29999999999995453</v>
      </c>
      <c r="P20" s="75">
        <f t="shared" si="8"/>
        <v>1.2499999999998105E-2</v>
      </c>
    </row>
    <row r="21" spans="1:17" ht="17.850000000000001" customHeight="1" x14ac:dyDescent="0.3">
      <c r="A21"/>
      <c r="B21"/>
      <c r="C21" s="319">
        <f t="shared" si="2"/>
        <v>1782</v>
      </c>
      <c r="D21" s="318"/>
      <c r="E21" s="90">
        <f t="shared" si="3"/>
        <v>0</v>
      </c>
      <c r="F21" s="312" t="str">
        <f t="shared" si="3"/>
        <v>VS3</v>
      </c>
      <c r="G21" s="312"/>
      <c r="H21" s="70">
        <f t="shared" si="4"/>
        <v>-762</v>
      </c>
      <c r="I21" s="71">
        <f t="shared" si="5"/>
        <v>-762</v>
      </c>
      <c r="J21" s="72">
        <f t="shared" si="6"/>
        <v>0</v>
      </c>
      <c r="K21" s="76"/>
      <c r="L21"/>
      <c r="M21"/>
      <c r="O21" s="74">
        <f t="shared" si="7"/>
        <v>0</v>
      </c>
      <c r="P21" s="75">
        <f t="shared" si="8"/>
        <v>0</v>
      </c>
    </row>
    <row r="22" spans="1:17" ht="17.850000000000001" customHeight="1" x14ac:dyDescent="0.3">
      <c r="A22"/>
      <c r="B22"/>
      <c r="C22" s="319">
        <f t="shared" si="2"/>
        <v>1782</v>
      </c>
      <c r="D22" s="318"/>
      <c r="E22" s="90">
        <f t="shared" si="3"/>
        <v>0</v>
      </c>
      <c r="F22" s="312" t="str">
        <f t="shared" si="3"/>
        <v>VS4</v>
      </c>
      <c r="G22" s="312"/>
      <c r="H22" s="70">
        <f t="shared" si="4"/>
        <v>-298.00000000000045</v>
      </c>
      <c r="I22" s="71">
        <f t="shared" si="5"/>
        <v>-298</v>
      </c>
      <c r="J22" s="72">
        <f t="shared" si="6"/>
        <v>-1.8947806286936004E-14</v>
      </c>
      <c r="K22" s="78"/>
      <c r="L22"/>
      <c r="M22"/>
      <c r="O22" s="74">
        <f t="shared" si="7"/>
        <v>-4.5474735088646412E-13</v>
      </c>
      <c r="P22" s="75">
        <f t="shared" si="8"/>
        <v>-1.8947806286936004E-14</v>
      </c>
    </row>
    <row r="23" spans="1:17" ht="16.5" customHeight="1" x14ac:dyDescent="0.3">
      <c r="A23"/>
      <c r="B23"/>
      <c r="C23" s="319">
        <f t="shared" si="2"/>
        <v>1782</v>
      </c>
      <c r="D23" s="318"/>
      <c r="E23" s="90">
        <f t="shared" si="3"/>
        <v>0</v>
      </c>
      <c r="F23" s="312" t="str">
        <f t="shared" si="3"/>
        <v>VS5</v>
      </c>
      <c r="G23" s="312"/>
      <c r="H23" s="70">
        <f t="shared" si="4"/>
        <v>-435.70000000000073</v>
      </c>
      <c r="I23" s="71">
        <f t="shared" si="5"/>
        <v>-435</v>
      </c>
      <c r="J23" s="72">
        <f t="shared" si="6"/>
        <v>1.2499999999969683E-2</v>
      </c>
      <c r="K23" s="69"/>
      <c r="L23"/>
      <c r="M23"/>
      <c r="O23" s="74">
        <f t="shared" si="7"/>
        <v>0.2999999999992724</v>
      </c>
      <c r="P23" s="75">
        <f t="shared" si="8"/>
        <v>1.2499999999969683E-2</v>
      </c>
    </row>
    <row r="24" spans="1:17" ht="17.850000000000001" customHeight="1" x14ac:dyDescent="0.3">
      <c r="A24"/>
      <c r="B24"/>
      <c r="C24" s="319">
        <f t="shared" si="2"/>
        <v>1782</v>
      </c>
      <c r="D24" s="318"/>
      <c r="E24" s="90">
        <f t="shared" si="3"/>
        <v>0</v>
      </c>
      <c r="F24" s="312" t="str">
        <f t="shared" si="3"/>
        <v>VS6</v>
      </c>
      <c r="G24" s="312"/>
      <c r="H24" s="70">
        <f t="shared" si="4"/>
        <v>-185.88000000000011</v>
      </c>
      <c r="I24" s="71">
        <f t="shared" si="5"/>
        <v>-185</v>
      </c>
      <c r="J24" s="72">
        <f t="shared" si="6"/>
        <v>4.9999999999954525E-3</v>
      </c>
      <c r="K24" s="69"/>
      <c r="L24"/>
      <c r="M24"/>
      <c r="O24" s="74">
        <f t="shared" si="7"/>
        <v>0.11999999999989086</v>
      </c>
      <c r="P24" s="75">
        <f t="shared" si="8"/>
        <v>4.9999999999954525E-3</v>
      </c>
    </row>
    <row r="25" spans="1:17" ht="17.850000000000001" customHeight="1" x14ac:dyDescent="0.3">
      <c r="A25"/>
      <c r="B25"/>
      <c r="C25" s="319">
        <f t="shared" si="2"/>
        <v>1782</v>
      </c>
      <c r="D25" s="318"/>
      <c r="E25" s="90">
        <f t="shared" si="3"/>
        <v>0</v>
      </c>
      <c r="F25" s="312" t="str">
        <f t="shared" si="3"/>
        <v>VS7</v>
      </c>
      <c r="G25" s="312"/>
      <c r="H25" s="70">
        <f t="shared" si="4"/>
        <v>-175.70000000000027</v>
      </c>
      <c r="I25" s="71">
        <f t="shared" si="5"/>
        <v>-175</v>
      </c>
      <c r="J25" s="72">
        <f t="shared" si="6"/>
        <v>1.2499999999988631E-2</v>
      </c>
      <c r="K25" s="69"/>
      <c r="L25"/>
      <c r="M25"/>
      <c r="O25" s="74">
        <f t="shared" si="7"/>
        <v>0.29999999999972715</v>
      </c>
      <c r="P25" s="75">
        <f t="shared" si="8"/>
        <v>1.2499999999988631E-2</v>
      </c>
    </row>
    <row r="26" spans="1:17" ht="17.850000000000001" customHeight="1" x14ac:dyDescent="0.3">
      <c r="A26"/>
      <c r="B26"/>
      <c r="C26" s="317">
        <f t="shared" si="2"/>
        <v>1782</v>
      </c>
      <c r="D26" s="318"/>
      <c r="E26" s="90">
        <f t="shared" si="3"/>
        <v>0</v>
      </c>
      <c r="F26" s="312" t="str">
        <f t="shared" si="3"/>
        <v>VS8</v>
      </c>
      <c r="G26" s="312"/>
      <c r="H26" s="70">
        <f t="shared" si="4"/>
        <v>-698.48</v>
      </c>
      <c r="I26" s="71">
        <f t="shared" si="5"/>
        <v>-698</v>
      </c>
      <c r="J26" s="72">
        <f t="shared" si="6"/>
        <v>2.1666666666665908E-2</v>
      </c>
      <c r="K26" s="69"/>
      <c r="L26"/>
      <c r="M26"/>
      <c r="O26" s="74">
        <f t="shared" si="7"/>
        <v>0.51999999999998181</v>
      </c>
      <c r="P26" s="75">
        <f t="shared" si="8"/>
        <v>2.1666666666665908E-2</v>
      </c>
    </row>
    <row r="27" spans="1:17" ht="17.850000000000001" customHeight="1" x14ac:dyDescent="0.3">
      <c r="A27"/>
      <c r="B27"/>
      <c r="C27" s="317">
        <f t="shared" ref="C27:C30" si="9">M42</f>
        <v>1782</v>
      </c>
      <c r="D27" s="318"/>
      <c r="E27" s="90">
        <f t="shared" si="3"/>
        <v>0</v>
      </c>
      <c r="F27" s="312" t="str">
        <f t="shared" ref="F27:F30" si="10">K42</f>
        <v>VS9</v>
      </c>
      <c r="G27" s="312"/>
      <c r="H27" s="70">
        <f t="shared" si="4"/>
        <v>-610.00000000000159</v>
      </c>
      <c r="I27" s="71">
        <f t="shared" si="5"/>
        <v>-610</v>
      </c>
      <c r="J27" s="72">
        <f t="shared" si="6"/>
        <v>4.1666666666600349E-2</v>
      </c>
      <c r="K27" s="69"/>
      <c r="L27"/>
      <c r="M27"/>
      <c r="O27" s="74">
        <f t="shared" si="7"/>
        <v>0.99999999999840838</v>
      </c>
      <c r="P27" s="75">
        <f t="shared" si="8"/>
        <v>4.1666666666600349E-2</v>
      </c>
    </row>
    <row r="28" spans="1:17" ht="17.850000000000001" customHeight="1" x14ac:dyDescent="0.3">
      <c r="A28"/>
      <c r="B28"/>
      <c r="C28" s="317">
        <f t="shared" si="9"/>
        <v>1782</v>
      </c>
      <c r="D28" s="318"/>
      <c r="E28" s="90">
        <f t="shared" si="3"/>
        <v>0</v>
      </c>
      <c r="F28" s="312" t="str">
        <f t="shared" si="10"/>
        <v>VS10</v>
      </c>
      <c r="G28" s="312"/>
      <c r="H28" s="70">
        <f t="shared" si="4"/>
        <v>-314.48000000000161</v>
      </c>
      <c r="I28" s="71">
        <f t="shared" si="5"/>
        <v>-314</v>
      </c>
      <c r="J28" s="72">
        <f t="shared" si="6"/>
        <v>2.1666666666599593E-2</v>
      </c>
      <c r="K28" s="69"/>
      <c r="L28"/>
      <c r="M28"/>
      <c r="O28" s="74">
        <f t="shared" si="7"/>
        <v>0.51999999999839019</v>
      </c>
      <c r="P28" s="75">
        <f t="shared" si="8"/>
        <v>2.1666666666599593E-2</v>
      </c>
    </row>
    <row r="29" spans="1:17" ht="17.850000000000001" customHeight="1" x14ac:dyDescent="0.3">
      <c r="A29"/>
      <c r="B29"/>
      <c r="C29" s="317">
        <f t="shared" si="9"/>
        <v>1782</v>
      </c>
      <c r="D29" s="318"/>
      <c r="E29" s="90">
        <f t="shared" si="3"/>
        <v>0</v>
      </c>
      <c r="F29" s="312" t="str">
        <f t="shared" si="10"/>
        <v>VS11</v>
      </c>
      <c r="G29" s="312"/>
      <c r="H29" s="70">
        <f t="shared" si="4"/>
        <v>-1470.0000000000011</v>
      </c>
      <c r="I29" s="71">
        <f t="shared" si="5"/>
        <v>-1470</v>
      </c>
      <c r="J29" s="72">
        <f t="shared" si="6"/>
        <v>0</v>
      </c>
      <c r="K29" s="69"/>
      <c r="L29"/>
      <c r="M29"/>
      <c r="O29" s="74">
        <f t="shared" si="7"/>
        <v>0</v>
      </c>
      <c r="P29" s="75">
        <f t="shared" si="8"/>
        <v>0</v>
      </c>
    </row>
    <row r="30" spans="1:17" ht="17.850000000000001" customHeight="1" x14ac:dyDescent="0.3">
      <c r="B30"/>
      <c r="C30" s="317">
        <f t="shared" si="9"/>
        <v>1782</v>
      </c>
      <c r="D30" s="318"/>
      <c r="E30" s="90">
        <f t="shared" si="3"/>
        <v>0</v>
      </c>
      <c r="F30" s="312" t="str">
        <f t="shared" si="10"/>
        <v>VS12</v>
      </c>
      <c r="G30" s="312"/>
      <c r="H30" s="70">
        <f t="shared" si="4"/>
        <v>-1534</v>
      </c>
      <c r="I30" s="71">
        <f t="shared" si="5"/>
        <v>-1534</v>
      </c>
      <c r="J30" s="72">
        <f t="shared" si="6"/>
        <v>0</v>
      </c>
      <c r="K30" s="79"/>
      <c r="L30" s="77"/>
      <c r="M30" s="77"/>
      <c r="O30" s="74">
        <f t="shared" si="7"/>
        <v>0</v>
      </c>
      <c r="P30" s="75">
        <f t="shared" si="8"/>
        <v>0</v>
      </c>
    </row>
    <row r="31" spans="1:17" ht="17.850000000000001" customHeight="1" x14ac:dyDescent="0.25">
      <c r="B31"/>
      <c r="C31"/>
      <c r="D31"/>
      <c r="F31" s="69"/>
      <c r="G31" s="69"/>
      <c r="H31" s="69"/>
      <c r="I31" s="69"/>
      <c r="J31" s="69"/>
      <c r="K31" s="69"/>
      <c r="L31" s="69"/>
      <c r="M31" s="69"/>
    </row>
    <row r="32" spans="1:17" ht="17.850000000000001" customHeight="1" x14ac:dyDescent="0.25">
      <c r="A32" s="116"/>
      <c r="B32" s="115"/>
      <c r="C32" s="115"/>
      <c r="D32" s="115"/>
      <c r="E32" s="116"/>
      <c r="F32" s="116"/>
      <c r="G32" s="116"/>
      <c r="H32" s="116"/>
      <c r="I32" s="116"/>
      <c r="J32" s="116"/>
      <c r="K32" s="116"/>
      <c r="L32" s="116"/>
      <c r="M32" s="116"/>
      <c r="N32" s="116"/>
    </row>
    <row r="33" spans="1:14" ht="20.85" customHeight="1" x14ac:dyDescent="0.25">
      <c r="A33" s="114"/>
      <c r="B33" s="320" t="s">
        <v>110</v>
      </c>
      <c r="C33" s="320"/>
      <c r="D33" s="320"/>
      <c r="E33" s="116"/>
      <c r="F33" s="304" t="s">
        <v>111</v>
      </c>
      <c r="G33" s="304"/>
      <c r="H33" s="304"/>
      <c r="I33" s="116"/>
      <c r="J33" s="194" t="s">
        <v>112</v>
      </c>
      <c r="K33" s="253" t="s">
        <v>113</v>
      </c>
      <c r="L33" s="253"/>
      <c r="M33" s="194" t="s">
        <v>125</v>
      </c>
      <c r="N33" s="116"/>
    </row>
    <row r="34" spans="1:14" ht="17.850000000000001" customHeight="1" x14ac:dyDescent="0.25">
      <c r="A34" s="123" t="s">
        <v>35</v>
      </c>
      <c r="B34" s="293" t="s">
        <v>130</v>
      </c>
      <c r="C34" s="294"/>
      <c r="D34" s="295"/>
      <c r="E34" s="116"/>
      <c r="F34" s="112" t="s">
        <v>114</v>
      </c>
      <c r="G34" s="112" t="s">
        <v>115</v>
      </c>
      <c r="H34" s="112" t="s">
        <v>11</v>
      </c>
      <c r="I34" s="116"/>
      <c r="J34" s="111">
        <v>0</v>
      </c>
      <c r="K34" s="296" t="s">
        <v>50</v>
      </c>
      <c r="L34" s="296"/>
      <c r="M34" s="93">
        <v>1782</v>
      </c>
      <c r="N34" s="116"/>
    </row>
    <row r="35" spans="1:14" ht="17.850000000000001" customHeight="1" x14ac:dyDescent="0.25">
      <c r="A35" s="123" t="s">
        <v>37</v>
      </c>
      <c r="B35" s="305" t="s">
        <v>131</v>
      </c>
      <c r="C35" s="306"/>
      <c r="D35" s="307"/>
      <c r="E35" s="116"/>
      <c r="F35" s="87" t="s">
        <v>11</v>
      </c>
      <c r="G35" s="88">
        <v>0</v>
      </c>
      <c r="H35" s="88">
        <v>0.5</v>
      </c>
      <c r="I35" s="116"/>
      <c r="J35" s="111">
        <v>0</v>
      </c>
      <c r="K35" s="296" t="s">
        <v>70</v>
      </c>
      <c r="L35" s="296"/>
      <c r="M35" s="93">
        <v>1782</v>
      </c>
      <c r="N35" s="116"/>
    </row>
    <row r="36" spans="1:14" ht="17.850000000000001" customHeight="1" x14ac:dyDescent="0.25">
      <c r="A36" s="123" t="s">
        <v>38</v>
      </c>
      <c r="B36" s="293">
        <v>2024</v>
      </c>
      <c r="C36" s="294"/>
      <c r="D36" s="295"/>
      <c r="E36" s="116"/>
      <c r="F36" s="87" t="s">
        <v>91</v>
      </c>
      <c r="G36" s="88">
        <v>4.1666666666666664E-2</v>
      </c>
      <c r="H36" s="88">
        <v>8.3333333333333329E-2</v>
      </c>
      <c r="I36" s="116"/>
      <c r="J36" s="111">
        <v>0</v>
      </c>
      <c r="K36" s="296" t="s">
        <v>73</v>
      </c>
      <c r="L36" s="296"/>
      <c r="M36" s="93">
        <v>1782</v>
      </c>
      <c r="N36" s="116"/>
    </row>
    <row r="37" spans="1:14" ht="17.850000000000001" customHeight="1" x14ac:dyDescent="0.25">
      <c r="A37" s="116"/>
      <c r="B37" s="115"/>
      <c r="C37" s="115"/>
      <c r="D37" s="115"/>
      <c r="E37" s="116"/>
      <c r="F37" s="87" t="s">
        <v>116</v>
      </c>
      <c r="G37" s="88">
        <v>8.3333333333333329E-2</v>
      </c>
      <c r="H37" s="88">
        <v>0.125</v>
      </c>
      <c r="I37" s="116"/>
      <c r="J37" s="111">
        <v>0</v>
      </c>
      <c r="K37" s="296" t="s">
        <v>75</v>
      </c>
      <c r="L37" s="296"/>
      <c r="M37" s="93">
        <v>1782</v>
      </c>
      <c r="N37" s="116"/>
    </row>
    <row r="38" spans="1:14" ht="17.850000000000001" customHeight="1" x14ac:dyDescent="0.25">
      <c r="A38" s="116"/>
      <c r="B38" s="297" t="s">
        <v>137</v>
      </c>
      <c r="C38" s="297"/>
      <c r="D38" s="297"/>
      <c r="E38" s="116"/>
      <c r="F38" s="87" t="s">
        <v>117</v>
      </c>
      <c r="G38" s="88">
        <v>0.125</v>
      </c>
      <c r="H38" s="88">
        <v>0.16666666666666666</v>
      </c>
      <c r="I38" s="116"/>
      <c r="J38" s="111">
        <v>0</v>
      </c>
      <c r="K38" s="296" t="s">
        <v>77</v>
      </c>
      <c r="L38" s="296"/>
      <c r="M38" s="93">
        <v>1782</v>
      </c>
      <c r="N38" s="116"/>
    </row>
    <row r="39" spans="1:14" ht="17.850000000000001" customHeight="1" x14ac:dyDescent="0.25">
      <c r="A39" s="116"/>
      <c r="B39" s="121" t="s">
        <v>118</v>
      </c>
      <c r="C39" s="298" t="s">
        <v>135</v>
      </c>
      <c r="D39" s="299"/>
      <c r="E39" s="115"/>
      <c r="F39" s="87" t="s">
        <v>119</v>
      </c>
      <c r="G39" s="88">
        <v>0.16666666666666666</v>
      </c>
      <c r="H39" s="88">
        <v>0.20833333333333334</v>
      </c>
      <c r="I39" s="116"/>
      <c r="J39" s="111">
        <v>0</v>
      </c>
      <c r="K39" s="296" t="s">
        <v>79</v>
      </c>
      <c r="L39" s="296"/>
      <c r="M39" s="93">
        <v>1782</v>
      </c>
      <c r="N39" s="116"/>
    </row>
    <row r="40" spans="1:14" ht="17.850000000000001" customHeight="1" x14ac:dyDescent="0.25">
      <c r="A40" s="116"/>
      <c r="B40" s="209" t="s">
        <v>134</v>
      </c>
      <c r="C40" s="300" t="s">
        <v>43</v>
      </c>
      <c r="D40" s="300"/>
      <c r="E40" s="115"/>
      <c r="F40" s="87" t="s">
        <v>120</v>
      </c>
      <c r="G40" s="88">
        <v>0.20833333333333334</v>
      </c>
      <c r="H40" s="88">
        <v>0.25</v>
      </c>
      <c r="I40" s="116"/>
      <c r="J40" s="111">
        <v>0</v>
      </c>
      <c r="K40" s="296" t="s">
        <v>81</v>
      </c>
      <c r="L40" s="296"/>
      <c r="M40" s="93">
        <v>1782</v>
      </c>
      <c r="N40" s="116"/>
    </row>
    <row r="41" spans="1:14" ht="17.850000000000001" customHeight="1" x14ac:dyDescent="0.25">
      <c r="A41" s="301" t="s">
        <v>132</v>
      </c>
      <c r="B41" s="301"/>
      <c r="C41" s="302" t="s">
        <v>133</v>
      </c>
      <c r="D41" s="302"/>
      <c r="E41" s="303"/>
      <c r="F41" s="196" t="s">
        <v>121</v>
      </c>
      <c r="G41" s="88">
        <v>0.29166666666666669</v>
      </c>
      <c r="H41" s="88">
        <v>0.33333333333333331</v>
      </c>
      <c r="I41" s="195"/>
      <c r="J41" s="111">
        <v>0</v>
      </c>
      <c r="K41" s="296" t="s">
        <v>83</v>
      </c>
      <c r="L41" s="296"/>
      <c r="M41" s="94">
        <v>1782</v>
      </c>
      <c r="N41" s="180"/>
    </row>
    <row r="42" spans="1:14" ht="17.850000000000001" customHeight="1" x14ac:dyDescent="0.25">
      <c r="A42" s="116"/>
      <c r="B42" s="115"/>
      <c r="C42" s="115"/>
      <c r="D42" s="115"/>
      <c r="E42" s="115"/>
      <c r="F42" s="196" t="s">
        <v>122</v>
      </c>
      <c r="G42" s="88">
        <v>0.33333333333333331</v>
      </c>
      <c r="H42" s="88">
        <v>0.375</v>
      </c>
      <c r="I42" s="116"/>
      <c r="J42" s="111">
        <v>0</v>
      </c>
      <c r="K42" s="296" t="s">
        <v>85</v>
      </c>
      <c r="L42" s="296"/>
      <c r="M42" s="93">
        <v>1782</v>
      </c>
      <c r="N42" s="116"/>
    </row>
    <row r="43" spans="1:14" ht="17.850000000000001" customHeight="1" x14ac:dyDescent="0.25">
      <c r="A43" s="116"/>
      <c r="B43" s="115"/>
      <c r="C43" s="115"/>
      <c r="D43" s="115"/>
      <c r="E43" s="115"/>
      <c r="F43" s="196" t="s">
        <v>123</v>
      </c>
      <c r="G43" s="88">
        <v>0.41666666666666669</v>
      </c>
      <c r="H43" s="88">
        <v>0.45833333333333331</v>
      </c>
      <c r="I43" s="116"/>
      <c r="J43" s="111">
        <v>0</v>
      </c>
      <c r="K43" s="296" t="s">
        <v>87</v>
      </c>
      <c r="L43" s="296"/>
      <c r="M43" s="93">
        <v>1782</v>
      </c>
      <c r="N43" s="116"/>
    </row>
    <row r="44" spans="1:14" ht="17.850000000000001" customHeight="1" x14ac:dyDescent="0.25">
      <c r="A44" s="116"/>
      <c r="B44" s="116"/>
      <c r="C44" s="116"/>
      <c r="D44" s="116"/>
      <c r="E44" s="116"/>
      <c r="F44" s="116"/>
      <c r="G44" s="116"/>
      <c r="H44" s="116"/>
      <c r="I44" s="116"/>
      <c r="J44" s="198">
        <v>0</v>
      </c>
      <c r="K44" s="292" t="s">
        <v>126</v>
      </c>
      <c r="L44" s="292"/>
      <c r="M44" s="199">
        <v>1782</v>
      </c>
      <c r="N44" s="116"/>
    </row>
    <row r="45" spans="1:14" ht="17.850000000000001" customHeight="1" x14ac:dyDescent="0.25">
      <c r="A45" s="116"/>
      <c r="B45" s="116"/>
      <c r="C45" s="316" t="str">
        <f>B38</f>
        <v>OSCAR ORGEIRA © 20.03.00 EXCEL</v>
      </c>
      <c r="D45" s="316"/>
      <c r="E45" s="316"/>
      <c r="F45" s="116"/>
      <c r="G45" s="116"/>
      <c r="H45" s="116"/>
      <c r="I45" s="116"/>
      <c r="J45" s="198">
        <v>0</v>
      </c>
      <c r="K45" s="292" t="s">
        <v>127</v>
      </c>
      <c r="L45" s="292"/>
      <c r="M45" s="199">
        <v>1782</v>
      </c>
      <c r="N45" s="116"/>
    </row>
    <row r="46" spans="1:14" ht="17.850000000000001" customHeight="1" x14ac:dyDescent="0.25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</row>
  </sheetData>
  <sheetProtection algorithmName="SHA-512" hashValue="YH2fDYScbWTylYLeHXFh9mAYDbuImzEwFFyzWpG5Yzrm7y9UcsTEgI1kgXtl8CGqvuvm8NYSzwge9G7mb4d9kw==" saltValue="zJ/kzyeJsNxdYq6yqoztJQ==" spinCount="100000" sheet="1" objects="1" scenarios="1"/>
  <mergeCells count="55">
    <mergeCell ref="C45:E45"/>
    <mergeCell ref="C27:D27"/>
    <mergeCell ref="C28:D28"/>
    <mergeCell ref="C20:D20"/>
    <mergeCell ref="C21:D21"/>
    <mergeCell ref="C22:D22"/>
    <mergeCell ref="C23:D23"/>
    <mergeCell ref="C24:D24"/>
    <mergeCell ref="C25:D25"/>
    <mergeCell ref="C26:D26"/>
    <mergeCell ref="C29:D29"/>
    <mergeCell ref="C30:D30"/>
    <mergeCell ref="B33:D33"/>
    <mergeCell ref="L19:M19"/>
    <mergeCell ref="C19:D19"/>
    <mergeCell ref="F25:G25"/>
    <mergeCell ref="F26:G26"/>
    <mergeCell ref="F29:G29"/>
    <mergeCell ref="F30:G30"/>
    <mergeCell ref="F19:G19"/>
    <mergeCell ref="F20:G20"/>
    <mergeCell ref="F21:G21"/>
    <mergeCell ref="F22:G22"/>
    <mergeCell ref="F23:G23"/>
    <mergeCell ref="F24:G24"/>
    <mergeCell ref="F27:G27"/>
    <mergeCell ref="F28:G28"/>
    <mergeCell ref="B1:D1"/>
    <mergeCell ref="B2:D2"/>
    <mergeCell ref="G2:M2"/>
    <mergeCell ref="F18:H18"/>
    <mergeCell ref="L18:M18"/>
    <mergeCell ref="C18:D18"/>
    <mergeCell ref="F33:H33"/>
    <mergeCell ref="B34:D34"/>
    <mergeCell ref="K34:L34"/>
    <mergeCell ref="B35:D35"/>
    <mergeCell ref="K35:L35"/>
    <mergeCell ref="K33:L33"/>
    <mergeCell ref="K44:L44"/>
    <mergeCell ref="K45:L45"/>
    <mergeCell ref="B36:D36"/>
    <mergeCell ref="K36:L36"/>
    <mergeCell ref="K41:L41"/>
    <mergeCell ref="K42:L42"/>
    <mergeCell ref="K43:L43"/>
    <mergeCell ref="K37:L37"/>
    <mergeCell ref="B38:D38"/>
    <mergeCell ref="K38:L38"/>
    <mergeCell ref="C39:D39"/>
    <mergeCell ref="K39:L39"/>
    <mergeCell ref="C40:D40"/>
    <mergeCell ref="K40:L40"/>
    <mergeCell ref="A41:B41"/>
    <mergeCell ref="C41:E41"/>
  </mergeCells>
  <hyperlinks>
    <hyperlink ref="C40" r:id="rId1" xr:uid="{00000000-0004-0000-0C00-000001000000}"/>
    <hyperlink ref="C41:E41" r:id="rId2" display="https://t.me/sectorseguridad" xr:uid="{00000000-0004-0000-0C00-000002000000}"/>
    <hyperlink ref="C39" r:id="rId3" xr:uid="{00000000-0004-0000-0C00-000000000000}"/>
  </hyperlinks>
  <printOptions horizontalCentered="1"/>
  <pageMargins left="7.8472222222222221E-2" right="7.8472222222222221E-2" top="0.31527777777777777" bottom="0" header="0.51180555555555551" footer="0.51180555555555551"/>
  <pageSetup paperSize="9" orientation="landscape" r:id="rId4"/>
  <headerFooter alignWithMargins="0"/>
  <drawing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13</vt:i4>
      </vt:variant>
    </vt:vector>
  </HeadingPairs>
  <TitlesOfParts>
    <vt:vector size="26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CONTROL</vt:lpstr>
      <vt:lpstr>ABRIL!Área_de_impresión</vt:lpstr>
      <vt:lpstr>AGOSTO!Área_de_impresión</vt:lpstr>
      <vt:lpstr>CONTROL!Área_de_impresión</vt:lpstr>
      <vt:lpstr>DICIEMBRE!Área_de_impresión</vt:lpstr>
      <vt:lpstr>ENERO!Área_de_impresión</vt:lpstr>
      <vt:lpstr>FEBRERO!Área_de_impresión</vt:lpstr>
      <vt:lpstr>JULIO!Área_de_impresión</vt:lpstr>
      <vt:lpstr>JUNIO!Área_de_impresión</vt:lpstr>
      <vt:lpstr>MARZO!Área_de_impresión</vt:lpstr>
      <vt:lpstr>MAYO!Área_de_impresión</vt:lpstr>
      <vt:lpstr>NOVIEMBRE!Área_de_impresión</vt:lpstr>
      <vt:lpstr>OCTUBRE!Área_de_impresión</vt:lpstr>
      <vt:lpstr>SEPTIEMBRE!Área_de_impresión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ORGEIRA</dc:creator>
  <cp:lastModifiedBy>Servicio Vigilancia Terrazas de la Torre</cp:lastModifiedBy>
  <cp:lastPrinted>2018-07-07T19:27:33Z</cp:lastPrinted>
  <dcterms:created xsi:type="dcterms:W3CDTF">2016-06-12T21:37:11Z</dcterms:created>
  <dcterms:modified xsi:type="dcterms:W3CDTF">2026-03-04T03:58:16Z</dcterms:modified>
</cp:coreProperties>
</file>